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BBB0F9B-2839-4409-B868-3D63277E26E4}" xr6:coauthVersionLast="47" xr6:coauthVersionMax="47" xr10:uidLastSave="{00000000-0000-0000-0000-000000000000}"/>
  <bookViews>
    <workbookView xWindow="-108" yWindow="-108" windowWidth="23256" windowHeight="13176" xr2:uid="{1DCA858C-4733-45EC-947B-61056837BEF0}"/>
  </bookViews>
  <sheets>
    <sheet name="Global AI &amp; LLM Jobs Mark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</calcChain>
</file>

<file path=xl/sharedStrings.xml><?xml version="1.0" encoding="utf-8"?>
<sst xmlns="http://schemas.openxmlformats.org/spreadsheetml/2006/main" count="37523" uniqueCount="5145">
  <si>
    <t>salary_usd_annual</t>
  </si>
  <si>
    <t>required_skills</t>
  </si>
  <si>
    <t>primary_llm_mentioned</t>
  </si>
  <si>
    <t>education_required</t>
  </si>
  <si>
    <t>date_posted</t>
  </si>
  <si>
    <t>job_description_length</t>
  </si>
  <si>
    <t>applies_count</t>
  </si>
  <si>
    <t>visa_sponsorship</t>
  </si>
  <si>
    <t>years_experience_min</t>
  </si>
  <si>
    <t>company_size</t>
  </si>
  <si>
    <t>is_contract</t>
  </si>
  <si>
    <t>has_equity</t>
  </si>
  <si>
    <t>AIJOB00001</t>
  </si>
  <si>
    <t>Prompt Engineer</t>
  </si>
  <si>
    <t>Palantir</t>
  </si>
  <si>
    <t>Tech</t>
  </si>
  <si>
    <t>Amsterdam, Netherlands</t>
  </si>
  <si>
    <t>Netherlands</t>
  </si>
  <si>
    <t>Remote</t>
  </si>
  <si>
    <t>Entry (0-2 yrs)</t>
  </si>
  <si>
    <t>dbt, Weights &amp; Biases, JAX</t>
  </si>
  <si>
    <t>Grok</t>
  </si>
  <si>
    <t>Bachelor's</t>
  </si>
  <si>
    <t>No</t>
  </si>
  <si>
    <t>Full-time</t>
  </si>
  <si>
    <t>AIJOB00002</t>
  </si>
  <si>
    <t>RAG Engineer</t>
  </si>
  <si>
    <t>Mistral AI</t>
  </si>
  <si>
    <t>Automotive</t>
  </si>
  <si>
    <t>Paris, France</t>
  </si>
  <si>
    <t>France</t>
  </si>
  <si>
    <t>Staff/Principal (8+ yrs)</t>
  </si>
  <si>
    <t>FastAPI, Rust, Hugging Face Transformers</t>
  </si>
  <si>
    <t>None</t>
  </si>
  <si>
    <t>Yes</t>
  </si>
  <si>
    <t>AIJOB00003</t>
  </si>
  <si>
    <t>Computer Vision Engineer</t>
  </si>
  <si>
    <t>Adobe Firefly</t>
  </si>
  <si>
    <t>Retail</t>
  </si>
  <si>
    <t>Bangalore, India</t>
  </si>
  <si>
    <t>India</t>
  </si>
  <si>
    <t>Hybrid</t>
  </si>
  <si>
    <t>Weaviate, AWS SageMaker, C++</t>
  </si>
  <si>
    <t>Falcon</t>
  </si>
  <si>
    <t>PhD</t>
  </si>
  <si>
    <t>201-1000</t>
  </si>
  <si>
    <t>Part-time</t>
  </si>
  <si>
    <t>AIJOB00004</t>
  </si>
  <si>
    <t>Baidu</t>
  </si>
  <si>
    <t>Finance</t>
  </si>
  <si>
    <t>Hugging Face Transformers, Azure ML, OpenAI API, dbt, Docker</t>
  </si>
  <si>
    <t>Master's</t>
  </si>
  <si>
    <t>51-200</t>
  </si>
  <si>
    <t>AIJOB00005</t>
  </si>
  <si>
    <t>Scale AI</t>
  </si>
  <si>
    <t>On-site</t>
  </si>
  <si>
    <t>Mid (2-5 yrs)</t>
  </si>
  <si>
    <t>Kubernetes, C++, PyTorch</t>
  </si>
  <si>
    <t>1001-5000</t>
  </si>
  <si>
    <t>Contract</t>
  </si>
  <si>
    <t>AIJOB00006</t>
  </si>
  <si>
    <t>AI Research Scientist</t>
  </si>
  <si>
    <t>IBM Watson</t>
  </si>
  <si>
    <t>Education</t>
  </si>
  <si>
    <t>Berlin, Germany</t>
  </si>
  <si>
    <t>Germany</t>
  </si>
  <si>
    <t>Senior (5-8 yrs)</t>
  </si>
  <si>
    <t>Docker, Weights &amp; Biases, ChromaDB, Fine-tuning, C++, RAG, Azure ML</t>
  </si>
  <si>
    <t>Gemini</t>
  </si>
  <si>
    <t>AIJOB00007</t>
  </si>
  <si>
    <t>LLM Engineer</t>
  </si>
  <si>
    <t>Accenture AI</t>
  </si>
  <si>
    <t>Docker, Weaviate, Python, dbt, Weights &amp; Biases, LangChain, Rust</t>
  </si>
  <si>
    <t>AIJOB00008</t>
  </si>
  <si>
    <t>Salesforce Einstein</t>
  </si>
  <si>
    <t>Energy</t>
  </si>
  <si>
    <t>Dublin, Ireland</t>
  </si>
  <si>
    <t>Ireland</t>
  </si>
  <si>
    <t>C++, Spark, Pinecone, SQL, OpenAI API</t>
  </si>
  <si>
    <t>Bootcamp/Self-taught</t>
  </si>
  <si>
    <t>AIJOB00009</t>
  </si>
  <si>
    <t>NLP Engineer</t>
  </si>
  <si>
    <t>TensorFlow, Weights &amp; Biases, Vector Databases</t>
  </si>
  <si>
    <t>5000+</t>
  </si>
  <si>
    <t>AIJOB00010</t>
  </si>
  <si>
    <t>AI Platform Engineer</t>
  </si>
  <si>
    <t>Morgan Stanley AI</t>
  </si>
  <si>
    <t>Singapore</t>
  </si>
  <si>
    <t>MLflow, AWS SageMaker, RAG, dbt</t>
  </si>
  <si>
    <t>Command R</t>
  </si>
  <si>
    <t>AIJOB00011</t>
  </si>
  <si>
    <t>GenAI Developer</t>
  </si>
  <si>
    <t>Nvidia</t>
  </si>
  <si>
    <t>TensorFlow, JAX, PyTorch, CUDA</t>
  </si>
  <si>
    <t>Phi</t>
  </si>
  <si>
    <t>AIJOB00012</t>
  </si>
  <si>
    <t>AI Infrastructure Engineer</t>
  </si>
  <si>
    <t>ByteDance</t>
  </si>
  <si>
    <t>Azure ML, Fine-tuning, CUDA, RLHF, Weights &amp; Biases, PyTorch</t>
  </si>
  <si>
    <t>Maybe</t>
  </si>
  <si>
    <t>AIJOB00013</t>
  </si>
  <si>
    <t>Meta AI</t>
  </si>
  <si>
    <t>Toronto, Canada</t>
  </si>
  <si>
    <t>Canada</t>
  </si>
  <si>
    <t>RLHF, Rust, CUDA</t>
  </si>
  <si>
    <t>AIJOB00014</t>
  </si>
  <si>
    <t>MLOps Engineer</t>
  </si>
  <si>
    <t>SAP AI</t>
  </si>
  <si>
    <t>Docker, Rust, CUDA, RLHF, AWS SageMaker, Fine-tuning</t>
  </si>
  <si>
    <t>AIJOB00015</t>
  </si>
  <si>
    <t>Anthropic</t>
  </si>
  <si>
    <t>Defense</t>
  </si>
  <si>
    <t>Pinecone, CUDA, JAX, Hugging Face Transformers, PyTorch, C++</t>
  </si>
  <si>
    <t>AIJOB00016</t>
  </si>
  <si>
    <t>GCP Vertex AI, Docker, OpenAI API, dbt, MLflow, JAX, Kubernetes</t>
  </si>
  <si>
    <t>AIJOB00017</t>
  </si>
  <si>
    <t>Goldman Sachs AI</t>
  </si>
  <si>
    <t>JAX, Kubernetes, Azure ML</t>
  </si>
  <si>
    <t>AIJOB00018</t>
  </si>
  <si>
    <t>LlamaIndex, Docker, AWS SageMaker, SQL, OpenAI API, MLflow, GCP Vertex AI</t>
  </si>
  <si>
    <t>Mistral</t>
  </si>
  <si>
    <t>AIJOB00019</t>
  </si>
  <si>
    <t>Weaviate, Python, LangChain, TensorFlow, MLflow, LlamaIndex</t>
  </si>
  <si>
    <t>AIJOB00020</t>
  </si>
  <si>
    <t>Google DeepMind</t>
  </si>
  <si>
    <t>Healthcare</t>
  </si>
  <si>
    <t>SQL, Weights &amp; Biases, LlamaIndex, Kubernetes, Hugging Face Transformers, FastAPI</t>
  </si>
  <si>
    <t>AIJOB00021</t>
  </si>
  <si>
    <t>JPMorgan AI</t>
  </si>
  <si>
    <t>C++, RLHF, Azure ML, AWS SageMaker</t>
  </si>
  <si>
    <t>AIJOB00022</t>
  </si>
  <si>
    <t>Foundation Model Engineer</t>
  </si>
  <si>
    <t>OpenAI</t>
  </si>
  <si>
    <t>Stockholm, Sweden</t>
  </si>
  <si>
    <t>Sweden</t>
  </si>
  <si>
    <t>JAX, Docker, Hugging Face Transformers</t>
  </si>
  <si>
    <t>AIJOB00023</t>
  </si>
  <si>
    <t>Deep Learning Engineer</t>
  </si>
  <si>
    <t>Pinecone, Rust, Weaviate</t>
  </si>
  <si>
    <t>AIJOB00024</t>
  </si>
  <si>
    <t>RAG, MLflow, AWS SageMaker, Weaviate, LlamaIndex</t>
  </si>
  <si>
    <t>BLOOM</t>
  </si>
  <si>
    <t>AIJOB00025</t>
  </si>
  <si>
    <t>AI Safety Researcher</t>
  </si>
  <si>
    <t>Pinecone, Vector Databases, Rust, JAX</t>
  </si>
  <si>
    <t>AIJOB00026</t>
  </si>
  <si>
    <t>DataBricks</t>
  </si>
  <si>
    <t>Media</t>
  </si>
  <si>
    <t>PyTorch, Kubernetes, Vector Databases</t>
  </si>
  <si>
    <t>Claude</t>
  </si>
  <si>
    <t>AIJOB00027</t>
  </si>
  <si>
    <t>AI Engineer</t>
  </si>
  <si>
    <t>RLHF, PyTorch, Weaviate, Kubernetes, LangChain, JAX, LlamaIndex</t>
  </si>
  <si>
    <t>AIJOB00028</t>
  </si>
  <si>
    <t>RLHF, Docker, FastAPI, Kubernetes, Spark, CUDA</t>
  </si>
  <si>
    <t>AIJOB00029</t>
  </si>
  <si>
    <t>MLflow, OpenAI API, TensorFlow, Fine-tuning</t>
  </si>
  <si>
    <t>AIJOB00030</t>
  </si>
  <si>
    <t>Deloitte AI</t>
  </si>
  <si>
    <t>Tel Aviv, Israel</t>
  </si>
  <si>
    <t>Israel</t>
  </si>
  <si>
    <t>FastAPI, RAG, CUDA, JAX, C++</t>
  </si>
  <si>
    <t>AIJOB00031</t>
  </si>
  <si>
    <t>Python, RAG, ChromaDB, C++, dbt, JAX, TensorFlow</t>
  </si>
  <si>
    <t>AIJOB00032</t>
  </si>
  <si>
    <t>Python, Weights &amp; Biases, Weaviate, PyTorch, Azure ML, Kubernetes</t>
  </si>
  <si>
    <t>AIJOB00033</t>
  </si>
  <si>
    <t>Amazon AWS AI</t>
  </si>
  <si>
    <t>Hugging Face Transformers, SQL, Weights &amp; Biases, MLflow, LangChain</t>
  </si>
  <si>
    <t>AIJOB00034</t>
  </si>
  <si>
    <t>Rust, LangChain, JAX, ChromaDB, PyTorch, Azure ML, Weaviate</t>
  </si>
  <si>
    <t>AIJOB00035</t>
  </si>
  <si>
    <t>Reinforcement Learning Engineer</t>
  </si>
  <si>
    <t>Hugging Face</t>
  </si>
  <si>
    <t>Government</t>
  </si>
  <si>
    <t>SQL, Rust, Weaviate, FastAPI, Vector Databases</t>
  </si>
  <si>
    <t>AIJOB00036</t>
  </si>
  <si>
    <t>Vector Databases, OpenAI API, Azure ML, Rust</t>
  </si>
  <si>
    <t>AIJOB00037</t>
  </si>
  <si>
    <t>Cohere</t>
  </si>
  <si>
    <t>Rust, Python, TensorFlow, AWS SageMaker, Kubernetes, RAG</t>
  </si>
  <si>
    <t>AIJOB00038</t>
  </si>
  <si>
    <t>Samsung AI</t>
  </si>
  <si>
    <t>GCP Vertex AI, LangChain, Weights &amp; Biases, Weaviate</t>
  </si>
  <si>
    <t>AIJOB00039</t>
  </si>
  <si>
    <t>MLflow, Weaviate, LlamaIndex</t>
  </si>
  <si>
    <t>GPT-4</t>
  </si>
  <si>
    <t>AIJOB00040</t>
  </si>
  <si>
    <t>Docker, CUDA, Vector Databases</t>
  </si>
  <si>
    <t>AIJOB00041</t>
  </si>
  <si>
    <t>Rust, SQL, Kubernetes, FastAPI, Pinecone, RAG, RLHF</t>
  </si>
  <si>
    <t>AIJOB00042</t>
  </si>
  <si>
    <t>Snowflake</t>
  </si>
  <si>
    <t>Hugging Face Transformers, Weaviate, TensorFlow, Python</t>
  </si>
  <si>
    <t>AIJOB00043</t>
  </si>
  <si>
    <t>Tesla AI</t>
  </si>
  <si>
    <t>Docker, C++, LlamaIndex, TensorFlow</t>
  </si>
  <si>
    <t>AIJOB00044</t>
  </si>
  <si>
    <t>Weights &amp; Biases, GCP Vertex AI, SQL, Docker, Python, TensorFlow</t>
  </si>
  <si>
    <t>AIJOB00045</t>
  </si>
  <si>
    <t>Zurich, Switzerland</t>
  </si>
  <si>
    <t>Switzerland</t>
  </si>
  <si>
    <t>TensorFlow, Vector Databases, Azure ML, Fine-tuning, GCP Vertex AI, FastAPI</t>
  </si>
  <si>
    <t>AIJOB00046</t>
  </si>
  <si>
    <t>Apple ML</t>
  </si>
  <si>
    <t>CUDA, Pinecone, C++, Python, dbt, Weaviate</t>
  </si>
  <si>
    <t>AIJOB00047</t>
  </si>
  <si>
    <t>Rust, Kubernetes, MLflow, Hugging Face Transformers, AWS SageMaker, Weaviate, Python</t>
  </si>
  <si>
    <t>AIJOB00048</t>
  </si>
  <si>
    <t>Microsoft AI</t>
  </si>
  <si>
    <t>Weaviate, LlamaIndex, RAG, OpenAI API, SQL, Pinecone</t>
  </si>
  <si>
    <t>AIJOB00049</t>
  </si>
  <si>
    <t>GCP Vertex AI, Weaviate, FastAPI, RAG, RLHF</t>
  </si>
  <si>
    <t>AIJOB00050</t>
  </si>
  <si>
    <t>Pinecone, ChromaDB, GCP Vertex AI, CUDA</t>
  </si>
  <si>
    <t>AIJOB00051</t>
  </si>
  <si>
    <t>Tokyo, Japan</t>
  </si>
  <si>
    <t>Japan</t>
  </si>
  <si>
    <t>CUDA, GCP Vertex AI, dbt</t>
  </si>
  <si>
    <t>AIJOB00052</t>
  </si>
  <si>
    <t>RLHF, Hugging Face Transformers, MLflow</t>
  </si>
  <si>
    <t>AIJOB00053</t>
  </si>
  <si>
    <t>Data Scientist (AI/ML)</t>
  </si>
  <si>
    <t>SQL, dbt, Kubernetes, Vector Databases, ChromaDB, LlamaIndex</t>
  </si>
  <si>
    <t>AIJOB00054</t>
  </si>
  <si>
    <t>AI Solutions Architect</t>
  </si>
  <si>
    <t>Stability AI</t>
  </si>
  <si>
    <t>OpenAI API, RAG, CUDA, Vector Databases, LangChain</t>
  </si>
  <si>
    <t>AIJOB00055</t>
  </si>
  <si>
    <t>ML Engineer</t>
  </si>
  <si>
    <t>Sydney, Australia</t>
  </si>
  <si>
    <t>Australia</t>
  </si>
  <si>
    <t>Rust, Azure ML, Kubernetes, Spark, OpenAI API, SQL, Docker</t>
  </si>
  <si>
    <t>AIJOB00056</t>
  </si>
  <si>
    <t>LlamaIndex, Rust, Weaviate, JAX</t>
  </si>
  <si>
    <t>AIJOB00057</t>
  </si>
  <si>
    <t>AI Product Manager</t>
  </si>
  <si>
    <t>CUDA, dbt, Weights &amp; Biases, RAG</t>
  </si>
  <si>
    <t>AIJOB00058</t>
  </si>
  <si>
    <t>Uber AI</t>
  </si>
  <si>
    <t>Python, SQL, Weaviate, GCP Vertex AI, CUDA, Kubernetes</t>
  </si>
  <si>
    <t>AIJOB00059</t>
  </si>
  <si>
    <t>dbt, Weights &amp; Biases, MLflow, Weaviate, Fine-tuning</t>
  </si>
  <si>
    <t>AIJOB00060</t>
  </si>
  <si>
    <t>Weaviate, JAX, Spark, Azure ML, PyTorch</t>
  </si>
  <si>
    <t>Llama</t>
  </si>
  <si>
    <t>AIJOB00061</t>
  </si>
  <si>
    <t>ChromaDB, OpenAI API, C++, CUDA</t>
  </si>
  <si>
    <t>AIJOB00062</t>
  </si>
  <si>
    <t>GCP Vertex AI, Python, Hugging Face Transformers, Docker, PyTorch, LlamaIndex, Fine-tuning</t>
  </si>
  <si>
    <t>AIJOB00063</t>
  </si>
  <si>
    <t>Vector Databases, CUDA, RAG</t>
  </si>
  <si>
    <t>AIJOB00064</t>
  </si>
  <si>
    <t>RLHF, Pinecone, SQL, Fine-tuning, LangChain</t>
  </si>
  <si>
    <t>AIJOB00065</t>
  </si>
  <si>
    <t>Azure ML, LlamaIndex, dbt, Vector Databases, TensorFlow</t>
  </si>
  <si>
    <t>AIJOB00066</t>
  </si>
  <si>
    <t>CUDA, Weights &amp; Biases, PyTorch, AWS SageMaker, SQL, Rust</t>
  </si>
  <si>
    <t>AIJOB00067</t>
  </si>
  <si>
    <t>SQL, dbt, Spark, Weaviate, Python, JAX, CUDA</t>
  </si>
  <si>
    <t>AIJOB00068</t>
  </si>
  <si>
    <t>Weights &amp; Biases, Pinecone, OpenAI API</t>
  </si>
  <si>
    <t>AIJOB00069</t>
  </si>
  <si>
    <t>Vector Databases, SQL, RLHF, Fine-tuning, Docker, OpenAI API</t>
  </si>
  <si>
    <t>AIJOB00070</t>
  </si>
  <si>
    <t>OpenAI API, FastAPI, LlamaIndex, Docker, AWS SageMaker</t>
  </si>
  <si>
    <t>AIJOB00071</t>
  </si>
  <si>
    <t>Python, RLHF, TensorFlow, GCP Vertex AI, ChromaDB, Fine-tuning</t>
  </si>
  <si>
    <t>AIJOB00072</t>
  </si>
  <si>
    <t>ChromaDB, RAG, Pinecone, TensorFlow, CUDA, AWS SageMaker</t>
  </si>
  <si>
    <t>AIJOB00073</t>
  </si>
  <si>
    <t>OpenAI API, Hugging Face Transformers, SQL, LlamaIndex, FastAPI</t>
  </si>
  <si>
    <t>AIJOB00074</t>
  </si>
  <si>
    <t>RLHF, Spark, AWS SageMaker, Rust, Docker, ChromaDB</t>
  </si>
  <si>
    <t>AIJOB00075</t>
  </si>
  <si>
    <t>RLHF, Rust, ChromaDB</t>
  </si>
  <si>
    <t>AIJOB00076</t>
  </si>
  <si>
    <t>Pinecone, JAX, SQL, Hugging Face Transformers, Azure ML, FastAPI</t>
  </si>
  <si>
    <t>AIJOB00077</t>
  </si>
  <si>
    <t>CUDA, LlamaIndex, GCP Vertex AI, TensorFlow, ChromaDB, dbt, JAX</t>
  </si>
  <si>
    <t>AIJOB00078</t>
  </si>
  <si>
    <t>AWS SageMaker, Hugging Face Transformers, OpenAI API, GCP Vertex AI, FastAPI</t>
  </si>
  <si>
    <t>AIJOB00079</t>
  </si>
  <si>
    <t>C++, MLflow, FastAPI, SQL</t>
  </si>
  <si>
    <t>AIJOB00080</t>
  </si>
  <si>
    <t>JAX, C++, OpenAI API, Azure ML, dbt, ChromaDB</t>
  </si>
  <si>
    <t>AIJOB00081</t>
  </si>
  <si>
    <t>Weaviate, LangChain, MLflow, CUDA, Pinecone</t>
  </si>
  <si>
    <t>AIJOB00082</t>
  </si>
  <si>
    <t>RAG, Pinecone, Azure ML</t>
  </si>
  <si>
    <t>AIJOB00083</t>
  </si>
  <si>
    <t>SQL, Python, TensorFlow, CUDA, Docker, OpenAI API</t>
  </si>
  <si>
    <t>AIJOB00084</t>
  </si>
  <si>
    <t>Weaviate, Python, Spark, Pinecone, ChromaDB, Kubernetes, MLflow</t>
  </si>
  <si>
    <t>AIJOB00085</t>
  </si>
  <si>
    <t>Azure ML, Docker, Weights &amp; Biases, Python, JAX, TensorFlow</t>
  </si>
  <si>
    <t>AIJOB00086</t>
  </si>
  <si>
    <t>PyTorch, AWS SageMaker, OpenAI API, JAX, C++, Rust</t>
  </si>
  <si>
    <t>AIJOB00087</t>
  </si>
  <si>
    <t>JAX, RAG, Weights &amp; Biases, RLHF, CUDA, GCP Vertex AI</t>
  </si>
  <si>
    <t>AIJOB00088</t>
  </si>
  <si>
    <t>AWS SageMaker, RLHF, SQL, MLflow, Fine-tuning</t>
  </si>
  <si>
    <t>AIJOB00089</t>
  </si>
  <si>
    <t>Python, LlamaIndex, CUDA, SQL</t>
  </si>
  <si>
    <t>AIJOB00090</t>
  </si>
  <si>
    <t>FastAPI, TensorFlow, ChromaDB, LlamaIndex, Pinecone, Azure ML</t>
  </si>
  <si>
    <t>AIJOB00091</t>
  </si>
  <si>
    <t>LangChain, LlamaIndex, CUDA, TensorFlow</t>
  </si>
  <si>
    <t>AIJOB00092</t>
  </si>
  <si>
    <t>Kubernetes, Rust, Vector Databases, Python</t>
  </si>
  <si>
    <t>AIJOB00093</t>
  </si>
  <si>
    <t>GCP Vertex AI, Spark, TensorFlow, RLHF</t>
  </si>
  <si>
    <t>AIJOB00094</t>
  </si>
  <si>
    <t>Azure ML, Pinecone, JAX, AWS SageMaker</t>
  </si>
  <si>
    <t>AIJOB00095</t>
  </si>
  <si>
    <t>GCP Vertex AI, C++, ChromaDB, PyTorch, Python, TensorFlow, Rust</t>
  </si>
  <si>
    <t>AIJOB00096</t>
  </si>
  <si>
    <t>AWS SageMaker, RLHF, TensorFlow, MLflow, PyTorch, Hugging Face Transformers</t>
  </si>
  <si>
    <t>AIJOB00097</t>
  </si>
  <si>
    <t>Kubernetes, RLHF, LangChain, Docker, LlamaIndex</t>
  </si>
  <si>
    <t>AIJOB00098</t>
  </si>
  <si>
    <t>Vector Databases, Python, TensorFlow, RAG, Pinecone</t>
  </si>
  <si>
    <t>AIJOB00099</t>
  </si>
  <si>
    <t>FastAPI, RAG, Azure ML, PyTorch, ChromaDB</t>
  </si>
  <si>
    <t>AIJOB00100</t>
  </si>
  <si>
    <t>Rust, GCP Vertex AI, Weaviate, Azure ML, FastAPI</t>
  </si>
  <si>
    <t>AIJOB00101</t>
  </si>
  <si>
    <t>RAG, SQL, Weights &amp; Biases, C++</t>
  </si>
  <si>
    <t>AIJOB00102</t>
  </si>
  <si>
    <t>AI Ethics Researcher</t>
  </si>
  <si>
    <t>ChromaDB, Kubernetes, Weights &amp; Biases, PyTorch, JAX, Vector Databases, Hugging Face Transformers</t>
  </si>
  <si>
    <t>AIJOB00103</t>
  </si>
  <si>
    <t>FastAPI, SQL, Vector Databases, Weights &amp; Biases, Rust, PyTorch, MLflow</t>
  </si>
  <si>
    <t>AIJOB00104</t>
  </si>
  <si>
    <t>Docker, Weaviate, AWS SageMaker, Kubernetes</t>
  </si>
  <si>
    <t>AIJOB00105</t>
  </si>
  <si>
    <t>JAX, RAG, C++, Azure ML, FastAPI, LlamaIndex</t>
  </si>
  <si>
    <t>AIJOB00106</t>
  </si>
  <si>
    <t>Kubernetes, JAX, PyTorch, dbt, Pinecone, CUDA, Spark</t>
  </si>
  <si>
    <t>AIJOB00107</t>
  </si>
  <si>
    <t>GCP Vertex AI, AWS SageMaker, Spark, PyTorch, FastAPI</t>
  </si>
  <si>
    <t>AIJOB00108</t>
  </si>
  <si>
    <t>JAX, PyTorch, Python, AWS SageMaker, ChromaDB</t>
  </si>
  <si>
    <t>AIJOB00109</t>
  </si>
  <si>
    <t>MLflow, Hugging Face Transformers, Python, Weights &amp; Biases, GCP Vertex AI</t>
  </si>
  <si>
    <t>AIJOB00110</t>
  </si>
  <si>
    <t>Docker, RAG, Kubernetes</t>
  </si>
  <si>
    <t>AIJOB00111</t>
  </si>
  <si>
    <t>MLflow, LangChain, Spark, AWS SageMaker, Azure ML</t>
  </si>
  <si>
    <t>AIJOB00112</t>
  </si>
  <si>
    <t>RLHF, Pinecone, MLflow, Azure ML, TensorFlow, ChromaDB, LangChain</t>
  </si>
  <si>
    <t>AIJOB00113</t>
  </si>
  <si>
    <t>RLHF, LlamaIndex, Pinecone</t>
  </si>
  <si>
    <t>AIJOB00114</t>
  </si>
  <si>
    <t>Weaviate, PyTorch, JAX</t>
  </si>
  <si>
    <t>AIJOB00115</t>
  </si>
  <si>
    <t>LlamaIndex, Spark, Azure ML, LangChain, Hugging Face Transformers, Weaviate, RAG</t>
  </si>
  <si>
    <t>AIJOB00116</t>
  </si>
  <si>
    <t>JAX, Weights &amp; Biases, FastAPI, LangChain</t>
  </si>
  <si>
    <t>AIJOB00117</t>
  </si>
  <si>
    <t>OpenAI API, FastAPI, CUDA, PyTorch, LlamaIndex, Pinecone, AWS SageMaker</t>
  </si>
  <si>
    <t>AIJOB00118</t>
  </si>
  <si>
    <t>Spark, dbt, Fine-tuning, Weaviate</t>
  </si>
  <si>
    <t>AIJOB00119</t>
  </si>
  <si>
    <t>Rust, RLHF, PyTorch, Weaviate</t>
  </si>
  <si>
    <t>AIJOB00120</t>
  </si>
  <si>
    <t>SQL, PyTorch, TensorFlow, OpenAI API, FastAPI, ChromaDB, dbt</t>
  </si>
  <si>
    <t>AIJOB00121</t>
  </si>
  <si>
    <t>FastAPI, AWS SageMaker, RAG, RLHF, Weaviate</t>
  </si>
  <si>
    <t>AIJOB00122</t>
  </si>
  <si>
    <t>Weights &amp; Biases, LlamaIndex, Python, Docker</t>
  </si>
  <si>
    <t>AIJOB00123</t>
  </si>
  <si>
    <t>RLHF, Hugging Face Transformers, Weights &amp; Biases, Rust, Azure ML, CUDA</t>
  </si>
  <si>
    <t>AIJOB00124</t>
  </si>
  <si>
    <t>MLflow, LlamaIndex, Python</t>
  </si>
  <si>
    <t>AIJOB00125</t>
  </si>
  <si>
    <t>C++, MLflow, dbt, Fine-tuning, Hugging Face Transformers, LangChain, Weights &amp; Biases</t>
  </si>
  <si>
    <t>AIJOB00126</t>
  </si>
  <si>
    <t>Spark, CUDA, FastAPI</t>
  </si>
  <si>
    <t>AIJOB00127</t>
  </si>
  <si>
    <t>JAX, CUDA, MLflow, ChromaDB</t>
  </si>
  <si>
    <t>AIJOB00128</t>
  </si>
  <si>
    <t>TensorFlow, AWS SageMaker, Hugging Face Transformers, ChromaDB, Kubernetes, Rust</t>
  </si>
  <si>
    <t>AIJOB00129</t>
  </si>
  <si>
    <t>SQL, FastAPI, RAG, GCP Vertex AI, Python</t>
  </si>
  <si>
    <t>AIJOB00130</t>
  </si>
  <si>
    <t>LlamaIndex, RAG, MLflow, Rust, Spark</t>
  </si>
  <si>
    <t>AIJOB00131</t>
  </si>
  <si>
    <t>Fine-tuning, LangChain, Python, TensorFlow, Azure ML, Weaviate, Rust</t>
  </si>
  <si>
    <t>AIJOB00132</t>
  </si>
  <si>
    <t>Docker, Vector Databases, LlamaIndex, TensorFlow, Hugging Face Transformers</t>
  </si>
  <si>
    <t>AIJOB00133</t>
  </si>
  <si>
    <t>C++, SQL, RAG, Rust, CUDA</t>
  </si>
  <si>
    <t>AIJOB00134</t>
  </si>
  <si>
    <t>ChromaDB, Rust, Kubernetes, GCP Vertex AI, RAG, Docker</t>
  </si>
  <si>
    <t>AIJOB00135</t>
  </si>
  <si>
    <t>C++, CUDA, Rust</t>
  </si>
  <si>
    <t>AIJOB00136</t>
  </si>
  <si>
    <t>Pinecone, CUDA, MLflow, Fine-tuning, Weaviate, PyTorch, Azure ML</t>
  </si>
  <si>
    <t>AIJOB00137</t>
  </si>
  <si>
    <t>Python, LangChain, Docker</t>
  </si>
  <si>
    <t>AIJOB00138</t>
  </si>
  <si>
    <t>AWS SageMaker, Fine-tuning, TensorFlow</t>
  </si>
  <si>
    <t>AIJOB00139</t>
  </si>
  <si>
    <t>Python, CUDA, GCP Vertex AI</t>
  </si>
  <si>
    <t>AIJOB00140</t>
  </si>
  <si>
    <t>JAX, OpenAI API, RLHF, ChromaDB, Fine-tuning, RAG, Python</t>
  </si>
  <si>
    <t>AIJOB00141</t>
  </si>
  <si>
    <t>Spark, GCP Vertex AI, SQL, RAG, C++, Rust, ChromaDB</t>
  </si>
  <si>
    <t>AIJOB00142</t>
  </si>
  <si>
    <t>Pinecone, RAG, Fine-tuning, SQL</t>
  </si>
  <si>
    <t>AIJOB00143</t>
  </si>
  <si>
    <t>OpenAI API, C++, RAG, Weaviate</t>
  </si>
  <si>
    <t>AIJOB00144</t>
  </si>
  <si>
    <t>FastAPI, RLHF, ChromaDB, Weights &amp; Biases</t>
  </si>
  <si>
    <t>AIJOB00145</t>
  </si>
  <si>
    <t>AWS SageMaker, CUDA, PyTorch, RLHF</t>
  </si>
  <si>
    <t>AIJOB00146</t>
  </si>
  <si>
    <t>C++, OpenAI API, Rust, PyTorch</t>
  </si>
  <si>
    <t>AIJOB00147</t>
  </si>
  <si>
    <t>MLflow, CUDA, LlamaIndex, Kubernetes</t>
  </si>
  <si>
    <t>AIJOB00148</t>
  </si>
  <si>
    <t>RLHF, Vector Databases, GCP Vertex AI, ChromaDB, Python</t>
  </si>
  <si>
    <t>AIJOB00149</t>
  </si>
  <si>
    <t>GCP Vertex AI, C++, AWS SageMaker, Weaviate, ChromaDB</t>
  </si>
  <si>
    <t>AIJOB00150</t>
  </si>
  <si>
    <t>MLflow, LlamaIndex, JAX, Spark</t>
  </si>
  <si>
    <t>AIJOB00151</t>
  </si>
  <si>
    <t>Vector Databases, TensorFlow, LlamaIndex, ChromaDB</t>
  </si>
  <si>
    <t>AIJOB00152</t>
  </si>
  <si>
    <t>LlamaIndex, RAG, FastAPI, C++, CUDA</t>
  </si>
  <si>
    <t>AIJOB00153</t>
  </si>
  <si>
    <t>FastAPI, LangChain, ChromaDB, Weights &amp; Biases</t>
  </si>
  <si>
    <t>AIJOB00154</t>
  </si>
  <si>
    <t>Weights &amp; Biases, RAG, AWS SageMaker, Spark</t>
  </si>
  <si>
    <t>AIJOB00155</t>
  </si>
  <si>
    <t>Fine-tuning, Azure ML, Weaviate, dbt, Hugging Face Transformers, Vector Databases, TensorFlow</t>
  </si>
  <si>
    <t>AIJOB00156</t>
  </si>
  <si>
    <t>SQL, LlamaIndex, Docker, TensorFlow, AWS SageMaker, Rust, Pinecone</t>
  </si>
  <si>
    <t>AIJOB00157</t>
  </si>
  <si>
    <t>RLHF, SQL, PyTorch</t>
  </si>
  <si>
    <t>AIJOB00158</t>
  </si>
  <si>
    <t>Weights &amp; Biases, JAX, LangChain, FastAPI, Python</t>
  </si>
  <si>
    <t>AIJOB00159</t>
  </si>
  <si>
    <t>dbt, Weights &amp; Biases, LangChain, Kubernetes, CUDA, Pinecone, Python</t>
  </si>
  <si>
    <t>AIJOB00160</t>
  </si>
  <si>
    <t>Docker, C++, TensorFlow, ChromaDB, Azure ML</t>
  </si>
  <si>
    <t>AIJOB00161</t>
  </si>
  <si>
    <t>OpenAI API, AWS SageMaker, ChromaDB, Rust, Weights &amp; Biases</t>
  </si>
  <si>
    <t>AIJOB00162</t>
  </si>
  <si>
    <t>GCP Vertex AI, Python, FastAPI</t>
  </si>
  <si>
    <t>AIJOB00163</t>
  </si>
  <si>
    <t>Fine-tuning, MLflow, Azure ML, RLHF, Weights &amp; Biases, TensorFlow, ChromaDB</t>
  </si>
  <si>
    <t>AIJOB00164</t>
  </si>
  <si>
    <t>TensorFlow, OpenAI API, LlamaIndex, FastAPI</t>
  </si>
  <si>
    <t>AIJOB00165</t>
  </si>
  <si>
    <t>TensorFlow, Hugging Face Transformers, Rust</t>
  </si>
  <si>
    <t>AIJOB00166</t>
  </si>
  <si>
    <t>RAG, CUDA, RLHF</t>
  </si>
  <si>
    <t>AIJOB00167</t>
  </si>
  <si>
    <t>Python, TensorFlow, OpenAI API</t>
  </si>
  <si>
    <t>AIJOB00168</t>
  </si>
  <si>
    <t>Hugging Face Transformers, Azure ML, OpenAI API, JAX, Docker, FastAPI</t>
  </si>
  <si>
    <t>AIJOB00169</t>
  </si>
  <si>
    <t>Kubernetes, Spark, Rust, Weaviate, Python, RAG, MLflow</t>
  </si>
  <si>
    <t>AIJOB00170</t>
  </si>
  <si>
    <t>Azure ML, FastAPI, ChromaDB, Kubernetes, Hugging Face Transformers, LangChain, Rust</t>
  </si>
  <si>
    <t>AIJOB00171</t>
  </si>
  <si>
    <t>Rust, Weights &amp; Biases, MLflow, Azure ML, ChromaDB</t>
  </si>
  <si>
    <t>AIJOB00172</t>
  </si>
  <si>
    <t>Pinecone, Vector Databases, Python</t>
  </si>
  <si>
    <t>AIJOB00173</t>
  </si>
  <si>
    <t>MLflow, dbt, RAG, ChromaDB, LangChain</t>
  </si>
  <si>
    <t>AIJOB00174</t>
  </si>
  <si>
    <t>RAG, AWS SageMaker, Weights &amp; Biases, MLflow</t>
  </si>
  <si>
    <t>AIJOB00175</t>
  </si>
  <si>
    <t>GCP Vertex AI, Weights &amp; Biases, TensorFlow, Kubernetes</t>
  </si>
  <si>
    <t>AIJOB00176</t>
  </si>
  <si>
    <t>Hugging Face Transformers, Fine-tuning, Vector Databases, RAG, Azure ML, Weaviate</t>
  </si>
  <si>
    <t>AIJOB00177</t>
  </si>
  <si>
    <t>Weights &amp; Biases, TensorFlow, Weaviate, JAX</t>
  </si>
  <si>
    <t>AIJOB00178</t>
  </si>
  <si>
    <t>MLflow, Weaviate, Weights &amp; Biases, C++, CUDA, Docker</t>
  </si>
  <si>
    <t>AIJOB00179</t>
  </si>
  <si>
    <t>Vector Databases, OpenAI API, LangChain, Python, CUDA, Hugging Face Transformers, Spark</t>
  </si>
  <si>
    <t>AIJOB00180</t>
  </si>
  <si>
    <t>Docker, RLHF, Kubernetes</t>
  </si>
  <si>
    <t>AIJOB00181</t>
  </si>
  <si>
    <t>dbt, CUDA, Vector Databases, ChromaDB, Kubernetes, C++, AWS SageMaker</t>
  </si>
  <si>
    <t>AIJOB00182</t>
  </si>
  <si>
    <t>OpenAI API, C++, Spark, LlamaIndex, SQL, Docker</t>
  </si>
  <si>
    <t>AIJOB00183</t>
  </si>
  <si>
    <t>ChromaDB, JAX, FastAPI, LangChain, Rust, CUDA, C++</t>
  </si>
  <si>
    <t>AIJOB00184</t>
  </si>
  <si>
    <t>PyTorch, RAG, GCP Vertex AI, MLflow, Kubernetes, JAX</t>
  </si>
  <si>
    <t>AIJOB00185</t>
  </si>
  <si>
    <t>FastAPI, C++, GCP Vertex AI, Docker, Weights &amp; Biases, Fine-tuning</t>
  </si>
  <si>
    <t>AIJOB00186</t>
  </si>
  <si>
    <t>LlamaIndex, FastAPI, Pinecone, ChromaDB, Python, Hugging Face Transformers</t>
  </si>
  <si>
    <t>AIJOB00187</t>
  </si>
  <si>
    <t>Vector Databases, SQL, RLHF, Hugging Face Transformers, CUDA</t>
  </si>
  <si>
    <t>AIJOB00188</t>
  </si>
  <si>
    <t>Docker, Spark, Fine-tuning, Pinecone</t>
  </si>
  <si>
    <t>AIJOB00189</t>
  </si>
  <si>
    <t>OpenAI API, RLHF, AWS SageMaker, dbt, Pinecone</t>
  </si>
  <si>
    <t>AIJOB00190</t>
  </si>
  <si>
    <t>Spark, GCP Vertex AI, CUDA, Docker, MLflow</t>
  </si>
  <si>
    <t>AIJOB00191</t>
  </si>
  <si>
    <t>Spark, Vector Databases, AWS SageMaker</t>
  </si>
  <si>
    <t>AIJOB00192</t>
  </si>
  <si>
    <t>Hugging Face Transformers, AWS SageMaker, LangChain, Vector Databases, LlamaIndex, Weights &amp; Biases, Docker</t>
  </si>
  <si>
    <t>AIJOB00193</t>
  </si>
  <si>
    <t>CUDA, LangChain, Vector Databases, PyTorch, Spark, ChromaDB</t>
  </si>
  <si>
    <t>AIJOB00194</t>
  </si>
  <si>
    <t>LlamaIndex, GCP Vertex AI, MLflow, Hugging Face Transformers, FastAPI, TensorFlow</t>
  </si>
  <si>
    <t>AIJOB00195</t>
  </si>
  <si>
    <t>Fine-tuning, Vector Databases, RAG, Python, PyTorch, Weaviate</t>
  </si>
  <si>
    <t>AIJOB00196</t>
  </si>
  <si>
    <t>AWS SageMaker, Hugging Face Transformers, TensorFlow, PyTorch, JAX, FastAPI, RLHF</t>
  </si>
  <si>
    <t>AIJOB00197</t>
  </si>
  <si>
    <t>Weights &amp; Biases, Python, ChromaDB, Pinecone</t>
  </si>
  <si>
    <t>AIJOB00198</t>
  </si>
  <si>
    <t>RAG, LangChain, Weaviate, Docker, Vector Databases, MLflow</t>
  </si>
  <si>
    <t>AIJOB00199</t>
  </si>
  <si>
    <t>OpenAI API, SQL, JAX, FastAPI, Docker, Pinecone</t>
  </si>
  <si>
    <t>AIJOB00200</t>
  </si>
  <si>
    <t>dbt, Vector Databases, LlamaIndex, TensorFlow, FastAPI, Pinecone, Rust</t>
  </si>
  <si>
    <t>AIJOB00201</t>
  </si>
  <si>
    <t>Weights &amp; Biases, LangChain, CUDA, FastAPI, PyTorch, Python</t>
  </si>
  <si>
    <t>AIJOB00202</t>
  </si>
  <si>
    <t>MLflow, CUDA, Vector Databases, Rust, Fine-tuning, Spark</t>
  </si>
  <si>
    <t>AIJOB00203</t>
  </si>
  <si>
    <t>SQL, Python, CUDA, dbt, JAX</t>
  </si>
  <si>
    <t>AIJOB00204</t>
  </si>
  <si>
    <t>Kubernetes, dbt, GCP Vertex AI, Pinecone, Rust, MLflow, Weights &amp; Biases</t>
  </si>
  <si>
    <t>AIJOB00205</t>
  </si>
  <si>
    <t>CUDA, Hugging Face Transformers, TensorFlow, FastAPI, Vector Databases, GCP Vertex AI</t>
  </si>
  <si>
    <t>AIJOB00206</t>
  </si>
  <si>
    <t>Weights &amp; Biases, Spark, Python, LangChain, RAG, Fine-tuning</t>
  </si>
  <si>
    <t>AIJOB00207</t>
  </si>
  <si>
    <t>GCP Vertex AI, Weaviate, FastAPI, SQL, Rust, Vector Databases</t>
  </si>
  <si>
    <t>AIJOB00208</t>
  </si>
  <si>
    <t>LangChain, Docker, SQL, OpenAI API, Rust, JAX</t>
  </si>
  <si>
    <t>AIJOB00209</t>
  </si>
  <si>
    <t>LlamaIndex, Vector Databases, Python, Pinecone, Weights &amp; Biases, PyTorch, Weaviate</t>
  </si>
  <si>
    <t>AIJOB00210</t>
  </si>
  <si>
    <t>Pinecone, JAX, RAG, Fine-tuning, SQL</t>
  </si>
  <si>
    <t>AIJOB00211</t>
  </si>
  <si>
    <t>Spark, OpenAI API, CUDA, C++, SQL, MLflow, AWS SageMaker</t>
  </si>
  <si>
    <t>AIJOB00212</t>
  </si>
  <si>
    <t>dbt, Weights &amp; Biases, C++, Weaviate, AWS SageMaker, Fine-tuning</t>
  </si>
  <si>
    <t>AIJOB00213</t>
  </si>
  <si>
    <t>OpenAI API, FastAPI, Weaviate, PyTorch, Azure ML</t>
  </si>
  <si>
    <t>AIJOB00214</t>
  </si>
  <si>
    <t>Weaviate, PyTorch, Python, Weights &amp; Biases, Docker</t>
  </si>
  <si>
    <t>AIJOB00215</t>
  </si>
  <si>
    <t>Hugging Face Transformers, Weights &amp; Biases, Pinecone</t>
  </si>
  <si>
    <t>AIJOB00216</t>
  </si>
  <si>
    <t>FastAPI, Spark, SQL</t>
  </si>
  <si>
    <t>AIJOB00217</t>
  </si>
  <si>
    <t>RAG, TensorFlow, Azure ML, Kubernetes, OpenAI API, dbt, GCP Vertex AI</t>
  </si>
  <si>
    <t>AIJOB00218</t>
  </si>
  <si>
    <t>Rust, LangChain, RAG, Docker, Weaviate, Weights &amp; Biases</t>
  </si>
  <si>
    <t>AIJOB00219</t>
  </si>
  <si>
    <t>Weaviate, Python, Spark, TensorFlow, OpenAI API, dbt, C++</t>
  </si>
  <si>
    <t>AIJOB00220</t>
  </si>
  <si>
    <t>TensorFlow, PyTorch, Hugging Face Transformers</t>
  </si>
  <si>
    <t>AIJOB00221</t>
  </si>
  <si>
    <t>Spark, Weights &amp; Biases, SQL</t>
  </si>
  <si>
    <t>AIJOB00222</t>
  </si>
  <si>
    <t>Hugging Face Transformers, Weaviate, Kubernetes, LlamaIndex, Weights &amp; Biases, RAG</t>
  </si>
  <si>
    <t>AIJOB00223</t>
  </si>
  <si>
    <t>RAG, Weaviate, CUDA, TensorFlow, AWS SageMaker, OpenAI API, Azure ML</t>
  </si>
  <si>
    <t>AIJOB00224</t>
  </si>
  <si>
    <t>Docker, LangChain, OpenAI API</t>
  </si>
  <si>
    <t>AIJOB00225</t>
  </si>
  <si>
    <t>LlamaIndex, ChromaDB, CUDA, Azure ML, GCP Vertex AI, Fine-tuning, Hugging Face Transformers</t>
  </si>
  <si>
    <t>AIJOB00226</t>
  </si>
  <si>
    <t>Weaviate, LangChain, Hugging Face Transformers, Spark, SQL, TensorFlow</t>
  </si>
  <si>
    <t>AIJOB00227</t>
  </si>
  <si>
    <t>OpenAI API, PyTorch, Weaviate, Docker, C++, FastAPI, Vector Databases</t>
  </si>
  <si>
    <t>AIJOB00228</t>
  </si>
  <si>
    <t>LlamaIndex, RLHF, Hugging Face Transformers, C++, ChromaDB, FastAPI, dbt</t>
  </si>
  <si>
    <t>AIJOB00229</t>
  </si>
  <si>
    <t>Vector Databases, RLHF, PyTorch, C++, Spark, GCP Vertex AI</t>
  </si>
  <si>
    <t>AIJOB00230</t>
  </si>
  <si>
    <t>RAG, Azure ML, C++, CUDA, Vector Databases, FastAPI, SQL</t>
  </si>
  <si>
    <t>AIJOB00231</t>
  </si>
  <si>
    <t>Vector Databases, dbt, OpenAI API</t>
  </si>
  <si>
    <t>AIJOB00232</t>
  </si>
  <si>
    <t>ChromaDB, Spark, Python, Weights &amp; Biases, Rust, dbt, AWS SageMaker</t>
  </si>
  <si>
    <t>AIJOB00233</t>
  </si>
  <si>
    <t>Weights &amp; Biases, dbt, GCP Vertex AI, RLHF</t>
  </si>
  <si>
    <t>AIJOB00234</t>
  </si>
  <si>
    <t>PyTorch, Rust, Weaviate, Pinecone, FastAPI, LangChain, TensorFlow</t>
  </si>
  <si>
    <t>AIJOB00235</t>
  </si>
  <si>
    <t>Azure ML, ChromaDB, Rust, Weights &amp; Biases, FastAPI, MLflow</t>
  </si>
  <si>
    <t>AIJOB00236</t>
  </si>
  <si>
    <t>ChromaDB, Pinecone, LangChain</t>
  </si>
  <si>
    <t>AIJOB00237</t>
  </si>
  <si>
    <t>FastAPI, OpenAI API, Fine-tuning, Weaviate, Rust, Vector Databases</t>
  </si>
  <si>
    <t>AIJOB00238</t>
  </si>
  <si>
    <t>OpenAI API, Pinecone, RAG</t>
  </si>
  <si>
    <t>AIJOB00239</t>
  </si>
  <si>
    <t>TensorFlow, SQL, PyTorch, Weights &amp; Biases, RAG</t>
  </si>
  <si>
    <t>AIJOB00240</t>
  </si>
  <si>
    <t>AWS SageMaker, OpenAI API, PyTorch, Rust, SQL, Pinecone, Weights &amp; Biases</t>
  </si>
  <si>
    <t>AIJOB00241</t>
  </si>
  <si>
    <t>Python, Weights &amp; Biases, MLflow, TensorFlow, Rust, Weaviate, AWS SageMaker</t>
  </si>
  <si>
    <t>AIJOB00242</t>
  </si>
  <si>
    <t>TensorFlow, Pinecone, AWS SageMaker, GCP Vertex AI, LangChain, CUDA, Docker</t>
  </si>
  <si>
    <t>AIJOB00243</t>
  </si>
  <si>
    <t>Docker, TensorFlow, RAG</t>
  </si>
  <si>
    <t>AIJOB00244</t>
  </si>
  <si>
    <t>TensorFlow, Weaviate, Hugging Face Transformers, Vector Databases, GCP Vertex AI</t>
  </si>
  <si>
    <t>AIJOB00245</t>
  </si>
  <si>
    <t>Azure ML, LlamaIndex, FastAPI, LangChain, Rust, TensorFlow, dbt</t>
  </si>
  <si>
    <t>AIJOB00246</t>
  </si>
  <si>
    <t>Docker, RAG, Kubernetes, FastAPI, ChromaDB, LlamaIndex, PyTorch</t>
  </si>
  <si>
    <t>AIJOB00247</t>
  </si>
  <si>
    <t>RAG, ChromaDB, LangChain, GCP Vertex AI</t>
  </si>
  <si>
    <t>AIJOB00248</t>
  </si>
  <si>
    <t>RLHF, Hugging Face Transformers, ChromaDB, LlamaIndex, dbt</t>
  </si>
  <si>
    <t>AIJOB00249</t>
  </si>
  <si>
    <t>Weaviate, Weights &amp; Biases, GCP Vertex AI, Rust, Vector Databases, AWS SageMaker, Docker</t>
  </si>
  <si>
    <t>AIJOB00250</t>
  </si>
  <si>
    <t>Rust, Docker, Azure ML, Python, Fine-tuning, LangChain, C++</t>
  </si>
  <si>
    <t>AIJOB00251</t>
  </si>
  <si>
    <t>CUDA, Hugging Face Transformers, Spark, Rust</t>
  </si>
  <si>
    <t>AIJOB00252</t>
  </si>
  <si>
    <t>Weights &amp; Biases, ChromaDB, Pinecone, RLHF, Fine-tuning</t>
  </si>
  <si>
    <t>AIJOB00253</t>
  </si>
  <si>
    <t>LangChain, Docker, SQL</t>
  </si>
  <si>
    <t>AIJOB00254</t>
  </si>
  <si>
    <t>Docker, Weaviate, RLHF, LlamaIndex, MLflow, CUDA, Hugging Face Transformers</t>
  </si>
  <si>
    <t>AIJOB00255</t>
  </si>
  <si>
    <t>Python, Pinecone, C++, FastAPI, CUDA</t>
  </si>
  <si>
    <t>AIJOB00256</t>
  </si>
  <si>
    <t>JAX, Weaviate, Fine-tuning, RAG, Kubernetes, Hugging Face Transformers</t>
  </si>
  <si>
    <t>AIJOB00257</t>
  </si>
  <si>
    <t>Fine-tuning, OpenAI API, CUDA, TensorFlow, Hugging Face Transformers</t>
  </si>
  <si>
    <t>AIJOB00258</t>
  </si>
  <si>
    <t>LlamaIndex, MLflow, RLHF, Weights &amp; Biases, Python</t>
  </si>
  <si>
    <t>AIJOB00259</t>
  </si>
  <si>
    <t>Docker, FastAPI, RAG</t>
  </si>
  <si>
    <t>AIJOB00260</t>
  </si>
  <si>
    <t>RLHF, Weights &amp; Biases, FastAPI, LangChain</t>
  </si>
  <si>
    <t>AIJOB00261</t>
  </si>
  <si>
    <t>JAX, PyTorch, CUDA, dbt, OpenAI API</t>
  </si>
  <si>
    <t>AIJOB00262</t>
  </si>
  <si>
    <t>Kubernetes, Hugging Face Transformers, Vector Databases</t>
  </si>
  <si>
    <t>AIJOB00263</t>
  </si>
  <si>
    <t>Azure ML, Weights &amp; Biases, LlamaIndex, Docker, PyTorch, Vector Databases</t>
  </si>
  <si>
    <t>AIJOB00264</t>
  </si>
  <si>
    <t>C++, Docker, Weaviate, Azure ML, RLHF</t>
  </si>
  <si>
    <t>AIJOB00265</t>
  </si>
  <si>
    <t>LlamaIndex, SQL, AWS SageMaker, GCP Vertex AI, Fine-tuning, Spark, Rust</t>
  </si>
  <si>
    <t>AIJOB00266</t>
  </si>
  <si>
    <t>Docker, PyTorch, Azure ML, Kubernetes, SQL, MLflow, TensorFlow</t>
  </si>
  <si>
    <t>AIJOB00267</t>
  </si>
  <si>
    <t>PyTorch, Weights &amp; Biases, TensorFlow, AWS SageMaker, C++, OpenAI API, Pinecone</t>
  </si>
  <si>
    <t>AIJOB00268</t>
  </si>
  <si>
    <t>Hugging Face Transformers, Rust, Weaviate</t>
  </si>
  <si>
    <t>AIJOB00269</t>
  </si>
  <si>
    <t>Kubernetes, ChromaDB, Weaviate, OpenAI API, RAG, C++, Docker</t>
  </si>
  <si>
    <t>AIJOB00270</t>
  </si>
  <si>
    <t>FastAPI, C++, MLflow</t>
  </si>
  <si>
    <t>AIJOB00271</t>
  </si>
  <si>
    <t>ChromaDB, RAG, OpenAI API</t>
  </si>
  <si>
    <t>AIJOB00272</t>
  </si>
  <si>
    <t>FastAPI, GCP Vertex AI, Azure ML</t>
  </si>
  <si>
    <t>AIJOB00273</t>
  </si>
  <si>
    <t>ChromaDB, LlamaIndex, GCP Vertex AI, Pinecone, MLflow, Kubernetes, CUDA</t>
  </si>
  <si>
    <t>AIJOB00274</t>
  </si>
  <si>
    <t>Pinecone, Fine-tuning, FastAPI, MLflow, LlamaIndex, C++</t>
  </si>
  <si>
    <t>AIJOB00275</t>
  </si>
  <si>
    <t>Fine-tuning, Azure ML, CUDA, OpenAI API, GCP Vertex AI, C++</t>
  </si>
  <si>
    <t>AIJOB00276</t>
  </si>
  <si>
    <t>LangChain, Weights &amp; Biases, PyTorch</t>
  </si>
  <si>
    <t>AIJOB00277</t>
  </si>
  <si>
    <t>FastAPI, Docker, Weaviate, Vector Databases, SQL, Weights &amp; Biases, LlamaIndex</t>
  </si>
  <si>
    <t>AIJOB00278</t>
  </si>
  <si>
    <t>RAG, dbt, Docker</t>
  </si>
  <si>
    <t>AIJOB00279</t>
  </si>
  <si>
    <t>Hugging Face Transformers, OpenAI API, Pinecone</t>
  </si>
  <si>
    <t>AIJOB00280</t>
  </si>
  <si>
    <t>Rust, PyTorch, Spark, Docker, JAX</t>
  </si>
  <si>
    <t>AIJOB00281</t>
  </si>
  <si>
    <t>AWS SageMaker, SQL, GCP Vertex AI, RLHF, Weaviate, LlamaIndex</t>
  </si>
  <si>
    <t>AIJOB00282</t>
  </si>
  <si>
    <t>Hugging Face Transformers, GCP Vertex AI, C++</t>
  </si>
  <si>
    <t>AIJOB00283</t>
  </si>
  <si>
    <t>FastAPI, SQL, Docker</t>
  </si>
  <si>
    <t>AIJOB00284</t>
  </si>
  <si>
    <t>LlamaIndex, Hugging Face Transformers, OpenAI API, Kubernetes, PyTorch, Fine-tuning</t>
  </si>
  <si>
    <t>AIJOB00285</t>
  </si>
  <si>
    <t>Fine-tuning, RAG, FastAPI, PyTorch</t>
  </si>
  <si>
    <t>AIJOB00286</t>
  </si>
  <si>
    <t>Weaviate, RAG, Pinecone</t>
  </si>
  <si>
    <t>AIJOB00287</t>
  </si>
  <si>
    <t>TensorFlow, Weights &amp; Biases, Pinecone, LangChain, Hugging Face Transformers, ChromaDB</t>
  </si>
  <si>
    <t>AIJOB00288</t>
  </si>
  <si>
    <t>MLflow, Weights &amp; Biases, LangChain, TensorFlow</t>
  </si>
  <si>
    <t>AIJOB00289</t>
  </si>
  <si>
    <t>CUDA, dbt, LlamaIndex, Hugging Face Transformers, C++, Rust, MLflow</t>
  </si>
  <si>
    <t>AIJOB00290</t>
  </si>
  <si>
    <t>SQL, JAX, Vector Databases</t>
  </si>
  <si>
    <t>AIJOB00291</t>
  </si>
  <si>
    <t>PyTorch, LlamaIndex, CUDA, dbt, ChromaDB</t>
  </si>
  <si>
    <t>AIJOB00292</t>
  </si>
  <si>
    <t>TensorFlow, FastAPI, AWS SageMaker</t>
  </si>
  <si>
    <t>AIJOB00293</t>
  </si>
  <si>
    <t>PyTorch, LangChain, ChromaDB, Weights &amp; Biases, Spark, Pinecone, TensorFlow</t>
  </si>
  <si>
    <t>AIJOB00294</t>
  </si>
  <si>
    <t>Rust, Hugging Face Transformers, SQL, Kubernetes, MLflow, AWS SageMaker</t>
  </si>
  <si>
    <t>AIJOB00295</t>
  </si>
  <si>
    <t>Spark, OpenAI API, MLflow</t>
  </si>
  <si>
    <t>AIJOB00296</t>
  </si>
  <si>
    <t>dbt, Vector Databases, Rust, PyTorch, Spark</t>
  </si>
  <si>
    <t>AIJOB00297</t>
  </si>
  <si>
    <t>Weaviate, Python, OpenAI API, ChromaDB, dbt, GCP Vertex AI, Azure ML</t>
  </si>
  <si>
    <t>AIJOB00298</t>
  </si>
  <si>
    <t>Docker, Fine-tuning, TensorFlow</t>
  </si>
  <si>
    <t>AIJOB00299</t>
  </si>
  <si>
    <t>JAX, Pinecone, LlamaIndex, OpenAI API, GCP Vertex AI, Vector Databases</t>
  </si>
  <si>
    <t>AIJOB00300</t>
  </si>
  <si>
    <t>Python, AWS SageMaker, PyTorch</t>
  </si>
  <si>
    <t>AIJOB00301</t>
  </si>
  <si>
    <t>GCP Vertex AI, FastAPI, RLHF, dbt, LangChain, Docker, LlamaIndex</t>
  </si>
  <si>
    <t>AIJOB00302</t>
  </si>
  <si>
    <t>Weaviate, RLHF, PyTorch, LlamaIndex, Python</t>
  </si>
  <si>
    <t>AIJOB00303</t>
  </si>
  <si>
    <t>TensorFlow, FastAPI, CUDA, RLHF, ChromaDB, LlamaIndex, JAX</t>
  </si>
  <si>
    <t>AIJOB00304</t>
  </si>
  <si>
    <t>Rust, CUDA, JAX, GCP Vertex AI, RLHF</t>
  </si>
  <si>
    <t>AIJOB00305</t>
  </si>
  <si>
    <t>Rust, AWS SageMaker, Weaviate</t>
  </si>
  <si>
    <t>AIJOB00306</t>
  </si>
  <si>
    <t>MLflow, Kubernetes, Hugging Face Transformers, dbt, Rust, TensorFlow, JAX</t>
  </si>
  <si>
    <t>AIJOB00307</t>
  </si>
  <si>
    <t>Vector Databases, Spark, dbt, PyTorch, TensorFlow</t>
  </si>
  <si>
    <t>AIJOB00308</t>
  </si>
  <si>
    <t>AWS SageMaker, ChromaDB, Rust, dbt, Fine-tuning</t>
  </si>
  <si>
    <t>AIJOB00309</t>
  </si>
  <si>
    <t>C++, Azure ML, LangChain, AWS SageMaker, Python, Kubernetes, Fine-tuning</t>
  </si>
  <si>
    <t>AIJOB00310</t>
  </si>
  <si>
    <t>CUDA, dbt, LlamaIndex, Python, TensorFlow</t>
  </si>
  <si>
    <t>AIJOB00311</t>
  </si>
  <si>
    <t>Weaviate, C++, RLHF, RAG, Azure ML, Kubernetes</t>
  </si>
  <si>
    <t>AIJOB00312</t>
  </si>
  <si>
    <t>ChromaDB, Vector Databases, MLflow</t>
  </si>
  <si>
    <t>AIJOB00313</t>
  </si>
  <si>
    <t>FastAPI, Python, Vector Databases, RLHF, Pinecone, C++, ChromaDB</t>
  </si>
  <si>
    <t>AIJOB00314</t>
  </si>
  <si>
    <t>ChromaDB, PyTorch, dbt, AWS SageMaker</t>
  </si>
  <si>
    <t>AIJOB00315</t>
  </si>
  <si>
    <t>ChromaDB, Weights &amp; Biases, LlamaIndex, dbt</t>
  </si>
  <si>
    <t>AIJOB00316</t>
  </si>
  <si>
    <t>Weights &amp; Biases, Spark, Hugging Face Transformers, OpenAI API, ChromaDB, JAX</t>
  </si>
  <si>
    <t>AIJOB00317</t>
  </si>
  <si>
    <t>Docker, LlamaIndex, Pinecone, Fine-tuning, Python, AWS SageMaker</t>
  </si>
  <si>
    <t>AIJOB00318</t>
  </si>
  <si>
    <t>Docker, Spark, ChromaDB</t>
  </si>
  <si>
    <t>AIJOB00319</t>
  </si>
  <si>
    <t>dbt, RLHF, Azure ML</t>
  </si>
  <si>
    <t>AIJOB00320</t>
  </si>
  <si>
    <t>Rust, Hugging Face Transformers, LangChain, MLflow, CUDA, Docker, AWS SageMaker</t>
  </si>
  <si>
    <t>AIJOB00321</t>
  </si>
  <si>
    <t>C++, Docker, Hugging Face Transformers, RLHF, TensorFlow</t>
  </si>
  <si>
    <t>AIJOB00322</t>
  </si>
  <si>
    <t>Weights &amp; Biases, Docker, FastAPI, RLHF, Python, Vector Databases, LlamaIndex</t>
  </si>
  <si>
    <t>AIJOB00323</t>
  </si>
  <si>
    <t>Weaviate, Kubernetes, Python</t>
  </si>
  <si>
    <t>AIJOB00324</t>
  </si>
  <si>
    <t>C++, RLHF, FastAPI</t>
  </si>
  <si>
    <t>AIJOB00325</t>
  </si>
  <si>
    <t>Weights &amp; Biases, OpenAI API, LlamaIndex, PyTorch, CUDA, Python</t>
  </si>
  <si>
    <t>AIJOB00326</t>
  </si>
  <si>
    <t>RAG, LangChain, OpenAI API</t>
  </si>
  <si>
    <t>AIJOB00327</t>
  </si>
  <si>
    <t>Kubernetes, MLflow, Spark</t>
  </si>
  <si>
    <t>AIJOB00328</t>
  </si>
  <si>
    <t>Rust, OpenAI API, Fine-tuning</t>
  </si>
  <si>
    <t>AIJOB00329</t>
  </si>
  <si>
    <t>Hugging Face Transformers, MLflow, Azure ML, Weaviate, JAX, RLHF</t>
  </si>
  <si>
    <t>AIJOB00330</t>
  </si>
  <si>
    <t>MLflow, LlamaIndex, OpenAI API, CUDA, Spark, Docker</t>
  </si>
  <si>
    <t>AIJOB00331</t>
  </si>
  <si>
    <t>LangChain, Pinecone, SQL, Azure ML</t>
  </si>
  <si>
    <t>AIJOB00332</t>
  </si>
  <si>
    <t>Spark, Azure ML, AWS SageMaker</t>
  </si>
  <si>
    <t>AIJOB00333</t>
  </si>
  <si>
    <t>ChromaDB, JAX, GCP Vertex AI, Fine-tuning, OpenAI API, Weights &amp; Biases</t>
  </si>
  <si>
    <t>AIJOB00334</t>
  </si>
  <si>
    <t>LlamaIndex, OpenAI API, SQL, RLHF, Hugging Face Transformers, RAG</t>
  </si>
  <si>
    <t>AIJOB00335</t>
  </si>
  <si>
    <t>Kubernetes, JAX, AWS SageMaker, SQL, Hugging Face Transformers</t>
  </si>
  <si>
    <t>AIJOB00336</t>
  </si>
  <si>
    <t>Weights &amp; Biases, CUDA, Kubernetes, C++, GCP Vertex AI, Fine-tuning</t>
  </si>
  <si>
    <t>AIJOB00337</t>
  </si>
  <si>
    <t>RLHF, Vector Databases, Kubernetes</t>
  </si>
  <si>
    <t>AIJOB00338</t>
  </si>
  <si>
    <t>RLHF, FastAPI, LlamaIndex, MLflow, RAG, Hugging Face Transformers</t>
  </si>
  <si>
    <t>AIJOB00339</t>
  </si>
  <si>
    <t>Weaviate, ChromaDB, Rust, OpenAI API, dbt, TensorFlow, SQL</t>
  </si>
  <si>
    <t>AIJOB00340</t>
  </si>
  <si>
    <t>Weaviate, MLflow, FastAPI</t>
  </si>
  <si>
    <t>AIJOB00341</t>
  </si>
  <si>
    <t>Docker, PyTorch, TensorFlow, Azure ML, Rust, RLHF</t>
  </si>
  <si>
    <t>AIJOB00342</t>
  </si>
  <si>
    <t>AWS SageMaker, TensorFlow, LangChain, Hugging Face Transformers</t>
  </si>
  <si>
    <t>AIJOB00343</t>
  </si>
  <si>
    <t>AWS SageMaker, OpenAI API, TensorFlow</t>
  </si>
  <si>
    <t>AIJOB00344</t>
  </si>
  <si>
    <t>Hugging Face Transformers, Rust, Docker, Kubernetes, Vector Databases</t>
  </si>
  <si>
    <t>AIJOB00345</t>
  </si>
  <si>
    <t>Hugging Face Transformers, Kubernetes, LangChain, PyTorch</t>
  </si>
  <si>
    <t>AIJOB00346</t>
  </si>
  <si>
    <t>AWS SageMaker, LangChain, Python, RAG, Vector Databases, LlamaIndex, RLHF</t>
  </si>
  <si>
    <t>AIJOB00347</t>
  </si>
  <si>
    <t>MLflow, LangChain, Weights &amp; Biases, Vector Databases, JAX</t>
  </si>
  <si>
    <t>AIJOB00348</t>
  </si>
  <si>
    <t>CUDA, RLHF, dbt, C++, TensorFlow, Pinecone, RAG</t>
  </si>
  <si>
    <t>AIJOB00349</t>
  </si>
  <si>
    <t>AWS SageMaker, RLHF, CUDA, Weaviate, TensorFlow</t>
  </si>
  <si>
    <t>AIJOB00350</t>
  </si>
  <si>
    <t>GCP Vertex AI, TensorFlow, ChromaDB, FastAPI, RAG, CUDA, Python</t>
  </si>
  <si>
    <t>AIJOB00351</t>
  </si>
  <si>
    <t>Python, Rust, LlamaIndex, Docker</t>
  </si>
  <si>
    <t>AIJOB00352</t>
  </si>
  <si>
    <t>ChromaDB, Fine-tuning, Docker, Spark, dbt, Vector Databases</t>
  </si>
  <si>
    <t>AIJOB00353</t>
  </si>
  <si>
    <t>Spark, Azure ML, PyTorch, AWS SageMaker, Rust, Pinecone</t>
  </si>
  <si>
    <t>AIJOB00354</t>
  </si>
  <si>
    <t>C++, LlamaIndex, Python, Pinecone, AWS SageMaker</t>
  </si>
  <si>
    <t>AIJOB00355</t>
  </si>
  <si>
    <t>C++, LlamaIndex, Python</t>
  </si>
  <si>
    <t>AIJOB00356</t>
  </si>
  <si>
    <t>MLflow, Kubernetes, AWS SageMaker, LlamaIndex</t>
  </si>
  <si>
    <t>AIJOB00357</t>
  </si>
  <si>
    <t>TensorFlow, AWS SageMaker, dbt</t>
  </si>
  <si>
    <t>AIJOB00358</t>
  </si>
  <si>
    <t>FastAPI, Weights &amp; Biases, SQL, Kubernetes, Pinecone, ChromaDB, TensorFlow</t>
  </si>
  <si>
    <t>AIJOB00359</t>
  </si>
  <si>
    <t>dbt, LangChain, Hugging Face Transformers, Azure ML, RAG, Fine-tuning</t>
  </si>
  <si>
    <t>AIJOB00360</t>
  </si>
  <si>
    <t>AWS SageMaker, RLHF, SQL, Weights &amp; Biases, JAX, dbt</t>
  </si>
  <si>
    <t>AIJOB00361</t>
  </si>
  <si>
    <t>RAG, RLHF, Pinecone</t>
  </si>
  <si>
    <t>AIJOB00362</t>
  </si>
  <si>
    <t>SQL, CUDA, RAG, LangChain</t>
  </si>
  <si>
    <t>AIJOB00363</t>
  </si>
  <si>
    <t>LangChain, JAX, Docker, Vector Databases, Rust, Kubernetes</t>
  </si>
  <si>
    <t>AIJOB00364</t>
  </si>
  <si>
    <t>dbt, FastAPI, Pinecone</t>
  </si>
  <si>
    <t>AIJOB00365</t>
  </si>
  <si>
    <t>RAG, RLHF, GCP Vertex AI</t>
  </si>
  <si>
    <t>AIJOB00366</t>
  </si>
  <si>
    <t>ChromaDB, dbt, Vector Databases</t>
  </si>
  <si>
    <t>AIJOB00367</t>
  </si>
  <si>
    <t>GCP Vertex AI, PyTorch, Python, ChromaDB, LlamaIndex</t>
  </si>
  <si>
    <t>AIJOB00368</t>
  </si>
  <si>
    <t>TensorFlow, MLflow, JAX, AWS SageMaker, LangChain, GCP Vertex AI, Hugging Face Transformers</t>
  </si>
  <si>
    <t>AIJOB00369</t>
  </si>
  <si>
    <t>ChromaDB, LangChain, Rust, Vector Databases, MLflow</t>
  </si>
  <si>
    <t>AIJOB00370</t>
  </si>
  <si>
    <t>RAG, Rust, Kubernetes, SQL, Weights &amp; Biases, TensorFlow, MLflow</t>
  </si>
  <si>
    <t>AIJOB00371</t>
  </si>
  <si>
    <t>GCP Vertex AI, OpenAI API, Fine-tuning, RAG, Docker, SQL, Pinecone</t>
  </si>
  <si>
    <t>AIJOB00372</t>
  </si>
  <si>
    <t>ChromaDB, Weights &amp; Biases, Spark, PyTorch, Pinecone, OpenAI API</t>
  </si>
  <si>
    <t>AIJOB00373</t>
  </si>
  <si>
    <t>Docker, dbt, SQL, Kubernetes</t>
  </si>
  <si>
    <t>AIJOB00374</t>
  </si>
  <si>
    <t>dbt, Weaviate, Hugging Face Transformers, Spark, CUDA</t>
  </si>
  <si>
    <t>AIJOB00375</t>
  </si>
  <si>
    <t>Kubernetes, LangChain, ChromaDB, Weights &amp; Biases</t>
  </si>
  <si>
    <t>AIJOB00376</t>
  </si>
  <si>
    <t>Fine-tuning, OpenAI API, LlamaIndex, LangChain</t>
  </si>
  <si>
    <t>AIJOB00377</t>
  </si>
  <si>
    <t>C++, AWS SageMaker, Python, Spark, JAX</t>
  </si>
  <si>
    <t>AIJOB00378</t>
  </si>
  <si>
    <t>AWS SageMaker, TensorFlow, C++, FastAPI, Kubernetes</t>
  </si>
  <si>
    <t>AIJOB00379</t>
  </si>
  <si>
    <t>C++, Hugging Face Transformers, MLflow</t>
  </si>
  <si>
    <t>AIJOB00380</t>
  </si>
  <si>
    <t>GCP Vertex AI, ChromaDB, TensorFlow, LangChain, Hugging Face Transformers</t>
  </si>
  <si>
    <t>AIJOB00381</t>
  </si>
  <si>
    <t>RAG, JAX, C++, ChromaDB</t>
  </si>
  <si>
    <t>AIJOB00382</t>
  </si>
  <si>
    <t>LlamaIndex, TensorFlow, Azure ML, Hugging Face Transformers, ChromaDB</t>
  </si>
  <si>
    <t>AIJOB00383</t>
  </si>
  <si>
    <t>SQL, OpenAI API, C++, AWS SageMaker</t>
  </si>
  <si>
    <t>AIJOB00384</t>
  </si>
  <si>
    <t>Python, Vector Databases, LlamaIndex</t>
  </si>
  <si>
    <t>AIJOB00385</t>
  </si>
  <si>
    <t>SQL, dbt, Rust, MLflow, Weights &amp; Biases</t>
  </si>
  <si>
    <t>AIJOB00386</t>
  </si>
  <si>
    <t>JAX, RLHF, LlamaIndex, TensorFlow, GCP Vertex AI</t>
  </si>
  <si>
    <t>AIJOB00387</t>
  </si>
  <si>
    <t>C++, FastAPI, Docker, Pinecone, GCP Vertex AI, Fine-tuning, Hugging Face Transformers</t>
  </si>
  <si>
    <t>AIJOB00388</t>
  </si>
  <si>
    <t>RLHF, Azure ML, MLflow</t>
  </si>
  <si>
    <t>AIJOB00389</t>
  </si>
  <si>
    <t>ChromaDB, Python, Pinecone, FastAPI</t>
  </si>
  <si>
    <t>AIJOB00390</t>
  </si>
  <si>
    <t>LlamaIndex, Python, TensorFlow, RLHF, C++</t>
  </si>
  <si>
    <t>AIJOB00391</t>
  </si>
  <si>
    <t>Rust, Spark, AWS SageMaker</t>
  </si>
  <si>
    <t>AIJOB00392</t>
  </si>
  <si>
    <t>FastAPI, RAG, AWS SageMaker, Spark, JAX, Rust</t>
  </si>
  <si>
    <t>AIJOB00393</t>
  </si>
  <si>
    <t>Docker, ChromaDB, SQL, Fine-tuning, TensorFlow, Rust</t>
  </si>
  <si>
    <t>AIJOB00394</t>
  </si>
  <si>
    <t>AWS SageMaker, RLHF, Fine-tuning</t>
  </si>
  <si>
    <t>AIJOB00395</t>
  </si>
  <si>
    <t>LangChain, RLHF, dbt, Weights &amp; Biases, ChromaDB, Docker</t>
  </si>
  <si>
    <t>AIJOB00396</t>
  </si>
  <si>
    <t>SQL, Rust, Docker, GCP Vertex AI, Hugging Face Transformers, OpenAI API</t>
  </si>
  <si>
    <t>AIJOB00397</t>
  </si>
  <si>
    <t>MLflow, dbt, RAG, Rust, AWS SageMaker</t>
  </si>
  <si>
    <t>AIJOB00398</t>
  </si>
  <si>
    <t>LlamaIndex, Vector Databases, Fine-tuning, Python, LangChain, Hugging Face Transformers</t>
  </si>
  <si>
    <t>AIJOB00399</t>
  </si>
  <si>
    <t>Fine-tuning, CUDA, Vector Databases, Weights &amp; Biases, ChromaDB, SQL</t>
  </si>
  <si>
    <t>AIJOB00400</t>
  </si>
  <si>
    <t>GCP Vertex AI, Weaviate, TensorFlow, Docker, Spark, Fine-tuning, Vector Databases</t>
  </si>
  <si>
    <t>AIJOB00401</t>
  </si>
  <si>
    <t>CUDA, C++, MLflow, dbt, RLHF, LlamaIndex, AWS SageMaker</t>
  </si>
  <si>
    <t>AIJOB00402</t>
  </si>
  <si>
    <t>Vector Databases, LangChain, Rust, Fine-tuning, JAX, AWS SageMaker, Kubernetes</t>
  </si>
  <si>
    <t>AIJOB00403</t>
  </si>
  <si>
    <t>Vector Databases, Docker, GCP Vertex AI, Rust</t>
  </si>
  <si>
    <t>AIJOB00404</t>
  </si>
  <si>
    <t>LangChain, Rust, SQL</t>
  </si>
  <si>
    <t>AIJOB00405</t>
  </si>
  <si>
    <t>LlamaIndex, Spark, Azure ML</t>
  </si>
  <si>
    <t>AIJOB00406</t>
  </si>
  <si>
    <t>Azure ML, Spark, dbt, Kubernetes, LlamaIndex, Pinecone</t>
  </si>
  <si>
    <t>AIJOB00407</t>
  </si>
  <si>
    <t>TensorFlow, JAX, GCP Vertex AI, C++, RAG, Hugging Face Transformers, Fine-tuning</t>
  </si>
  <si>
    <t>AIJOB00408</t>
  </si>
  <si>
    <t>JAX, Pinecone, SQL, LlamaIndex, MLflow</t>
  </si>
  <si>
    <t>AIJOB00409</t>
  </si>
  <si>
    <t>Pinecone, Weaviate, AWS SageMaker, OpenAI API</t>
  </si>
  <si>
    <t>AIJOB00410</t>
  </si>
  <si>
    <t>Docker, Spark, Pinecone, Azure ML, LangChain</t>
  </si>
  <si>
    <t>AIJOB00411</t>
  </si>
  <si>
    <t>dbt, LlamaIndex, MLflow, RAG, Pinecone, Weights &amp; Biases, Kubernetes</t>
  </si>
  <si>
    <t>AIJOB00412</t>
  </si>
  <si>
    <t>Azure ML, dbt, Pinecone</t>
  </si>
  <si>
    <t>AIJOB00413</t>
  </si>
  <si>
    <t>LlamaIndex, MLflow, Pinecone, C++, LangChain, CUDA</t>
  </si>
  <si>
    <t>AIJOB00414</t>
  </si>
  <si>
    <t>AWS SageMaker, Azure ML, Vector Databases, Python, Rust</t>
  </si>
  <si>
    <t>AIJOB00415</t>
  </si>
  <si>
    <t>ChromaDB, AWS SageMaker, JAX, RLHF, GCP Vertex AI, RAG</t>
  </si>
  <si>
    <t>AIJOB00416</t>
  </si>
  <si>
    <t>Weaviate, PyTorch, dbt, JAX, RLHF</t>
  </si>
  <si>
    <t>AIJOB00417</t>
  </si>
  <si>
    <t>FastAPI, PyTorch, ChromaDB, Pinecone, OpenAI API, Vector Databases, Rust</t>
  </si>
  <si>
    <t>AIJOB00418</t>
  </si>
  <si>
    <t>RAG, ChromaDB, PyTorch, Vector Databases, CUDA</t>
  </si>
  <si>
    <t>AIJOB00419</t>
  </si>
  <si>
    <t>LlamaIndex, AWS SageMaker, Fine-tuning</t>
  </si>
  <si>
    <t>AIJOB00420</t>
  </si>
  <si>
    <t>PyTorch, OpenAI API, Kubernetes</t>
  </si>
  <si>
    <t>AIJOB00421</t>
  </si>
  <si>
    <t>JAX, Python, Docker, Weaviate</t>
  </si>
  <si>
    <t>AIJOB00422</t>
  </si>
  <si>
    <t>Weaviate, Fine-tuning, RLHF, PyTorch</t>
  </si>
  <si>
    <t>AIJOB00423</t>
  </si>
  <si>
    <t>PyTorch, Hugging Face Transformers, Weights &amp; Biases, Weaviate, ChromaDB</t>
  </si>
  <si>
    <t>AIJOB00424</t>
  </si>
  <si>
    <t>GCP Vertex AI, OpenAI API, RLHF, SQL, Python</t>
  </si>
  <si>
    <t>AIJOB00425</t>
  </si>
  <si>
    <t>Weaviate, Python, JAX</t>
  </si>
  <si>
    <t>AIJOB00426</t>
  </si>
  <si>
    <t>Python, Kubernetes, Weights &amp; Biases, JAX, FastAPI, Docker</t>
  </si>
  <si>
    <t>AIJOB00427</t>
  </si>
  <si>
    <t>OpenAI API, Python, JAX, Spark, RAG, LangChain, Docker</t>
  </si>
  <si>
    <t>AIJOB00428</t>
  </si>
  <si>
    <t>SQL, Docker, dbt, Weaviate, RLHF, Python, Fine-tuning</t>
  </si>
  <si>
    <t>AIJOB00429</t>
  </si>
  <si>
    <t>RLHF, GCP Vertex AI, Python, RAG, OpenAI API, CUDA, TensorFlow</t>
  </si>
  <si>
    <t>AIJOB00430</t>
  </si>
  <si>
    <t>Vector Databases, Fine-tuning, Rust</t>
  </si>
  <si>
    <t>AIJOB00431</t>
  </si>
  <si>
    <t>Spark, RLHF, ChromaDB</t>
  </si>
  <si>
    <t>AIJOB00432</t>
  </si>
  <si>
    <t>AWS SageMaker, CUDA, RAG</t>
  </si>
  <si>
    <t>AIJOB00433</t>
  </si>
  <si>
    <t>LangChain, Python, SQL, MLflow</t>
  </si>
  <si>
    <t>AIJOB00434</t>
  </si>
  <si>
    <t>Fine-tuning, Pinecone, Spark, FastAPI, Azure ML, AWS SageMaker, ChromaDB</t>
  </si>
  <si>
    <t>AIJOB00435</t>
  </si>
  <si>
    <t>CUDA, PyTorch, Fine-tuning, Azure ML, OpenAI API, FastAPI, Spark</t>
  </si>
  <si>
    <t>AIJOB00436</t>
  </si>
  <si>
    <t>LangChain, RLHF, JAX, Rust</t>
  </si>
  <si>
    <t>AIJOB00437</t>
  </si>
  <si>
    <t>Azure ML, Python, TensorFlow</t>
  </si>
  <si>
    <t>AIJOB00438</t>
  </si>
  <si>
    <t>GCP Vertex AI, CUDA, Weaviate, Kubernetes</t>
  </si>
  <si>
    <t>AIJOB00439</t>
  </si>
  <si>
    <t>dbt, Hugging Face Transformers, Pinecone, Rust, SQL</t>
  </si>
  <si>
    <t>AIJOB00440</t>
  </si>
  <si>
    <t>ChromaDB, OpenAI API, Weaviate, AWS SageMaker, LlamaIndex, GCP Vertex AI, Kubernetes</t>
  </si>
  <si>
    <t>AIJOB00441</t>
  </si>
  <si>
    <t>Hugging Face Transformers, GCP Vertex AI, MLflow, Azure ML, Pinecone, C++</t>
  </si>
  <si>
    <t>AIJOB00442</t>
  </si>
  <si>
    <t>C++, Azure ML, Docker, Weaviate</t>
  </si>
  <si>
    <t>AIJOB00443</t>
  </si>
  <si>
    <t>Docker, RAG, Python, Hugging Face Transformers, RLHF</t>
  </si>
  <si>
    <t>AIJOB00444</t>
  </si>
  <si>
    <t>GCP Vertex AI, OpenAI API, dbt, Docker</t>
  </si>
  <si>
    <t>AIJOB00445</t>
  </si>
  <si>
    <t>Spark, Pinecone, FastAPI, LlamaIndex, RAG, Kubernetes</t>
  </si>
  <si>
    <t>AIJOB00446</t>
  </si>
  <si>
    <t>Python, Azure ML, LlamaIndex, ChromaDB, C++, AWS SageMaker, JAX</t>
  </si>
  <si>
    <t>AIJOB00447</t>
  </si>
  <si>
    <t>Spark, Rust, SQL, C++, ChromaDB, RAG, Weights &amp; Biases</t>
  </si>
  <si>
    <t>AIJOB00448</t>
  </si>
  <si>
    <t>Vector Databases, Python, Hugging Face Transformers, OpenAI API, TensorFlow, RAG, AWS SageMaker</t>
  </si>
  <si>
    <t>AIJOB00449</t>
  </si>
  <si>
    <t>Weights &amp; Biases, TensorFlow, RAG, OpenAI API, LlamaIndex, Rust</t>
  </si>
  <si>
    <t>AIJOB00450</t>
  </si>
  <si>
    <t>Pinecone, GCP Vertex AI, ChromaDB, JAX</t>
  </si>
  <si>
    <t>AIJOB00451</t>
  </si>
  <si>
    <t>Fine-tuning, Kubernetes, Hugging Face Transformers, JAX</t>
  </si>
  <si>
    <t>AIJOB00452</t>
  </si>
  <si>
    <t>Vector Databases, Fine-tuning, FastAPI, Weaviate</t>
  </si>
  <si>
    <t>AIJOB00453</t>
  </si>
  <si>
    <t>CUDA, OpenAI API, RAG, PyTorch, Python, Docker</t>
  </si>
  <si>
    <t>AIJOB00454</t>
  </si>
  <si>
    <t>LangChain, Hugging Face Transformers, AWS SageMaker, JAX, Weaviate, Weights &amp; Biases, RAG</t>
  </si>
  <si>
    <t>AIJOB00455</t>
  </si>
  <si>
    <t>RAG, MLflow, AWS SageMaker</t>
  </si>
  <si>
    <t>AIJOB00456</t>
  </si>
  <si>
    <t>Kubernetes, JAX, LangChain</t>
  </si>
  <si>
    <t>AIJOB00457</t>
  </si>
  <si>
    <t>Kubernetes, OpenAI API, LangChain</t>
  </si>
  <si>
    <t>AIJOB00458</t>
  </si>
  <si>
    <t>AWS SageMaker, FastAPI, SQL, Vector Databases, LangChain, MLflow</t>
  </si>
  <si>
    <t>AIJOB00459</t>
  </si>
  <si>
    <t>RLHF, RAG, Pinecone, Spark, Weights &amp; Biases, Kubernetes, C++</t>
  </si>
  <si>
    <t>AIJOB00460</t>
  </si>
  <si>
    <t>RAG, OpenAI API, Spark, PyTorch</t>
  </si>
  <si>
    <t>AIJOB00461</t>
  </si>
  <si>
    <t>Kubernetes, OpenAI API, Weaviate, PyTorch, dbt</t>
  </si>
  <si>
    <t>AIJOB00462</t>
  </si>
  <si>
    <t>LlamaIndex, TensorFlow, Hugging Face Transformers, ChromaDB</t>
  </si>
  <si>
    <t>AIJOB00463</t>
  </si>
  <si>
    <t>Docker, CUDA, Rust, Vector Databases</t>
  </si>
  <si>
    <t>AIJOB00464</t>
  </si>
  <si>
    <t>SQL, Weaviate, LlamaIndex, Weights &amp; Biases, Hugging Face Transformers</t>
  </si>
  <si>
    <t>AIJOB00465</t>
  </si>
  <si>
    <t>RAG, Fine-tuning, JAX, Weights &amp; Biases, Azure ML, C++</t>
  </si>
  <si>
    <t>AIJOB00466</t>
  </si>
  <si>
    <t>MLflow, PyTorch, Spark, RAG, Fine-tuning</t>
  </si>
  <si>
    <t>AIJOB00467</t>
  </si>
  <si>
    <t>dbt, C++, Hugging Face Transformers, Python, LangChain, TensorFlow, Spark</t>
  </si>
  <si>
    <t>AIJOB00468</t>
  </si>
  <si>
    <t>LangChain, Spark, ChromaDB</t>
  </si>
  <si>
    <t>AIJOB00469</t>
  </si>
  <si>
    <t>Pinecone, Fine-tuning, Spark, AWS SageMaker, Weights &amp; Biases, CUDA</t>
  </si>
  <si>
    <t>AIJOB00470</t>
  </si>
  <si>
    <t>JAX, CUDA, Fine-tuning, RLHF, Spark</t>
  </si>
  <si>
    <t>AIJOB00471</t>
  </si>
  <si>
    <t>dbt, ChromaDB, Rust</t>
  </si>
  <si>
    <t>AIJOB00472</t>
  </si>
  <si>
    <t>GCP Vertex AI, C++, Kubernetes, Azure ML, dbt</t>
  </si>
  <si>
    <t>AIJOB00473</t>
  </si>
  <si>
    <t>MLflow, FastAPI, C++, Kubernetes, Azure ML</t>
  </si>
  <si>
    <t>AIJOB00474</t>
  </si>
  <si>
    <t>Weights &amp; Biases, SQL, Rust, TensorFlow, Azure ML, Fine-tuning</t>
  </si>
  <si>
    <t>AIJOB00475</t>
  </si>
  <si>
    <t>C++, dbt, Weaviate, CUDA, RLHF</t>
  </si>
  <si>
    <t>AIJOB00476</t>
  </si>
  <si>
    <t>Kubernetes, Weights &amp; Biases, Docker, dbt, Vector Databases</t>
  </si>
  <si>
    <t>AIJOB00477</t>
  </si>
  <si>
    <t>Spark, JAX, Rust, Weaviate, Fine-tuning, Kubernetes</t>
  </si>
  <si>
    <t>AIJOB00478</t>
  </si>
  <si>
    <t>AWS SageMaker, PyTorch, ChromaDB</t>
  </si>
  <si>
    <t>AIJOB00479</t>
  </si>
  <si>
    <t>Vector Databases, dbt, RLHF, LlamaIndex</t>
  </si>
  <si>
    <t>AIJOB00480</t>
  </si>
  <si>
    <t>PyTorch, Rust, GCP Vertex AI, LlamaIndex, MLflow, OpenAI API</t>
  </si>
  <si>
    <t>AIJOB00481</t>
  </si>
  <si>
    <t>dbt, Vector Databases, Azure ML, FastAPI, RAG, Rust</t>
  </si>
  <si>
    <t>AIJOB00482</t>
  </si>
  <si>
    <t>AWS SageMaker, LlamaIndex, OpenAI API, C++, Weights &amp; Biases, Rust</t>
  </si>
  <si>
    <t>AIJOB00483</t>
  </si>
  <si>
    <t>PyTorch, LangChain, Pinecone, Spark</t>
  </si>
  <si>
    <t>AIJOB00484</t>
  </si>
  <si>
    <t>Docker, Spark, CUDA, RLHF, Azure ML, Python</t>
  </si>
  <si>
    <t>AIJOB00485</t>
  </si>
  <si>
    <t>AWS SageMaker, ChromaDB, LlamaIndex, LangChain, GCP Vertex AI, TensorFlow</t>
  </si>
  <si>
    <t>AIJOB00486</t>
  </si>
  <si>
    <t>CUDA, SQL, MLflow, Hugging Face Transformers</t>
  </si>
  <si>
    <t>AIJOB00487</t>
  </si>
  <si>
    <t>Hugging Face Transformers, Fine-tuning, dbt, Python, Kubernetes, AWS SageMaker, PyTorch</t>
  </si>
  <si>
    <t>AIJOB00488</t>
  </si>
  <si>
    <t>PyTorch, OpenAI API, LlamaIndex, AWS SageMaker</t>
  </si>
  <si>
    <t>AIJOB00489</t>
  </si>
  <si>
    <t>RLHF, TensorFlow, Docker, dbt, Fine-tuning, MLflow</t>
  </si>
  <si>
    <t>AIJOB00490</t>
  </si>
  <si>
    <t>TensorFlow, Docker, LangChain, Weaviate</t>
  </si>
  <si>
    <t>AIJOB00491</t>
  </si>
  <si>
    <t>LangChain, Rust, JAX, Hugging Face Transformers, Pinecone, Weights &amp; Biases</t>
  </si>
  <si>
    <t>AIJOB00492</t>
  </si>
  <si>
    <t>Azure ML, Rust, Weights &amp; Biases, dbt</t>
  </si>
  <si>
    <t>AIJOB00493</t>
  </si>
  <si>
    <t>PyTorch, Weights &amp; Biases, Spark, Azure ML, MLflow</t>
  </si>
  <si>
    <t>AIJOB00494</t>
  </si>
  <si>
    <t>AWS SageMaker, Spark, CUDA, TensorFlow</t>
  </si>
  <si>
    <t>AIJOB00495</t>
  </si>
  <si>
    <t>Weights &amp; Biases, LlamaIndex, Vector Databases, C++, Pinecone, dbt, JAX</t>
  </si>
  <si>
    <t>AIJOB00496</t>
  </si>
  <si>
    <t>RLHF, Hugging Face Transformers, dbt, FastAPI, Pinecone, Kubernetes, CUDA</t>
  </si>
  <si>
    <t>AIJOB00497</t>
  </si>
  <si>
    <t>OpenAI API, Python, Weights &amp; Biases, Spark, ChromaDB</t>
  </si>
  <si>
    <t>AIJOB00498</t>
  </si>
  <si>
    <t>Azure ML, JAX, Weights &amp; Biases</t>
  </si>
  <si>
    <t>AIJOB00499</t>
  </si>
  <si>
    <t>AWS SageMaker, Azure ML, Fine-tuning, JAX, Hugging Face Transformers</t>
  </si>
  <si>
    <t>AIJOB00500</t>
  </si>
  <si>
    <t>Fine-tuning, Weights &amp; Biases, GCP Vertex AI, PyTorch, Hugging Face Transformers, dbt</t>
  </si>
  <si>
    <t>AIJOB00501</t>
  </si>
  <si>
    <t>LlamaIndex, Azure ML, Pinecone</t>
  </si>
  <si>
    <t>AIJOB00502</t>
  </si>
  <si>
    <t>CUDA, Docker, MLflow</t>
  </si>
  <si>
    <t>AIJOB00503</t>
  </si>
  <si>
    <t>Docker, OpenAI API, LlamaIndex</t>
  </si>
  <si>
    <t>AIJOB00504</t>
  </si>
  <si>
    <t>Docker, Azure ML, MLflow, Fine-tuning, Kubernetes</t>
  </si>
  <si>
    <t>AIJOB00505</t>
  </si>
  <si>
    <t>LangChain, dbt, Python</t>
  </si>
  <si>
    <t>AIJOB00506</t>
  </si>
  <si>
    <t>LlamaIndex, Spark, Weights &amp; Biases</t>
  </si>
  <si>
    <t>AIJOB00507</t>
  </si>
  <si>
    <t>OpenAI API, Fine-tuning, Weaviate, MLflow</t>
  </si>
  <si>
    <t>AIJOB00508</t>
  </si>
  <si>
    <t>AWS SageMaker, PyTorch, ChromaDB, Rust</t>
  </si>
  <si>
    <t>AIJOB00509</t>
  </si>
  <si>
    <t>Python, Hugging Face Transformers, ChromaDB, OpenAI API</t>
  </si>
  <si>
    <t>AIJOB00510</t>
  </si>
  <si>
    <t>PyTorch, Spark, LlamaIndex, JAX, Docker</t>
  </si>
  <si>
    <t>AIJOB00511</t>
  </si>
  <si>
    <t>Docker, Weights &amp; Biases, LlamaIndex, Fine-tuning, SQL, AWS SageMaker, GCP Vertex AI</t>
  </si>
  <si>
    <t>AIJOB00512</t>
  </si>
  <si>
    <t>Weaviate, OpenAI API, C++, RLHF, Kubernetes, GCP Vertex AI, Docker</t>
  </si>
  <si>
    <t>AIJOB00513</t>
  </si>
  <si>
    <t>Spark, AWS SageMaker, Python, Hugging Face Transformers</t>
  </si>
  <si>
    <t>AIJOB00514</t>
  </si>
  <si>
    <t>SQL, LangChain, RAG</t>
  </si>
  <si>
    <t>AIJOB00515</t>
  </si>
  <si>
    <t>Weights &amp; Biases, C++, GCP Vertex AI, MLflow, TensorFlow, OpenAI API, LlamaIndex</t>
  </si>
  <si>
    <t>AIJOB00516</t>
  </si>
  <si>
    <t>AWS SageMaker, LangChain, Pinecone, Fine-tuning, LlamaIndex, Python, Kubernetes</t>
  </si>
  <si>
    <t>AIJOB00517</t>
  </si>
  <si>
    <t>AWS SageMaker, Azure ML, TensorFlow</t>
  </si>
  <si>
    <t>AIJOB00518</t>
  </si>
  <si>
    <t>Docker, Vector Databases, dbt</t>
  </si>
  <si>
    <t>AIJOB00519</t>
  </si>
  <si>
    <t>LlamaIndex, TensorFlow, GCP Vertex AI, Hugging Face Transformers, FastAPI</t>
  </si>
  <si>
    <t>AIJOB00520</t>
  </si>
  <si>
    <t>Vector Databases, Weaviate, CUDA, Kubernetes, RAG, TensorFlow, ChromaDB</t>
  </si>
  <si>
    <t>AIJOB00521</t>
  </si>
  <si>
    <t>PyTorch, Azure ML, CUDA</t>
  </si>
  <si>
    <t>AIJOB00522</t>
  </si>
  <si>
    <t>RAG, Weights &amp; Biases, Python, MLflow</t>
  </si>
  <si>
    <t>AIJOB00523</t>
  </si>
  <si>
    <t>LlamaIndex, FastAPI, Hugging Face Transformers, Vector Databases, Weights &amp; Biases, JAX</t>
  </si>
  <si>
    <t>AIJOB00524</t>
  </si>
  <si>
    <t>dbt, RLHF, Weaviate, MLflow, Docker, ChromaDB</t>
  </si>
  <si>
    <t>AIJOB00525</t>
  </si>
  <si>
    <t>SQL, C++, TensorFlow, MLflow, RLHF, Vector Databases, GCP Vertex AI</t>
  </si>
  <si>
    <t>AIJOB00526</t>
  </si>
  <si>
    <t>LangChain, TensorFlow, OpenAI API, SQL, Python, AWS SageMaker, C++</t>
  </si>
  <si>
    <t>AIJOB00527</t>
  </si>
  <si>
    <t>OpenAI API, GCP Vertex AI, FastAPI, RAG, Weights &amp; Biases, Azure ML, LlamaIndex</t>
  </si>
  <si>
    <t>AIJOB00528</t>
  </si>
  <si>
    <t>TensorFlow, Spark, JAX, MLflow, Kubernetes, OpenAI API</t>
  </si>
  <si>
    <t>AIJOB00529</t>
  </si>
  <si>
    <t>CUDA, Fine-tuning, PyTorch, MLflow, FastAPI, dbt, RAG</t>
  </si>
  <si>
    <t>AIJOB00530</t>
  </si>
  <si>
    <t>Hugging Face Transformers, TensorFlow, Docker, ChromaDB, Azure ML</t>
  </si>
  <si>
    <t>AIJOB00531</t>
  </si>
  <si>
    <t>Fine-tuning, CUDA, SQL, dbt, LlamaIndex, RLHF</t>
  </si>
  <si>
    <t>AIJOB00532</t>
  </si>
  <si>
    <t>Hugging Face Transformers, ChromaDB, RAG, TensorFlow, Kubernetes, C++</t>
  </si>
  <si>
    <t>AIJOB00533</t>
  </si>
  <si>
    <t>GCP Vertex AI, SQL, Vector Databases</t>
  </si>
  <si>
    <t>AIJOB00534</t>
  </si>
  <si>
    <t>Vector Databases, OpenAI API, PyTorch, CUDA, Python, dbt</t>
  </si>
  <si>
    <t>AIJOB00535</t>
  </si>
  <si>
    <t>JAX, Fine-tuning, GCP Vertex AI</t>
  </si>
  <si>
    <t>AIJOB00536</t>
  </si>
  <si>
    <t>TensorFlow, Weights &amp; Biases, dbt, ChromaDB</t>
  </si>
  <si>
    <t>AIJOB00537</t>
  </si>
  <si>
    <t>Spark, RLHF, ChromaDB, LangChain</t>
  </si>
  <si>
    <t>AIJOB00538</t>
  </si>
  <si>
    <t>C++, CUDA, LangChain, MLflow, Vector Databases, Spark, RLHF</t>
  </si>
  <si>
    <t>AIJOB00539</t>
  </si>
  <si>
    <t>Spark, AWS SageMaker, MLflow, SQL, LangChain, TensorFlow</t>
  </si>
  <si>
    <t>AIJOB00540</t>
  </si>
  <si>
    <t>FastAPI, RLHF, Weaviate, RAG</t>
  </si>
  <si>
    <t>AIJOB00541</t>
  </si>
  <si>
    <t>C++, JAX, Rust, Fine-tuning, dbt</t>
  </si>
  <si>
    <t>AIJOB00542</t>
  </si>
  <si>
    <t>SQL, Spark, RAG, C++</t>
  </si>
  <si>
    <t>AIJOB00543</t>
  </si>
  <si>
    <t>C++, FastAPI, Spark, Docker, Weaviate, Hugging Face Transformers</t>
  </si>
  <si>
    <t>AIJOB00544</t>
  </si>
  <si>
    <t>RLHF, Spark, FastAPI, Azure ML</t>
  </si>
  <si>
    <t>AIJOB00545</t>
  </si>
  <si>
    <t>CUDA, LangChain, JAX, RLHF, SQL, C++, Weights &amp; Biases</t>
  </si>
  <si>
    <t>AIJOB00546</t>
  </si>
  <si>
    <t>OpenAI API, dbt, Fine-tuning</t>
  </si>
  <si>
    <t>AIJOB00547</t>
  </si>
  <si>
    <t>SQL, Weaviate, Python, Hugging Face Transformers, Pinecone, Weights &amp; Biases, Docker</t>
  </si>
  <si>
    <t>AIJOB00548</t>
  </si>
  <si>
    <t>Docker, Vector Databases, OpenAI API, TensorFlow</t>
  </si>
  <si>
    <t>AIJOB00549</t>
  </si>
  <si>
    <t>AWS SageMaker, Hugging Face Transformers, Rust, OpenAI API, Weights &amp; Biases, Vector Databases, Fine-tuning</t>
  </si>
  <si>
    <t>AIJOB00550</t>
  </si>
  <si>
    <t>Docker, ChromaDB, Fine-tuning, AWS SageMaker, SQL, Spark, Pinecone</t>
  </si>
  <si>
    <t>AIJOB00551</t>
  </si>
  <si>
    <t>MLflow, GCP Vertex AI, OpenAI API</t>
  </si>
  <si>
    <t>AIJOB00552</t>
  </si>
  <si>
    <t>GCP Vertex AI, C++, JAX, OpenAI API, Rust, PyTorch</t>
  </si>
  <si>
    <t>AIJOB00553</t>
  </si>
  <si>
    <t>Python, RLHF, AWS SageMaker, LlamaIndex, RAG, PyTorch, Weaviate</t>
  </si>
  <si>
    <t>AIJOB00554</t>
  </si>
  <si>
    <t>SQL, PyTorch, RAG, AWS SageMaker, MLflow, RLHF</t>
  </si>
  <si>
    <t>AIJOB00555</t>
  </si>
  <si>
    <t>C++, JAX, Weaviate, Python, MLflow</t>
  </si>
  <si>
    <t>AIJOB00556</t>
  </si>
  <si>
    <t>CUDA, LlamaIndex, FastAPI, ChromaDB, JAX</t>
  </si>
  <si>
    <t>AIJOB00557</t>
  </si>
  <si>
    <t>MLflow, TensorFlow, Azure ML, Weaviate, C++</t>
  </si>
  <si>
    <t>AIJOB00558</t>
  </si>
  <si>
    <t>FastAPI, Pinecone, CUDA, GCP Vertex AI, JAX, AWS SageMaker, MLflow</t>
  </si>
  <si>
    <t>AIJOB00559</t>
  </si>
  <si>
    <t>Hugging Face Transformers, dbt, AWS SageMaker, ChromaDB, Spark, LangChain</t>
  </si>
  <si>
    <t>AIJOB00560</t>
  </si>
  <si>
    <t>LlamaIndex, RAG, Pinecone, Fine-tuning</t>
  </si>
  <si>
    <t>AIJOB00561</t>
  </si>
  <si>
    <t>LangChain, dbt, PyTorch, Spark, Kubernetes, JAX</t>
  </si>
  <si>
    <t>AIJOB00562</t>
  </si>
  <si>
    <t>Vector Databases, OpenAI API, Hugging Face Transformers, Rust, Azure ML</t>
  </si>
  <si>
    <t>AIJOB00563</t>
  </si>
  <si>
    <t>GCP Vertex AI, JAX, RLHF, LlamaIndex</t>
  </si>
  <si>
    <t>AIJOB00564</t>
  </si>
  <si>
    <t>Vector Databases, LangChain, PyTorch, C++</t>
  </si>
  <si>
    <t>AIJOB00565</t>
  </si>
  <si>
    <t>dbt, Vector Databases, Docker, Azure ML, RLHF</t>
  </si>
  <si>
    <t>AIJOB00566</t>
  </si>
  <si>
    <t>ChromaDB, Weights &amp; Biases, MLflow, Fine-tuning</t>
  </si>
  <si>
    <t>AIJOB00567</t>
  </si>
  <si>
    <t>RAG, ChromaDB, Fine-tuning, Docker, AWS SageMaker</t>
  </si>
  <si>
    <t>AIJOB00568</t>
  </si>
  <si>
    <t>RLHF, dbt, LlamaIndex, Pinecone</t>
  </si>
  <si>
    <t>AIJOB00569</t>
  </si>
  <si>
    <t>Azure ML, dbt, C++, Python, PyTorch, Docker</t>
  </si>
  <si>
    <t>AIJOB00570</t>
  </si>
  <si>
    <t>Kubernetes, Rust, dbt, Spark, RAG</t>
  </si>
  <si>
    <t>AIJOB00571</t>
  </si>
  <si>
    <t>AWS SageMaker, TensorFlow, ChromaDB, Spark, RLHF</t>
  </si>
  <si>
    <t>AIJOB00572</t>
  </si>
  <si>
    <t>Python, Weaviate, JAX, FastAPI, Fine-tuning, TensorFlow</t>
  </si>
  <si>
    <t>AIJOB00573</t>
  </si>
  <si>
    <t>Rust, FastAPI, Pinecone, RLHF, PyTorch, TensorFlow</t>
  </si>
  <si>
    <t>AIJOB00574</t>
  </si>
  <si>
    <t>LlamaIndex, Kubernetes, dbt, Spark, JAX, AWS SageMaker</t>
  </si>
  <si>
    <t>AIJOB00575</t>
  </si>
  <si>
    <t>RLHF, RAG, PyTorch, LangChain, AWS SageMaker, CUDA, Vector Databases</t>
  </si>
  <si>
    <t>AIJOB00576</t>
  </si>
  <si>
    <t>Hugging Face Transformers, Pinecone, Weights &amp; Biases, MLflow</t>
  </si>
  <si>
    <t>AIJOB00577</t>
  </si>
  <si>
    <t>AWS SageMaker, RLHF, LangChain</t>
  </si>
  <si>
    <t>AIJOB00578</t>
  </si>
  <si>
    <t>CUDA, JAX, Pinecone, OpenAI API, Azure ML, MLflow, C++</t>
  </si>
  <si>
    <t>AIJOB00579</t>
  </si>
  <si>
    <t>RAG, Vector Databases, SQL, dbt, Hugging Face Transformers, ChromaDB</t>
  </si>
  <si>
    <t>AIJOB00580</t>
  </si>
  <si>
    <t>LangChain, dbt, Vector Databases, GCP Vertex AI</t>
  </si>
  <si>
    <t>AIJOB00581</t>
  </si>
  <si>
    <t>FastAPI, Azure ML, SQL, Spark, Python, Hugging Face Transformers</t>
  </si>
  <si>
    <t>AIJOB00582</t>
  </si>
  <si>
    <t>ChromaDB, Python, Spark</t>
  </si>
  <si>
    <t>AIJOB00583</t>
  </si>
  <si>
    <t>ChromaDB, C++, Vector Databases, Pinecone</t>
  </si>
  <si>
    <t>AIJOB00584</t>
  </si>
  <si>
    <t>SQL, Weaviate, GCP Vertex AI</t>
  </si>
  <si>
    <t>AIJOB00585</t>
  </si>
  <si>
    <t>RAG, SQL, PyTorch, Weaviate, MLflow</t>
  </si>
  <si>
    <t>AIJOB00586</t>
  </si>
  <si>
    <t>FastAPI, dbt, JAX, PyTorch, Kubernetes</t>
  </si>
  <si>
    <t>AIJOB00587</t>
  </si>
  <si>
    <t>PyTorch, Vector Databases, Pinecone</t>
  </si>
  <si>
    <t>AIJOB00588</t>
  </si>
  <si>
    <t>FastAPI, RAG, MLflow, LlamaIndex, Fine-tuning, C++</t>
  </si>
  <si>
    <t>AIJOB00589</t>
  </si>
  <si>
    <t>ChromaDB, PyTorch, Rust, Python, Weights &amp; Biases, Kubernetes, CUDA</t>
  </si>
  <si>
    <t>AIJOB00590</t>
  </si>
  <si>
    <t>Weaviate, OpenAI API, Vector Databases, MLflow, Weights &amp; Biases</t>
  </si>
  <si>
    <t>AIJOB00591</t>
  </si>
  <si>
    <t>PyTorch, Azure ML, JAX</t>
  </si>
  <si>
    <t>AIJOB00592</t>
  </si>
  <si>
    <t>Spark, FastAPI, RLHF, LangChain, Python, Vector Databases</t>
  </si>
  <si>
    <t>AIJOB00593</t>
  </si>
  <si>
    <t>OpenAI API, RAG, Hugging Face Transformers, dbt</t>
  </si>
  <si>
    <t>AIJOB00594</t>
  </si>
  <si>
    <t>Fine-tuning, CUDA, JAX, Rust, Weights &amp; Biases, FastAPI, PyTorch</t>
  </si>
  <si>
    <t>AIJOB00595</t>
  </si>
  <si>
    <t>LlamaIndex, Python, Docker, Rust</t>
  </si>
  <si>
    <t>AIJOB00596</t>
  </si>
  <si>
    <t>C++, Docker, CUDA, Hugging Face Transformers, RLHF</t>
  </si>
  <si>
    <t>AIJOB00597</t>
  </si>
  <si>
    <t>Hugging Face Transformers, Docker, FastAPI, Rust, CUDA, C++</t>
  </si>
  <si>
    <t>AIJOB00598</t>
  </si>
  <si>
    <t>PyTorch, MLflow, Docker, Python</t>
  </si>
  <si>
    <t>AIJOB00599</t>
  </si>
  <si>
    <t>C++, dbt, Fine-tuning, TensorFlow, Spark</t>
  </si>
  <si>
    <t>AIJOB00600</t>
  </si>
  <si>
    <t>ChromaDB, Python, LangChain, SQL</t>
  </si>
  <si>
    <t>AIJOB00601</t>
  </si>
  <si>
    <t>Pinecone, ChromaDB, Spark, Weaviate, Weights &amp; Biases, Fine-tuning, Rust</t>
  </si>
  <si>
    <t>AIJOB00602</t>
  </si>
  <si>
    <t>Kubernetes, RLHF, GCP Vertex AI, Weights &amp; Biases, LangChain</t>
  </si>
  <si>
    <t>AIJOB00603</t>
  </si>
  <si>
    <t>Weaviate, Kubernetes, FastAPI, Fine-tuning</t>
  </si>
  <si>
    <t>AIJOB00604</t>
  </si>
  <si>
    <t>Python, Hugging Face Transformers, LangChain, Fine-tuning, Docker, Weaviate</t>
  </si>
  <si>
    <t>AIJOB00605</t>
  </si>
  <si>
    <t>Kubernetes, MLflow, AWS SageMaker, LangChain, GCP Vertex AI, FastAPI, ChromaDB</t>
  </si>
  <si>
    <t>AIJOB00606</t>
  </si>
  <si>
    <t>Weights &amp; Biases, FastAPI, ChromaDB, C++</t>
  </si>
  <si>
    <t>AIJOB00607</t>
  </si>
  <si>
    <t>PyTorch, ChromaDB, Pinecone, JAX, CUDA</t>
  </si>
  <si>
    <t>AIJOB00608</t>
  </si>
  <si>
    <t>AWS SageMaker, Docker, Vector Databases</t>
  </si>
  <si>
    <t>AIJOB00609</t>
  </si>
  <si>
    <t>Weaviate, Rust, OpenAI API, Python, Vector Databases, CUDA, Azure ML</t>
  </si>
  <si>
    <t>AIJOB00610</t>
  </si>
  <si>
    <t>Azure ML, Rust, TensorFlow</t>
  </si>
  <si>
    <t>AIJOB00611</t>
  </si>
  <si>
    <t>GCP Vertex AI, OpenAI API, C++, Weaviate, dbt, Spark, PyTorch</t>
  </si>
  <si>
    <t>AIJOB00612</t>
  </si>
  <si>
    <t>Pinecone, CUDA, Weights &amp; Biases</t>
  </si>
  <si>
    <t>AIJOB00613</t>
  </si>
  <si>
    <t>JAX, AWS SageMaker, C++, Kubernetes</t>
  </si>
  <si>
    <t>AIJOB00614</t>
  </si>
  <si>
    <t>LangChain, Hugging Face Transformers, RLHF, GCP Vertex AI, dbt, JAX</t>
  </si>
  <si>
    <t>AIJOB00615</t>
  </si>
  <si>
    <t>PyTorch, Weaviate, FastAPI, GCP Vertex AI, Docker, dbt</t>
  </si>
  <si>
    <t>AIJOB00616</t>
  </si>
  <si>
    <t>Weaviate, OpenAI API, FastAPI, Spark</t>
  </si>
  <si>
    <t>AIJOB00617</t>
  </si>
  <si>
    <t>OpenAI API, Hugging Face Transformers, C++, Weaviate, RAG, MLflow, Kubernetes</t>
  </si>
  <si>
    <t>AIJOB00618</t>
  </si>
  <si>
    <t>Hugging Face Transformers, AWS SageMaker, Python</t>
  </si>
  <si>
    <t>AIJOB00619</t>
  </si>
  <si>
    <t>SQL, LlamaIndex, LangChain, Weights &amp; Biases, ChromaDB, RAG, OpenAI API</t>
  </si>
  <si>
    <t>AIJOB00620</t>
  </si>
  <si>
    <t>Fine-tuning, Weaviate, Docker, Vector Databases</t>
  </si>
  <si>
    <t>AIJOB00621</t>
  </si>
  <si>
    <t>RLHF, Azure ML, Vector Databases, ChromaDB</t>
  </si>
  <si>
    <t>AIJOB00622</t>
  </si>
  <si>
    <t>Pinecone, Weights &amp; Biases, C++, ChromaDB, FastAPI, Kubernetes</t>
  </si>
  <si>
    <t>AIJOB00623</t>
  </si>
  <si>
    <t>Weaviate, Vector Databases, GCP Vertex AI, Spark, Kubernetes, C++</t>
  </si>
  <si>
    <t>AIJOB00624</t>
  </si>
  <si>
    <t>PyTorch, JAX, Fine-tuning</t>
  </si>
  <si>
    <t>AIJOB00625</t>
  </si>
  <si>
    <t>LlamaIndex, AWS SageMaker, Pinecone, dbt</t>
  </si>
  <si>
    <t>AIJOB00626</t>
  </si>
  <si>
    <t>GCP Vertex AI, Fine-tuning, Hugging Face Transformers</t>
  </si>
  <si>
    <t>AIJOB00627</t>
  </si>
  <si>
    <t>Azure ML, Spark, Python, OpenAI API</t>
  </si>
  <si>
    <t>AIJOB00628</t>
  </si>
  <si>
    <t>Docker, ChromaDB, LangChain, LlamaIndex</t>
  </si>
  <si>
    <t>AIJOB00629</t>
  </si>
  <si>
    <t>LlamaIndex, JAX, Hugging Face Transformers, Vector Databases, Python, GCP Vertex AI, TensorFlow</t>
  </si>
  <si>
    <t>AIJOB00630</t>
  </si>
  <si>
    <t>Azure ML, AWS SageMaker, C++, Pinecone, GCP Vertex AI, Rust</t>
  </si>
  <si>
    <t>AIJOB00631</t>
  </si>
  <si>
    <t>Hugging Face Transformers, Python, CUDA, Azure ML, RLHF</t>
  </si>
  <si>
    <t>AIJOB00632</t>
  </si>
  <si>
    <t>Docker, Pinecone, Python, SQL, PyTorch</t>
  </si>
  <si>
    <t>AIJOB00633</t>
  </si>
  <si>
    <t>Rust, LangChain, PyTorch, Azure ML, Python, SQL, MLflow</t>
  </si>
  <si>
    <t>AIJOB00634</t>
  </si>
  <si>
    <t>JAX, MLflow, Hugging Face Transformers, ChromaDB, Weights &amp; Biases</t>
  </si>
  <si>
    <t>AIJOB00635</t>
  </si>
  <si>
    <t>Docker, SQL, OpenAI API</t>
  </si>
  <si>
    <t>AIJOB00636</t>
  </si>
  <si>
    <t>Weights &amp; Biases, TensorFlow, Hugging Face Transformers, GCP Vertex AI</t>
  </si>
  <si>
    <t>AIJOB00637</t>
  </si>
  <si>
    <t>Hugging Face Transformers, Docker, LlamaIndex, ChromaDB, GCP Vertex AI</t>
  </si>
  <si>
    <t>AIJOB00638</t>
  </si>
  <si>
    <t>PyTorch, C++, ChromaDB, RAG</t>
  </si>
  <si>
    <t>AIJOB00639</t>
  </si>
  <si>
    <t>RLHF, Docker, PyTorch, LangChain</t>
  </si>
  <si>
    <t>AIJOB00640</t>
  </si>
  <si>
    <t>GCP Vertex AI, Spark, JAX, LangChain, Hugging Face Transformers</t>
  </si>
  <si>
    <t>AIJOB00641</t>
  </si>
  <si>
    <t>SQL, GCP Vertex AI, Vector Databases, dbt, RAG</t>
  </si>
  <si>
    <t>AIJOB00642</t>
  </si>
  <si>
    <t>OpenAI API, ChromaDB, FastAPI, LlamaIndex, Rust, dbt, GCP Vertex AI</t>
  </si>
  <si>
    <t>AIJOB00643</t>
  </si>
  <si>
    <t>Kubernetes, CUDA, OpenAI API, Fine-tuning</t>
  </si>
  <si>
    <t>AIJOB00644</t>
  </si>
  <si>
    <t>MLflow, Kubernetes, FastAPI, LangChain, RAG, LlamaIndex</t>
  </si>
  <si>
    <t>AIJOB00645</t>
  </si>
  <si>
    <t>Azure ML, GCP Vertex AI, Pinecone, C++</t>
  </si>
  <si>
    <t>AIJOB00646</t>
  </si>
  <si>
    <t>RAG, dbt, C++, Vector Databases, PyTorch</t>
  </si>
  <si>
    <t>AIJOB00647</t>
  </si>
  <si>
    <t>RAG, dbt, RLHF, Python, Vector Databases, Spark, CUDA</t>
  </si>
  <si>
    <t>AIJOB00648</t>
  </si>
  <si>
    <t>FastAPI, RAG, dbt, TensorFlow, LlamaIndex, Python, GCP Vertex AI</t>
  </si>
  <si>
    <t>AIJOB00649</t>
  </si>
  <si>
    <t>dbt, Azure ML, Docker, Fine-tuning, GCP Vertex AI, JAX, AWS SageMaker</t>
  </si>
  <si>
    <t>AIJOB00650</t>
  </si>
  <si>
    <t>Kubernetes, Hugging Face Transformers, TensorFlow, Weaviate, LangChain, LlamaIndex</t>
  </si>
  <si>
    <t>AIJOB00651</t>
  </si>
  <si>
    <t>LlamaIndex, SQL, Weights &amp; Biases</t>
  </si>
  <si>
    <t>AIJOB00652</t>
  </si>
  <si>
    <t>ChromaDB, Docker, AWS SageMaker, SQL</t>
  </si>
  <si>
    <t>AIJOB00653</t>
  </si>
  <si>
    <t>Hugging Face Transformers, dbt, AWS SageMaker, Docker, Python, Fine-tuning</t>
  </si>
  <si>
    <t>AIJOB00654</t>
  </si>
  <si>
    <t>C++, RLHF, ChromaDB, Fine-tuning, Spark, SQL, GCP Vertex AI</t>
  </si>
  <si>
    <t>AIJOB00655</t>
  </si>
  <si>
    <t>Docker, RAG, PyTorch, dbt, ChromaDB, TensorFlow</t>
  </si>
  <si>
    <t>AIJOB00656</t>
  </si>
  <si>
    <t>FastAPI, Python, JAX, AWS SageMaker, Weaviate, Weights &amp; Biases</t>
  </si>
  <si>
    <t>AIJOB00657</t>
  </si>
  <si>
    <t>Fine-tuning, JAX, SQL, Docker</t>
  </si>
  <si>
    <t>AIJOB00658</t>
  </si>
  <si>
    <t>RAG, AWS SageMaker, Python, Weaviate</t>
  </si>
  <si>
    <t>AIJOB00659</t>
  </si>
  <si>
    <t>SQL, ChromaDB, Weights &amp; Biases</t>
  </si>
  <si>
    <t>AIJOB00660</t>
  </si>
  <si>
    <t>Hugging Face Transformers, Vector Databases, MLflow, OpenAI API</t>
  </si>
  <si>
    <t>AIJOB00661</t>
  </si>
  <si>
    <t>C++, GCP Vertex AI, Hugging Face Transformers, Kubernetes, RLHF, Weights &amp; Biases, TensorFlow</t>
  </si>
  <si>
    <t>AIJOB00662</t>
  </si>
  <si>
    <t>RLHF, Vector Databases, C++</t>
  </si>
  <si>
    <t>AIJOB00663</t>
  </si>
  <si>
    <t>FastAPI, Rust, LangChain, Weights &amp; Biases, Hugging Face Transformers, Azure ML, Fine-tuning</t>
  </si>
  <si>
    <t>AIJOB00664</t>
  </si>
  <si>
    <t>Rust, RLHF, MLflow, Docker, ChromaDB</t>
  </si>
  <si>
    <t>AIJOB00665</t>
  </si>
  <si>
    <t>dbt, AWS SageMaker, LlamaIndex, Weights &amp; Biases, MLflow, C++</t>
  </si>
  <si>
    <t>AIJOB00666</t>
  </si>
  <si>
    <t>Vector Databases, SQL, Hugging Face Transformers, Azure ML, Spark, LlamaIndex</t>
  </si>
  <si>
    <t>AIJOB00667</t>
  </si>
  <si>
    <t>Kubernetes, LlamaIndex, Docker, SQL</t>
  </si>
  <si>
    <t>AIJOB00668</t>
  </si>
  <si>
    <t>Spark, LangChain, GCP Vertex AI, Pinecone, TensorFlow, Docker</t>
  </si>
  <si>
    <t>AIJOB00669</t>
  </si>
  <si>
    <t>PyTorch, SQL, Docker, Weaviate</t>
  </si>
  <si>
    <t>AIJOB00670</t>
  </si>
  <si>
    <t>GCP Vertex AI, Rust, Spark</t>
  </si>
  <si>
    <t>AIJOB00671</t>
  </si>
  <si>
    <t>ChromaDB, Rust, Spark, SQL</t>
  </si>
  <si>
    <t>AIJOB00672</t>
  </si>
  <si>
    <t>Pinecone, AWS SageMaker, Spark, RLHF, LangChain, Hugging Face Transformers, Vector Databases</t>
  </si>
  <si>
    <t>AIJOB00673</t>
  </si>
  <si>
    <t>OpenAI API, AWS SageMaker, Pinecone, GCP Vertex AI</t>
  </si>
  <si>
    <t>AIJOB00674</t>
  </si>
  <si>
    <t>Vector Databases, Spark, SQL, Rust, Fine-tuning, Weights &amp; Biases, Docker</t>
  </si>
  <si>
    <t>AIJOB00675</t>
  </si>
  <si>
    <t>Fine-tuning, Azure ML, Spark</t>
  </si>
  <si>
    <t>AIJOB00676</t>
  </si>
  <si>
    <t>Rust, OpenAI API, SQL, Pinecone</t>
  </si>
  <si>
    <t>AIJOB00677</t>
  </si>
  <si>
    <t>RAG, PyTorch, LangChain, CUDA, Spark, GCP Vertex AI, Docker</t>
  </si>
  <si>
    <t>AIJOB00678</t>
  </si>
  <si>
    <t>TensorFlow, RLHF, Kubernetes, GCP Vertex AI, ChromaDB, Weaviate, dbt</t>
  </si>
  <si>
    <t>AIJOB00679</t>
  </si>
  <si>
    <t>Azure ML, GCP Vertex AI, OpenAI API, dbt, MLflow, Docker</t>
  </si>
  <si>
    <t>AIJOB00680</t>
  </si>
  <si>
    <t>CUDA, Rust, GCP Vertex AI, JAX, Weaviate, Vector Databases, AWS SageMaker</t>
  </si>
  <si>
    <t>AIJOB00681</t>
  </si>
  <si>
    <t>RLHF, JAX, Weights &amp; Biases, LlamaIndex, Spark</t>
  </si>
  <si>
    <t>AIJOB00682</t>
  </si>
  <si>
    <t>Kubernetes, GCP Vertex AI, Fine-tuning</t>
  </si>
  <si>
    <t>AIJOB00683</t>
  </si>
  <si>
    <t>Hugging Face Transformers, LangChain, Python, Weaviate, SQL</t>
  </si>
  <si>
    <t>AIJOB00684</t>
  </si>
  <si>
    <t>Python, LlamaIndex, JAX, RLHF, LangChain</t>
  </si>
  <si>
    <t>AIJOB00685</t>
  </si>
  <si>
    <t>Weights &amp; Biases, Pinecone, LangChain, Hugging Face Transformers, FastAPI, OpenAI API, C++</t>
  </si>
  <si>
    <t>AIJOB00686</t>
  </si>
  <si>
    <t>RAG, CUDA, LangChain, Azure ML, Rust, AWS SageMaker</t>
  </si>
  <si>
    <t>AIJOB00687</t>
  </si>
  <si>
    <t>ChromaDB, Python, LlamaIndex, Pinecone</t>
  </si>
  <si>
    <t>AIJOB00688</t>
  </si>
  <si>
    <t>Weights &amp; Biases, Rust, dbt, Hugging Face Transformers</t>
  </si>
  <si>
    <t>AIJOB00689</t>
  </si>
  <si>
    <t>PyTorch, Weights &amp; Biases, LlamaIndex, Fine-tuning, JAX, Weaviate</t>
  </si>
  <si>
    <t>AIJOB00690</t>
  </si>
  <si>
    <t>RLHF, LlamaIndex, SQL, Rust, Spark, Python, AWS SageMaker</t>
  </si>
  <si>
    <t>AIJOB00691</t>
  </si>
  <si>
    <t>Kubernetes, dbt, TensorFlow, Weights &amp; Biases</t>
  </si>
  <si>
    <t>AIJOB00692</t>
  </si>
  <si>
    <t>ChromaDB, Weights &amp; Biases, CUDA, PyTorch</t>
  </si>
  <si>
    <t>AIJOB00693</t>
  </si>
  <si>
    <t>OpenAI API, Spark, CUDA, C++, ChromaDB</t>
  </si>
  <si>
    <t>AIJOB00694</t>
  </si>
  <si>
    <t>RLHF, dbt, LangChain, CUDA, GCP Vertex AI, Pinecone, Docker</t>
  </si>
  <si>
    <t>AIJOB00695</t>
  </si>
  <si>
    <t>TensorFlow, CUDA, Pinecone, Hugging Face Transformers, RAG, C++, OpenAI API</t>
  </si>
  <si>
    <t>AIJOB00696</t>
  </si>
  <si>
    <t>Azure ML, Hugging Face Transformers, LangChain, dbt</t>
  </si>
  <si>
    <t>AIJOB00697</t>
  </si>
  <si>
    <t>GCP Vertex AI, LlamaIndex, Weights &amp; Biases, AWS SageMaker, Python, TensorFlow</t>
  </si>
  <si>
    <t>AIJOB00698</t>
  </si>
  <si>
    <t>OpenAI API, Kubernetes, C++, Azure ML, TensorFlow, CUDA, Docker</t>
  </si>
  <si>
    <t>AIJOB00699</t>
  </si>
  <si>
    <t>Vector Databases, Kubernetes, dbt, RLHF, AWS SageMaker, LangChain, Weaviate</t>
  </si>
  <si>
    <t>AIJOB00700</t>
  </si>
  <si>
    <t>FastAPI, AWS SageMaker, Kubernetes, Pinecone, LangChain, TensorFlow</t>
  </si>
  <si>
    <t>AIJOB00701</t>
  </si>
  <si>
    <t>JAX, Docker, Spark, Pinecone, GCP Vertex AI</t>
  </si>
  <si>
    <t>AIJOB00702</t>
  </si>
  <si>
    <t>SQL, Pinecone, dbt, RAG, PyTorch, JAX</t>
  </si>
  <si>
    <t>AIJOB00703</t>
  </si>
  <si>
    <t>PyTorch, RAG, C++, Rust, Spark, Weights &amp; Biases, Fine-tuning</t>
  </si>
  <si>
    <t>AIJOB00704</t>
  </si>
  <si>
    <t>Azure ML, Kubernetes, Docker, RLHF, Rust</t>
  </si>
  <si>
    <t>AIJOB00705</t>
  </si>
  <si>
    <t>SQL, Weaviate, Weights &amp; Biases, Rust, C++</t>
  </si>
  <si>
    <t>AIJOB00706</t>
  </si>
  <si>
    <t>GCP Vertex AI, Rust, RLHF, JAX, Azure ML</t>
  </si>
  <si>
    <t>AIJOB00707</t>
  </si>
  <si>
    <t>TensorFlow, MLflow, SQL, JAX</t>
  </si>
  <si>
    <t>AIJOB00708</t>
  </si>
  <si>
    <t>Kubernetes, Weaviate, LlamaIndex</t>
  </si>
  <si>
    <t>AIJOB00709</t>
  </si>
  <si>
    <t>Vector Databases, C++, RLHF, Fine-tuning, Weaviate, FastAPI, ChromaDB</t>
  </si>
  <si>
    <t>AIJOB00710</t>
  </si>
  <si>
    <t>MLflow, LlamaIndex, GCP Vertex AI</t>
  </si>
  <si>
    <t>AIJOB00711</t>
  </si>
  <si>
    <t>C++, Kubernetes, RLHF, Docker, ChromaDB, PyTorch, JAX</t>
  </si>
  <si>
    <t>AIJOB00712</t>
  </si>
  <si>
    <t>ChromaDB, Docker, JAX, Weights &amp; Biases, Python</t>
  </si>
  <si>
    <t>AIJOB00713</t>
  </si>
  <si>
    <t>Fine-tuning, LlamaIndex, FastAPI, Weaviate, dbt, ChromaDB, GCP Vertex AI</t>
  </si>
  <si>
    <t>AIJOB00714</t>
  </si>
  <si>
    <t>C++, Hugging Face Transformers, Python, Spark</t>
  </si>
  <si>
    <t>AIJOB00715</t>
  </si>
  <si>
    <t>Hugging Face Transformers, MLflow, Fine-tuning, JAX, Docker</t>
  </si>
  <si>
    <t>AIJOB00716</t>
  </si>
  <si>
    <t>dbt, Azure ML, LangChain</t>
  </si>
  <si>
    <t>AIJOB00717</t>
  </si>
  <si>
    <t>Azure ML, LangChain, CUDA, dbt</t>
  </si>
  <si>
    <t>AIJOB00718</t>
  </si>
  <si>
    <t>Rust, AWS SageMaker, LangChain</t>
  </si>
  <si>
    <t>AIJOB00719</t>
  </si>
  <si>
    <t>TensorFlow, GCP Vertex AI, Kubernetes, Azure ML, LlamaIndex, C++, Vector Databases</t>
  </si>
  <si>
    <t>AIJOB00720</t>
  </si>
  <si>
    <t>LlamaIndex, RLHF, FastAPI, OpenAI API, AWS SageMaker</t>
  </si>
  <si>
    <t>AIJOB00721</t>
  </si>
  <si>
    <t>FastAPI, dbt, MLflow, PyTorch, Pinecone</t>
  </si>
  <si>
    <t>AIJOB00722</t>
  </si>
  <si>
    <t>C++, dbt, CUDA</t>
  </si>
  <si>
    <t>AIJOB00723</t>
  </si>
  <si>
    <t>Python, PyTorch, RAG, OpenAI API, MLflow, LangChain, AWS SageMaker</t>
  </si>
  <si>
    <t>AIJOB00724</t>
  </si>
  <si>
    <t>OpenAI API, JAX, Spark, Weights &amp; Biases, Docker</t>
  </si>
  <si>
    <t>AIJOB00725</t>
  </si>
  <si>
    <t>TensorFlow, Spark, LangChain, Hugging Face Transformers</t>
  </si>
  <si>
    <t>AIJOB00726</t>
  </si>
  <si>
    <t>Docker, LangChain, FastAPI, CUDA, RAG, OpenAI API, TensorFlow</t>
  </si>
  <si>
    <t>AIJOB00727</t>
  </si>
  <si>
    <t>RLHF, Weights &amp; Biases, LlamaIndex, SQL, FastAPI</t>
  </si>
  <si>
    <t>AIJOB00728</t>
  </si>
  <si>
    <t>RAG, LlamaIndex, AWS SageMaker</t>
  </si>
  <si>
    <t>AIJOB00729</t>
  </si>
  <si>
    <t>LangChain, dbt, TensorFlow</t>
  </si>
  <si>
    <t>AIJOB00730</t>
  </si>
  <si>
    <t>FastAPI, Spark, PyTorch, ChromaDB</t>
  </si>
  <si>
    <t>AIJOB00731</t>
  </si>
  <si>
    <t>Vector Databases, LlamaIndex, RLHF, Weaviate, Azure ML, Kubernetes</t>
  </si>
  <si>
    <t>AIJOB00732</t>
  </si>
  <si>
    <t>OpenAI API, RAG, Fine-tuning, JAX, RLHF</t>
  </si>
  <si>
    <t>AIJOB00733</t>
  </si>
  <si>
    <t>Azure ML, RLHF, Weaviate, FastAPI, Fine-tuning, JAX, Spark</t>
  </si>
  <si>
    <t>AIJOB00734</t>
  </si>
  <si>
    <t>RLHF, Python, MLflow, OpenAI API</t>
  </si>
  <si>
    <t>AIJOB00735</t>
  </si>
  <si>
    <t>Pinecone, Weights &amp; Biases, Spark, PyTorch, dbt, LangChain, TensorFlow</t>
  </si>
  <si>
    <t>AIJOB00736</t>
  </si>
  <si>
    <t>JAX, C++, RLHF, Vector Databases, GCP Vertex AI, MLflow, Hugging Face Transformers</t>
  </si>
  <si>
    <t>AIJOB00737</t>
  </si>
  <si>
    <t>dbt, LlamaIndex, RLHF</t>
  </si>
  <si>
    <t>AIJOB00738</t>
  </si>
  <si>
    <t>Azure ML, GCP Vertex AI, TensorFlow, JAX, C++, Hugging Face Transformers, LlamaIndex</t>
  </si>
  <si>
    <t>AIJOB00739</t>
  </si>
  <si>
    <t>SQL, JAX, ChromaDB</t>
  </si>
  <si>
    <t>AIJOB00740</t>
  </si>
  <si>
    <t>PyTorch, Docker, Weights &amp; Biases, FastAPI, dbt</t>
  </si>
  <si>
    <t>AIJOB00741</t>
  </si>
  <si>
    <t>GCP Vertex AI, Azure ML, Rust, Pinecone, Fine-tuning, FastAPI</t>
  </si>
  <si>
    <t>AIJOB00742</t>
  </si>
  <si>
    <t>Rust, FastAPI, LangChain, Kubernetes</t>
  </si>
  <si>
    <t>AIJOB00743</t>
  </si>
  <si>
    <t>Spark, CUDA, GCP Vertex AI, Rust, dbt, LangChain</t>
  </si>
  <si>
    <t>AIJOB00744</t>
  </si>
  <si>
    <t>Spark, Pinecone, OpenAI API, Vector Databases, C++</t>
  </si>
  <si>
    <t>AIJOB00745</t>
  </si>
  <si>
    <t>MLflow, FastAPI, TensorFlow</t>
  </si>
  <si>
    <t>AIJOB00746</t>
  </si>
  <si>
    <t>AWS SageMaker, FastAPI, Hugging Face Transformers, TensorFlow, PyTorch</t>
  </si>
  <si>
    <t>AIJOB00747</t>
  </si>
  <si>
    <t>dbt, TensorFlow, ChromaDB, Docker, Weights &amp; Biases, GCP Vertex AI, RLHF</t>
  </si>
  <si>
    <t>AIJOB00748</t>
  </si>
  <si>
    <t>RLHF, CUDA, JAX, C++, LlamaIndex, FastAPI</t>
  </si>
  <si>
    <t>AIJOB00749</t>
  </si>
  <si>
    <t>Python, RAG, Vector Databases</t>
  </si>
  <si>
    <t>AIJOB00750</t>
  </si>
  <si>
    <t>Vector Databases, dbt, PyTorch, Azure ML</t>
  </si>
  <si>
    <t>AIJOB00751</t>
  </si>
  <si>
    <t>Fine-tuning, SQL, LangChain, CUDA, LlamaIndex, Pinecone, AWS SageMaker</t>
  </si>
  <si>
    <t>AIJOB00752</t>
  </si>
  <si>
    <t>Weaviate, GCP Vertex AI, ChromaDB, Rust, MLflow</t>
  </si>
  <si>
    <t>AIJOB00753</t>
  </si>
  <si>
    <t>RAG, FastAPI, LlamaIndex</t>
  </si>
  <si>
    <t>AIJOB00754</t>
  </si>
  <si>
    <t>GCP Vertex AI, Azure ML, C++</t>
  </si>
  <si>
    <t>AIJOB00755</t>
  </si>
  <si>
    <t>Pinecone, Rust, AWS SageMaker, Kubernetes</t>
  </si>
  <si>
    <t>AIJOB00756</t>
  </si>
  <si>
    <t>Spark, RAG, Weaviate, Hugging Face Transformers, SQL, RLHF</t>
  </si>
  <si>
    <t>AIJOB00757</t>
  </si>
  <si>
    <t>Azure ML, LlamaIndex, GCP Vertex AI, Weights &amp; Biases, RAG, Weaviate</t>
  </si>
  <si>
    <t>AIJOB00758</t>
  </si>
  <si>
    <t>Vector Databases, TensorFlow, LlamaIndex, LangChain</t>
  </si>
  <si>
    <t>AIJOB00759</t>
  </si>
  <si>
    <t>C++, OpenAI API, RLHF</t>
  </si>
  <si>
    <t>AIJOB00760</t>
  </si>
  <si>
    <t>FastAPI, Spark, dbt, RAG, Python, Pinecone</t>
  </si>
  <si>
    <t>AIJOB00761</t>
  </si>
  <si>
    <t>JAX, Azure ML, Pinecone, Hugging Face Transformers, RAG, OpenAI API, LlamaIndex</t>
  </si>
  <si>
    <t>AIJOB00762</t>
  </si>
  <si>
    <t>RLHF, Python, SQL, Spark, dbt</t>
  </si>
  <si>
    <t>AIJOB00763</t>
  </si>
  <si>
    <t>PyTorch, Spark, CUDA, Kubernetes, ChromaDB, Docker</t>
  </si>
  <si>
    <t>AIJOB00764</t>
  </si>
  <si>
    <t>Vector Databases, Weaviate, SQL, AWS SageMaker, dbt, Kubernetes</t>
  </si>
  <si>
    <t>AIJOB00765</t>
  </si>
  <si>
    <t>Fine-tuning, Weights &amp; Biases, JAX, Azure ML</t>
  </si>
  <si>
    <t>AIJOB00766</t>
  </si>
  <si>
    <t>Python, LangChain, TensorFlow, Weights &amp; Biases</t>
  </si>
  <si>
    <t>AIJOB00767</t>
  </si>
  <si>
    <t>C++, RLHF, Fine-tuning, Hugging Face Transformers, Python, ChromaDB</t>
  </si>
  <si>
    <t>AIJOB00768</t>
  </si>
  <si>
    <t>Spark, PyTorch, CUDA</t>
  </si>
  <si>
    <t>AIJOB00769</t>
  </si>
  <si>
    <t>Weaviate, LlamaIndex, GCP Vertex AI, Weights &amp; Biases, Spark, Azure ML, Fine-tuning</t>
  </si>
  <si>
    <t>AIJOB00770</t>
  </si>
  <si>
    <t>Azure ML, Spark, RLHF, FastAPI, Weaviate</t>
  </si>
  <si>
    <t>AIJOB00771</t>
  </si>
  <si>
    <t>Pinecone, Weaviate, PyTorch</t>
  </si>
  <si>
    <t>AIJOB00772</t>
  </si>
  <si>
    <t>ChromaDB, Azure ML, Weights &amp; Biases, Fine-tuning</t>
  </si>
  <si>
    <t>AIJOB00773</t>
  </si>
  <si>
    <t>Kubernetes, FastAPI, RAG, AWS SageMaker, C++</t>
  </si>
  <si>
    <t>AIJOB00774</t>
  </si>
  <si>
    <t>dbt, RAG, Python, MLflow, SQL</t>
  </si>
  <si>
    <t>AIJOB00775</t>
  </si>
  <si>
    <t>CUDA, Rust, RAG, FastAPI, Weaviate, LangChain</t>
  </si>
  <si>
    <t>AIJOB00776</t>
  </si>
  <si>
    <t>RLHF, RAG, Weights &amp; Biases</t>
  </si>
  <si>
    <t>AIJOB00777</t>
  </si>
  <si>
    <t>MLflow, ChromaDB, RAG, Rust, Weaviate</t>
  </si>
  <si>
    <t>AIJOB00778</t>
  </si>
  <si>
    <t>OpenAI API, Vector Databases, Kubernetes</t>
  </si>
  <si>
    <t>AIJOB00779</t>
  </si>
  <si>
    <t>ChromaDB, Python, RLHF, Vector Databases, Azure ML, MLflow, Fine-tuning</t>
  </si>
  <si>
    <t>AIJOB00780</t>
  </si>
  <si>
    <t>Vector Databases, RAG, Pinecone, Kubernetes, JAX</t>
  </si>
  <si>
    <t>AIJOB00781</t>
  </si>
  <si>
    <t>Kubernetes, OpenAI API, LlamaIndex</t>
  </si>
  <si>
    <t>AIJOB00782</t>
  </si>
  <si>
    <t>OpenAI API, dbt, Vector Databases, LangChain</t>
  </si>
  <si>
    <t>AIJOB00783</t>
  </si>
  <si>
    <t>C++, Spark, Azure ML, Kubernetes, Docker, Fine-tuning</t>
  </si>
  <si>
    <t>AIJOB00784</t>
  </si>
  <si>
    <t>JAX, Fine-tuning, Spark, FastAPI, C++, Hugging Face Transformers, Kubernetes</t>
  </si>
  <si>
    <t>AIJOB00785</t>
  </si>
  <si>
    <t>AWS SageMaker, C++, Weaviate, SQL, GCP Vertex AI</t>
  </si>
  <si>
    <t>AIJOB00786</t>
  </si>
  <si>
    <t>GCP Vertex AI, Weaviate, Pinecone, SQL, Spark, TensorFlow</t>
  </si>
  <si>
    <t>AIJOB00787</t>
  </si>
  <si>
    <t>Docker, JAX, SQL, Fine-tuning, dbt, FastAPI</t>
  </si>
  <si>
    <t>AIJOB00788</t>
  </si>
  <si>
    <t>Spark, Kubernetes, OpenAI API, SQL, Rust</t>
  </si>
  <si>
    <t>AIJOB00789</t>
  </si>
  <si>
    <t>RAG, Python, TensorFlow, OpenAI API, Docker, Vector Databases, RLHF</t>
  </si>
  <si>
    <t>AIJOB00790</t>
  </si>
  <si>
    <t>LlamaIndex, Hugging Face Transformers, LangChain</t>
  </si>
  <si>
    <t>AIJOB00791</t>
  </si>
  <si>
    <t>SQL, Weights &amp; Biases, Docker, AWS SageMaker, Fine-tuning</t>
  </si>
  <si>
    <t>AIJOB00792</t>
  </si>
  <si>
    <t>OpenAI API, Weaviate, SQL, Python, Hugging Face Transformers, TensorFlow</t>
  </si>
  <si>
    <t>AIJOB00793</t>
  </si>
  <si>
    <t>Fine-tuning, ChromaDB, CUDA, SQL, RAG</t>
  </si>
  <si>
    <t>AIJOB00794</t>
  </si>
  <si>
    <t>Rust, Pinecone, GCP Vertex AI, C++, Python, Vector Databases</t>
  </si>
  <si>
    <t>AIJOB00795</t>
  </si>
  <si>
    <t>Docker, Kubernetes, MLflow, AWS SageMaker, CUDA, RAG</t>
  </si>
  <si>
    <t>AIJOB00796</t>
  </si>
  <si>
    <t>TensorFlow, Fine-tuning, Docker, Azure ML, Kubernetes, C++</t>
  </si>
  <si>
    <t>AIJOB00797</t>
  </si>
  <si>
    <t>SQL, MLflow, Weaviate</t>
  </si>
  <si>
    <t>AIJOB00798</t>
  </si>
  <si>
    <t>SQL, PyTorch, ChromaDB</t>
  </si>
  <si>
    <t>AIJOB00799</t>
  </si>
  <si>
    <t>Weaviate, LangChain, FastAPI, RLHF</t>
  </si>
  <si>
    <t>AIJOB00800</t>
  </si>
  <si>
    <t>LlamaIndex, Hugging Face Transformers, PyTorch, Vector Databases, JAX, FastAPI</t>
  </si>
  <si>
    <t>AIJOB00801</t>
  </si>
  <si>
    <t>AWS SageMaker, RLHF, Pinecone</t>
  </si>
  <si>
    <t>AIJOB00802</t>
  </si>
  <si>
    <t>CUDA, Vector Databases, LlamaIndex, Rust, PyTorch, OpenAI API, TensorFlow</t>
  </si>
  <si>
    <t>AIJOB00803</t>
  </si>
  <si>
    <t>RLHF, CUDA, ChromaDB, Rust</t>
  </si>
  <si>
    <t>AIJOB00804</t>
  </si>
  <si>
    <t>Kubernetes, LlamaIndex, JAX</t>
  </si>
  <si>
    <t>AIJOB00805</t>
  </si>
  <si>
    <t>TensorFlow, Azure ML, GCP Vertex AI, OpenAI API, AWS SageMaker, Pinecone</t>
  </si>
  <si>
    <t>AIJOB00806</t>
  </si>
  <si>
    <t>PyTorch, Rust, Pinecone, ChromaDB, LangChain</t>
  </si>
  <si>
    <t>AIJOB00807</t>
  </si>
  <si>
    <t>Weights &amp; Biases, JAX, Spark, Docker, LlamaIndex, FastAPI</t>
  </si>
  <si>
    <t>AIJOB00808</t>
  </si>
  <si>
    <t>Fine-tuning, Weaviate, ChromaDB, Docker</t>
  </si>
  <si>
    <t>AIJOB00809</t>
  </si>
  <si>
    <t>SQL, Weights &amp; Biases, Azure ML, CUDA, Vector Databases</t>
  </si>
  <si>
    <t>AIJOB00810</t>
  </si>
  <si>
    <t>C++, Python, Fine-tuning, Vector Databases</t>
  </si>
  <si>
    <t>AIJOB00811</t>
  </si>
  <si>
    <t>JAX, LlamaIndex, LangChain, MLflow, Weaviate, Pinecone</t>
  </si>
  <si>
    <t>AIJOB00812</t>
  </si>
  <si>
    <t>Fine-tuning, Vector Databases, Python, GCP Vertex AI</t>
  </si>
  <si>
    <t>AIJOB00813</t>
  </si>
  <si>
    <t>Hugging Face Transformers, SQL, GCP Vertex AI, ChromaDB, RAG</t>
  </si>
  <si>
    <t>AIJOB00814</t>
  </si>
  <si>
    <t>AWS SageMaker, C++, Azure ML, dbt</t>
  </si>
  <si>
    <t>AIJOB00815</t>
  </si>
  <si>
    <t>Rust, Hugging Face Transformers, JAX, RAG</t>
  </si>
  <si>
    <t>AIJOB00816</t>
  </si>
  <si>
    <t>LangChain, Vector Databases, SQL, Kubernetes, MLflow, AWS SageMaker, PyTorch</t>
  </si>
  <si>
    <t>AIJOB00817</t>
  </si>
  <si>
    <t>dbt, GCP Vertex AI, OpenAI API, Kubernetes, RLHF</t>
  </si>
  <si>
    <t>AIJOB00818</t>
  </si>
  <si>
    <t>Fine-tuning, JAX, LangChain, Spark, dbt, FastAPI</t>
  </si>
  <si>
    <t>AIJOB00819</t>
  </si>
  <si>
    <t>Rust, MLflow, GCP Vertex AI, RLHF, LlamaIndex, C++</t>
  </si>
  <si>
    <t>AIJOB00820</t>
  </si>
  <si>
    <t>Pinecone, SQL, Vector Databases, Docker</t>
  </si>
  <si>
    <t>AIJOB00821</t>
  </si>
  <si>
    <t>OpenAI API, LlamaIndex, GCP Vertex AI, dbt</t>
  </si>
  <si>
    <t>AIJOB00822</t>
  </si>
  <si>
    <t>AWS SageMaker, Weaviate, FastAPI, RLHF, PyTorch, JAX, GCP Vertex AI</t>
  </si>
  <si>
    <t>AIJOB00823</t>
  </si>
  <si>
    <t>C++, Kubernetes, dbt</t>
  </si>
  <si>
    <t>AIJOB00824</t>
  </si>
  <si>
    <t>Python, Pinecone, Weights &amp; Biases, Rust, FastAPI, Spark</t>
  </si>
  <si>
    <t>AIJOB00825</t>
  </si>
  <si>
    <t>Spark, OpenAI API, Python, dbt, Fine-tuning, TensorFlow, GCP Vertex AI</t>
  </si>
  <si>
    <t>AIJOB00826</t>
  </si>
  <si>
    <t>Weaviate, MLflow, Spark, TensorFlow, LlamaIndex</t>
  </si>
  <si>
    <t>AIJOB00827</t>
  </si>
  <si>
    <t>RLHF, Pinecone, LangChain, Vector Databases, dbt, SQL, Docker</t>
  </si>
  <si>
    <t>AIJOB00828</t>
  </si>
  <si>
    <t>Pinecone, C++, MLflow, Weaviate</t>
  </si>
  <si>
    <t>AIJOB00829</t>
  </si>
  <si>
    <t>Weaviate, FastAPI, RLHF, RAG, GCP Vertex AI, Spark</t>
  </si>
  <si>
    <t>AIJOB00830</t>
  </si>
  <si>
    <t>SQL, Pinecone, Weaviate</t>
  </si>
  <si>
    <t>AIJOB00831</t>
  </si>
  <si>
    <t>CUDA, LangChain, PyTorch</t>
  </si>
  <si>
    <t>AIJOB00832</t>
  </si>
  <si>
    <t>Python, JAX, AWS SageMaker, GCP Vertex AI, Hugging Face Transformers, MLflow</t>
  </si>
  <si>
    <t>AIJOB00833</t>
  </si>
  <si>
    <t>Kubernetes, PyTorch, Docker</t>
  </si>
  <si>
    <t>AIJOB00834</t>
  </si>
  <si>
    <t>AWS SageMaker, JAX, Fine-tuning</t>
  </si>
  <si>
    <t>AIJOB00835</t>
  </si>
  <si>
    <t>ChromaDB, Weaviate, JAX, Rust</t>
  </si>
  <si>
    <t>AIJOB00836</t>
  </si>
  <si>
    <t>ChromaDB, Rust, Weights &amp; Biases, FastAPI, C++</t>
  </si>
  <si>
    <t>AIJOB00837</t>
  </si>
  <si>
    <t>CUDA, LangChain, MLflow, Fine-tuning, Docker, Spark, SQL</t>
  </si>
  <si>
    <t>AIJOB00838</t>
  </si>
  <si>
    <t>Weights &amp; Biases, TensorFlow, dbt</t>
  </si>
  <si>
    <t>AIJOB00839</t>
  </si>
  <si>
    <t>CUDA, Azure ML, GCP Vertex AI</t>
  </si>
  <si>
    <t>AIJOB00840</t>
  </si>
  <si>
    <t>Docker, Python, Fine-tuning</t>
  </si>
  <si>
    <t>AIJOB00841</t>
  </si>
  <si>
    <t>TensorFlow, ChromaDB, RLHF, Azure ML, AWS SageMaker, Spark, Kubernetes</t>
  </si>
  <si>
    <t>AIJOB00842</t>
  </si>
  <si>
    <t>Spark, LlamaIndex, LangChain, Docker, Weights &amp; Biases, Azure ML, Pinecone</t>
  </si>
  <si>
    <t>AIJOB00843</t>
  </si>
  <si>
    <t>Python, GCP Vertex AI, FastAPI, MLflow</t>
  </si>
  <si>
    <t>AIJOB00844</t>
  </si>
  <si>
    <t>ChromaDB, Azure ML, LangChain, RAG, Vector Databases, SQL, OpenAI API</t>
  </si>
  <si>
    <t>AIJOB00845</t>
  </si>
  <si>
    <t>Fine-tuning, CUDA, PyTorch, OpenAI API</t>
  </si>
  <si>
    <t>AIJOB00846</t>
  </si>
  <si>
    <t>JAX, RLHF, OpenAI API, TensorFlow, GCP Vertex AI, Kubernetes, SQL</t>
  </si>
  <si>
    <t>AIJOB00847</t>
  </si>
  <si>
    <t>LangChain, TensorFlow, Pinecone, ChromaDB, Kubernetes</t>
  </si>
  <si>
    <t>AIJOB00848</t>
  </si>
  <si>
    <t>Kubernetes, Weights &amp; Biases, PyTorch, Hugging Face Transformers</t>
  </si>
  <si>
    <t>AIJOB00849</t>
  </si>
  <si>
    <t>MLflow, TensorFlow, C++, JAX</t>
  </si>
  <si>
    <t>AIJOB00850</t>
  </si>
  <si>
    <t>MLflow, C++, Hugging Face Transformers, Docker</t>
  </si>
  <si>
    <t>AIJOB00851</t>
  </si>
  <si>
    <t>dbt, ChromaDB, OpenAI API, RLHF, Fine-tuning, Hugging Face Transformers, SQL</t>
  </si>
  <si>
    <t>AIJOB00852</t>
  </si>
  <si>
    <t>JAX, PyTorch, Kubernetes, Weights &amp; Biases</t>
  </si>
  <si>
    <t>AIJOB00853</t>
  </si>
  <si>
    <t>Weaviate, TensorFlow, Kubernetes, JAX, Rust, CUDA, GCP Vertex AI</t>
  </si>
  <si>
    <t>AIJOB00854</t>
  </si>
  <si>
    <t>TensorFlow, Fine-tuning, Weights &amp; Biases, Spark, Weaviate, JAX</t>
  </si>
  <si>
    <t>AIJOB00855</t>
  </si>
  <si>
    <t>TensorFlow, JAX, MLflow, OpenAI API, Vector Databases, LangChain, RLHF</t>
  </si>
  <si>
    <t>AIJOB00856</t>
  </si>
  <si>
    <t>C++, LlamaIndex, SQL, dbt, ChromaDB, Weaviate, Vector Databases</t>
  </si>
  <si>
    <t>AIJOB00857</t>
  </si>
  <si>
    <t>Python, dbt, Docker</t>
  </si>
  <si>
    <t>AIJOB00858</t>
  </si>
  <si>
    <t>Pinecone, Kubernetes, GCP Vertex AI, Azure ML, dbt</t>
  </si>
  <si>
    <t>AIJOB00859</t>
  </si>
  <si>
    <t>RLHF, SQL, Azure ML, Rust, Python, CUDA, Spark</t>
  </si>
  <si>
    <t>AIJOB00860</t>
  </si>
  <si>
    <t>Docker, Spark, Weights &amp; Biases</t>
  </si>
  <si>
    <t>AIJOB00861</t>
  </si>
  <si>
    <t>SQL, dbt, AWS SageMaker, Weights &amp; Biases, Hugging Face Transformers, Pinecone</t>
  </si>
  <si>
    <t>AIJOB00862</t>
  </si>
  <si>
    <t>TensorFlow, RLHF, CUDA, PyTorch, C++</t>
  </si>
  <si>
    <t>AIJOB00863</t>
  </si>
  <si>
    <t>CUDA, Weights &amp; Biases, Python, dbt</t>
  </si>
  <si>
    <t>AIJOB00864</t>
  </si>
  <si>
    <t>Pinecone, Hugging Face Transformers, C++, Docker, GCP Vertex AI, Weights &amp; Biases, LlamaIndex</t>
  </si>
  <si>
    <t>AIJOB00865</t>
  </si>
  <si>
    <t>RAG, Weights &amp; Biases, Kubernetes</t>
  </si>
  <si>
    <t>AIJOB00866</t>
  </si>
  <si>
    <t>Vector Databases, OpenAI API, LlamaIndex, RAG</t>
  </si>
  <si>
    <t>AIJOB00867</t>
  </si>
  <si>
    <t>FastAPI, Weaviate, Weights &amp; Biases, Pinecone, Python, JAX</t>
  </si>
  <si>
    <t>AIJOB00868</t>
  </si>
  <si>
    <t>Spark, MLflow, Vector Databases, Docker, Weights &amp; Biases, AWS SageMaker</t>
  </si>
  <si>
    <t>AIJOB00869</t>
  </si>
  <si>
    <t>SQL, TensorFlow, Rust, LangChain, CUDA</t>
  </si>
  <si>
    <t>AIJOB00870</t>
  </si>
  <si>
    <t>OpenAI API, SQL, Pinecone, LlamaIndex</t>
  </si>
  <si>
    <t>AIJOB00871</t>
  </si>
  <si>
    <t>C++, Azure ML, Spark</t>
  </si>
  <si>
    <t>AIJOB00872</t>
  </si>
  <si>
    <t>Pinecone, JAX, OpenAI API</t>
  </si>
  <si>
    <t>AIJOB00873</t>
  </si>
  <si>
    <t>Azure ML, PyTorch, C++, Fine-tuning, Pinecone</t>
  </si>
  <si>
    <t>AIJOB00874</t>
  </si>
  <si>
    <t>Python, Rust, Pinecone, RLHF, FastAPI, OpenAI API, GCP Vertex AI</t>
  </si>
  <si>
    <t>AIJOB00875</t>
  </si>
  <si>
    <t>SQL, C++, PyTorch</t>
  </si>
  <si>
    <t>AIJOB00876</t>
  </si>
  <si>
    <t>SQL, Spark, Fine-tuning, FastAPI, JAX, ChromaDB, RAG</t>
  </si>
  <si>
    <t>AIJOB00877</t>
  </si>
  <si>
    <t>LangChain, AWS SageMaker, Python, FastAPI, Pinecone, CUDA, ChromaDB</t>
  </si>
  <si>
    <t>AIJOB00878</t>
  </si>
  <si>
    <t>LlamaIndex, RAG, Spark, LangChain, RLHF, Fine-tuning</t>
  </si>
  <si>
    <t>AIJOB00879</t>
  </si>
  <si>
    <t>dbt, JAX, Weaviate, FastAPI</t>
  </si>
  <si>
    <t>AIJOB00880</t>
  </si>
  <si>
    <t>RAG, ChromaDB, FastAPI, Azure ML</t>
  </si>
  <si>
    <t>AIJOB00881</t>
  </si>
  <si>
    <t>dbt, C++, JAX</t>
  </si>
  <si>
    <t>AIJOB00882</t>
  </si>
  <si>
    <t>CUDA, Pinecone, Docker, Spark, JAX</t>
  </si>
  <si>
    <t>AIJOB00883</t>
  </si>
  <si>
    <t>Pinecone, OpenAI API, TensorFlow, C++, dbt, CUDA</t>
  </si>
  <si>
    <t>AIJOB00884</t>
  </si>
  <si>
    <t>CUDA, Spark, Pinecone, OpenAI API</t>
  </si>
  <si>
    <t>AIJOB00885</t>
  </si>
  <si>
    <t>MLflow, RLHF, JAX</t>
  </si>
  <si>
    <t>AIJOB00886</t>
  </si>
  <si>
    <t>TensorFlow, FastAPI, CUDA, Docker, Python, RAG, Pinecone</t>
  </si>
  <si>
    <t>AIJOB00887</t>
  </si>
  <si>
    <t>RLHF, Weaviate, TensorFlow</t>
  </si>
  <si>
    <t>AIJOB00888</t>
  </si>
  <si>
    <t>Azure ML, RAG, LangChain, OpenAI API, Rust, RLHF, TensorFlow</t>
  </si>
  <si>
    <t>AIJOB00889</t>
  </si>
  <si>
    <t>Fine-tuning, Docker, AWS SageMaker</t>
  </si>
  <si>
    <t>AIJOB00890</t>
  </si>
  <si>
    <t>Python, C++, Hugging Face Transformers</t>
  </si>
  <si>
    <t>AIJOB00891</t>
  </si>
  <si>
    <t>RLHF, Kubernetes, FastAPI, Fine-tuning, CUDA, Weaviate, C++</t>
  </si>
  <si>
    <t>AIJOB00892</t>
  </si>
  <si>
    <t>RAG, dbt, LangChain, RLHF, Vector Databases, MLflow</t>
  </si>
  <si>
    <t>AIJOB00893</t>
  </si>
  <si>
    <t>GCP Vertex AI, dbt, Hugging Face Transformers, TensorFlow, RAG</t>
  </si>
  <si>
    <t>AIJOB00894</t>
  </si>
  <si>
    <t>ChromaDB, LlamaIndex, GCP Vertex AI</t>
  </si>
  <si>
    <t>AIJOB00895</t>
  </si>
  <si>
    <t>Rust, PyTorch, SQL, MLflow, Weights &amp; Biases</t>
  </si>
  <si>
    <t>AIJOB00896</t>
  </si>
  <si>
    <t>Pinecone, RLHF, Rust, FastAPI, PyTorch, MLflow, Spark</t>
  </si>
  <si>
    <t>AIJOB00897</t>
  </si>
  <si>
    <t>SQL, TensorFlow, Weights &amp; Biases</t>
  </si>
  <si>
    <t>AIJOB00898</t>
  </si>
  <si>
    <t>Vector Databases, Weights &amp; Biases, PyTorch, Rust</t>
  </si>
  <si>
    <t>AIJOB00899</t>
  </si>
  <si>
    <t>dbt, RLHF, ChromaDB, PyTorch, Python</t>
  </si>
  <si>
    <t>AIJOB00900</t>
  </si>
  <si>
    <t>Azure ML, C++, SQL, AWS SageMaker</t>
  </si>
  <si>
    <t>AIJOB00901</t>
  </si>
  <si>
    <t>dbt, GCP Vertex AI, Hugging Face Transformers</t>
  </si>
  <si>
    <t>AIJOB00902</t>
  </si>
  <si>
    <t>LangChain, Kubernetes, CUDA, Pinecone, Weaviate</t>
  </si>
  <si>
    <t>AIJOB00903</t>
  </si>
  <si>
    <t>Kubernetes, Python, OpenAI API, AWS SageMaker, Spark</t>
  </si>
  <si>
    <t>AIJOB00904</t>
  </si>
  <si>
    <t>OpenAI API, RAG, AWS SageMaker, TensorFlow, GCP Vertex AI</t>
  </si>
  <si>
    <t>AIJOB00905</t>
  </si>
  <si>
    <t>PyTorch, Python, SQL, Docker, CUDA</t>
  </si>
  <si>
    <t>AIJOB00906</t>
  </si>
  <si>
    <t>FastAPI, Vector Databases, Python, Docker</t>
  </si>
  <si>
    <t>AIJOB00907</t>
  </si>
  <si>
    <t>Pinecone, Fine-tuning, Rust, FastAPI, RLHF, Weaviate, C++</t>
  </si>
  <si>
    <t>AIJOB00908</t>
  </si>
  <si>
    <t>AWS SageMaker, Hugging Face Transformers, Pinecone, LlamaIndex, JAX, SQL, LangChain</t>
  </si>
  <si>
    <t>AIJOB00909</t>
  </si>
  <si>
    <t>TensorFlow, Kubernetes, LlamaIndex, Spark</t>
  </si>
  <si>
    <t>AIJOB00910</t>
  </si>
  <si>
    <t>AWS SageMaker, CUDA, Pinecone</t>
  </si>
  <si>
    <t>AIJOB00911</t>
  </si>
  <si>
    <t>Azure ML, CUDA, Pinecone, Weights &amp; Biases</t>
  </si>
  <si>
    <t>AIJOB00912</t>
  </si>
  <si>
    <t>SQL, LlamaIndex, JAX, C++</t>
  </si>
  <si>
    <t>AIJOB00913</t>
  </si>
  <si>
    <t>RAG, Pinecone, MLflow, TensorFlow, dbt, RLHF</t>
  </si>
  <si>
    <t>AIJOB00914</t>
  </si>
  <si>
    <t>LlamaIndex, SQL, TensorFlow, Pinecone, C++</t>
  </si>
  <si>
    <t>AIJOB00915</t>
  </si>
  <si>
    <t>OpenAI API, RLHF, Rust, MLflow</t>
  </si>
  <si>
    <t>AIJOB00916</t>
  </si>
  <si>
    <t>Rust, GCP Vertex AI, dbt, ChromaDB, TensorFlow, Spark</t>
  </si>
  <si>
    <t>AIJOB00917</t>
  </si>
  <si>
    <t>Fine-tuning, LangChain, Vector Databases, Weights &amp; Biases, Spark</t>
  </si>
  <si>
    <t>AIJOB00918</t>
  </si>
  <si>
    <t>JAX, RLHF, SQL, C++</t>
  </si>
  <si>
    <t>AIJOB00919</t>
  </si>
  <si>
    <t>OpenAI API, Vector Databases, MLflow</t>
  </si>
  <si>
    <t>AIJOB00920</t>
  </si>
  <si>
    <t>Weaviate, OpenAI API, Hugging Face Transformers</t>
  </si>
  <si>
    <t>AIJOB00921</t>
  </si>
  <si>
    <t>PyTorch, Rust, C++, FastAPI, CUDA, JAX</t>
  </si>
  <si>
    <t>AIJOB00922</t>
  </si>
  <si>
    <t>Python, FastAPI, LlamaIndex</t>
  </si>
  <si>
    <t>AIJOB00923</t>
  </si>
  <si>
    <t>ChromaDB, Fine-tuning, Vector Databases</t>
  </si>
  <si>
    <t>AIJOB00924</t>
  </si>
  <si>
    <t>PyTorch, LangChain, SQL, FastAPI</t>
  </si>
  <si>
    <t>AIJOB00925</t>
  </si>
  <si>
    <t>FastAPI, RLHF, Kubernetes, OpenAI API, SQL, Weights &amp; Biases, Rust</t>
  </si>
  <si>
    <t>AIJOB00926</t>
  </si>
  <si>
    <t>LangChain, TensorFlow, AWS SageMaker, Python</t>
  </si>
  <si>
    <t>AIJOB00927</t>
  </si>
  <si>
    <t>C++, ChromaDB, OpenAI API</t>
  </si>
  <si>
    <t>AIJOB00928</t>
  </si>
  <si>
    <t>C++, Python, FastAPI, LangChain, Kubernetes, RLHF</t>
  </si>
  <si>
    <t>AIJOB00929</t>
  </si>
  <si>
    <t>Python, LlamaIndex, Vector Databases, PyTorch</t>
  </si>
  <si>
    <t>AIJOB00930</t>
  </si>
  <si>
    <t>Kubernetes, LlamaIndex, CUDA, AWS SageMaker, Pinecone, Spark</t>
  </si>
  <si>
    <t>AIJOB00931</t>
  </si>
  <si>
    <t>Azure ML, RAG, Vector Databases, ChromaDB, FastAPI, Spark, RLHF</t>
  </si>
  <si>
    <t>AIJOB00932</t>
  </si>
  <si>
    <t>PyTorch, Weaviate, FastAPI</t>
  </si>
  <si>
    <t>AIJOB00933</t>
  </si>
  <si>
    <t>Python, Pinecone, LangChain, Rust, Weights &amp; Biases, dbt, Azure ML</t>
  </si>
  <si>
    <t>AIJOB00934</t>
  </si>
  <si>
    <t>MLflow, Kubernetes, GCP Vertex AI, TensorFlow, PyTorch, AWS SageMaker</t>
  </si>
  <si>
    <t>AIJOB00935</t>
  </si>
  <si>
    <t>RLHF, Fine-tuning, MLflow, SQL, Docker</t>
  </si>
  <si>
    <t>AIJOB00936</t>
  </si>
  <si>
    <t>TensorFlow, Azure ML, ChromaDB, Pinecone</t>
  </si>
  <si>
    <t>AIJOB00937</t>
  </si>
  <si>
    <t>ChromaDB, Vector Databases, dbt, RLHF, LangChain, Docker</t>
  </si>
  <si>
    <t>AIJOB00938</t>
  </si>
  <si>
    <t>Pinecone, PyTorch, Rust, ChromaDB, AWS SageMaker, Spark, SQL</t>
  </si>
  <si>
    <t>AIJOB00939</t>
  </si>
  <si>
    <t>LangChain, Fine-tuning, RAG, LlamaIndex, OpenAI API</t>
  </si>
  <si>
    <t>AIJOB00940</t>
  </si>
  <si>
    <t>RLHF, Rust, Python, TensorFlow, MLflow, Docker, Hugging Face Transformers</t>
  </si>
  <si>
    <t>AIJOB00941</t>
  </si>
  <si>
    <t>Spark, Rust, dbt</t>
  </si>
  <si>
    <t>AIJOB00942</t>
  </si>
  <si>
    <t>Python, Weights &amp; Biases, C++, Weaviate, Pinecone, Spark</t>
  </si>
  <si>
    <t>AIJOB00943</t>
  </si>
  <si>
    <t>Pinecone, Weights &amp; Biases, Kubernetes, ChromaDB, RLHF</t>
  </si>
  <si>
    <t>AIJOB00944</t>
  </si>
  <si>
    <t>RAG, ChromaDB, TensorFlow, AWS SageMaker</t>
  </si>
  <si>
    <t>AIJOB00945</t>
  </si>
  <si>
    <t>dbt, CUDA, Vector Databases, JAX, Spark, PyTorch, Docker</t>
  </si>
  <si>
    <t>AIJOB00946</t>
  </si>
  <si>
    <t>Weaviate, Kubernetes, GCP Vertex AI, Weights &amp; Biases, RAG, Azure ML, LangChain</t>
  </si>
  <si>
    <t>AIJOB00947</t>
  </si>
  <si>
    <t>SQL, Fine-tuning, Python, Docker, RLHF</t>
  </si>
  <si>
    <t>AIJOB00948</t>
  </si>
  <si>
    <t>Pinecone, ChromaDB, Rust</t>
  </si>
  <si>
    <t>AIJOB00949</t>
  </si>
  <si>
    <t>Fine-tuning, Python, SQL</t>
  </si>
  <si>
    <t>AIJOB00950</t>
  </si>
  <si>
    <t>OpenAI API, Vector Databases, Weights &amp; Biases, Fine-tuning</t>
  </si>
  <si>
    <t>AIJOB00951</t>
  </si>
  <si>
    <t>Vector Databases, LlamaIndex, Docker, LangChain, SQL</t>
  </si>
  <si>
    <t>AIJOB00952</t>
  </si>
  <si>
    <t>SQL, Weaviate, ChromaDB, FastAPI, Spark</t>
  </si>
  <si>
    <t>AIJOB00953</t>
  </si>
  <si>
    <t>RAG, Spark, Docker, Weaviate</t>
  </si>
  <si>
    <t>AIJOB00954</t>
  </si>
  <si>
    <t>GCP Vertex AI, Rust, dbt, PyTorch, LangChain</t>
  </si>
  <si>
    <t>AIJOB00955</t>
  </si>
  <si>
    <t>Fine-tuning, dbt, Weights &amp; Biases</t>
  </si>
  <si>
    <t>AIJOB00956</t>
  </si>
  <si>
    <t>Vector Databases, Python, PyTorch, CUDA, SQL, Spark</t>
  </si>
  <si>
    <t>AIJOB00957</t>
  </si>
  <si>
    <t>Rust, Fine-tuning, Docker, Hugging Face Transformers, Python</t>
  </si>
  <si>
    <t>AIJOB00958</t>
  </si>
  <si>
    <t>Rust, SQL, Python, Fine-tuning, LlamaIndex, Kubernetes, Azure ML</t>
  </si>
  <si>
    <t>AIJOB00959</t>
  </si>
  <si>
    <t>Hugging Face Transformers, CUDA, JAX, LangChain, C++, LlamaIndex</t>
  </si>
  <si>
    <t>AIJOB00960</t>
  </si>
  <si>
    <t>Azure ML, CUDA, Pinecone</t>
  </si>
  <si>
    <t>AIJOB00961</t>
  </si>
  <si>
    <t>OpenAI API, CUDA, TensorFlow, Hugging Face Transformers</t>
  </si>
  <si>
    <t>AIJOB00962</t>
  </si>
  <si>
    <t>OpenAI API, Pinecone, Docker</t>
  </si>
  <si>
    <t>AIJOB00963</t>
  </si>
  <si>
    <t>LlamaIndex, LangChain, dbt, Weaviate, MLflow</t>
  </si>
  <si>
    <t>AIJOB00964</t>
  </si>
  <si>
    <t>GCP Vertex AI, Weights &amp; Biases, LlamaIndex, OpenAI API, TensorFlow, LangChain</t>
  </si>
  <si>
    <t>AIJOB00965</t>
  </si>
  <si>
    <t>Kubernetes, dbt, AWS SageMaker, Spark</t>
  </si>
  <si>
    <t>AIJOB00966</t>
  </si>
  <si>
    <t>C++, PyTorch, Docker, GCP Vertex AI</t>
  </si>
  <si>
    <t>AIJOB00967</t>
  </si>
  <si>
    <t>CUDA, MLflow, Rust</t>
  </si>
  <si>
    <t>AIJOB00968</t>
  </si>
  <si>
    <t>Docker, Fine-tuning, PyTorch, C++, Weaviate</t>
  </si>
  <si>
    <t>AIJOB00969</t>
  </si>
  <si>
    <t>Weaviate, RLHF, Pinecone, dbt</t>
  </si>
  <si>
    <t>AIJOB00970</t>
  </si>
  <si>
    <t>ChromaDB, MLflow, LlamaIndex, Vector Databases, LangChain, Docker</t>
  </si>
  <si>
    <t>AIJOB00971</t>
  </si>
  <si>
    <t>Spark, Kubernetes, ChromaDB, RLHF, Hugging Face Transformers, Pinecone, CUDA</t>
  </si>
  <si>
    <t>AIJOB00972</t>
  </si>
  <si>
    <t>LlamaIndex, LangChain, PyTorch, C++</t>
  </si>
  <si>
    <t>AIJOB00973</t>
  </si>
  <si>
    <t>Rust, dbt, Vector Databases, MLflow, RAG, LangChain, Python</t>
  </si>
  <si>
    <t>AIJOB00974</t>
  </si>
  <si>
    <t>Rust, Vector Databases, Docker</t>
  </si>
  <si>
    <t>AIJOB00975</t>
  </si>
  <si>
    <t>RLHF, C++, FastAPI</t>
  </si>
  <si>
    <t>AIJOB00976</t>
  </si>
  <si>
    <t>Fine-tuning, Docker, TensorFlow, C++, Python, Spark</t>
  </si>
  <si>
    <t>AIJOB00977</t>
  </si>
  <si>
    <t>Python, Azure ML, FastAPI, Weaviate, C++, OpenAI API, Fine-tuning</t>
  </si>
  <si>
    <t>AIJOB00978</t>
  </si>
  <si>
    <t>Weaviate, Pinecone, Spark, ChromaDB, LangChain, Vector Databases, CUDA</t>
  </si>
  <si>
    <t>AIJOB00979</t>
  </si>
  <si>
    <t>LlamaIndex, Python, TensorFlow, Fine-tuning</t>
  </si>
  <si>
    <t>AIJOB00980</t>
  </si>
  <si>
    <t>Rust, RLHF, Azure ML</t>
  </si>
  <si>
    <t>AIJOB00981</t>
  </si>
  <si>
    <t>LlamaIndex, Docker, TensorFlow, SQL, MLflow, ChromaDB, RAG</t>
  </si>
  <si>
    <t>AIJOB00982</t>
  </si>
  <si>
    <t>C++, Weaviate, Azure ML</t>
  </si>
  <si>
    <t>AIJOB00983</t>
  </si>
  <si>
    <t>Python, Weights &amp; Biases, PyTorch, TensorFlow, Spark, RAG, Kubernetes</t>
  </si>
  <si>
    <t>AIJOB00984</t>
  </si>
  <si>
    <t>Python, PyTorch, TensorFlow, Vector Databases, Pinecone</t>
  </si>
  <si>
    <t>AIJOB00985</t>
  </si>
  <si>
    <t>Weaviate, Spark, MLflow, FastAPI, PyTorch</t>
  </si>
  <si>
    <t>AIJOB00986</t>
  </si>
  <si>
    <t>PyTorch, C++, ChromaDB, LlamaIndex, OpenAI API, JAX</t>
  </si>
  <si>
    <t>AIJOB00987</t>
  </si>
  <si>
    <t>Kubernetes, Rust, Spark, LlamaIndex, ChromaDB</t>
  </si>
  <si>
    <t>AIJOB00988</t>
  </si>
  <si>
    <t>LlamaIndex, Vector Databases, OpenAI API, Rust, AWS SageMaker, Weaviate, TensorFlow</t>
  </si>
  <si>
    <t>AIJOB00989</t>
  </si>
  <si>
    <t>RLHF, Docker, Pinecone, FastAPI, JAX</t>
  </si>
  <si>
    <t>AIJOB00990</t>
  </si>
  <si>
    <t>JAX, AWS SageMaker, Weaviate, Pinecone, OpenAI API</t>
  </si>
  <si>
    <t>AIJOB00991</t>
  </si>
  <si>
    <t>RLHF, SQL, GCP Vertex AI, Azure ML, TensorFlow</t>
  </si>
  <si>
    <t>AIJOB00992</t>
  </si>
  <si>
    <t>LangChain, Kubernetes, JAX, TensorFlow, C++, RLHF, Pinecone</t>
  </si>
  <si>
    <t>AIJOB00993</t>
  </si>
  <si>
    <t>MLflow, SQL, Azure ML, Kubernetes, GCP Vertex AI, Docker</t>
  </si>
  <si>
    <t>AIJOB00994</t>
  </si>
  <si>
    <t>FastAPI, Rust, MLflow, PyTorch, TensorFlow, GCP Vertex AI</t>
  </si>
  <si>
    <t>AIJOB00995</t>
  </si>
  <si>
    <t>LangChain, FastAPI, RLHF, MLflow, OpenAI API, LlamaIndex</t>
  </si>
  <si>
    <t>AIJOB00996</t>
  </si>
  <si>
    <t>OpenAI API, AWS SageMaker, FastAPI, Weights &amp; Biases, Python, JAX, MLflow</t>
  </si>
  <si>
    <t>AIJOB00997</t>
  </si>
  <si>
    <t>LangChain, Kubernetes, Spark, GCP Vertex AI, SQL, FastAPI, Hugging Face Transformers</t>
  </si>
  <si>
    <t>AIJOB00998</t>
  </si>
  <si>
    <t>ChromaDB, Python, Spark, CUDA, RAG, JAX, Fine-tuning</t>
  </si>
  <si>
    <t>AIJOB00999</t>
  </si>
  <si>
    <t>MLflow, JAX, OpenAI API, dbt</t>
  </si>
  <si>
    <t>AIJOB01000</t>
  </si>
  <si>
    <t>C++, Python, TensorFlow, Vector Databases, OpenAI API</t>
  </si>
  <si>
    <t>AIJOB01001</t>
  </si>
  <si>
    <t>Rust, Kubernetes, AWS SageMaker, GCP Vertex AI</t>
  </si>
  <si>
    <t>AIJOB01002</t>
  </si>
  <si>
    <t>Docker, Kubernetes, Python, LlamaIndex, LangChain, TensorFlow, RAG</t>
  </si>
  <si>
    <t>AIJOB01003</t>
  </si>
  <si>
    <t>GCP Vertex AI, CUDA, ChromaDB, Hugging Face Transformers, TensorFlow, Rust</t>
  </si>
  <si>
    <t>AIJOB01004</t>
  </si>
  <si>
    <t>Hugging Face Transformers, TensorFlow, Docker, RLHF, Rust, Python, MLflow</t>
  </si>
  <si>
    <t>AIJOB01005</t>
  </si>
  <si>
    <t>Azure ML, Pinecone, Rust</t>
  </si>
  <si>
    <t>AIJOB01006</t>
  </si>
  <si>
    <t>JAX, GCP Vertex AI, ChromaDB, Weights &amp; Biases, RLHF, MLflow, Vector Databases</t>
  </si>
  <si>
    <t>AIJOB01007</t>
  </si>
  <si>
    <t>LlamaIndex, Pinecone, ChromaDB, Vector Databases, Hugging Face Transformers, CUDA, Docker</t>
  </si>
  <si>
    <t>AIJOB01008</t>
  </si>
  <si>
    <t>LlamaIndex, dbt, PyTorch, Docker</t>
  </si>
  <si>
    <t>AIJOB01009</t>
  </si>
  <si>
    <t>LlamaIndex, PyTorch, Spark</t>
  </si>
  <si>
    <t>AIJOB01010</t>
  </si>
  <si>
    <t>Pinecone, TensorFlow, Fine-tuning, GCP Vertex AI</t>
  </si>
  <si>
    <t>AIJOB01011</t>
  </si>
  <si>
    <t>LangChain, SQL, Weaviate, Kubernetes, LlamaIndex, TensorFlow, dbt</t>
  </si>
  <si>
    <t>AIJOB01012</t>
  </si>
  <si>
    <t>Kubernetes, C++, Weights &amp; Biases, Weaviate, Docker</t>
  </si>
  <si>
    <t>AIJOB01013</t>
  </si>
  <si>
    <t>C++, RAG, RLHF, FastAPI, PyTorch, CUDA</t>
  </si>
  <si>
    <t>AIJOB01014</t>
  </si>
  <si>
    <t>OpenAI API, dbt, AWS SageMaker, SQL, FastAPI, JAX</t>
  </si>
  <si>
    <t>AIJOB01015</t>
  </si>
  <si>
    <t>TensorFlow, AWS SageMaker, LlamaIndex</t>
  </si>
  <si>
    <t>AIJOB01016</t>
  </si>
  <si>
    <t>LangChain, Weights &amp; Biases, SQL, Fine-tuning, LlamaIndex, Spark, Kubernetes</t>
  </si>
  <si>
    <t>AIJOB01017</t>
  </si>
  <si>
    <t>dbt, PyTorch, Azure ML, Weaviate, Kubernetes</t>
  </si>
  <si>
    <t>AIJOB01018</t>
  </si>
  <si>
    <t>CUDA, RLHF, FastAPI, Weights &amp; Biases, RAG</t>
  </si>
  <si>
    <t>AIJOB01019</t>
  </si>
  <si>
    <t>ChromaDB, Vector Databases, CUDA, Docker, RAG</t>
  </si>
  <si>
    <t>AIJOB01020</t>
  </si>
  <si>
    <t>GCP Vertex AI, C++, SQL, AWS SageMaker, Pinecone, TensorFlow, JAX</t>
  </si>
  <si>
    <t>AIJOB01021</t>
  </si>
  <si>
    <t>Kubernetes, Azure ML, FastAPI, MLflow</t>
  </si>
  <si>
    <t>AIJOB01022</t>
  </si>
  <si>
    <t>JAX, AWS SageMaker, OpenAI API, MLflow, Rust</t>
  </si>
  <si>
    <t>AIJOB01023</t>
  </si>
  <si>
    <t>LangChain, TensorFlow, Azure ML, Weights &amp; Biases</t>
  </si>
  <si>
    <t>AIJOB01024</t>
  </si>
  <si>
    <t>PyTorch, LangChain, Vector Databases, OpenAI API, Spark, Hugging Face Transformers</t>
  </si>
  <si>
    <t>AIJOB01025</t>
  </si>
  <si>
    <t>Fine-tuning, OpenAI API, RLHF, Python, LangChain</t>
  </si>
  <si>
    <t>AIJOB01026</t>
  </si>
  <si>
    <t>Python, LlamaIndex, Vector Databases</t>
  </si>
  <si>
    <t>AIJOB01027</t>
  </si>
  <si>
    <t>FastAPI, RAG, Pinecone, Rust</t>
  </si>
  <si>
    <t>AIJOB01028</t>
  </si>
  <si>
    <t>Spark, Hugging Face Transformers, ChromaDB, Weights &amp; Biases, JAX, Vector Databases, Kubernetes</t>
  </si>
  <si>
    <t>AIJOB01029</t>
  </si>
  <si>
    <t>SQL, Hugging Face Transformers, Python, AWS SageMaker, Azure ML, Vector Databases, MLflow</t>
  </si>
  <si>
    <t>AIJOB01030</t>
  </si>
  <si>
    <t>RLHF, PyTorch, Pinecone, Hugging Face Transformers, RAG, SQL, Vector Databases</t>
  </si>
  <si>
    <t>AIJOB01031</t>
  </si>
  <si>
    <t>Spark, Hugging Face Transformers, MLflow, TensorFlow, Vector Databases, dbt, JAX</t>
  </si>
  <si>
    <t>AIJOB01032</t>
  </si>
  <si>
    <t>Python, Spark, LangChain, FastAPI, SQL, AWS SageMaker, Docker</t>
  </si>
  <si>
    <t>AIJOB01033</t>
  </si>
  <si>
    <t>GCP Vertex AI, OpenAI API, Azure ML, Spark, PyTorch, RAG, Kubernetes</t>
  </si>
  <si>
    <t>AIJOB01034</t>
  </si>
  <si>
    <t>dbt, GCP Vertex AI, Kubernetes, Weaviate, AWS SageMaker, LangChain</t>
  </si>
  <si>
    <t>AIJOB01035</t>
  </si>
  <si>
    <t>dbt, Azure ML, RAG, TensorFlow, GCP Vertex AI, Weights &amp; Biases</t>
  </si>
  <si>
    <t>AIJOB01036</t>
  </si>
  <si>
    <t>GCP Vertex AI, Fine-tuning, Docker, Python, ChromaDB</t>
  </si>
  <si>
    <t>AIJOB01037</t>
  </si>
  <si>
    <t>Hugging Face Transformers, Fine-tuning, dbt, Python, TensorFlow</t>
  </si>
  <si>
    <t>AIJOB01038</t>
  </si>
  <si>
    <t>RAG, PyTorch, ChromaDB, Pinecone, Vector Databases, OpenAI API</t>
  </si>
  <si>
    <t>AIJOB01039</t>
  </si>
  <si>
    <t>Spark, dbt, ChromaDB, JAX</t>
  </si>
  <si>
    <t>AIJOB01040</t>
  </si>
  <si>
    <t>Hugging Face Transformers, LangChain, ChromaDB</t>
  </si>
  <si>
    <t>AIJOB01041</t>
  </si>
  <si>
    <t>Fine-tuning, Weaviate, RLHF, RAG</t>
  </si>
  <si>
    <t>AIJOB01042</t>
  </si>
  <si>
    <t>MLflow, PyTorch, Docker, GCP Vertex AI, CUDA, Python</t>
  </si>
  <si>
    <t>AIJOB01043</t>
  </si>
  <si>
    <t>Spark, Azure ML, LlamaIndex, ChromaDB, MLflow, RAG, Kubernetes</t>
  </si>
  <si>
    <t>AIJOB01044</t>
  </si>
  <si>
    <t>SQL, AWS SageMaker, Pinecone, CUDA, Weaviate</t>
  </si>
  <si>
    <t>AIJOB01045</t>
  </si>
  <si>
    <t>Rust, JAX, AWS SageMaker</t>
  </si>
  <si>
    <t>AIJOB01046</t>
  </si>
  <si>
    <t>Hugging Face Transformers, LlamaIndex, Kubernetes, PyTorch, ChromaDB, GCP Vertex AI, Pinecone</t>
  </si>
  <si>
    <t>AIJOB01047</t>
  </si>
  <si>
    <t>JAX, FastAPI, ChromaDB</t>
  </si>
  <si>
    <t>AIJOB01048</t>
  </si>
  <si>
    <t>Azure ML, GCP Vertex AI, Vector Databases, Rust, ChromaDB, LlamaIndex</t>
  </si>
  <si>
    <t>AIJOB01049</t>
  </si>
  <si>
    <t>LlamaIndex, JAX, Weights &amp; Biases</t>
  </si>
  <si>
    <t>AIJOB01050</t>
  </si>
  <si>
    <t>Python, Weaviate, Fine-tuning, Rust, TensorFlow, ChromaDB</t>
  </si>
  <si>
    <t>AIJOB01051</t>
  </si>
  <si>
    <t>OpenAI API, C++, Fine-tuning, Hugging Face Transformers</t>
  </si>
  <si>
    <t>AIJOB01052</t>
  </si>
  <si>
    <t>Fine-tuning, Pinecone, Weights &amp; Biases, MLflow, dbt, FastAPI, RAG</t>
  </si>
  <si>
    <t>AIJOB01053</t>
  </si>
  <si>
    <t>Spark, dbt, Vector Databases</t>
  </si>
  <si>
    <t>AIJOB01054</t>
  </si>
  <si>
    <t>Docker, Fine-tuning, RAG, GCP Vertex AI, Hugging Face Transformers, RLHF, Rust</t>
  </si>
  <si>
    <t>AIJOB01055</t>
  </si>
  <si>
    <t>OpenAI API, JAX, Python, Kubernetes</t>
  </si>
  <si>
    <t>AIJOB01056</t>
  </si>
  <si>
    <t>SQL, Azure ML, FastAPI, GCP Vertex AI, Kubernetes, Weights &amp; Biases, PyTorch</t>
  </si>
  <si>
    <t>AIJOB01057</t>
  </si>
  <si>
    <t>PyTorch, LlamaIndex, Weaviate, AWS SageMaker</t>
  </si>
  <si>
    <t>AIJOB01058</t>
  </si>
  <si>
    <t>RLHF, Weights &amp; Biases, FastAPI, LangChain, Vector Databases, Spark, CUDA</t>
  </si>
  <si>
    <t>AIJOB01059</t>
  </si>
  <si>
    <t>GCP Vertex AI, Pinecone, CUDA, TensorFlow</t>
  </si>
  <si>
    <t>AIJOB01060</t>
  </si>
  <si>
    <t>RLHF, ChromaDB, FastAPI, TensorFlow</t>
  </si>
  <si>
    <t>AIJOB01061</t>
  </si>
  <si>
    <t>CUDA, PyTorch, C++, Vector Databases, AWS SageMaker, MLflow</t>
  </si>
  <si>
    <t>AIJOB01062</t>
  </si>
  <si>
    <t>RAG, Weights &amp; Biases, Docker, Kubernetes, Rust, Weaviate</t>
  </si>
  <si>
    <t>AIJOB01063</t>
  </si>
  <si>
    <t>MLflow, Weaviate, C++</t>
  </si>
  <si>
    <t>AIJOB01064</t>
  </si>
  <si>
    <t>Python, CUDA, Azure ML, SQL</t>
  </si>
  <si>
    <t>AIJOB01065</t>
  </si>
  <si>
    <t>Fine-tuning, Spark, dbt, OpenAI API, Hugging Face Transformers, SQL</t>
  </si>
  <si>
    <t>AIJOB01066</t>
  </si>
  <si>
    <t>Azure ML, Weaviate, TensorFlow, LlamaIndex, SQL, Rust</t>
  </si>
  <si>
    <t>AIJOB01067</t>
  </si>
  <si>
    <t>RLHF, dbt, Weights &amp; Biases, Rust</t>
  </si>
  <si>
    <t>AIJOB01068</t>
  </si>
  <si>
    <t>Weights &amp; Biases, LangChain, Kubernetes, Spark</t>
  </si>
  <si>
    <t>AIJOB01069</t>
  </si>
  <si>
    <t>Pinecone, dbt, JAX, LangChain, MLflow</t>
  </si>
  <si>
    <t>AIJOB01070</t>
  </si>
  <si>
    <t>PyTorch, RAG, AWS SageMaker, C++, FastAPI, LlamaIndex, dbt</t>
  </si>
  <si>
    <t>AIJOB01071</t>
  </si>
  <si>
    <t>Weights &amp; Biases, AWS SageMaker, FastAPI, JAX, LangChain, SQL</t>
  </si>
  <si>
    <t>AIJOB01072</t>
  </si>
  <si>
    <t>AWS SageMaker, Hugging Face Transformers, SQL</t>
  </si>
  <si>
    <t>AIJOB01073</t>
  </si>
  <si>
    <t>C++, FastAPI, Fine-tuning, ChromaDB</t>
  </si>
  <si>
    <t>AIJOB01074</t>
  </si>
  <si>
    <t>MLflow, Python, PyTorch, Azure ML</t>
  </si>
  <si>
    <t>AIJOB01075</t>
  </si>
  <si>
    <t>Weaviate, MLflow, Python, Azure ML</t>
  </si>
  <si>
    <t>AIJOB01076</t>
  </si>
  <si>
    <t>Kubernetes, CUDA, JAX, Hugging Face Transformers, Weaviate, OpenAI API</t>
  </si>
  <si>
    <t>AIJOB01077</t>
  </si>
  <si>
    <t>Hugging Face Transformers, RAG, RLHF, LangChain, Kubernetes, Fine-tuning</t>
  </si>
  <si>
    <t>AIJOB01078</t>
  </si>
  <si>
    <t>Weights &amp; Biases, CUDA, TensorFlow, Pinecone, Vector Databases, GCP Vertex AI, MLflow</t>
  </si>
  <si>
    <t>AIJOB01079</t>
  </si>
  <si>
    <t>LangChain, CUDA, Spark, Docker, Kubernetes, TensorFlow, SQL</t>
  </si>
  <si>
    <t>AIJOB01080</t>
  </si>
  <si>
    <t>MLflow, C++, Weights &amp; Biases</t>
  </si>
  <si>
    <t>AIJOB01081</t>
  </si>
  <si>
    <t>Pinecone, ChromaDB, CUDA, Hugging Face Transformers, GCP Vertex AI, FastAPI, Kubernetes</t>
  </si>
  <si>
    <t>AIJOB01082</t>
  </si>
  <si>
    <t>TensorFlow, FastAPI, RLHF, ChromaDB, SQL</t>
  </si>
  <si>
    <t>AIJOB01083</t>
  </si>
  <si>
    <t>Rust, SQL, Pinecone, CUDA</t>
  </si>
  <si>
    <t>AIJOB01084</t>
  </si>
  <si>
    <t>Python, Docker, AWS SageMaker, GCP Vertex AI, JAX, SQL, Hugging Face Transformers</t>
  </si>
  <si>
    <t>AIJOB01085</t>
  </si>
  <si>
    <t>JAX, PyTorch, Python, Weaviate, Hugging Face Transformers, Docker, Rust</t>
  </si>
  <si>
    <t>AIJOB01086</t>
  </si>
  <si>
    <t>Weaviate, Kubernetes, SQL, C++, Weights &amp; Biases, Vector Databases, Docker</t>
  </si>
  <si>
    <t>AIJOB01087</t>
  </si>
  <si>
    <t>Weights &amp; Biases, RAG, FastAPI, dbt, LangChain</t>
  </si>
  <si>
    <t>AIJOB01088</t>
  </si>
  <si>
    <t>FastAPI, Vector Databases, Weights &amp; Biases, Python, Spark, LangChain, Pinecone</t>
  </si>
  <si>
    <t>AIJOB01089</t>
  </si>
  <si>
    <t>RAG, Vector Databases, Docker</t>
  </si>
  <si>
    <t>AIJOB01090</t>
  </si>
  <si>
    <t>SQL, Fine-tuning, Vector Databases, LlamaIndex, GCP Vertex AI, CUDA, Hugging Face Transformers</t>
  </si>
  <si>
    <t>AIJOB01091</t>
  </si>
  <si>
    <t>AWS SageMaker, dbt, Rust, GCP Vertex AI, Azure ML, SQL, Kubernetes</t>
  </si>
  <si>
    <t>AIJOB01092</t>
  </si>
  <si>
    <t>Hugging Face Transformers, MLflow, C++</t>
  </si>
  <si>
    <t>AIJOB01093</t>
  </si>
  <si>
    <t>Spark, RLHF, Vector Databases, Hugging Face Transformers</t>
  </si>
  <si>
    <t>AIJOB01094</t>
  </si>
  <si>
    <t>MLflow, CUDA, GCP Vertex AI, LangChain</t>
  </si>
  <si>
    <t>AIJOB01095</t>
  </si>
  <si>
    <t>RLHF, AWS SageMaker, Docker, Vector Databases, Kubernetes, Azure ML</t>
  </si>
  <si>
    <t>AIJOB01096</t>
  </si>
  <si>
    <t>RLHF, OpenAI API, Docker, AWS SageMaker, SQL, CUDA, PyTorch</t>
  </si>
  <si>
    <t>AIJOB01097</t>
  </si>
  <si>
    <t>PyTorch, Pinecone, Vector Databases, CUDA, Weaviate, Hugging Face Transformers</t>
  </si>
  <si>
    <t>AIJOB01098</t>
  </si>
  <si>
    <t>LangChain, RLHF, MLflow, AWS SageMaker</t>
  </si>
  <si>
    <t>AIJOB01099</t>
  </si>
  <si>
    <t>Docker, CUDA, RAG, Vector Databases, TensorFlow</t>
  </si>
  <si>
    <t>AIJOB01100</t>
  </si>
  <si>
    <t>JAX, GCP Vertex AI, PyTorch, SQL, ChromaDB</t>
  </si>
  <si>
    <t>AIJOB01101</t>
  </si>
  <si>
    <t>SQL, Fine-tuning, dbt, Pinecone, AWS SageMaker, FastAPI, Hugging Face Transformers</t>
  </si>
  <si>
    <t>AIJOB01102</t>
  </si>
  <si>
    <t>JAX, Azure ML, C++, FastAPI, Vector Databases, GCP Vertex AI, Spark</t>
  </si>
  <si>
    <t>AIJOB01103</t>
  </si>
  <si>
    <t>C++, LlamaIndex, AWS SageMaker</t>
  </si>
  <si>
    <t>AIJOB01104</t>
  </si>
  <si>
    <t>Rust, Docker, OpenAI API</t>
  </si>
  <si>
    <t>AIJOB01105</t>
  </si>
  <si>
    <t>ChromaDB, Kubernetes, SQL</t>
  </si>
  <si>
    <t>AIJOB01106</t>
  </si>
  <si>
    <t>Azure ML, GCP Vertex AI, LlamaIndex</t>
  </si>
  <si>
    <t>AIJOB01107</t>
  </si>
  <si>
    <t>OpenAI API, LlamaIndex, dbt, RAG, Python</t>
  </si>
  <si>
    <t>AIJOB01108</t>
  </si>
  <si>
    <t>LangChain, Kubernetes, Weights &amp; Biases, Fine-tuning, PyTorch</t>
  </si>
  <si>
    <t>AIJOB01109</t>
  </si>
  <si>
    <t>MLflow, Rust, Pinecone, Vector Databases, OpenAI API</t>
  </si>
  <si>
    <t>AIJOB01110</t>
  </si>
  <si>
    <t>CUDA, FastAPI, C++, Fine-tuning, TensorFlow</t>
  </si>
  <si>
    <t>AIJOB01111</t>
  </si>
  <si>
    <t>RAG, AWS SageMaker, Kubernetes</t>
  </si>
  <si>
    <t>AIJOB01112</t>
  </si>
  <si>
    <t>AWS SageMaker, Hugging Face Transformers, Pinecone, TensorFlow</t>
  </si>
  <si>
    <t>AIJOB01113</t>
  </si>
  <si>
    <t>Fine-tuning, C++, Docker, PyTorch, Azure ML</t>
  </si>
  <si>
    <t>AIJOB01114</t>
  </si>
  <si>
    <t>CUDA, LangChain, Docker, Spark, C++, dbt, FastAPI</t>
  </si>
  <si>
    <t>AIJOB01115</t>
  </si>
  <si>
    <t>Spark, MLflow, Python, ChromaDB, Hugging Face Transformers, FastAPI, Pinecone</t>
  </si>
  <si>
    <t>AIJOB01116</t>
  </si>
  <si>
    <t>Docker, OpenAI API, Python, Spark, Fine-tuning, Weaviate</t>
  </si>
  <si>
    <t>AIJOB01117</t>
  </si>
  <si>
    <t>RLHF, Spark, Weights &amp; Biases, Azure ML, Pinecone, Kubernetes</t>
  </si>
  <si>
    <t>AIJOB01118</t>
  </si>
  <si>
    <t>Pinecone, C++, Spark, CUDA</t>
  </si>
  <si>
    <t>AIJOB01119</t>
  </si>
  <si>
    <t>Weights &amp; Biases, Spark, Azure ML</t>
  </si>
  <si>
    <t>AIJOB01120</t>
  </si>
  <si>
    <t>FastAPI, Kubernetes, C++, Weaviate, Spark</t>
  </si>
  <si>
    <t>AIJOB01121</t>
  </si>
  <si>
    <t>Fine-tuning, OpenAI API, Hugging Face Transformers, C++, Azure ML, TensorFlow, Vector Databases</t>
  </si>
  <si>
    <t>AIJOB01122</t>
  </si>
  <si>
    <t>Fine-tuning, LangChain, MLflow, RAG, OpenAI API, PyTorch, Vector Databases</t>
  </si>
  <si>
    <t>AIJOB01123</t>
  </si>
  <si>
    <t>TensorFlow, ChromaDB, Azure ML, OpenAI API</t>
  </si>
  <si>
    <t>AIJOB01124</t>
  </si>
  <si>
    <t>OpenAI API, SQL, RLHF, TensorFlow, JAX, PyTorch</t>
  </si>
  <si>
    <t>AIJOB01125</t>
  </si>
  <si>
    <t>Rust, C++, Docker</t>
  </si>
  <si>
    <t>AIJOB01126</t>
  </si>
  <si>
    <t>PyTorch, LlamaIndex, C++, Kubernetes, FastAPI, AWS SageMaker</t>
  </si>
  <si>
    <t>AIJOB01127</t>
  </si>
  <si>
    <t>Rust, C++, Vector Databases, Hugging Face Transformers, RAG, SQL</t>
  </si>
  <si>
    <t>AIJOB01128</t>
  </si>
  <si>
    <t>ChromaDB, Weaviate, Azure ML, LangChain, RAG</t>
  </si>
  <si>
    <t>AIJOB01129</t>
  </si>
  <si>
    <t>JAX, Fine-tuning, Docker, Vector Databases, Weaviate, CUDA, Pinecone</t>
  </si>
  <si>
    <t>AIJOB01130</t>
  </si>
  <si>
    <t>ChromaDB, LangChain, PyTorch</t>
  </si>
  <si>
    <t>AIJOB01131</t>
  </si>
  <si>
    <t>C++, OpenAI API, Rust, GCP Vertex AI</t>
  </si>
  <si>
    <t>AIJOB01132</t>
  </si>
  <si>
    <t>MLflow, CUDA, Python, Hugging Face Transformers</t>
  </si>
  <si>
    <t>AIJOB01133</t>
  </si>
  <si>
    <t>RAG, Kubernetes, Rust, AWS SageMaker, Weights &amp; Biases, MLflow, JAX</t>
  </si>
  <si>
    <t>AIJOB01134</t>
  </si>
  <si>
    <t>RAG, ChromaDB, FastAPI</t>
  </si>
  <si>
    <t>AIJOB01135</t>
  </si>
  <si>
    <t>Rust, Weights &amp; Biases, GCP Vertex AI, AWS SageMaker, Weaviate, TensorFlow, FastAPI</t>
  </si>
  <si>
    <t>AIJOB01136</t>
  </si>
  <si>
    <t>RLHF, TensorFlow, LangChain, Pinecone</t>
  </si>
  <si>
    <t>AIJOB01137</t>
  </si>
  <si>
    <t>TensorFlow, Azure ML, OpenAI API</t>
  </si>
  <si>
    <t>AIJOB01138</t>
  </si>
  <si>
    <t>LangChain, PyTorch, Weaviate</t>
  </si>
  <si>
    <t>AIJOB01139</t>
  </si>
  <si>
    <t>PyTorch, Pinecone, Azure ML, JAX</t>
  </si>
  <si>
    <t>AIJOB01140</t>
  </si>
  <si>
    <t>Python, AWS SageMaker, TensorFlow</t>
  </si>
  <si>
    <t>AIJOB01141</t>
  </si>
  <si>
    <t>LangChain, PyTorch, CUDA, RLHF, SQL, Hugging Face Transformers</t>
  </si>
  <si>
    <t>AIJOB01142</t>
  </si>
  <si>
    <t>Weights &amp; Biases, Spark, Fine-tuning, TensorFlow, Azure ML, Rust, LlamaIndex</t>
  </si>
  <si>
    <t>AIJOB01143</t>
  </si>
  <si>
    <t>Spark, Hugging Face Transformers, JAX, LlamaIndex, RLHF</t>
  </si>
  <si>
    <t>AIJOB01144</t>
  </si>
  <si>
    <t>Azure ML, Weaviate, Fine-tuning, TensorFlow</t>
  </si>
  <si>
    <t>AIJOB01145</t>
  </si>
  <si>
    <t>CUDA, Fine-tuning, MLflow, Rust, RAG, Azure ML</t>
  </si>
  <si>
    <t>AIJOB01146</t>
  </si>
  <si>
    <t>AWS SageMaker, Vector Databases, RLHF, TensorFlow, dbt, Hugging Face Transformers, ChromaDB</t>
  </si>
  <si>
    <t>AIJOB01147</t>
  </si>
  <si>
    <t>AWS SageMaker, PyTorch, Weights &amp; Biases, Fine-tuning</t>
  </si>
  <si>
    <t>AIJOB01148</t>
  </si>
  <si>
    <t>Python, RAG, dbt, MLflow</t>
  </si>
  <si>
    <t>AIJOB01149</t>
  </si>
  <si>
    <t>Kubernetes, AWS SageMaker, JAX, GCP Vertex AI, dbt, ChromaDB</t>
  </si>
  <si>
    <t>AIJOB01150</t>
  </si>
  <si>
    <t>CUDA, LangChain, C++, PyTorch, Hugging Face Transformers</t>
  </si>
  <si>
    <t>AIJOB01151</t>
  </si>
  <si>
    <t>Python, C++, Kubernetes, Vector Databases, LlamaIndex, LangChain</t>
  </si>
  <si>
    <t>AIJOB01152</t>
  </si>
  <si>
    <t>Python, OpenAI API, AWS SageMaker</t>
  </si>
  <si>
    <t>AIJOB01153</t>
  </si>
  <si>
    <t>dbt, MLflow, SQL, FastAPI, PyTorch</t>
  </si>
  <si>
    <t>AIJOB01154</t>
  </si>
  <si>
    <t>Kubernetes, GCP Vertex AI, Pinecone, Hugging Face Transformers, MLflow</t>
  </si>
  <si>
    <t>AIJOB01155</t>
  </si>
  <si>
    <t>Fine-tuning, Python, Weaviate</t>
  </si>
  <si>
    <t>AIJOB01156</t>
  </si>
  <si>
    <t>OpenAI API, Vector Databases, GCP Vertex AI, Kubernetes, PyTorch, RLHF, Fine-tuning</t>
  </si>
  <si>
    <t>AIJOB01157</t>
  </si>
  <si>
    <t>OpenAI API, Rust, FastAPI, LlamaIndex, JAX</t>
  </si>
  <si>
    <t>AIJOB01158</t>
  </si>
  <si>
    <t>RAG, Rust, RLHF</t>
  </si>
  <si>
    <t>AIJOB01159</t>
  </si>
  <si>
    <t>JAX, AWS SageMaker, C++, LlamaIndex, RAG, TensorFlow</t>
  </si>
  <si>
    <t>AIJOB01160</t>
  </si>
  <si>
    <t>Pinecone, TensorFlow, Kubernetes, Python, AWS SageMaker</t>
  </si>
  <si>
    <t>AIJOB01161</t>
  </si>
  <si>
    <t>RAG, MLflow, AWS SageMaker, JAX, CUDA, Kubernetes, Weights &amp; Biases</t>
  </si>
  <si>
    <t>AIJOB01162</t>
  </si>
  <si>
    <t>Vector Databases, Pinecone, C++, Rust</t>
  </si>
  <si>
    <t>AIJOB01163</t>
  </si>
  <si>
    <t>ChromaDB, Azure ML, FastAPI, Vector Databases</t>
  </si>
  <si>
    <t>AIJOB01164</t>
  </si>
  <si>
    <t>FastAPI, Weights &amp; Biases, C++, Azure ML, JAX, Docker</t>
  </si>
  <si>
    <t>AIJOB01165</t>
  </si>
  <si>
    <t>Weaviate, Spark, FastAPI, Kubernetes, Vector Databases, dbt</t>
  </si>
  <si>
    <t>AIJOB01166</t>
  </si>
  <si>
    <t>dbt, Hugging Face Transformers, RAG, PyTorch, CUDA, ChromaDB</t>
  </si>
  <si>
    <t>AIJOB01167</t>
  </si>
  <si>
    <t>RLHF, Spark, JAX</t>
  </si>
  <si>
    <t>AIJOB01168</t>
  </si>
  <si>
    <t>Fine-tuning, Weights &amp; Biases, Pinecone, Vector Databases, SQL, PyTorch, JAX</t>
  </si>
  <si>
    <t>AIJOB01169</t>
  </si>
  <si>
    <t>Azure ML, Rust, Python</t>
  </si>
  <si>
    <t>AIJOB01170</t>
  </si>
  <si>
    <t>dbt, Spark, Weights &amp; Biases, GCP Vertex AI</t>
  </si>
  <si>
    <t>AIJOB01171</t>
  </si>
  <si>
    <t>LlamaIndex, CUDA, Hugging Face Transformers, Vector Databases, OpenAI API</t>
  </si>
  <si>
    <t>AIJOB01172</t>
  </si>
  <si>
    <t>C++, Azure ML, Spark, Vector Databases, Fine-tuning, SQL</t>
  </si>
  <si>
    <t>AIJOB01173</t>
  </si>
  <si>
    <t>Hugging Face Transformers, LangChain, C++, Fine-tuning, ChromaDB</t>
  </si>
  <si>
    <t>AIJOB01174</t>
  </si>
  <si>
    <t>PyTorch, Fine-tuning, Weaviate</t>
  </si>
  <si>
    <t>AIJOB01175</t>
  </si>
  <si>
    <t>OpenAI API, JAX, Hugging Face Transformers, Fine-tuning, RLHF, C++, Docker</t>
  </si>
  <si>
    <t>AIJOB01176</t>
  </si>
  <si>
    <t>PyTorch, Weights &amp; Biases, RAG, FastAPI, GCP Vertex AI, Docker, JAX</t>
  </si>
  <si>
    <t>AIJOB01177</t>
  </si>
  <si>
    <t>Hugging Face Transformers, JAX, ChromaDB</t>
  </si>
  <si>
    <t>AIJOB01178</t>
  </si>
  <si>
    <t>RLHF, CUDA, Hugging Face Transformers, Weaviate</t>
  </si>
  <si>
    <t>AIJOB01179</t>
  </si>
  <si>
    <t>CUDA, JAX, Python, Hugging Face Transformers, PyTorch, Weaviate</t>
  </si>
  <si>
    <t>AIJOB01180</t>
  </si>
  <si>
    <t>ChromaDB, Kubernetes, Hugging Face Transformers</t>
  </si>
  <si>
    <t>AIJOB01181</t>
  </si>
  <si>
    <t>SQL, JAX, Weights &amp; Biases</t>
  </si>
  <si>
    <t>AIJOB01182</t>
  </si>
  <si>
    <t>OpenAI API, JAX, Hugging Face Transformers, AWS SageMaker</t>
  </si>
  <si>
    <t>AIJOB01183</t>
  </si>
  <si>
    <t>FastAPI, Docker, TensorFlow, Hugging Face Transformers, JAX</t>
  </si>
  <si>
    <t>AIJOB01184</t>
  </si>
  <si>
    <t>OpenAI API, TensorFlow, Vector Databases, RLHF, AWS SageMaker, ChromaDB</t>
  </si>
  <si>
    <t>AIJOB01185</t>
  </si>
  <si>
    <t>LangChain, Vector Databases, Azure ML, Kubernetes</t>
  </si>
  <si>
    <t>AIJOB01186</t>
  </si>
  <si>
    <t>Fine-tuning, LangChain, RLHF, Rust, FastAPI, Kubernetes, Python</t>
  </si>
  <si>
    <t>AIJOB01187</t>
  </si>
  <si>
    <t>GCP Vertex AI, LangChain, Docker</t>
  </si>
  <si>
    <t>AIJOB01188</t>
  </si>
  <si>
    <t>Azure ML, MLflow, Weights &amp; Biases, Docker</t>
  </si>
  <si>
    <t>AIJOB01189</t>
  </si>
  <si>
    <t>Vector Databases, PyTorch, Fine-tuning, JAX, Spark, RAG</t>
  </si>
  <si>
    <t>AIJOB01190</t>
  </si>
  <si>
    <t>dbt, AWS SageMaker, Fine-tuning, Docker, PyTorch, Pinecone, GCP Vertex AI</t>
  </si>
  <si>
    <t>AIJOB01191</t>
  </si>
  <si>
    <t>Vector Databases, LlamaIndex, dbt, ChromaDB, FastAPI, Hugging Face Transformers</t>
  </si>
  <si>
    <t>AIJOB01192</t>
  </si>
  <si>
    <t>Hugging Face Transformers, FastAPI, AWS SageMaker, RLHF, JAX, Weaviate</t>
  </si>
  <si>
    <t>AIJOB01193</t>
  </si>
  <si>
    <t>Python, Rust, JAX, SQL, MLflow, Spark, Fine-tuning</t>
  </si>
  <si>
    <t>AIJOB01194</t>
  </si>
  <si>
    <t>C++, AWS SageMaker, Spark, PyTorch, Python, MLflow</t>
  </si>
  <si>
    <t>AIJOB01195</t>
  </si>
  <si>
    <t>RAG, CUDA, Python, MLflow</t>
  </si>
  <si>
    <t>AIJOB01196</t>
  </si>
  <si>
    <t>RAG, AWS SageMaker, OpenAI API, MLflow</t>
  </si>
  <si>
    <t>AIJOB01197</t>
  </si>
  <si>
    <t>Rust, Fine-tuning, LangChain, Python</t>
  </si>
  <si>
    <t>AIJOB01198</t>
  </si>
  <si>
    <t>Hugging Face Transformers, RLHF, Vector Databases, dbt, RAG, Pinecone</t>
  </si>
  <si>
    <t>AIJOB01199</t>
  </si>
  <si>
    <t>LangChain, Pinecone, Weaviate, RLHF, Python</t>
  </si>
  <si>
    <t>AIJOB01200</t>
  </si>
  <si>
    <t>TensorFlow, FastAPI, Vector Databases, Hugging Face Transformers, Kubernetes</t>
  </si>
  <si>
    <t>AIJOB01201</t>
  </si>
  <si>
    <t>Azure ML, Weights &amp; Biases, Kubernetes, RAG, FastAPI, LlamaIndex, Fine-tuning</t>
  </si>
  <si>
    <t>AIJOB01202</t>
  </si>
  <si>
    <t>Vector Databases, Weights &amp; Biases, Docker, Hugging Face Transformers, TensorFlow</t>
  </si>
  <si>
    <t>AIJOB01203</t>
  </si>
  <si>
    <t>Weights &amp; Biases, LangChain, AWS SageMaker, Kubernetes, RLHF, Pinecone</t>
  </si>
  <si>
    <t>AIJOB01204</t>
  </si>
  <si>
    <t>LlamaIndex, dbt, RAG, FastAPI, Kubernetes, C++</t>
  </si>
  <si>
    <t>AIJOB01205</t>
  </si>
  <si>
    <t>ChromaDB, C++, LangChain, Python</t>
  </si>
  <si>
    <t>AIJOB01206</t>
  </si>
  <si>
    <t>GCP Vertex AI, JAX, PyTorch</t>
  </si>
  <si>
    <t>AIJOB01207</t>
  </si>
  <si>
    <t>Weaviate, LlamaIndex, Hugging Face Transformers</t>
  </si>
  <si>
    <t>AIJOB01208</t>
  </si>
  <si>
    <t>OpenAI API, Pinecone, FastAPI, GCP Vertex AI, dbt</t>
  </si>
  <si>
    <t>AIJOB01209</t>
  </si>
  <si>
    <t>Rust, Spark, GCP Vertex AI, CUDA, Python</t>
  </si>
  <si>
    <t>AIJOB01210</t>
  </si>
  <si>
    <t>Python, Fine-tuning, RAG, OpenAI API, Hugging Face Transformers, PyTorch</t>
  </si>
  <si>
    <t>AIJOB01211</t>
  </si>
  <si>
    <t>LangChain, Weaviate, LlamaIndex, Fine-tuning, MLflow, GCP Vertex AI</t>
  </si>
  <si>
    <t>AIJOB01212</t>
  </si>
  <si>
    <t>Python, OpenAI API, MLflow, ChromaDB</t>
  </si>
  <si>
    <t>AIJOB01213</t>
  </si>
  <si>
    <t>Hugging Face Transformers, TensorFlow, SQL, GCP Vertex AI, Weaviate, RLHF, OpenAI API</t>
  </si>
  <si>
    <t>AIJOB01214</t>
  </si>
  <si>
    <t>RLHF, Weights &amp; Biases, Weaviate</t>
  </si>
  <si>
    <t>AIJOB01215</t>
  </si>
  <si>
    <t>JAX, FastAPI, ChromaDB, Weights &amp; Biases, dbt</t>
  </si>
  <si>
    <t>AIJOB01216</t>
  </si>
  <si>
    <t>OpenAI API, Python, Pinecone</t>
  </si>
  <si>
    <t>AIJOB01217</t>
  </si>
  <si>
    <t>AIJOB01218</t>
  </si>
  <si>
    <t>Hugging Face Transformers, Rust, Vector Databases</t>
  </si>
  <si>
    <t>AIJOB01219</t>
  </si>
  <si>
    <t>Docker, OpenAI API, GCP Vertex AI, Rust, SQL</t>
  </si>
  <si>
    <t>AIJOB01220</t>
  </si>
  <si>
    <t>OpenAI API, Fine-tuning, SQL, Python, ChromaDB</t>
  </si>
  <si>
    <t>AIJOB01221</t>
  </si>
  <si>
    <t>Python, LlamaIndex, FastAPI, AWS SageMaker, Kubernetes, RAG</t>
  </si>
  <si>
    <t>AIJOB01222</t>
  </si>
  <si>
    <t>C++, MLflow, Docker, Pinecone, Weaviate, LlamaIndex</t>
  </si>
  <si>
    <t>AIJOB01223</t>
  </si>
  <si>
    <t>SQL, FastAPI, JAX, Pinecone, Fine-tuning, AWS SageMaker</t>
  </si>
  <si>
    <t>AIJOB01224</t>
  </si>
  <si>
    <t>Fine-tuning, ChromaDB, SQL, LlamaIndex</t>
  </si>
  <si>
    <t>AIJOB01225</t>
  </si>
  <si>
    <t>Kubernetes, OpenAI API, GCP Vertex AI, FastAPI, Weaviate, Weights &amp; Biases, Vector Databases</t>
  </si>
  <si>
    <t>AIJOB01226</t>
  </si>
  <si>
    <t>Pinecone, CUDA, Rust</t>
  </si>
  <si>
    <t>AIJOB01227</t>
  </si>
  <si>
    <t>AWS SageMaker, PyTorch, Spark</t>
  </si>
  <si>
    <t>AIJOB01228</t>
  </si>
  <si>
    <t>OpenAI API, AWS SageMaker, LangChain</t>
  </si>
  <si>
    <t>AIJOB01229</t>
  </si>
  <si>
    <t>Hugging Face Transformers, Weights &amp; Biases, Rust, dbt, MLflow</t>
  </si>
  <si>
    <t>AIJOB01230</t>
  </si>
  <si>
    <t>SQL, Docker, Weaviate</t>
  </si>
  <si>
    <t>AIJOB01231</t>
  </si>
  <si>
    <t>RLHF, SQL, Fine-tuning</t>
  </si>
  <si>
    <t>AIJOB01232</t>
  </si>
  <si>
    <t>GCP Vertex AI, Kubernetes, TensorFlow, dbt</t>
  </si>
  <si>
    <t>AIJOB01233</t>
  </si>
  <si>
    <t>FastAPI, dbt, Hugging Face Transformers, PyTorch, LlamaIndex, MLflow, GCP Vertex AI</t>
  </si>
  <si>
    <t>AIJOB01234</t>
  </si>
  <si>
    <t>Docker, CUDA, RLHF, AWS SageMaker, Weaviate</t>
  </si>
  <si>
    <t>AIJOB01235</t>
  </si>
  <si>
    <t>TensorFlow, Rust, Vector Databases, Spark, PyTorch, MLflow, Weaviate</t>
  </si>
  <si>
    <t>AIJOB01236</t>
  </si>
  <si>
    <t>C++, TensorFlow, Weaviate, Rust, Azure ML, Pinecone, Python</t>
  </si>
  <si>
    <t>AIJOB01237</t>
  </si>
  <si>
    <t>RAG, PyTorch, Spark</t>
  </si>
  <si>
    <t>AIJOB01238</t>
  </si>
  <si>
    <t>SQL, Rust, MLflow, Weaviate</t>
  </si>
  <si>
    <t>AIJOB01239</t>
  </si>
  <si>
    <t>Weaviate, RAG, dbt, Docker, Spark, MLflow, Python</t>
  </si>
  <si>
    <t>AIJOB01240</t>
  </si>
  <si>
    <t>GCP Vertex AI, Weights &amp; Biases, Fine-tuning, LlamaIndex</t>
  </si>
  <si>
    <t>AIJOB01241</t>
  </si>
  <si>
    <t>Vector Databases, PyTorch, SQL, Hugging Face Transformers, CUDA, dbt, MLflow</t>
  </si>
  <si>
    <t>AIJOB01242</t>
  </si>
  <si>
    <t>Docker, Weaviate, GCP Vertex AI, CUDA, PyTorch, C++, Hugging Face Transformers</t>
  </si>
  <si>
    <t>AIJOB01243</t>
  </si>
  <si>
    <t>dbt, Python, Vector Databases, C++, Docker, Azure ML</t>
  </si>
  <si>
    <t>AIJOB01244</t>
  </si>
  <si>
    <t>C++, SQL, ChromaDB</t>
  </si>
  <si>
    <t>AIJOB01245</t>
  </si>
  <si>
    <t>Kubernetes, Python, LlamaIndex, Weights &amp; Biases, RAG</t>
  </si>
  <si>
    <t>AIJOB01246</t>
  </si>
  <si>
    <t>RAG, Kubernetes, PyTorch</t>
  </si>
  <si>
    <t>AIJOB01247</t>
  </si>
  <si>
    <t>ChromaDB, LangChain, Hugging Face Transformers</t>
  </si>
  <si>
    <t>AIJOB01248</t>
  </si>
  <si>
    <t>Kubernetes, CUDA, LangChain, ChromaDB, Spark</t>
  </si>
  <si>
    <t>AIJOB01249</t>
  </si>
  <si>
    <t>LlamaIndex, PyTorch, GCP Vertex AI, AWS SageMaker, Weights &amp; Biases, Weaviate, SQL</t>
  </si>
  <si>
    <t>AIJOB01250</t>
  </si>
  <si>
    <t>FastAPI, GCP Vertex AI, RAG, Hugging Face Transformers, CUDA</t>
  </si>
  <si>
    <t>AIJOB01251</t>
  </si>
  <si>
    <t>Fine-tuning, Python, RLHF, CUDA, AWS SageMaker, C++, Spark</t>
  </si>
  <si>
    <t>AIJOB01252</t>
  </si>
  <si>
    <t>Kubernetes, dbt, Weights &amp; Biases, Spark, TensorFlow, Fine-tuning</t>
  </si>
  <si>
    <t>AIJOB01253</t>
  </si>
  <si>
    <t>ChromaDB, Docker, PyTorch, MLflow, RAG, CUDA</t>
  </si>
  <si>
    <t>AIJOB01254</t>
  </si>
  <si>
    <t>Spark, ChromaDB, Weaviate, RAG, Fine-tuning, Weights &amp; Biases, AWS SageMaker</t>
  </si>
  <si>
    <t>AIJOB01255</t>
  </si>
  <si>
    <t>RAG, Weaviate, Python, Azure ML, dbt, RLHF</t>
  </si>
  <si>
    <t>AIJOB01256</t>
  </si>
  <si>
    <t>Kubernetes, OpenAI API, CUDA, LlamaIndex, MLflow, FastAPI</t>
  </si>
  <si>
    <t>AIJOB01257</t>
  </si>
  <si>
    <t>RAG, SQL, ChromaDB, Spark, Hugging Face Transformers, Docker</t>
  </si>
  <si>
    <t>AIJOB01258</t>
  </si>
  <si>
    <t>TensorFlow, Fine-tuning, SQL</t>
  </si>
  <si>
    <t>AIJOB01259</t>
  </si>
  <si>
    <t>GCP Vertex AI, C++, Docker</t>
  </si>
  <si>
    <t>AIJOB01260</t>
  </si>
  <si>
    <t>Rust, AWS SageMaker, Kubernetes, OpenAI API, dbt, LlamaIndex</t>
  </si>
  <si>
    <t>AIJOB01261</t>
  </si>
  <si>
    <t>Python, Rust, RLHF, JAX, OpenAI API, Weaviate</t>
  </si>
  <si>
    <t>AIJOB01262</t>
  </si>
  <si>
    <t>Docker, Python, dbt, Spark, Fine-tuning, Vector Databases</t>
  </si>
  <si>
    <t>AIJOB01263</t>
  </si>
  <si>
    <t>OpenAI API, Rust, Pinecone, dbt, Azure ML, Spark</t>
  </si>
  <si>
    <t>AIJOB01264</t>
  </si>
  <si>
    <t>ChromaDB, MLflow, FastAPI, dbt</t>
  </si>
  <si>
    <t>AIJOB01265</t>
  </si>
  <si>
    <t>MLflow, Rust, dbt, OpenAI API, LlamaIndex, Fine-tuning, Weights &amp; Biases</t>
  </si>
  <si>
    <t>AIJOB01266</t>
  </si>
  <si>
    <t>GCP Vertex AI, Kubernetes, Docker, Python, Rust, MLflow, TensorFlow</t>
  </si>
  <si>
    <t>AIJOB01267</t>
  </si>
  <si>
    <t>GCP Vertex AI, RAG, MLflow, RLHF</t>
  </si>
  <si>
    <t>AIJOB01268</t>
  </si>
  <si>
    <t>TensorFlow, RAG, Pinecone, PyTorch, MLflow</t>
  </si>
  <si>
    <t>AIJOB01269</t>
  </si>
  <si>
    <t>Fine-tuning, dbt, RLHF, SQL, Docker, ChromaDB, RAG</t>
  </si>
  <si>
    <t>AIJOB01270</t>
  </si>
  <si>
    <t>Python, LangChain, Fine-tuning, GCP Vertex AI</t>
  </si>
  <si>
    <t>AIJOB01271</t>
  </si>
  <si>
    <t>Azure ML, LangChain, Hugging Face Transformers, Docker, Vector Databases, Fine-tuning</t>
  </si>
  <si>
    <t>AIJOB01272</t>
  </si>
  <si>
    <t>Docker, GCP Vertex AI, LangChain, LlamaIndex, Hugging Face Transformers</t>
  </si>
  <si>
    <t>AIJOB01273</t>
  </si>
  <si>
    <t>Python, Pinecone, FastAPI, Kubernetes, GCP Vertex AI, Vector Databases</t>
  </si>
  <si>
    <t>AIJOB01274</t>
  </si>
  <si>
    <t>PyTorch, Rust, MLflow, GCP Vertex AI</t>
  </si>
  <si>
    <t>AIJOB01275</t>
  </si>
  <si>
    <t>C++, SQL, Vector Databases</t>
  </si>
  <si>
    <t>AIJOB01276</t>
  </si>
  <si>
    <t>RLHF, OpenAI API, Azure ML</t>
  </si>
  <si>
    <t>AIJOB01277</t>
  </si>
  <si>
    <t>PyTorch, LlamaIndex, dbt, Fine-tuning, Python, Hugging Face Transformers, MLflow</t>
  </si>
  <si>
    <t>AIJOB01278</t>
  </si>
  <si>
    <t>OpenAI API, CUDA, AWS SageMaker, LlamaIndex, PyTorch, Kubernetes</t>
  </si>
  <si>
    <t>AIJOB01279</t>
  </si>
  <si>
    <t>dbt, Pinecone, Weights &amp; Biases, Hugging Face Transformers, OpenAI API</t>
  </si>
  <si>
    <t>AIJOB01280</t>
  </si>
  <si>
    <t>Hugging Face Transformers, JAX, Fine-tuning, Python</t>
  </si>
  <si>
    <t>AIJOB01281</t>
  </si>
  <si>
    <t>Hugging Face Transformers, C++, ChromaDB, OpenAI API, dbt, Spark</t>
  </si>
  <si>
    <t>AIJOB01282</t>
  </si>
  <si>
    <t>ChromaDB, AWS SageMaker, Fine-tuning, SQL, Weaviate</t>
  </si>
  <si>
    <t>AIJOB01283</t>
  </si>
  <si>
    <t>dbt, C++, ChromaDB, PyTorch, Rust, MLflow</t>
  </si>
  <si>
    <t>AIJOB01284</t>
  </si>
  <si>
    <t>MLflow, Docker, TensorFlow, Spark, Rust</t>
  </si>
  <si>
    <t>AIJOB01285</t>
  </si>
  <si>
    <t>TensorFlow, GCP Vertex AI, Vector Databases, SQL, PyTorch, Weaviate, ChromaDB</t>
  </si>
  <si>
    <t>AIJOB01286</t>
  </si>
  <si>
    <t>LlamaIndex, Kubernetes, ChromaDB</t>
  </si>
  <si>
    <t>AIJOB01287</t>
  </si>
  <si>
    <t>Spark, RAG, JAX, Rust, FastAPI, LangChain, Pinecone</t>
  </si>
  <si>
    <t>AIJOB01288</t>
  </si>
  <si>
    <t>Kubernetes, Vector Databases, FastAPI, LlamaIndex</t>
  </si>
  <si>
    <t>AIJOB01289</t>
  </si>
  <si>
    <t>Fine-tuning, Vector Databases, GCP Vertex AI</t>
  </si>
  <si>
    <t>AIJOB01290</t>
  </si>
  <si>
    <t>LangChain, GCP Vertex AI, Spark, PyTorch</t>
  </si>
  <si>
    <t>AIJOB01291</t>
  </si>
  <si>
    <t>Pinecone, Weaviate, OpenAI API, LangChain, TensorFlow</t>
  </si>
  <si>
    <t>AIJOB01292</t>
  </si>
  <si>
    <t>GCP Vertex AI, Spark, FastAPI</t>
  </si>
  <si>
    <t>AIJOB01293</t>
  </si>
  <si>
    <t>Azure ML, Fine-tuning, Pinecone, AWS SageMaker, Docker</t>
  </si>
  <si>
    <t>AIJOB01294</t>
  </si>
  <si>
    <t>Vector Databases, OpenAI API, FastAPI, Pinecone, dbt</t>
  </si>
  <si>
    <t>AIJOB01295</t>
  </si>
  <si>
    <t>FastAPI, Weights &amp; Biases, OpenAI API, MLflow, PyTorch, LlamaIndex, ChromaDB</t>
  </si>
  <si>
    <t>AIJOB01296</t>
  </si>
  <si>
    <t>Weaviate, Kubernetes, ChromaDB, Fine-tuning, Rust</t>
  </si>
  <si>
    <t>AIJOB01297</t>
  </si>
  <si>
    <t>Docker, Weights &amp; Biases, SQL, LangChain, Fine-tuning, TensorFlow</t>
  </si>
  <si>
    <t>AIJOB01298</t>
  </si>
  <si>
    <t>dbt, Vector Databases, RAG, MLflow, JAX</t>
  </si>
  <si>
    <t>AIJOB01299</t>
  </si>
  <si>
    <t>FastAPI, Python, Rust, LlamaIndex</t>
  </si>
  <si>
    <t>AIJOB01300</t>
  </si>
  <si>
    <t>Fine-tuning, JAX, CUDA, TensorFlow, Python, LlamaIndex</t>
  </si>
  <si>
    <t>AIJOB01301</t>
  </si>
  <si>
    <t>PyTorch, TensorFlow, OpenAI API, Weights &amp; Biases, RLHF, Fine-tuning, Weaviate</t>
  </si>
  <si>
    <t>AIJOB01302</t>
  </si>
  <si>
    <t>SQL, Hugging Face Transformers, OpenAI API</t>
  </si>
  <si>
    <t>AIJOB01303</t>
  </si>
  <si>
    <t>RAG, OpenAI API, TensorFlow, ChromaDB</t>
  </si>
  <si>
    <t>AIJOB01304</t>
  </si>
  <si>
    <t>PyTorch, Python, OpenAI API, Rust, Weaviate, GCP Vertex AI, CUDA</t>
  </si>
  <si>
    <t>AIJOB01305</t>
  </si>
  <si>
    <t>Kubernetes, ChromaDB, Python, AWS SageMaker, Vector Databases, JAX, Weights &amp; Biases</t>
  </si>
  <si>
    <t>AIJOB01306</t>
  </si>
  <si>
    <t>RLHF, Pinecone, CUDA, JAX, ChromaDB, GCP Vertex AI, OpenAI API</t>
  </si>
  <si>
    <t>AIJOB01307</t>
  </si>
  <si>
    <t>Vector Databases, Kubernetes, TensorFlow, AWS SageMaker, OpenAI API, ChromaDB, C++</t>
  </si>
  <si>
    <t>AIJOB01308</t>
  </si>
  <si>
    <t>dbt, RAG, Spark, Pinecone, GCP Vertex AI, Fine-tuning, AWS SageMaker</t>
  </si>
  <si>
    <t>AIJOB01309</t>
  </si>
  <si>
    <t>Python, RAG, PyTorch, Hugging Face Transformers</t>
  </si>
  <si>
    <t>AIJOB01310</t>
  </si>
  <si>
    <t>RAG, Fine-tuning, Vector Databases</t>
  </si>
  <si>
    <t>AIJOB01311</t>
  </si>
  <si>
    <t>PyTorch, GCP Vertex AI, Kubernetes, CUDA, ChromaDB</t>
  </si>
  <si>
    <t>AIJOB01312</t>
  </si>
  <si>
    <t>ChromaDB, LangChain, OpenAI API, Kubernetes</t>
  </si>
  <si>
    <t>AIJOB01313</t>
  </si>
  <si>
    <t>Pinecone, RAG, AWS SageMaker, FastAPI</t>
  </si>
  <si>
    <t>AIJOB01314</t>
  </si>
  <si>
    <t>FastAPI, RLHF, Spark, dbt, Vector Databases, C++</t>
  </si>
  <si>
    <t>AIJOB01315</t>
  </si>
  <si>
    <t>C++, GCP Vertex AI, ChromaDB, CUDA, TensorFlow</t>
  </si>
  <si>
    <t>AIJOB01316</t>
  </si>
  <si>
    <t>MLflow, Azure ML, Hugging Face Transformers, AWS SageMaker, RLHF, Docker, RAG</t>
  </si>
  <si>
    <t>AIJOB01317</t>
  </si>
  <si>
    <t>Vector Databases, ChromaDB, LlamaIndex, AWS SageMaker, LangChain, GCP Vertex AI</t>
  </si>
  <si>
    <t>AIJOB01318</t>
  </si>
  <si>
    <t>Kubernetes, dbt, ChromaDB, Python, Fine-tuning, LangChain</t>
  </si>
  <si>
    <t>AIJOB01319</t>
  </si>
  <si>
    <t>LangChain, RAG, JAX</t>
  </si>
  <si>
    <t>AIJOB01320</t>
  </si>
  <si>
    <t>LangChain, Docker, Weaviate</t>
  </si>
  <si>
    <t>AIJOB01321</t>
  </si>
  <si>
    <t>Rust, FastAPI, RLHF, RAG, Hugging Face Transformers</t>
  </si>
  <si>
    <t>AIJOB01322</t>
  </si>
  <si>
    <t>Spark, AWS SageMaker, Python, OpenAI API, RAG, ChromaDB, Docker</t>
  </si>
  <si>
    <t>AIJOB01323</t>
  </si>
  <si>
    <t>Kubernetes, OpenAI API, GCP Vertex AI, JAX, SQL, LangChain, PyTorch</t>
  </si>
  <si>
    <t>AIJOB01324</t>
  </si>
  <si>
    <t>Docker, OpenAI API, Vector Databases, dbt, Fine-tuning</t>
  </si>
  <si>
    <t>AIJOB01325</t>
  </si>
  <si>
    <t>Vector Databases, SQL, OpenAI API, PyTorch, TensorFlow, Docker</t>
  </si>
  <si>
    <t>AIJOB01326</t>
  </si>
  <si>
    <t>LlamaIndex, Pinecone, Weaviate</t>
  </si>
  <si>
    <t>AIJOB01327</t>
  </si>
  <si>
    <t>Docker, Pinecone, JAX, Weights &amp; Biases</t>
  </si>
  <si>
    <t>AIJOB01328</t>
  </si>
  <si>
    <t>OpenAI API, Weaviate, RAG</t>
  </si>
  <si>
    <t>AIJOB01329</t>
  </si>
  <si>
    <t>dbt, CUDA, Python, Hugging Face Transformers, Pinecone, Weaviate</t>
  </si>
  <si>
    <t>AIJOB01330</t>
  </si>
  <si>
    <t>Vector Databases, RAG, AWS SageMaker, CUDA, Fine-tuning</t>
  </si>
  <si>
    <t>AIJOB01331</t>
  </si>
  <si>
    <t>Spark, LlamaIndex, LangChain, Azure ML</t>
  </si>
  <si>
    <t>AIJOB01332</t>
  </si>
  <si>
    <t>GCP Vertex AI, Hugging Face Transformers, FastAPI, Spark, Vector Databases</t>
  </si>
  <si>
    <t>AIJOB01333</t>
  </si>
  <si>
    <t>RAG, SQL, AWS SageMaker, Pinecone, ChromaDB, CUDA</t>
  </si>
  <si>
    <t>AIJOB01334</t>
  </si>
  <si>
    <t>Spark, Weights &amp; Biases, TensorFlow, RLHF, LlamaIndex, RAG</t>
  </si>
  <si>
    <t>AIJOB01335</t>
  </si>
  <si>
    <t>Pinecone, Spark, Fine-tuning, Hugging Face Transformers, Docker, PyTorch</t>
  </si>
  <si>
    <t>AIJOB01336</t>
  </si>
  <si>
    <t>Vector Databases, Fine-tuning, Hugging Face Transformers</t>
  </si>
  <si>
    <t>AIJOB01337</t>
  </si>
  <si>
    <t>CUDA, LlamaIndex, Pinecone, OpenAI API, Azure ML</t>
  </si>
  <si>
    <t>AIJOB01338</t>
  </si>
  <si>
    <t>Kubernetes, Azure ML, dbt</t>
  </si>
  <si>
    <t>AIJOB01339</t>
  </si>
  <si>
    <t>Vector Databases, Weaviate, PyTorch, SQL, FastAPI</t>
  </si>
  <si>
    <t>AIJOB01340</t>
  </si>
  <si>
    <t>Rust, FastAPI, Pinecone, LangChain</t>
  </si>
  <si>
    <t>AIJOB01341</t>
  </si>
  <si>
    <t>Vector Databases, Weaviate, Spark, MLflow, Python</t>
  </si>
  <si>
    <t>AIJOB01342</t>
  </si>
  <si>
    <t>ChromaDB, Python, GCP Vertex AI, C++, Weaviate, Rust, Azure ML</t>
  </si>
  <si>
    <t>AIJOB01343</t>
  </si>
  <si>
    <t>MLflow, AWS SageMaker, Azure ML</t>
  </si>
  <si>
    <t>AIJOB01344</t>
  </si>
  <si>
    <t>JAX, PyTorch, TensorFlow, RAG, GCP Vertex AI, LlamaIndex</t>
  </si>
  <si>
    <t>AIJOB01345</t>
  </si>
  <si>
    <t>SQL, Hugging Face Transformers, Spark, JAX, RAG, AWS SageMaker, Docker</t>
  </si>
  <si>
    <t>AIJOB01346</t>
  </si>
  <si>
    <t>Docker, TensorFlow, RLHF</t>
  </si>
  <si>
    <t>AIJOB01347</t>
  </si>
  <si>
    <t>RAG, Hugging Face Transformers, C++</t>
  </si>
  <si>
    <t>AIJOB01348</t>
  </si>
  <si>
    <t>GCP Vertex AI, Spark, Weaviate</t>
  </si>
  <si>
    <t>AIJOB01349</t>
  </si>
  <si>
    <t>Hugging Face Transformers, SQL, LlamaIndex, C++, Python</t>
  </si>
  <si>
    <t>AIJOB01350</t>
  </si>
  <si>
    <t>RAG, Kubernetes, LlamaIndex</t>
  </si>
  <si>
    <t>AIJOB01351</t>
  </si>
  <si>
    <t>dbt, ChromaDB, PyTorch</t>
  </si>
  <si>
    <t>AIJOB01352</t>
  </si>
  <si>
    <t>RAG, LlamaIndex, Hugging Face Transformers</t>
  </si>
  <si>
    <t>AIJOB01353</t>
  </si>
  <si>
    <t>Weights &amp; Biases, Rust, OpenAI API, LlamaIndex, Kubernetes</t>
  </si>
  <si>
    <t>AIJOB01354</t>
  </si>
  <si>
    <t>SQL, AWS SageMaker, FastAPI</t>
  </si>
  <si>
    <t>AIJOB01355</t>
  </si>
  <si>
    <t>TensorFlow, LlamaIndex, Python, Rust, ChromaDB, Hugging Face Transformers</t>
  </si>
  <si>
    <t>AIJOB01356</t>
  </si>
  <si>
    <t>Python, RAG, Spark, Vector Databases, C++, Fine-tuning</t>
  </si>
  <si>
    <t>AIJOB01357</t>
  </si>
  <si>
    <t>TensorFlow, JAX, AWS SageMaker, LlamaIndex, SQL, C++</t>
  </si>
  <si>
    <t>AIJOB01358</t>
  </si>
  <si>
    <t>Azure ML, SQL, dbt, Spark, Pinecone, RAG</t>
  </si>
  <si>
    <t>AIJOB01359</t>
  </si>
  <si>
    <t>JAX, OpenAI API, Pinecone, LlamaIndex, PyTorch</t>
  </si>
  <si>
    <t>AIJOB01360</t>
  </si>
  <si>
    <t>Docker, GCP Vertex AI, Azure ML, Kubernetes</t>
  </si>
  <si>
    <t>AIJOB01361</t>
  </si>
  <si>
    <t>Hugging Face Transformers, Docker, C++, Rust</t>
  </si>
  <si>
    <t>AIJOB01362</t>
  </si>
  <si>
    <t>LlamaIndex, C++, dbt</t>
  </si>
  <si>
    <t>AIJOB01363</t>
  </si>
  <si>
    <t>CUDA, LlamaIndex, TensorFlow, ChromaDB, LangChain</t>
  </si>
  <si>
    <t>AIJOB01364</t>
  </si>
  <si>
    <t>RLHF, CUDA, LlamaIndex, Azure ML, LangChain, Pinecone, AWS SageMaker</t>
  </si>
  <si>
    <t>AIJOB01365</t>
  </si>
  <si>
    <t>MLflow, PyTorch, ChromaDB, Docker</t>
  </si>
  <si>
    <t>AIJOB01366</t>
  </si>
  <si>
    <t>JAX, Rust, C++, LlamaIndex</t>
  </si>
  <si>
    <t>AIJOB01367</t>
  </si>
  <si>
    <t>RAG, Python, Rust, Pinecone, Hugging Face Transformers, MLflow, Weaviate</t>
  </si>
  <si>
    <t>AIJOB01368</t>
  </si>
  <si>
    <t>Docker, ChromaDB, MLflow, PyTorch, LangChain, OpenAI API</t>
  </si>
  <si>
    <t>AIJOB01369</t>
  </si>
  <si>
    <t>MLflow, JAX, CUDA, Spark, PyTorch, Weaviate, FastAPI</t>
  </si>
  <si>
    <t>AIJOB01370</t>
  </si>
  <si>
    <t>TensorFlow, dbt, OpenAI API, C++, GCP Vertex AI</t>
  </si>
  <si>
    <t>AIJOB01371</t>
  </si>
  <si>
    <t>RAG, AWS SageMaker, RLHF, LangChain, Vector Databases</t>
  </si>
  <si>
    <t>AIJOB01372</t>
  </si>
  <si>
    <t>Vector Databases, MLflow, LangChain, Fine-tuning</t>
  </si>
  <si>
    <t>AIJOB01373</t>
  </si>
  <si>
    <t>OpenAI API, dbt, JAX, Hugging Face Transformers, Fine-tuning, TensorFlow, Vector Databases</t>
  </si>
  <si>
    <t>AIJOB01374</t>
  </si>
  <si>
    <t>MLflow, LlamaIndex, Weaviate, Azure ML, Kubernetes, Rust</t>
  </si>
  <si>
    <t>AIJOB01375</t>
  </si>
  <si>
    <t>Weaviate, C++, Docker, Fine-tuning, Vector Databases</t>
  </si>
  <si>
    <t>AIJOB01376</t>
  </si>
  <si>
    <t>Rust, Weights &amp; Biases, MLflow, PyTorch, Hugging Face Transformers</t>
  </si>
  <si>
    <t>AIJOB01377</t>
  </si>
  <si>
    <t>Spark, RLHF, FastAPI</t>
  </si>
  <si>
    <t>AIJOB01378</t>
  </si>
  <si>
    <t>Spark, Pinecone, RAG, OpenAI API, Python, SQL</t>
  </si>
  <si>
    <t>AIJOB01379</t>
  </si>
  <si>
    <t>Weights &amp; Biases, dbt, Vector Databases, CUDA, C++</t>
  </si>
  <si>
    <t>AIJOB01380</t>
  </si>
  <si>
    <t>RAG, FastAPI, RLHF, Fine-tuning, AWS SageMaker, PyTorch</t>
  </si>
  <si>
    <t>AIJOB01381</t>
  </si>
  <si>
    <t>FastAPI, RLHF, SQL, OpenAI API</t>
  </si>
  <si>
    <t>AIJOB01382</t>
  </si>
  <si>
    <t>FastAPI, LangChain, GCP Vertex AI</t>
  </si>
  <si>
    <t>AIJOB01383</t>
  </si>
  <si>
    <t>RAG, Azure ML, Weaviate, ChromaDB</t>
  </si>
  <si>
    <t>AIJOB01384</t>
  </si>
  <si>
    <t>Vector Databases, JAX, TensorFlow, SQL, Hugging Face Transformers</t>
  </si>
  <si>
    <t>AIJOB01385</t>
  </si>
  <si>
    <t>TensorFlow, Vector Databases, MLflow, LlamaIndex</t>
  </si>
  <si>
    <t>AIJOB01386</t>
  </si>
  <si>
    <t>PyTorch, Rust, MLflow</t>
  </si>
  <si>
    <t>AIJOB01387</t>
  </si>
  <si>
    <t>Docker, OpenAI API, C++, LlamaIndex, Vector Databases</t>
  </si>
  <si>
    <t>AIJOB01388</t>
  </si>
  <si>
    <t>Weights &amp; Biases, PyTorch, ChromaDB</t>
  </si>
  <si>
    <t>AIJOB01389</t>
  </si>
  <si>
    <t>MLflow, Docker, TensorFlow, GCP Vertex AI, Weaviate</t>
  </si>
  <si>
    <t>AIJOB01390</t>
  </si>
  <si>
    <t>RAG, Hugging Face Transformers, Weaviate, Spark, Python, Pinecone</t>
  </si>
  <si>
    <t>AIJOB01391</t>
  </si>
  <si>
    <t>TensorFlow, C++, CUDA, PyTorch</t>
  </si>
  <si>
    <t>AIJOB01392</t>
  </si>
  <si>
    <t>Weights &amp; Biases, AWS SageMaker, LlamaIndex</t>
  </si>
  <si>
    <t>AIJOB01393</t>
  </si>
  <si>
    <t>Vector Databases, JAX, RAG, LlamaIndex, dbt, Pinecone, Weaviate</t>
  </si>
  <si>
    <t>AIJOB01394</t>
  </si>
  <si>
    <t>Hugging Face Transformers, JAX, Fine-tuning, C++, Rust, RLHF, Pinecone</t>
  </si>
  <si>
    <t>AIJOB01395</t>
  </si>
  <si>
    <t>dbt, MLflow, Weaviate, SQL, Python, RLHF, AWS SageMaker</t>
  </si>
  <si>
    <t>AIJOB01396</t>
  </si>
  <si>
    <t>Python, Weaviate, C++, OpenAI API, Azure ML</t>
  </si>
  <si>
    <t>AIJOB01397</t>
  </si>
  <si>
    <t>TensorFlow, C++, LlamaIndex, ChromaDB, Azure ML, RAG, FastAPI</t>
  </si>
  <si>
    <t>AIJOB01398</t>
  </si>
  <si>
    <t>Docker, SQL, MLflow, Spark, Hugging Face Transformers</t>
  </si>
  <si>
    <t>AIJOB01399</t>
  </si>
  <si>
    <t>Spark, Python, TensorFlow, Pinecone, RAG</t>
  </si>
  <si>
    <t>AIJOB01400</t>
  </si>
  <si>
    <t>Spark, Weaviate, Python</t>
  </si>
  <si>
    <t>AIJOB01401</t>
  </si>
  <si>
    <t>Azure ML, Kubernetes, Vector Databases, Rust, Weights &amp; Biases, Spark</t>
  </si>
  <si>
    <t>AIJOB01402</t>
  </si>
  <si>
    <t>PyTorch, Weights &amp; Biases, RAG, Weaviate, JAX</t>
  </si>
  <si>
    <t>AIJOB01403</t>
  </si>
  <si>
    <t>dbt, Weights &amp; Biases, CUDA, Docker</t>
  </si>
  <si>
    <t>AIJOB01404</t>
  </si>
  <si>
    <t>Pinecone, GCP Vertex AI, Kubernetes, LlamaIndex, Python</t>
  </si>
  <si>
    <t>AIJOB01405</t>
  </si>
  <si>
    <t>AWS SageMaker, Kubernetes, CUDA, Weights &amp; Biases, Fine-tuning</t>
  </si>
  <si>
    <t>AIJOB01406</t>
  </si>
  <si>
    <t>Weights &amp; Biases, C++, Python, PyTorch</t>
  </si>
  <si>
    <t>AIJOB01407</t>
  </si>
  <si>
    <t>Kubernetes, Weaviate, Python</t>
  </si>
  <si>
    <t>AIJOB01408</t>
  </si>
  <si>
    <t>AWS SageMaker, OpenAI API, GCP Vertex AI</t>
  </si>
  <si>
    <t>AIJOB01409</t>
  </si>
  <si>
    <t>LangChain, LlamaIndex, Kubernetes</t>
  </si>
  <si>
    <t>AIJOB01410</t>
  </si>
  <si>
    <t>MLflow, PyTorch, Pinecone</t>
  </si>
  <si>
    <t>AIJOB01411</t>
  </si>
  <si>
    <t>Vector Databases, dbt, JAX</t>
  </si>
  <si>
    <t>AIJOB01412</t>
  </si>
  <si>
    <t>OpenAI API, Kubernetes, RLHF, Docker, RAG, LangChain</t>
  </si>
  <si>
    <t>AIJOB01413</t>
  </si>
  <si>
    <t>LangChain, Pinecone, Rust, Spark, RLHF, RAG, Hugging Face Transformers</t>
  </si>
  <si>
    <t>AIJOB01414</t>
  </si>
  <si>
    <t>AWS SageMaker, GCP Vertex AI, PyTorch</t>
  </si>
  <si>
    <t>AIJOB01415</t>
  </si>
  <si>
    <t>Weaviate, Pinecone, PyTorch, AWS SageMaker, CUDA, Azure ML, TensorFlow</t>
  </si>
  <si>
    <t>AIJOB01416</t>
  </si>
  <si>
    <t>Vector Databases, Azure ML, FastAPI, RLHF</t>
  </si>
  <si>
    <t>AIJOB01417</t>
  </si>
  <si>
    <t>Azure ML, Kubernetes, Rust, TensorFlow, PyTorch, dbt, Spark</t>
  </si>
  <si>
    <t>AIJOB01418</t>
  </si>
  <si>
    <t>Rust, TensorFlow, RLHF, OpenAI API, CUDA</t>
  </si>
  <si>
    <t>AIJOB01419</t>
  </si>
  <si>
    <t>ChromaDB, TensorFlow, Rust, GCP Vertex AI, RLHF, OpenAI API</t>
  </si>
  <si>
    <t>AIJOB01420</t>
  </si>
  <si>
    <t>C++, Weights &amp; Biases, TensorFlow, Azure ML, OpenAI API, PyTorch, Docker</t>
  </si>
  <si>
    <t>AIJOB01421</t>
  </si>
  <si>
    <t>Hugging Face Transformers, SQL, GCP Vertex AI</t>
  </si>
  <si>
    <t>AIJOB01422</t>
  </si>
  <si>
    <t>Kubernetes, Rust, Fine-tuning, Weaviate</t>
  </si>
  <si>
    <t>AIJOB01423</t>
  </si>
  <si>
    <t>AWS SageMaker, Hugging Face Transformers, LlamaIndex, Python, LangChain, Kubernetes, Weaviate</t>
  </si>
  <si>
    <t>AIJOB01424</t>
  </si>
  <si>
    <t>Kubernetes, Weaviate, ChromaDB</t>
  </si>
  <si>
    <t>AIJOB01425</t>
  </si>
  <si>
    <t>PyTorch, Python, Azure ML</t>
  </si>
  <si>
    <t>AIJOB01426</t>
  </si>
  <si>
    <t>Hugging Face Transformers, OpenAI API, RLHF</t>
  </si>
  <si>
    <t>AIJOB01427</t>
  </si>
  <si>
    <t>RAG, C++, LangChain, SQL, Hugging Face Transformers</t>
  </si>
  <si>
    <t>AIJOB01428</t>
  </si>
  <si>
    <t>Weights &amp; Biases, RAG, FastAPI, C++</t>
  </si>
  <si>
    <t>AIJOB01429</t>
  </si>
  <si>
    <t>Weights &amp; Biases, LlamaIndex, OpenAI API, dbt</t>
  </si>
  <si>
    <t>AIJOB01430</t>
  </si>
  <si>
    <t>TensorFlow, Rust, RLHF</t>
  </si>
  <si>
    <t>AIJOB01431</t>
  </si>
  <si>
    <t>Vector Databases, Python, C++, Docker, RAG</t>
  </si>
  <si>
    <t>AIJOB01432</t>
  </si>
  <si>
    <t>dbt, SQL, Spark, Kubernetes, RAG, Weights &amp; Biases</t>
  </si>
  <si>
    <t>AIJOB01433</t>
  </si>
  <si>
    <t>TensorFlow, PyTorch, Docker, RAG, Weights &amp; Biases</t>
  </si>
  <si>
    <t>AIJOB01434</t>
  </si>
  <si>
    <t>FastAPI, RAG, Spark, PyTorch, Vector Databases, GCP Vertex AI, dbt</t>
  </si>
  <si>
    <t>AIJOB01435</t>
  </si>
  <si>
    <t>Docker, Weaviate, CUDA</t>
  </si>
  <si>
    <t>AIJOB01436</t>
  </si>
  <si>
    <t>Fine-tuning, CUDA, Kubernetes, LangChain, OpenAI API</t>
  </si>
  <si>
    <t>AIJOB01437</t>
  </si>
  <si>
    <t>Vector Databases, Weaviate, Pinecone, TensorFlow</t>
  </si>
  <si>
    <t>AIJOB01438</t>
  </si>
  <si>
    <t>OpenAI API, Rust, dbt, MLflow, Hugging Face Transformers</t>
  </si>
  <si>
    <t>AIJOB01439</t>
  </si>
  <si>
    <t>AWS SageMaker, MLflow, SQL</t>
  </si>
  <si>
    <t>AIJOB01440</t>
  </si>
  <si>
    <t>FastAPI, C++, LangChain, LlamaIndex, Vector Databases, Docker, OpenAI API</t>
  </si>
  <si>
    <t>AIJOB01441</t>
  </si>
  <si>
    <t>C++, Vector Databases, CUDA, Fine-tuning, JAX</t>
  </si>
  <si>
    <t>AIJOB01442</t>
  </si>
  <si>
    <t>Docker, GCP Vertex AI, Kubernetes, LangChain, CUDA, RAG, OpenAI API</t>
  </si>
  <si>
    <t>AIJOB01443</t>
  </si>
  <si>
    <t>Weaviate, RLHF, LlamaIndex, Spark, Docker, Weights &amp; Biases, PyTorch</t>
  </si>
  <si>
    <t>AIJOB01444</t>
  </si>
  <si>
    <t>OpenAI API, SQL, Vector Databases, Fine-tuning</t>
  </si>
  <si>
    <t>AIJOB01445</t>
  </si>
  <si>
    <t>MLflow, SQL, Pinecone</t>
  </si>
  <si>
    <t>AIJOB01446</t>
  </si>
  <si>
    <t>Spark, Rust, AWS SageMaker</t>
  </si>
  <si>
    <t>AIJOB01447</t>
  </si>
  <si>
    <t>MLflow, JAX, TensorFlow, LangChain, dbt</t>
  </si>
  <si>
    <t>AIJOB01448</t>
  </si>
  <si>
    <t>JAX, OpenAI API, RLHF</t>
  </si>
  <si>
    <t>AIJOB01449</t>
  </si>
  <si>
    <t>Python, Spark, OpenAI API</t>
  </si>
  <si>
    <t>AIJOB01450</t>
  </si>
  <si>
    <t>Hugging Face Transformers, FastAPI, JAX, ChromaDB, Azure ML, Kubernetes, Weights &amp; Biases</t>
  </si>
  <si>
    <t>AIJOB01451</t>
  </si>
  <si>
    <t>AWS SageMaker, Python, RAG, Fine-tuning</t>
  </si>
  <si>
    <t>AIJOB01452</t>
  </si>
  <si>
    <t>RAG, Fine-tuning, SQL, Docker, Weights &amp; Biases, PyTorch, Pinecone</t>
  </si>
  <si>
    <t>AIJOB01453</t>
  </si>
  <si>
    <t>GCP Vertex AI, C++, Python, ChromaDB</t>
  </si>
  <si>
    <t>AIJOB01454</t>
  </si>
  <si>
    <t>CUDA, Fine-tuning, AWS SageMaker, GCP Vertex AI, OpenAI API, Rust, SQL</t>
  </si>
  <si>
    <t>AIJOB01455</t>
  </si>
  <si>
    <t>OpenAI API, Docker, AWS SageMaker, Weights &amp; Biases, Rust, SQL</t>
  </si>
  <si>
    <t>AIJOB01456</t>
  </si>
  <si>
    <t>SQL, RLHF, TensorFlow, Python, FastAPI</t>
  </si>
  <si>
    <t>AIJOB01457</t>
  </si>
  <si>
    <t>dbt, LangChain, RAG</t>
  </si>
  <si>
    <t>AIJOB01458</t>
  </si>
  <si>
    <t>FastAPI, Python, Spark, GCP Vertex AI, Rust</t>
  </si>
  <si>
    <t>AIJOB01459</t>
  </si>
  <si>
    <t>Hugging Face Transformers, GCP Vertex AI, Rust, RLHF, LangChain, AWS SageMaker, PyTorch</t>
  </si>
  <si>
    <t>AIJOB01460</t>
  </si>
  <si>
    <t>FastAPI, JAX, Kubernetes, Pinecone, Spark, AWS SageMaker</t>
  </si>
  <si>
    <t>AIJOB01461</t>
  </si>
  <si>
    <t>Weaviate, ChromaDB, RAG, SQL, GCP Vertex AI, TensorFlow</t>
  </si>
  <si>
    <t>AIJOB01462</t>
  </si>
  <si>
    <t>PyTorch, OpenAI API, RAG, GCP Vertex AI, Fine-tuning, LlamaIndex</t>
  </si>
  <si>
    <t>AIJOB01463</t>
  </si>
  <si>
    <t>dbt, LlamaIndex, OpenAI API</t>
  </si>
  <si>
    <t>AIJOB01464</t>
  </si>
  <si>
    <t>JAX, LlamaIndex, RAG, Kubernetes, C++, RLHF</t>
  </si>
  <si>
    <t>AIJOB01465</t>
  </si>
  <si>
    <t>MLflow, GCP Vertex AI, LlamaIndex, ChromaDB, Azure ML, OpenAI API, RLHF</t>
  </si>
  <si>
    <t>AIJOB01466</t>
  </si>
  <si>
    <t>Python, CUDA, Vector Databases, Fine-tuning</t>
  </si>
  <si>
    <t>AIJOB01467</t>
  </si>
  <si>
    <t>Spark, MLflow, PyTorch</t>
  </si>
  <si>
    <t>AIJOB01468</t>
  </si>
  <si>
    <t>Spark, dbt, Fine-tuning, Azure ML, Kubernetes</t>
  </si>
  <si>
    <t>AIJOB01469</t>
  </si>
  <si>
    <t>Weights &amp; Biases, TensorFlow, CUDA, PyTorch, JAX, Kubernetes, AWS SageMaker</t>
  </si>
  <si>
    <t>AIJOB01470</t>
  </si>
  <si>
    <t>Rust, Docker, RAG, Fine-tuning, TensorFlow, AWS SageMaker</t>
  </si>
  <si>
    <t>AIJOB01471</t>
  </si>
  <si>
    <t>Weaviate, LlamaIndex, MLflow, SQL, Python, Weights &amp; Biases</t>
  </si>
  <si>
    <t>AIJOB01472</t>
  </si>
  <si>
    <t>Vector Databases, Fine-tuning, AWS SageMaker, CUDA</t>
  </si>
  <si>
    <t>AIJOB01473</t>
  </si>
  <si>
    <t>AWS SageMaker, Vector Databases, RLHF</t>
  </si>
  <si>
    <t>AIJOB01474</t>
  </si>
  <si>
    <t>Docker, AWS SageMaker, LangChain, Python, Weights &amp; Biases, dbt, Hugging Face Transformers</t>
  </si>
  <si>
    <t>AIJOB01475</t>
  </si>
  <si>
    <t>Vector Databases, AWS SageMaker, LangChain, OpenAI API, TensorFlow, Rust</t>
  </si>
  <si>
    <t>AIJOB01476</t>
  </si>
  <si>
    <t>SQL, Pinecone, FastAPI, Weaviate</t>
  </si>
  <si>
    <t>AIJOB01477</t>
  </si>
  <si>
    <t>GCP Vertex AI, Azure ML, Rust, Pinecone, LangChain, RAG</t>
  </si>
  <si>
    <t>AIJOB01478</t>
  </si>
  <si>
    <t>C++, Docker, CUDA</t>
  </si>
  <si>
    <t>AIJOB01479</t>
  </si>
  <si>
    <t>C++, ChromaDB, Weights &amp; Biases</t>
  </si>
  <si>
    <t>AIJOB01480</t>
  </si>
  <si>
    <t>Azure ML, OpenAI API, CUDA, PyTorch, TensorFlow</t>
  </si>
  <si>
    <t>AIJOB01481</t>
  </si>
  <si>
    <t>GCP Vertex AI, RLHF, Fine-tuning, Weights &amp; Biases, C++</t>
  </si>
  <si>
    <t>AIJOB01482</t>
  </si>
  <si>
    <t>dbt, TensorFlow, SQL, Weights &amp; Biases, Rust</t>
  </si>
  <si>
    <t>AIJOB01483</t>
  </si>
  <si>
    <t>RAG, Weaviate, LlamaIndex</t>
  </si>
  <si>
    <t>AIJOB01484</t>
  </si>
  <si>
    <t>Vector Databases, ChromaDB, Rust, MLflow, TensorFlow</t>
  </si>
  <si>
    <t>AIJOB01485</t>
  </si>
  <si>
    <t>Python, PyTorch, Spark, dbt</t>
  </si>
  <si>
    <t>AIJOB01486</t>
  </si>
  <si>
    <t>GCP Vertex AI, dbt, Pinecone</t>
  </si>
  <si>
    <t>AIJOB01487</t>
  </si>
  <si>
    <t>Docker, Python, Fine-tuning, Rust</t>
  </si>
  <si>
    <t>AIJOB01488</t>
  </si>
  <si>
    <t>GCP Vertex AI, Fine-tuning, RAG, MLflow, Docker, OpenAI API, PyTorch</t>
  </si>
  <si>
    <t>AIJOB01489</t>
  </si>
  <si>
    <t>C++, Kubernetes, TensorFlow, OpenAI API, RAG, dbt, PyTorch</t>
  </si>
  <si>
    <t>AIJOB01490</t>
  </si>
  <si>
    <t>Docker, dbt, FastAPI, RLHF, TensorFlow, ChromaDB, SQL</t>
  </si>
  <si>
    <t>AIJOB01491</t>
  </si>
  <si>
    <t>MLflow, FastAPI, LangChain, Docker, RLHF, ChromaDB, PyTorch</t>
  </si>
  <si>
    <t>AIJOB01492</t>
  </si>
  <si>
    <t>dbt, Weights &amp; Biases, RAG, Vector Databases</t>
  </si>
  <si>
    <t>AIJOB01493</t>
  </si>
  <si>
    <t>dbt, Hugging Face Transformers, CUDA, Pinecone, C++, MLflow, Weaviate</t>
  </si>
  <si>
    <t>AIJOB01494</t>
  </si>
  <si>
    <t>Vector Databases, Fine-tuning, Spark, JAX, Pinecone, Python</t>
  </si>
  <si>
    <t>AIJOB01495</t>
  </si>
  <si>
    <t>TensorFlow, Vector Databases, GCP Vertex AI, JAX</t>
  </si>
  <si>
    <t>AIJOB01496</t>
  </si>
  <si>
    <t>Fine-tuning, RLHF, GCP Vertex AI, FastAPI</t>
  </si>
  <si>
    <t>AIJOB01497</t>
  </si>
  <si>
    <t>JAX, LangChain, SQL, RAG, RLHF</t>
  </si>
  <si>
    <t>AIJOB01498</t>
  </si>
  <si>
    <t>TensorFlow, FastAPI, Weights &amp; Biases</t>
  </si>
  <si>
    <t>AIJOB01499</t>
  </si>
  <si>
    <t>Weaviate, PyTorch, ChromaDB, Spark, Pinecone, Docker</t>
  </si>
  <si>
    <t>AIJOB01500</t>
  </si>
  <si>
    <t>Rust, JAX, Pinecone, RAG, Weights &amp; Biases</t>
  </si>
  <si>
    <t>AIJOB01501</t>
  </si>
  <si>
    <t>Spark, MLflow, LlamaIndex, Vector Databases, C++, PyTorch</t>
  </si>
  <si>
    <t>AIJOB01502</t>
  </si>
  <si>
    <t>Rust, Pinecone, Azure ML, Weights &amp; Biases</t>
  </si>
  <si>
    <t>AIJOB01503</t>
  </si>
  <si>
    <t>Fine-tuning, Docker, OpenAI API, SQL</t>
  </si>
  <si>
    <t>AIJOB01504</t>
  </si>
  <si>
    <t>LangChain, SQL, Pinecone, TensorFlow, RLHF, Vector Databases, Azure ML</t>
  </si>
  <si>
    <t>AIJOB01505</t>
  </si>
  <si>
    <t>Pinecone, FastAPI, Spark, GCP Vertex AI</t>
  </si>
  <si>
    <t>AIJOB01506</t>
  </si>
  <si>
    <t>Spark, Rust, MLflow, OpenAI API, C++</t>
  </si>
  <si>
    <t>AIJOB01507</t>
  </si>
  <si>
    <t>RAG, MLflow, Kubernetes, AWS SageMaker, LangChain, Azure ML</t>
  </si>
  <si>
    <t>AIJOB01508</t>
  </si>
  <si>
    <t>Kubernetes, dbt, TensorFlow, C++, JAX</t>
  </si>
  <si>
    <t>AIJOB01509</t>
  </si>
  <si>
    <t>AWS SageMaker, LangChain, RAG, Weaviate, GCP Vertex AI, Spark</t>
  </si>
  <si>
    <t>AIJOB01510</t>
  </si>
  <si>
    <t>Azure ML, Pinecone, LangChain, Spark, Fine-tuning, RAG</t>
  </si>
  <si>
    <t>AIJOB01511</t>
  </si>
  <si>
    <t>Docker, RAG, Rust</t>
  </si>
  <si>
    <t>AIJOB01512</t>
  </si>
  <si>
    <t>MLflow, OpenAI API, Vector Databases, AWS SageMaker, Azure ML, JAX, RAG</t>
  </si>
  <si>
    <t>AIJOB01513</t>
  </si>
  <si>
    <t>ChromaDB, Rust, Spark, Docker, JAX, PyTorch</t>
  </si>
  <si>
    <t>AIJOB01514</t>
  </si>
  <si>
    <t>FastAPI, Rust, ChromaDB, Fine-tuning, RLHF, RAG, dbt</t>
  </si>
  <si>
    <t>AIJOB01515</t>
  </si>
  <si>
    <t>Weaviate, OpenAI API, Docker, FastAPI, TensorFlow, CUDA, Kubernetes</t>
  </si>
  <si>
    <t>AIJOB01516</t>
  </si>
  <si>
    <t>Fine-tuning, RAG, CUDA, dbt</t>
  </si>
  <si>
    <t>AIJOB01517</t>
  </si>
  <si>
    <t>Rust, Azure ML, FastAPI, Spark</t>
  </si>
  <si>
    <t>AIJOB01518</t>
  </si>
  <si>
    <t>LlamaIndex, JAX, Pinecone</t>
  </si>
  <si>
    <t>AIJOB01519</t>
  </si>
  <si>
    <t>CUDA, Hugging Face Transformers, Rust, RAG, TensorFlow</t>
  </si>
  <si>
    <t>AIJOB01520</t>
  </si>
  <si>
    <t>Azure ML, MLflow, OpenAI API, Hugging Face Transformers, JAX, dbt</t>
  </si>
  <si>
    <t>AIJOB01521</t>
  </si>
  <si>
    <t>Pinecone, Python, dbt, GCP Vertex AI</t>
  </si>
  <si>
    <t>AIJOB01522</t>
  </si>
  <si>
    <t>dbt, LlamaIndex, Hugging Face Transformers, Python, TensorFlow, Docker</t>
  </si>
  <si>
    <t>AIJOB01523</t>
  </si>
  <si>
    <t>JAX, FastAPI, RAG, AWS SageMaker, RLHF, Vector Databases</t>
  </si>
  <si>
    <t>AIJOB01524</t>
  </si>
  <si>
    <t>MLflow, C++, TensorFlow, Spark, Fine-tuning, Hugging Face Transformers</t>
  </si>
  <si>
    <t>AIJOB01525</t>
  </si>
  <si>
    <t>RAG, CUDA, AWS SageMaker, Spark</t>
  </si>
  <si>
    <t>AIJOB01526</t>
  </si>
  <si>
    <t>PyTorch, ChromaDB, Weights &amp; Biases, MLflow, FastAPI, Vector Databases, Spark</t>
  </si>
  <si>
    <t>AIJOB01527</t>
  </si>
  <si>
    <t>Weaviate, LlamaIndex, ChromaDB, RAG, RLHF, Python</t>
  </si>
  <si>
    <t>AIJOB01528</t>
  </si>
  <si>
    <t>LangChain, Fine-tuning, ChromaDB, Weights &amp; Biases</t>
  </si>
  <si>
    <t>AIJOB01529</t>
  </si>
  <si>
    <t>Kubernetes, FastAPI, Pinecone, AWS SageMaker, OpenAI API, dbt, SQL</t>
  </si>
  <si>
    <t>AIJOB01530</t>
  </si>
  <si>
    <t>Weights &amp; Biases, TensorFlow, AWS SageMaker, PyTorch</t>
  </si>
  <si>
    <t>AIJOB01531</t>
  </si>
  <si>
    <t>Rust, FastAPI, CUDA, SQL, RLHF</t>
  </si>
  <si>
    <t>AIJOB01532</t>
  </si>
  <si>
    <t>Python, GCP Vertex AI, TensorFlow, RAG, Docker, Weaviate</t>
  </si>
  <si>
    <t>AIJOB01533</t>
  </si>
  <si>
    <t>CUDA, PyTorch, Python, RAG, Docker, Kubernetes</t>
  </si>
  <si>
    <t>AIJOB01534</t>
  </si>
  <si>
    <t>GCP Vertex AI, FastAPI, Vector Databases, Docker, JAX, LangChain</t>
  </si>
  <si>
    <t>AIJOB01535</t>
  </si>
  <si>
    <t>Python, CUDA, GCP Vertex AI, AWS SageMaker, Hugging Face Transformers, Vector Databases</t>
  </si>
  <si>
    <t>AIJOB01536</t>
  </si>
  <si>
    <t>RAG, AWS SageMaker, RLHF, Azure ML, CUDA, dbt</t>
  </si>
  <si>
    <t>AIJOB01537</t>
  </si>
  <si>
    <t>FastAPI, OpenAI API, ChromaDB</t>
  </si>
  <si>
    <t>AIJOB01538</t>
  </si>
  <si>
    <t>Fine-tuning, Rust, Weaviate, Vector Databases</t>
  </si>
  <si>
    <t>AIJOB01539</t>
  </si>
  <si>
    <t>ChromaDB, Hugging Face Transformers, Weights &amp; Biases, Rust, FastAPI, RLHF</t>
  </si>
  <si>
    <t>AIJOB01540</t>
  </si>
  <si>
    <t>AWS SageMaker, OpenAI API, Hugging Face Transformers, Kubernetes</t>
  </si>
  <si>
    <t>AIJOB01541</t>
  </si>
  <si>
    <t>dbt, Python, RAG, SQL</t>
  </si>
  <si>
    <t>AIJOB01542</t>
  </si>
  <si>
    <t>Rust, RAG, CUDA</t>
  </si>
  <si>
    <t>AIJOB01543</t>
  </si>
  <si>
    <t>JAX, LlamaIndex, Pinecone, Rust, Python</t>
  </si>
  <si>
    <t>AIJOB01544</t>
  </si>
  <si>
    <t>PyTorch, Kubernetes, Weights &amp; Biases, ChromaDB</t>
  </si>
  <si>
    <t>AIJOB01545</t>
  </si>
  <si>
    <t>dbt, LlamaIndex, Weaviate, Rust, Vector Databases, ChromaDB, Pinecone</t>
  </si>
  <si>
    <t>AIJOB01546</t>
  </si>
  <si>
    <t>AWS SageMaker, JAX, LangChain, Fine-tuning, Python, Kubernetes</t>
  </si>
  <si>
    <t>AIJOB01547</t>
  </si>
  <si>
    <t>LlamaIndex, dbt, Hugging Face Transformers</t>
  </si>
  <si>
    <t>AIJOB01548</t>
  </si>
  <si>
    <t>RAG, Fine-tuning, LlamaIndex, CUDA, RLHF</t>
  </si>
  <si>
    <t>AIJOB01549</t>
  </si>
  <si>
    <t>AWS SageMaker, Weights &amp; Biases, Weaviate, Rust, OpenAI API</t>
  </si>
  <si>
    <t>AIJOB01550</t>
  </si>
  <si>
    <t>GCP Vertex AI, RLHF, SQL, LlamaIndex, Kubernetes</t>
  </si>
  <si>
    <t>AIJOB01551</t>
  </si>
  <si>
    <t>Vector Databases, SQL, JAX, dbt, LlamaIndex, Python</t>
  </si>
  <si>
    <t>AIJOB01552</t>
  </si>
  <si>
    <t>C++, Docker, ChromaDB</t>
  </si>
  <si>
    <t>AIJOB01553</t>
  </si>
  <si>
    <t>Rust, SQL, Spark, RLHF</t>
  </si>
  <si>
    <t>AIJOB01554</t>
  </si>
  <si>
    <t>ChromaDB, Fine-tuning, Hugging Face Transformers, RAG</t>
  </si>
  <si>
    <t>AIJOB01555</t>
  </si>
  <si>
    <t>MLflow, Rust, RLHF, Vector Databases, Hugging Face Transformers, Docker</t>
  </si>
  <si>
    <t>AIJOB01556</t>
  </si>
  <si>
    <t>Kubernetes, JAX, Pinecone, CUDA, dbt</t>
  </si>
  <si>
    <t>AIJOB01557</t>
  </si>
  <si>
    <t>ChromaDB, AWS SageMaker, Python</t>
  </si>
  <si>
    <t>AIJOB01558</t>
  </si>
  <si>
    <t>Kubernetes, Fine-tuning, Rust</t>
  </si>
  <si>
    <t>AIJOB01559</t>
  </si>
  <si>
    <t>FastAPI, RLHF, Hugging Face Transformers</t>
  </si>
  <si>
    <t>AIJOB01560</t>
  </si>
  <si>
    <t>Rust, Kubernetes, OpenAI API, GCP Vertex AI, SQL, Pinecone, Docker</t>
  </si>
  <si>
    <t>AIJOB01561</t>
  </si>
  <si>
    <t>Python, Rust, Hugging Face Transformers, C++, Fine-tuning, CUDA, AWS SageMaker</t>
  </si>
  <si>
    <t>AIJOB01562</t>
  </si>
  <si>
    <t>CUDA, C++, Spark</t>
  </si>
  <si>
    <t>AIJOB01563</t>
  </si>
  <si>
    <t>Weights &amp; Biases, MLflow, PyTorch, Fine-tuning</t>
  </si>
  <si>
    <t>AIJOB01564</t>
  </si>
  <si>
    <t>CUDA, Hugging Face Transformers, Rust, MLflow, Azure ML, JAX, Pinecone</t>
  </si>
  <si>
    <t>AIJOB01565</t>
  </si>
  <si>
    <t>PyTorch, Hugging Face Transformers, Kubernetes, Fine-tuning</t>
  </si>
  <si>
    <t>AIJOB01566</t>
  </si>
  <si>
    <t>GCP Vertex AI, TensorFlow, RAG</t>
  </si>
  <si>
    <t>AIJOB01567</t>
  </si>
  <si>
    <t>Docker, LlamaIndex, JAX</t>
  </si>
  <si>
    <t>AIJOB01568</t>
  </si>
  <si>
    <t>Vector Databases, FastAPI, Pinecone</t>
  </si>
  <si>
    <t>AIJOB01569</t>
  </si>
  <si>
    <t>GCP Vertex AI, MLflow, Vector Databases</t>
  </si>
  <si>
    <t>AIJOB01570</t>
  </si>
  <si>
    <t>LangChain, Weights &amp; Biases, Fine-tuning, LlamaIndex, TensorFlow, dbt</t>
  </si>
  <si>
    <t>AIJOB01571</t>
  </si>
  <si>
    <t>GCP Vertex AI, SQL, Weaviate</t>
  </si>
  <si>
    <t>AIJOB01572</t>
  </si>
  <si>
    <t>PyTorch, LangChain, JAX, TensorFlow, AWS SageMaker, Fine-tuning, CUDA</t>
  </si>
  <si>
    <t>AIJOB01573</t>
  </si>
  <si>
    <t>RAG, Kubernetes, Weaviate</t>
  </si>
  <si>
    <t>AIJOB01574</t>
  </si>
  <si>
    <t>RAG, FastAPI, Weaviate, Hugging Face Transformers, Vector Databases</t>
  </si>
  <si>
    <t>AIJOB01575</t>
  </si>
  <si>
    <t>Azure ML, Fine-tuning, AWS SageMaker, Python</t>
  </si>
  <si>
    <t>AIJOB01576</t>
  </si>
  <si>
    <t>SQL, Weaviate, OpenAI API, Fine-tuning, RLHF</t>
  </si>
  <si>
    <t>AIJOB01577</t>
  </si>
  <si>
    <t>TensorFlow, Fine-tuning, AWS SageMaker</t>
  </si>
  <si>
    <t>AIJOB01578</t>
  </si>
  <si>
    <t>Weights &amp; Biases, PyTorch, LlamaIndex</t>
  </si>
  <si>
    <t>AIJOB01579</t>
  </si>
  <si>
    <t>LangChain, ChromaDB, Rust, Hugging Face Transformers, Fine-tuning, JAX</t>
  </si>
  <si>
    <t>AIJOB01580</t>
  </si>
  <si>
    <t>AWS SageMaker, ChromaDB, PyTorch, Pinecone, Weights &amp; Biases</t>
  </si>
  <si>
    <t>AIJOB01581</t>
  </si>
  <si>
    <t>OpenAI API, Python, JAX, Rust, FastAPI, AWS SageMaker</t>
  </si>
  <si>
    <t>AIJOB01582</t>
  </si>
  <si>
    <t>LangChain, RLHF, ChromaDB, Spark, Fine-tuning</t>
  </si>
  <si>
    <t>AIJOB01583</t>
  </si>
  <si>
    <t>Spark, RAG, PyTorch, Python, Hugging Face Transformers</t>
  </si>
  <si>
    <t>AIJOB01584</t>
  </si>
  <si>
    <t>ChromaDB, Weights &amp; Biases, PyTorch, Docker, LangChain, Pinecone, Spark</t>
  </si>
  <si>
    <t>AIJOB01585</t>
  </si>
  <si>
    <t>Vector Databases, Spark, SQL, PyTorch, ChromaDB</t>
  </si>
  <si>
    <t>AIJOB01586</t>
  </si>
  <si>
    <t>Rust, Docker, MLflow, Weaviate</t>
  </si>
  <si>
    <t>AIJOB01587</t>
  </si>
  <si>
    <t>Weaviate, PyTorch, MLflow</t>
  </si>
  <si>
    <t>AIJOB01588</t>
  </si>
  <si>
    <t>CUDA, Pinecone, ChromaDB</t>
  </si>
  <si>
    <t>AIJOB01589</t>
  </si>
  <si>
    <t>AWS SageMaker, TensorFlow, PyTorch, Kubernetes</t>
  </si>
  <si>
    <t>AIJOB01590</t>
  </si>
  <si>
    <t>RLHF, CUDA, ChromaDB</t>
  </si>
  <si>
    <t>AIJOB01591</t>
  </si>
  <si>
    <t>RLHF, Pinecone, OpenAI API, TensorFlow, Python, C++, LangChain</t>
  </si>
  <si>
    <t>AIJOB01592</t>
  </si>
  <si>
    <t>Kubernetes, OpenAI API, CUDA</t>
  </si>
  <si>
    <t>AIJOB01593</t>
  </si>
  <si>
    <t>AWS SageMaker, TensorFlow, Python, RAG, C++, Kubernetes</t>
  </si>
  <si>
    <t>AIJOB01594</t>
  </si>
  <si>
    <t>Spark, GCP Vertex AI, AWS SageMaker, Fine-tuning, LangChain, Hugging Face Transformers</t>
  </si>
  <si>
    <t>AIJOB01595</t>
  </si>
  <si>
    <t>C++, Pinecone, ChromaDB, Docker, CUDA, Rust, FastAPI</t>
  </si>
  <si>
    <t>AIJOB01596</t>
  </si>
  <si>
    <t>Spark, Vector Databases, GCP Vertex AI, ChromaDB</t>
  </si>
  <si>
    <t>AIJOB01597</t>
  </si>
  <si>
    <t>Python, Hugging Face Transformers, TensorFlow, Docker, AWS SageMaker, FastAPI, C++</t>
  </si>
  <si>
    <t>AIJOB01598</t>
  </si>
  <si>
    <t>ChromaDB, LangChain, Vector Databases, FastAPI</t>
  </si>
  <si>
    <t>AIJOB01599</t>
  </si>
  <si>
    <t>Weights &amp; Biases, RAG, MLflow, LangChain</t>
  </si>
  <si>
    <t>AIJOB01600</t>
  </si>
  <si>
    <t>OpenAI API, Rust, Weights &amp; Biases, Weaviate</t>
  </si>
  <si>
    <t>AIJOB01601</t>
  </si>
  <si>
    <t>Docker, ChromaDB, OpenAI API, Rust</t>
  </si>
  <si>
    <t>AIJOB01602</t>
  </si>
  <si>
    <t>RAG, LlamaIndex, GCP Vertex AI</t>
  </si>
  <si>
    <t>AIJOB01603</t>
  </si>
  <si>
    <t>Azure ML, Vector Databases, Python, CUDA, Kubernetes</t>
  </si>
  <si>
    <t>AIJOB01604</t>
  </si>
  <si>
    <t>GCP Vertex AI, Python, SQL</t>
  </si>
  <si>
    <t>AIJOB01605</t>
  </si>
  <si>
    <t>RLHF, OpenAI API, Weaviate, Docker, Rust, Weights &amp; Biases, SQL</t>
  </si>
  <si>
    <t>AIJOB01606</t>
  </si>
  <si>
    <t>FastAPI, dbt, JAX</t>
  </si>
  <si>
    <t>AIJOB01607</t>
  </si>
  <si>
    <t>Spark, Fine-tuning, CUDA, JAX</t>
  </si>
  <si>
    <t>AIJOB01608</t>
  </si>
  <si>
    <t>C++, AWS SageMaker, LangChain, Vector Databases, RAG, TensorFlow</t>
  </si>
  <si>
    <t>AIJOB01609</t>
  </si>
  <si>
    <t>Fine-tuning, Docker, Python, Kubernetes, LlamaIndex, Rust</t>
  </si>
  <si>
    <t>AIJOB01610</t>
  </si>
  <si>
    <t>JAX, SQL, Kubernetes, RLHF, ChromaDB, Docker</t>
  </si>
  <si>
    <t>AIJOB01611</t>
  </si>
  <si>
    <t>Rust, Weights &amp; Biases, Spark, Fine-tuning</t>
  </si>
  <si>
    <t>AIJOB01612</t>
  </si>
  <si>
    <t>MLflow, Pinecone, Python, GCP Vertex AI, Weaviate, Vector Databases, Weights &amp; Biases</t>
  </si>
  <si>
    <t>AIJOB01613</t>
  </si>
  <si>
    <t>LangChain, MLflow, LlamaIndex, Python, CUDA, Weights &amp; Biases, Docker</t>
  </si>
  <si>
    <t>AIJOB01614</t>
  </si>
  <si>
    <t>Rust, Python, Hugging Face Transformers, SQL, GCP Vertex AI, Azure ML, dbt</t>
  </si>
  <si>
    <t>AIJOB01615</t>
  </si>
  <si>
    <t>Docker, Weights &amp; Biases, RLHF, dbt</t>
  </si>
  <si>
    <t>AIJOB01616</t>
  </si>
  <si>
    <t>Weaviate, AWS SageMaker, Weights &amp; Biases, CUDA, Hugging Face Transformers</t>
  </si>
  <si>
    <t>AIJOB01617</t>
  </si>
  <si>
    <t>Pinecone, RLHF, Kubernetes, C++</t>
  </si>
  <si>
    <t>AIJOB01618</t>
  </si>
  <si>
    <t>Weaviate, Azure ML, LlamaIndex, Hugging Face Transformers, Python</t>
  </si>
  <si>
    <t>AIJOB01619</t>
  </si>
  <si>
    <t>FastAPI, OpenAI API, Spark, RAG, GCP Vertex AI, TensorFlow</t>
  </si>
  <si>
    <t>AIJOB01620</t>
  </si>
  <si>
    <t>OpenAI API, MLflow, PyTorch, Python</t>
  </si>
  <si>
    <t>AIJOB01621</t>
  </si>
  <si>
    <t>OpenAI API, RLHF, GCP Vertex AI, Rust, ChromaDB</t>
  </si>
  <si>
    <t>AIJOB01622</t>
  </si>
  <si>
    <t>Weights &amp; Biases, dbt, AWS SageMaker, Python, Kubernetes, OpenAI API</t>
  </si>
  <si>
    <t>AIJOB01623</t>
  </si>
  <si>
    <t>AWS SageMaker, Rust, Weights &amp; Biases, GCP Vertex AI, Weaviate</t>
  </si>
  <si>
    <t>AIJOB01624</t>
  </si>
  <si>
    <t>GCP Vertex AI, C++, Python</t>
  </si>
  <si>
    <t>AIJOB01625</t>
  </si>
  <si>
    <t>LlamaIndex, dbt, Rust, Weaviate</t>
  </si>
  <si>
    <t>AIJOB01626</t>
  </si>
  <si>
    <t>Weights &amp; Biases, CUDA, dbt, OpenAI API, SQL</t>
  </si>
  <si>
    <t>AIJOB01627</t>
  </si>
  <si>
    <t>PyTorch, Kubernetes, TensorFlow, RLHF, Docker, Weaviate</t>
  </si>
  <si>
    <t>AIJOB01628</t>
  </si>
  <si>
    <t>C++, JAX, LlamaIndex, Hugging Face Transformers, SQL</t>
  </si>
  <si>
    <t>AIJOB01629</t>
  </si>
  <si>
    <t>Fine-tuning, RLHF, GCP Vertex AI, CUDA, Vector Databases, SQL, Weights &amp; Biases</t>
  </si>
  <si>
    <t>AIJOB01630</t>
  </si>
  <si>
    <t>GCP Vertex AI, FastAPI, CUDA, dbt, LangChain</t>
  </si>
  <si>
    <t>AIJOB01631</t>
  </si>
  <si>
    <t>OpenAI API, RAG, MLflow, Pinecone</t>
  </si>
  <si>
    <t>AIJOB01632</t>
  </si>
  <si>
    <t>RAG, JAX, LangChain, Weights &amp; Biases, Kubernetes</t>
  </si>
  <si>
    <t>AIJOB01633</t>
  </si>
  <si>
    <t>OpenAI API, Pinecone, dbt, Vector Databases</t>
  </si>
  <si>
    <t>AIJOB01634</t>
  </si>
  <si>
    <t>ChromaDB, RLHF, RAG, MLflow</t>
  </si>
  <si>
    <t>AIJOB01635</t>
  </si>
  <si>
    <t>CUDA, Rust, AWS SageMaker, Docker, LangChain</t>
  </si>
  <si>
    <t>AIJOB01636</t>
  </si>
  <si>
    <t>ChromaDB, LangChain, MLflow, RAG, Python</t>
  </si>
  <si>
    <t>AIJOB01637</t>
  </si>
  <si>
    <t>Fine-tuning, Azure ML, Pinecone, GCP Vertex AI, RLHF, C++, Kubernetes</t>
  </si>
  <si>
    <t>AIJOB01638</t>
  </si>
  <si>
    <t>PyTorch, RLHF, Spark, dbt</t>
  </si>
  <si>
    <t>AIJOB01639</t>
  </si>
  <si>
    <t>GCP Vertex AI, AWS SageMaker, Python, Kubernetes, OpenAI API, Fine-tuning, ChromaDB</t>
  </si>
  <si>
    <t>AIJOB01640</t>
  </si>
  <si>
    <t>MLflow, dbt, GCP Vertex AI, Rust, LangChain</t>
  </si>
  <si>
    <t>AIJOB01641</t>
  </si>
  <si>
    <t>ChromaDB, Kubernetes, MLflow</t>
  </si>
  <si>
    <t>AIJOB01642</t>
  </si>
  <si>
    <t>Rust, Azure ML, ChromaDB, Docker, Vector Databases</t>
  </si>
  <si>
    <t>AIJOB01643</t>
  </si>
  <si>
    <t>LangChain, LlamaIndex, Hugging Face Transformers, CUDA, Weaviate, Spark</t>
  </si>
  <si>
    <t>AIJOB01644</t>
  </si>
  <si>
    <t>GCP Vertex AI, PyTorch, LlamaIndex, Fine-tuning, OpenAI API, MLflow, JAX</t>
  </si>
  <si>
    <t>AIJOB01645</t>
  </si>
  <si>
    <t>Python, Pinecone, Hugging Face Transformers</t>
  </si>
  <si>
    <t>AIJOB01646</t>
  </si>
  <si>
    <t>PyTorch, ChromaDB, RLHF, Azure ML</t>
  </si>
  <si>
    <t>AIJOB01647</t>
  </si>
  <si>
    <t>PyTorch, OpenAI API, ChromaDB</t>
  </si>
  <si>
    <t>AIJOB01648</t>
  </si>
  <si>
    <t>ChromaDB, Weights &amp; Biases, Spark, CUDA</t>
  </si>
  <si>
    <t>AIJOB01649</t>
  </si>
  <si>
    <t>PyTorch, CUDA, JAX, Weaviate, LlamaIndex, FastAPI</t>
  </si>
  <si>
    <t>AIJOB01650</t>
  </si>
  <si>
    <t>RAG, OpenAI API, LlamaIndex</t>
  </si>
  <si>
    <t>AIJOB01651</t>
  </si>
  <si>
    <t>Weights &amp; Biases, JAX, Docker, Vector Databases</t>
  </si>
  <si>
    <t>AIJOB01652</t>
  </si>
  <si>
    <t>MLflow, Docker, Vector Databases, C++, Weaviate, FastAPI</t>
  </si>
  <si>
    <t>AIJOB01653</t>
  </si>
  <si>
    <t>Pinecone, PyTorch, Rust, SQL, LlamaIndex, JAX</t>
  </si>
  <si>
    <t>AIJOB01654</t>
  </si>
  <si>
    <t>Fine-tuning, PyTorch, GCP Vertex AI, RAG, Weights &amp; Biases, MLflow, Rust</t>
  </si>
  <si>
    <t>AIJOB01655</t>
  </si>
  <si>
    <t>JAX, LangChain, Hugging Face Transformers, FastAPI</t>
  </si>
  <si>
    <t>AIJOB01656</t>
  </si>
  <si>
    <t>dbt, Docker, Weaviate, Python, Pinecone, RLHF, Rust</t>
  </si>
  <si>
    <t>AIJOB01657</t>
  </si>
  <si>
    <t>Weights &amp; Biases, PyTorch, Vector Databases</t>
  </si>
  <si>
    <t>AIJOB01658</t>
  </si>
  <si>
    <t>TensorFlow, PyTorch, C++, ChromaDB, Python</t>
  </si>
  <si>
    <t>AIJOB01659</t>
  </si>
  <si>
    <t>MLflow, dbt, SQL, Hugging Face Transformers</t>
  </si>
  <si>
    <t>AIJOB01660</t>
  </si>
  <si>
    <t>Weights &amp; Biases, AWS SageMaker, Docker, FastAPI, Hugging Face Transformers, Azure ML</t>
  </si>
  <si>
    <t>AIJOB01661</t>
  </si>
  <si>
    <t>TensorFlow, JAX, OpenAI API, Kubernetes, RLHF</t>
  </si>
  <si>
    <t>AIJOB01662</t>
  </si>
  <si>
    <t>FastAPI, Python, C++, Pinecone, GCP Vertex AI, JAX</t>
  </si>
  <si>
    <t>AIJOB01663</t>
  </si>
  <si>
    <t>Pinecone, PyTorch, OpenAI API</t>
  </si>
  <si>
    <t>AIJOB01664</t>
  </si>
  <si>
    <t>GCP Vertex AI, LlamaIndex, RLHF, Weights &amp; Biases</t>
  </si>
  <si>
    <t>AIJOB01665</t>
  </si>
  <si>
    <t>Weaviate, dbt, Weights &amp; Biases, GCP Vertex AI, SQL, Kubernetes, Hugging Face Transformers</t>
  </si>
  <si>
    <t>AIJOB01666</t>
  </si>
  <si>
    <t>Docker, LlamaIndex, Azure ML, SQL, Vector Databases, dbt</t>
  </si>
  <si>
    <t>AIJOB01667</t>
  </si>
  <si>
    <t>Vector Databases, dbt, Docker, SQL, Weights &amp; Biases</t>
  </si>
  <si>
    <t>AIJOB01668</t>
  </si>
  <si>
    <t>TensorFlow, Docker, Fine-tuning, RLHF</t>
  </si>
  <si>
    <t>AIJOB01669</t>
  </si>
  <si>
    <t>Vector Databases, GCP Vertex AI, AWS SageMaker, Docker, CUDA, Pinecone</t>
  </si>
  <si>
    <t>AIJOB01670</t>
  </si>
  <si>
    <t>SQL, Fine-tuning, Hugging Face Transformers, MLflow, RLHF</t>
  </si>
  <si>
    <t>AIJOB01671</t>
  </si>
  <si>
    <t>Weights &amp; Biases, Rust, dbt, Azure ML, Fine-tuning, LangChain</t>
  </si>
  <si>
    <t>AIJOB01672</t>
  </si>
  <si>
    <t>Python, CUDA, GCP Vertex AI, Kubernetes, LangChain, RAG, PyTorch</t>
  </si>
  <si>
    <t>AIJOB01673</t>
  </si>
  <si>
    <t>AWS SageMaker, RLHF, CUDA, Azure ML</t>
  </si>
  <si>
    <t>AIJOB01674</t>
  </si>
  <si>
    <t>Fine-tuning, TensorFlow, GCP Vertex AI, MLflow, AWS SageMaker, Azure ML</t>
  </si>
  <si>
    <t>AIJOB01675</t>
  </si>
  <si>
    <t>MLflow, Weaviate, RAG, Fine-tuning, ChromaDB, PyTorch, GCP Vertex AI</t>
  </si>
  <si>
    <t>AIJOB01676</t>
  </si>
  <si>
    <t>PyTorch, Kubernetes, TensorFlow, dbt</t>
  </si>
  <si>
    <t>AIJOB01677</t>
  </si>
  <si>
    <t>AWS SageMaker, LlamaIndex, Rust, RLHF, Weights &amp; Biases, Vector Databases</t>
  </si>
  <si>
    <t>AIJOB01678</t>
  </si>
  <si>
    <t>Weaviate, Kubernetes, C++, Docker, RLHF, TensorFlow</t>
  </si>
  <si>
    <t>AIJOB01679</t>
  </si>
  <si>
    <t>OpenAI API, Spark, LlamaIndex, CUDA</t>
  </si>
  <si>
    <t>AIJOB01680</t>
  </si>
  <si>
    <t>Kubernetes, Weights &amp; Biases, Spark, dbt, LlamaIndex, Hugging Face Transformers</t>
  </si>
  <si>
    <t>AIJOB01681</t>
  </si>
  <si>
    <t>AWS SageMaker, LangChain, Fine-tuning</t>
  </si>
  <si>
    <t>AIJOB01682</t>
  </si>
  <si>
    <t>Docker, Pinecone, dbt, JAX, Weights &amp; Biases</t>
  </si>
  <si>
    <t>AIJOB01683</t>
  </si>
  <si>
    <t>JAX, Hugging Face Transformers, Kubernetes, dbt, SQL, Docker</t>
  </si>
  <si>
    <t>AIJOB01684</t>
  </si>
  <si>
    <t>Kubernetes, CUDA, ChromaDB</t>
  </si>
  <si>
    <t>AIJOB01685</t>
  </si>
  <si>
    <t>Weaviate, dbt, Python</t>
  </si>
  <si>
    <t>AIJOB01686</t>
  </si>
  <si>
    <t>GCP Vertex AI, RAG, Azure ML</t>
  </si>
  <si>
    <t>AIJOB01687</t>
  </si>
  <si>
    <t>MLflow, Spark, RAG, LlamaIndex</t>
  </si>
  <si>
    <t>AIJOB01688</t>
  </si>
  <si>
    <t>LlamaIndex, Rust, PyTorch, RLHF, JAX</t>
  </si>
  <si>
    <t>AIJOB01689</t>
  </si>
  <si>
    <t>AWS SageMaker, MLflow, JAX, GCP Vertex AI, LlamaIndex, PyTorch</t>
  </si>
  <si>
    <t>AIJOB01690</t>
  </si>
  <si>
    <t>dbt, CUDA, Kubernetes, Hugging Face Transformers, Weights &amp; Biases</t>
  </si>
  <si>
    <t>AIJOB01691</t>
  </si>
  <si>
    <t>ChromaDB, Docker, TensorFlow</t>
  </si>
  <si>
    <t>AIJOB01692</t>
  </si>
  <si>
    <t>SQL, Docker, TensorFlow, LlamaIndex, Spark, Kubernetes</t>
  </si>
  <si>
    <t>AIJOB01693</t>
  </si>
  <si>
    <t>Vector Databases, TensorFlow, OpenAI API, SQL, FastAPI</t>
  </si>
  <si>
    <t>AIJOB01694</t>
  </si>
  <si>
    <t>SQL, TensorFlow, JAX, MLflow</t>
  </si>
  <si>
    <t>AIJOB01695</t>
  </si>
  <si>
    <t>ChromaDB, RAG, dbt</t>
  </si>
  <si>
    <t>AIJOB01696</t>
  </si>
  <si>
    <t>LangChain, RLHF, LlamaIndex, Kubernetes</t>
  </si>
  <si>
    <t>AIJOB01697</t>
  </si>
  <si>
    <t>AWS SageMaker, PyTorch, GCP Vertex AI, Python, LangChain, Kubernetes</t>
  </si>
  <si>
    <t>AIJOB01698</t>
  </si>
  <si>
    <t>Azure ML, PyTorch, C++, MLflow, Vector Databases, RLHF</t>
  </si>
  <si>
    <t>AIJOB01699</t>
  </si>
  <si>
    <t>GCP Vertex AI, FastAPI, JAX</t>
  </si>
  <si>
    <t>AIJOB01700</t>
  </si>
  <si>
    <t>SQL, CUDA, C++, RAG, Rust, dbt</t>
  </si>
  <si>
    <t>AIJOB01701</t>
  </si>
  <si>
    <t>Spark, PyTorch, Weaviate, Fine-tuning, OpenAI API</t>
  </si>
  <si>
    <t>AIJOB01702</t>
  </si>
  <si>
    <t>RLHF, GCP Vertex AI, SQL, Weights &amp; Biases</t>
  </si>
  <si>
    <t>AIJOB01703</t>
  </si>
  <si>
    <t>OpenAI API, SQL, FastAPI</t>
  </si>
  <si>
    <t>AIJOB01704</t>
  </si>
  <si>
    <t>LlamaIndex, Kubernetes, Weaviate, Python</t>
  </si>
  <si>
    <t>AIJOB01705</t>
  </si>
  <si>
    <t>LlamaIndex, PyTorch, RAG</t>
  </si>
  <si>
    <t>AIJOB01706</t>
  </si>
  <si>
    <t>Rust, TensorFlow, Azure ML, RLHF, Hugging Face Transformers</t>
  </si>
  <si>
    <t>AIJOB01707</t>
  </si>
  <si>
    <t>Hugging Face Transformers, RAG, Weights &amp; Biases, C++, Python, GCP Vertex AI, Rust</t>
  </si>
  <si>
    <t>AIJOB01708</t>
  </si>
  <si>
    <t>OpenAI API, AWS SageMaker, JAX</t>
  </si>
  <si>
    <t>AIJOB01709</t>
  </si>
  <si>
    <t>LlamaIndex, Vector Databases, FastAPI, Kubernetes</t>
  </si>
  <si>
    <t>AIJOB01710</t>
  </si>
  <si>
    <t>Azure ML, dbt, Rust, PyTorch, ChromaDB, GCP Vertex AI, CUDA</t>
  </si>
  <si>
    <t>AIJOB01711</t>
  </si>
  <si>
    <t>Rust, MLflow, JAX, Docker, FastAPI, Python</t>
  </si>
  <si>
    <t>AIJOB01712</t>
  </si>
  <si>
    <t>GCP Vertex AI, MLflow, LangChain, AWS SageMaker, Hugging Face Transformers, SQL, Azure ML</t>
  </si>
  <si>
    <t>AIJOB01713</t>
  </si>
  <si>
    <t>Pinecone, Python, LangChain, Fine-tuning</t>
  </si>
  <si>
    <t>AIJOB01714</t>
  </si>
  <si>
    <t>MLflow, OpenAI API, Weaviate, Kubernetes, Hugging Face Transformers, Fine-tuning</t>
  </si>
  <si>
    <t>AIJOB01715</t>
  </si>
  <si>
    <t>RLHF, RAG, TensorFlow, Weights &amp; Biases, Kubernetes</t>
  </si>
  <si>
    <t>AIJOB01716</t>
  </si>
  <si>
    <t>OpenAI API, Spark, JAX, Vector Databases, Hugging Face Transformers, dbt, Weaviate</t>
  </si>
  <si>
    <t>AIJOB01717</t>
  </si>
  <si>
    <t>MLflow, Vector Databases, LangChain, TensorFlow, GCP Vertex AI, Pinecone</t>
  </si>
  <si>
    <t>AIJOB01718</t>
  </si>
  <si>
    <t>TensorFlow, AWS SageMaker, RAG</t>
  </si>
  <si>
    <t>AIJOB01719</t>
  </si>
  <si>
    <t>Weaviate, CUDA, Spark, FastAPI, GCP Vertex AI, MLflow, Hugging Face Transformers</t>
  </si>
  <si>
    <t>AIJOB01720</t>
  </si>
  <si>
    <t>TensorFlow, FastAPI, Spark, Weights &amp; Biases</t>
  </si>
  <si>
    <t>AIJOB01721</t>
  </si>
  <si>
    <t>Weaviate, Fine-tuning, Azure ML, Weights &amp; Biases</t>
  </si>
  <si>
    <t>AIJOB01722</t>
  </si>
  <si>
    <t>OpenAI API, dbt, Weights &amp; Biases</t>
  </si>
  <si>
    <t>AIJOB01723</t>
  </si>
  <si>
    <t>Rust, C++, JAX, FastAPI, MLflow, PyTorch</t>
  </si>
  <si>
    <t>AIJOB01724</t>
  </si>
  <si>
    <t>CUDA, Vector Databases, Rust</t>
  </si>
  <si>
    <t>AIJOB01725</t>
  </si>
  <si>
    <t>Vector Databases, ChromaDB, Azure ML, Python, CUDA</t>
  </si>
  <si>
    <t>AIJOB01726</t>
  </si>
  <si>
    <t>dbt, Docker, Azure ML, Hugging Face Transformers, C++, RLHF</t>
  </si>
  <si>
    <t>AIJOB01727</t>
  </si>
  <si>
    <t>LlamaIndex, Spark, Docker, RLHF, RAG</t>
  </si>
  <si>
    <t>AIJOB01728</t>
  </si>
  <si>
    <t>SQL, OpenAI API, CUDA, LlamaIndex, Vector Databases, Fine-tuning</t>
  </si>
  <si>
    <t>AIJOB01729</t>
  </si>
  <si>
    <t>OpenAI API, LangChain, PyTorch, Kubernetes, Rust, MLflow, Vector Databases</t>
  </si>
  <si>
    <t>AIJOB01730</t>
  </si>
  <si>
    <t>dbt, LangChain, Spark, Weaviate</t>
  </si>
  <si>
    <t>AIJOB01731</t>
  </si>
  <si>
    <t>ChromaDB, Pinecone, Rust</t>
  </si>
  <si>
    <t>AIJOB01732</t>
  </si>
  <si>
    <t>AWS SageMaker, Weights &amp; Biases, C++, MLflow, LlamaIndex</t>
  </si>
  <si>
    <t>AIJOB01733</t>
  </si>
  <si>
    <t>Pinecone, JAX, Azure ML, SQL, OpenAI API, Docker</t>
  </si>
  <si>
    <t>AIJOB01734</t>
  </si>
  <si>
    <t>TensorFlow, MLflow, Azure ML, Python</t>
  </si>
  <si>
    <t>AIJOB01735</t>
  </si>
  <si>
    <t>JAX, Weights &amp; Biases, Spark, Pinecone, RAG, C++</t>
  </si>
  <si>
    <t>AIJOB01736</t>
  </si>
  <si>
    <t>Weights &amp; Biases, SQL, TensorFlow, JAX, Python</t>
  </si>
  <si>
    <t>AIJOB01737</t>
  </si>
  <si>
    <t>Kubernetes, SQL, CUDA, Docker, C++, GCP Vertex AI</t>
  </si>
  <si>
    <t>AIJOB01738</t>
  </si>
  <si>
    <t>OpenAI API, PyTorch, CUDA, LlamaIndex, Weights &amp; Biases, TensorFlow</t>
  </si>
  <si>
    <t>AIJOB01739</t>
  </si>
  <si>
    <t>AWS SageMaker, Pinecone, RLHF, Docker</t>
  </si>
  <si>
    <t>AIJOB01740</t>
  </si>
  <si>
    <t>Weights &amp; Biases, RLHF, OpenAI API</t>
  </si>
  <si>
    <t>AIJOB01741</t>
  </si>
  <si>
    <t>TensorFlow, Vector Databases, Fine-tuning, Rust, PyTorch</t>
  </si>
  <si>
    <t>AIJOB01742</t>
  </si>
  <si>
    <t>C++, Kubernetes, MLflow, Docker, Fine-tuning, FastAPI</t>
  </si>
  <si>
    <t>AIJOB01743</t>
  </si>
  <si>
    <t>dbt, GCP Vertex AI, RAG</t>
  </si>
  <si>
    <t>AIJOB01744</t>
  </si>
  <si>
    <t>Azure ML, PyTorch, SQL, C++, RAG</t>
  </si>
  <si>
    <t>AIJOB01745</t>
  </si>
  <si>
    <t>Docker, Kubernetes, AWS SageMaker, FastAPI</t>
  </si>
  <si>
    <t>AIJOB01746</t>
  </si>
  <si>
    <t>AIJOB01747</t>
  </si>
  <si>
    <t>LangChain, dbt, Weights &amp; Biases, TensorFlow, Fine-tuning, Rust, Hugging Face Transformers</t>
  </si>
  <si>
    <t>AIJOB01748</t>
  </si>
  <si>
    <t>Rust, C++, AWS SageMaker</t>
  </si>
  <si>
    <t>AIJOB01749</t>
  </si>
  <si>
    <t>FastAPI, CUDA, Python</t>
  </si>
  <si>
    <t>AIJOB01750</t>
  </si>
  <si>
    <t>Weaviate, PyTorch, RAG, Weights &amp; Biases, Spark</t>
  </si>
  <si>
    <t>AIJOB01751</t>
  </si>
  <si>
    <t>Weaviate, RLHF, TensorFlow, Pinecone, Fine-tuning, dbt</t>
  </si>
  <si>
    <t>AIJOB01752</t>
  </si>
  <si>
    <t>SQL, Fine-tuning, TensorFlow</t>
  </si>
  <si>
    <t>AIJOB01753</t>
  </si>
  <si>
    <t>Vector Databases, CUDA, dbt, TensorFlow</t>
  </si>
  <si>
    <t>AIJOB01754</t>
  </si>
  <si>
    <t>Rust, Weights &amp; Biases, LlamaIndex, CUDA, PyTorch, Spark</t>
  </si>
  <si>
    <t>AIJOB01755</t>
  </si>
  <si>
    <t>Weaviate, TensorFlow, JAX</t>
  </si>
  <si>
    <t>AIJOB01756</t>
  </si>
  <si>
    <t>Fine-tuning, Rust, LlamaIndex</t>
  </si>
  <si>
    <t>AIJOB01757</t>
  </si>
  <si>
    <t>PyTorch, AWS SageMaker, Azure ML, Python, C++, Hugging Face Transformers, TensorFlow</t>
  </si>
  <si>
    <t>AIJOB01758</t>
  </si>
  <si>
    <t>C++, PyTorch, Weaviate, MLflow, TensorFlow, Rust</t>
  </si>
  <si>
    <t>AIJOB01759</t>
  </si>
  <si>
    <t>C++, Pinecone, PyTorch, Fine-tuning, LlamaIndex</t>
  </si>
  <si>
    <t>AIJOB01760</t>
  </si>
  <si>
    <t>TensorFlow, AWS SageMaker, LlamaIndex, dbt, SQL</t>
  </si>
  <si>
    <t>AIJOB01761</t>
  </si>
  <si>
    <t>TensorFlow, SQL, Rust, Azure ML, OpenAI API, PyTorch, LangChain</t>
  </si>
  <si>
    <t>AIJOB01762</t>
  </si>
  <si>
    <t>LlamaIndex, SQL, Rust, RLHF, RAG, TensorFlow</t>
  </si>
  <si>
    <t>AIJOB01763</t>
  </si>
  <si>
    <t>Vector Databases, Spark, PyTorch, LangChain, RAG, Azure ML</t>
  </si>
  <si>
    <t>AIJOB01764</t>
  </si>
  <si>
    <t>LlamaIndex, Docker, Hugging Face Transformers, OpenAI API, GCP Vertex AI</t>
  </si>
  <si>
    <t>AIJOB01765</t>
  </si>
  <si>
    <t>GCP Vertex AI, FastAPI, LlamaIndex</t>
  </si>
  <si>
    <t>AIJOB01766</t>
  </si>
  <si>
    <t>AWS SageMaker, dbt, LlamaIndex, Kubernetes</t>
  </si>
  <si>
    <t>AIJOB01767</t>
  </si>
  <si>
    <t>Docker, CUDA, Python</t>
  </si>
  <si>
    <t>AIJOB01768</t>
  </si>
  <si>
    <t>LangChain, Fine-tuning, Pinecone</t>
  </si>
  <si>
    <t>AIJOB01769</t>
  </si>
  <si>
    <t>Azure ML, RLHF, Pinecone, FastAPI, SQL, Fine-tuning</t>
  </si>
  <si>
    <t>AIJOB01770</t>
  </si>
  <si>
    <t>GCP Vertex AI, AWS SageMaker, Weights &amp; Biases, Hugging Face Transformers</t>
  </si>
  <si>
    <t>AIJOB01771</t>
  </si>
  <si>
    <t>Weaviate, Weights &amp; Biases, Pinecone, Hugging Face Transformers</t>
  </si>
  <si>
    <t>AIJOB01772</t>
  </si>
  <si>
    <t>GCP Vertex AI, MLflow, C++, Pinecone, RLHF</t>
  </si>
  <si>
    <t>AIJOB01773</t>
  </si>
  <si>
    <t>RAG, LlamaIndex, LangChain, dbt</t>
  </si>
  <si>
    <t>AIJOB01774</t>
  </si>
  <si>
    <t>LlamaIndex, ChromaDB, Rust, CUDA, SQL</t>
  </si>
  <si>
    <t>AIJOB01775</t>
  </si>
  <si>
    <t>Rust, ChromaDB, RLHF, Hugging Face Transformers, SQL</t>
  </si>
  <si>
    <t>AIJOB01776</t>
  </si>
  <si>
    <t>C++, Weaviate, MLflow, Fine-tuning, Spark</t>
  </si>
  <si>
    <t>AIJOB01777</t>
  </si>
  <si>
    <t>Kubernetes, Pinecone, LlamaIndex, Vector Databases, AWS SageMaker, ChromaDB</t>
  </si>
  <si>
    <t>AIJOB01778</t>
  </si>
  <si>
    <t>AWS SageMaker, Weights &amp; Biases, JAX</t>
  </si>
  <si>
    <t>AIJOB01779</t>
  </si>
  <si>
    <t>Fine-tuning, CUDA, FastAPI, Azure ML, RAG, Python</t>
  </si>
  <si>
    <t>AIJOB01780</t>
  </si>
  <si>
    <t>Fine-tuning, CUDA, Weaviate, Hugging Face Transformers, Vector Databases, C++, Docker</t>
  </si>
  <si>
    <t>AIJOB01781</t>
  </si>
  <si>
    <t>JAX, RAG, dbt</t>
  </si>
  <si>
    <t>AIJOB01782</t>
  </si>
  <si>
    <t>LangChain, Pinecone, dbt</t>
  </si>
  <si>
    <t>AIJOB01783</t>
  </si>
  <si>
    <t>Rust, RAG, Docker, Spark</t>
  </si>
  <si>
    <t>AIJOB01784</t>
  </si>
  <si>
    <t>ChromaDB, FastAPI, OpenAI API, LangChain, C++, Fine-tuning</t>
  </si>
  <si>
    <t>AIJOB01785</t>
  </si>
  <si>
    <t>OpenAI API, C++, FastAPI</t>
  </si>
  <si>
    <t>AIJOB01786</t>
  </si>
  <si>
    <t>OpenAI API, SQL, Python, dbt</t>
  </si>
  <si>
    <t>AIJOB01787</t>
  </si>
  <si>
    <t>Fine-tuning, Docker, Vector Databases, SQL</t>
  </si>
  <si>
    <t>AIJOB01788</t>
  </si>
  <si>
    <t>C++, Spark, Rust, dbt, SQL</t>
  </si>
  <si>
    <t>AIJOB01789</t>
  </si>
  <si>
    <t>LangChain, PyTorch, Rust, Hugging Face Transformers, FastAPI, OpenAI API</t>
  </si>
  <si>
    <t>AIJOB01790</t>
  </si>
  <si>
    <t>dbt, CUDA, FastAPI</t>
  </si>
  <si>
    <t>AIJOB01791</t>
  </si>
  <si>
    <t>OpenAI API, Spark, Rust, Hugging Face Transformers, Weights &amp; Biases, Fine-tuning</t>
  </si>
  <si>
    <t>AIJOB01792</t>
  </si>
  <si>
    <t>RAG, Vector Databases, C++, ChromaDB, AWS SageMaker, OpenAI API, MLflow</t>
  </si>
  <si>
    <t>AIJOB01793</t>
  </si>
  <si>
    <t>Weights &amp; Biases, GCP Vertex AI, Pinecone, RLHF, Spark</t>
  </si>
  <si>
    <t>AIJOB01794</t>
  </si>
  <si>
    <t>Spark, PyTorch, MLflow, LlamaIndex, Docker</t>
  </si>
  <si>
    <t>AIJOB01795</t>
  </si>
  <si>
    <t>Rust, C++, Azure ML, Docker, Weaviate, PyTorch</t>
  </si>
  <si>
    <t>AIJOB01796</t>
  </si>
  <si>
    <t>RAG, AWS SageMaker, Weights &amp; Biases, Pinecone, PyTorch, MLflow, Docker</t>
  </si>
  <si>
    <t>AIJOB01797</t>
  </si>
  <si>
    <t>C++, Python, GCP Vertex AI, LangChain, PyTorch</t>
  </si>
  <si>
    <t>AIJOB01798</t>
  </si>
  <si>
    <t>Docker, MLflow, Rust, RAG, Fine-tuning, Weights &amp; Biases</t>
  </si>
  <si>
    <t>AIJOB01799</t>
  </si>
  <si>
    <t>AWS SageMaker, C++, CUDA, TensorFlow, PyTorch, Rust, Python</t>
  </si>
  <si>
    <t>AIJOB01800</t>
  </si>
  <si>
    <t>Spark, Vector Databases, OpenAI API, Pinecone, C++, Kubernetes, Python</t>
  </si>
  <si>
    <t>AIJOB01801</t>
  </si>
  <si>
    <t>dbt, FastAPI, Spark, Hugging Face Transformers, Fine-tuning</t>
  </si>
  <si>
    <t>AIJOB01802</t>
  </si>
  <si>
    <t>LangChain, CUDA, OpenAI API, ChromaDB, JAX, LlamaIndex</t>
  </si>
  <si>
    <t>AIJOB01803</t>
  </si>
  <si>
    <t>GCP Vertex AI, MLflow, Pinecone</t>
  </si>
  <si>
    <t>AIJOB01804</t>
  </si>
  <si>
    <t>Pinecone, OpenAI API, FastAPI, Weaviate, dbt, Spark</t>
  </si>
  <si>
    <t>AIJOB01805</t>
  </si>
  <si>
    <t>MLflow, dbt, Python, CUDA, AWS SageMaker</t>
  </si>
  <si>
    <t>AIJOB01806</t>
  </si>
  <si>
    <t>Weights &amp; Biases, TensorFlow, Fine-tuning, Vector Databases</t>
  </si>
  <si>
    <t>AIJOB01807</t>
  </si>
  <si>
    <t>Spark, PyTorch, RLHF, JAX</t>
  </si>
  <si>
    <t>AIJOB01808</t>
  </si>
  <si>
    <t>RAG, JAX, OpenAI API, Kubernetes, Python, SQL, Hugging Face Transformers</t>
  </si>
  <si>
    <t>AIJOB01809</t>
  </si>
  <si>
    <t>OpenAI API, Hugging Face Transformers, Python, LangChain, LlamaIndex, Spark</t>
  </si>
  <si>
    <t>AIJOB01810</t>
  </si>
  <si>
    <t>Pinecone, LlamaIndex, Rust, PyTorch, AWS SageMaker, JAX</t>
  </si>
  <si>
    <t>AIJOB01811</t>
  </si>
  <si>
    <t>RLHF, OpenAI API, ChromaDB, Rust, Pinecone, Weights &amp; Biases, LlamaIndex</t>
  </si>
  <si>
    <t>AIJOB01812</t>
  </si>
  <si>
    <t>ChromaDB, Azure ML, CUDA, LangChain</t>
  </si>
  <si>
    <t>AIJOB01813</t>
  </si>
  <si>
    <t>Pinecone, LangChain, ChromaDB</t>
  </si>
  <si>
    <t>AIJOB01814</t>
  </si>
  <si>
    <t>Weights &amp; Biases, Python, Pinecone, ChromaDB, LlamaIndex</t>
  </si>
  <si>
    <t>AIJOB01815</t>
  </si>
  <si>
    <t>Azure ML, CUDA, GCP Vertex AI, Pinecone</t>
  </si>
  <si>
    <t>AIJOB01816</t>
  </si>
  <si>
    <t>Azure ML, AWS SageMaker, JAX, MLflow</t>
  </si>
  <si>
    <t>AIJOB01817</t>
  </si>
  <si>
    <t>JAX, Azure ML, SQL, AWS SageMaker, Weaviate</t>
  </si>
  <si>
    <t>AIJOB01818</t>
  </si>
  <si>
    <t>LlamaIndex, GCP Vertex AI, Azure ML</t>
  </si>
  <si>
    <t>AIJOB01819</t>
  </si>
  <si>
    <t>LlamaIndex, dbt, Vector Databases, RAG, Azure ML, OpenAI API</t>
  </si>
  <si>
    <t>AIJOB01820</t>
  </si>
  <si>
    <t>Azure ML, SQL, GCP Vertex AI, JAX, C++</t>
  </si>
  <si>
    <t>AIJOB01821</t>
  </si>
  <si>
    <t>Azure ML, FastAPI, Python, AWS SageMaker, Weights &amp; Biases, ChromaDB, TensorFlow</t>
  </si>
  <si>
    <t>AIJOB01822</t>
  </si>
  <si>
    <t>RAG, Weaviate, JAX, PyTorch</t>
  </si>
  <si>
    <t>AIJOB01823</t>
  </si>
  <si>
    <t>OpenAI API, SQL, TensorFlow, C++, LangChain, Azure ML, JAX</t>
  </si>
  <si>
    <t>AIJOB01824</t>
  </si>
  <si>
    <t>dbt, JAX, Kubernetes</t>
  </si>
  <si>
    <t>AIJOB01825</t>
  </si>
  <si>
    <t>Kubernetes, Weights &amp; Biases, Docker, Rust, LlamaIndex, CUDA</t>
  </si>
  <si>
    <t>AIJOB01826</t>
  </si>
  <si>
    <t>RLHF, Spark, Weaviate, OpenAI API, FastAPI</t>
  </si>
  <si>
    <t>AIJOB01827</t>
  </si>
  <si>
    <t>SQL, ChromaDB, Hugging Face Transformers, AWS SageMaker, RAG</t>
  </si>
  <si>
    <t>AIJOB01828</t>
  </si>
  <si>
    <t>SQL, Docker, Python, LlamaIndex</t>
  </si>
  <si>
    <t>AIJOB01829</t>
  </si>
  <si>
    <t>C++, LlamaIndex, ChromaDB, Rust</t>
  </si>
  <si>
    <t>AIJOB01830</t>
  </si>
  <si>
    <t>OpenAI API, Pinecone, Fine-tuning</t>
  </si>
  <si>
    <t>AIJOB01831</t>
  </si>
  <si>
    <t>C++, Rust, RLHF, Pinecone, RAG</t>
  </si>
  <si>
    <t>AIJOB01832</t>
  </si>
  <si>
    <t>RLHF, PyTorch, Azure ML, Fine-tuning</t>
  </si>
  <si>
    <t>AIJOB01833</t>
  </si>
  <si>
    <t>CUDA, Azure ML, LlamaIndex</t>
  </si>
  <si>
    <t>AIJOB01834</t>
  </si>
  <si>
    <t>GCP Vertex AI, PyTorch, Weaviate, TensorFlow, Spark, Docker, OpenAI API</t>
  </si>
  <si>
    <t>AIJOB01835</t>
  </si>
  <si>
    <t>LlamaIndex, OpenAI API, Weaviate, LangChain, Python</t>
  </si>
  <si>
    <t>AIJOB01836</t>
  </si>
  <si>
    <t>ChromaDB, C++, FastAPI, Fine-tuning, Azure ML</t>
  </si>
  <si>
    <t>AIJOB01837</t>
  </si>
  <si>
    <t>PyTorch, AWS SageMaker, CUDA, Python</t>
  </si>
  <si>
    <t>AIJOB01838</t>
  </si>
  <si>
    <t>GCP Vertex AI, Rust, OpenAI API, C++, RLHF</t>
  </si>
  <si>
    <t>AIJOB01839</t>
  </si>
  <si>
    <t>Hugging Face Transformers, Kubernetes, OpenAI API</t>
  </si>
  <si>
    <t>AIJOB01840</t>
  </si>
  <si>
    <t>RAG, Spark, JAX, Vector Databases</t>
  </si>
  <si>
    <t>AIJOB01841</t>
  </si>
  <si>
    <t>RLHF, TensorFlow, FastAPI, Hugging Face Transformers, MLflow</t>
  </si>
  <si>
    <t>AIJOB01842</t>
  </si>
  <si>
    <t>MLflow, GCP Vertex AI, TensorFlow, Fine-tuning, CUDA, Vector Databases, PyTorch</t>
  </si>
  <si>
    <t>AIJOB01843</t>
  </si>
  <si>
    <t>Weights &amp; Biases, LangChain, ChromaDB, Python, LlamaIndex</t>
  </si>
  <si>
    <t>AIJOB01844</t>
  </si>
  <si>
    <t>FastAPI, Azure ML, Weights &amp; Biases, Kubernetes, Rust, Fine-tuning</t>
  </si>
  <si>
    <t>AIJOB01845</t>
  </si>
  <si>
    <t>RLHF, PyTorch, Spark, LlamaIndex</t>
  </si>
  <si>
    <t>AIJOB01846</t>
  </si>
  <si>
    <t>Spark, C++, Weaviate, Azure ML, RAG, Pinecone</t>
  </si>
  <si>
    <t>AIJOB01847</t>
  </si>
  <si>
    <t>Weights &amp; Biases, Azure ML, JAX, C++, ChromaDB</t>
  </si>
  <si>
    <t>AIJOB01848</t>
  </si>
  <si>
    <t>CUDA, Azure ML, C++, LlamaIndex, Weights &amp; Biases</t>
  </si>
  <si>
    <t>AIJOB01849</t>
  </si>
  <si>
    <t>JAX, Spark, GCP Vertex AI, Fine-tuning, LlamaIndex, CUDA, Hugging Face Transformers</t>
  </si>
  <si>
    <t>AIJOB01850</t>
  </si>
  <si>
    <t>Weights &amp; Biases, LangChain, Python</t>
  </si>
  <si>
    <t>AIJOB01851</t>
  </si>
  <si>
    <t>LlamaIndex, Vector Databases, MLflow, RAG</t>
  </si>
  <si>
    <t>AIJOB01852</t>
  </si>
  <si>
    <t>Pinecone, LlamaIndex, LangChain, C++, ChromaDB, GCP Vertex AI</t>
  </si>
  <si>
    <t>AIJOB01853</t>
  </si>
  <si>
    <t>LlamaIndex, PyTorch, Azure ML, CUDA</t>
  </si>
  <si>
    <t>AIJOB01854</t>
  </si>
  <si>
    <t>LangChain, Fine-tuning, RLHF, Weights &amp; Biases, Docker</t>
  </si>
  <si>
    <t>AIJOB01855</t>
  </si>
  <si>
    <t>RLHF, SQL, Kubernetes, Azure ML, CUDA, FastAPI</t>
  </si>
  <si>
    <t>AIJOB01856</t>
  </si>
  <si>
    <t>SQL, OpenAI API, PyTorch</t>
  </si>
  <si>
    <t>AIJOB01857</t>
  </si>
  <si>
    <t>OpenAI API, Spark, TensorFlow</t>
  </si>
  <si>
    <t>AIJOB01858</t>
  </si>
  <si>
    <t>Hugging Face Transformers, Fine-tuning, MLflow, PyTorch, LlamaIndex</t>
  </si>
  <si>
    <t>AIJOB01859</t>
  </si>
  <si>
    <t>Kubernetes, ChromaDB, Hugging Face Transformers, Rust, LlamaIndex, FastAPI</t>
  </si>
  <si>
    <t>AIJOB01860</t>
  </si>
  <si>
    <t>Weights &amp; Biases, Vector Databases, FastAPI, ChromaDB, TensorFlow, RLHF</t>
  </si>
  <si>
    <t>AIJOB01861</t>
  </si>
  <si>
    <t>LlamaIndex, RLHF, Hugging Face Transformers, PyTorch, SQL, Docker, Pinecone</t>
  </si>
  <si>
    <t>AIJOB01862</t>
  </si>
  <si>
    <t>JAX, C++, Rust, RLHF, Python, Pinecone</t>
  </si>
  <si>
    <t>AIJOB01863</t>
  </si>
  <si>
    <t>FastAPI, Weights &amp; Biases, ChromaDB, Vector Databases, Docker, SQL</t>
  </si>
  <si>
    <t>AIJOB01864</t>
  </si>
  <si>
    <t>OpenAI API, LlamaIndex, FastAPI</t>
  </si>
  <si>
    <t>AIJOB01865</t>
  </si>
  <si>
    <t>CUDA, OpenAI API, AWS SageMaker</t>
  </si>
  <si>
    <t>AIJOB01866</t>
  </si>
  <si>
    <t>Hugging Face Transformers, LangChain, C++</t>
  </si>
  <si>
    <t>AIJOB01867</t>
  </si>
  <si>
    <t>RAG, PyTorch, Rust, SQL, GCP Vertex AI</t>
  </si>
  <si>
    <t>AIJOB01868</t>
  </si>
  <si>
    <t>LangChain, RAG, OpenAI API, GCP Vertex AI, LlamaIndex</t>
  </si>
  <si>
    <t>AIJOB01869</t>
  </si>
  <si>
    <t>Pinecone, Weights &amp; Biases, GCP Vertex AI</t>
  </si>
  <si>
    <t>AIJOB01870</t>
  </si>
  <si>
    <t>Weaviate, LangChain, RLHF, Spark, SQL</t>
  </si>
  <si>
    <t>AIJOB01871</t>
  </si>
  <si>
    <t>ChromaDB, SQL, Docker, Pinecone, LangChain, AWS SageMaker, FastAPI</t>
  </si>
  <si>
    <t>AIJOB01872</t>
  </si>
  <si>
    <t>C++, MLflow, Python, LangChain</t>
  </si>
  <si>
    <t>AIJOB01873</t>
  </si>
  <si>
    <t>TensorFlow, MLflow, Weaviate, LlamaIndex, RLHF, Hugging Face Transformers, SQL</t>
  </si>
  <si>
    <t>AIJOB01874</t>
  </si>
  <si>
    <t>JAX, LangChain, OpenAI API</t>
  </si>
  <si>
    <t>AIJOB01875</t>
  </si>
  <si>
    <t>Weights &amp; Biases, LlamaIndex, JAX</t>
  </si>
  <si>
    <t>AIJOB01876</t>
  </si>
  <si>
    <t>Hugging Face Transformers, Kubernetes, Weaviate, Fine-tuning, RLHF</t>
  </si>
  <si>
    <t>AIJOB01877</t>
  </si>
  <si>
    <t>PyTorch, Weaviate, MLflow, JAX, CUDA</t>
  </si>
  <si>
    <t>AIJOB01878</t>
  </si>
  <si>
    <t>MLflow, CUDA, Vector Databases, LlamaIndex, AWS SageMaker, RLHF, Rust</t>
  </si>
  <si>
    <t>AIJOB01879</t>
  </si>
  <si>
    <t>ChromaDB, Weaviate, GCP Vertex AI, MLflow</t>
  </si>
  <si>
    <t>AIJOB01880</t>
  </si>
  <si>
    <t>Python, Vector Databases, Weights &amp; Biases, PyTorch, Docker, Hugging Face Transformers, Spark</t>
  </si>
  <si>
    <t>AIJOB01881</t>
  </si>
  <si>
    <t>Spark, OpenAI API, GCP Vertex AI</t>
  </si>
  <si>
    <t>AIJOB01882</t>
  </si>
  <si>
    <t>SQL, Rust, RAG, OpenAI API, Azure ML, RLHF, C++</t>
  </si>
  <si>
    <t>AIJOB01883</t>
  </si>
  <si>
    <t>JAX, Azure ML, ChromaDB, GCP Vertex AI</t>
  </si>
  <si>
    <t>AIJOB01884</t>
  </si>
  <si>
    <t>AWS SageMaker, GCP Vertex AI, LangChain, dbt, Kubernetes, Fine-tuning</t>
  </si>
  <si>
    <t>AIJOB01885</t>
  </si>
  <si>
    <t>C++, Pinecone, Rust, JAX, RLHF, PyTorch</t>
  </si>
  <si>
    <t>AIJOB01886</t>
  </si>
  <si>
    <t>Weights &amp; Biases, dbt, JAX, GCP Vertex AI, LlamaIndex, LangChain</t>
  </si>
  <si>
    <t>AIJOB01887</t>
  </si>
  <si>
    <t>LangChain, JAX, Python, Weaviate</t>
  </si>
  <si>
    <t>AIJOB01888</t>
  </si>
  <si>
    <t>AWS SageMaker, Weaviate, Azure ML, MLflow, TensorFlow, dbt</t>
  </si>
  <si>
    <t>AIJOB01889</t>
  </si>
  <si>
    <t>Vector Databases, Weaviate, RLHF, Spark, Rust, OpenAI API, Hugging Face Transformers</t>
  </si>
  <si>
    <t>AIJOB01890</t>
  </si>
  <si>
    <t>Docker, OpenAI API, Weights &amp; Biases, CUDA, AWS SageMaker, FastAPI</t>
  </si>
  <si>
    <t>AIJOB01891</t>
  </si>
  <si>
    <t>GCP Vertex AI, Weights &amp; Biases, RLHF, ChromaDB, AWS SageMaker</t>
  </si>
  <si>
    <t>AIJOB01892</t>
  </si>
  <si>
    <t>MLflow, Pinecone, Rust</t>
  </si>
  <si>
    <t>AIJOB01893</t>
  </si>
  <si>
    <t>dbt, TensorFlow, LlamaIndex, Rust, OpenAI API, SQL</t>
  </si>
  <si>
    <t>AIJOB01894</t>
  </si>
  <si>
    <t>Pinecone, Rust, C++, TensorFlow, Spark, Weights &amp; Biases</t>
  </si>
  <si>
    <t>AIJOB01895</t>
  </si>
  <si>
    <t>Pinecone, GCP Vertex AI, SQL, OpenAI API, ChromaDB</t>
  </si>
  <si>
    <t>AIJOB01896</t>
  </si>
  <si>
    <t>dbt, ChromaDB, GCP Vertex AI</t>
  </si>
  <si>
    <t>AIJOB01897</t>
  </si>
  <si>
    <t>Hugging Face Transformers, PyTorch, dbt, JAX, Azure ML</t>
  </si>
  <si>
    <t>AIJOB01898</t>
  </si>
  <si>
    <t>Weaviate, Rust, ChromaDB, Hugging Face Transformers, Spark, MLflow, LlamaIndex</t>
  </si>
  <si>
    <t>AIJOB01899</t>
  </si>
  <si>
    <t>LangChain, Rust, Hugging Face Transformers</t>
  </si>
  <si>
    <t>AIJOB01900</t>
  </si>
  <si>
    <t>Docker, JAX, LlamaIndex, Fine-tuning, C++, AWS SageMaker</t>
  </si>
  <si>
    <t>AIJOB01901</t>
  </si>
  <si>
    <t>FastAPI, PyTorch, MLflow, AWS SageMaker, dbt, Rust</t>
  </si>
  <si>
    <t>AIJOB01902</t>
  </si>
  <si>
    <t>FastAPI, OpenAI API, Spark</t>
  </si>
  <si>
    <t>AIJOB01903</t>
  </si>
  <si>
    <t>AWS SageMaker, RLHF, Python, CUDA</t>
  </si>
  <si>
    <t>AIJOB01904</t>
  </si>
  <si>
    <t>Rust, LangChain, Hugging Face Transformers, RLHF, Azure ML, SQL, TensorFlow</t>
  </si>
  <si>
    <t>AIJOB01905</t>
  </si>
  <si>
    <t>Python, C++, Rust, MLflow, GCP Vertex AI</t>
  </si>
  <si>
    <t>AIJOB01906</t>
  </si>
  <si>
    <t>LangChain, Kubernetes, Weights &amp; Biases, RAG, Spark, ChromaDB</t>
  </si>
  <si>
    <t>AIJOB01907</t>
  </si>
  <si>
    <t>GCP Vertex AI, FastAPI, Fine-tuning, LangChain</t>
  </si>
  <si>
    <t>AIJOB01908</t>
  </si>
  <si>
    <t>Weaviate, LlamaIndex, RAG, Pinecone, Weights &amp; Biases</t>
  </si>
  <si>
    <t>AIJOB01909</t>
  </si>
  <si>
    <t>dbt, Weights &amp; Biases, Spark, GCP Vertex AI</t>
  </si>
  <si>
    <t>AIJOB01910</t>
  </si>
  <si>
    <t>Rust, OpenAI API, Azure ML, Docker, AWS SageMaker, LlamaIndex</t>
  </si>
  <si>
    <t>AIJOB01911</t>
  </si>
  <si>
    <t>PyTorch, Fine-tuning, Python</t>
  </si>
  <si>
    <t>AIJOB01912</t>
  </si>
  <si>
    <t>Rust, JAX, C++, Weaviate</t>
  </si>
  <si>
    <t>AIJOB01913</t>
  </si>
  <si>
    <t>PyTorch, TensorFlow, FastAPI, Fine-tuning, JAX, ChromaDB</t>
  </si>
  <si>
    <t>AIJOB01914</t>
  </si>
  <si>
    <t>FastAPI, PyTorch, OpenAI API, LlamaIndex, Azure ML, CUDA</t>
  </si>
  <si>
    <t>AIJOB01915</t>
  </si>
  <si>
    <t>TensorFlow, Rust, Vector Databases, ChromaDB, Docker, CUDA</t>
  </si>
  <si>
    <t>AIJOB01916</t>
  </si>
  <si>
    <t>dbt, Weights &amp; Biases, CUDA, Rust, LlamaIndex</t>
  </si>
  <si>
    <t>AIJOB01917</t>
  </si>
  <si>
    <t>Fine-tuning, C++, Docker, MLflow, Python, dbt</t>
  </si>
  <si>
    <t>AIJOB01918</t>
  </si>
  <si>
    <t>Weaviate, MLflow, SQL, Hugging Face Transformers</t>
  </si>
  <si>
    <t>AIJOB01919</t>
  </si>
  <si>
    <t>OpenAI API, SQL, GCP Vertex AI, MLflow</t>
  </si>
  <si>
    <t>AIJOB01920</t>
  </si>
  <si>
    <t>PyTorch, Python, LlamaIndex</t>
  </si>
  <si>
    <t>AIJOB01921</t>
  </si>
  <si>
    <t>Azure ML, JAX, Vector Databases</t>
  </si>
  <si>
    <t>AIJOB01922</t>
  </si>
  <si>
    <t>RLHF, CUDA, C++, JAX</t>
  </si>
  <si>
    <t>AIJOB01923</t>
  </si>
  <si>
    <t>Pinecone, LlamaIndex, Fine-tuning</t>
  </si>
  <si>
    <t>AIJOB01924</t>
  </si>
  <si>
    <t>ChromaDB, Fine-tuning, FastAPI, PyTorch, LlamaIndex</t>
  </si>
  <si>
    <t>AIJOB01925</t>
  </si>
  <si>
    <t>Pinecone, Weaviate, PyTorch, Rust, Fine-tuning, Python, SQL</t>
  </si>
  <si>
    <t>AIJOB01926</t>
  </si>
  <si>
    <t>GCP Vertex AI, JAX, dbt, Weaviate, CUDA, Python</t>
  </si>
  <si>
    <t>AIJOB01927</t>
  </si>
  <si>
    <t>Fine-tuning, GCP Vertex AI, LangChain, Weaviate, C++, AWS SageMaker, MLflow</t>
  </si>
  <si>
    <t>AIJOB01928</t>
  </si>
  <si>
    <t>dbt, OpenAI API, AWS SageMaker, SQL, CUDA</t>
  </si>
  <si>
    <t>AIJOB01929</t>
  </si>
  <si>
    <t>Weaviate, GCP Vertex AI, RLHF, Docker, SQL</t>
  </si>
  <si>
    <t>AIJOB01930</t>
  </si>
  <si>
    <t>OpenAI API, RLHF, Vector Databases, PyTorch, TensorFlow</t>
  </si>
  <si>
    <t>AIJOB01931</t>
  </si>
  <si>
    <t>Python, Docker, RLHF, JAX, AWS SageMaker, PyTorch, Vector Databases</t>
  </si>
  <si>
    <t>AIJOB01932</t>
  </si>
  <si>
    <t>dbt, Weights &amp; Biases, Hugging Face Transformers, Vector Databases</t>
  </si>
  <si>
    <t>AIJOB01933</t>
  </si>
  <si>
    <t>dbt, Pinecone, ChromaDB, Azure ML, C++, LangChain</t>
  </si>
  <si>
    <t>AIJOB01934</t>
  </si>
  <si>
    <t>Spark, SQL, PyTorch, MLflow, OpenAI API, Python</t>
  </si>
  <si>
    <t>AIJOB01935</t>
  </si>
  <si>
    <t>CUDA, Weights &amp; Biases, Rust, RLHF, Python, JAX</t>
  </si>
  <si>
    <t>AIJOB01936</t>
  </si>
  <si>
    <t>TensorFlow, Weights &amp; Biases, dbt, Vector Databases, AWS SageMaker, FastAPI, OpenAI API</t>
  </si>
  <si>
    <t>AIJOB01937</t>
  </si>
  <si>
    <t>C++, Pinecone, Fine-tuning, LangChain, LlamaIndex</t>
  </si>
  <si>
    <t>AIJOB01938</t>
  </si>
  <si>
    <t>Fine-tuning, OpenAI API, MLflow, Docker</t>
  </si>
  <si>
    <t>AIJOB01939</t>
  </si>
  <si>
    <t>Python, RLHF, MLflow</t>
  </si>
  <si>
    <t>AIJOB01940</t>
  </si>
  <si>
    <t>LangChain, Weights &amp; Biases, RLHF, Spark, MLflow</t>
  </si>
  <si>
    <t>AIJOB01941</t>
  </si>
  <si>
    <t>FastAPI, C++, RAG, Azure ML, Vector Databases, Weights &amp; Biases</t>
  </si>
  <si>
    <t>AIJOB01942</t>
  </si>
  <si>
    <t>Hugging Face Transformers, TensorFlow, Vector Databases, Azure ML, PyTorch</t>
  </si>
  <si>
    <t>AIJOB01943</t>
  </si>
  <si>
    <t>dbt, MLflow, Weaviate</t>
  </si>
  <si>
    <t>AIJOB01944</t>
  </si>
  <si>
    <t>AWS SageMaker, Fine-tuning, CUDA, OpenAI API</t>
  </si>
  <si>
    <t>AIJOB01945</t>
  </si>
  <si>
    <t>Rust, CUDA, Pinecone</t>
  </si>
  <si>
    <t>AIJOB01946</t>
  </si>
  <si>
    <t>TensorFlow, Docker, OpenAI API, Fine-tuning, SQL</t>
  </si>
  <si>
    <t>AIJOB01947</t>
  </si>
  <si>
    <t>RAG, Fine-tuning, SQL, JAX, Kubernetes</t>
  </si>
  <si>
    <t>AIJOB01948</t>
  </si>
  <si>
    <t>MLflow, LangChain, SQL</t>
  </si>
  <si>
    <t>AIJOB01949</t>
  </si>
  <si>
    <t>AWS SageMaker, LlamaIndex, Fine-tuning, Pinecone, Azure ML, LangChain, Vector Databases</t>
  </si>
  <si>
    <t>AIJOB01950</t>
  </si>
  <si>
    <t>GCP Vertex AI, CUDA, Weights &amp; Biases, C++, dbt, LlamaIndex, Python</t>
  </si>
  <si>
    <t>AIJOB01951</t>
  </si>
  <si>
    <t>Fine-tuning, MLflow, Hugging Face Transformers, LlamaIndex, PyTorch</t>
  </si>
  <si>
    <t>AIJOB01952</t>
  </si>
  <si>
    <t>TensorFlow, Docker, Python, Kubernetes, PyTorch, Spark, Vector Databases</t>
  </si>
  <si>
    <t>AIJOB01953</t>
  </si>
  <si>
    <t>Vector Databases, Docker, Azure ML</t>
  </si>
  <si>
    <t>AIJOB01954</t>
  </si>
  <si>
    <t>TensorFlow, Python, SQL, RLHF</t>
  </si>
  <si>
    <t>AIJOB01955</t>
  </si>
  <si>
    <t>TensorFlow, RLHF, LlamaIndex, CUDA, Azure ML, Vector Databases</t>
  </si>
  <si>
    <t>AIJOB01956</t>
  </si>
  <si>
    <t>OpenAI API, Rust, FastAPI, ChromaDB, Weights &amp; Biases, LlamaIndex, SQL</t>
  </si>
  <si>
    <t>AIJOB01957</t>
  </si>
  <si>
    <t>SQL, CUDA, Weights &amp; Biases, Weaviate, JAX, Spark</t>
  </si>
  <si>
    <t>AIJOB01958</t>
  </si>
  <si>
    <t>LangChain, LlamaIndex, RLHF, Azure ML, SQL, Kubernetes, ChromaDB</t>
  </si>
  <si>
    <t>AIJOB01959</t>
  </si>
  <si>
    <t>CUDA, Spark, Weights &amp; Biases, dbt, GCP Vertex AI, SQL</t>
  </si>
  <si>
    <t>AIJOB01960</t>
  </si>
  <si>
    <t>TensorFlow, Docker, LlamaIndex, Hugging Face Transformers, MLflow, FastAPI, Python</t>
  </si>
  <si>
    <t>AIJOB01961</t>
  </si>
  <si>
    <t>PyTorch, SQL, OpenAI API</t>
  </si>
  <si>
    <t>AIJOB01962</t>
  </si>
  <si>
    <t>AWS SageMaker, RAG, Azure ML, Weaviate, Fine-tuning</t>
  </si>
  <si>
    <t>AIJOB01963</t>
  </si>
  <si>
    <t>CUDA, JAX, Pinecone, AWS SageMaker, FastAPI, TensorFlow</t>
  </si>
  <si>
    <t>AIJOB01964</t>
  </si>
  <si>
    <t>RAG, ChromaDB, dbt, JAX, Azure ML, MLflow</t>
  </si>
  <si>
    <t>AIJOB01965</t>
  </si>
  <si>
    <t>Pinecone, Docker, Spark, LlamaIndex, TensorFlow</t>
  </si>
  <si>
    <t>AIJOB01966</t>
  </si>
  <si>
    <t>PyTorch, Docker, TensorFlow, AWS SageMaker, LlamaIndex, Fine-tuning</t>
  </si>
  <si>
    <t>AIJOB01967</t>
  </si>
  <si>
    <t>Spark, FastAPI, LlamaIndex, AWS SageMaker, JAX</t>
  </si>
  <si>
    <t>AIJOB01968</t>
  </si>
  <si>
    <t>Rust, GCP Vertex AI, OpenAI API, SQL, PyTorch, Weaviate, RLHF</t>
  </si>
  <si>
    <t>AIJOB01969</t>
  </si>
  <si>
    <t>RAG, SQL, AWS SageMaker, MLflow, Weaviate, Kubernetes</t>
  </si>
  <si>
    <t>AIJOB01970</t>
  </si>
  <si>
    <t>Hugging Face Transformers, ChromaDB, Vector Databases, Rust, JAX, RAG</t>
  </si>
  <si>
    <t>AIJOB01971</t>
  </si>
  <si>
    <t>RLHF, Hugging Face Transformers, OpenAI API, FastAPI, dbt</t>
  </si>
  <si>
    <t>AIJOB01972</t>
  </si>
  <si>
    <t>RAG, Hugging Face Transformers, Pinecone, Weaviate, JAX, Weights &amp; Biases, C++</t>
  </si>
  <si>
    <t>AIJOB01973</t>
  </si>
  <si>
    <t>MLflow, GCP Vertex AI, Fine-tuning, Rust, TensorFlow, Kubernetes, dbt</t>
  </si>
  <si>
    <t>AIJOB01974</t>
  </si>
  <si>
    <t>Fine-tuning, ChromaDB, TensorFlow, Rust, LlamaIndex, Spark</t>
  </si>
  <si>
    <t>AIJOB01975</t>
  </si>
  <si>
    <t>TensorFlow, RAG, OpenAI API</t>
  </si>
  <si>
    <t>AIJOB01976</t>
  </si>
  <si>
    <t>dbt, TensorFlow, AWS SageMaker, FastAPI</t>
  </si>
  <si>
    <t>AIJOB01977</t>
  </si>
  <si>
    <t>Python, CUDA, Kubernetes, LangChain, dbt, RLHF, Vector Databases</t>
  </si>
  <si>
    <t>AIJOB01978</t>
  </si>
  <si>
    <t>C++, FastAPI, Hugging Face Transformers, AWS SageMaker</t>
  </si>
  <si>
    <t>AIJOB01979</t>
  </si>
  <si>
    <t>LangChain, RLHF, Spark</t>
  </si>
  <si>
    <t>AIJOB01980</t>
  </si>
  <si>
    <t>Weights &amp; Biases, OpenAI API, AWS SageMaker, Spark, MLflow, ChromaDB, Rust</t>
  </si>
  <si>
    <t>AIJOB01981</t>
  </si>
  <si>
    <t>Hugging Face Transformers, MLflow, RLHF, RAG, Azure ML</t>
  </si>
  <si>
    <t>AIJOB01982</t>
  </si>
  <si>
    <t>LangChain, Weights &amp; Biases, FastAPI</t>
  </si>
  <si>
    <t>AIJOB01983</t>
  </si>
  <si>
    <t>Pinecone, RAG, CUDA, Docker</t>
  </si>
  <si>
    <t>AIJOB01984</t>
  </si>
  <si>
    <t>Azure ML, Rust, OpenAI API</t>
  </si>
  <si>
    <t>AIJOB01985</t>
  </si>
  <si>
    <t>PyTorch, Kubernetes, Rust, Vector Databases, Pinecone, Docker</t>
  </si>
  <si>
    <t>AIJOB01986</t>
  </si>
  <si>
    <t>TensorFlow, Vector Databases, JAX</t>
  </si>
  <si>
    <t>AIJOB01987</t>
  </si>
  <si>
    <t>FastAPI, Hugging Face Transformers, TensorFlow</t>
  </si>
  <si>
    <t>AIJOB01988</t>
  </si>
  <si>
    <t>GCP Vertex AI, TensorFlow, CUDA, dbt, Vector Databases, Spark</t>
  </si>
  <si>
    <t>AIJOB01989</t>
  </si>
  <si>
    <t>Hugging Face Transformers, JAX, Rust</t>
  </si>
  <si>
    <t>AIJOB01990</t>
  </si>
  <si>
    <t>FastAPI, CUDA, Docker</t>
  </si>
  <si>
    <t>AIJOB01991</t>
  </si>
  <si>
    <t>LlamaIndex, Rust, LangChain, RLHF, Fine-tuning, AWS SageMaker, GCP Vertex AI</t>
  </si>
  <si>
    <t>AIJOB01992</t>
  </si>
  <si>
    <t>RLHF, dbt, LlamaIndex, GCP Vertex AI</t>
  </si>
  <si>
    <t>AIJOB01993</t>
  </si>
  <si>
    <t>Hugging Face Transformers, RLHF, JAX, SQL, Rust, OpenAI API</t>
  </si>
  <si>
    <t>AIJOB01994</t>
  </si>
  <si>
    <t>AWS SageMaker, FastAPI, RAG, JAX, Weaviate, Rust, Docker</t>
  </si>
  <si>
    <t>AIJOB01995</t>
  </si>
  <si>
    <t>Vector Databases, Kubernetes, GCP Vertex AI, CUDA</t>
  </si>
  <si>
    <t>AIJOB01996</t>
  </si>
  <si>
    <t>TensorFlow, Azure ML, RAG, MLflow</t>
  </si>
  <si>
    <t>AIJOB01997</t>
  </si>
  <si>
    <t>Azure ML, Rust, MLflow, LangChain, Weights &amp; Biases</t>
  </si>
  <si>
    <t>AIJOB01998</t>
  </si>
  <si>
    <t>Spark, AWS SageMaker, Hugging Face Transformers, FastAPI, TensorFlow, JAX</t>
  </si>
  <si>
    <t>AIJOB01999</t>
  </si>
  <si>
    <t>dbt, RAG, AWS SageMaker, Hugging Face Transformers, ChromaDB</t>
  </si>
  <si>
    <t>AIJOB02000</t>
  </si>
  <si>
    <t>RLHF, GCP Vertex AI, Rust</t>
  </si>
  <si>
    <t>AIJOB02001</t>
  </si>
  <si>
    <t>Hugging Face Transformers, Docker, GCP Vertex AI, Weights &amp; Biases, OpenAI API, TensorFlow, Python</t>
  </si>
  <si>
    <t>AIJOB02002</t>
  </si>
  <si>
    <t>Docker, Spark, Fine-tuning</t>
  </si>
  <si>
    <t>AIJOB02003</t>
  </si>
  <si>
    <t>Rust, CUDA, TensorFlow, Pinecone</t>
  </si>
  <si>
    <t>AIJOB02004</t>
  </si>
  <si>
    <t>LlamaIndex, Weights &amp; Biases, OpenAI API</t>
  </si>
  <si>
    <t>AIJOB02005</t>
  </si>
  <si>
    <t>LangChain, Hugging Face Transformers, PyTorch, Weaviate</t>
  </si>
  <si>
    <t>AIJOB02006</t>
  </si>
  <si>
    <t>PyTorch, Spark, TensorFlow</t>
  </si>
  <si>
    <t>AIJOB02007</t>
  </si>
  <si>
    <t>Azure ML, Hugging Face Transformers, Pinecone, MLflow, GCP Vertex AI, Weights &amp; Biases, SQL</t>
  </si>
  <si>
    <t>AIJOB02008</t>
  </si>
  <si>
    <t>Vector Databases, ChromaDB, dbt, C++, SQL</t>
  </si>
  <si>
    <t>AIJOB02009</t>
  </si>
  <si>
    <t>C++, CUDA, Kubernetes, ChromaDB, PyTorch</t>
  </si>
  <si>
    <t>AIJOB02010</t>
  </si>
  <si>
    <t>Azure ML, AWS SageMaker, dbt, RLHF</t>
  </si>
  <si>
    <t>AIJOB02011</t>
  </si>
  <si>
    <t>AWS SageMaker, C++, Spark, JAX, LangChain, Pinecone</t>
  </si>
  <si>
    <t>AIJOB02012</t>
  </si>
  <si>
    <t>Vector Databases, FastAPI, RLHF, Weights &amp; Biases</t>
  </si>
  <si>
    <t>AIJOB02013</t>
  </si>
  <si>
    <t>Weights &amp; Biases, LlamaIndex, GCP Vertex AI, TensorFlow, Hugging Face Transformers</t>
  </si>
  <si>
    <t>AIJOB02014</t>
  </si>
  <si>
    <t>SQL, Docker, ChromaDB, dbt</t>
  </si>
  <si>
    <t>AIJOB02015</t>
  </si>
  <si>
    <t>GCP Vertex AI, Docker, PyTorch, RLHF, Python, C++, Weaviate</t>
  </si>
  <si>
    <t>AIJOB02016</t>
  </si>
  <si>
    <t>dbt, SQL, CUDA, Vector Databases</t>
  </si>
  <si>
    <t>AIJOB02017</t>
  </si>
  <si>
    <t>OpenAI API, Docker, JAX, Fine-tuning</t>
  </si>
  <si>
    <t>AIJOB02018</t>
  </si>
  <si>
    <t>LangChain, MLflow, SQL, TensorFlow, Vector Databases</t>
  </si>
  <si>
    <t>AIJOB02019</t>
  </si>
  <si>
    <t>PyTorch, dbt, Hugging Face Transformers, CUDA, Python, Spark</t>
  </si>
  <si>
    <t>AIJOB02020</t>
  </si>
  <si>
    <t>RLHF, Kubernetes, Fine-tuning, GCP Vertex AI, FastAPI, JAX</t>
  </si>
  <si>
    <t>AIJOB02021</t>
  </si>
  <si>
    <t>LangChain, JAX, PyTorch</t>
  </si>
  <si>
    <t>AIJOB02022</t>
  </si>
  <si>
    <t>OpenAI API, Azure ML, dbt</t>
  </si>
  <si>
    <t>AIJOB02023</t>
  </si>
  <si>
    <t>Python, RAG, RLHF, AWS SageMaker, MLflow, LangChain</t>
  </si>
  <si>
    <t>AIJOB02024</t>
  </si>
  <si>
    <t>dbt, LlamaIndex, RLHF, MLflow, JAX</t>
  </si>
  <si>
    <t>AIJOB02025</t>
  </si>
  <si>
    <t>Weights &amp; Biases, Rust, FastAPI, Azure ML</t>
  </si>
  <si>
    <t>AIJOB02026</t>
  </si>
  <si>
    <t>AWS SageMaker, C++, SQL, Azure ML, TensorFlow, RAG, dbt</t>
  </si>
  <si>
    <t>AIJOB02027</t>
  </si>
  <si>
    <t>C++, ChromaDB, Python, Docker</t>
  </si>
  <si>
    <t>AIJOB02028</t>
  </si>
  <si>
    <t>SQL, dbt, Azure ML, FastAPI, PyTorch, LangChain</t>
  </si>
  <si>
    <t>AIJOB02029</t>
  </si>
  <si>
    <t>AIJOB02030</t>
  </si>
  <si>
    <t>Python, Weights &amp; Biases, Vector Databases, ChromaDB, SQL</t>
  </si>
  <si>
    <t>AIJOB02031</t>
  </si>
  <si>
    <t>Vector Databases, dbt, Pinecone, GCP Vertex AI, TensorFlow, Azure ML</t>
  </si>
  <si>
    <t>AIJOB02032</t>
  </si>
  <si>
    <t>ChromaDB, AWS SageMaker, PyTorch, JAX, Kubernetes, Fine-tuning, FastAPI</t>
  </si>
  <si>
    <t>AIJOB02033</t>
  </si>
  <si>
    <t>LlamaIndex, Docker, Azure ML, TensorFlow</t>
  </si>
  <si>
    <t>AIJOB02034</t>
  </si>
  <si>
    <t>Vector Databases, ChromaDB, FastAPI, Pinecone, Spark, SQL, Fine-tuning</t>
  </si>
  <si>
    <t>AIJOB02035</t>
  </si>
  <si>
    <t>FastAPI, Azure ML, C++, ChromaDB</t>
  </si>
  <si>
    <t>AIJOB02036</t>
  </si>
  <si>
    <t>TensorFlow, ChromaDB, C++, Pinecone, Fine-tuning, Kubernetes, RLHF</t>
  </si>
  <si>
    <t>AIJOB02037</t>
  </si>
  <si>
    <t>Vector Databases, OpenAI API, Spark, Weights &amp; Biases, Azure ML, JAX</t>
  </si>
  <si>
    <t>AIJOB02038</t>
  </si>
  <si>
    <t>FastAPI, LlamaIndex, AWS SageMaker, Pinecone</t>
  </si>
  <si>
    <t>AIJOB02039</t>
  </si>
  <si>
    <t>Python, Kubernetes, C++, Weaviate</t>
  </si>
  <si>
    <t>AIJOB02040</t>
  </si>
  <si>
    <t>FastAPI, TensorFlow, RLHF, Vector Databases, SQL, Python, OpenAI API</t>
  </si>
  <si>
    <t>AIJOB02041</t>
  </si>
  <si>
    <t>SQL, PyTorch, MLflow, Hugging Face Transformers, dbt, FastAPI</t>
  </si>
  <si>
    <t>AIJOB02042</t>
  </si>
  <si>
    <t>MLflow, GCP Vertex AI, Fine-tuning, RLHF, LangChain, ChromaDB</t>
  </si>
  <si>
    <t>AIJOB02043</t>
  </si>
  <si>
    <t>AWS SageMaker, Rust, Weaviate, SQL, TensorFlow, Pinecone, Azure ML</t>
  </si>
  <si>
    <t>AIJOB02044</t>
  </si>
  <si>
    <t>Kubernetes, RAG, Weights &amp; Biases</t>
  </si>
  <si>
    <t>AIJOB02045</t>
  </si>
  <si>
    <t>MLflow, ChromaDB, dbt, C++, Python</t>
  </si>
  <si>
    <t>AIJOB02046</t>
  </si>
  <si>
    <t>CUDA, RAG, TensorFlow, Weights &amp; Biases, Kubernetes, Weaviate</t>
  </si>
  <si>
    <t>AIJOB02047</t>
  </si>
  <si>
    <t>MLflow, Spark, Weights &amp; Biases, Rust, FastAPI, Azure ML, ChromaDB</t>
  </si>
  <si>
    <t>AIJOB02048</t>
  </si>
  <si>
    <t>Vector Databases, Weaviate, PyTorch, RLHF, LlamaIndex, Python, dbt</t>
  </si>
  <si>
    <t>AIJOB02049</t>
  </si>
  <si>
    <t>Hugging Face Transformers, Python, OpenAI API, Spark, RLHF, Kubernetes</t>
  </si>
  <si>
    <t>AIJOB02050</t>
  </si>
  <si>
    <t>Rust, AWS SageMaker, C++, OpenAI API, ChromaDB, Fine-tuning</t>
  </si>
  <si>
    <t>AIJOB02051</t>
  </si>
  <si>
    <t>Vector Databases, Weights &amp; Biases, Kubernetes, MLflow, dbt, PyTorch, Azure ML</t>
  </si>
  <si>
    <t>AIJOB02052</t>
  </si>
  <si>
    <t>FastAPI, Pinecone, PyTorch, dbt, C++, ChromaDB</t>
  </si>
  <si>
    <t>AIJOB02053</t>
  </si>
  <si>
    <t>JAX, PyTorch, RLHF</t>
  </si>
  <si>
    <t>AIJOB02054</t>
  </si>
  <si>
    <t>SQL, Docker, LangChain, OpenAI API, C++, ChromaDB, Pinecone</t>
  </si>
  <si>
    <t>AIJOB02055</t>
  </si>
  <si>
    <t>TensorFlow, JAX, ChromaDB</t>
  </si>
  <si>
    <t>AIJOB02056</t>
  </si>
  <si>
    <t>PyTorch, Weights &amp; Biases, dbt, Kubernetes, FastAPI, LlamaIndex, Rust</t>
  </si>
  <si>
    <t>AIJOB02057</t>
  </si>
  <si>
    <t>Python, Spark, OpenAI API, ChromaDB, SQL</t>
  </si>
  <si>
    <t>AIJOB02058</t>
  </si>
  <si>
    <t>dbt, OpenAI API, Spark, SQL, JAX, RLHF, MLflow</t>
  </si>
  <si>
    <t>AIJOB02059</t>
  </si>
  <si>
    <t>TensorFlow, C++, Vector Databases</t>
  </si>
  <si>
    <t>AIJOB02060</t>
  </si>
  <si>
    <t>Pinecone, RLHF, GCP Vertex AI, Rust</t>
  </si>
  <si>
    <t>AIJOB02061</t>
  </si>
  <si>
    <t>Docker, FastAPI, SQL, Vector Databases</t>
  </si>
  <si>
    <t>AIJOB02062</t>
  </si>
  <si>
    <t>GCP Vertex AI, Kubernetes, RLHF, Azure ML, FastAPI</t>
  </si>
  <si>
    <t>AIJOB02063</t>
  </si>
  <si>
    <t>PyTorch, MLflow, LangChain, Pinecone, Azure ML, C++, Weights &amp; Biases</t>
  </si>
  <si>
    <t>AIJOB02064</t>
  </si>
  <si>
    <t>PyTorch, dbt, Fine-tuning, FastAPI, CUDA</t>
  </si>
  <si>
    <t>AIJOB02065</t>
  </si>
  <si>
    <t>Pinecone, Fine-tuning, PyTorch, Kubernetes, Spark</t>
  </si>
  <si>
    <t>AIJOB02066</t>
  </si>
  <si>
    <t>GCP Vertex AI, TensorFlow, CUDA</t>
  </si>
  <si>
    <t>AIJOB02067</t>
  </si>
  <si>
    <t>dbt, Pinecone, Weights &amp; Biases</t>
  </si>
  <si>
    <t>AIJOB02068</t>
  </si>
  <si>
    <t>Spark, Vector Databases, Python, OpenAI API</t>
  </si>
  <si>
    <t>AIJOB02069</t>
  </si>
  <si>
    <t>Docker, TensorFlow, FastAPI, Rust, MLflow, Hugging Face Transformers, C++</t>
  </si>
  <si>
    <t>AIJOB02070</t>
  </si>
  <si>
    <t>C++, Weaviate, SQL</t>
  </si>
  <si>
    <t>AIJOB02071</t>
  </si>
  <si>
    <t>LlamaIndex, Fine-tuning, Vector Databases, OpenAI API, GCP Vertex AI, dbt, AWS SageMaker</t>
  </si>
  <si>
    <t>AIJOB02072</t>
  </si>
  <si>
    <t>PyTorch, Pinecone, Fine-tuning, Hugging Face Transformers, CUDA</t>
  </si>
  <si>
    <t>AIJOB02073</t>
  </si>
  <si>
    <t>Weaviate, RLHF, Hugging Face Transformers, Pinecone, SQL</t>
  </si>
  <si>
    <t>AIJOB02074</t>
  </si>
  <si>
    <t>Weights &amp; Biases, RAG, JAX, LlamaIndex</t>
  </si>
  <si>
    <t>AIJOB02075</t>
  </si>
  <si>
    <t>Rust, Kubernetes, Docker, Spark, MLflow, CUDA</t>
  </si>
  <si>
    <t>AIJOB02076</t>
  </si>
  <si>
    <t>Docker, Azure ML, C++, GCP Vertex AI, AWS SageMaker, TensorFlow, FastAPI</t>
  </si>
  <si>
    <t>AIJOB02077</t>
  </si>
  <si>
    <t>PyTorch, RAG, Weights &amp; Biases</t>
  </si>
  <si>
    <t>AIJOB02078</t>
  </si>
  <si>
    <t>Pinecone, C++, Spark, SQL</t>
  </si>
  <si>
    <t>AIJOB02079</t>
  </si>
  <si>
    <t>CUDA, C++, LlamaIndex, TensorFlow</t>
  </si>
  <si>
    <t>AIJOB02080</t>
  </si>
  <si>
    <t>dbt, RLHF, FastAPI</t>
  </si>
  <si>
    <t>AIJOB02081</t>
  </si>
  <si>
    <t>FastAPI, LangChain, Vector Databases, TensorFlow</t>
  </si>
  <si>
    <t>AIJOB02082</t>
  </si>
  <si>
    <t>Pinecone, dbt, JAX, Weaviate</t>
  </si>
  <si>
    <t>AIJOB02083</t>
  </si>
  <si>
    <t>PyTorch, CUDA, GCP Vertex AI, FastAPI, Vector Databases</t>
  </si>
  <si>
    <t>AIJOB02084</t>
  </si>
  <si>
    <t>Docker, SQL, RAG, LlamaIndex, Kubernetes, Weaviate</t>
  </si>
  <si>
    <t>AIJOB02085</t>
  </si>
  <si>
    <t>Weights &amp; Biases, Pinecone, Python, OpenAI API, Kubernetes</t>
  </si>
  <si>
    <t>AIJOB02086</t>
  </si>
  <si>
    <t>dbt, Pinecone, CUDA, Vector Databases, LangChain</t>
  </si>
  <si>
    <t>AIJOB02087</t>
  </si>
  <si>
    <t>MLflow, Kubernetes, ChromaDB, LangChain, JAX, TensorFlow, Vector Databases</t>
  </si>
  <si>
    <t>AIJOB02088</t>
  </si>
  <si>
    <t>Vector Databases, AWS SageMaker, FastAPI, Docker</t>
  </si>
  <si>
    <t>AIJOB02089</t>
  </si>
  <si>
    <t>Weaviate, Python, OpenAI API</t>
  </si>
  <si>
    <t>AIJOB02090</t>
  </si>
  <si>
    <t>LangChain, RAG, Python, LlamaIndex, SQL</t>
  </si>
  <si>
    <t>AIJOB02091</t>
  </si>
  <si>
    <t>OpenAI API, RAG, Vector Databases, Pinecone, TensorFlow, RLHF</t>
  </si>
  <si>
    <t>AIJOB02092</t>
  </si>
  <si>
    <t>FastAPI, Azure ML, Kubernetes, SQL, CUDA, LlamaIndex, MLflow</t>
  </si>
  <si>
    <t>AIJOB02093</t>
  </si>
  <si>
    <t>Rust, SQL, Vector Databases, Weights &amp; Biases, AWS SageMaker, RLHF, GCP Vertex AI</t>
  </si>
  <si>
    <t>AIJOB02094</t>
  </si>
  <si>
    <t>CUDA, GCP Vertex AI, ChromaDB, Vector Databases, RLHF, Kubernetes</t>
  </si>
  <si>
    <t>AIJOB02095</t>
  </si>
  <si>
    <t>AWS SageMaker, Rust, LangChain</t>
  </si>
  <si>
    <t>AIJOB02096</t>
  </si>
  <si>
    <t>ChromaDB, JAX, LangChain, RAG, GCP Vertex AI, Pinecone</t>
  </si>
  <si>
    <t>AIJOB02097</t>
  </si>
  <si>
    <t>RAG, GCP Vertex AI, Rust, Vector Databases</t>
  </si>
  <si>
    <t>AIJOB02098</t>
  </si>
  <si>
    <t>TensorFlow, SQL, RAG, Python, Spark, Pinecone, AWS SageMaker</t>
  </si>
  <si>
    <t>AIJOB02099</t>
  </si>
  <si>
    <t>Azure ML, ChromaDB, RAG, Vector Databases, Python</t>
  </si>
  <si>
    <t>AIJOB02100</t>
  </si>
  <si>
    <t>Fine-tuning, PyTorch, LlamaIndex, Kubernetes, FastAPI</t>
  </si>
  <si>
    <t>AIJOB02101</t>
  </si>
  <si>
    <t>Pinecone, dbt, GCP Vertex AI, Weights &amp; Biases, AWS SageMaker, LlamaIndex, RLHF</t>
  </si>
  <si>
    <t>AIJOB02102</t>
  </si>
  <si>
    <t>Docker, RLHF, Weights &amp; Biases, Azure ML, Pinecone</t>
  </si>
  <si>
    <t>AIJOB02103</t>
  </si>
  <si>
    <t>Spark, MLflow, ChromaDB, PyTorch, Rust</t>
  </si>
  <si>
    <t>AIJOB02104</t>
  </si>
  <si>
    <t>RAG, Rust, PyTorch, AWS SageMaker, LangChain</t>
  </si>
  <si>
    <t>AIJOB02105</t>
  </si>
  <si>
    <t>Python, Fine-tuning, CUDA, Rust, FastAPI</t>
  </si>
  <si>
    <t>AIJOB02106</t>
  </si>
  <si>
    <t>CUDA, JAX, RLHF, PyTorch</t>
  </si>
  <si>
    <t>AIJOB02107</t>
  </si>
  <si>
    <t>Fine-tuning, PyTorch, C++, AWS SageMaker, RAG</t>
  </si>
  <si>
    <t>AIJOB02108</t>
  </si>
  <si>
    <t>RAG, TensorFlow, Kubernetes, Docker</t>
  </si>
  <si>
    <t>AIJOB02109</t>
  </si>
  <si>
    <t>Spark, Python, GCP Vertex AI, Kubernetes, Weights &amp; Biases</t>
  </si>
  <si>
    <t>AIJOB02110</t>
  </si>
  <si>
    <t>Azure ML, Weaviate, JAX</t>
  </si>
  <si>
    <t>AIJOB02111</t>
  </si>
  <si>
    <t>LlamaIndex, Fine-tuning, LangChain, GCP Vertex AI, Python</t>
  </si>
  <si>
    <t>AIJOB02112</t>
  </si>
  <si>
    <t>AWS SageMaker, TensorFlow, LlamaIndex, FastAPI, OpenAI API</t>
  </si>
  <si>
    <t>AIJOB02113</t>
  </si>
  <si>
    <t>Spark, Hugging Face Transformers, GCP Vertex AI, dbt, Azure ML, TensorFlow</t>
  </si>
  <si>
    <t>AIJOB02114</t>
  </si>
  <si>
    <t>RLHF, Rust, OpenAI API, Docker</t>
  </si>
  <si>
    <t>AIJOB02115</t>
  </si>
  <si>
    <t>dbt, RAG, TensorFlow, GCP Vertex AI, LlamaIndex</t>
  </si>
  <si>
    <t>AIJOB02116</t>
  </si>
  <si>
    <t>Docker, Pinecone, MLflow</t>
  </si>
  <si>
    <t>AIJOB02117</t>
  </si>
  <si>
    <t>dbt, FastAPI, Spark, Weights &amp; Biases, Rust, LangChain, LlamaIndex</t>
  </si>
  <si>
    <t>AIJOB02118</t>
  </si>
  <si>
    <t>Weaviate, LangChain, Docker</t>
  </si>
  <si>
    <t>AIJOB02119</t>
  </si>
  <si>
    <t>Weights &amp; Biases, C++, dbt, Fine-tuning, ChromaDB, FastAPI, PyTorch</t>
  </si>
  <si>
    <t>AIJOB02120</t>
  </si>
  <si>
    <t>JAX, Fine-tuning, RLHF, C++, FastAPI</t>
  </si>
  <si>
    <t>AIJOB02121</t>
  </si>
  <si>
    <t>ChromaDB, JAX, MLflow, Weights &amp; Biases, GCP Vertex AI</t>
  </si>
  <si>
    <t>AIJOB02122</t>
  </si>
  <si>
    <t>MLflow, CUDA, LangChain, FastAPI, Fine-tuning, RAG</t>
  </si>
  <si>
    <t>AIJOB02123</t>
  </si>
  <si>
    <t>Azure ML, PyTorch, Pinecone, RAG, LlamaIndex</t>
  </si>
  <si>
    <t>AIJOB02124</t>
  </si>
  <si>
    <t>LangChain, Hugging Face Transformers, Fine-tuning, JAX, OpenAI API</t>
  </si>
  <si>
    <t>AIJOB02125</t>
  </si>
  <si>
    <t>JAX, PyTorch, Pinecone, Kubernetes, Azure ML</t>
  </si>
  <si>
    <t>AIJOB02126</t>
  </si>
  <si>
    <t>RAG, SQL, OpenAI API, Hugging Face Transformers, Azure ML</t>
  </si>
  <si>
    <t>AIJOB02127</t>
  </si>
  <si>
    <t>Weaviate, OpenAI API, SQL</t>
  </si>
  <si>
    <t>AIJOB02128</t>
  </si>
  <si>
    <t>dbt, Python, Fine-tuning</t>
  </si>
  <si>
    <t>AIJOB02129</t>
  </si>
  <si>
    <t>MLflow, Kubernetes, SQL, TensorFlow, Python</t>
  </si>
  <si>
    <t>AIJOB02130</t>
  </si>
  <si>
    <t>Vector Databases, Spark, LlamaIndex, FastAPI, PyTorch</t>
  </si>
  <si>
    <t>AIJOB02131</t>
  </si>
  <si>
    <t>RLHF, Vector Databases, MLflow, CUDA, SQL, Azure ML, Spark</t>
  </si>
  <si>
    <t>AIJOB02132</t>
  </si>
  <si>
    <t>Docker, Azure ML, RLHF, dbt, GCP Vertex AI, PyTorch</t>
  </si>
  <si>
    <t>AIJOB02133</t>
  </si>
  <si>
    <t>C++, RAG, MLflow, FastAPI, Weaviate, Vector Databases, Rust</t>
  </si>
  <si>
    <t>AIJOB02134</t>
  </si>
  <si>
    <t>AWS SageMaker, RLHF, FastAPI, Vector Databases, PyTorch, RAG, ChromaDB</t>
  </si>
  <si>
    <t>AIJOB02135</t>
  </si>
  <si>
    <t>ChromaDB, AWS SageMaker, Fine-tuning, Weights &amp; Biases, RLHF, Spark</t>
  </si>
  <si>
    <t>AIJOB02136</t>
  </si>
  <si>
    <t>MLflow, TensorFlow, LangChain, Weaviate</t>
  </si>
  <si>
    <t>AIJOB02137</t>
  </si>
  <si>
    <t>Pinecone, Rust, ChromaDB, RAG</t>
  </si>
  <si>
    <t>AIJOB02138</t>
  </si>
  <si>
    <t>Python, Rust, LangChain</t>
  </si>
  <si>
    <t>AIJOB02139</t>
  </si>
  <si>
    <t>ChromaDB, MLflow, RAG</t>
  </si>
  <si>
    <t>AIJOB02140</t>
  </si>
  <si>
    <t>JAX, Weights &amp; Biases, MLflow, ChromaDB, RAG</t>
  </si>
  <si>
    <t>AIJOB02141</t>
  </si>
  <si>
    <t>CUDA, Docker, OpenAI API, FastAPI</t>
  </si>
  <si>
    <t>AIJOB02142</t>
  </si>
  <si>
    <t>PyTorch, OpenAI API, dbt, TensorFlow, Python</t>
  </si>
  <si>
    <t>AIJOB02143</t>
  </si>
  <si>
    <t>SQL, PyTorch, Vector Databases, Docker, RAG, FastAPI, MLflow</t>
  </si>
  <si>
    <t>AIJOB02144</t>
  </si>
  <si>
    <t>dbt, Rust, Kubernetes, CUDA, Weights &amp; Biases, PyTorch, OpenAI API</t>
  </si>
  <si>
    <t>AIJOB02145</t>
  </si>
  <si>
    <t>Weaviate, FastAPI, TensorFlow, Weights &amp; Biases, PyTorch, dbt</t>
  </si>
  <si>
    <t>AIJOB02146</t>
  </si>
  <si>
    <t>OpenAI API, dbt, RAG, CUDA, Kubernetes, LangChain, ChromaDB</t>
  </si>
  <si>
    <t>AIJOB02147</t>
  </si>
  <si>
    <t>Python, PyTorch, Spark, RAG</t>
  </si>
  <si>
    <t>AIJOB02148</t>
  </si>
  <si>
    <t>TensorFlow, OpenAI API, Weights &amp; Biases</t>
  </si>
  <si>
    <t>AIJOB02149</t>
  </si>
  <si>
    <t>ChromaDB, Weights &amp; Biases, Weaviate, RAG, RLHF</t>
  </si>
  <si>
    <t>AIJOB02150</t>
  </si>
  <si>
    <t>C++, Vector Databases, Python, PyTorch</t>
  </si>
  <si>
    <t>AIJOB02151</t>
  </si>
  <si>
    <t>FastAPI, Weaviate, CUDA, AWS SageMaker, TensorFlow, Azure ML</t>
  </si>
  <si>
    <t>AIJOB02152</t>
  </si>
  <si>
    <t>Weaviate, SQL, Hugging Face Transformers, LlamaIndex, Kubernetes</t>
  </si>
  <si>
    <t>AIJOB02153</t>
  </si>
  <si>
    <t>SQL, Kubernetes, Rust, Azure ML</t>
  </si>
  <si>
    <t>AIJOB02154</t>
  </si>
  <si>
    <t>dbt, AWS SageMaker, Weights &amp; Biases, Vector Databases, Docker, Fine-tuning, FastAPI</t>
  </si>
  <si>
    <t>AIJOB02155</t>
  </si>
  <si>
    <t>Vector Databases, GCP Vertex AI, RAG, Weights &amp; Biases, AWS SageMaker, Azure ML, Python</t>
  </si>
  <si>
    <t>AIJOB02156</t>
  </si>
  <si>
    <t>Docker, Vector Databases, Fine-tuning, TensorFlow, ChromaDB</t>
  </si>
  <si>
    <t>AIJOB02157</t>
  </si>
  <si>
    <t>Weights &amp; Biases, ChromaDB, Fine-tuning, Kubernetes, OpenAI API</t>
  </si>
  <si>
    <t>AIJOB02158</t>
  </si>
  <si>
    <t>Weaviate, JAX, Spark, Vector Databases</t>
  </si>
  <si>
    <t>AIJOB02159</t>
  </si>
  <si>
    <t>Fine-tuning, Hugging Face Transformers, SQL, TensorFlow, Docker, Azure ML, ChromaDB</t>
  </si>
  <si>
    <t>AIJOB02160</t>
  </si>
  <si>
    <t>RAG, Fine-tuning, Azure ML, OpenAI API</t>
  </si>
  <si>
    <t>AIJOB02161</t>
  </si>
  <si>
    <t>Weaviate, Docker, CUDA, C++, Weights &amp; Biases, SQL, RAG</t>
  </si>
  <si>
    <t>AIJOB02162</t>
  </si>
  <si>
    <t>RLHF, JAX, Azure ML, RAG, TensorFlow, SQL, FastAPI</t>
  </si>
  <si>
    <t>AIJOB02163</t>
  </si>
  <si>
    <t>PyTorch, GCP Vertex AI, ChromaDB</t>
  </si>
  <si>
    <t>AIJOB02164</t>
  </si>
  <si>
    <t>Fine-tuning, LlamaIndex, CUDA, dbt, Weights &amp; Biases</t>
  </si>
  <si>
    <t>AIJOB02165</t>
  </si>
  <si>
    <t>JAX, MLflow, Azure ML, SQL</t>
  </si>
  <si>
    <t>AIJOB02166</t>
  </si>
  <si>
    <t>FastAPI, Spark, GCP Vertex AI, CUDA, Vector Databases, Pinecone</t>
  </si>
  <si>
    <t>AIJOB02167</t>
  </si>
  <si>
    <t>Weights &amp; Biases, Kubernetes, Fine-tuning, RAG, C++, Python, ChromaDB</t>
  </si>
  <si>
    <t>AIJOB02168</t>
  </si>
  <si>
    <t>Hugging Face Transformers, SQL, Weights &amp; Biases, FastAPI, C++, Python</t>
  </si>
  <si>
    <t>AIJOB02169</t>
  </si>
  <si>
    <t>SQL, AWS SageMaker, dbt, TensorFlow, Weights &amp; Biases</t>
  </si>
  <si>
    <t>AIJOB02170</t>
  </si>
  <si>
    <t>RLHF, dbt, PyTorch, Pinecone, CUDA, Rust, AWS SageMaker</t>
  </si>
  <si>
    <t>AIJOB02171</t>
  </si>
  <si>
    <t>PyTorch, FastAPI, RLHF, Weights &amp; Biases, MLflow</t>
  </si>
  <si>
    <t>AIJOB02172</t>
  </si>
  <si>
    <t>RLHF, Rust, Python, Hugging Face Transformers, Vector Databases, Pinecone, GCP Vertex AI</t>
  </si>
  <si>
    <t>AIJOB02173</t>
  </si>
  <si>
    <t>MLflow, OpenAI API, ChromaDB, PyTorch, Pinecone, Azure ML</t>
  </si>
  <si>
    <t>AIJOB02174</t>
  </si>
  <si>
    <t>Fine-tuning, GCP Vertex AI, dbt, JAX, PyTorch, RAG</t>
  </si>
  <si>
    <t>AIJOB02175</t>
  </si>
  <si>
    <t>Python, AWS SageMaker, PyTorch, Hugging Face Transformers, GCP Vertex AI</t>
  </si>
  <si>
    <t>AIJOB02176</t>
  </si>
  <si>
    <t>AWS SageMaker, FastAPI, Azure ML, Rust, Vector Databases, Spark, LlamaIndex</t>
  </si>
  <si>
    <t>AIJOB02177</t>
  </si>
  <si>
    <t>dbt, LangChain, Fine-tuning, FastAPI, JAX, CUDA, TensorFlow</t>
  </si>
  <si>
    <t>AIJOB02178</t>
  </si>
  <si>
    <t>GCP Vertex AI, Weaviate, AWS SageMaker, PyTorch, Spark</t>
  </si>
  <si>
    <t>AIJOB02179</t>
  </si>
  <si>
    <t>PyTorch, dbt, Kubernetes, Rust, Spark, RAG, OpenAI API</t>
  </si>
  <si>
    <t>AIJOB02180</t>
  </si>
  <si>
    <t>CUDA, Spark, dbt, Hugging Face Transformers, Docker</t>
  </si>
  <si>
    <t>AIJOB02181</t>
  </si>
  <si>
    <t>CUDA, FastAPI, Weaviate, Rust, Weights &amp; Biases, Fine-tuning, Vector Databases</t>
  </si>
  <si>
    <t>AIJOB02182</t>
  </si>
  <si>
    <t>Pinecone, LangChain, RAG, Fine-tuning, Weaviate, FastAPI, CUDA</t>
  </si>
  <si>
    <t>AIJOB02183</t>
  </si>
  <si>
    <t>Azure ML, RLHF, Kubernetes, LangChain</t>
  </si>
  <si>
    <t>AIJOB02184</t>
  </si>
  <si>
    <t>AWS SageMaker, Vector Databases, Docker, Azure ML, PyTorch, Weaviate, FastAPI</t>
  </si>
  <si>
    <t>AIJOB02185</t>
  </si>
  <si>
    <t>Docker, C++, FastAPI</t>
  </si>
  <si>
    <t>AIJOB02186</t>
  </si>
  <si>
    <t>AWS SageMaker, Weights &amp; Biases, Azure ML, Docker, TensorFlow, dbt, CUDA</t>
  </si>
  <si>
    <t>AIJOB02187</t>
  </si>
  <si>
    <t>RLHF, Kubernetes, SQL, RAG</t>
  </si>
  <si>
    <t>AIJOB02188</t>
  </si>
  <si>
    <t>Python, Rust, Hugging Face Transformers, Fine-tuning, MLflow</t>
  </si>
  <si>
    <t>AIJOB02189</t>
  </si>
  <si>
    <t>CUDA, MLflow, Azure ML</t>
  </si>
  <si>
    <t>AIJOB02190</t>
  </si>
  <si>
    <t>Spark, PyTorch, Pinecone, Docker, JAX, C++, Hugging Face Transformers</t>
  </si>
  <si>
    <t>AIJOB02191</t>
  </si>
  <si>
    <t>LlamaIndex, Fine-tuning, Vector Databases, Hugging Face Transformers</t>
  </si>
  <si>
    <t>AIJOB02192</t>
  </si>
  <si>
    <t>Weaviate, RLHF, Spark, MLflow, CUDA, AWS SageMaker</t>
  </si>
  <si>
    <t>AIJOB02193</t>
  </si>
  <si>
    <t>JAX, Python, dbt, GCP Vertex AI, Kubernetes, RAG, Spark</t>
  </si>
  <si>
    <t>AIJOB02194</t>
  </si>
  <si>
    <t>Kubernetes, AWS SageMaker, PyTorch, OpenAI API, Weaviate</t>
  </si>
  <si>
    <t>AIJOB02195</t>
  </si>
  <si>
    <t>Fine-tuning, LlamaIndex, Weaviate, PyTorch</t>
  </si>
  <si>
    <t>AIJOB02196</t>
  </si>
  <si>
    <t>ChromaDB, Vector Databases, Weaviate, LangChain</t>
  </si>
  <si>
    <t>AIJOB02197</t>
  </si>
  <si>
    <t>PyTorch, LlamaIndex, Fine-tuning, Spark, Hugging Face Transformers, CUDA</t>
  </si>
  <si>
    <t>AIJOB02198</t>
  </si>
  <si>
    <t>TensorFlow, PyTorch, Pinecone, AWS SageMaker</t>
  </si>
  <si>
    <t>AIJOB02199</t>
  </si>
  <si>
    <t>Spark, Azure ML, Hugging Face Transformers, Fine-tuning, Pinecone, RAG</t>
  </si>
  <si>
    <t>AIJOB02200</t>
  </si>
  <si>
    <t>TensorFlow, Docker, FastAPI, OpenAI API, ChromaDB, Python</t>
  </si>
  <si>
    <t>AIJOB02201</t>
  </si>
  <si>
    <t>AWS SageMaker, Pinecone, C++, GCP Vertex AI, Spark, RLHF</t>
  </si>
  <si>
    <t>AIJOB02202</t>
  </si>
  <si>
    <t>LlamaIndex, ChromaDB, RLHF, dbt</t>
  </si>
  <si>
    <t>AIJOB02203</t>
  </si>
  <si>
    <t>Pinecone, Weaviate, RAG</t>
  </si>
  <si>
    <t>AIJOB02204</t>
  </si>
  <si>
    <t>Kubernetes, Vector Databases, C++, Azure ML, Rust, Spark, Weights &amp; Biases</t>
  </si>
  <si>
    <t>AIJOB02205</t>
  </si>
  <si>
    <t>LangChain, Spark, JAX, TensorFlow</t>
  </si>
  <si>
    <t>AIJOB02206</t>
  </si>
  <si>
    <t>PyTorch, TensorFlow, AWS SageMaker</t>
  </si>
  <si>
    <t>AIJOB02207</t>
  </si>
  <si>
    <t>LlamaIndex, FastAPI, RAG, C++, Kubernetes</t>
  </si>
  <si>
    <t>AIJOB02208</t>
  </si>
  <si>
    <t>PyTorch, GCP Vertex AI, FastAPI, LangChain, SQL</t>
  </si>
  <si>
    <t>AIJOB02209</t>
  </si>
  <si>
    <t>Hugging Face Transformers, Rust, Fine-tuning, Kubernetes, Azure ML</t>
  </si>
  <si>
    <t>AIJOB02210</t>
  </si>
  <si>
    <t>Fine-tuning, GCP Vertex AI, Weights &amp; Biases, JAX, Python, Hugging Face Transformers</t>
  </si>
  <si>
    <t>AIJOB02211</t>
  </si>
  <si>
    <t>CUDA, dbt, SQL, C++, Vector Databases, MLflow</t>
  </si>
  <si>
    <t>AIJOB02212</t>
  </si>
  <si>
    <t>LangChain, Vector Databases, GCP Vertex AI, CUDA</t>
  </si>
  <si>
    <t>AIJOB02213</t>
  </si>
  <si>
    <t>RLHF, TensorFlow, Weights &amp; Biases, Vector Databases</t>
  </si>
  <si>
    <t>AIJOB02214</t>
  </si>
  <si>
    <t>OpenAI API, Docker, Python</t>
  </si>
  <si>
    <t>AIJOB02215</t>
  </si>
  <si>
    <t>Weaviate, Kubernetes, CUDA, TensorFlow</t>
  </si>
  <si>
    <t>AIJOB02216</t>
  </si>
  <si>
    <t>dbt, FastAPI, CUDA</t>
  </si>
  <si>
    <t>AIJOB02217</t>
  </si>
  <si>
    <t>Docker, FastAPI, MLflow, Hugging Face Transformers</t>
  </si>
  <si>
    <t>AIJOB02218</t>
  </si>
  <si>
    <t>Spark, Fine-tuning, JAX</t>
  </si>
  <si>
    <t>AIJOB02219</t>
  </si>
  <si>
    <t>LlamaIndex, Kubernetes, Docker, MLflow, Fine-tuning, RAG, GCP Vertex AI</t>
  </si>
  <si>
    <t>AIJOB02220</t>
  </si>
  <si>
    <t>Spark, C++, AWS SageMaker, LangChain, MLflow</t>
  </si>
  <si>
    <t>AIJOB02221</t>
  </si>
  <si>
    <t>Spark, Vector Databases, Weaviate</t>
  </si>
  <si>
    <t>AIJOB02222</t>
  </si>
  <si>
    <t>Kubernetes, Docker, MLflow, Azure ML</t>
  </si>
  <si>
    <t>AIJOB02223</t>
  </si>
  <si>
    <t>Rust, CUDA, GCP Vertex AI, PyTorch, Docker, Python</t>
  </si>
  <si>
    <t>AIJOB02224</t>
  </si>
  <si>
    <t>GCP Vertex AI, Weights &amp; Biases, Rust</t>
  </si>
  <si>
    <t>AIJOB02225</t>
  </si>
  <si>
    <t>Weights &amp; Biases, JAX, SQL, Spark</t>
  </si>
  <si>
    <t>AIJOB02226</t>
  </si>
  <si>
    <t>Pinecone, Weaviate, Weights &amp; Biases</t>
  </si>
  <si>
    <t>AIJOB02227</t>
  </si>
  <si>
    <t>FastAPI, C++, JAX, Hugging Face Transformers</t>
  </si>
  <si>
    <t>AIJOB02228</t>
  </si>
  <si>
    <t>Docker, TensorFlow, OpenAI API</t>
  </si>
  <si>
    <t>AIJOB02229</t>
  </si>
  <si>
    <t>Docker, Hugging Face Transformers, PyTorch, RLHF, SQL, Kubernetes, Vector Databases</t>
  </si>
  <si>
    <t>AIJOB02230</t>
  </si>
  <si>
    <t>Azure ML, MLflow, CUDA, Weights &amp; Biases, dbt</t>
  </si>
  <si>
    <t>AIJOB02231</t>
  </si>
  <si>
    <t>Fine-tuning, dbt, Rust</t>
  </si>
  <si>
    <t>AIJOB02232</t>
  </si>
  <si>
    <t>Hugging Face Transformers, CUDA, Docker</t>
  </si>
  <si>
    <t>AIJOB02233</t>
  </si>
  <si>
    <t>Vector Databases, Rust, Kubernetes, Pinecone, FastAPI, GCP Vertex AI, MLflow</t>
  </si>
  <si>
    <t>AIJOB02234</t>
  </si>
  <si>
    <t>Vector Databases, SQL, Hugging Face Transformers, LangChain</t>
  </si>
  <si>
    <t>AIJOB02235</t>
  </si>
  <si>
    <t>TensorFlow, RLHF, C++, Weaviate</t>
  </si>
  <si>
    <t>AIJOB02236</t>
  </si>
  <si>
    <t>RLHF, PyTorch, dbt, Docker</t>
  </si>
  <si>
    <t>AIJOB02237</t>
  </si>
  <si>
    <t>LlamaIndex, CUDA, OpenAI API, Docker, Weaviate, Weights &amp; Biases, LangChain</t>
  </si>
  <si>
    <t>AIJOB02238</t>
  </si>
  <si>
    <t>GCP Vertex AI, Pinecone, Vector Databases, Weights &amp; Biases</t>
  </si>
  <si>
    <t>AIJOB02239</t>
  </si>
  <si>
    <t>Spark, JAX, dbt</t>
  </si>
  <si>
    <t>AIJOB02240</t>
  </si>
  <si>
    <t>Kubernetes, Vector Databases, OpenAI API, Weights &amp; Biases, LangChain, C++, Docker</t>
  </si>
  <si>
    <t>AIJOB02241</t>
  </si>
  <si>
    <t>LlamaIndex, PyTorch, Python, AWS SageMaker, Azure ML, Pinecone, JAX</t>
  </si>
  <si>
    <t>AIJOB02242</t>
  </si>
  <si>
    <t>PyTorch, FastAPI, Fine-tuning, GCP Vertex AI, C++</t>
  </si>
  <si>
    <t>AIJOB02243</t>
  </si>
  <si>
    <t>SQL, Azure ML, Vector Databases</t>
  </si>
  <si>
    <t>AIJOB02244</t>
  </si>
  <si>
    <t>Weights &amp; Biases, MLflow, JAX, Weaviate, FastAPI, TensorFlow</t>
  </si>
  <si>
    <t>AIJOB02245</t>
  </si>
  <si>
    <t>Fine-tuning, Vector Databases, Rust, Docker, Python</t>
  </si>
  <si>
    <t>AIJOB02246</t>
  </si>
  <si>
    <t>AWS SageMaker, CUDA, PyTorch</t>
  </si>
  <si>
    <t>AIJOB02247</t>
  </si>
  <si>
    <t>Python, PyTorch, JAX</t>
  </si>
  <si>
    <t>AIJOB02248</t>
  </si>
  <si>
    <t>AWS SageMaker, JAX, Weaviate</t>
  </si>
  <si>
    <t>AIJOB02249</t>
  </si>
  <si>
    <t>Pinecone, LangChain, Hugging Face Transformers</t>
  </si>
  <si>
    <t>AIJOB02250</t>
  </si>
  <si>
    <t>CUDA, C++, TensorFlow, FastAPI, Vector Databases, Docker</t>
  </si>
  <si>
    <t>AIJOB02251</t>
  </si>
  <si>
    <t>LangChain, ChromaDB, RLHF, RAG</t>
  </si>
  <si>
    <t>AIJOB02252</t>
  </si>
  <si>
    <t>Docker, dbt, AWS SageMaker, TensorFlow</t>
  </si>
  <si>
    <t>AIJOB02253</t>
  </si>
  <si>
    <t>FastAPI, ChromaDB, RLHF, Weights &amp; Biases</t>
  </si>
  <si>
    <t>AIJOB02254</t>
  </si>
  <si>
    <t>GCP Vertex AI, CUDA, FastAPI, Weaviate, Docker, RAG</t>
  </si>
  <si>
    <t>AIJOB02255</t>
  </si>
  <si>
    <t>RLHF, Pinecone, PyTorch, GCP Vertex AI</t>
  </si>
  <si>
    <t>AIJOB02256</t>
  </si>
  <si>
    <t>MLflow, SQL, TensorFlow</t>
  </si>
  <si>
    <t>AIJOB02257</t>
  </si>
  <si>
    <t>FastAPI, CUDA, RLHF, GCP Vertex AI, ChromaDB, LangChain</t>
  </si>
  <si>
    <t>AIJOB02258</t>
  </si>
  <si>
    <t>Rust, RLHF, Vector Databases, C++, LangChain</t>
  </si>
  <si>
    <t>AIJOB02259</t>
  </si>
  <si>
    <t>SQL, AWS SageMaker, PyTorch, Spark, C++</t>
  </si>
  <si>
    <t>AIJOB02260</t>
  </si>
  <si>
    <t>Docker, Azure ML, GCP Vertex AI, Weights &amp; Biases, C++, MLflow, dbt</t>
  </si>
  <si>
    <t>AIJOB02261</t>
  </si>
  <si>
    <t>dbt, RLHF, Hugging Face Transformers</t>
  </si>
  <si>
    <t>AIJOB02262</t>
  </si>
  <si>
    <t>Weights &amp; Biases, JAX, Spark, Fine-tuning</t>
  </si>
  <si>
    <t>AIJOB02263</t>
  </si>
  <si>
    <t>C++, Rust, AWS SageMaker, OpenAI API, MLflow, Azure ML, PyTorch</t>
  </si>
  <si>
    <t>AIJOB02264</t>
  </si>
  <si>
    <t>AWS SageMaker, ChromaDB, TensorFlow, CUDA, LangChain, RAG</t>
  </si>
  <si>
    <t>AIJOB02265</t>
  </si>
  <si>
    <t>PyTorch, Vector Databases, SQL, Pinecone, LlamaIndex, OpenAI API, JAX</t>
  </si>
  <si>
    <t>AIJOB02266</t>
  </si>
  <si>
    <t>ChromaDB, CUDA, MLflow, Hugging Face Transformers, FastAPI, Docker</t>
  </si>
  <si>
    <t>AIJOB02267</t>
  </si>
  <si>
    <t>PyTorch, Kubernetes, TensorFlow, LangChain, Weaviate</t>
  </si>
  <si>
    <t>AIJOB02268</t>
  </si>
  <si>
    <t>Azure ML, SQL, RAG</t>
  </si>
  <si>
    <t>AIJOB02269</t>
  </si>
  <si>
    <t>JAX, Hugging Face Transformers, Pinecone, AWS SageMaker, RAG</t>
  </si>
  <si>
    <t>AIJOB02270</t>
  </si>
  <si>
    <t>ChromaDB, OpenAI API, C++, TensorFlow, RAG, Hugging Face Transformers</t>
  </si>
  <si>
    <t>AIJOB02271</t>
  </si>
  <si>
    <t>FastAPI, MLflow, Vector Databases, ChromaDB, Kubernetes, Weights &amp; Biases</t>
  </si>
  <si>
    <t>AIJOB02272</t>
  </si>
  <si>
    <t>RAG, SQL, TensorFlow, PyTorch, AWS SageMaker, Python, RLHF</t>
  </si>
  <si>
    <t>AIJOB02273</t>
  </si>
  <si>
    <t>Python, Docker, TensorFlow, MLflow, JAX</t>
  </si>
  <si>
    <t>AIJOB02274</t>
  </si>
  <si>
    <t>SQL, RAG, Kubernetes, Rust, Azure ML</t>
  </si>
  <si>
    <t>AIJOB02275</t>
  </si>
  <si>
    <t>C++, Kubernetes, Vector Databases</t>
  </si>
  <si>
    <t>AIJOB02276</t>
  </si>
  <si>
    <t>LangChain, MLflow, CUDA, RLHF</t>
  </si>
  <si>
    <t>AIJOB02277</t>
  </si>
  <si>
    <t>SQL, CUDA, Hugging Face Transformers, C++, Weights &amp; Biases, dbt, Docker</t>
  </si>
  <si>
    <t>AIJOB02278</t>
  </si>
  <si>
    <t>GCP Vertex AI, Weaviate, Weights &amp; Biases, PyTorch</t>
  </si>
  <si>
    <t>AIJOB02279</t>
  </si>
  <si>
    <t>SQL, JAX, C++, Spark, Fine-tuning</t>
  </si>
  <si>
    <t>AIJOB02280</t>
  </si>
  <si>
    <t>Docker, Pinecone, C++, JAX, GCP Vertex AI</t>
  </si>
  <si>
    <t>AIJOB02281</t>
  </si>
  <si>
    <t>GCP Vertex AI, CUDA, Docker, LangChain, Weights &amp; Biases, Pinecone</t>
  </si>
  <si>
    <t>AIJOB02282</t>
  </si>
  <si>
    <t>Hugging Face Transformers, RAG, Vector Databases, Weights &amp; Biases, Weaviate, CUDA, GCP Vertex AI</t>
  </si>
  <si>
    <t>AIJOB02283</t>
  </si>
  <si>
    <t>AIJOB02284</t>
  </si>
  <si>
    <t>PyTorch, AWS SageMaker, LlamaIndex, Docker, TensorFlow, Fine-tuning</t>
  </si>
  <si>
    <t>AIJOB02285</t>
  </si>
  <si>
    <t>Weaviate, TensorFlow, Docker, Kubernetes, Fine-tuning, Azure ML</t>
  </si>
  <si>
    <t>AIJOB02286</t>
  </si>
  <si>
    <t>Fine-tuning, Python, TensorFlow, MLflow, RLHF, Azure ML</t>
  </si>
  <si>
    <t>AIJOB02287</t>
  </si>
  <si>
    <t>Spark, Fine-tuning, Vector Databases, C++, PyTorch, CUDA, Weights &amp; Biases</t>
  </si>
  <si>
    <t>AIJOB02288</t>
  </si>
  <si>
    <t>Hugging Face Transformers, RLHF, Weights &amp; Biases, Azure ML, SQL</t>
  </si>
  <si>
    <t>AIJOB02289</t>
  </si>
  <si>
    <t>Rust, AWS SageMaker, MLflow, RLHF, Spark</t>
  </si>
  <si>
    <t>AIJOB02290</t>
  </si>
  <si>
    <t>LangChain, Weights &amp; Biases, Python, Weaviate, Rust, PyTorch</t>
  </si>
  <si>
    <t>AIJOB02291</t>
  </si>
  <si>
    <t>SQL, Azure ML, JAX, LangChain, GCP Vertex AI</t>
  </si>
  <si>
    <t>AIJOB02292</t>
  </si>
  <si>
    <t>FastAPI, Azure ML, Kubernetes, CUDA</t>
  </si>
  <si>
    <t>AIJOB02293</t>
  </si>
  <si>
    <t>Weaviate, Rust, RLHF, OpenAI API, Spark, JAX</t>
  </si>
  <si>
    <t>AIJOB02294</t>
  </si>
  <si>
    <t>Kubernetes, CUDA, MLflow, FastAPI, Rust</t>
  </si>
  <si>
    <t>AIJOB02295</t>
  </si>
  <si>
    <t>Vector Databases, Azure ML, SQL, Rust</t>
  </si>
  <si>
    <t>AIJOB02296</t>
  </si>
  <si>
    <t>Fine-tuning, Docker, Azure ML, LangChain, OpenAI API, Python</t>
  </si>
  <si>
    <t>AIJOB02297</t>
  </si>
  <si>
    <t>FastAPI, Python, Weaviate, AWS SageMaker, Hugging Face Transformers, Vector Databases, Rust</t>
  </si>
  <si>
    <t>AIJOB02298</t>
  </si>
  <si>
    <t>LangChain, OpenAI API, GCP Vertex AI</t>
  </si>
  <si>
    <t>AIJOB02299</t>
  </si>
  <si>
    <t>Python, Azure ML, Weights &amp; Biases, TensorFlow, AWS SageMaker, LangChain, LlamaIndex</t>
  </si>
  <si>
    <t>AIJOB02300</t>
  </si>
  <si>
    <t>Fine-tuning, MLflow, SQL, LlamaIndex, FastAPI, RAG</t>
  </si>
  <si>
    <t>AIJOB02301</t>
  </si>
  <si>
    <t>Azure ML, Fine-tuning, OpenAI API</t>
  </si>
  <si>
    <t>AIJOB02302</t>
  </si>
  <si>
    <t>Kubernetes, Fine-tuning, RAG, ChromaDB, AWS SageMaker, OpenAI API, CUDA</t>
  </si>
  <si>
    <t>AIJOB02303</t>
  </si>
  <si>
    <t>PyTorch, FastAPI, Weaviate, ChromaDB, GCP Vertex AI</t>
  </si>
  <si>
    <t>AIJOB02304</t>
  </si>
  <si>
    <t>LlamaIndex, OpenAI API, Python</t>
  </si>
  <si>
    <t>AIJOB02305</t>
  </si>
  <si>
    <t>Vector Databases, Python, Docker, FastAPI</t>
  </si>
  <si>
    <t>AIJOB02306</t>
  </si>
  <si>
    <t>SQL, Fine-tuning, CUDA, OpenAI API, C++, Pinecone, Python</t>
  </si>
  <si>
    <t>AIJOB02307</t>
  </si>
  <si>
    <t>Hugging Face Transformers, AWS SageMaker, RLHF, Vector Databases, PyTorch, Spark, dbt</t>
  </si>
  <si>
    <t>AIJOB02308</t>
  </si>
  <si>
    <t>Weaviate, ChromaDB, RAG, Python, Rust, C++</t>
  </si>
  <si>
    <t>AIJOB02309</t>
  </si>
  <si>
    <t>Hugging Face Transformers, Weaviate, dbt, Docker, RAG</t>
  </si>
  <si>
    <t>AIJOB02310</t>
  </si>
  <si>
    <t>PyTorch, Pinecone, OpenAI API, Docker, Weaviate, Weights &amp; Biases, Python</t>
  </si>
  <si>
    <t>AIJOB02311</t>
  </si>
  <si>
    <t>Weaviate, RAG, MLflow, RLHF, Weights &amp; Biases</t>
  </si>
  <si>
    <t>AIJOB02312</t>
  </si>
  <si>
    <t>JAX, ChromaDB, Vector Databases, Spark, dbt, AWS SageMaker, Kubernetes</t>
  </si>
  <si>
    <t>AIJOB02313</t>
  </si>
  <si>
    <t>Pinecone, Vector Databases, Python, AWS SageMaker, TensorFlow, GCP Vertex AI, Weights &amp; Biases</t>
  </si>
  <si>
    <t>AIJOB02314</t>
  </si>
  <si>
    <t>Weights &amp; Biases, Docker, Kubernetes, OpenAI API, C++</t>
  </si>
  <si>
    <t>AIJOB02315</t>
  </si>
  <si>
    <t>Docker, MLflow, RAG, JAX, Python, LangChain, GCP Vertex AI</t>
  </si>
  <si>
    <t>AIJOB02316</t>
  </si>
  <si>
    <t>RAG, RLHF, Hugging Face Transformers, SQL, C++, ChromaDB</t>
  </si>
  <si>
    <t>AIJOB02317</t>
  </si>
  <si>
    <t>MLflow, Kubernetes, Weaviate, Fine-tuning, dbt, C++</t>
  </si>
  <si>
    <t>AIJOB02318</t>
  </si>
  <si>
    <t>Fine-tuning, JAX, TensorFlow, PyTorch, Kubernetes, Azure ML, RAG</t>
  </si>
  <si>
    <t>AIJOB02319</t>
  </si>
  <si>
    <t>Python, Spark, RAG, PyTorch, Weights &amp; Biases</t>
  </si>
  <si>
    <t>AIJOB02320</t>
  </si>
  <si>
    <t>RAG, Azure ML, C++, dbt, ChromaDB, GCP Vertex AI</t>
  </si>
  <si>
    <t>AIJOB02321</t>
  </si>
  <si>
    <t>Hugging Face Transformers, C++, MLflow, LlamaIndex, GCP Vertex AI</t>
  </si>
  <si>
    <t>AIJOB02322</t>
  </si>
  <si>
    <t>C++, FastAPI, JAX, RAG, ChromaDB</t>
  </si>
  <si>
    <t>AIJOB02323</t>
  </si>
  <si>
    <t>PyTorch, Python, Fine-tuning, Docker, Hugging Face Transformers</t>
  </si>
  <si>
    <t>AIJOB02324</t>
  </si>
  <si>
    <t>JAX, Vector Databases, dbt, Docker, TensorFlow, FastAPI</t>
  </si>
  <si>
    <t>AIJOB02325</t>
  </si>
  <si>
    <t>PyTorch, Docker, Weights &amp; Biases, TensorFlow</t>
  </si>
  <si>
    <t>AIJOB02326</t>
  </si>
  <si>
    <t>Spark, LlamaIndex, SQL, Vector Databases</t>
  </si>
  <si>
    <t>AIJOB02327</t>
  </si>
  <si>
    <t>RLHF, LlamaIndex, Docker, Spark, Rust, RAG</t>
  </si>
  <si>
    <t>AIJOB02328</t>
  </si>
  <si>
    <t>RLHF, Weaviate, AWS SageMaker, C++, Hugging Face Transformers, SQL, Pinecone</t>
  </si>
  <si>
    <t>AIJOB02329</t>
  </si>
  <si>
    <t>AWS SageMaker, Pinecone, ChromaDB, TensorFlow</t>
  </si>
  <si>
    <t>AIJOB02330</t>
  </si>
  <si>
    <t>FastAPI, Kubernetes, AWS SageMaker, OpenAI API</t>
  </si>
  <si>
    <t>AIJOB02331</t>
  </si>
  <si>
    <t>Kubernetes, GCP Vertex AI, RLHF, Weaviate, Weights &amp; Biases</t>
  </si>
  <si>
    <t>AIJOB02332</t>
  </si>
  <si>
    <t>LangChain, dbt, Pinecone, TensorFlow</t>
  </si>
  <si>
    <t>AIJOB02333</t>
  </si>
  <si>
    <t>SQL, Azure ML, Spark</t>
  </si>
  <si>
    <t>AIJOB02334</t>
  </si>
  <si>
    <t>FastAPI, Vector Databases, SQL</t>
  </si>
  <si>
    <t>AIJOB02335</t>
  </si>
  <si>
    <t>SQL, ChromaDB, Fine-tuning, C++</t>
  </si>
  <si>
    <t>AIJOB02336</t>
  </si>
  <si>
    <t>LlamaIndex, Pinecone, Hugging Face Transformers, RAG, JAX, Weights &amp; Biases, SQL</t>
  </si>
  <si>
    <t>AIJOB02337</t>
  </si>
  <si>
    <t>OpenAI API, TensorFlow, Spark, RLHF</t>
  </si>
  <si>
    <t>AIJOB02338</t>
  </si>
  <si>
    <t>LangChain, Rust, Python, PyTorch</t>
  </si>
  <si>
    <t>AIJOB02339</t>
  </si>
  <si>
    <t>GCP Vertex AI, Kubernetes, Pinecone, JAX</t>
  </si>
  <si>
    <t>AIJOB02340</t>
  </si>
  <si>
    <t>C++, dbt, Hugging Face Transformers, MLflow, Vector Databases, AWS SageMaker, CUDA</t>
  </si>
  <si>
    <t>AIJOB02341</t>
  </si>
  <si>
    <t>Vector Databases, LlamaIndex, dbt, Python, RLHF, GCP Vertex AI, FastAPI</t>
  </si>
  <si>
    <t>AIJOB02342</t>
  </si>
  <si>
    <t>Hugging Face Transformers, Spark, Docker, dbt, OpenAI API, Weaviate</t>
  </si>
  <si>
    <t>AIJOB02343</t>
  </si>
  <si>
    <t>dbt, LangChain, JAX, Weaviate, LlamaIndex</t>
  </si>
  <si>
    <t>AIJOB02344</t>
  </si>
  <si>
    <t>Fine-tuning, TensorFlow, SQL, Rust, RAG</t>
  </si>
  <si>
    <t>AIJOB02345</t>
  </si>
  <si>
    <t>RLHF, RAG, MLflow, AWS SageMaker, Azure ML</t>
  </si>
  <si>
    <t>AIJOB02346</t>
  </si>
  <si>
    <t>Python, Rust, FastAPI, CUDA, Weights &amp; Biases, LlamaIndex, Kubernetes</t>
  </si>
  <si>
    <t>AIJOB02347</t>
  </si>
  <si>
    <t>Kubernetes, CUDA, C++, JAX, RLHF</t>
  </si>
  <si>
    <t>AIJOB02348</t>
  </si>
  <si>
    <t>Rust, Spark, RAG, LangChain, Azure ML, PyTorch, Vector Databases</t>
  </si>
  <si>
    <t>AIJOB02349</t>
  </si>
  <si>
    <t>Spark, CUDA, dbt, Vector Databases, RLHF, SQL, Fine-tuning</t>
  </si>
  <si>
    <t>AIJOB02350</t>
  </si>
  <si>
    <t>CUDA, LlamaIndex, SQL</t>
  </si>
  <si>
    <t>AIJOB02351</t>
  </si>
  <si>
    <t>SQL, RAG, Pinecone, Weights &amp; Biases, Weaviate</t>
  </si>
  <si>
    <t>AIJOB02352</t>
  </si>
  <si>
    <t>C++, GCP Vertex AI, ChromaDB, Azure ML, Python, LangChain</t>
  </si>
  <si>
    <t>AIJOB02353</t>
  </si>
  <si>
    <t>Hugging Face Transformers, AWS SageMaker, FastAPI, RAG, CUDA, SQL, Spark</t>
  </si>
  <si>
    <t>AIJOB02354</t>
  </si>
  <si>
    <t>Spark, Kubernetes, Vector Databases, Weaviate, TensorFlow, CUDA</t>
  </si>
  <si>
    <t>AIJOB02355</t>
  </si>
  <si>
    <t>SQL, Docker, PyTorch, FastAPI, Azure ML</t>
  </si>
  <si>
    <t>AIJOB02356</t>
  </si>
  <si>
    <t>Rust, C++, Weaviate, SQL, PyTorch, Python</t>
  </si>
  <si>
    <t>AIJOB02357</t>
  </si>
  <si>
    <t>dbt, LlamaIndex, C++, SQL, Docker, Hugging Face Transformers</t>
  </si>
  <si>
    <t>AIJOB02358</t>
  </si>
  <si>
    <t>MLflow, GCP Vertex AI, JAX, Vector Databases, Hugging Face Transformers, AWS SageMaker, Python</t>
  </si>
  <si>
    <t>AIJOB02359</t>
  </si>
  <si>
    <t>Spark, RLHF, Fine-tuning, Docker, LangChain</t>
  </si>
  <si>
    <t>AIJOB02360</t>
  </si>
  <si>
    <t>C++, LlamaIndex, CUDA, RLHF, FastAPI, Vector Databases, MLflow</t>
  </si>
  <si>
    <t>AIJOB02361</t>
  </si>
  <si>
    <t>Weaviate, Rust, Hugging Face Transformers, TensorFlow, Kubernetes</t>
  </si>
  <si>
    <t>AIJOB02362</t>
  </si>
  <si>
    <t>Azure ML, Rust, Kubernetes, Hugging Face Transformers, JAX</t>
  </si>
  <si>
    <t>AIJOB02363</t>
  </si>
  <si>
    <t>MLflow, LlamaIndex, LangChain, Weights &amp; Biases, OpenAI API</t>
  </si>
  <si>
    <t>AIJOB02364</t>
  </si>
  <si>
    <t>CUDA, MLflow, GCP Vertex AI, FastAPI, Weights &amp; Biases</t>
  </si>
  <si>
    <t>AIJOB02365</t>
  </si>
  <si>
    <t>OpenAI API, CUDA, Weights &amp; Biases, C++, RLHF, Python, Fine-tuning</t>
  </si>
  <si>
    <t>AIJOB02366</t>
  </si>
  <si>
    <t>MLflow, dbt, TensorFlow, Fine-tuning</t>
  </si>
  <si>
    <t>AIJOB02367</t>
  </si>
  <si>
    <t>RLHF, Vector Databases, GCP Vertex AI, FastAPI, RAG</t>
  </si>
  <si>
    <t>AIJOB02368</t>
  </si>
  <si>
    <t>Kubernetes, Pinecone, Hugging Face Transformers, Weaviate, ChromaDB</t>
  </si>
  <si>
    <t>AIJOB02369</t>
  </si>
  <si>
    <t>Rust, AWS SageMaker, GCP Vertex AI, LangChain, Hugging Face Transformers</t>
  </si>
  <si>
    <t>AIJOB02370</t>
  </si>
  <si>
    <t>TensorFlow, Weaviate, dbt, RAG, PyTorch, Weights &amp; Biases</t>
  </si>
  <si>
    <t>AIJOB02371</t>
  </si>
  <si>
    <t>ChromaDB, Pinecone, Weights &amp; Biases, RAG</t>
  </si>
  <si>
    <t>AIJOB02372</t>
  </si>
  <si>
    <t>Hugging Face Transformers, GCP Vertex AI, Spark, PyTorch, dbt, ChromaDB</t>
  </si>
  <si>
    <t>AIJOB02373</t>
  </si>
  <si>
    <t>RLHF, LangChain, AWS SageMaker</t>
  </si>
  <si>
    <t>AIJOB02374</t>
  </si>
  <si>
    <t>Rust, C++, Vector Databases, LlamaIndex</t>
  </si>
  <si>
    <t>AIJOB02375</t>
  </si>
  <si>
    <t>Rust, AWS SageMaker, Kubernetes</t>
  </si>
  <si>
    <t>AIJOB02376</t>
  </si>
  <si>
    <t>TensorFlow, Rust, Pinecone</t>
  </si>
  <si>
    <t>AIJOB02377</t>
  </si>
  <si>
    <t>Python, OpenAI API, PyTorch, LlamaIndex, dbt, CUDA</t>
  </si>
  <si>
    <t>AIJOB02378</t>
  </si>
  <si>
    <t>Python, Fine-tuning, OpenAI API, CUDA</t>
  </si>
  <si>
    <t>AIJOB02379</t>
  </si>
  <si>
    <t>JAX, C++, TensorFlow</t>
  </si>
  <si>
    <t>AIJOB02380</t>
  </si>
  <si>
    <t>CUDA, ChromaDB, Spark</t>
  </si>
  <si>
    <t>AIJOB02381</t>
  </si>
  <si>
    <t>JAX, Vector Databases, Hugging Face Transformers, PyTorch</t>
  </si>
  <si>
    <t>AIJOB02382</t>
  </si>
  <si>
    <t>LangChain, RAG, MLflow</t>
  </si>
  <si>
    <t>AIJOB02383</t>
  </si>
  <si>
    <t>Python, ChromaDB, RAG, RLHF</t>
  </si>
  <si>
    <t>AIJOB02384</t>
  </si>
  <si>
    <t>Kubernetes, Rust, RAG</t>
  </si>
  <si>
    <t>AIJOB02385</t>
  </si>
  <si>
    <t>dbt, RAG, Vector Databases, Azure ML</t>
  </si>
  <si>
    <t>AIJOB02386</t>
  </si>
  <si>
    <t>MLflow, dbt, Weights &amp; Biases, JAX, AWS SageMaker, RAG, FastAPI</t>
  </si>
  <si>
    <t>AIJOB02387</t>
  </si>
  <si>
    <t>LangChain, CUDA, Vector Databases, FastAPI, Azure ML, PyTorch, RLHF</t>
  </si>
  <si>
    <t>AIJOB02388</t>
  </si>
  <si>
    <t>dbt, LlamaIndex, Spark, Pinecone</t>
  </si>
  <si>
    <t>AIJOB02389</t>
  </si>
  <si>
    <t>Vector Databases, TensorFlow, Python, Kubernetes, RAG, dbt, GCP Vertex AI</t>
  </si>
  <si>
    <t>AIJOB02390</t>
  </si>
  <si>
    <t>Azure ML, ChromaDB, Python, Weaviate, PyTorch</t>
  </si>
  <si>
    <t>AIJOB02391</t>
  </si>
  <si>
    <t>Spark, TensorFlow, PyTorch, Rust, SQL, Python</t>
  </si>
  <si>
    <t>AIJOB02392</t>
  </si>
  <si>
    <t>Vector Databases, PyTorch, Rust</t>
  </si>
  <si>
    <t>AIJOB02393</t>
  </si>
  <si>
    <t>ChromaDB, Azure ML, AWS SageMaker</t>
  </si>
  <si>
    <t>AIJOB02394</t>
  </si>
  <si>
    <t>OpenAI API, SQL, JAX, C++, FastAPI, CUDA</t>
  </si>
  <si>
    <t>AIJOB02395</t>
  </si>
  <si>
    <t>C++, Vector Databases, RAG, Docker, RLHF, Weaviate</t>
  </si>
  <si>
    <t>AIJOB02396</t>
  </si>
  <si>
    <t>RLHF, JAX, Python, ChromaDB, Hugging Face Transformers</t>
  </si>
  <si>
    <t>AIJOB02397</t>
  </si>
  <si>
    <t>dbt, CUDA, Weights &amp; Biases, Weaviate</t>
  </si>
  <si>
    <t>AIJOB02398</t>
  </si>
  <si>
    <t>CUDA, GCP Vertex AI, OpenAI API</t>
  </si>
  <si>
    <t>AIJOB02399</t>
  </si>
  <si>
    <t>LlamaIndex, MLflow, CUDA, TensorFlow, ChromaDB, Spark, LangChain</t>
  </si>
  <si>
    <t>AIJOB02400</t>
  </si>
  <si>
    <t>LangChain, AWS SageMaker, Kubernetes, Pinecone, RLHF, Fine-tuning, Vector Databases</t>
  </si>
  <si>
    <t>AIJOB02401</t>
  </si>
  <si>
    <t>Weights &amp; Biases, Fine-tuning, Kubernetes, Hugging Face Transformers</t>
  </si>
  <si>
    <t>AIJOB02402</t>
  </si>
  <si>
    <t>dbt, Rust, LangChain, Docker, TensorFlow</t>
  </si>
  <si>
    <t>AIJOB02403</t>
  </si>
  <si>
    <t>Spark, Weights &amp; Biases, Fine-tuning</t>
  </si>
  <si>
    <t>AIJOB02404</t>
  </si>
  <si>
    <t>Kubernetes, Weaviate, PyTorch, TensorFlow, OpenAI API, Rust</t>
  </si>
  <si>
    <t>AIJOB02405</t>
  </si>
  <si>
    <t>RLHF, RAG, JAX, Hugging Face Transformers, Python</t>
  </si>
  <si>
    <t>AIJOB02406</t>
  </si>
  <si>
    <t>Spark, LangChain, FastAPI</t>
  </si>
  <si>
    <t>AIJOB02407</t>
  </si>
  <si>
    <t>AWS SageMaker, Weaviate, dbt</t>
  </si>
  <si>
    <t>AIJOB02408</t>
  </si>
  <si>
    <t>AWS SageMaker, RAG, Rust, MLflow</t>
  </si>
  <si>
    <t>AIJOB02409</t>
  </si>
  <si>
    <t>TensorFlow, Docker, ChromaDB, OpenAI API</t>
  </si>
  <si>
    <t>AIJOB02410</t>
  </si>
  <si>
    <t>Rust, Weights &amp; Biases, Kubernetes, Docker, ChromaDB, LangChain, Spark</t>
  </si>
  <si>
    <t>AIJOB02411</t>
  </si>
  <si>
    <t>JAX, MLflow, Hugging Face Transformers, Spark</t>
  </si>
  <si>
    <t>AIJOB02412</t>
  </si>
  <si>
    <t>RAG, Vector Databases, TensorFlow, Fine-tuning</t>
  </si>
  <si>
    <t>AIJOB02413</t>
  </si>
  <si>
    <t>Pinecone, TensorFlow, Python, GCP Vertex AI, MLflow</t>
  </si>
  <si>
    <t>AIJOB02414</t>
  </si>
  <si>
    <t>FastAPI, Weaviate, JAX</t>
  </si>
  <si>
    <t>AIJOB02415</t>
  </si>
  <si>
    <t>FastAPI, Hugging Face Transformers, PyTorch, RLHF</t>
  </si>
  <si>
    <t>AIJOB02416</t>
  </si>
  <si>
    <t>Docker, RAG, Vector Databases, PyTorch, TensorFlow, JAX, MLflow</t>
  </si>
  <si>
    <t>AIJOB02417</t>
  </si>
  <si>
    <t>AWS SageMaker, Weaviate, RLHF, Pinecone</t>
  </si>
  <si>
    <t>AIJOB02418</t>
  </si>
  <si>
    <t>SQL, JAX, Spark, dbt</t>
  </si>
  <si>
    <t>AIJOB02419</t>
  </si>
  <si>
    <t>MLflow, Kubernetes, dbt, CUDA, Vector Databases, Weights &amp; Biases</t>
  </si>
  <si>
    <t>AIJOB02420</t>
  </si>
  <si>
    <t>GCP Vertex AI, Pinecone, Kubernetes, Fine-tuning, TensorFlow</t>
  </si>
  <si>
    <t>AIJOB02421</t>
  </si>
  <si>
    <t>Python, Hugging Face Transformers, Azure ML, C++, CUDA</t>
  </si>
  <si>
    <t>AIJOB02422</t>
  </si>
  <si>
    <t>OpenAI API, FastAPI, Hugging Face Transformers, ChromaDB, AWS SageMaker, Python</t>
  </si>
  <si>
    <t>AIJOB02423</t>
  </si>
  <si>
    <t>CUDA, LangChain, Python, Pinecone, Fine-tuning</t>
  </si>
  <si>
    <t>AIJOB02424</t>
  </si>
  <si>
    <t>PyTorch, Hugging Face Transformers, dbt, Vector Databases, Rust</t>
  </si>
  <si>
    <t>AIJOB02425</t>
  </si>
  <si>
    <t>Weaviate, TensorFlow, Python, dbt</t>
  </si>
  <si>
    <t>AIJOB02426</t>
  </si>
  <si>
    <t>FastAPI, Python, Weights &amp; Biases</t>
  </si>
  <si>
    <t>AIJOB02427</t>
  </si>
  <si>
    <t>RLHF, MLflow, ChromaDB, TensorFlow, Pinecone, Rust, AWS SageMaker</t>
  </si>
  <si>
    <t>AIJOB02428</t>
  </si>
  <si>
    <t>Python, Azure ML, OpenAI API, Kubernetes, Pinecone, Weaviate</t>
  </si>
  <si>
    <t>AIJOB02429</t>
  </si>
  <si>
    <t>LangChain, AWS SageMaker, Spark, Python, OpenAI API</t>
  </si>
  <si>
    <t>AIJOB02430</t>
  </si>
  <si>
    <t>Spark, Weights &amp; Biases, JAX, SQL</t>
  </si>
  <si>
    <t>AIJOB02431</t>
  </si>
  <si>
    <t>PyTorch, Vector Databases, Hugging Face Transformers</t>
  </si>
  <si>
    <t>AIJOB02432</t>
  </si>
  <si>
    <t>LangChain, Rust, PyTorch, AWS SageMaker, Kubernetes</t>
  </si>
  <si>
    <t>AIJOB02433</t>
  </si>
  <si>
    <t>TensorFlow, ChromaDB, Fine-tuning, Vector Databases, GCP Vertex AI, FastAPI</t>
  </si>
  <si>
    <t>AIJOB02434</t>
  </si>
  <si>
    <t>LlamaIndex, RAG, C++, ChromaDB, RLHF, CUDA, Rust</t>
  </si>
  <si>
    <t>AIJOB02435</t>
  </si>
  <si>
    <t>Pinecone, Fine-tuning, Kubernetes, ChromaDB, TensorFlow, AWS SageMaker</t>
  </si>
  <si>
    <t>AIJOB02436</t>
  </si>
  <si>
    <t>AWS SageMaker, Docker, GCP Vertex AI, Weights &amp; Biases, LlamaIndex</t>
  </si>
  <si>
    <t>AIJOB02437</t>
  </si>
  <si>
    <t>Kubernetes, SQL, LangChain, Docker, RAG, Python, JAX</t>
  </si>
  <si>
    <t>AIJOB02438</t>
  </si>
  <si>
    <t>JAX, Weights &amp; Biases, Vector Databases</t>
  </si>
  <si>
    <t>AIJOB02439</t>
  </si>
  <si>
    <t>C++, Kubernetes, TensorFlow, FastAPI, Vector Databases, Rust</t>
  </si>
  <si>
    <t>AIJOB02440</t>
  </si>
  <si>
    <t>LangChain, Kubernetes, Python, OpenAI API, LlamaIndex, Weights &amp; Biases, Fine-tuning</t>
  </si>
  <si>
    <t>AIJOB02441</t>
  </si>
  <si>
    <t>C++, Docker, ChromaDB, Spark</t>
  </si>
  <si>
    <t>AIJOB02442</t>
  </si>
  <si>
    <t>Python, JAX, Rust, dbt, ChromaDB, Hugging Face Transformers, CUDA</t>
  </si>
  <si>
    <t>AIJOB02443</t>
  </si>
  <si>
    <t>LlamaIndex, Rust, AWS SageMaker, Python, Docker</t>
  </si>
  <si>
    <t>AIJOB02444</t>
  </si>
  <si>
    <t>Weights &amp; Biases, CUDA, OpenAI API, Rust, Kubernetes, FastAPI, JAX</t>
  </si>
  <si>
    <t>AIJOB02445</t>
  </si>
  <si>
    <t>JAX, ChromaDB, C++, MLflow</t>
  </si>
  <si>
    <t>AIJOB02446</t>
  </si>
  <si>
    <t>OpenAI API, Docker, Spark, Fine-tuning</t>
  </si>
  <si>
    <t>AIJOB02447</t>
  </si>
  <si>
    <t>AWS SageMaker, dbt, PyTorch, TensorFlow, CUDA</t>
  </si>
  <si>
    <t>AIJOB02448</t>
  </si>
  <si>
    <t>LlamaIndex, C++, Weaviate, dbt, Fine-tuning, Weights &amp; Biases</t>
  </si>
  <si>
    <t>AIJOB02449</t>
  </si>
  <si>
    <t>RLHF, dbt, Docker</t>
  </si>
  <si>
    <t>AIJOB02450</t>
  </si>
  <si>
    <t>PyTorch, RAG, SQL, Python</t>
  </si>
  <si>
    <t>AIJOB02451</t>
  </si>
  <si>
    <t>RAG, AWS SageMaker, Kubernetes, FastAPI, SQL</t>
  </si>
  <si>
    <t>AIJOB02452</t>
  </si>
  <si>
    <t>Weaviate, Vector Databases, Kubernetes, Python, GCP Vertex AI, dbt</t>
  </si>
  <si>
    <t>AIJOB02453</t>
  </si>
  <si>
    <t>FastAPI, MLflow, Azure ML, Weights &amp; Biases, RAG</t>
  </si>
  <si>
    <t>AIJOB02454</t>
  </si>
  <si>
    <t>OpenAI API, TensorFlow, Python, ChromaDB, dbt</t>
  </si>
  <si>
    <t>AIJOB02455</t>
  </si>
  <si>
    <t>Kubernetes, SQL, RLHF, Pinecone, OpenAI API, Python, dbt</t>
  </si>
  <si>
    <t>AIJOB02456</t>
  </si>
  <si>
    <t>dbt, GCP Vertex AI, Weights &amp; Biases, RAG</t>
  </si>
  <si>
    <t>AIJOB02457</t>
  </si>
  <si>
    <t>PyTorch, Vector Databases, GCP Vertex AI, JAX</t>
  </si>
  <si>
    <t>AIJOB02458</t>
  </si>
  <si>
    <t>Vector Databases, OpenAI API, SQL, Hugging Face Transformers, PyTorch</t>
  </si>
  <si>
    <t>AIJOB02459</t>
  </si>
  <si>
    <t>FastAPI, RAG, Vector Databases, Hugging Face Transformers</t>
  </si>
  <si>
    <t>AIJOB02460</t>
  </si>
  <si>
    <t>Vector Databases, MLflow, ChromaDB</t>
  </si>
  <si>
    <t>AIJOB02461</t>
  </si>
  <si>
    <t>Spark, CUDA, Pinecone</t>
  </si>
  <si>
    <t>AIJOB02462</t>
  </si>
  <si>
    <t>RAG, Python, Rust, AWS SageMaker, LlamaIndex, Weaviate, dbt</t>
  </si>
  <si>
    <t>AIJOB02463</t>
  </si>
  <si>
    <t>RLHF, Spark, Kubernetes, Vector Databases, JAX, Pinecone</t>
  </si>
  <si>
    <t>AIJOB02464</t>
  </si>
  <si>
    <t>Weights &amp; Biases, PyTorch, JAX, LangChain, Spark, Rust, RLHF</t>
  </si>
  <si>
    <t>AIJOB02465</t>
  </si>
  <si>
    <t>Spark, RLHF, Weights &amp; Biases, GCP Vertex AI, JAX, ChromaDB</t>
  </si>
  <si>
    <t>AIJOB02466</t>
  </si>
  <si>
    <t>GCP Vertex AI, Hugging Face Transformers, OpenAI API, FastAPI, PyTorch, Weaviate</t>
  </si>
  <si>
    <t>AIJOB02467</t>
  </si>
  <si>
    <t>Azure ML, GCP Vertex AI, Docker, RLHF, JAX, OpenAI API</t>
  </si>
  <si>
    <t>AIJOB02468</t>
  </si>
  <si>
    <t>PyTorch, OpenAI API, C++, Rust</t>
  </si>
  <si>
    <t>AIJOB02469</t>
  </si>
  <si>
    <t>Weaviate, JAX, MLflow</t>
  </si>
  <si>
    <t>AIJOB02470</t>
  </si>
  <si>
    <t>LangChain, LlamaIndex, RLHF</t>
  </si>
  <si>
    <t>AIJOB02471</t>
  </si>
  <si>
    <t>Vector Databases, OpenAI API, C++, Spark, RLHF, LangChain</t>
  </si>
  <si>
    <t>AIJOB02472</t>
  </si>
  <si>
    <t>CUDA, SQL, C++, AWS SageMaker, Fine-tuning</t>
  </si>
  <si>
    <t>AIJOB02473</t>
  </si>
  <si>
    <t>Azure ML, TensorFlow, RAG, Spark, C++, PyTorch, Kubernetes</t>
  </si>
  <si>
    <t>AIJOB02474</t>
  </si>
  <si>
    <t>SQL, RAG, Weights &amp; Biases</t>
  </si>
  <si>
    <t>AIJOB02475</t>
  </si>
  <si>
    <t>MLflow, Azure ML, dbt, C++, Spark, Kubernetes, Weights &amp; Biases</t>
  </si>
  <si>
    <t>AIJOB02476</t>
  </si>
  <si>
    <t>TensorFlow, GCP Vertex AI, Weights &amp; Biases, MLflow, C++, Fine-tuning, RAG</t>
  </si>
  <si>
    <t>AIJOB02477</t>
  </si>
  <si>
    <t>PyTorch, MLflow, Pinecone, Vector Databases, RLHF, SQL, Spark</t>
  </si>
  <si>
    <t>AIJOB02478</t>
  </si>
  <si>
    <t>Kubernetes, Python, SQL, Fine-tuning, AWS SageMaker</t>
  </si>
  <si>
    <t>AIJOB02479</t>
  </si>
  <si>
    <t>MLflow, ChromaDB, PyTorch, Weaviate, AWS SageMaker, Azure ML, Docker</t>
  </si>
  <si>
    <t>AIJOB02480</t>
  </si>
  <si>
    <t>Python, Docker, Rust, LangChain, SQL</t>
  </si>
  <si>
    <t>AIJOB02481</t>
  </si>
  <si>
    <t>Vector Databases, Azure ML, TensorFlow</t>
  </si>
  <si>
    <t>AIJOB02482</t>
  </si>
  <si>
    <t>Docker, dbt, GCP Vertex AI, MLflow, Pinecone, PyTorch</t>
  </si>
  <si>
    <t>AIJOB02483</t>
  </si>
  <si>
    <t>SQL, AWS SageMaker, Weaviate, Hugging Face Transformers, Spark</t>
  </si>
  <si>
    <t>AIJOB02484</t>
  </si>
  <si>
    <t>Vector Databases, Fine-tuning, MLflow</t>
  </si>
  <si>
    <t>AIJOB02485</t>
  </si>
  <si>
    <t>Spark, Hugging Face Transformers, C++</t>
  </si>
  <si>
    <t>AIJOB02486</t>
  </si>
  <si>
    <t>GCP Vertex AI, RAG, Spark</t>
  </si>
  <si>
    <t>AIJOB02487</t>
  </si>
  <si>
    <t>Rust, JAX, FastAPI</t>
  </si>
  <si>
    <t>AIJOB02488</t>
  </si>
  <si>
    <t>RLHF, Fine-tuning, Docker, GCP Vertex AI</t>
  </si>
  <si>
    <t>AIJOB02489</t>
  </si>
  <si>
    <t>Weaviate, Python, Azure ML</t>
  </si>
  <si>
    <t>AIJOB02490</t>
  </si>
  <si>
    <t>Weights &amp; Biases, Vector Databases, Spark, Hugging Face Transformers, JAX, C++, FastAPI</t>
  </si>
  <si>
    <t>AIJOB02491</t>
  </si>
  <si>
    <t>LangChain, Azure ML, Docker, TensorFlow</t>
  </si>
  <si>
    <t>AIJOB02492</t>
  </si>
  <si>
    <t>GCP Vertex AI, Weaviate, FastAPI, CUDA</t>
  </si>
  <si>
    <t>AIJOB02493</t>
  </si>
  <si>
    <t>CUDA, Pinecone, Azure ML, RLHF, LlamaIndex</t>
  </si>
  <si>
    <t>AIJOB02494</t>
  </si>
  <si>
    <t>Azure ML, OpenAI API, Python, MLflow, Spark, LlamaIndex</t>
  </si>
  <si>
    <t>AIJOB02495</t>
  </si>
  <si>
    <t>SQL, FastAPI, Pinecone, JAX, dbt, Weights &amp; Biases</t>
  </si>
  <si>
    <t>AIJOB02496</t>
  </si>
  <si>
    <t>Weights &amp; Biases, Vector Databases, Docker, ChromaDB, C++, PyTorch, JAX</t>
  </si>
  <si>
    <t>AIJOB02497</t>
  </si>
  <si>
    <t>Azure ML, RLHF, Rust</t>
  </si>
  <si>
    <t>AIJOB02498</t>
  </si>
  <si>
    <t>CUDA, Spark, Fine-tuning, Pinecone, Python</t>
  </si>
  <si>
    <t>AIJOB02499</t>
  </si>
  <si>
    <t>Spark, dbt, AWS SageMaker, Rust, Vector Databases, CUDA, PyTorch</t>
  </si>
  <si>
    <t>AIJOB02500</t>
  </si>
  <si>
    <t>MLflow, Vector Databases, Hugging Face Transformers, AWS SageMaker, Weaviate, CUDA</t>
  </si>
  <si>
    <t>0-50</t>
  </si>
  <si>
    <t>job_id</t>
  </si>
  <si>
    <t>job_title</t>
  </si>
  <si>
    <t>company</t>
  </si>
  <si>
    <t>sector</t>
  </si>
  <si>
    <t>location</t>
  </si>
  <si>
    <t>country</t>
  </si>
  <si>
    <t>work_mode</t>
  </si>
  <si>
    <t>experience_level</t>
  </si>
  <si>
    <t>Austin, United States</t>
  </si>
  <si>
    <t>United States</t>
  </si>
  <si>
    <t>Chicago, United States</t>
  </si>
  <si>
    <t>New York, United States</t>
  </si>
  <si>
    <t>Seattle, United States</t>
  </si>
  <si>
    <t>London, United Kingdom</t>
  </si>
  <si>
    <t>United Kingdom</t>
  </si>
  <si>
    <t>Los Angeles, United States</t>
  </si>
  <si>
    <t>San Francisco, United States</t>
  </si>
  <si>
    <t>Boston, United States</t>
  </si>
  <si>
    <t>Column1</t>
  </si>
  <si>
    <t>experience</t>
  </si>
  <si>
    <t>experience_years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</si>
</sst>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3C902-973C-4B5C-80AA-D644CBEAD866}" name="Table1" displayName="Table1" ref="A1:W2501" totalsRowShown="0">
  <autoFilter ref="A1:W2501" xr:uid="{C593C902-973C-4B5C-80AA-D644CBEAD866}"/>
  <tableColumns count="23">
    <tableColumn id="1" xr3:uid="{33152F6F-B1D3-4994-9159-2D95A500AAAD}" name="job_id"/>
    <tableColumn id="2" xr3:uid="{CF606B38-199E-4A9D-AE49-B32DEE1AB1E3}" name="job_title"/>
    <tableColumn id="3" xr3:uid="{C95FEDDA-E8F0-4B28-A047-90DA16FB218C}" name="company"/>
    <tableColumn id="4" xr3:uid="{CD80EBF8-EDE0-468C-9C5F-0C8131B010BE}" name="sector"/>
    <tableColumn id="5" xr3:uid="{48274862-183C-40A7-83B9-B9C8C296FF18}" name="location"/>
    <tableColumn id="6" xr3:uid="{1B07BF00-CEEE-4BCD-BCE3-3D653FDE85C7}" name="country"/>
    <tableColumn id="7" xr3:uid="{936949B2-6DDA-420D-863D-C85A8ACAEAF9}" name="work_mode"/>
    <tableColumn id="8" xr3:uid="{30EEB3F7-C880-4B5A-9346-C61A823AE9D1}" name="experience_level"/>
    <tableColumn id="21" xr3:uid="{57351011-3C8F-4106-8835-442152EE896B}" name="experience" dataDxfId="4"/>
    <tableColumn id="23" xr3:uid="{227C8C1C-DA6A-4627-A3F6-AF2B2F5127C6}" name="experience_years" dataDxfId="1">
      <calculatedColumnFormula>MID(H2,FIND("(",H2)+1,FIND(")",H2)-FIND("(",H2)-1)</calculatedColumnFormula>
    </tableColumn>
    <tableColumn id="22" xr3:uid="{398F6C07-6BB9-4F20-9E31-0588655BE187}" name="Column1" dataDxfId="0"/>
    <tableColumn id="9" xr3:uid="{FBEDA34C-FBB2-4BC0-8434-CCC1CF66C361}" name="salary_usd_annual"/>
    <tableColumn id="10" xr3:uid="{D473EB93-9A23-4746-AFE7-7C80A4176733}" name="required_skills"/>
    <tableColumn id="11" xr3:uid="{BF523E1A-F4F5-4C25-9150-FA612F506BE9}" name="primary_llm_mentioned"/>
    <tableColumn id="12" xr3:uid="{729647E6-FA21-4F4D-AF25-9B26B8B26217}" name="education_required"/>
    <tableColumn id="13" xr3:uid="{5CF6143D-216C-4EFD-B197-21E1FD3D5C22}" name="date_posted" dataDxfId="3"/>
    <tableColumn id="14" xr3:uid="{9D8DEBCB-EB2F-4862-A67F-C910E76F42F3}" name="job_description_length"/>
    <tableColumn id="15" xr3:uid="{35D803B1-D502-4DC1-AFBD-178BDE84641B}" name="applies_count"/>
    <tableColumn id="16" xr3:uid="{A3187C90-C1FB-40DE-A325-14FE2B6FC3B2}" name="visa_sponsorship"/>
    <tableColumn id="17" xr3:uid="{ECC69C99-A26B-4A17-8F8B-BEA19C87EAE6}" name="years_experience_min"/>
    <tableColumn id="18" xr3:uid="{98DE64B8-5A09-40B5-8FFF-6826699415CE}" name="company_size" dataDxfId="2"/>
    <tableColumn id="19" xr3:uid="{26BD2D84-70C7-416D-8401-B3C71F6CCAA8}" name="is_contract"/>
    <tableColumn id="20" xr3:uid="{34804680-5FA7-4E90-96BE-834BBF043A8C}" name="has_equ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AA23-F0A1-4A9E-A372-1D8CEDD5F9B3}">
  <dimension ref="A1:W2501"/>
  <sheetViews>
    <sheetView tabSelected="1" workbookViewId="0">
      <selection activeCell="F3" sqref="F3"/>
    </sheetView>
  </sheetViews>
  <sheetFormatPr defaultRowHeight="14.4" x14ac:dyDescent="0.3"/>
  <cols>
    <col min="1" max="1" width="10.77734375" bestFit="1" customWidth="1"/>
    <col min="2" max="2" width="28.33203125" bestFit="1" customWidth="1"/>
    <col min="3" max="3" width="16.33203125" bestFit="1" customWidth="1"/>
    <col min="4" max="4" width="11.109375" bestFit="1" customWidth="1"/>
    <col min="5" max="5" width="21.44140625" bestFit="1" customWidth="1"/>
    <col min="6" max="6" width="12.33203125" bestFit="1" customWidth="1"/>
    <col min="7" max="7" width="7.44140625" bestFit="1" customWidth="1"/>
    <col min="8" max="8" width="19.109375" bestFit="1" customWidth="1"/>
    <col min="9" max="11" width="19.109375" customWidth="1"/>
    <col min="12" max="12" width="7" bestFit="1" customWidth="1"/>
    <col min="13" max="13" width="95.44140625" bestFit="1" customWidth="1"/>
    <col min="14" max="14" width="10.88671875" bestFit="1" customWidth="1"/>
    <col min="15" max="15" width="19.33203125" bestFit="1" customWidth="1"/>
    <col min="16" max="16" width="10.33203125" bestFit="1" customWidth="1"/>
    <col min="17" max="18" width="5" bestFit="1" customWidth="1"/>
    <col min="19" max="19" width="6.5546875" bestFit="1" customWidth="1"/>
    <col min="20" max="20" width="2" bestFit="1" customWidth="1"/>
    <col min="21" max="21" width="9.6640625" bestFit="1" customWidth="1"/>
    <col min="22" max="22" width="8.6640625" bestFit="1" customWidth="1"/>
    <col min="23" max="23" width="3.77734375" bestFit="1" customWidth="1"/>
  </cols>
  <sheetData>
    <row r="1" spans="1:23" x14ac:dyDescent="0.3">
      <c r="A1" t="s">
        <v>5124</v>
      </c>
      <c r="B1" t="s">
        <v>5125</v>
      </c>
      <c r="C1" t="s">
        <v>5126</v>
      </c>
      <c r="D1" t="s">
        <v>5127</v>
      </c>
      <c r="E1" t="s">
        <v>5128</v>
      </c>
      <c r="F1" t="s">
        <v>5129</v>
      </c>
      <c r="G1" t="s">
        <v>5130</v>
      </c>
      <c r="H1" t="s">
        <v>5131</v>
      </c>
      <c r="I1" t="s">
        <v>5143</v>
      </c>
      <c r="J1" t="s">
        <v>5144</v>
      </c>
      <c r="K1" t="s">
        <v>5142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</row>
    <row r="2" spans="1:2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tr">
        <f>LEFT(H2,FIND(" (",H2)-1)</f>
        <v>Entry</v>
      </c>
      <c r="J2" t="str">
        <f>MID(H2,FIND("(",H2)+1,FIND(")",H2)-FIND("(",H2)-1)</f>
        <v>0-2 yrs</v>
      </c>
      <c r="L2">
        <v>76258</v>
      </c>
      <c r="M2" t="s">
        <v>20</v>
      </c>
      <c r="N2" t="s">
        <v>21</v>
      </c>
      <c r="O2" t="s">
        <v>22</v>
      </c>
      <c r="P2" s="1">
        <v>45363</v>
      </c>
      <c r="Q2">
        <v>1195</v>
      </c>
      <c r="R2">
        <v>962</v>
      </c>
      <c r="S2" t="s">
        <v>23</v>
      </c>
      <c r="T2">
        <v>0</v>
      </c>
      <c r="U2" t="s">
        <v>5123</v>
      </c>
      <c r="V2" t="s">
        <v>24</v>
      </c>
      <c r="W2" t="s">
        <v>23</v>
      </c>
    </row>
    <row r="3" spans="1:23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18</v>
      </c>
      <c r="H3" t="s">
        <v>31</v>
      </c>
      <c r="I3" t="str">
        <f>LEFT(H3,FIND(" (",H3)-1)</f>
        <v>Staff/Principal</v>
      </c>
      <c r="J3" t="str">
        <f>MID(H3,FIND("(",H3)+1,FIND(")",H3)-FIND("(",H3)-1)</f>
        <v>8+ yrs</v>
      </c>
      <c r="L3">
        <v>195022</v>
      </c>
      <c r="M3" t="s">
        <v>32</v>
      </c>
      <c r="N3" t="s">
        <v>33</v>
      </c>
      <c r="O3" t="s">
        <v>22</v>
      </c>
      <c r="P3" s="1">
        <v>45434</v>
      </c>
      <c r="Q3">
        <v>1678</v>
      </c>
      <c r="R3">
        <v>428</v>
      </c>
      <c r="S3" t="s">
        <v>34</v>
      </c>
      <c r="T3">
        <v>6</v>
      </c>
      <c r="U3" t="s">
        <v>5123</v>
      </c>
      <c r="V3" t="s">
        <v>24</v>
      </c>
      <c r="W3" t="s">
        <v>34</v>
      </c>
    </row>
    <row r="4" spans="1:23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19</v>
      </c>
      <c r="I4" t="str">
        <f>LEFT(H4,FIND(" (",H4)-1)</f>
        <v>Entry</v>
      </c>
      <c r="J4" t="str">
        <f>MID(H4,FIND("(",H4)+1,FIND(")",H4)-FIND("(",H4)-1)</f>
        <v>0-2 yrs</v>
      </c>
      <c r="L4">
        <v>78160</v>
      </c>
      <c r="M4" t="s">
        <v>42</v>
      </c>
      <c r="N4" t="s">
        <v>43</v>
      </c>
      <c r="O4" t="s">
        <v>44</v>
      </c>
      <c r="P4" s="1">
        <v>45485</v>
      </c>
      <c r="Q4">
        <v>487</v>
      </c>
      <c r="R4">
        <v>2718</v>
      </c>
      <c r="S4" t="s">
        <v>34</v>
      </c>
      <c r="T4">
        <v>0</v>
      </c>
      <c r="U4" t="s">
        <v>45</v>
      </c>
      <c r="V4" t="s">
        <v>46</v>
      </c>
      <c r="W4" t="s">
        <v>23</v>
      </c>
    </row>
    <row r="5" spans="1:23" x14ac:dyDescent="0.3">
      <c r="A5" t="s">
        <v>47</v>
      </c>
      <c r="B5" t="s">
        <v>13</v>
      </c>
      <c r="C5" t="s">
        <v>48</v>
      </c>
      <c r="D5" t="s">
        <v>49</v>
      </c>
      <c r="E5" t="s">
        <v>16</v>
      </c>
      <c r="F5" t="s">
        <v>17</v>
      </c>
      <c r="G5" t="s">
        <v>41</v>
      </c>
      <c r="H5" t="s">
        <v>31</v>
      </c>
      <c r="I5" t="str">
        <f>LEFT(H5,FIND(" (",H5)-1)</f>
        <v>Staff/Principal</v>
      </c>
      <c r="J5" t="str">
        <f>MID(H5,FIND("(",H5)+1,FIND(")",H5)-FIND("(",H5)-1)</f>
        <v>8+ yrs</v>
      </c>
      <c r="L5">
        <v>254829</v>
      </c>
      <c r="M5" t="s">
        <v>50</v>
      </c>
      <c r="N5" t="s">
        <v>33</v>
      </c>
      <c r="O5" t="s">
        <v>51</v>
      </c>
      <c r="P5" s="1">
        <v>45719</v>
      </c>
      <c r="Q5">
        <v>1000</v>
      </c>
      <c r="R5">
        <v>2197</v>
      </c>
      <c r="S5" t="s">
        <v>23</v>
      </c>
      <c r="T5">
        <v>6</v>
      </c>
      <c r="U5" t="s">
        <v>52</v>
      </c>
      <c r="V5" t="s">
        <v>24</v>
      </c>
      <c r="W5" t="s">
        <v>34</v>
      </c>
    </row>
    <row r="6" spans="1:23" x14ac:dyDescent="0.3">
      <c r="A6" t="s">
        <v>53</v>
      </c>
      <c r="B6" t="s">
        <v>26</v>
      </c>
      <c r="C6" t="s">
        <v>54</v>
      </c>
      <c r="D6" t="s">
        <v>28</v>
      </c>
      <c r="E6" t="s">
        <v>5132</v>
      </c>
      <c r="F6" t="s">
        <v>5133</v>
      </c>
      <c r="G6" t="s">
        <v>55</v>
      </c>
      <c r="H6" t="s">
        <v>56</v>
      </c>
      <c r="I6" t="str">
        <f>LEFT(H6,FIND(" (",H6)-1)</f>
        <v>Mid</v>
      </c>
      <c r="J6" t="str">
        <f>MID(H6,FIND("(",H6)+1,FIND(")",H6)-FIND("(",H6)-1)</f>
        <v>2-5 yrs</v>
      </c>
      <c r="L6">
        <v>105363</v>
      </c>
      <c r="M6" t="s">
        <v>57</v>
      </c>
      <c r="N6" t="s">
        <v>33</v>
      </c>
      <c r="O6" t="s">
        <v>22</v>
      </c>
      <c r="P6" s="1">
        <v>45689</v>
      </c>
      <c r="Q6">
        <v>1588</v>
      </c>
      <c r="R6">
        <v>880</v>
      </c>
      <c r="S6" t="s">
        <v>23</v>
      </c>
      <c r="T6">
        <v>2</v>
      </c>
      <c r="U6" t="s">
        <v>58</v>
      </c>
      <c r="V6" t="s">
        <v>59</v>
      </c>
      <c r="W6" t="s">
        <v>23</v>
      </c>
    </row>
    <row r="7" spans="1:23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18</v>
      </c>
      <c r="H7" t="s">
        <v>66</v>
      </c>
      <c r="I7" t="str">
        <f>LEFT(H7,FIND(" (",H7)-1)</f>
        <v>Senior</v>
      </c>
      <c r="J7" t="str">
        <f>MID(H7,FIND("(",H7)+1,FIND(")",H7)-FIND("(",H7)-1)</f>
        <v>5-8 yrs</v>
      </c>
      <c r="L7">
        <v>143678</v>
      </c>
      <c r="M7" t="s">
        <v>67</v>
      </c>
      <c r="N7" t="s">
        <v>68</v>
      </c>
      <c r="O7" t="s">
        <v>22</v>
      </c>
      <c r="P7" s="1">
        <v>45579</v>
      </c>
      <c r="Q7">
        <v>492</v>
      </c>
      <c r="R7">
        <v>3537</v>
      </c>
      <c r="S7" t="s">
        <v>34</v>
      </c>
      <c r="T7">
        <v>4</v>
      </c>
      <c r="U7" t="s">
        <v>52</v>
      </c>
      <c r="V7" t="s">
        <v>59</v>
      </c>
      <c r="W7" t="s">
        <v>34</v>
      </c>
    </row>
    <row r="8" spans="1:23" x14ac:dyDescent="0.3">
      <c r="A8" t="s">
        <v>69</v>
      </c>
      <c r="B8" t="s">
        <v>70</v>
      </c>
      <c r="C8" t="s">
        <v>71</v>
      </c>
      <c r="D8" t="s">
        <v>28</v>
      </c>
      <c r="E8" t="s">
        <v>5134</v>
      </c>
      <c r="F8" t="s">
        <v>5133</v>
      </c>
      <c r="G8" t="s">
        <v>41</v>
      </c>
      <c r="H8" t="s">
        <v>31</v>
      </c>
      <c r="I8" t="str">
        <f>LEFT(H8,FIND(" (",H8)-1)</f>
        <v>Staff/Principal</v>
      </c>
      <c r="J8" t="str">
        <f>MID(H8,FIND("(",H8)+1,FIND(")",H8)-FIND("(",H8)-1)</f>
        <v>8+ yrs</v>
      </c>
      <c r="L8">
        <v>256851</v>
      </c>
      <c r="M8" t="s">
        <v>72</v>
      </c>
      <c r="N8" t="s">
        <v>33</v>
      </c>
      <c r="O8" t="s">
        <v>44</v>
      </c>
      <c r="P8" s="1">
        <v>45531</v>
      </c>
      <c r="Q8">
        <v>1693</v>
      </c>
      <c r="R8">
        <v>466</v>
      </c>
      <c r="S8" t="s">
        <v>23</v>
      </c>
      <c r="T8">
        <v>6</v>
      </c>
      <c r="U8" t="s">
        <v>52</v>
      </c>
      <c r="V8" t="s">
        <v>24</v>
      </c>
      <c r="W8" t="s">
        <v>23</v>
      </c>
    </row>
    <row r="9" spans="1:23" x14ac:dyDescent="0.3">
      <c r="A9" t="s">
        <v>73</v>
      </c>
      <c r="B9" t="s">
        <v>36</v>
      </c>
      <c r="C9" t="s">
        <v>74</v>
      </c>
      <c r="D9" t="s">
        <v>75</v>
      </c>
      <c r="E9" t="s">
        <v>76</v>
      </c>
      <c r="F9" t="s">
        <v>77</v>
      </c>
      <c r="G9" t="s">
        <v>55</v>
      </c>
      <c r="H9" t="s">
        <v>56</v>
      </c>
      <c r="I9" t="str">
        <f>LEFT(H9,FIND(" (",H9)-1)</f>
        <v>Mid</v>
      </c>
      <c r="J9" t="str">
        <f>MID(H9,FIND("(",H9)+1,FIND(")",H9)-FIND("(",H9)-1)</f>
        <v>2-5 yrs</v>
      </c>
      <c r="L9">
        <v>125195</v>
      </c>
      <c r="M9" t="s">
        <v>78</v>
      </c>
      <c r="N9" t="s">
        <v>68</v>
      </c>
      <c r="O9" t="s">
        <v>79</v>
      </c>
      <c r="P9" s="1">
        <v>45737</v>
      </c>
      <c r="Q9">
        <v>1627</v>
      </c>
      <c r="R9">
        <v>2011</v>
      </c>
      <c r="S9" t="s">
        <v>34</v>
      </c>
      <c r="T9">
        <v>2</v>
      </c>
      <c r="U9" t="s">
        <v>45</v>
      </c>
      <c r="V9" t="s">
        <v>59</v>
      </c>
      <c r="W9" t="s">
        <v>23</v>
      </c>
    </row>
    <row r="10" spans="1:23" x14ac:dyDescent="0.3">
      <c r="A10" t="s">
        <v>80</v>
      </c>
      <c r="B10" t="s">
        <v>81</v>
      </c>
      <c r="C10" t="s">
        <v>71</v>
      </c>
      <c r="D10" t="s">
        <v>75</v>
      </c>
      <c r="E10" t="s">
        <v>5135</v>
      </c>
      <c r="F10" t="s">
        <v>5133</v>
      </c>
      <c r="G10" t="s">
        <v>18</v>
      </c>
      <c r="H10" t="s">
        <v>56</v>
      </c>
      <c r="I10" t="str">
        <f>LEFT(H10,FIND(" (",H10)-1)</f>
        <v>Mid</v>
      </c>
      <c r="J10" t="str">
        <f>MID(H10,FIND("(",H10)+1,FIND(")",H10)-FIND("(",H10)-1)</f>
        <v>2-5 yrs</v>
      </c>
      <c r="L10">
        <v>100704</v>
      </c>
      <c r="M10" t="s">
        <v>82</v>
      </c>
      <c r="N10" t="s">
        <v>33</v>
      </c>
      <c r="O10" t="s">
        <v>44</v>
      </c>
      <c r="P10" s="1">
        <v>45582</v>
      </c>
      <c r="Q10">
        <v>825</v>
      </c>
      <c r="R10">
        <v>2712</v>
      </c>
      <c r="S10" t="s">
        <v>23</v>
      </c>
      <c r="T10">
        <v>2</v>
      </c>
      <c r="U10" t="s">
        <v>83</v>
      </c>
      <c r="V10" t="s">
        <v>24</v>
      </c>
      <c r="W10" t="s">
        <v>23</v>
      </c>
    </row>
    <row r="11" spans="1:23" x14ac:dyDescent="0.3">
      <c r="A11" t="s">
        <v>84</v>
      </c>
      <c r="B11" t="s">
        <v>85</v>
      </c>
      <c r="C11" t="s">
        <v>86</v>
      </c>
      <c r="D11" t="s">
        <v>75</v>
      </c>
      <c r="E11" t="s">
        <v>87</v>
      </c>
      <c r="F11" t="s">
        <v>87</v>
      </c>
      <c r="G11" t="s">
        <v>55</v>
      </c>
      <c r="H11" t="s">
        <v>31</v>
      </c>
      <c r="I11" t="str">
        <f>LEFT(H11,FIND(" (",H11)-1)</f>
        <v>Staff/Principal</v>
      </c>
      <c r="J11" t="str">
        <f>MID(H11,FIND("(",H11)+1,FIND(")",H11)-FIND("(",H11)-1)</f>
        <v>8+ yrs</v>
      </c>
      <c r="L11">
        <v>219532</v>
      </c>
      <c r="M11" t="s">
        <v>88</v>
      </c>
      <c r="N11" t="s">
        <v>89</v>
      </c>
      <c r="O11" t="s">
        <v>51</v>
      </c>
      <c r="P11" s="1">
        <v>45678</v>
      </c>
      <c r="Q11">
        <v>1315</v>
      </c>
      <c r="R11">
        <v>930</v>
      </c>
      <c r="S11" t="s">
        <v>34</v>
      </c>
      <c r="T11">
        <v>6</v>
      </c>
      <c r="U11" t="s">
        <v>5123</v>
      </c>
      <c r="V11" t="s">
        <v>24</v>
      </c>
      <c r="W11" t="s">
        <v>34</v>
      </c>
    </row>
    <row r="12" spans="1:23" x14ac:dyDescent="0.3">
      <c r="A12" t="s">
        <v>90</v>
      </c>
      <c r="B12" t="s">
        <v>91</v>
      </c>
      <c r="C12" t="s">
        <v>92</v>
      </c>
      <c r="D12" t="s">
        <v>28</v>
      </c>
      <c r="E12" t="s">
        <v>5136</v>
      </c>
      <c r="F12" t="s">
        <v>5133</v>
      </c>
      <c r="G12" t="s">
        <v>41</v>
      </c>
      <c r="H12" t="s">
        <v>19</v>
      </c>
      <c r="I12" t="str">
        <f>LEFT(H12,FIND(" (",H12)-1)</f>
        <v>Entry</v>
      </c>
      <c r="J12" t="str">
        <f>MID(H12,FIND("(",H12)+1,FIND(")",H12)-FIND("(",H12)-1)</f>
        <v>0-2 yrs</v>
      </c>
      <c r="L12">
        <v>64160</v>
      </c>
      <c r="M12" t="s">
        <v>93</v>
      </c>
      <c r="N12" t="s">
        <v>94</v>
      </c>
      <c r="O12" t="s">
        <v>51</v>
      </c>
      <c r="P12" s="1">
        <v>45322</v>
      </c>
      <c r="Q12">
        <v>1177</v>
      </c>
      <c r="R12">
        <v>2218</v>
      </c>
      <c r="S12" t="s">
        <v>34</v>
      </c>
      <c r="T12">
        <v>0</v>
      </c>
      <c r="U12" t="s">
        <v>83</v>
      </c>
      <c r="V12" t="s">
        <v>24</v>
      </c>
      <c r="W12" t="s">
        <v>34</v>
      </c>
    </row>
    <row r="13" spans="1:23" x14ac:dyDescent="0.3">
      <c r="A13" t="s">
        <v>95</v>
      </c>
      <c r="B13" t="s">
        <v>96</v>
      </c>
      <c r="C13" t="s">
        <v>97</v>
      </c>
      <c r="D13" t="s">
        <v>49</v>
      </c>
      <c r="E13" t="s">
        <v>87</v>
      </c>
      <c r="F13" t="s">
        <v>87</v>
      </c>
      <c r="G13" t="s">
        <v>18</v>
      </c>
      <c r="H13" t="s">
        <v>31</v>
      </c>
      <c r="I13" t="str">
        <f>LEFT(H13,FIND(" (",H13)-1)</f>
        <v>Staff/Principal</v>
      </c>
      <c r="J13" t="str">
        <f>MID(H13,FIND("(",H13)+1,FIND(")",H13)-FIND("(",H13)-1)</f>
        <v>8+ yrs</v>
      </c>
      <c r="L13">
        <v>183233</v>
      </c>
      <c r="M13" t="s">
        <v>98</v>
      </c>
      <c r="N13" t="s">
        <v>33</v>
      </c>
      <c r="O13" t="s">
        <v>22</v>
      </c>
      <c r="P13" s="1">
        <v>45629</v>
      </c>
      <c r="Q13">
        <v>1689</v>
      </c>
      <c r="R13">
        <v>3289</v>
      </c>
      <c r="S13" t="s">
        <v>99</v>
      </c>
      <c r="T13">
        <v>6</v>
      </c>
      <c r="U13" t="s">
        <v>52</v>
      </c>
      <c r="V13" t="s">
        <v>24</v>
      </c>
      <c r="W13" t="s">
        <v>23</v>
      </c>
    </row>
    <row r="14" spans="1:23" x14ac:dyDescent="0.3">
      <c r="A14" t="s">
        <v>100</v>
      </c>
      <c r="B14" t="s">
        <v>61</v>
      </c>
      <c r="C14" t="s">
        <v>101</v>
      </c>
      <c r="D14" t="s">
        <v>15</v>
      </c>
      <c r="E14" t="s">
        <v>102</v>
      </c>
      <c r="F14" t="s">
        <v>103</v>
      </c>
      <c r="G14" t="s">
        <v>18</v>
      </c>
      <c r="H14" t="s">
        <v>31</v>
      </c>
      <c r="I14" t="str">
        <f>LEFT(H14,FIND(" (",H14)-1)</f>
        <v>Staff/Principal</v>
      </c>
      <c r="J14" t="str">
        <f>MID(H14,FIND("(",H14)+1,FIND(")",H14)-FIND("(",H14)-1)</f>
        <v>8+ yrs</v>
      </c>
      <c r="L14">
        <v>208710</v>
      </c>
      <c r="M14" t="s">
        <v>104</v>
      </c>
      <c r="N14" t="s">
        <v>33</v>
      </c>
      <c r="O14" t="s">
        <v>51</v>
      </c>
      <c r="P14" s="1">
        <v>45419</v>
      </c>
      <c r="Q14">
        <v>360</v>
      </c>
      <c r="R14">
        <v>3979</v>
      </c>
      <c r="S14" t="s">
        <v>34</v>
      </c>
      <c r="T14">
        <v>6</v>
      </c>
      <c r="U14" t="s">
        <v>52</v>
      </c>
      <c r="V14" t="s">
        <v>24</v>
      </c>
      <c r="W14" t="s">
        <v>23</v>
      </c>
    </row>
    <row r="15" spans="1:23" x14ac:dyDescent="0.3">
      <c r="A15" t="s">
        <v>105</v>
      </c>
      <c r="B15" t="s">
        <v>106</v>
      </c>
      <c r="C15" t="s">
        <v>107</v>
      </c>
      <c r="D15" t="s">
        <v>75</v>
      </c>
      <c r="E15" t="s">
        <v>5135</v>
      </c>
      <c r="F15" t="s">
        <v>5133</v>
      </c>
      <c r="G15" t="s">
        <v>18</v>
      </c>
      <c r="H15" t="s">
        <v>31</v>
      </c>
      <c r="I15" t="str">
        <f>LEFT(H15,FIND(" (",H15)-1)</f>
        <v>Staff/Principal</v>
      </c>
      <c r="J15" t="str">
        <f>MID(H15,FIND("(",H15)+1,FIND(")",H15)-FIND("(",H15)-1)</f>
        <v>8+ yrs</v>
      </c>
      <c r="L15">
        <v>131121</v>
      </c>
      <c r="M15" t="s">
        <v>108</v>
      </c>
      <c r="N15" t="s">
        <v>33</v>
      </c>
      <c r="O15" t="s">
        <v>51</v>
      </c>
      <c r="P15" s="1">
        <v>45293</v>
      </c>
      <c r="Q15">
        <v>2293</v>
      </c>
      <c r="R15">
        <v>644</v>
      </c>
      <c r="S15" t="s">
        <v>34</v>
      </c>
      <c r="T15">
        <v>6</v>
      </c>
      <c r="U15" t="s">
        <v>52</v>
      </c>
      <c r="V15" t="s">
        <v>46</v>
      </c>
      <c r="W15" t="s">
        <v>23</v>
      </c>
    </row>
    <row r="16" spans="1:23" x14ac:dyDescent="0.3">
      <c r="A16" t="s">
        <v>109</v>
      </c>
      <c r="B16" t="s">
        <v>26</v>
      </c>
      <c r="C16" t="s">
        <v>110</v>
      </c>
      <c r="D16" t="s">
        <v>111</v>
      </c>
      <c r="E16" t="s">
        <v>5132</v>
      </c>
      <c r="F16" t="s">
        <v>5133</v>
      </c>
      <c r="G16" t="s">
        <v>18</v>
      </c>
      <c r="H16" t="s">
        <v>19</v>
      </c>
      <c r="I16" t="str">
        <f>LEFT(H16,FIND(" (",H16)-1)</f>
        <v>Entry</v>
      </c>
      <c r="J16" t="str">
        <f>MID(H16,FIND("(",H16)+1,FIND(")",H16)-FIND("(",H16)-1)</f>
        <v>0-2 yrs</v>
      </c>
      <c r="L16">
        <v>50000</v>
      </c>
      <c r="M16" t="s">
        <v>112</v>
      </c>
      <c r="N16" t="s">
        <v>68</v>
      </c>
      <c r="O16" t="s">
        <v>22</v>
      </c>
      <c r="P16" s="1">
        <v>45591</v>
      </c>
      <c r="Q16">
        <v>1263</v>
      </c>
      <c r="R16">
        <v>1663</v>
      </c>
      <c r="S16" t="s">
        <v>34</v>
      </c>
      <c r="T16">
        <v>0</v>
      </c>
      <c r="U16" t="s">
        <v>83</v>
      </c>
      <c r="V16" t="s">
        <v>24</v>
      </c>
      <c r="W16" t="s">
        <v>23</v>
      </c>
    </row>
    <row r="17" spans="1:23" x14ac:dyDescent="0.3">
      <c r="A17" t="s">
        <v>113</v>
      </c>
      <c r="B17" t="s">
        <v>85</v>
      </c>
      <c r="C17" t="s">
        <v>48</v>
      </c>
      <c r="D17" t="s">
        <v>28</v>
      </c>
      <c r="E17" t="s">
        <v>5139</v>
      </c>
      <c r="F17" t="s">
        <v>5133</v>
      </c>
      <c r="G17" t="s">
        <v>41</v>
      </c>
      <c r="H17" t="s">
        <v>19</v>
      </c>
      <c r="I17" t="str">
        <f>LEFT(H17,FIND(" (",H17)-1)</f>
        <v>Entry</v>
      </c>
      <c r="J17" t="str">
        <f>MID(H17,FIND("(",H17)+1,FIND(")",H17)-FIND("(",H17)-1)</f>
        <v>0-2 yrs</v>
      </c>
      <c r="L17">
        <v>62915</v>
      </c>
      <c r="M17" t="s">
        <v>114</v>
      </c>
      <c r="N17" t="s">
        <v>68</v>
      </c>
      <c r="O17" t="s">
        <v>51</v>
      </c>
      <c r="P17" s="1">
        <v>45581</v>
      </c>
      <c r="Q17">
        <v>597</v>
      </c>
      <c r="R17">
        <v>48</v>
      </c>
      <c r="S17" t="s">
        <v>23</v>
      </c>
      <c r="T17">
        <v>0</v>
      </c>
      <c r="U17" t="s">
        <v>83</v>
      </c>
      <c r="V17" t="s">
        <v>46</v>
      </c>
      <c r="W17" t="s">
        <v>34</v>
      </c>
    </row>
    <row r="18" spans="1:23" x14ac:dyDescent="0.3">
      <c r="A18" t="s">
        <v>115</v>
      </c>
      <c r="B18" t="s">
        <v>106</v>
      </c>
      <c r="C18" t="s">
        <v>116</v>
      </c>
      <c r="D18" t="s">
        <v>75</v>
      </c>
      <c r="E18" t="s">
        <v>64</v>
      </c>
      <c r="F18" t="s">
        <v>65</v>
      </c>
      <c r="G18" t="s">
        <v>55</v>
      </c>
      <c r="H18" t="s">
        <v>66</v>
      </c>
      <c r="I18" t="str">
        <f>LEFT(H18,FIND(" (",H18)-1)</f>
        <v>Senior</v>
      </c>
      <c r="J18" t="str">
        <f>MID(H18,FIND("(",H18)+1,FIND(")",H18)-FIND("(",H18)-1)</f>
        <v>5-8 yrs</v>
      </c>
      <c r="L18">
        <v>122653</v>
      </c>
      <c r="M18" t="s">
        <v>117</v>
      </c>
      <c r="N18" t="s">
        <v>89</v>
      </c>
      <c r="O18" t="s">
        <v>44</v>
      </c>
      <c r="P18" s="1">
        <v>45743</v>
      </c>
      <c r="Q18">
        <v>2466</v>
      </c>
      <c r="R18">
        <v>42</v>
      </c>
      <c r="S18" t="s">
        <v>23</v>
      </c>
      <c r="T18">
        <v>4</v>
      </c>
      <c r="U18" t="s">
        <v>83</v>
      </c>
      <c r="V18" t="s">
        <v>24</v>
      </c>
      <c r="W18" t="s">
        <v>23</v>
      </c>
    </row>
    <row r="19" spans="1:23" x14ac:dyDescent="0.3">
      <c r="A19" t="s">
        <v>118</v>
      </c>
      <c r="B19" t="s">
        <v>61</v>
      </c>
      <c r="C19" t="s">
        <v>62</v>
      </c>
      <c r="D19" t="s">
        <v>63</v>
      </c>
      <c r="E19" t="s">
        <v>5137</v>
      </c>
      <c r="F19" t="s">
        <v>5138</v>
      </c>
      <c r="G19" t="s">
        <v>55</v>
      </c>
      <c r="H19" t="s">
        <v>66</v>
      </c>
      <c r="I19" t="str">
        <f>LEFT(H19,FIND(" (",H19)-1)</f>
        <v>Senior</v>
      </c>
      <c r="J19" t="str">
        <f>MID(H19,FIND("(",H19)+1,FIND(")",H19)-FIND("(",H19)-1)</f>
        <v>5-8 yrs</v>
      </c>
      <c r="L19">
        <v>158484</v>
      </c>
      <c r="M19" t="s">
        <v>119</v>
      </c>
      <c r="N19" t="s">
        <v>120</v>
      </c>
      <c r="O19" t="s">
        <v>22</v>
      </c>
      <c r="P19" s="1">
        <v>45672</v>
      </c>
      <c r="Q19">
        <v>508</v>
      </c>
      <c r="R19">
        <v>388</v>
      </c>
      <c r="S19" t="s">
        <v>23</v>
      </c>
      <c r="T19">
        <v>4</v>
      </c>
      <c r="U19" t="s">
        <v>45</v>
      </c>
      <c r="V19" t="s">
        <v>24</v>
      </c>
      <c r="W19" t="s">
        <v>34</v>
      </c>
    </row>
    <row r="20" spans="1:23" x14ac:dyDescent="0.3">
      <c r="A20" t="s">
        <v>121</v>
      </c>
      <c r="B20" t="s">
        <v>61</v>
      </c>
      <c r="C20" t="s">
        <v>37</v>
      </c>
      <c r="D20" t="s">
        <v>75</v>
      </c>
      <c r="E20" t="s">
        <v>102</v>
      </c>
      <c r="F20" t="s">
        <v>103</v>
      </c>
      <c r="G20" t="s">
        <v>41</v>
      </c>
      <c r="H20" t="s">
        <v>66</v>
      </c>
      <c r="I20" t="str">
        <f>LEFT(H20,FIND(" (",H20)-1)</f>
        <v>Senior</v>
      </c>
      <c r="J20" t="str">
        <f>MID(H20,FIND("(",H20)+1,FIND(")",H20)-FIND("(",H20)-1)</f>
        <v>5-8 yrs</v>
      </c>
      <c r="L20">
        <v>125483</v>
      </c>
      <c r="M20" t="s">
        <v>122</v>
      </c>
      <c r="N20" t="s">
        <v>43</v>
      </c>
      <c r="O20" t="s">
        <v>22</v>
      </c>
      <c r="P20" s="1">
        <v>45574</v>
      </c>
      <c r="Q20">
        <v>822</v>
      </c>
      <c r="R20">
        <v>181</v>
      </c>
      <c r="S20" t="s">
        <v>23</v>
      </c>
      <c r="T20">
        <v>4</v>
      </c>
      <c r="U20" t="s">
        <v>5123</v>
      </c>
      <c r="V20" t="s">
        <v>59</v>
      </c>
      <c r="W20" t="s">
        <v>34</v>
      </c>
    </row>
    <row r="21" spans="1:23" x14ac:dyDescent="0.3">
      <c r="A21" t="s">
        <v>123</v>
      </c>
      <c r="B21" t="s">
        <v>91</v>
      </c>
      <c r="C21" t="s">
        <v>124</v>
      </c>
      <c r="D21" t="s">
        <v>125</v>
      </c>
      <c r="E21" t="s">
        <v>5141</v>
      </c>
      <c r="F21" t="s">
        <v>5133</v>
      </c>
      <c r="G21" t="s">
        <v>41</v>
      </c>
      <c r="H21" t="s">
        <v>19</v>
      </c>
      <c r="I21" t="str">
        <f>LEFT(H21,FIND(" (",H21)-1)</f>
        <v>Entry</v>
      </c>
      <c r="J21" t="str">
        <f>MID(H21,FIND("(",H21)+1,FIND(")",H21)-FIND("(",H21)-1)</f>
        <v>0-2 yrs</v>
      </c>
      <c r="L21">
        <v>52204</v>
      </c>
      <c r="M21" t="s">
        <v>126</v>
      </c>
      <c r="N21" t="s">
        <v>33</v>
      </c>
      <c r="O21" t="s">
        <v>44</v>
      </c>
      <c r="P21" s="1">
        <v>45744</v>
      </c>
      <c r="Q21">
        <v>1660</v>
      </c>
      <c r="R21">
        <v>3214</v>
      </c>
      <c r="S21" t="s">
        <v>99</v>
      </c>
      <c r="T21">
        <v>0</v>
      </c>
      <c r="U21" t="s">
        <v>52</v>
      </c>
      <c r="V21" t="s">
        <v>24</v>
      </c>
      <c r="W21" t="s">
        <v>23</v>
      </c>
    </row>
    <row r="22" spans="1:23" x14ac:dyDescent="0.3">
      <c r="A22" t="s">
        <v>127</v>
      </c>
      <c r="B22" t="s">
        <v>13</v>
      </c>
      <c r="C22" t="s">
        <v>128</v>
      </c>
      <c r="D22" t="s">
        <v>38</v>
      </c>
      <c r="E22" t="s">
        <v>5135</v>
      </c>
      <c r="F22" t="s">
        <v>5133</v>
      </c>
      <c r="G22" t="s">
        <v>55</v>
      </c>
      <c r="H22" t="s">
        <v>31</v>
      </c>
      <c r="I22" t="str">
        <f>LEFT(H22,FIND(" (",H22)-1)</f>
        <v>Staff/Principal</v>
      </c>
      <c r="J22" t="str">
        <f>MID(H22,FIND("(",H22)+1,FIND(")",H22)-FIND("(",H22)-1)</f>
        <v>8+ yrs</v>
      </c>
      <c r="L22">
        <v>252763</v>
      </c>
      <c r="M22" t="s">
        <v>129</v>
      </c>
      <c r="N22" t="s">
        <v>33</v>
      </c>
      <c r="O22" t="s">
        <v>22</v>
      </c>
      <c r="P22" s="1">
        <v>45405</v>
      </c>
      <c r="Q22">
        <v>1091</v>
      </c>
      <c r="R22">
        <v>1642</v>
      </c>
      <c r="S22" t="s">
        <v>23</v>
      </c>
      <c r="T22">
        <v>6</v>
      </c>
      <c r="U22" t="s">
        <v>5123</v>
      </c>
      <c r="V22" t="s">
        <v>46</v>
      </c>
      <c r="W22" t="s">
        <v>34</v>
      </c>
    </row>
    <row r="23" spans="1:23" x14ac:dyDescent="0.3">
      <c r="A23" t="s">
        <v>130</v>
      </c>
      <c r="B23" t="s">
        <v>131</v>
      </c>
      <c r="C23" t="s">
        <v>132</v>
      </c>
      <c r="D23" t="s">
        <v>49</v>
      </c>
      <c r="E23" t="s">
        <v>133</v>
      </c>
      <c r="F23" t="s">
        <v>134</v>
      </c>
      <c r="G23" t="s">
        <v>18</v>
      </c>
      <c r="H23" t="s">
        <v>31</v>
      </c>
      <c r="I23" t="str">
        <f>LEFT(H23,FIND(" (",H23)-1)</f>
        <v>Staff/Principal</v>
      </c>
      <c r="J23" t="str">
        <f>MID(H23,FIND("(",H23)+1,FIND(")",H23)-FIND("(",H23)-1)</f>
        <v>8+ yrs</v>
      </c>
      <c r="L23">
        <v>191872</v>
      </c>
      <c r="M23" t="s">
        <v>135</v>
      </c>
      <c r="N23" t="s">
        <v>120</v>
      </c>
      <c r="O23" t="s">
        <v>51</v>
      </c>
      <c r="P23" s="1">
        <v>45306</v>
      </c>
      <c r="Q23">
        <v>1715</v>
      </c>
      <c r="R23">
        <v>2994</v>
      </c>
      <c r="S23" t="s">
        <v>23</v>
      </c>
      <c r="T23">
        <v>6</v>
      </c>
      <c r="U23" t="s">
        <v>58</v>
      </c>
      <c r="V23" t="s">
        <v>24</v>
      </c>
      <c r="W23" t="s">
        <v>23</v>
      </c>
    </row>
    <row r="24" spans="1:23" x14ac:dyDescent="0.3">
      <c r="A24" t="s">
        <v>136</v>
      </c>
      <c r="B24" t="s">
        <v>137</v>
      </c>
      <c r="C24" t="s">
        <v>107</v>
      </c>
      <c r="D24" t="s">
        <v>38</v>
      </c>
      <c r="E24" t="s">
        <v>16</v>
      </c>
      <c r="F24" t="s">
        <v>17</v>
      </c>
      <c r="G24" t="s">
        <v>18</v>
      </c>
      <c r="H24" t="s">
        <v>56</v>
      </c>
      <c r="I24" t="str">
        <f>LEFT(H24,FIND(" (",H24)-1)</f>
        <v>Mid</v>
      </c>
      <c r="J24" t="str">
        <f>MID(H24,FIND("(",H24)+1,FIND(")",H24)-FIND("(",H24)-1)</f>
        <v>2-5 yrs</v>
      </c>
      <c r="L24">
        <v>111337</v>
      </c>
      <c r="M24" t="s">
        <v>138</v>
      </c>
      <c r="N24" t="s">
        <v>33</v>
      </c>
      <c r="O24" t="s">
        <v>51</v>
      </c>
      <c r="P24" s="1">
        <v>45515</v>
      </c>
      <c r="Q24">
        <v>586</v>
      </c>
      <c r="R24">
        <v>3896</v>
      </c>
      <c r="S24" t="s">
        <v>23</v>
      </c>
      <c r="T24">
        <v>2</v>
      </c>
      <c r="U24" t="s">
        <v>45</v>
      </c>
      <c r="V24" t="s">
        <v>24</v>
      </c>
      <c r="W24" t="s">
        <v>23</v>
      </c>
    </row>
    <row r="25" spans="1:23" x14ac:dyDescent="0.3">
      <c r="A25" t="s">
        <v>139</v>
      </c>
      <c r="B25" t="s">
        <v>13</v>
      </c>
      <c r="C25" t="s">
        <v>48</v>
      </c>
      <c r="D25" t="s">
        <v>125</v>
      </c>
      <c r="E25" t="s">
        <v>76</v>
      </c>
      <c r="F25" t="s">
        <v>77</v>
      </c>
      <c r="G25" t="s">
        <v>18</v>
      </c>
      <c r="H25" t="s">
        <v>66</v>
      </c>
      <c r="I25" t="str">
        <f>LEFT(H25,FIND(" (",H25)-1)</f>
        <v>Senior</v>
      </c>
      <c r="J25" t="str">
        <f>MID(H25,FIND("(",H25)+1,FIND(")",H25)-FIND("(",H25)-1)</f>
        <v>5-8 yrs</v>
      </c>
      <c r="L25">
        <v>111531</v>
      </c>
      <c r="M25" t="s">
        <v>140</v>
      </c>
      <c r="N25" t="s">
        <v>141</v>
      </c>
      <c r="O25" t="s">
        <v>51</v>
      </c>
      <c r="P25" s="1">
        <v>45501</v>
      </c>
      <c r="Q25">
        <v>1532</v>
      </c>
      <c r="R25">
        <v>1673</v>
      </c>
      <c r="S25" t="s">
        <v>23</v>
      </c>
      <c r="T25">
        <v>4</v>
      </c>
      <c r="U25" t="s">
        <v>5123</v>
      </c>
      <c r="V25" t="s">
        <v>24</v>
      </c>
      <c r="W25" t="s">
        <v>34</v>
      </c>
    </row>
    <row r="26" spans="1:23" x14ac:dyDescent="0.3">
      <c r="A26" t="s">
        <v>142</v>
      </c>
      <c r="B26" t="s">
        <v>143</v>
      </c>
      <c r="C26" t="s">
        <v>107</v>
      </c>
      <c r="D26" t="s">
        <v>125</v>
      </c>
      <c r="E26" t="s">
        <v>39</v>
      </c>
      <c r="F26" t="s">
        <v>40</v>
      </c>
      <c r="G26" t="s">
        <v>18</v>
      </c>
      <c r="H26" t="s">
        <v>66</v>
      </c>
      <c r="I26" t="str">
        <f>LEFT(H26,FIND(" (",H26)-1)</f>
        <v>Senior</v>
      </c>
      <c r="J26" t="str">
        <f>MID(H26,FIND("(",H26)+1,FIND(")",H26)-FIND("(",H26)-1)</f>
        <v>5-8 yrs</v>
      </c>
      <c r="L26">
        <v>135301</v>
      </c>
      <c r="M26" t="s">
        <v>144</v>
      </c>
      <c r="N26" t="s">
        <v>33</v>
      </c>
      <c r="O26" t="s">
        <v>51</v>
      </c>
      <c r="P26" s="1">
        <v>45637</v>
      </c>
      <c r="Q26">
        <v>1462</v>
      </c>
      <c r="R26">
        <v>2121</v>
      </c>
      <c r="S26" t="s">
        <v>23</v>
      </c>
      <c r="T26">
        <v>4</v>
      </c>
      <c r="U26" t="s">
        <v>83</v>
      </c>
      <c r="V26" t="s">
        <v>24</v>
      </c>
      <c r="W26" t="s">
        <v>23</v>
      </c>
    </row>
    <row r="27" spans="1:23" x14ac:dyDescent="0.3">
      <c r="A27" t="s">
        <v>145</v>
      </c>
      <c r="B27" t="s">
        <v>91</v>
      </c>
      <c r="C27" t="s">
        <v>146</v>
      </c>
      <c r="D27" t="s">
        <v>147</v>
      </c>
      <c r="E27" t="s">
        <v>29</v>
      </c>
      <c r="F27" t="s">
        <v>30</v>
      </c>
      <c r="G27" t="s">
        <v>55</v>
      </c>
      <c r="H27" t="s">
        <v>66</v>
      </c>
      <c r="I27" t="str">
        <f>LEFT(H27,FIND(" (",H27)-1)</f>
        <v>Senior</v>
      </c>
      <c r="J27" t="str">
        <f>MID(H27,FIND("(",H27)+1,FIND(")",H27)-FIND("(",H27)-1)</f>
        <v>5-8 yrs</v>
      </c>
      <c r="L27">
        <v>152994</v>
      </c>
      <c r="M27" t="s">
        <v>148</v>
      </c>
      <c r="N27" t="s">
        <v>149</v>
      </c>
      <c r="O27" t="s">
        <v>44</v>
      </c>
      <c r="P27" s="1">
        <v>45367</v>
      </c>
      <c r="Q27">
        <v>1096</v>
      </c>
      <c r="R27">
        <v>2952</v>
      </c>
      <c r="S27" t="s">
        <v>23</v>
      </c>
      <c r="T27">
        <v>4</v>
      </c>
      <c r="U27" t="s">
        <v>58</v>
      </c>
      <c r="V27" t="s">
        <v>24</v>
      </c>
      <c r="W27" t="s">
        <v>34</v>
      </c>
    </row>
    <row r="28" spans="1:23" x14ac:dyDescent="0.3">
      <c r="A28" t="s">
        <v>150</v>
      </c>
      <c r="B28" t="s">
        <v>151</v>
      </c>
      <c r="C28" t="s">
        <v>48</v>
      </c>
      <c r="D28" t="s">
        <v>75</v>
      </c>
      <c r="E28" t="s">
        <v>5139</v>
      </c>
      <c r="F28" t="s">
        <v>5133</v>
      </c>
      <c r="G28" t="s">
        <v>18</v>
      </c>
      <c r="H28" t="s">
        <v>19</v>
      </c>
      <c r="I28" t="str">
        <f>LEFT(H28,FIND(" (",H28)-1)</f>
        <v>Entry</v>
      </c>
      <c r="J28" t="str">
        <f>MID(H28,FIND("(",H28)+1,FIND(")",H28)-FIND("(",H28)-1)</f>
        <v>0-2 yrs</v>
      </c>
      <c r="L28">
        <v>55497</v>
      </c>
      <c r="M28" t="s">
        <v>152</v>
      </c>
      <c r="N28" t="s">
        <v>33</v>
      </c>
      <c r="O28" t="s">
        <v>79</v>
      </c>
      <c r="P28" s="1">
        <v>45703</v>
      </c>
      <c r="Q28">
        <v>1599</v>
      </c>
      <c r="R28">
        <v>3901</v>
      </c>
      <c r="S28" t="s">
        <v>23</v>
      </c>
      <c r="T28">
        <v>0</v>
      </c>
      <c r="U28" t="s">
        <v>58</v>
      </c>
      <c r="V28" t="s">
        <v>24</v>
      </c>
      <c r="W28" t="s">
        <v>23</v>
      </c>
    </row>
    <row r="29" spans="1:23" x14ac:dyDescent="0.3">
      <c r="A29" t="s">
        <v>153</v>
      </c>
      <c r="B29" t="s">
        <v>131</v>
      </c>
      <c r="C29" t="s">
        <v>62</v>
      </c>
      <c r="D29" t="s">
        <v>63</v>
      </c>
      <c r="E29" t="s">
        <v>133</v>
      </c>
      <c r="F29" t="s">
        <v>134</v>
      </c>
      <c r="G29" t="s">
        <v>18</v>
      </c>
      <c r="H29" t="s">
        <v>31</v>
      </c>
      <c r="I29" t="str">
        <f>LEFT(H29,FIND(" (",H29)-1)</f>
        <v>Staff/Principal</v>
      </c>
      <c r="J29" t="str">
        <f>MID(H29,FIND("(",H29)+1,FIND(")",H29)-FIND("(",H29)-1)</f>
        <v>8+ yrs</v>
      </c>
      <c r="L29">
        <v>213525</v>
      </c>
      <c r="M29" t="s">
        <v>154</v>
      </c>
      <c r="N29" t="s">
        <v>33</v>
      </c>
      <c r="O29" t="s">
        <v>51</v>
      </c>
      <c r="P29" s="1">
        <v>45373</v>
      </c>
      <c r="Q29">
        <v>1424</v>
      </c>
      <c r="R29">
        <v>1811</v>
      </c>
      <c r="S29" t="s">
        <v>34</v>
      </c>
      <c r="T29">
        <v>6</v>
      </c>
      <c r="U29" t="s">
        <v>45</v>
      </c>
      <c r="V29" t="s">
        <v>24</v>
      </c>
      <c r="W29" t="s">
        <v>34</v>
      </c>
    </row>
    <row r="30" spans="1:23" x14ac:dyDescent="0.3">
      <c r="A30" t="s">
        <v>155</v>
      </c>
      <c r="B30" t="s">
        <v>26</v>
      </c>
      <c r="C30" t="s">
        <v>146</v>
      </c>
      <c r="D30" t="s">
        <v>147</v>
      </c>
      <c r="E30" t="s">
        <v>64</v>
      </c>
      <c r="F30" t="s">
        <v>65</v>
      </c>
      <c r="G30" t="s">
        <v>18</v>
      </c>
      <c r="H30" t="s">
        <v>19</v>
      </c>
      <c r="I30" t="str">
        <f>LEFT(H30,FIND(" (",H30)-1)</f>
        <v>Entry</v>
      </c>
      <c r="J30" t="str">
        <f>MID(H30,FIND("(",H30)+1,FIND(")",H30)-FIND("(",H30)-1)</f>
        <v>0-2 yrs</v>
      </c>
      <c r="L30">
        <v>62431</v>
      </c>
      <c r="M30" t="s">
        <v>156</v>
      </c>
      <c r="N30" t="s">
        <v>94</v>
      </c>
      <c r="O30" t="s">
        <v>22</v>
      </c>
      <c r="P30" s="1">
        <v>45488</v>
      </c>
      <c r="Q30">
        <v>2020</v>
      </c>
      <c r="R30">
        <v>1605</v>
      </c>
      <c r="S30" t="s">
        <v>99</v>
      </c>
      <c r="T30">
        <v>0</v>
      </c>
      <c r="U30" t="s">
        <v>83</v>
      </c>
      <c r="V30" t="s">
        <v>46</v>
      </c>
      <c r="W30" t="s">
        <v>34</v>
      </c>
    </row>
    <row r="31" spans="1:23" x14ac:dyDescent="0.3">
      <c r="A31" t="s">
        <v>157</v>
      </c>
      <c r="B31" t="s">
        <v>143</v>
      </c>
      <c r="C31" t="s">
        <v>158</v>
      </c>
      <c r="D31" t="s">
        <v>111</v>
      </c>
      <c r="E31" t="s">
        <v>159</v>
      </c>
      <c r="F31" t="s">
        <v>160</v>
      </c>
      <c r="G31" t="s">
        <v>18</v>
      </c>
      <c r="H31" t="s">
        <v>31</v>
      </c>
      <c r="I31" t="str">
        <f>LEFT(H31,FIND(" (",H31)-1)</f>
        <v>Staff/Principal</v>
      </c>
      <c r="J31" t="str">
        <f>MID(H31,FIND("(",H31)+1,FIND(")",H31)-FIND("(",H31)-1)</f>
        <v>8+ yrs</v>
      </c>
      <c r="L31">
        <v>189499</v>
      </c>
      <c r="M31" t="s">
        <v>161</v>
      </c>
      <c r="N31" t="s">
        <v>94</v>
      </c>
      <c r="O31" t="s">
        <v>44</v>
      </c>
      <c r="P31" s="1">
        <v>45472</v>
      </c>
      <c r="Q31">
        <v>2299</v>
      </c>
      <c r="R31">
        <v>908</v>
      </c>
      <c r="S31" t="s">
        <v>23</v>
      </c>
      <c r="T31">
        <v>6</v>
      </c>
      <c r="U31" t="s">
        <v>58</v>
      </c>
      <c r="V31" t="s">
        <v>24</v>
      </c>
      <c r="W31" t="s">
        <v>34</v>
      </c>
    </row>
    <row r="32" spans="1:23" x14ac:dyDescent="0.3">
      <c r="A32" t="s">
        <v>162</v>
      </c>
      <c r="B32" t="s">
        <v>137</v>
      </c>
      <c r="C32" t="s">
        <v>128</v>
      </c>
      <c r="D32" t="s">
        <v>63</v>
      </c>
      <c r="E32" t="s">
        <v>39</v>
      </c>
      <c r="F32" t="s">
        <v>40</v>
      </c>
      <c r="G32" t="s">
        <v>55</v>
      </c>
      <c r="H32" t="s">
        <v>56</v>
      </c>
      <c r="I32" t="str">
        <f>LEFT(H32,FIND(" (",H32)-1)</f>
        <v>Mid</v>
      </c>
      <c r="J32" t="str">
        <f>MID(H32,FIND("(",H32)+1,FIND(")",H32)-FIND("(",H32)-1)</f>
        <v>2-5 yrs</v>
      </c>
      <c r="L32">
        <v>98086</v>
      </c>
      <c r="M32" t="s">
        <v>163</v>
      </c>
      <c r="N32" t="s">
        <v>68</v>
      </c>
      <c r="O32" t="s">
        <v>22</v>
      </c>
      <c r="P32" s="1">
        <v>45610</v>
      </c>
      <c r="Q32">
        <v>1365</v>
      </c>
      <c r="R32">
        <v>1562</v>
      </c>
      <c r="S32" t="s">
        <v>23</v>
      </c>
      <c r="T32">
        <v>2</v>
      </c>
      <c r="U32" t="s">
        <v>58</v>
      </c>
      <c r="V32" t="s">
        <v>24</v>
      </c>
      <c r="W32" t="s">
        <v>23</v>
      </c>
    </row>
    <row r="33" spans="1:23" x14ac:dyDescent="0.3">
      <c r="A33" t="s">
        <v>164</v>
      </c>
      <c r="B33" t="s">
        <v>137</v>
      </c>
      <c r="C33" t="s">
        <v>71</v>
      </c>
      <c r="D33" t="s">
        <v>15</v>
      </c>
      <c r="E33" t="s">
        <v>5139</v>
      </c>
      <c r="F33" t="s">
        <v>5133</v>
      </c>
      <c r="G33" t="s">
        <v>18</v>
      </c>
      <c r="H33" t="s">
        <v>66</v>
      </c>
      <c r="I33" t="str">
        <f>LEFT(H33,FIND(" (",H33)-1)</f>
        <v>Senior</v>
      </c>
      <c r="J33" t="str">
        <f>MID(H33,FIND("(",H33)+1,FIND(")",H33)-FIND("(",H33)-1)</f>
        <v>5-8 yrs</v>
      </c>
      <c r="L33">
        <v>200011</v>
      </c>
      <c r="M33" t="s">
        <v>165</v>
      </c>
      <c r="N33" t="s">
        <v>33</v>
      </c>
      <c r="O33" t="s">
        <v>44</v>
      </c>
      <c r="P33" s="1">
        <v>45333</v>
      </c>
      <c r="Q33">
        <v>1312</v>
      </c>
      <c r="R33">
        <v>826</v>
      </c>
      <c r="S33" t="s">
        <v>23</v>
      </c>
      <c r="T33">
        <v>4</v>
      </c>
      <c r="U33" t="s">
        <v>83</v>
      </c>
      <c r="V33" t="s">
        <v>24</v>
      </c>
      <c r="W33" t="s">
        <v>34</v>
      </c>
    </row>
    <row r="34" spans="1:23" x14ac:dyDescent="0.3">
      <c r="A34" t="s">
        <v>166</v>
      </c>
      <c r="B34" t="s">
        <v>13</v>
      </c>
      <c r="C34" t="s">
        <v>167</v>
      </c>
      <c r="D34" t="s">
        <v>28</v>
      </c>
      <c r="E34" t="s">
        <v>39</v>
      </c>
      <c r="F34" t="s">
        <v>40</v>
      </c>
      <c r="G34" t="s">
        <v>41</v>
      </c>
      <c r="H34" t="s">
        <v>56</v>
      </c>
      <c r="I34" t="str">
        <f>LEFT(H34,FIND(" (",H34)-1)</f>
        <v>Mid</v>
      </c>
      <c r="J34" t="str">
        <f>MID(H34,FIND("(",H34)+1,FIND(")",H34)-FIND("(",H34)-1)</f>
        <v>2-5 yrs</v>
      </c>
      <c r="L34">
        <v>109732</v>
      </c>
      <c r="M34" t="s">
        <v>168</v>
      </c>
      <c r="N34" t="s">
        <v>33</v>
      </c>
      <c r="O34" t="s">
        <v>22</v>
      </c>
      <c r="P34" s="1">
        <v>45684</v>
      </c>
      <c r="Q34">
        <v>405</v>
      </c>
      <c r="R34">
        <v>3814</v>
      </c>
      <c r="S34" t="s">
        <v>23</v>
      </c>
      <c r="T34">
        <v>2</v>
      </c>
      <c r="U34" t="s">
        <v>58</v>
      </c>
      <c r="V34" t="s">
        <v>24</v>
      </c>
      <c r="W34" t="s">
        <v>23</v>
      </c>
    </row>
    <row r="35" spans="1:23" x14ac:dyDescent="0.3">
      <c r="A35" t="s">
        <v>169</v>
      </c>
      <c r="B35" t="s">
        <v>70</v>
      </c>
      <c r="C35" t="s">
        <v>110</v>
      </c>
      <c r="D35" t="s">
        <v>75</v>
      </c>
      <c r="E35" t="s">
        <v>5137</v>
      </c>
      <c r="F35" t="s">
        <v>5138</v>
      </c>
      <c r="G35" t="s">
        <v>41</v>
      </c>
      <c r="H35" t="s">
        <v>56</v>
      </c>
      <c r="I35" t="str">
        <f>LEFT(H35,FIND(" (",H35)-1)</f>
        <v>Mid</v>
      </c>
      <c r="J35" t="str">
        <f>MID(H35,FIND("(",H35)+1,FIND(")",H35)-FIND("(",H35)-1)</f>
        <v>2-5 yrs</v>
      </c>
      <c r="L35">
        <v>89057</v>
      </c>
      <c r="M35" t="s">
        <v>170</v>
      </c>
      <c r="N35" t="s">
        <v>43</v>
      </c>
      <c r="O35" t="s">
        <v>51</v>
      </c>
      <c r="P35" s="1">
        <v>45446</v>
      </c>
      <c r="Q35">
        <v>351</v>
      </c>
      <c r="R35">
        <v>3489</v>
      </c>
      <c r="S35" t="s">
        <v>23</v>
      </c>
      <c r="T35">
        <v>2</v>
      </c>
      <c r="U35" t="s">
        <v>58</v>
      </c>
      <c r="V35" t="s">
        <v>24</v>
      </c>
      <c r="W35" t="s">
        <v>23</v>
      </c>
    </row>
    <row r="36" spans="1:23" x14ac:dyDescent="0.3">
      <c r="A36" t="s">
        <v>171</v>
      </c>
      <c r="B36" t="s">
        <v>172</v>
      </c>
      <c r="C36" t="s">
        <v>173</v>
      </c>
      <c r="D36" t="s">
        <v>174</v>
      </c>
      <c r="E36" t="s">
        <v>5139</v>
      </c>
      <c r="F36" t="s">
        <v>5133</v>
      </c>
      <c r="G36" t="s">
        <v>18</v>
      </c>
      <c r="H36" t="s">
        <v>56</v>
      </c>
      <c r="I36" t="str">
        <f>LEFT(H36,FIND(" (",H36)-1)</f>
        <v>Mid</v>
      </c>
      <c r="J36" t="str">
        <f>MID(H36,FIND("(",H36)+1,FIND(")",H36)-FIND("(",H36)-1)</f>
        <v>2-5 yrs</v>
      </c>
      <c r="L36">
        <v>126286</v>
      </c>
      <c r="M36" t="s">
        <v>175</v>
      </c>
      <c r="N36" t="s">
        <v>21</v>
      </c>
      <c r="O36" t="s">
        <v>44</v>
      </c>
      <c r="P36" s="1">
        <v>45559</v>
      </c>
      <c r="Q36">
        <v>654</v>
      </c>
      <c r="R36">
        <v>1152</v>
      </c>
      <c r="S36" t="s">
        <v>99</v>
      </c>
      <c r="T36">
        <v>2</v>
      </c>
      <c r="U36" t="s">
        <v>52</v>
      </c>
      <c r="V36" t="s">
        <v>59</v>
      </c>
      <c r="W36" t="s">
        <v>23</v>
      </c>
    </row>
    <row r="37" spans="1:23" x14ac:dyDescent="0.3">
      <c r="A37" t="s">
        <v>176</v>
      </c>
      <c r="B37" t="s">
        <v>137</v>
      </c>
      <c r="C37" t="s">
        <v>86</v>
      </c>
      <c r="D37" t="s">
        <v>111</v>
      </c>
      <c r="E37" t="s">
        <v>5140</v>
      </c>
      <c r="F37" t="s">
        <v>5133</v>
      </c>
      <c r="G37" t="s">
        <v>41</v>
      </c>
      <c r="H37" t="s">
        <v>66</v>
      </c>
      <c r="I37" t="str">
        <f>LEFT(H37,FIND(" (",H37)-1)</f>
        <v>Senior</v>
      </c>
      <c r="J37" t="str">
        <f>MID(H37,FIND("(",H37)+1,FIND(")",H37)-FIND("(",H37)-1)</f>
        <v>5-8 yrs</v>
      </c>
      <c r="L37">
        <v>117037</v>
      </c>
      <c r="M37" t="s">
        <v>177</v>
      </c>
      <c r="N37" t="s">
        <v>120</v>
      </c>
      <c r="O37" t="s">
        <v>44</v>
      </c>
      <c r="P37" s="1">
        <v>45458</v>
      </c>
      <c r="Q37">
        <v>1431</v>
      </c>
      <c r="R37">
        <v>2286</v>
      </c>
      <c r="S37" t="s">
        <v>34</v>
      </c>
      <c r="T37">
        <v>4</v>
      </c>
      <c r="U37" t="s">
        <v>52</v>
      </c>
      <c r="V37" t="s">
        <v>24</v>
      </c>
      <c r="W37" t="s">
        <v>23</v>
      </c>
    </row>
    <row r="38" spans="1:23" x14ac:dyDescent="0.3">
      <c r="A38" t="s">
        <v>178</v>
      </c>
      <c r="B38" t="s">
        <v>96</v>
      </c>
      <c r="C38" t="s">
        <v>179</v>
      </c>
      <c r="D38" t="s">
        <v>111</v>
      </c>
      <c r="E38" t="s">
        <v>159</v>
      </c>
      <c r="F38" t="s">
        <v>160</v>
      </c>
      <c r="G38" t="s">
        <v>41</v>
      </c>
      <c r="H38" t="s">
        <v>56</v>
      </c>
      <c r="I38" t="str">
        <f>LEFT(H38,FIND(" (",H38)-1)</f>
        <v>Mid</v>
      </c>
      <c r="J38" t="str">
        <f>MID(H38,FIND("(",H38)+1,FIND(")",H38)-FIND("(",H38)-1)</f>
        <v>2-5 yrs</v>
      </c>
      <c r="L38">
        <v>114135</v>
      </c>
      <c r="M38" t="s">
        <v>180</v>
      </c>
      <c r="N38" t="s">
        <v>33</v>
      </c>
      <c r="O38" t="s">
        <v>51</v>
      </c>
      <c r="P38" s="1">
        <v>45543</v>
      </c>
      <c r="Q38">
        <v>2474</v>
      </c>
      <c r="R38">
        <v>1418</v>
      </c>
      <c r="S38" t="s">
        <v>23</v>
      </c>
      <c r="T38">
        <v>2</v>
      </c>
      <c r="U38" t="s">
        <v>83</v>
      </c>
      <c r="V38" t="s">
        <v>24</v>
      </c>
      <c r="W38" t="s">
        <v>23</v>
      </c>
    </row>
    <row r="39" spans="1:23" x14ac:dyDescent="0.3">
      <c r="A39" t="s">
        <v>181</v>
      </c>
      <c r="B39" t="s">
        <v>36</v>
      </c>
      <c r="C39" t="s">
        <v>182</v>
      </c>
      <c r="D39" t="s">
        <v>125</v>
      </c>
      <c r="E39" t="s">
        <v>16</v>
      </c>
      <c r="F39" t="s">
        <v>17</v>
      </c>
      <c r="G39" t="s">
        <v>18</v>
      </c>
      <c r="H39" t="s">
        <v>66</v>
      </c>
      <c r="I39" t="str">
        <f>LEFT(H39,FIND(" (",H39)-1)</f>
        <v>Senior</v>
      </c>
      <c r="J39" t="str">
        <f>MID(H39,FIND("(",H39)+1,FIND(")",H39)-FIND("(",H39)-1)</f>
        <v>5-8 yrs</v>
      </c>
      <c r="L39">
        <v>97088</v>
      </c>
      <c r="M39" t="s">
        <v>183</v>
      </c>
      <c r="N39" t="s">
        <v>33</v>
      </c>
      <c r="O39" t="s">
        <v>22</v>
      </c>
      <c r="P39" s="1">
        <v>45661</v>
      </c>
      <c r="Q39">
        <v>2283</v>
      </c>
      <c r="R39">
        <v>1142</v>
      </c>
      <c r="S39" t="s">
        <v>23</v>
      </c>
      <c r="T39">
        <v>4</v>
      </c>
      <c r="U39" t="s">
        <v>83</v>
      </c>
      <c r="V39" t="s">
        <v>24</v>
      </c>
      <c r="W39" t="s">
        <v>23</v>
      </c>
    </row>
    <row r="40" spans="1:23" x14ac:dyDescent="0.3">
      <c r="A40" t="s">
        <v>184</v>
      </c>
      <c r="B40" t="s">
        <v>106</v>
      </c>
      <c r="C40" t="s">
        <v>74</v>
      </c>
      <c r="D40" t="s">
        <v>28</v>
      </c>
      <c r="E40" t="s">
        <v>29</v>
      </c>
      <c r="F40" t="s">
        <v>30</v>
      </c>
      <c r="G40" t="s">
        <v>18</v>
      </c>
      <c r="H40" t="s">
        <v>66</v>
      </c>
      <c r="I40" t="str">
        <f>LEFT(H40,FIND(" (",H40)-1)</f>
        <v>Senior</v>
      </c>
      <c r="J40" t="str">
        <f>MID(H40,FIND("(",H40)+1,FIND(")",H40)-FIND("(",H40)-1)</f>
        <v>5-8 yrs</v>
      </c>
      <c r="L40">
        <v>114138</v>
      </c>
      <c r="M40" t="s">
        <v>185</v>
      </c>
      <c r="N40" t="s">
        <v>186</v>
      </c>
      <c r="O40" t="s">
        <v>51</v>
      </c>
      <c r="P40" s="1">
        <v>45446</v>
      </c>
      <c r="Q40">
        <v>817</v>
      </c>
      <c r="R40">
        <v>2622</v>
      </c>
      <c r="S40" t="s">
        <v>99</v>
      </c>
      <c r="T40">
        <v>4</v>
      </c>
      <c r="U40" t="s">
        <v>58</v>
      </c>
      <c r="V40" t="s">
        <v>24</v>
      </c>
      <c r="W40" t="s">
        <v>34</v>
      </c>
    </row>
    <row r="41" spans="1:23" x14ac:dyDescent="0.3">
      <c r="A41" t="s">
        <v>187</v>
      </c>
      <c r="B41" t="s">
        <v>81</v>
      </c>
      <c r="C41" t="s">
        <v>54</v>
      </c>
      <c r="D41" t="s">
        <v>63</v>
      </c>
      <c r="E41" t="s">
        <v>159</v>
      </c>
      <c r="F41" t="s">
        <v>160</v>
      </c>
      <c r="G41" t="s">
        <v>18</v>
      </c>
      <c r="H41" t="s">
        <v>31</v>
      </c>
      <c r="I41" t="str">
        <f>LEFT(H41,FIND(" (",H41)-1)</f>
        <v>Staff/Principal</v>
      </c>
      <c r="J41" t="str">
        <f>MID(H41,FIND("(",H41)+1,FIND(")",H41)-FIND("(",H41)-1)</f>
        <v>8+ yrs</v>
      </c>
      <c r="L41">
        <v>207087</v>
      </c>
      <c r="M41" t="s">
        <v>188</v>
      </c>
      <c r="N41" t="s">
        <v>149</v>
      </c>
      <c r="O41" t="s">
        <v>22</v>
      </c>
      <c r="P41" s="1">
        <v>45386</v>
      </c>
      <c r="Q41">
        <v>519</v>
      </c>
      <c r="R41">
        <v>631</v>
      </c>
      <c r="S41" t="s">
        <v>34</v>
      </c>
      <c r="T41">
        <v>6</v>
      </c>
      <c r="U41" t="s">
        <v>83</v>
      </c>
      <c r="V41" t="s">
        <v>46</v>
      </c>
      <c r="W41" t="s">
        <v>34</v>
      </c>
    </row>
    <row r="42" spans="1:23" x14ac:dyDescent="0.3">
      <c r="A42" t="s">
        <v>189</v>
      </c>
      <c r="B42" t="s">
        <v>91</v>
      </c>
      <c r="C42" t="s">
        <v>179</v>
      </c>
      <c r="D42" t="s">
        <v>111</v>
      </c>
      <c r="E42" t="s">
        <v>133</v>
      </c>
      <c r="F42" t="s">
        <v>134</v>
      </c>
      <c r="G42" t="s">
        <v>41</v>
      </c>
      <c r="H42" t="s">
        <v>19</v>
      </c>
      <c r="I42" t="str">
        <f>LEFT(H42,FIND(" (",H42)-1)</f>
        <v>Entry</v>
      </c>
      <c r="J42" t="str">
        <f>MID(H42,FIND("(",H42)+1,FIND(")",H42)-FIND("(",H42)-1)</f>
        <v>0-2 yrs</v>
      </c>
      <c r="L42">
        <v>79304</v>
      </c>
      <c r="M42" t="s">
        <v>190</v>
      </c>
      <c r="N42" t="s">
        <v>33</v>
      </c>
      <c r="O42" t="s">
        <v>79</v>
      </c>
      <c r="P42" s="1">
        <v>45602</v>
      </c>
      <c r="Q42">
        <v>1550</v>
      </c>
      <c r="R42">
        <v>2339</v>
      </c>
      <c r="S42" t="s">
        <v>23</v>
      </c>
      <c r="T42">
        <v>0</v>
      </c>
      <c r="U42" t="s">
        <v>83</v>
      </c>
      <c r="V42" t="s">
        <v>46</v>
      </c>
      <c r="W42" t="s">
        <v>34</v>
      </c>
    </row>
    <row r="43" spans="1:23" x14ac:dyDescent="0.3">
      <c r="A43" t="s">
        <v>191</v>
      </c>
      <c r="B43" t="s">
        <v>106</v>
      </c>
      <c r="C43" t="s">
        <v>192</v>
      </c>
      <c r="D43" t="s">
        <v>28</v>
      </c>
      <c r="E43" t="s">
        <v>16</v>
      </c>
      <c r="F43" t="s">
        <v>17</v>
      </c>
      <c r="G43" t="s">
        <v>41</v>
      </c>
      <c r="H43" t="s">
        <v>56</v>
      </c>
      <c r="I43" t="str">
        <f>LEFT(H43,FIND(" (",H43)-1)</f>
        <v>Mid</v>
      </c>
      <c r="J43" t="str">
        <f>MID(H43,FIND("(",H43)+1,FIND(")",H43)-FIND("(",H43)-1)</f>
        <v>2-5 yrs</v>
      </c>
      <c r="L43">
        <v>113393</v>
      </c>
      <c r="M43" t="s">
        <v>193</v>
      </c>
      <c r="N43" t="s">
        <v>21</v>
      </c>
      <c r="O43" t="s">
        <v>22</v>
      </c>
      <c r="P43" s="1">
        <v>45372</v>
      </c>
      <c r="Q43">
        <v>1480</v>
      </c>
      <c r="R43">
        <v>2905</v>
      </c>
      <c r="S43" t="s">
        <v>23</v>
      </c>
      <c r="T43">
        <v>2</v>
      </c>
      <c r="U43" t="s">
        <v>58</v>
      </c>
      <c r="V43" t="s">
        <v>24</v>
      </c>
      <c r="W43" t="s">
        <v>34</v>
      </c>
    </row>
    <row r="44" spans="1:23" x14ac:dyDescent="0.3">
      <c r="A44" t="s">
        <v>194</v>
      </c>
      <c r="B44" t="s">
        <v>36</v>
      </c>
      <c r="C44" t="s">
        <v>195</v>
      </c>
      <c r="D44" t="s">
        <v>111</v>
      </c>
      <c r="E44" t="s">
        <v>5139</v>
      </c>
      <c r="F44" t="s">
        <v>5133</v>
      </c>
      <c r="G44" t="s">
        <v>18</v>
      </c>
      <c r="H44" t="s">
        <v>56</v>
      </c>
      <c r="I44" t="str">
        <f>LEFT(H44,FIND(" (",H44)-1)</f>
        <v>Mid</v>
      </c>
      <c r="J44" t="str">
        <f>MID(H44,FIND("(",H44)+1,FIND(")",H44)-FIND("(",H44)-1)</f>
        <v>2-5 yrs</v>
      </c>
      <c r="L44">
        <v>107710</v>
      </c>
      <c r="M44" t="s">
        <v>196</v>
      </c>
      <c r="N44" t="s">
        <v>120</v>
      </c>
      <c r="O44" t="s">
        <v>79</v>
      </c>
      <c r="P44" s="1">
        <v>45407</v>
      </c>
      <c r="Q44">
        <v>2098</v>
      </c>
      <c r="R44">
        <v>519</v>
      </c>
      <c r="S44" t="s">
        <v>23</v>
      </c>
      <c r="T44">
        <v>2</v>
      </c>
      <c r="U44" t="s">
        <v>45</v>
      </c>
      <c r="V44" t="s">
        <v>24</v>
      </c>
      <c r="W44" t="s">
        <v>23</v>
      </c>
    </row>
    <row r="45" spans="1:23" x14ac:dyDescent="0.3">
      <c r="A45" t="s">
        <v>197</v>
      </c>
      <c r="B45" t="s">
        <v>131</v>
      </c>
      <c r="C45" t="s">
        <v>37</v>
      </c>
      <c r="D45" t="s">
        <v>15</v>
      </c>
      <c r="E45" t="s">
        <v>39</v>
      </c>
      <c r="F45" t="s">
        <v>40</v>
      </c>
      <c r="G45" t="s">
        <v>18</v>
      </c>
      <c r="H45" t="s">
        <v>31</v>
      </c>
      <c r="I45" t="str">
        <f>LEFT(H45,FIND(" (",H45)-1)</f>
        <v>Staff/Principal</v>
      </c>
      <c r="J45" t="str">
        <f>MID(H45,FIND("(",H45)+1,FIND(")",H45)-FIND("(",H45)-1)</f>
        <v>8+ yrs</v>
      </c>
      <c r="L45">
        <v>189160</v>
      </c>
      <c r="M45" t="s">
        <v>198</v>
      </c>
      <c r="N45" t="s">
        <v>21</v>
      </c>
      <c r="O45" t="s">
        <v>79</v>
      </c>
      <c r="P45" s="1">
        <v>45312</v>
      </c>
      <c r="Q45">
        <v>1403</v>
      </c>
      <c r="R45">
        <v>2370</v>
      </c>
      <c r="S45" t="s">
        <v>34</v>
      </c>
      <c r="T45">
        <v>6</v>
      </c>
      <c r="U45" t="s">
        <v>52</v>
      </c>
      <c r="V45" t="s">
        <v>24</v>
      </c>
      <c r="W45" t="s">
        <v>23</v>
      </c>
    </row>
    <row r="46" spans="1:23" x14ac:dyDescent="0.3">
      <c r="A46" t="s">
        <v>199</v>
      </c>
      <c r="B46" t="s">
        <v>36</v>
      </c>
      <c r="C46" t="s">
        <v>128</v>
      </c>
      <c r="D46" t="s">
        <v>125</v>
      </c>
      <c r="E46" t="s">
        <v>200</v>
      </c>
      <c r="F46" t="s">
        <v>201</v>
      </c>
      <c r="G46" t="s">
        <v>18</v>
      </c>
      <c r="H46" t="s">
        <v>56</v>
      </c>
      <c r="I46" t="str">
        <f>LEFT(H46,FIND(" (",H46)-1)</f>
        <v>Mid</v>
      </c>
      <c r="J46" t="str">
        <f>MID(H46,FIND("(",H46)+1,FIND(")",H46)-FIND("(",H46)-1)</f>
        <v>2-5 yrs</v>
      </c>
      <c r="L46">
        <v>80725</v>
      </c>
      <c r="M46" t="s">
        <v>202</v>
      </c>
      <c r="N46" t="s">
        <v>33</v>
      </c>
      <c r="O46" t="s">
        <v>51</v>
      </c>
      <c r="P46" s="1">
        <v>45708</v>
      </c>
      <c r="Q46">
        <v>2329</v>
      </c>
      <c r="R46">
        <v>1190</v>
      </c>
      <c r="S46" t="s">
        <v>23</v>
      </c>
      <c r="T46">
        <v>2</v>
      </c>
      <c r="U46" t="s">
        <v>58</v>
      </c>
      <c r="V46" t="s">
        <v>59</v>
      </c>
      <c r="W46" t="s">
        <v>23</v>
      </c>
    </row>
    <row r="47" spans="1:23" x14ac:dyDescent="0.3">
      <c r="A47" t="s">
        <v>203</v>
      </c>
      <c r="B47" t="s">
        <v>172</v>
      </c>
      <c r="C47" t="s">
        <v>204</v>
      </c>
      <c r="D47" t="s">
        <v>75</v>
      </c>
      <c r="E47" t="s">
        <v>5132</v>
      </c>
      <c r="F47" t="s">
        <v>5133</v>
      </c>
      <c r="G47" t="s">
        <v>18</v>
      </c>
      <c r="H47" t="s">
        <v>19</v>
      </c>
      <c r="I47" t="str">
        <f>LEFT(H47,FIND(" (",H47)-1)</f>
        <v>Entry</v>
      </c>
      <c r="J47" t="str">
        <f>MID(H47,FIND("(",H47)+1,FIND(")",H47)-FIND("(",H47)-1)</f>
        <v>0-2 yrs</v>
      </c>
      <c r="L47">
        <v>60929</v>
      </c>
      <c r="M47" t="s">
        <v>205</v>
      </c>
      <c r="N47" t="s">
        <v>186</v>
      </c>
      <c r="O47" t="s">
        <v>51</v>
      </c>
      <c r="P47" s="1">
        <v>45351</v>
      </c>
      <c r="Q47">
        <v>2341</v>
      </c>
      <c r="R47">
        <v>2571</v>
      </c>
      <c r="S47" t="s">
        <v>23</v>
      </c>
      <c r="T47">
        <v>0</v>
      </c>
      <c r="U47" t="s">
        <v>5123</v>
      </c>
      <c r="V47" t="s">
        <v>24</v>
      </c>
      <c r="W47" t="s">
        <v>23</v>
      </c>
    </row>
    <row r="48" spans="1:23" x14ac:dyDescent="0.3">
      <c r="A48" t="s">
        <v>206</v>
      </c>
      <c r="B48" t="s">
        <v>81</v>
      </c>
      <c r="C48" t="s">
        <v>92</v>
      </c>
      <c r="D48" t="s">
        <v>49</v>
      </c>
      <c r="E48" t="s">
        <v>159</v>
      </c>
      <c r="F48" t="s">
        <v>160</v>
      </c>
      <c r="G48" t="s">
        <v>18</v>
      </c>
      <c r="H48" t="s">
        <v>31</v>
      </c>
      <c r="I48" t="str">
        <f>LEFT(H48,FIND(" (",H48)-1)</f>
        <v>Staff/Principal</v>
      </c>
      <c r="J48" t="str">
        <f>MID(H48,FIND("(",H48)+1,FIND(")",H48)-FIND("(",H48)-1)</f>
        <v>8+ yrs</v>
      </c>
      <c r="L48">
        <v>183417</v>
      </c>
      <c r="M48" t="s">
        <v>207</v>
      </c>
      <c r="N48" t="s">
        <v>149</v>
      </c>
      <c r="O48" t="s">
        <v>51</v>
      </c>
      <c r="P48" s="1">
        <v>45614</v>
      </c>
      <c r="Q48">
        <v>781</v>
      </c>
      <c r="R48">
        <v>2663</v>
      </c>
      <c r="S48" t="s">
        <v>23</v>
      </c>
      <c r="T48">
        <v>6</v>
      </c>
      <c r="U48" t="s">
        <v>58</v>
      </c>
      <c r="V48" t="s">
        <v>46</v>
      </c>
      <c r="W48" t="s">
        <v>34</v>
      </c>
    </row>
    <row r="49" spans="1:23" x14ac:dyDescent="0.3">
      <c r="A49" t="s">
        <v>208</v>
      </c>
      <c r="B49" t="s">
        <v>36</v>
      </c>
      <c r="C49" t="s">
        <v>209</v>
      </c>
      <c r="D49" t="s">
        <v>49</v>
      </c>
      <c r="E49" t="s">
        <v>159</v>
      </c>
      <c r="F49" t="s">
        <v>160</v>
      </c>
      <c r="G49" t="s">
        <v>55</v>
      </c>
      <c r="H49" t="s">
        <v>31</v>
      </c>
      <c r="I49" t="str">
        <f>LEFT(H49,FIND(" (",H49)-1)</f>
        <v>Staff/Principal</v>
      </c>
      <c r="J49" t="str">
        <f>MID(H49,FIND("(",H49)+1,FIND(")",H49)-FIND("(",H49)-1)</f>
        <v>8+ yrs</v>
      </c>
      <c r="L49">
        <v>238056</v>
      </c>
      <c r="M49" t="s">
        <v>210</v>
      </c>
      <c r="N49" t="s">
        <v>33</v>
      </c>
      <c r="O49" t="s">
        <v>22</v>
      </c>
      <c r="P49" s="1">
        <v>45416</v>
      </c>
      <c r="Q49">
        <v>1999</v>
      </c>
      <c r="R49">
        <v>1402</v>
      </c>
      <c r="S49" t="s">
        <v>99</v>
      </c>
      <c r="T49">
        <v>6</v>
      </c>
      <c r="U49" t="s">
        <v>83</v>
      </c>
      <c r="V49" t="s">
        <v>24</v>
      </c>
      <c r="W49" t="s">
        <v>34</v>
      </c>
    </row>
    <row r="50" spans="1:23" x14ac:dyDescent="0.3">
      <c r="A50" t="s">
        <v>211</v>
      </c>
      <c r="B50" t="s">
        <v>81</v>
      </c>
      <c r="C50" t="s">
        <v>128</v>
      </c>
      <c r="D50" t="s">
        <v>38</v>
      </c>
      <c r="E50" t="s">
        <v>64</v>
      </c>
      <c r="F50" t="s">
        <v>65</v>
      </c>
      <c r="G50" t="s">
        <v>18</v>
      </c>
      <c r="H50" t="s">
        <v>31</v>
      </c>
      <c r="I50" t="str">
        <f>LEFT(H50,FIND(" (",H50)-1)</f>
        <v>Staff/Principal</v>
      </c>
      <c r="J50" t="str">
        <f>MID(H50,FIND("(",H50)+1,FIND(")",H50)-FIND("(",H50)-1)</f>
        <v>8+ yrs</v>
      </c>
      <c r="L50">
        <v>212370</v>
      </c>
      <c r="M50" t="s">
        <v>212</v>
      </c>
      <c r="N50" t="s">
        <v>33</v>
      </c>
      <c r="O50" t="s">
        <v>79</v>
      </c>
      <c r="P50" s="1">
        <v>45539</v>
      </c>
      <c r="Q50">
        <v>1278</v>
      </c>
      <c r="R50">
        <v>2352</v>
      </c>
      <c r="S50" t="s">
        <v>23</v>
      </c>
      <c r="T50">
        <v>6</v>
      </c>
      <c r="U50" t="s">
        <v>58</v>
      </c>
      <c r="V50" t="s">
        <v>24</v>
      </c>
      <c r="W50" t="s">
        <v>23</v>
      </c>
    </row>
    <row r="51" spans="1:23" x14ac:dyDescent="0.3">
      <c r="A51" t="s">
        <v>213</v>
      </c>
      <c r="B51" t="s">
        <v>137</v>
      </c>
      <c r="C51" t="s">
        <v>101</v>
      </c>
      <c r="D51" t="s">
        <v>75</v>
      </c>
      <c r="E51" t="s">
        <v>64</v>
      </c>
      <c r="F51" t="s">
        <v>65</v>
      </c>
      <c r="G51" t="s">
        <v>41</v>
      </c>
      <c r="H51" t="s">
        <v>31</v>
      </c>
      <c r="I51" t="str">
        <f>LEFT(H51,FIND(" (",H51)-1)</f>
        <v>Staff/Principal</v>
      </c>
      <c r="J51" t="str">
        <f>MID(H51,FIND("(",H51)+1,FIND(")",H51)-FIND("(",H51)-1)</f>
        <v>8+ yrs</v>
      </c>
      <c r="L51">
        <v>136530</v>
      </c>
      <c r="M51" t="s">
        <v>214</v>
      </c>
      <c r="N51" t="s">
        <v>89</v>
      </c>
      <c r="O51" t="s">
        <v>79</v>
      </c>
      <c r="P51" s="1">
        <v>45310</v>
      </c>
      <c r="Q51">
        <v>362</v>
      </c>
      <c r="R51">
        <v>2969</v>
      </c>
      <c r="S51" t="s">
        <v>34</v>
      </c>
      <c r="T51">
        <v>6</v>
      </c>
      <c r="U51" t="s">
        <v>52</v>
      </c>
      <c r="V51" t="s">
        <v>24</v>
      </c>
      <c r="W51" t="s">
        <v>23</v>
      </c>
    </row>
    <row r="52" spans="1:23" x14ac:dyDescent="0.3">
      <c r="A52" t="s">
        <v>215</v>
      </c>
      <c r="B52" t="s">
        <v>36</v>
      </c>
      <c r="C52" t="s">
        <v>54</v>
      </c>
      <c r="D52" t="s">
        <v>174</v>
      </c>
      <c r="E52" t="s">
        <v>216</v>
      </c>
      <c r="F52" t="s">
        <v>217</v>
      </c>
      <c r="G52" t="s">
        <v>41</v>
      </c>
      <c r="H52" t="s">
        <v>66</v>
      </c>
      <c r="I52" t="str">
        <f>LEFT(H52,FIND(" (",H52)-1)</f>
        <v>Senior</v>
      </c>
      <c r="J52" t="str">
        <f>MID(H52,FIND("(",H52)+1,FIND(")",H52)-FIND("(",H52)-1)</f>
        <v>5-8 yrs</v>
      </c>
      <c r="L52">
        <v>158750</v>
      </c>
      <c r="M52" t="s">
        <v>218</v>
      </c>
      <c r="N52" t="s">
        <v>33</v>
      </c>
      <c r="O52" t="s">
        <v>51</v>
      </c>
      <c r="P52" s="1">
        <v>45624</v>
      </c>
      <c r="Q52">
        <v>2298</v>
      </c>
      <c r="R52">
        <v>3583</v>
      </c>
      <c r="S52" t="s">
        <v>23</v>
      </c>
      <c r="T52">
        <v>4</v>
      </c>
      <c r="U52" t="s">
        <v>83</v>
      </c>
      <c r="V52" t="s">
        <v>24</v>
      </c>
      <c r="W52" t="s">
        <v>23</v>
      </c>
    </row>
    <row r="53" spans="1:23" x14ac:dyDescent="0.3">
      <c r="A53" t="s">
        <v>219</v>
      </c>
      <c r="B53" t="s">
        <v>81</v>
      </c>
      <c r="C53" t="s">
        <v>132</v>
      </c>
      <c r="D53" t="s">
        <v>174</v>
      </c>
      <c r="E53" t="s">
        <v>5136</v>
      </c>
      <c r="F53" t="s">
        <v>5133</v>
      </c>
      <c r="G53" t="s">
        <v>18</v>
      </c>
      <c r="H53" t="s">
        <v>56</v>
      </c>
      <c r="I53" t="str">
        <f>LEFT(H53,FIND(" (",H53)-1)</f>
        <v>Mid</v>
      </c>
      <c r="J53" t="str">
        <f>MID(H53,FIND("(",H53)+1,FIND(")",H53)-FIND("(",H53)-1)</f>
        <v>2-5 yrs</v>
      </c>
      <c r="L53">
        <v>102375</v>
      </c>
      <c r="M53" t="s">
        <v>220</v>
      </c>
      <c r="N53" t="s">
        <v>186</v>
      </c>
      <c r="O53" t="s">
        <v>44</v>
      </c>
      <c r="P53" s="1">
        <v>45342</v>
      </c>
      <c r="Q53">
        <v>1501</v>
      </c>
      <c r="R53">
        <v>1478</v>
      </c>
      <c r="S53" t="s">
        <v>23</v>
      </c>
      <c r="T53">
        <v>2</v>
      </c>
      <c r="U53" t="s">
        <v>52</v>
      </c>
      <c r="V53" t="s">
        <v>24</v>
      </c>
      <c r="W53" t="s">
        <v>34</v>
      </c>
    </row>
    <row r="54" spans="1:23" x14ac:dyDescent="0.3">
      <c r="A54" t="s">
        <v>221</v>
      </c>
      <c r="B54" t="s">
        <v>222</v>
      </c>
      <c r="C54" t="s">
        <v>146</v>
      </c>
      <c r="D54" t="s">
        <v>28</v>
      </c>
      <c r="E54" t="s">
        <v>102</v>
      </c>
      <c r="F54" t="s">
        <v>103</v>
      </c>
      <c r="G54" t="s">
        <v>18</v>
      </c>
      <c r="H54" t="s">
        <v>56</v>
      </c>
      <c r="I54" t="str">
        <f>LEFT(H54,FIND(" (",H54)-1)</f>
        <v>Mid</v>
      </c>
      <c r="J54" t="str">
        <f>MID(H54,FIND("(",H54)+1,FIND(")",H54)-FIND("(",H54)-1)</f>
        <v>2-5 yrs</v>
      </c>
      <c r="L54">
        <v>96596</v>
      </c>
      <c r="M54" t="s">
        <v>223</v>
      </c>
      <c r="N54" t="s">
        <v>120</v>
      </c>
      <c r="O54" t="s">
        <v>51</v>
      </c>
      <c r="P54" s="1">
        <v>45737</v>
      </c>
      <c r="Q54">
        <v>2205</v>
      </c>
      <c r="R54">
        <v>3701</v>
      </c>
      <c r="S54" t="s">
        <v>23</v>
      </c>
      <c r="T54">
        <v>2</v>
      </c>
      <c r="U54" t="s">
        <v>83</v>
      </c>
      <c r="V54" t="s">
        <v>24</v>
      </c>
      <c r="W54" t="s">
        <v>34</v>
      </c>
    </row>
    <row r="55" spans="1:23" x14ac:dyDescent="0.3">
      <c r="A55" t="s">
        <v>224</v>
      </c>
      <c r="B55" t="s">
        <v>225</v>
      </c>
      <c r="C55" t="s">
        <v>226</v>
      </c>
      <c r="D55" t="s">
        <v>111</v>
      </c>
      <c r="E55" t="s">
        <v>5139</v>
      </c>
      <c r="F55" t="s">
        <v>5133</v>
      </c>
      <c r="G55" t="s">
        <v>41</v>
      </c>
      <c r="H55" t="s">
        <v>66</v>
      </c>
      <c r="I55" t="str">
        <f>LEFT(H55,FIND(" (",H55)-1)</f>
        <v>Senior</v>
      </c>
      <c r="J55" t="str">
        <f>MID(H55,FIND("(",H55)+1,FIND(")",H55)-FIND("(",H55)-1)</f>
        <v>5-8 yrs</v>
      </c>
      <c r="L55">
        <v>166515</v>
      </c>
      <c r="M55" t="s">
        <v>227</v>
      </c>
      <c r="N55" t="s">
        <v>21</v>
      </c>
      <c r="O55" t="s">
        <v>22</v>
      </c>
      <c r="P55" s="1">
        <v>45525</v>
      </c>
      <c r="Q55">
        <v>1509</v>
      </c>
      <c r="R55">
        <v>99</v>
      </c>
      <c r="S55" t="s">
        <v>99</v>
      </c>
      <c r="T55">
        <v>4</v>
      </c>
      <c r="U55" t="s">
        <v>58</v>
      </c>
      <c r="V55" t="s">
        <v>24</v>
      </c>
      <c r="W55" t="s">
        <v>23</v>
      </c>
    </row>
    <row r="56" spans="1:23" x14ac:dyDescent="0.3">
      <c r="A56" t="s">
        <v>228</v>
      </c>
      <c r="B56" t="s">
        <v>229</v>
      </c>
      <c r="C56" t="s">
        <v>107</v>
      </c>
      <c r="D56" t="s">
        <v>125</v>
      </c>
      <c r="E56" t="s">
        <v>230</v>
      </c>
      <c r="F56" t="s">
        <v>231</v>
      </c>
      <c r="G56" t="s">
        <v>41</v>
      </c>
      <c r="H56" t="s">
        <v>31</v>
      </c>
      <c r="I56" t="str">
        <f>LEFT(H56,FIND(" (",H56)-1)</f>
        <v>Staff/Principal</v>
      </c>
      <c r="J56" t="str">
        <f>MID(H56,FIND("(",H56)+1,FIND(")",H56)-FIND("(",H56)-1)</f>
        <v>8+ yrs</v>
      </c>
      <c r="L56">
        <v>237115</v>
      </c>
      <c r="M56" t="s">
        <v>232</v>
      </c>
      <c r="N56" t="s">
        <v>33</v>
      </c>
      <c r="O56" t="s">
        <v>51</v>
      </c>
      <c r="P56" s="1">
        <v>45409</v>
      </c>
      <c r="Q56">
        <v>461</v>
      </c>
      <c r="R56">
        <v>1275</v>
      </c>
      <c r="S56" t="s">
        <v>23</v>
      </c>
      <c r="T56">
        <v>6</v>
      </c>
      <c r="U56" t="s">
        <v>5123</v>
      </c>
      <c r="V56" t="s">
        <v>24</v>
      </c>
      <c r="W56" t="s">
        <v>23</v>
      </c>
    </row>
    <row r="57" spans="1:23" x14ac:dyDescent="0.3">
      <c r="A57" t="s">
        <v>233</v>
      </c>
      <c r="B57" t="s">
        <v>70</v>
      </c>
      <c r="C57" t="s">
        <v>62</v>
      </c>
      <c r="D57" t="s">
        <v>75</v>
      </c>
      <c r="E57" t="s">
        <v>5132</v>
      </c>
      <c r="F57" t="s">
        <v>5133</v>
      </c>
      <c r="G57" t="s">
        <v>41</v>
      </c>
      <c r="H57" t="s">
        <v>66</v>
      </c>
      <c r="I57" t="str">
        <f>LEFT(H57,FIND(" (",H57)-1)</f>
        <v>Senior</v>
      </c>
      <c r="J57" t="str">
        <f>MID(H57,FIND("(",H57)+1,FIND(")",H57)-FIND("(",H57)-1)</f>
        <v>5-8 yrs</v>
      </c>
      <c r="L57">
        <v>175144</v>
      </c>
      <c r="M57" t="s">
        <v>234</v>
      </c>
      <c r="N57" t="s">
        <v>33</v>
      </c>
      <c r="O57" t="s">
        <v>79</v>
      </c>
      <c r="P57" s="1">
        <v>45381</v>
      </c>
      <c r="Q57">
        <v>973</v>
      </c>
      <c r="R57">
        <v>1062</v>
      </c>
      <c r="S57" t="s">
        <v>99</v>
      </c>
      <c r="T57">
        <v>4</v>
      </c>
      <c r="U57" t="s">
        <v>58</v>
      </c>
      <c r="V57" t="s">
        <v>46</v>
      </c>
      <c r="W57" t="s">
        <v>34</v>
      </c>
    </row>
    <row r="58" spans="1:23" x14ac:dyDescent="0.3">
      <c r="A58" t="s">
        <v>235</v>
      </c>
      <c r="B58" t="s">
        <v>236</v>
      </c>
      <c r="C58" t="s">
        <v>158</v>
      </c>
      <c r="D58" t="s">
        <v>75</v>
      </c>
      <c r="E58" t="s">
        <v>39</v>
      </c>
      <c r="F58" t="s">
        <v>40</v>
      </c>
      <c r="G58" t="s">
        <v>55</v>
      </c>
      <c r="H58" t="s">
        <v>19</v>
      </c>
      <c r="I58" t="str">
        <f>LEFT(H58,FIND(" (",H58)-1)</f>
        <v>Entry</v>
      </c>
      <c r="J58" t="str">
        <f>MID(H58,FIND("(",H58)+1,FIND(")",H58)-FIND("(",H58)-1)</f>
        <v>0-2 yrs</v>
      </c>
      <c r="L58">
        <v>59425</v>
      </c>
      <c r="M58" t="s">
        <v>237</v>
      </c>
      <c r="N58" t="s">
        <v>33</v>
      </c>
      <c r="O58" t="s">
        <v>51</v>
      </c>
      <c r="P58" s="1">
        <v>45364</v>
      </c>
      <c r="Q58">
        <v>1916</v>
      </c>
      <c r="R58">
        <v>67</v>
      </c>
      <c r="S58" t="s">
        <v>23</v>
      </c>
      <c r="T58">
        <v>0</v>
      </c>
      <c r="U58" t="s">
        <v>5123</v>
      </c>
      <c r="V58" t="s">
        <v>24</v>
      </c>
      <c r="W58" t="s">
        <v>23</v>
      </c>
    </row>
    <row r="59" spans="1:23" x14ac:dyDescent="0.3">
      <c r="A59" t="s">
        <v>238</v>
      </c>
      <c r="B59" t="s">
        <v>36</v>
      </c>
      <c r="C59" t="s">
        <v>239</v>
      </c>
      <c r="D59" t="s">
        <v>28</v>
      </c>
      <c r="E59" t="s">
        <v>5141</v>
      </c>
      <c r="F59" t="s">
        <v>5133</v>
      </c>
      <c r="G59" t="s">
        <v>18</v>
      </c>
      <c r="H59" t="s">
        <v>31</v>
      </c>
      <c r="I59" t="str">
        <f>LEFT(H59,FIND(" (",H59)-1)</f>
        <v>Staff/Principal</v>
      </c>
      <c r="J59" t="str">
        <f>MID(H59,FIND("(",H59)+1,FIND(")",H59)-FIND("(",H59)-1)</f>
        <v>8+ yrs</v>
      </c>
      <c r="L59">
        <v>188868</v>
      </c>
      <c r="M59" t="s">
        <v>240</v>
      </c>
      <c r="N59" t="s">
        <v>89</v>
      </c>
      <c r="O59" t="s">
        <v>51</v>
      </c>
      <c r="P59" s="1">
        <v>45411</v>
      </c>
      <c r="Q59">
        <v>777</v>
      </c>
      <c r="R59">
        <v>582</v>
      </c>
      <c r="S59" t="s">
        <v>34</v>
      </c>
      <c r="T59">
        <v>6</v>
      </c>
      <c r="U59" t="s">
        <v>5123</v>
      </c>
      <c r="V59" t="s">
        <v>24</v>
      </c>
      <c r="W59" t="s">
        <v>23</v>
      </c>
    </row>
    <row r="60" spans="1:23" x14ac:dyDescent="0.3">
      <c r="A60" t="s">
        <v>241</v>
      </c>
      <c r="B60" t="s">
        <v>13</v>
      </c>
      <c r="C60" t="s">
        <v>86</v>
      </c>
      <c r="D60" t="s">
        <v>147</v>
      </c>
      <c r="E60" t="s">
        <v>133</v>
      </c>
      <c r="F60" t="s">
        <v>134</v>
      </c>
      <c r="G60" t="s">
        <v>18</v>
      </c>
      <c r="H60" t="s">
        <v>56</v>
      </c>
      <c r="I60" t="str">
        <f>LEFT(H60,FIND(" (",H60)-1)</f>
        <v>Mid</v>
      </c>
      <c r="J60" t="str">
        <f>MID(H60,FIND("(",H60)+1,FIND(")",H60)-FIND("(",H60)-1)</f>
        <v>2-5 yrs</v>
      </c>
      <c r="L60">
        <v>116559</v>
      </c>
      <c r="M60" t="s">
        <v>242</v>
      </c>
      <c r="N60" t="s">
        <v>68</v>
      </c>
      <c r="O60" t="s">
        <v>51</v>
      </c>
      <c r="P60" s="1">
        <v>45524</v>
      </c>
      <c r="Q60">
        <v>2304</v>
      </c>
      <c r="R60">
        <v>2531</v>
      </c>
      <c r="S60" t="s">
        <v>23</v>
      </c>
      <c r="T60">
        <v>2</v>
      </c>
      <c r="U60" t="s">
        <v>45</v>
      </c>
      <c r="V60" t="s">
        <v>24</v>
      </c>
      <c r="W60" t="s">
        <v>34</v>
      </c>
    </row>
    <row r="61" spans="1:23" x14ac:dyDescent="0.3">
      <c r="A61" t="s">
        <v>243</v>
      </c>
      <c r="B61" t="s">
        <v>172</v>
      </c>
      <c r="C61" t="s">
        <v>101</v>
      </c>
      <c r="D61" t="s">
        <v>63</v>
      </c>
      <c r="E61" t="s">
        <v>29</v>
      </c>
      <c r="F61" t="s">
        <v>30</v>
      </c>
      <c r="G61" t="s">
        <v>55</v>
      </c>
      <c r="H61" t="s">
        <v>31</v>
      </c>
      <c r="I61" t="str">
        <f>LEFT(H61,FIND(" (",H61)-1)</f>
        <v>Staff/Principal</v>
      </c>
      <c r="J61" t="str">
        <f>MID(H61,FIND("(",H61)+1,FIND(")",H61)-FIND("(",H61)-1)</f>
        <v>8+ yrs</v>
      </c>
      <c r="L61">
        <v>235119</v>
      </c>
      <c r="M61" t="s">
        <v>244</v>
      </c>
      <c r="N61" t="s">
        <v>245</v>
      </c>
      <c r="O61" t="s">
        <v>22</v>
      </c>
      <c r="P61" s="1">
        <v>45342</v>
      </c>
      <c r="Q61">
        <v>1168</v>
      </c>
      <c r="R61">
        <v>2638</v>
      </c>
      <c r="S61" t="s">
        <v>23</v>
      </c>
      <c r="T61">
        <v>6</v>
      </c>
      <c r="U61" t="s">
        <v>5123</v>
      </c>
      <c r="V61" t="s">
        <v>24</v>
      </c>
      <c r="W61" t="s">
        <v>34</v>
      </c>
    </row>
    <row r="62" spans="1:23" x14ac:dyDescent="0.3">
      <c r="A62" t="s">
        <v>246</v>
      </c>
      <c r="B62" t="s">
        <v>61</v>
      </c>
      <c r="C62" t="s">
        <v>158</v>
      </c>
      <c r="D62" t="s">
        <v>111</v>
      </c>
      <c r="E62" t="s">
        <v>5136</v>
      </c>
      <c r="F62" t="s">
        <v>5133</v>
      </c>
      <c r="G62" t="s">
        <v>55</v>
      </c>
      <c r="H62" t="s">
        <v>56</v>
      </c>
      <c r="I62" t="str">
        <f>LEFT(H62,FIND(" (",H62)-1)</f>
        <v>Mid</v>
      </c>
      <c r="J62" t="str">
        <f>MID(H62,FIND("(",H62)+1,FIND(")",H62)-FIND("(",H62)-1)</f>
        <v>2-5 yrs</v>
      </c>
      <c r="L62">
        <v>100512</v>
      </c>
      <c r="M62" t="s">
        <v>247</v>
      </c>
      <c r="N62" t="s">
        <v>68</v>
      </c>
      <c r="O62" t="s">
        <v>22</v>
      </c>
      <c r="P62" s="1">
        <v>45575</v>
      </c>
      <c r="Q62">
        <v>892</v>
      </c>
      <c r="R62">
        <v>542</v>
      </c>
      <c r="S62" t="s">
        <v>23</v>
      </c>
      <c r="T62">
        <v>2</v>
      </c>
      <c r="U62" t="s">
        <v>52</v>
      </c>
      <c r="V62" t="s">
        <v>24</v>
      </c>
      <c r="W62" t="s">
        <v>23</v>
      </c>
    </row>
    <row r="63" spans="1:23" x14ac:dyDescent="0.3">
      <c r="A63" t="s">
        <v>248</v>
      </c>
      <c r="B63" t="s">
        <v>61</v>
      </c>
      <c r="C63" t="s">
        <v>192</v>
      </c>
      <c r="D63" t="s">
        <v>63</v>
      </c>
      <c r="E63" t="s">
        <v>5141</v>
      </c>
      <c r="F63" t="s">
        <v>5133</v>
      </c>
      <c r="G63" t="s">
        <v>41</v>
      </c>
      <c r="H63" t="s">
        <v>19</v>
      </c>
      <c r="I63" t="str">
        <f>LEFT(H63,FIND(" (",H63)-1)</f>
        <v>Entry</v>
      </c>
      <c r="J63" t="str">
        <f>MID(H63,FIND("(",H63)+1,FIND(")",H63)-FIND("(",H63)-1)</f>
        <v>0-2 yrs</v>
      </c>
      <c r="L63">
        <v>67660</v>
      </c>
      <c r="M63" t="s">
        <v>249</v>
      </c>
      <c r="N63" t="s">
        <v>149</v>
      </c>
      <c r="O63" t="s">
        <v>44</v>
      </c>
      <c r="P63" s="1">
        <v>45413</v>
      </c>
      <c r="Q63">
        <v>2402</v>
      </c>
      <c r="R63">
        <v>2441</v>
      </c>
      <c r="S63" t="s">
        <v>34</v>
      </c>
      <c r="T63">
        <v>0</v>
      </c>
      <c r="U63" t="s">
        <v>83</v>
      </c>
      <c r="V63" t="s">
        <v>24</v>
      </c>
      <c r="W63" t="s">
        <v>23</v>
      </c>
    </row>
    <row r="64" spans="1:23" x14ac:dyDescent="0.3">
      <c r="A64" t="s">
        <v>250</v>
      </c>
      <c r="B64" t="s">
        <v>131</v>
      </c>
      <c r="C64" t="s">
        <v>192</v>
      </c>
      <c r="D64" t="s">
        <v>63</v>
      </c>
      <c r="E64" t="s">
        <v>39</v>
      </c>
      <c r="F64" t="s">
        <v>40</v>
      </c>
      <c r="G64" t="s">
        <v>41</v>
      </c>
      <c r="H64" t="s">
        <v>66</v>
      </c>
      <c r="I64" t="str">
        <f>LEFT(H64,FIND(" (",H64)-1)</f>
        <v>Senior</v>
      </c>
      <c r="J64" t="str">
        <f>MID(H64,FIND("(",H64)+1,FIND(")",H64)-FIND("(",H64)-1)</f>
        <v>5-8 yrs</v>
      </c>
      <c r="L64">
        <v>120128</v>
      </c>
      <c r="M64" t="s">
        <v>251</v>
      </c>
      <c r="N64" t="s">
        <v>149</v>
      </c>
      <c r="O64" t="s">
        <v>22</v>
      </c>
      <c r="P64" s="1">
        <v>45307</v>
      </c>
      <c r="Q64">
        <v>630</v>
      </c>
      <c r="R64">
        <v>1329</v>
      </c>
      <c r="S64" t="s">
        <v>23</v>
      </c>
      <c r="T64">
        <v>4</v>
      </c>
      <c r="U64" t="s">
        <v>5123</v>
      </c>
      <c r="V64" t="s">
        <v>24</v>
      </c>
      <c r="W64" t="s">
        <v>23</v>
      </c>
    </row>
    <row r="65" spans="1:23" x14ac:dyDescent="0.3">
      <c r="A65" t="s">
        <v>252</v>
      </c>
      <c r="B65" t="s">
        <v>143</v>
      </c>
      <c r="C65" t="s">
        <v>101</v>
      </c>
      <c r="D65" t="s">
        <v>75</v>
      </c>
      <c r="E65" t="s">
        <v>5134</v>
      </c>
      <c r="F65" t="s">
        <v>5133</v>
      </c>
      <c r="G65" t="s">
        <v>55</v>
      </c>
      <c r="H65" t="s">
        <v>66</v>
      </c>
      <c r="I65" t="str">
        <f>LEFT(H65,FIND(" (",H65)-1)</f>
        <v>Senior</v>
      </c>
      <c r="J65" t="str">
        <f>MID(H65,FIND("(",H65)+1,FIND(")",H65)-FIND("(",H65)-1)</f>
        <v>5-8 yrs</v>
      </c>
      <c r="L65">
        <v>117702</v>
      </c>
      <c r="M65" t="s">
        <v>253</v>
      </c>
      <c r="N65" t="s">
        <v>33</v>
      </c>
      <c r="O65" t="s">
        <v>44</v>
      </c>
      <c r="P65" s="1">
        <v>45563</v>
      </c>
      <c r="Q65">
        <v>1180</v>
      </c>
      <c r="R65">
        <v>1771</v>
      </c>
      <c r="S65" t="s">
        <v>23</v>
      </c>
      <c r="T65">
        <v>4</v>
      </c>
      <c r="U65" t="s">
        <v>52</v>
      </c>
      <c r="V65" t="s">
        <v>24</v>
      </c>
      <c r="W65" t="s">
        <v>23</v>
      </c>
    </row>
    <row r="66" spans="1:23" x14ac:dyDescent="0.3">
      <c r="A66" t="s">
        <v>254</v>
      </c>
      <c r="B66" t="s">
        <v>137</v>
      </c>
      <c r="C66" t="s">
        <v>110</v>
      </c>
      <c r="D66" t="s">
        <v>147</v>
      </c>
      <c r="E66" t="s">
        <v>5137</v>
      </c>
      <c r="F66" t="s">
        <v>5138</v>
      </c>
      <c r="G66" t="s">
        <v>18</v>
      </c>
      <c r="H66" t="s">
        <v>31</v>
      </c>
      <c r="I66" t="str">
        <f>LEFT(H66,FIND(" (",H66)-1)</f>
        <v>Staff/Principal</v>
      </c>
      <c r="J66" t="str">
        <f>MID(H66,FIND("(",H66)+1,FIND(")",H66)-FIND("(",H66)-1)</f>
        <v>8+ yrs</v>
      </c>
      <c r="L66">
        <v>229250</v>
      </c>
      <c r="M66" t="s">
        <v>255</v>
      </c>
      <c r="N66" t="s">
        <v>149</v>
      </c>
      <c r="O66" t="s">
        <v>22</v>
      </c>
      <c r="P66" s="1">
        <v>45452</v>
      </c>
      <c r="Q66">
        <v>1826</v>
      </c>
      <c r="R66">
        <v>3335</v>
      </c>
      <c r="S66" t="s">
        <v>34</v>
      </c>
      <c r="T66">
        <v>6</v>
      </c>
      <c r="U66" t="s">
        <v>5123</v>
      </c>
      <c r="V66" t="s">
        <v>24</v>
      </c>
      <c r="W66" t="s">
        <v>23</v>
      </c>
    </row>
    <row r="67" spans="1:23" x14ac:dyDescent="0.3">
      <c r="A67" t="s">
        <v>256</v>
      </c>
      <c r="B67" t="s">
        <v>236</v>
      </c>
      <c r="C67" t="s">
        <v>62</v>
      </c>
      <c r="D67" t="s">
        <v>38</v>
      </c>
      <c r="E67" t="s">
        <v>5139</v>
      </c>
      <c r="F67" t="s">
        <v>5133</v>
      </c>
      <c r="G67" t="s">
        <v>18</v>
      </c>
      <c r="H67" t="s">
        <v>19</v>
      </c>
      <c r="I67" t="str">
        <f>LEFT(H67,FIND(" (",H67)-1)</f>
        <v>Entry</v>
      </c>
      <c r="J67" t="str">
        <f>MID(H67,FIND("(",H67)+1,FIND(")",H67)-FIND("(",H67)-1)</f>
        <v>0-2 yrs</v>
      </c>
      <c r="L67">
        <v>87088</v>
      </c>
      <c r="M67" t="s">
        <v>257</v>
      </c>
      <c r="N67" t="s">
        <v>21</v>
      </c>
      <c r="O67" t="s">
        <v>22</v>
      </c>
      <c r="P67" s="1">
        <v>45632</v>
      </c>
      <c r="Q67">
        <v>2275</v>
      </c>
      <c r="R67">
        <v>928</v>
      </c>
      <c r="S67" t="s">
        <v>23</v>
      </c>
      <c r="T67">
        <v>0</v>
      </c>
      <c r="U67" t="s">
        <v>45</v>
      </c>
      <c r="V67" t="s">
        <v>59</v>
      </c>
      <c r="W67" t="s">
        <v>34</v>
      </c>
    </row>
    <row r="68" spans="1:23" x14ac:dyDescent="0.3">
      <c r="A68" t="s">
        <v>258</v>
      </c>
      <c r="B68" t="s">
        <v>36</v>
      </c>
      <c r="C68" t="s">
        <v>173</v>
      </c>
      <c r="D68" t="s">
        <v>15</v>
      </c>
      <c r="E68" t="s">
        <v>5139</v>
      </c>
      <c r="F68" t="s">
        <v>5133</v>
      </c>
      <c r="G68" t="s">
        <v>55</v>
      </c>
      <c r="H68" t="s">
        <v>56</v>
      </c>
      <c r="I68" t="str">
        <f>LEFT(H68,FIND(" (",H68)-1)</f>
        <v>Mid</v>
      </c>
      <c r="J68" t="str">
        <f>MID(H68,FIND("(",H68)+1,FIND(")",H68)-FIND("(",H68)-1)</f>
        <v>2-5 yrs</v>
      </c>
      <c r="L68">
        <v>108574</v>
      </c>
      <c r="M68" t="s">
        <v>259</v>
      </c>
      <c r="N68" t="s">
        <v>33</v>
      </c>
      <c r="O68" t="s">
        <v>22</v>
      </c>
      <c r="P68" s="1">
        <v>45684</v>
      </c>
      <c r="Q68">
        <v>1565</v>
      </c>
      <c r="R68">
        <v>3784</v>
      </c>
      <c r="S68" t="s">
        <v>23</v>
      </c>
      <c r="T68">
        <v>2</v>
      </c>
      <c r="U68" t="s">
        <v>5123</v>
      </c>
      <c r="V68" t="s">
        <v>24</v>
      </c>
      <c r="W68" t="s">
        <v>34</v>
      </c>
    </row>
    <row r="69" spans="1:23" x14ac:dyDescent="0.3">
      <c r="A69" t="s">
        <v>260</v>
      </c>
      <c r="B69" t="s">
        <v>137</v>
      </c>
      <c r="C69" t="s">
        <v>27</v>
      </c>
      <c r="D69" t="s">
        <v>125</v>
      </c>
      <c r="E69" t="s">
        <v>64</v>
      </c>
      <c r="F69" t="s">
        <v>65</v>
      </c>
      <c r="G69" t="s">
        <v>41</v>
      </c>
      <c r="H69" t="s">
        <v>19</v>
      </c>
      <c r="I69" t="str">
        <f>LEFT(H69,FIND(" (",H69)-1)</f>
        <v>Entry</v>
      </c>
      <c r="J69" t="str">
        <f>MID(H69,FIND("(",H69)+1,FIND(")",H69)-FIND("(",H69)-1)</f>
        <v>0-2 yrs</v>
      </c>
      <c r="L69">
        <v>82644</v>
      </c>
      <c r="M69" t="s">
        <v>261</v>
      </c>
      <c r="N69" t="s">
        <v>89</v>
      </c>
      <c r="O69" t="s">
        <v>51</v>
      </c>
      <c r="P69" s="1">
        <v>45307</v>
      </c>
      <c r="Q69">
        <v>1628</v>
      </c>
      <c r="R69">
        <v>3191</v>
      </c>
      <c r="S69" t="s">
        <v>99</v>
      </c>
      <c r="T69">
        <v>0</v>
      </c>
      <c r="U69" t="s">
        <v>83</v>
      </c>
      <c r="V69" t="s">
        <v>24</v>
      </c>
      <c r="W69" t="s">
        <v>34</v>
      </c>
    </row>
    <row r="70" spans="1:23" x14ac:dyDescent="0.3">
      <c r="A70" t="s">
        <v>262</v>
      </c>
      <c r="B70" t="s">
        <v>222</v>
      </c>
      <c r="C70" t="s">
        <v>101</v>
      </c>
      <c r="D70" t="s">
        <v>174</v>
      </c>
      <c r="E70" t="s">
        <v>5136</v>
      </c>
      <c r="F70" t="s">
        <v>5133</v>
      </c>
      <c r="G70" t="s">
        <v>18</v>
      </c>
      <c r="H70" t="s">
        <v>19</v>
      </c>
      <c r="I70" t="str">
        <f>LEFT(H70,FIND(" (",H70)-1)</f>
        <v>Entry</v>
      </c>
      <c r="J70" t="str">
        <f>MID(H70,FIND("(",H70)+1,FIND(")",H70)-FIND("(",H70)-1)</f>
        <v>0-2 yrs</v>
      </c>
      <c r="L70">
        <v>74556</v>
      </c>
      <c r="M70" t="s">
        <v>263</v>
      </c>
      <c r="N70" t="s">
        <v>33</v>
      </c>
      <c r="O70" t="s">
        <v>51</v>
      </c>
      <c r="P70" s="1">
        <v>45630</v>
      </c>
      <c r="Q70">
        <v>1460</v>
      </c>
      <c r="R70">
        <v>2787</v>
      </c>
      <c r="S70" t="s">
        <v>23</v>
      </c>
      <c r="T70">
        <v>0</v>
      </c>
      <c r="U70" t="s">
        <v>58</v>
      </c>
      <c r="V70" t="s">
        <v>24</v>
      </c>
      <c r="W70" t="s">
        <v>34</v>
      </c>
    </row>
    <row r="71" spans="1:23" x14ac:dyDescent="0.3">
      <c r="A71" t="s">
        <v>264</v>
      </c>
      <c r="B71" t="s">
        <v>91</v>
      </c>
      <c r="C71" t="s">
        <v>192</v>
      </c>
      <c r="D71" t="s">
        <v>147</v>
      </c>
      <c r="E71" t="s">
        <v>216</v>
      </c>
      <c r="F71" t="s">
        <v>217</v>
      </c>
      <c r="G71" t="s">
        <v>18</v>
      </c>
      <c r="H71" t="s">
        <v>31</v>
      </c>
      <c r="I71" t="str">
        <f>LEFT(H71,FIND(" (",H71)-1)</f>
        <v>Staff/Principal</v>
      </c>
      <c r="J71" t="str">
        <f>MID(H71,FIND("(",H71)+1,FIND(")",H71)-FIND("(",H71)-1)</f>
        <v>8+ yrs</v>
      </c>
      <c r="L71">
        <v>176775</v>
      </c>
      <c r="M71" t="s">
        <v>265</v>
      </c>
      <c r="N71" t="s">
        <v>186</v>
      </c>
      <c r="O71" t="s">
        <v>22</v>
      </c>
      <c r="P71" s="1">
        <v>45396</v>
      </c>
      <c r="Q71">
        <v>1857</v>
      </c>
      <c r="R71">
        <v>2191</v>
      </c>
      <c r="S71" t="s">
        <v>23</v>
      </c>
      <c r="T71">
        <v>6</v>
      </c>
      <c r="U71" t="s">
        <v>83</v>
      </c>
      <c r="V71" t="s">
        <v>24</v>
      </c>
      <c r="W71" t="s">
        <v>23</v>
      </c>
    </row>
    <row r="72" spans="1:23" x14ac:dyDescent="0.3">
      <c r="A72" t="s">
        <v>266</v>
      </c>
      <c r="B72" t="s">
        <v>225</v>
      </c>
      <c r="C72" t="s">
        <v>179</v>
      </c>
      <c r="D72" t="s">
        <v>49</v>
      </c>
      <c r="E72" t="s">
        <v>5134</v>
      </c>
      <c r="F72" t="s">
        <v>5133</v>
      </c>
      <c r="G72" t="s">
        <v>55</v>
      </c>
      <c r="H72" t="s">
        <v>19</v>
      </c>
      <c r="I72" t="str">
        <f>LEFT(H72,FIND(" (",H72)-1)</f>
        <v>Entry</v>
      </c>
      <c r="J72" t="str">
        <f>MID(H72,FIND("(",H72)+1,FIND(")",H72)-FIND("(",H72)-1)</f>
        <v>0-2 yrs</v>
      </c>
      <c r="L72">
        <v>74553</v>
      </c>
      <c r="M72" t="s">
        <v>267</v>
      </c>
      <c r="N72" t="s">
        <v>141</v>
      </c>
      <c r="O72" t="s">
        <v>51</v>
      </c>
      <c r="P72" s="1">
        <v>45313</v>
      </c>
      <c r="Q72">
        <v>1630</v>
      </c>
      <c r="R72">
        <v>713</v>
      </c>
      <c r="S72" t="s">
        <v>23</v>
      </c>
      <c r="T72">
        <v>0</v>
      </c>
      <c r="U72" t="s">
        <v>83</v>
      </c>
      <c r="V72" t="s">
        <v>24</v>
      </c>
      <c r="W72" t="s">
        <v>23</v>
      </c>
    </row>
    <row r="73" spans="1:23" x14ac:dyDescent="0.3">
      <c r="A73" t="s">
        <v>268</v>
      </c>
      <c r="B73" t="s">
        <v>225</v>
      </c>
      <c r="C73" t="s">
        <v>92</v>
      </c>
      <c r="D73" t="s">
        <v>174</v>
      </c>
      <c r="E73" t="s">
        <v>5139</v>
      </c>
      <c r="F73" t="s">
        <v>5133</v>
      </c>
      <c r="G73" t="s">
        <v>55</v>
      </c>
      <c r="H73" t="s">
        <v>19</v>
      </c>
      <c r="I73" t="str">
        <f>LEFT(H73,FIND(" (",H73)-1)</f>
        <v>Entry</v>
      </c>
      <c r="J73" t="str">
        <f>MID(H73,FIND("(",H73)+1,FIND(")",H73)-FIND("(",H73)-1)</f>
        <v>0-2 yrs</v>
      </c>
      <c r="L73">
        <v>89379</v>
      </c>
      <c r="M73" t="s">
        <v>269</v>
      </c>
      <c r="N73" t="s">
        <v>33</v>
      </c>
      <c r="O73" t="s">
        <v>44</v>
      </c>
      <c r="P73" s="1">
        <v>45416</v>
      </c>
      <c r="Q73">
        <v>612</v>
      </c>
      <c r="R73">
        <v>2100</v>
      </c>
      <c r="S73" t="s">
        <v>23</v>
      </c>
      <c r="T73">
        <v>0</v>
      </c>
      <c r="U73" t="s">
        <v>83</v>
      </c>
      <c r="V73" t="s">
        <v>24</v>
      </c>
      <c r="W73" t="s">
        <v>23</v>
      </c>
    </row>
    <row r="74" spans="1:23" x14ac:dyDescent="0.3">
      <c r="A74" t="s">
        <v>270</v>
      </c>
      <c r="B74" t="s">
        <v>225</v>
      </c>
      <c r="C74" t="s">
        <v>110</v>
      </c>
      <c r="D74" t="s">
        <v>125</v>
      </c>
      <c r="E74" t="s">
        <v>64</v>
      </c>
      <c r="F74" t="s">
        <v>65</v>
      </c>
      <c r="G74" t="s">
        <v>18</v>
      </c>
      <c r="H74" t="s">
        <v>66</v>
      </c>
      <c r="I74" t="str">
        <f>LEFT(H74,FIND(" (",H74)-1)</f>
        <v>Senior</v>
      </c>
      <c r="J74" t="str">
        <f>MID(H74,FIND("(",H74)+1,FIND(")",H74)-FIND("(",H74)-1)</f>
        <v>5-8 yrs</v>
      </c>
      <c r="L74">
        <v>149032</v>
      </c>
      <c r="M74" t="s">
        <v>271</v>
      </c>
      <c r="N74" t="s">
        <v>33</v>
      </c>
      <c r="O74" t="s">
        <v>79</v>
      </c>
      <c r="P74" s="1">
        <v>45366</v>
      </c>
      <c r="Q74">
        <v>2323</v>
      </c>
      <c r="R74">
        <v>1910</v>
      </c>
      <c r="S74" t="s">
        <v>23</v>
      </c>
      <c r="T74">
        <v>4</v>
      </c>
      <c r="U74" t="s">
        <v>83</v>
      </c>
      <c r="V74" t="s">
        <v>24</v>
      </c>
      <c r="W74" t="s">
        <v>23</v>
      </c>
    </row>
    <row r="75" spans="1:23" x14ac:dyDescent="0.3">
      <c r="A75" t="s">
        <v>272</v>
      </c>
      <c r="B75" t="s">
        <v>143</v>
      </c>
      <c r="C75" t="s">
        <v>110</v>
      </c>
      <c r="D75" t="s">
        <v>28</v>
      </c>
      <c r="E75" t="s">
        <v>5132</v>
      </c>
      <c r="F75" t="s">
        <v>5133</v>
      </c>
      <c r="G75" t="s">
        <v>18</v>
      </c>
      <c r="H75" t="s">
        <v>66</v>
      </c>
      <c r="I75" t="str">
        <f>LEFT(H75,FIND(" (",H75)-1)</f>
        <v>Senior</v>
      </c>
      <c r="J75" t="str">
        <f>MID(H75,FIND("(",H75)+1,FIND(")",H75)-FIND("(",H75)-1)</f>
        <v>5-8 yrs</v>
      </c>
      <c r="L75">
        <v>192245</v>
      </c>
      <c r="M75" t="s">
        <v>273</v>
      </c>
      <c r="N75" t="s">
        <v>94</v>
      </c>
      <c r="O75" t="s">
        <v>51</v>
      </c>
      <c r="P75" s="1">
        <v>45326</v>
      </c>
      <c r="Q75">
        <v>454</v>
      </c>
      <c r="R75">
        <v>243</v>
      </c>
      <c r="S75" t="s">
        <v>23</v>
      </c>
      <c r="T75">
        <v>4</v>
      </c>
      <c r="U75" t="s">
        <v>45</v>
      </c>
      <c r="V75" t="s">
        <v>24</v>
      </c>
      <c r="W75" t="s">
        <v>23</v>
      </c>
    </row>
    <row r="76" spans="1:23" x14ac:dyDescent="0.3">
      <c r="A76" t="s">
        <v>274</v>
      </c>
      <c r="B76" t="s">
        <v>70</v>
      </c>
      <c r="C76" t="s">
        <v>27</v>
      </c>
      <c r="D76" t="s">
        <v>111</v>
      </c>
      <c r="E76" t="s">
        <v>39</v>
      </c>
      <c r="F76" t="s">
        <v>40</v>
      </c>
      <c r="G76" t="s">
        <v>41</v>
      </c>
      <c r="H76" t="s">
        <v>31</v>
      </c>
      <c r="I76" t="str">
        <f>LEFT(H76,FIND(" (",H76)-1)</f>
        <v>Staff/Principal</v>
      </c>
      <c r="J76" t="str">
        <f>MID(H76,FIND("(",H76)+1,FIND(")",H76)-FIND("(",H76)-1)</f>
        <v>8+ yrs</v>
      </c>
      <c r="L76">
        <v>105689</v>
      </c>
      <c r="M76" t="s">
        <v>275</v>
      </c>
      <c r="N76" t="s">
        <v>33</v>
      </c>
      <c r="O76" t="s">
        <v>51</v>
      </c>
      <c r="P76" s="1">
        <v>45697</v>
      </c>
      <c r="Q76">
        <v>917</v>
      </c>
      <c r="R76">
        <v>3932</v>
      </c>
      <c r="S76" t="s">
        <v>34</v>
      </c>
      <c r="T76">
        <v>6</v>
      </c>
      <c r="U76" t="s">
        <v>5123</v>
      </c>
      <c r="V76" t="s">
        <v>59</v>
      </c>
      <c r="W76" t="s">
        <v>23</v>
      </c>
    </row>
    <row r="77" spans="1:23" x14ac:dyDescent="0.3">
      <c r="A77" t="s">
        <v>276</v>
      </c>
      <c r="B77" t="s">
        <v>70</v>
      </c>
      <c r="C77" t="s">
        <v>54</v>
      </c>
      <c r="D77" t="s">
        <v>147</v>
      </c>
      <c r="E77" t="s">
        <v>5135</v>
      </c>
      <c r="F77" t="s">
        <v>5133</v>
      </c>
      <c r="G77" t="s">
        <v>18</v>
      </c>
      <c r="H77" t="s">
        <v>56</v>
      </c>
      <c r="I77" t="str">
        <f>LEFT(H77,FIND(" (",H77)-1)</f>
        <v>Mid</v>
      </c>
      <c r="J77" t="str">
        <f>MID(H77,FIND("(",H77)+1,FIND(")",H77)-FIND("(",H77)-1)</f>
        <v>2-5 yrs</v>
      </c>
      <c r="L77">
        <v>126273</v>
      </c>
      <c r="M77" t="s">
        <v>277</v>
      </c>
      <c r="N77" t="s">
        <v>33</v>
      </c>
      <c r="O77" t="s">
        <v>44</v>
      </c>
      <c r="P77" s="1">
        <v>45516</v>
      </c>
      <c r="Q77">
        <v>514</v>
      </c>
      <c r="R77">
        <v>3242</v>
      </c>
      <c r="S77" t="s">
        <v>23</v>
      </c>
      <c r="T77">
        <v>2</v>
      </c>
      <c r="U77" t="s">
        <v>45</v>
      </c>
      <c r="V77" t="s">
        <v>24</v>
      </c>
      <c r="W77" t="s">
        <v>34</v>
      </c>
    </row>
    <row r="78" spans="1:23" x14ac:dyDescent="0.3">
      <c r="A78" t="s">
        <v>278</v>
      </c>
      <c r="B78" t="s">
        <v>137</v>
      </c>
      <c r="C78" t="s">
        <v>179</v>
      </c>
      <c r="D78" t="s">
        <v>147</v>
      </c>
      <c r="E78" t="s">
        <v>16</v>
      </c>
      <c r="F78" t="s">
        <v>17</v>
      </c>
      <c r="G78" t="s">
        <v>41</v>
      </c>
      <c r="H78" t="s">
        <v>66</v>
      </c>
      <c r="I78" t="str">
        <f>LEFT(H78,FIND(" (",H78)-1)</f>
        <v>Senior</v>
      </c>
      <c r="J78" t="str">
        <f>MID(H78,FIND("(",H78)+1,FIND(")",H78)-FIND("(",H78)-1)</f>
        <v>5-8 yrs</v>
      </c>
      <c r="L78">
        <v>152350</v>
      </c>
      <c r="M78" t="s">
        <v>279</v>
      </c>
      <c r="N78" t="s">
        <v>33</v>
      </c>
      <c r="O78" t="s">
        <v>22</v>
      </c>
      <c r="P78" s="1">
        <v>45628</v>
      </c>
      <c r="Q78">
        <v>647</v>
      </c>
      <c r="R78">
        <v>1278</v>
      </c>
      <c r="S78" t="s">
        <v>23</v>
      </c>
      <c r="T78">
        <v>4</v>
      </c>
      <c r="U78" t="s">
        <v>45</v>
      </c>
      <c r="V78" t="s">
        <v>59</v>
      </c>
      <c r="W78" t="s">
        <v>23</v>
      </c>
    </row>
    <row r="79" spans="1:23" x14ac:dyDescent="0.3">
      <c r="A79" t="s">
        <v>280</v>
      </c>
      <c r="B79" t="s">
        <v>131</v>
      </c>
      <c r="C79" t="s">
        <v>209</v>
      </c>
      <c r="D79" t="s">
        <v>125</v>
      </c>
      <c r="E79" t="s">
        <v>5139</v>
      </c>
      <c r="F79" t="s">
        <v>5133</v>
      </c>
      <c r="G79" t="s">
        <v>41</v>
      </c>
      <c r="H79" t="s">
        <v>19</v>
      </c>
      <c r="I79" t="str">
        <f>LEFT(H79,FIND(" (",H79)-1)</f>
        <v>Entry</v>
      </c>
      <c r="J79" t="str">
        <f>MID(H79,FIND("(",H79)+1,FIND(")",H79)-FIND("(",H79)-1)</f>
        <v>0-2 yrs</v>
      </c>
      <c r="L79">
        <v>66232</v>
      </c>
      <c r="M79" t="s">
        <v>281</v>
      </c>
      <c r="N79" t="s">
        <v>245</v>
      </c>
      <c r="O79" t="s">
        <v>22</v>
      </c>
      <c r="P79" s="1">
        <v>45301</v>
      </c>
      <c r="Q79">
        <v>714</v>
      </c>
      <c r="R79">
        <v>2089</v>
      </c>
      <c r="S79" t="s">
        <v>23</v>
      </c>
      <c r="T79">
        <v>0</v>
      </c>
      <c r="U79" t="s">
        <v>83</v>
      </c>
      <c r="V79" t="s">
        <v>24</v>
      </c>
      <c r="W79" t="s">
        <v>34</v>
      </c>
    </row>
    <row r="80" spans="1:23" x14ac:dyDescent="0.3">
      <c r="A80" t="s">
        <v>282</v>
      </c>
      <c r="B80" t="s">
        <v>85</v>
      </c>
      <c r="C80" t="s">
        <v>167</v>
      </c>
      <c r="D80" t="s">
        <v>63</v>
      </c>
      <c r="E80" t="s">
        <v>216</v>
      </c>
      <c r="F80" t="s">
        <v>217</v>
      </c>
      <c r="G80" t="s">
        <v>18</v>
      </c>
      <c r="H80" t="s">
        <v>56</v>
      </c>
      <c r="I80" t="str">
        <f>LEFT(H80,FIND(" (",H80)-1)</f>
        <v>Mid</v>
      </c>
      <c r="J80" t="str">
        <f>MID(H80,FIND("(",H80)+1,FIND(")",H80)-FIND("(",H80)-1)</f>
        <v>2-5 yrs</v>
      </c>
      <c r="L80">
        <v>111816</v>
      </c>
      <c r="M80" t="s">
        <v>283</v>
      </c>
      <c r="N80" t="s">
        <v>33</v>
      </c>
      <c r="O80" t="s">
        <v>22</v>
      </c>
      <c r="P80" s="1">
        <v>45375</v>
      </c>
      <c r="Q80">
        <v>1792</v>
      </c>
      <c r="R80">
        <v>2780</v>
      </c>
      <c r="S80" t="s">
        <v>23</v>
      </c>
      <c r="T80">
        <v>2</v>
      </c>
      <c r="U80" t="s">
        <v>58</v>
      </c>
      <c r="V80" t="s">
        <v>24</v>
      </c>
      <c r="W80" t="s">
        <v>23</v>
      </c>
    </row>
    <row r="81" spans="1:23" x14ac:dyDescent="0.3">
      <c r="A81" t="s">
        <v>284</v>
      </c>
      <c r="B81" t="s">
        <v>172</v>
      </c>
      <c r="C81" t="s">
        <v>146</v>
      </c>
      <c r="D81" t="s">
        <v>28</v>
      </c>
      <c r="E81" t="s">
        <v>133</v>
      </c>
      <c r="F81" t="s">
        <v>134</v>
      </c>
      <c r="G81" t="s">
        <v>18</v>
      </c>
      <c r="H81" t="s">
        <v>56</v>
      </c>
      <c r="I81" t="str">
        <f>LEFT(H81,FIND(" (",H81)-1)</f>
        <v>Mid</v>
      </c>
      <c r="J81" t="str">
        <f>MID(H81,FIND("(",H81)+1,FIND(")",H81)-FIND("(",H81)-1)</f>
        <v>2-5 yrs</v>
      </c>
      <c r="L81">
        <v>70646</v>
      </c>
      <c r="M81" t="s">
        <v>285</v>
      </c>
      <c r="N81" t="s">
        <v>33</v>
      </c>
      <c r="O81" t="s">
        <v>44</v>
      </c>
      <c r="P81" s="1">
        <v>45706</v>
      </c>
      <c r="Q81">
        <v>2359</v>
      </c>
      <c r="R81">
        <v>2170</v>
      </c>
      <c r="S81" t="s">
        <v>23</v>
      </c>
      <c r="T81">
        <v>2</v>
      </c>
      <c r="U81" t="s">
        <v>52</v>
      </c>
      <c r="V81" t="s">
        <v>59</v>
      </c>
      <c r="W81" t="s">
        <v>23</v>
      </c>
    </row>
    <row r="82" spans="1:23" x14ac:dyDescent="0.3">
      <c r="A82" t="s">
        <v>286</v>
      </c>
      <c r="B82" t="s">
        <v>61</v>
      </c>
      <c r="C82" t="s">
        <v>179</v>
      </c>
      <c r="D82" t="s">
        <v>49</v>
      </c>
      <c r="E82" t="s">
        <v>5135</v>
      </c>
      <c r="F82" t="s">
        <v>5133</v>
      </c>
      <c r="G82" t="s">
        <v>41</v>
      </c>
      <c r="H82" t="s">
        <v>66</v>
      </c>
      <c r="I82" t="str">
        <f>LEFT(H82,FIND(" (",H82)-1)</f>
        <v>Senior</v>
      </c>
      <c r="J82" t="str">
        <f>MID(H82,FIND("(",H82)+1,FIND(")",H82)-FIND("(",H82)-1)</f>
        <v>5-8 yrs</v>
      </c>
      <c r="L82">
        <v>144068</v>
      </c>
      <c r="M82" t="s">
        <v>287</v>
      </c>
      <c r="N82" t="s">
        <v>33</v>
      </c>
      <c r="O82" t="s">
        <v>44</v>
      </c>
      <c r="P82" s="1">
        <v>45739</v>
      </c>
      <c r="Q82">
        <v>1417</v>
      </c>
      <c r="R82">
        <v>1850</v>
      </c>
      <c r="S82" t="s">
        <v>99</v>
      </c>
      <c r="T82">
        <v>4</v>
      </c>
      <c r="U82" t="s">
        <v>52</v>
      </c>
      <c r="V82" t="s">
        <v>59</v>
      </c>
      <c r="W82" t="s">
        <v>34</v>
      </c>
    </row>
    <row r="83" spans="1:23" x14ac:dyDescent="0.3">
      <c r="A83" t="s">
        <v>288</v>
      </c>
      <c r="B83" t="s">
        <v>91</v>
      </c>
      <c r="C83" t="s">
        <v>226</v>
      </c>
      <c r="D83" t="s">
        <v>38</v>
      </c>
      <c r="E83" t="s">
        <v>5141</v>
      </c>
      <c r="F83" t="s">
        <v>5133</v>
      </c>
      <c r="G83" t="s">
        <v>55</v>
      </c>
      <c r="H83" t="s">
        <v>31</v>
      </c>
      <c r="I83" t="str">
        <f>LEFT(H83,FIND(" (",H83)-1)</f>
        <v>Staff/Principal</v>
      </c>
      <c r="J83" t="str">
        <f>MID(H83,FIND("(",H83)+1,FIND(")",H83)-FIND("(",H83)-1)</f>
        <v>8+ yrs</v>
      </c>
      <c r="L83">
        <v>212856</v>
      </c>
      <c r="M83" t="s">
        <v>289</v>
      </c>
      <c r="N83" t="s">
        <v>149</v>
      </c>
      <c r="O83" t="s">
        <v>22</v>
      </c>
      <c r="P83" s="1">
        <v>45504</v>
      </c>
      <c r="Q83">
        <v>705</v>
      </c>
      <c r="R83">
        <v>3447</v>
      </c>
      <c r="S83" t="s">
        <v>23</v>
      </c>
      <c r="T83">
        <v>6</v>
      </c>
      <c r="U83" t="s">
        <v>45</v>
      </c>
      <c r="V83" t="s">
        <v>59</v>
      </c>
      <c r="W83" t="s">
        <v>34</v>
      </c>
    </row>
    <row r="84" spans="1:23" x14ac:dyDescent="0.3">
      <c r="A84" t="s">
        <v>290</v>
      </c>
      <c r="B84" t="s">
        <v>81</v>
      </c>
      <c r="C84" t="s">
        <v>74</v>
      </c>
      <c r="D84" t="s">
        <v>111</v>
      </c>
      <c r="E84" t="s">
        <v>64</v>
      </c>
      <c r="F84" t="s">
        <v>65</v>
      </c>
      <c r="G84" t="s">
        <v>41</v>
      </c>
      <c r="H84" t="s">
        <v>31</v>
      </c>
      <c r="I84" t="str">
        <f>LEFT(H84,FIND(" (",H84)-1)</f>
        <v>Staff/Principal</v>
      </c>
      <c r="J84" t="str">
        <f>MID(H84,FIND("(",H84)+1,FIND(")",H84)-FIND("(",H84)-1)</f>
        <v>8+ yrs</v>
      </c>
      <c r="L84">
        <v>253204</v>
      </c>
      <c r="M84" t="s">
        <v>291</v>
      </c>
      <c r="N84" t="s">
        <v>33</v>
      </c>
      <c r="O84" t="s">
        <v>51</v>
      </c>
      <c r="P84" s="1">
        <v>45532</v>
      </c>
      <c r="Q84">
        <v>755</v>
      </c>
      <c r="R84">
        <v>3189</v>
      </c>
      <c r="S84" t="s">
        <v>23</v>
      </c>
      <c r="T84">
        <v>6</v>
      </c>
      <c r="U84" t="s">
        <v>45</v>
      </c>
      <c r="V84" t="s">
        <v>24</v>
      </c>
      <c r="W84" t="s">
        <v>34</v>
      </c>
    </row>
    <row r="85" spans="1:23" x14ac:dyDescent="0.3">
      <c r="A85" t="s">
        <v>292</v>
      </c>
      <c r="B85" t="s">
        <v>85</v>
      </c>
      <c r="C85" t="s">
        <v>124</v>
      </c>
      <c r="D85" t="s">
        <v>111</v>
      </c>
      <c r="E85" t="s">
        <v>5136</v>
      </c>
      <c r="F85" t="s">
        <v>5133</v>
      </c>
      <c r="G85" t="s">
        <v>18</v>
      </c>
      <c r="H85" t="s">
        <v>31</v>
      </c>
      <c r="I85" t="str">
        <f>LEFT(H85,FIND(" (",H85)-1)</f>
        <v>Staff/Principal</v>
      </c>
      <c r="J85" t="str">
        <f>MID(H85,FIND("(",H85)+1,FIND(")",H85)-FIND("(",H85)-1)</f>
        <v>8+ yrs</v>
      </c>
      <c r="L85">
        <v>181342</v>
      </c>
      <c r="M85" t="s">
        <v>293</v>
      </c>
      <c r="N85" t="s">
        <v>141</v>
      </c>
      <c r="O85" t="s">
        <v>51</v>
      </c>
      <c r="P85" s="1">
        <v>45547</v>
      </c>
      <c r="Q85">
        <v>2006</v>
      </c>
      <c r="R85">
        <v>777</v>
      </c>
      <c r="S85" t="s">
        <v>23</v>
      </c>
      <c r="T85">
        <v>6</v>
      </c>
      <c r="U85" t="s">
        <v>5123</v>
      </c>
      <c r="V85" t="s">
        <v>24</v>
      </c>
      <c r="W85" t="s">
        <v>34</v>
      </c>
    </row>
    <row r="86" spans="1:23" x14ac:dyDescent="0.3">
      <c r="A86" t="s">
        <v>294</v>
      </c>
      <c r="B86" t="s">
        <v>131</v>
      </c>
      <c r="C86" t="s">
        <v>71</v>
      </c>
      <c r="D86" t="s">
        <v>111</v>
      </c>
      <c r="E86" t="s">
        <v>5134</v>
      </c>
      <c r="F86" t="s">
        <v>5133</v>
      </c>
      <c r="G86" t="s">
        <v>55</v>
      </c>
      <c r="H86" t="s">
        <v>19</v>
      </c>
      <c r="I86" t="str">
        <f>LEFT(H86,FIND(" (",H86)-1)</f>
        <v>Entry</v>
      </c>
      <c r="J86" t="str">
        <f>MID(H86,FIND("(",H86)+1,FIND(")",H86)-FIND("(",H86)-1)</f>
        <v>0-2 yrs</v>
      </c>
      <c r="L86">
        <v>59812</v>
      </c>
      <c r="M86" t="s">
        <v>295</v>
      </c>
      <c r="N86" t="s">
        <v>149</v>
      </c>
      <c r="O86" t="s">
        <v>44</v>
      </c>
      <c r="P86" s="1">
        <v>45314</v>
      </c>
      <c r="Q86">
        <v>1661</v>
      </c>
      <c r="R86">
        <v>556</v>
      </c>
      <c r="S86" t="s">
        <v>34</v>
      </c>
      <c r="T86">
        <v>0</v>
      </c>
      <c r="U86" t="s">
        <v>83</v>
      </c>
      <c r="V86" t="s">
        <v>24</v>
      </c>
      <c r="W86" t="s">
        <v>23</v>
      </c>
    </row>
    <row r="87" spans="1:23" x14ac:dyDescent="0.3">
      <c r="A87" t="s">
        <v>296</v>
      </c>
      <c r="B87" t="s">
        <v>172</v>
      </c>
      <c r="C87" t="s">
        <v>62</v>
      </c>
      <c r="D87" t="s">
        <v>147</v>
      </c>
      <c r="E87" t="s">
        <v>102</v>
      </c>
      <c r="F87" t="s">
        <v>103</v>
      </c>
      <c r="G87" t="s">
        <v>55</v>
      </c>
      <c r="H87" t="s">
        <v>31</v>
      </c>
      <c r="I87" t="str">
        <f>LEFT(H87,FIND(" (",H87)-1)</f>
        <v>Staff/Principal</v>
      </c>
      <c r="J87" t="str">
        <f>MID(H87,FIND("(",H87)+1,FIND(")",H87)-FIND("(",H87)-1)</f>
        <v>8+ yrs</v>
      </c>
      <c r="L87">
        <v>181936</v>
      </c>
      <c r="M87" t="s">
        <v>297</v>
      </c>
      <c r="N87" t="s">
        <v>120</v>
      </c>
      <c r="O87" t="s">
        <v>79</v>
      </c>
      <c r="P87" s="1">
        <v>45324</v>
      </c>
      <c r="Q87">
        <v>2239</v>
      </c>
      <c r="R87">
        <v>1047</v>
      </c>
      <c r="S87" t="s">
        <v>34</v>
      </c>
      <c r="T87">
        <v>6</v>
      </c>
      <c r="U87" t="s">
        <v>52</v>
      </c>
      <c r="V87" t="s">
        <v>24</v>
      </c>
      <c r="W87" t="s">
        <v>23</v>
      </c>
    </row>
    <row r="88" spans="1:23" x14ac:dyDescent="0.3">
      <c r="A88" t="s">
        <v>298</v>
      </c>
      <c r="B88" t="s">
        <v>229</v>
      </c>
      <c r="C88" t="s">
        <v>192</v>
      </c>
      <c r="D88" t="s">
        <v>63</v>
      </c>
      <c r="E88" t="s">
        <v>16</v>
      </c>
      <c r="F88" t="s">
        <v>17</v>
      </c>
      <c r="G88" t="s">
        <v>18</v>
      </c>
      <c r="H88" t="s">
        <v>66</v>
      </c>
      <c r="I88" t="str">
        <f>LEFT(H88,FIND(" (",H88)-1)</f>
        <v>Senior</v>
      </c>
      <c r="J88" t="str">
        <f>MID(H88,FIND("(",H88)+1,FIND(")",H88)-FIND("(",H88)-1)</f>
        <v>5-8 yrs</v>
      </c>
      <c r="L88">
        <v>174715</v>
      </c>
      <c r="M88" t="s">
        <v>299</v>
      </c>
      <c r="N88" t="s">
        <v>33</v>
      </c>
      <c r="O88" t="s">
        <v>51</v>
      </c>
      <c r="P88" s="1">
        <v>45480</v>
      </c>
      <c r="Q88">
        <v>2426</v>
      </c>
      <c r="R88">
        <v>1102</v>
      </c>
      <c r="S88" t="s">
        <v>23</v>
      </c>
      <c r="T88">
        <v>4</v>
      </c>
      <c r="U88" t="s">
        <v>58</v>
      </c>
      <c r="V88" t="s">
        <v>24</v>
      </c>
      <c r="W88" t="s">
        <v>23</v>
      </c>
    </row>
    <row r="89" spans="1:23" x14ac:dyDescent="0.3">
      <c r="A89" t="s">
        <v>300</v>
      </c>
      <c r="B89" t="s">
        <v>222</v>
      </c>
      <c r="C89" t="s">
        <v>226</v>
      </c>
      <c r="D89" t="s">
        <v>63</v>
      </c>
      <c r="E89" t="s">
        <v>5132</v>
      </c>
      <c r="F89" t="s">
        <v>5133</v>
      </c>
      <c r="G89" t="s">
        <v>18</v>
      </c>
      <c r="H89" t="s">
        <v>66</v>
      </c>
      <c r="I89" t="str">
        <f>LEFT(H89,FIND(" (",H89)-1)</f>
        <v>Senior</v>
      </c>
      <c r="J89" t="str">
        <f>MID(H89,FIND("(",H89)+1,FIND(")",H89)-FIND("(",H89)-1)</f>
        <v>5-8 yrs</v>
      </c>
      <c r="L89">
        <v>158876</v>
      </c>
      <c r="M89" t="s">
        <v>301</v>
      </c>
      <c r="N89" t="s">
        <v>89</v>
      </c>
      <c r="O89" t="s">
        <v>22</v>
      </c>
      <c r="P89" s="1">
        <v>45459</v>
      </c>
      <c r="Q89">
        <v>1744</v>
      </c>
      <c r="R89">
        <v>2528</v>
      </c>
      <c r="S89" t="s">
        <v>99</v>
      </c>
      <c r="T89">
        <v>4</v>
      </c>
      <c r="U89" t="s">
        <v>45</v>
      </c>
      <c r="V89" t="s">
        <v>24</v>
      </c>
      <c r="W89" t="s">
        <v>23</v>
      </c>
    </row>
    <row r="90" spans="1:23" x14ac:dyDescent="0.3">
      <c r="A90" t="s">
        <v>302</v>
      </c>
      <c r="B90" t="s">
        <v>229</v>
      </c>
      <c r="C90" t="s">
        <v>146</v>
      </c>
      <c r="D90" t="s">
        <v>15</v>
      </c>
      <c r="E90" t="s">
        <v>5134</v>
      </c>
      <c r="F90" t="s">
        <v>5133</v>
      </c>
      <c r="G90" t="s">
        <v>18</v>
      </c>
      <c r="H90" t="s">
        <v>19</v>
      </c>
      <c r="I90" t="str">
        <f>LEFT(H90,FIND(" (",H90)-1)</f>
        <v>Entry</v>
      </c>
      <c r="J90" t="str">
        <f>MID(H90,FIND("(",H90)+1,FIND(")",H90)-FIND("(",H90)-1)</f>
        <v>0-2 yrs</v>
      </c>
      <c r="L90">
        <v>63325</v>
      </c>
      <c r="M90" t="s">
        <v>303</v>
      </c>
      <c r="N90" t="s">
        <v>33</v>
      </c>
      <c r="O90" t="s">
        <v>22</v>
      </c>
      <c r="P90" s="1">
        <v>45702</v>
      </c>
      <c r="Q90">
        <v>1266</v>
      </c>
      <c r="R90">
        <v>3198</v>
      </c>
      <c r="S90" t="s">
        <v>23</v>
      </c>
      <c r="T90">
        <v>0</v>
      </c>
      <c r="U90" t="s">
        <v>45</v>
      </c>
      <c r="V90" t="s">
        <v>24</v>
      </c>
      <c r="W90" t="s">
        <v>23</v>
      </c>
    </row>
    <row r="91" spans="1:23" x14ac:dyDescent="0.3">
      <c r="A91" t="s">
        <v>304</v>
      </c>
      <c r="B91" t="s">
        <v>85</v>
      </c>
      <c r="C91" t="s">
        <v>92</v>
      </c>
      <c r="D91" t="s">
        <v>49</v>
      </c>
      <c r="E91" t="s">
        <v>39</v>
      </c>
      <c r="F91" t="s">
        <v>40</v>
      </c>
      <c r="G91" t="s">
        <v>55</v>
      </c>
      <c r="H91" t="s">
        <v>56</v>
      </c>
      <c r="I91" t="str">
        <f>LEFT(H91,FIND(" (",H91)-1)</f>
        <v>Mid</v>
      </c>
      <c r="J91" t="str">
        <f>MID(H91,FIND("(",H91)+1,FIND(")",H91)-FIND("(",H91)-1)</f>
        <v>2-5 yrs</v>
      </c>
      <c r="L91">
        <v>120162</v>
      </c>
      <c r="M91" t="s">
        <v>305</v>
      </c>
      <c r="N91" t="s">
        <v>120</v>
      </c>
      <c r="O91" t="s">
        <v>22</v>
      </c>
      <c r="P91" s="1">
        <v>45482</v>
      </c>
      <c r="Q91">
        <v>1062</v>
      </c>
      <c r="R91">
        <v>2054</v>
      </c>
      <c r="S91" t="s">
        <v>23</v>
      </c>
      <c r="T91">
        <v>2</v>
      </c>
      <c r="U91" t="s">
        <v>83</v>
      </c>
      <c r="V91" t="s">
        <v>24</v>
      </c>
      <c r="W91" t="s">
        <v>23</v>
      </c>
    </row>
    <row r="92" spans="1:23" x14ac:dyDescent="0.3">
      <c r="A92" t="s">
        <v>306</v>
      </c>
      <c r="B92" t="s">
        <v>172</v>
      </c>
      <c r="C92" t="s">
        <v>110</v>
      </c>
      <c r="D92" t="s">
        <v>174</v>
      </c>
      <c r="E92" t="s">
        <v>216</v>
      </c>
      <c r="F92" t="s">
        <v>217</v>
      </c>
      <c r="G92" t="s">
        <v>18</v>
      </c>
      <c r="H92" t="s">
        <v>56</v>
      </c>
      <c r="I92" t="str">
        <f>LEFT(H92,FIND(" (",H92)-1)</f>
        <v>Mid</v>
      </c>
      <c r="J92" t="str">
        <f>MID(H92,FIND("(",H92)+1,FIND(")",H92)-FIND("(",H92)-1)</f>
        <v>2-5 yrs</v>
      </c>
      <c r="L92">
        <v>111922</v>
      </c>
      <c r="M92" t="s">
        <v>307</v>
      </c>
      <c r="N92" t="s">
        <v>89</v>
      </c>
      <c r="O92" t="s">
        <v>51</v>
      </c>
      <c r="P92" s="1">
        <v>45543</v>
      </c>
      <c r="Q92">
        <v>565</v>
      </c>
      <c r="R92">
        <v>2262</v>
      </c>
      <c r="S92" t="s">
        <v>23</v>
      </c>
      <c r="T92">
        <v>2</v>
      </c>
      <c r="U92" t="s">
        <v>45</v>
      </c>
      <c r="V92" t="s">
        <v>59</v>
      </c>
      <c r="W92" t="s">
        <v>23</v>
      </c>
    </row>
    <row r="93" spans="1:23" x14ac:dyDescent="0.3">
      <c r="A93" t="s">
        <v>308</v>
      </c>
      <c r="B93" t="s">
        <v>222</v>
      </c>
      <c r="C93" t="s">
        <v>226</v>
      </c>
      <c r="D93" t="s">
        <v>63</v>
      </c>
      <c r="E93" t="s">
        <v>76</v>
      </c>
      <c r="F93" t="s">
        <v>77</v>
      </c>
      <c r="G93" t="s">
        <v>18</v>
      </c>
      <c r="H93" t="s">
        <v>66</v>
      </c>
      <c r="I93" t="str">
        <f>LEFT(H93,FIND(" (",H93)-1)</f>
        <v>Senior</v>
      </c>
      <c r="J93" t="str">
        <f>MID(H93,FIND("(",H93)+1,FIND(")",H93)-FIND("(",H93)-1)</f>
        <v>5-8 yrs</v>
      </c>
      <c r="L93">
        <v>176153</v>
      </c>
      <c r="M93" t="s">
        <v>309</v>
      </c>
      <c r="N93" t="s">
        <v>21</v>
      </c>
      <c r="O93" t="s">
        <v>44</v>
      </c>
      <c r="P93" s="1">
        <v>45394</v>
      </c>
      <c r="Q93">
        <v>831</v>
      </c>
      <c r="R93">
        <v>2516</v>
      </c>
      <c r="S93" t="s">
        <v>99</v>
      </c>
      <c r="T93">
        <v>4</v>
      </c>
      <c r="U93" t="s">
        <v>5123</v>
      </c>
      <c r="V93" t="s">
        <v>24</v>
      </c>
      <c r="W93" t="s">
        <v>23</v>
      </c>
    </row>
    <row r="94" spans="1:23" x14ac:dyDescent="0.3">
      <c r="A94" t="s">
        <v>310</v>
      </c>
      <c r="B94" t="s">
        <v>96</v>
      </c>
      <c r="C94" t="s">
        <v>226</v>
      </c>
      <c r="D94" t="s">
        <v>125</v>
      </c>
      <c r="E94" t="s">
        <v>5139</v>
      </c>
      <c r="F94" t="s">
        <v>5133</v>
      </c>
      <c r="G94" t="s">
        <v>55</v>
      </c>
      <c r="H94" t="s">
        <v>31</v>
      </c>
      <c r="I94" t="str">
        <f>LEFT(H94,FIND(" (",H94)-1)</f>
        <v>Staff/Principal</v>
      </c>
      <c r="J94" t="str">
        <f>MID(H94,FIND("(",H94)+1,FIND(")",H94)-FIND("(",H94)-1)</f>
        <v>8+ yrs</v>
      </c>
      <c r="L94">
        <v>174726</v>
      </c>
      <c r="M94" t="s">
        <v>311</v>
      </c>
      <c r="N94" t="s">
        <v>94</v>
      </c>
      <c r="O94" t="s">
        <v>44</v>
      </c>
      <c r="P94" s="1">
        <v>45329</v>
      </c>
      <c r="Q94">
        <v>1045</v>
      </c>
      <c r="R94">
        <v>3154</v>
      </c>
      <c r="S94" t="s">
        <v>99</v>
      </c>
      <c r="T94">
        <v>6</v>
      </c>
      <c r="U94" t="s">
        <v>58</v>
      </c>
      <c r="V94" t="s">
        <v>24</v>
      </c>
      <c r="W94" t="s">
        <v>23</v>
      </c>
    </row>
    <row r="95" spans="1:23" x14ac:dyDescent="0.3">
      <c r="A95" t="s">
        <v>312</v>
      </c>
      <c r="B95" t="s">
        <v>13</v>
      </c>
      <c r="C95" t="s">
        <v>173</v>
      </c>
      <c r="D95" t="s">
        <v>38</v>
      </c>
      <c r="E95" t="s">
        <v>230</v>
      </c>
      <c r="F95" t="s">
        <v>231</v>
      </c>
      <c r="G95" t="s">
        <v>18</v>
      </c>
      <c r="H95" t="s">
        <v>56</v>
      </c>
      <c r="I95" t="str">
        <f>LEFT(H95,FIND(" (",H95)-1)</f>
        <v>Mid</v>
      </c>
      <c r="J95" t="str">
        <f>MID(H95,FIND("(",H95)+1,FIND(")",H95)-FIND("(",H95)-1)</f>
        <v>2-5 yrs</v>
      </c>
      <c r="L95">
        <v>103512</v>
      </c>
      <c r="M95" t="s">
        <v>313</v>
      </c>
      <c r="N95" t="s">
        <v>33</v>
      </c>
      <c r="O95" t="s">
        <v>51</v>
      </c>
      <c r="P95" s="1">
        <v>45457</v>
      </c>
      <c r="Q95">
        <v>1424</v>
      </c>
      <c r="R95">
        <v>522</v>
      </c>
      <c r="S95" t="s">
        <v>23</v>
      </c>
      <c r="T95">
        <v>2</v>
      </c>
      <c r="U95" t="s">
        <v>83</v>
      </c>
      <c r="V95" t="s">
        <v>24</v>
      </c>
      <c r="W95" t="s">
        <v>23</v>
      </c>
    </row>
    <row r="96" spans="1:23" x14ac:dyDescent="0.3">
      <c r="A96" t="s">
        <v>314</v>
      </c>
      <c r="B96" t="s">
        <v>222</v>
      </c>
      <c r="C96" t="s">
        <v>71</v>
      </c>
      <c r="D96" t="s">
        <v>111</v>
      </c>
      <c r="E96" t="s">
        <v>102</v>
      </c>
      <c r="F96" t="s">
        <v>103</v>
      </c>
      <c r="G96" t="s">
        <v>41</v>
      </c>
      <c r="H96" t="s">
        <v>56</v>
      </c>
      <c r="I96" t="str">
        <f>LEFT(H96,FIND(" (",H96)-1)</f>
        <v>Mid</v>
      </c>
      <c r="J96" t="str">
        <f>MID(H96,FIND("(",H96)+1,FIND(")",H96)-FIND("(",H96)-1)</f>
        <v>2-5 yrs</v>
      </c>
      <c r="L96">
        <v>102236</v>
      </c>
      <c r="M96" t="s">
        <v>315</v>
      </c>
      <c r="N96" t="s">
        <v>33</v>
      </c>
      <c r="O96" t="s">
        <v>22</v>
      </c>
      <c r="P96" s="1">
        <v>45660</v>
      </c>
      <c r="Q96">
        <v>1163</v>
      </c>
      <c r="R96">
        <v>3151</v>
      </c>
      <c r="S96" t="s">
        <v>23</v>
      </c>
      <c r="T96">
        <v>2</v>
      </c>
      <c r="U96" t="s">
        <v>83</v>
      </c>
      <c r="V96" t="s">
        <v>24</v>
      </c>
      <c r="W96" t="s">
        <v>23</v>
      </c>
    </row>
    <row r="97" spans="1:23" x14ac:dyDescent="0.3">
      <c r="A97" t="s">
        <v>316</v>
      </c>
      <c r="B97" t="s">
        <v>26</v>
      </c>
      <c r="C97" t="s">
        <v>146</v>
      </c>
      <c r="D97" t="s">
        <v>38</v>
      </c>
      <c r="E97" t="s">
        <v>230</v>
      </c>
      <c r="F97" t="s">
        <v>231</v>
      </c>
      <c r="G97" t="s">
        <v>41</v>
      </c>
      <c r="H97" t="s">
        <v>66</v>
      </c>
      <c r="I97" t="str">
        <f>LEFT(H97,FIND(" (",H97)-1)</f>
        <v>Senior</v>
      </c>
      <c r="J97" t="str">
        <f>MID(H97,FIND("(",H97)+1,FIND(")",H97)-FIND("(",H97)-1)</f>
        <v>5-8 yrs</v>
      </c>
      <c r="L97">
        <v>110485</v>
      </c>
      <c r="M97" t="s">
        <v>317</v>
      </c>
      <c r="N97" t="s">
        <v>89</v>
      </c>
      <c r="O97" t="s">
        <v>51</v>
      </c>
      <c r="P97" s="1">
        <v>45704</v>
      </c>
      <c r="Q97">
        <v>888</v>
      </c>
      <c r="R97">
        <v>1290</v>
      </c>
      <c r="S97" t="s">
        <v>99</v>
      </c>
      <c r="T97">
        <v>4</v>
      </c>
      <c r="U97" t="s">
        <v>45</v>
      </c>
      <c r="V97" t="s">
        <v>59</v>
      </c>
      <c r="W97" t="s">
        <v>23</v>
      </c>
    </row>
    <row r="98" spans="1:23" x14ac:dyDescent="0.3">
      <c r="A98" t="s">
        <v>318</v>
      </c>
      <c r="B98" t="s">
        <v>137</v>
      </c>
      <c r="C98" t="s">
        <v>54</v>
      </c>
      <c r="D98" t="s">
        <v>111</v>
      </c>
      <c r="E98" t="s">
        <v>5141</v>
      </c>
      <c r="F98" t="s">
        <v>5133</v>
      </c>
      <c r="G98" t="s">
        <v>41</v>
      </c>
      <c r="H98" t="s">
        <v>56</v>
      </c>
      <c r="I98" t="str">
        <f>LEFT(H98,FIND(" (",H98)-1)</f>
        <v>Mid</v>
      </c>
      <c r="J98" t="str">
        <f>MID(H98,FIND("(",H98)+1,FIND(")",H98)-FIND("(",H98)-1)</f>
        <v>2-5 yrs</v>
      </c>
      <c r="L98">
        <v>115863</v>
      </c>
      <c r="M98" t="s">
        <v>319</v>
      </c>
      <c r="N98" t="s">
        <v>120</v>
      </c>
      <c r="O98" t="s">
        <v>51</v>
      </c>
      <c r="P98" s="1">
        <v>45346</v>
      </c>
      <c r="Q98">
        <v>954</v>
      </c>
      <c r="R98">
        <v>3342</v>
      </c>
      <c r="S98" t="s">
        <v>23</v>
      </c>
      <c r="T98">
        <v>2</v>
      </c>
      <c r="U98" t="s">
        <v>83</v>
      </c>
      <c r="V98" t="s">
        <v>59</v>
      </c>
      <c r="W98" t="s">
        <v>34</v>
      </c>
    </row>
    <row r="99" spans="1:23" x14ac:dyDescent="0.3">
      <c r="A99" t="s">
        <v>320</v>
      </c>
      <c r="B99" t="s">
        <v>222</v>
      </c>
      <c r="C99" t="s">
        <v>204</v>
      </c>
      <c r="D99" t="s">
        <v>111</v>
      </c>
      <c r="E99" t="s">
        <v>76</v>
      </c>
      <c r="F99" t="s">
        <v>77</v>
      </c>
      <c r="G99" t="s">
        <v>41</v>
      </c>
      <c r="H99" t="s">
        <v>31</v>
      </c>
      <c r="I99" t="str">
        <f>LEFT(H99,FIND(" (",H99)-1)</f>
        <v>Staff/Principal</v>
      </c>
      <c r="J99" t="str">
        <f>MID(H99,FIND("(",H99)+1,FIND(")",H99)-FIND("(",H99)-1)</f>
        <v>8+ yrs</v>
      </c>
      <c r="L99">
        <v>209397</v>
      </c>
      <c r="M99" t="s">
        <v>321</v>
      </c>
      <c r="N99" t="s">
        <v>245</v>
      </c>
      <c r="O99" t="s">
        <v>51</v>
      </c>
      <c r="P99" s="1">
        <v>45742</v>
      </c>
      <c r="Q99">
        <v>507</v>
      </c>
      <c r="R99">
        <v>1162</v>
      </c>
      <c r="S99" t="s">
        <v>23</v>
      </c>
      <c r="T99">
        <v>6</v>
      </c>
      <c r="U99" t="s">
        <v>58</v>
      </c>
      <c r="V99" t="s">
        <v>24</v>
      </c>
      <c r="W99" t="s">
        <v>34</v>
      </c>
    </row>
    <row r="100" spans="1:23" x14ac:dyDescent="0.3">
      <c r="A100" t="s">
        <v>322</v>
      </c>
      <c r="B100" t="s">
        <v>13</v>
      </c>
      <c r="C100" t="s">
        <v>74</v>
      </c>
      <c r="D100" t="s">
        <v>28</v>
      </c>
      <c r="E100" t="s">
        <v>64</v>
      </c>
      <c r="F100" t="s">
        <v>65</v>
      </c>
      <c r="G100" t="s">
        <v>55</v>
      </c>
      <c r="H100" t="s">
        <v>31</v>
      </c>
      <c r="I100" t="str">
        <f>LEFT(H100,FIND(" (",H100)-1)</f>
        <v>Staff/Principal</v>
      </c>
      <c r="J100" t="str">
        <f>MID(H100,FIND("(",H100)+1,FIND(")",H100)-FIND("(",H100)-1)</f>
        <v>8+ yrs</v>
      </c>
      <c r="L100">
        <v>200184</v>
      </c>
      <c r="M100" t="s">
        <v>323</v>
      </c>
      <c r="N100" t="s">
        <v>43</v>
      </c>
      <c r="O100" t="s">
        <v>22</v>
      </c>
      <c r="P100" s="1">
        <v>45664</v>
      </c>
      <c r="Q100">
        <v>2365</v>
      </c>
      <c r="R100">
        <v>1854</v>
      </c>
      <c r="S100" t="s">
        <v>23</v>
      </c>
      <c r="T100">
        <v>6</v>
      </c>
      <c r="U100" t="s">
        <v>45</v>
      </c>
      <c r="V100" t="s">
        <v>59</v>
      </c>
      <c r="W100" t="s">
        <v>23</v>
      </c>
    </row>
    <row r="101" spans="1:23" x14ac:dyDescent="0.3">
      <c r="A101" t="s">
        <v>324</v>
      </c>
      <c r="B101" t="s">
        <v>85</v>
      </c>
      <c r="C101" t="s">
        <v>62</v>
      </c>
      <c r="D101" t="s">
        <v>147</v>
      </c>
      <c r="E101" t="s">
        <v>64</v>
      </c>
      <c r="F101" t="s">
        <v>65</v>
      </c>
      <c r="G101" t="s">
        <v>55</v>
      </c>
      <c r="H101" t="s">
        <v>19</v>
      </c>
      <c r="I101" t="str">
        <f>LEFT(H101,FIND(" (",H101)-1)</f>
        <v>Entry</v>
      </c>
      <c r="J101" t="str">
        <f>MID(H101,FIND("(",H101)+1,FIND(")",H101)-FIND("(",H101)-1)</f>
        <v>0-2 yrs</v>
      </c>
      <c r="L101">
        <v>67044</v>
      </c>
      <c r="M101" t="s">
        <v>325</v>
      </c>
      <c r="N101" t="s">
        <v>21</v>
      </c>
      <c r="O101" t="s">
        <v>51</v>
      </c>
      <c r="P101" s="1">
        <v>45493</v>
      </c>
      <c r="Q101">
        <v>485</v>
      </c>
      <c r="R101">
        <v>169</v>
      </c>
      <c r="S101" t="s">
        <v>34</v>
      </c>
      <c r="T101">
        <v>0</v>
      </c>
      <c r="U101" t="s">
        <v>45</v>
      </c>
      <c r="V101" t="s">
        <v>59</v>
      </c>
      <c r="W101" t="s">
        <v>23</v>
      </c>
    </row>
    <row r="102" spans="1:23" x14ac:dyDescent="0.3">
      <c r="A102" t="s">
        <v>326</v>
      </c>
      <c r="B102" t="s">
        <v>61</v>
      </c>
      <c r="C102" t="s">
        <v>62</v>
      </c>
      <c r="D102" t="s">
        <v>75</v>
      </c>
      <c r="E102" t="s">
        <v>5132</v>
      </c>
      <c r="F102" t="s">
        <v>5133</v>
      </c>
      <c r="G102" t="s">
        <v>55</v>
      </c>
      <c r="H102" t="s">
        <v>56</v>
      </c>
      <c r="I102" t="str">
        <f>LEFT(H102,FIND(" (",H102)-1)</f>
        <v>Mid</v>
      </c>
      <c r="J102" t="str">
        <f>MID(H102,FIND("(",H102)+1,FIND(")",H102)-FIND("(",H102)-1)</f>
        <v>2-5 yrs</v>
      </c>
      <c r="L102">
        <v>81975</v>
      </c>
      <c r="M102" t="s">
        <v>327</v>
      </c>
      <c r="N102" t="s">
        <v>43</v>
      </c>
      <c r="O102" t="s">
        <v>51</v>
      </c>
      <c r="P102" s="1">
        <v>45455</v>
      </c>
      <c r="Q102">
        <v>1527</v>
      </c>
      <c r="R102">
        <v>1955</v>
      </c>
      <c r="S102" t="s">
        <v>23</v>
      </c>
      <c r="T102">
        <v>2</v>
      </c>
      <c r="U102" t="s">
        <v>45</v>
      </c>
      <c r="V102" t="s">
        <v>24</v>
      </c>
      <c r="W102" t="s">
        <v>34</v>
      </c>
    </row>
    <row r="103" spans="1:23" x14ac:dyDescent="0.3">
      <c r="A103" t="s">
        <v>328</v>
      </c>
      <c r="B103" t="s">
        <v>329</v>
      </c>
      <c r="C103" t="s">
        <v>71</v>
      </c>
      <c r="D103" t="s">
        <v>147</v>
      </c>
      <c r="E103" t="s">
        <v>5140</v>
      </c>
      <c r="F103" t="s">
        <v>5133</v>
      </c>
      <c r="G103" t="s">
        <v>41</v>
      </c>
      <c r="H103" t="s">
        <v>66</v>
      </c>
      <c r="I103" t="str">
        <f>LEFT(H103,FIND(" (",H103)-1)</f>
        <v>Senior</v>
      </c>
      <c r="J103" t="str">
        <f>MID(H103,FIND("(",H103)+1,FIND(")",H103)-FIND("(",H103)-1)</f>
        <v>5-8 yrs</v>
      </c>
      <c r="L103">
        <v>138642</v>
      </c>
      <c r="M103" t="s">
        <v>330</v>
      </c>
      <c r="N103" t="s">
        <v>21</v>
      </c>
      <c r="O103" t="s">
        <v>22</v>
      </c>
      <c r="P103" s="1">
        <v>45427</v>
      </c>
      <c r="Q103">
        <v>1292</v>
      </c>
      <c r="R103">
        <v>139</v>
      </c>
      <c r="S103" t="s">
        <v>23</v>
      </c>
      <c r="T103">
        <v>4</v>
      </c>
      <c r="U103" t="s">
        <v>5123</v>
      </c>
      <c r="V103" t="s">
        <v>24</v>
      </c>
      <c r="W103" t="s">
        <v>34</v>
      </c>
    </row>
    <row r="104" spans="1:23" x14ac:dyDescent="0.3">
      <c r="A104" t="s">
        <v>331</v>
      </c>
      <c r="B104" t="s">
        <v>329</v>
      </c>
      <c r="C104" t="s">
        <v>74</v>
      </c>
      <c r="D104" t="s">
        <v>174</v>
      </c>
      <c r="E104" t="s">
        <v>5139</v>
      </c>
      <c r="F104" t="s">
        <v>5133</v>
      </c>
      <c r="G104" t="s">
        <v>41</v>
      </c>
      <c r="H104" t="s">
        <v>56</v>
      </c>
      <c r="I104" t="str">
        <f>LEFT(H104,FIND(" (",H104)-1)</f>
        <v>Mid</v>
      </c>
      <c r="J104" t="str">
        <f>MID(H104,FIND("(",H104)+1,FIND(")",H104)-FIND("(",H104)-1)</f>
        <v>2-5 yrs</v>
      </c>
      <c r="L104">
        <v>103214</v>
      </c>
      <c r="M104" t="s">
        <v>332</v>
      </c>
      <c r="N104" t="s">
        <v>245</v>
      </c>
      <c r="O104" t="s">
        <v>79</v>
      </c>
      <c r="P104" s="1">
        <v>45502</v>
      </c>
      <c r="Q104">
        <v>2259</v>
      </c>
      <c r="R104">
        <v>2162</v>
      </c>
      <c r="S104" t="s">
        <v>23</v>
      </c>
      <c r="T104">
        <v>2</v>
      </c>
      <c r="U104" t="s">
        <v>52</v>
      </c>
      <c r="V104" t="s">
        <v>24</v>
      </c>
      <c r="W104" t="s">
        <v>23</v>
      </c>
    </row>
    <row r="105" spans="1:23" x14ac:dyDescent="0.3">
      <c r="A105" t="s">
        <v>333</v>
      </c>
      <c r="B105" t="s">
        <v>26</v>
      </c>
      <c r="C105" t="s">
        <v>179</v>
      </c>
      <c r="D105" t="s">
        <v>28</v>
      </c>
      <c r="E105" t="s">
        <v>16</v>
      </c>
      <c r="F105" t="s">
        <v>17</v>
      </c>
      <c r="G105" t="s">
        <v>41</v>
      </c>
      <c r="H105" t="s">
        <v>66</v>
      </c>
      <c r="I105" t="str">
        <f>LEFT(H105,FIND(" (",H105)-1)</f>
        <v>Senior</v>
      </c>
      <c r="J105" t="str">
        <f>MID(H105,FIND("(",H105)+1,FIND(")",H105)-FIND("(",H105)-1)</f>
        <v>5-8 yrs</v>
      </c>
      <c r="L105">
        <v>128338</v>
      </c>
      <c r="M105" t="s">
        <v>334</v>
      </c>
      <c r="N105" t="s">
        <v>33</v>
      </c>
      <c r="O105" t="s">
        <v>44</v>
      </c>
      <c r="P105" s="1">
        <v>45390</v>
      </c>
      <c r="Q105">
        <v>2302</v>
      </c>
      <c r="R105">
        <v>1308</v>
      </c>
      <c r="S105" t="s">
        <v>23</v>
      </c>
      <c r="T105">
        <v>4</v>
      </c>
      <c r="U105" t="s">
        <v>83</v>
      </c>
      <c r="V105" t="s">
        <v>46</v>
      </c>
      <c r="W105" t="s">
        <v>23</v>
      </c>
    </row>
    <row r="106" spans="1:23" x14ac:dyDescent="0.3">
      <c r="A106" t="s">
        <v>335</v>
      </c>
      <c r="B106" t="s">
        <v>36</v>
      </c>
      <c r="C106" t="s">
        <v>182</v>
      </c>
      <c r="D106" t="s">
        <v>49</v>
      </c>
      <c r="E106" t="s">
        <v>5137</v>
      </c>
      <c r="F106" t="s">
        <v>5138</v>
      </c>
      <c r="G106" t="s">
        <v>41</v>
      </c>
      <c r="H106" t="s">
        <v>66</v>
      </c>
      <c r="I106" t="str">
        <f>LEFT(H106,FIND(" (",H106)-1)</f>
        <v>Senior</v>
      </c>
      <c r="J106" t="str">
        <f>MID(H106,FIND("(",H106)+1,FIND(")",H106)-FIND("(",H106)-1)</f>
        <v>5-8 yrs</v>
      </c>
      <c r="L106">
        <v>145645</v>
      </c>
      <c r="M106" t="s">
        <v>336</v>
      </c>
      <c r="N106" t="s">
        <v>120</v>
      </c>
      <c r="O106" t="s">
        <v>51</v>
      </c>
      <c r="P106" s="1">
        <v>45570</v>
      </c>
      <c r="Q106">
        <v>2111</v>
      </c>
      <c r="R106">
        <v>2696</v>
      </c>
      <c r="S106" t="s">
        <v>23</v>
      </c>
      <c r="T106">
        <v>4</v>
      </c>
      <c r="U106" t="s">
        <v>58</v>
      </c>
      <c r="V106" t="s">
        <v>24</v>
      </c>
      <c r="W106" t="s">
        <v>23</v>
      </c>
    </row>
    <row r="107" spans="1:23" x14ac:dyDescent="0.3">
      <c r="A107" t="s">
        <v>337</v>
      </c>
      <c r="B107" t="s">
        <v>36</v>
      </c>
      <c r="C107" t="s">
        <v>14</v>
      </c>
      <c r="D107" t="s">
        <v>174</v>
      </c>
      <c r="E107" t="s">
        <v>64</v>
      </c>
      <c r="F107" t="s">
        <v>65</v>
      </c>
      <c r="G107" t="s">
        <v>18</v>
      </c>
      <c r="H107" t="s">
        <v>66</v>
      </c>
      <c r="I107" t="str">
        <f>LEFT(H107,FIND(" (",H107)-1)</f>
        <v>Senior</v>
      </c>
      <c r="J107" t="str">
        <f>MID(H107,FIND("(",H107)+1,FIND(")",H107)-FIND("(",H107)-1)</f>
        <v>5-8 yrs</v>
      </c>
      <c r="L107">
        <v>160909</v>
      </c>
      <c r="M107" t="s">
        <v>338</v>
      </c>
      <c r="N107" t="s">
        <v>149</v>
      </c>
      <c r="O107" t="s">
        <v>44</v>
      </c>
      <c r="P107" s="1">
        <v>45671</v>
      </c>
      <c r="Q107">
        <v>711</v>
      </c>
      <c r="R107">
        <v>2800</v>
      </c>
      <c r="S107" t="s">
        <v>23</v>
      </c>
      <c r="T107">
        <v>4</v>
      </c>
      <c r="U107" t="s">
        <v>5123</v>
      </c>
      <c r="V107" t="s">
        <v>46</v>
      </c>
      <c r="W107" t="s">
        <v>23</v>
      </c>
    </row>
    <row r="108" spans="1:23" x14ac:dyDescent="0.3">
      <c r="A108" t="s">
        <v>339</v>
      </c>
      <c r="B108" t="s">
        <v>222</v>
      </c>
      <c r="C108" t="s">
        <v>92</v>
      </c>
      <c r="D108" t="s">
        <v>75</v>
      </c>
      <c r="E108" t="s">
        <v>159</v>
      </c>
      <c r="F108" t="s">
        <v>160</v>
      </c>
      <c r="G108" t="s">
        <v>41</v>
      </c>
      <c r="H108" t="s">
        <v>31</v>
      </c>
      <c r="I108" t="str">
        <f>LEFT(H108,FIND(" (",H108)-1)</f>
        <v>Staff/Principal</v>
      </c>
      <c r="J108" t="str">
        <f>MID(H108,FIND("(",H108)+1,FIND(")",H108)-FIND("(",H108)-1)</f>
        <v>8+ yrs</v>
      </c>
      <c r="L108">
        <v>267902</v>
      </c>
      <c r="M108" t="s">
        <v>340</v>
      </c>
      <c r="N108" t="s">
        <v>21</v>
      </c>
      <c r="O108" t="s">
        <v>44</v>
      </c>
      <c r="P108" s="1">
        <v>45394</v>
      </c>
      <c r="Q108">
        <v>452</v>
      </c>
      <c r="R108">
        <v>3750</v>
      </c>
      <c r="S108" t="s">
        <v>99</v>
      </c>
      <c r="T108">
        <v>6</v>
      </c>
      <c r="U108" t="s">
        <v>58</v>
      </c>
      <c r="V108" t="s">
        <v>59</v>
      </c>
      <c r="W108" t="s">
        <v>34</v>
      </c>
    </row>
    <row r="109" spans="1:23" x14ac:dyDescent="0.3">
      <c r="A109" t="s">
        <v>341</v>
      </c>
      <c r="B109" t="s">
        <v>229</v>
      </c>
      <c r="C109" t="s">
        <v>179</v>
      </c>
      <c r="D109" t="s">
        <v>63</v>
      </c>
      <c r="E109" t="s">
        <v>159</v>
      </c>
      <c r="F109" t="s">
        <v>160</v>
      </c>
      <c r="G109" t="s">
        <v>18</v>
      </c>
      <c r="H109" t="s">
        <v>31</v>
      </c>
      <c r="I109" t="str">
        <f>LEFT(H109,FIND(" (",H109)-1)</f>
        <v>Staff/Principal</v>
      </c>
      <c r="J109" t="str">
        <f>MID(H109,FIND("(",H109)+1,FIND(")",H109)-FIND("(",H109)-1)</f>
        <v>8+ yrs</v>
      </c>
      <c r="L109">
        <v>206284</v>
      </c>
      <c r="M109" t="s">
        <v>342</v>
      </c>
      <c r="N109" t="s">
        <v>43</v>
      </c>
      <c r="O109" t="s">
        <v>79</v>
      </c>
      <c r="P109" s="1">
        <v>45675</v>
      </c>
      <c r="Q109">
        <v>2447</v>
      </c>
      <c r="R109">
        <v>2033</v>
      </c>
      <c r="S109" t="s">
        <v>99</v>
      </c>
      <c r="T109">
        <v>6</v>
      </c>
      <c r="U109" t="s">
        <v>52</v>
      </c>
      <c r="V109" t="s">
        <v>59</v>
      </c>
      <c r="W109" t="s">
        <v>23</v>
      </c>
    </row>
    <row r="110" spans="1:23" x14ac:dyDescent="0.3">
      <c r="A110" t="s">
        <v>343</v>
      </c>
      <c r="B110" t="s">
        <v>106</v>
      </c>
      <c r="C110" t="s">
        <v>37</v>
      </c>
      <c r="D110" t="s">
        <v>38</v>
      </c>
      <c r="E110" t="s">
        <v>5132</v>
      </c>
      <c r="F110" t="s">
        <v>5133</v>
      </c>
      <c r="G110" t="s">
        <v>18</v>
      </c>
      <c r="H110" t="s">
        <v>19</v>
      </c>
      <c r="I110" t="str">
        <f>LEFT(H110,FIND(" (",H110)-1)</f>
        <v>Entry</v>
      </c>
      <c r="J110" t="str">
        <f>MID(H110,FIND("(",H110)+1,FIND(")",H110)-FIND("(",H110)-1)</f>
        <v>0-2 yrs</v>
      </c>
      <c r="L110">
        <v>73245</v>
      </c>
      <c r="M110" t="s">
        <v>344</v>
      </c>
      <c r="N110" t="s">
        <v>33</v>
      </c>
      <c r="O110" t="s">
        <v>22</v>
      </c>
      <c r="P110" s="1">
        <v>45526</v>
      </c>
      <c r="Q110">
        <v>1960</v>
      </c>
      <c r="R110">
        <v>3397</v>
      </c>
      <c r="S110" t="s">
        <v>23</v>
      </c>
      <c r="T110">
        <v>0</v>
      </c>
      <c r="U110" t="s">
        <v>45</v>
      </c>
      <c r="V110" t="s">
        <v>24</v>
      </c>
      <c r="W110" t="s">
        <v>23</v>
      </c>
    </row>
    <row r="111" spans="1:23" x14ac:dyDescent="0.3">
      <c r="A111" t="s">
        <v>345</v>
      </c>
      <c r="B111" t="s">
        <v>222</v>
      </c>
      <c r="C111" t="s">
        <v>27</v>
      </c>
      <c r="D111" t="s">
        <v>28</v>
      </c>
      <c r="E111" t="s">
        <v>159</v>
      </c>
      <c r="F111" t="s">
        <v>160</v>
      </c>
      <c r="G111" t="s">
        <v>18</v>
      </c>
      <c r="H111" t="s">
        <v>56</v>
      </c>
      <c r="I111" t="str">
        <f>LEFT(H111,FIND(" (",H111)-1)</f>
        <v>Mid</v>
      </c>
      <c r="J111" t="str">
        <f>MID(H111,FIND("(",H111)+1,FIND(")",H111)-FIND("(",H111)-1)</f>
        <v>2-5 yrs</v>
      </c>
      <c r="L111">
        <v>108525</v>
      </c>
      <c r="M111" t="s">
        <v>346</v>
      </c>
      <c r="N111" t="s">
        <v>120</v>
      </c>
      <c r="O111" t="s">
        <v>51</v>
      </c>
      <c r="P111" s="1">
        <v>45419</v>
      </c>
      <c r="Q111">
        <v>346</v>
      </c>
      <c r="R111">
        <v>1081</v>
      </c>
      <c r="S111" t="s">
        <v>23</v>
      </c>
      <c r="T111">
        <v>2</v>
      </c>
      <c r="U111" t="s">
        <v>52</v>
      </c>
      <c r="V111" t="s">
        <v>24</v>
      </c>
      <c r="W111" t="s">
        <v>34</v>
      </c>
    </row>
    <row r="112" spans="1:23" x14ac:dyDescent="0.3">
      <c r="A112" t="s">
        <v>347</v>
      </c>
      <c r="B112" t="s">
        <v>81</v>
      </c>
      <c r="C112" t="s">
        <v>209</v>
      </c>
      <c r="D112" t="s">
        <v>63</v>
      </c>
      <c r="E112" t="s">
        <v>5134</v>
      </c>
      <c r="F112" t="s">
        <v>5133</v>
      </c>
      <c r="G112" t="s">
        <v>41</v>
      </c>
      <c r="H112" t="s">
        <v>56</v>
      </c>
      <c r="I112" t="str">
        <f>LEFT(H112,FIND(" (",H112)-1)</f>
        <v>Mid</v>
      </c>
      <c r="J112" t="str">
        <f>MID(H112,FIND("(",H112)+1,FIND(")",H112)-FIND("(",H112)-1)</f>
        <v>2-5 yrs</v>
      </c>
      <c r="L112">
        <v>72008</v>
      </c>
      <c r="M112" t="s">
        <v>348</v>
      </c>
      <c r="N112" t="s">
        <v>245</v>
      </c>
      <c r="O112" t="s">
        <v>22</v>
      </c>
      <c r="P112" s="1">
        <v>45746</v>
      </c>
      <c r="Q112">
        <v>1830</v>
      </c>
      <c r="R112">
        <v>1713</v>
      </c>
      <c r="S112" t="s">
        <v>23</v>
      </c>
      <c r="T112">
        <v>2</v>
      </c>
      <c r="U112" t="s">
        <v>58</v>
      </c>
      <c r="V112" t="s">
        <v>59</v>
      </c>
      <c r="W112" t="s">
        <v>23</v>
      </c>
    </row>
    <row r="113" spans="1:23" x14ac:dyDescent="0.3">
      <c r="A113" t="s">
        <v>349</v>
      </c>
      <c r="B113" t="s">
        <v>106</v>
      </c>
      <c r="C113" t="s">
        <v>86</v>
      </c>
      <c r="D113" t="s">
        <v>75</v>
      </c>
      <c r="E113" t="s">
        <v>216</v>
      </c>
      <c r="F113" t="s">
        <v>217</v>
      </c>
      <c r="G113" t="s">
        <v>55</v>
      </c>
      <c r="H113" t="s">
        <v>56</v>
      </c>
      <c r="I113" t="str">
        <f>LEFT(H113,FIND(" (",H113)-1)</f>
        <v>Mid</v>
      </c>
      <c r="J113" t="str">
        <f>MID(H113,FIND("(",H113)+1,FIND(")",H113)-FIND("(",H113)-1)</f>
        <v>2-5 yrs</v>
      </c>
      <c r="L113">
        <v>109475</v>
      </c>
      <c r="M113" t="s">
        <v>350</v>
      </c>
      <c r="N113" t="s">
        <v>94</v>
      </c>
      <c r="O113" t="s">
        <v>22</v>
      </c>
      <c r="P113" s="1">
        <v>45333</v>
      </c>
      <c r="Q113">
        <v>2498</v>
      </c>
      <c r="R113">
        <v>623</v>
      </c>
      <c r="S113" t="s">
        <v>34</v>
      </c>
      <c r="T113">
        <v>2</v>
      </c>
      <c r="U113" t="s">
        <v>83</v>
      </c>
      <c r="V113" t="s">
        <v>24</v>
      </c>
      <c r="W113" t="s">
        <v>23</v>
      </c>
    </row>
    <row r="114" spans="1:23" x14ac:dyDescent="0.3">
      <c r="A114" t="s">
        <v>351</v>
      </c>
      <c r="B114" t="s">
        <v>143</v>
      </c>
      <c r="C114" t="s">
        <v>132</v>
      </c>
      <c r="D114" t="s">
        <v>75</v>
      </c>
      <c r="E114" t="s">
        <v>5136</v>
      </c>
      <c r="F114" t="s">
        <v>5133</v>
      </c>
      <c r="G114" t="s">
        <v>55</v>
      </c>
      <c r="H114" t="s">
        <v>31</v>
      </c>
      <c r="I114" t="str">
        <f>LEFT(H114,FIND(" (",H114)-1)</f>
        <v>Staff/Principal</v>
      </c>
      <c r="J114" t="str">
        <f>MID(H114,FIND("(",H114)+1,FIND(")",H114)-FIND("(",H114)-1)</f>
        <v>8+ yrs</v>
      </c>
      <c r="L114">
        <v>202168</v>
      </c>
      <c r="M114" t="s">
        <v>352</v>
      </c>
      <c r="N114" t="s">
        <v>21</v>
      </c>
      <c r="O114" t="s">
        <v>51</v>
      </c>
      <c r="P114" s="1">
        <v>45520</v>
      </c>
      <c r="Q114">
        <v>1562</v>
      </c>
      <c r="R114">
        <v>2972</v>
      </c>
      <c r="S114" t="s">
        <v>34</v>
      </c>
      <c r="T114">
        <v>6</v>
      </c>
      <c r="U114" t="s">
        <v>45</v>
      </c>
      <c r="V114" t="s">
        <v>59</v>
      </c>
      <c r="W114" t="s">
        <v>23</v>
      </c>
    </row>
    <row r="115" spans="1:23" x14ac:dyDescent="0.3">
      <c r="A115" t="s">
        <v>353</v>
      </c>
      <c r="B115" t="s">
        <v>143</v>
      </c>
      <c r="C115" t="s">
        <v>132</v>
      </c>
      <c r="D115" t="s">
        <v>28</v>
      </c>
      <c r="E115" t="s">
        <v>5135</v>
      </c>
      <c r="F115" t="s">
        <v>5133</v>
      </c>
      <c r="G115" t="s">
        <v>18</v>
      </c>
      <c r="H115" t="s">
        <v>19</v>
      </c>
      <c r="I115" t="str">
        <f>LEFT(H115,FIND(" (",H115)-1)</f>
        <v>Entry</v>
      </c>
      <c r="J115" t="str">
        <f>MID(H115,FIND("(",H115)+1,FIND(")",H115)-FIND("(",H115)-1)</f>
        <v>0-2 yrs</v>
      </c>
      <c r="L115">
        <v>101036</v>
      </c>
      <c r="M115" t="s">
        <v>354</v>
      </c>
      <c r="N115" t="s">
        <v>89</v>
      </c>
      <c r="O115" t="s">
        <v>51</v>
      </c>
      <c r="P115" s="1">
        <v>45650</v>
      </c>
      <c r="Q115">
        <v>854</v>
      </c>
      <c r="R115">
        <v>3146</v>
      </c>
      <c r="S115" t="s">
        <v>23</v>
      </c>
      <c r="T115">
        <v>0</v>
      </c>
      <c r="U115" t="s">
        <v>58</v>
      </c>
      <c r="V115" t="s">
        <v>24</v>
      </c>
      <c r="W115" t="s">
        <v>23</v>
      </c>
    </row>
    <row r="116" spans="1:23" x14ac:dyDescent="0.3">
      <c r="A116" t="s">
        <v>355</v>
      </c>
      <c r="B116" t="s">
        <v>172</v>
      </c>
      <c r="C116" t="s">
        <v>116</v>
      </c>
      <c r="D116" t="s">
        <v>15</v>
      </c>
      <c r="E116" t="s">
        <v>5134</v>
      </c>
      <c r="F116" t="s">
        <v>5133</v>
      </c>
      <c r="G116" t="s">
        <v>18</v>
      </c>
      <c r="H116" t="s">
        <v>31</v>
      </c>
      <c r="I116" t="str">
        <f>LEFT(H116,FIND(" (",H116)-1)</f>
        <v>Staff/Principal</v>
      </c>
      <c r="J116" t="str">
        <f>MID(H116,FIND("(",H116)+1,FIND(")",H116)-FIND("(",H116)-1)</f>
        <v>8+ yrs</v>
      </c>
      <c r="L116">
        <v>193075</v>
      </c>
      <c r="M116" t="s">
        <v>356</v>
      </c>
      <c r="N116" t="s">
        <v>245</v>
      </c>
      <c r="O116" t="s">
        <v>44</v>
      </c>
      <c r="P116" s="1">
        <v>45630</v>
      </c>
      <c r="Q116">
        <v>1522</v>
      </c>
      <c r="R116">
        <v>1906</v>
      </c>
      <c r="S116" t="s">
        <v>23</v>
      </c>
      <c r="T116">
        <v>6</v>
      </c>
      <c r="U116" t="s">
        <v>83</v>
      </c>
      <c r="V116" t="s">
        <v>24</v>
      </c>
      <c r="W116" t="s">
        <v>34</v>
      </c>
    </row>
    <row r="117" spans="1:23" x14ac:dyDescent="0.3">
      <c r="A117" t="s">
        <v>357</v>
      </c>
      <c r="B117" t="s">
        <v>91</v>
      </c>
      <c r="C117" t="s">
        <v>195</v>
      </c>
      <c r="D117" t="s">
        <v>15</v>
      </c>
      <c r="E117" t="s">
        <v>39</v>
      </c>
      <c r="F117" t="s">
        <v>40</v>
      </c>
      <c r="G117" t="s">
        <v>18</v>
      </c>
      <c r="H117" t="s">
        <v>56</v>
      </c>
      <c r="I117" t="str">
        <f>LEFT(H117,FIND(" (",H117)-1)</f>
        <v>Mid</v>
      </c>
      <c r="J117" t="str">
        <f>MID(H117,FIND("(",H117)+1,FIND(")",H117)-FIND("(",H117)-1)</f>
        <v>2-5 yrs</v>
      </c>
      <c r="L117">
        <v>115970</v>
      </c>
      <c r="M117" t="s">
        <v>358</v>
      </c>
      <c r="N117" t="s">
        <v>141</v>
      </c>
      <c r="O117" t="s">
        <v>22</v>
      </c>
      <c r="P117" s="1">
        <v>45433</v>
      </c>
      <c r="Q117">
        <v>575</v>
      </c>
      <c r="R117">
        <v>423</v>
      </c>
      <c r="S117" t="s">
        <v>23</v>
      </c>
      <c r="T117">
        <v>2</v>
      </c>
      <c r="U117" t="s">
        <v>58</v>
      </c>
      <c r="V117" t="s">
        <v>24</v>
      </c>
      <c r="W117" t="s">
        <v>23</v>
      </c>
    </row>
    <row r="118" spans="1:23" x14ac:dyDescent="0.3">
      <c r="A118" t="s">
        <v>359</v>
      </c>
      <c r="B118" t="s">
        <v>229</v>
      </c>
      <c r="C118" t="s">
        <v>27</v>
      </c>
      <c r="D118" t="s">
        <v>111</v>
      </c>
      <c r="E118" t="s">
        <v>5135</v>
      </c>
      <c r="F118" t="s">
        <v>5133</v>
      </c>
      <c r="G118" t="s">
        <v>18</v>
      </c>
      <c r="H118" t="s">
        <v>56</v>
      </c>
      <c r="I118" t="str">
        <f>LEFT(H118,FIND(" (",H118)-1)</f>
        <v>Mid</v>
      </c>
      <c r="J118" t="str">
        <f>MID(H118,FIND("(",H118)+1,FIND(")",H118)-FIND("(",H118)-1)</f>
        <v>2-5 yrs</v>
      </c>
      <c r="L118">
        <v>109312</v>
      </c>
      <c r="M118" t="s">
        <v>360</v>
      </c>
      <c r="N118" t="s">
        <v>21</v>
      </c>
      <c r="O118" t="s">
        <v>51</v>
      </c>
      <c r="P118" s="1">
        <v>45411</v>
      </c>
      <c r="Q118">
        <v>1613</v>
      </c>
      <c r="R118">
        <v>980</v>
      </c>
      <c r="S118" t="s">
        <v>23</v>
      </c>
      <c r="T118">
        <v>2</v>
      </c>
      <c r="U118" t="s">
        <v>52</v>
      </c>
      <c r="V118" t="s">
        <v>46</v>
      </c>
      <c r="W118" t="s">
        <v>23</v>
      </c>
    </row>
    <row r="119" spans="1:23" x14ac:dyDescent="0.3">
      <c r="A119" t="s">
        <v>361</v>
      </c>
      <c r="B119" t="s">
        <v>329</v>
      </c>
      <c r="C119" t="s">
        <v>97</v>
      </c>
      <c r="D119" t="s">
        <v>147</v>
      </c>
      <c r="E119" t="s">
        <v>16</v>
      </c>
      <c r="F119" t="s">
        <v>17</v>
      </c>
      <c r="G119" t="s">
        <v>18</v>
      </c>
      <c r="H119" t="s">
        <v>66</v>
      </c>
      <c r="I119" t="str">
        <f>LEFT(H119,FIND(" (",H119)-1)</f>
        <v>Senior</v>
      </c>
      <c r="J119" t="str">
        <f>MID(H119,FIND("(",H119)+1,FIND(")",H119)-FIND("(",H119)-1)</f>
        <v>5-8 yrs</v>
      </c>
      <c r="L119">
        <v>118445</v>
      </c>
      <c r="M119" t="s">
        <v>362</v>
      </c>
      <c r="N119" t="s">
        <v>43</v>
      </c>
      <c r="O119" t="s">
        <v>44</v>
      </c>
      <c r="P119" s="1">
        <v>45594</v>
      </c>
      <c r="Q119">
        <v>1605</v>
      </c>
      <c r="R119">
        <v>2862</v>
      </c>
      <c r="S119" t="s">
        <v>23</v>
      </c>
      <c r="T119">
        <v>4</v>
      </c>
      <c r="U119" t="s">
        <v>52</v>
      </c>
      <c r="V119" t="s">
        <v>24</v>
      </c>
      <c r="W119" t="s">
        <v>34</v>
      </c>
    </row>
    <row r="120" spans="1:23" x14ac:dyDescent="0.3">
      <c r="A120" t="s">
        <v>363</v>
      </c>
      <c r="B120" t="s">
        <v>26</v>
      </c>
      <c r="C120" t="s">
        <v>74</v>
      </c>
      <c r="D120" t="s">
        <v>75</v>
      </c>
      <c r="E120" t="s">
        <v>29</v>
      </c>
      <c r="F120" t="s">
        <v>30</v>
      </c>
      <c r="G120" t="s">
        <v>55</v>
      </c>
      <c r="H120" t="s">
        <v>31</v>
      </c>
      <c r="I120" t="str">
        <f>LEFT(H120,FIND(" (",H120)-1)</f>
        <v>Staff/Principal</v>
      </c>
      <c r="J120" t="str">
        <f>MID(H120,FIND("(",H120)+1,FIND(")",H120)-FIND("(",H120)-1)</f>
        <v>8+ yrs</v>
      </c>
      <c r="L120">
        <v>241141</v>
      </c>
      <c r="M120" t="s">
        <v>364</v>
      </c>
      <c r="N120" t="s">
        <v>141</v>
      </c>
      <c r="O120" t="s">
        <v>22</v>
      </c>
      <c r="P120" s="1">
        <v>45445</v>
      </c>
      <c r="Q120">
        <v>1294</v>
      </c>
      <c r="R120">
        <v>1054</v>
      </c>
      <c r="S120" t="s">
        <v>34</v>
      </c>
      <c r="T120">
        <v>6</v>
      </c>
      <c r="U120" t="s">
        <v>5123</v>
      </c>
      <c r="V120" t="s">
        <v>46</v>
      </c>
      <c r="W120" t="s">
        <v>23</v>
      </c>
    </row>
    <row r="121" spans="1:23" x14ac:dyDescent="0.3">
      <c r="A121" t="s">
        <v>365</v>
      </c>
      <c r="B121" t="s">
        <v>70</v>
      </c>
      <c r="C121" t="s">
        <v>204</v>
      </c>
      <c r="D121" t="s">
        <v>174</v>
      </c>
      <c r="E121" t="s">
        <v>5135</v>
      </c>
      <c r="F121" t="s">
        <v>5133</v>
      </c>
      <c r="G121" t="s">
        <v>18</v>
      </c>
      <c r="H121" t="s">
        <v>56</v>
      </c>
      <c r="I121" t="str">
        <f>LEFT(H121,FIND(" (",H121)-1)</f>
        <v>Mid</v>
      </c>
      <c r="J121" t="str">
        <f>MID(H121,FIND("(",H121)+1,FIND(")",H121)-FIND("(",H121)-1)</f>
        <v>2-5 yrs</v>
      </c>
      <c r="L121">
        <v>124888</v>
      </c>
      <c r="M121" t="s">
        <v>366</v>
      </c>
      <c r="N121" t="s">
        <v>89</v>
      </c>
      <c r="O121" t="s">
        <v>51</v>
      </c>
      <c r="P121" s="1">
        <v>45636</v>
      </c>
      <c r="Q121">
        <v>362</v>
      </c>
      <c r="R121">
        <v>877</v>
      </c>
      <c r="S121" t="s">
        <v>99</v>
      </c>
      <c r="T121">
        <v>2</v>
      </c>
      <c r="U121" t="s">
        <v>5123</v>
      </c>
      <c r="V121" t="s">
        <v>59</v>
      </c>
      <c r="W121" t="s">
        <v>23</v>
      </c>
    </row>
    <row r="122" spans="1:23" x14ac:dyDescent="0.3">
      <c r="A122" t="s">
        <v>367</v>
      </c>
      <c r="B122" t="s">
        <v>91</v>
      </c>
      <c r="C122" t="s">
        <v>173</v>
      </c>
      <c r="D122" t="s">
        <v>174</v>
      </c>
      <c r="E122" t="s">
        <v>5134</v>
      </c>
      <c r="F122" t="s">
        <v>5133</v>
      </c>
      <c r="G122" t="s">
        <v>55</v>
      </c>
      <c r="H122" t="s">
        <v>56</v>
      </c>
      <c r="I122" t="str">
        <f>LEFT(H122,FIND(" (",H122)-1)</f>
        <v>Mid</v>
      </c>
      <c r="J122" t="str">
        <f>MID(H122,FIND("(",H122)+1,FIND(")",H122)-FIND("(",H122)-1)</f>
        <v>2-5 yrs</v>
      </c>
      <c r="L122">
        <v>125662</v>
      </c>
      <c r="M122" t="s">
        <v>368</v>
      </c>
      <c r="N122" t="s">
        <v>120</v>
      </c>
      <c r="O122" t="s">
        <v>51</v>
      </c>
      <c r="P122" s="1">
        <v>45574</v>
      </c>
      <c r="Q122">
        <v>2336</v>
      </c>
      <c r="R122">
        <v>1918</v>
      </c>
      <c r="S122" t="s">
        <v>34</v>
      </c>
      <c r="T122">
        <v>2</v>
      </c>
      <c r="U122" t="s">
        <v>58</v>
      </c>
      <c r="V122" t="s">
        <v>59</v>
      </c>
      <c r="W122" t="s">
        <v>34</v>
      </c>
    </row>
    <row r="123" spans="1:23" x14ac:dyDescent="0.3">
      <c r="A123" t="s">
        <v>369</v>
      </c>
      <c r="B123" t="s">
        <v>106</v>
      </c>
      <c r="C123" t="s">
        <v>37</v>
      </c>
      <c r="D123" t="s">
        <v>147</v>
      </c>
      <c r="E123" t="s">
        <v>5132</v>
      </c>
      <c r="F123" t="s">
        <v>5133</v>
      </c>
      <c r="G123" t="s">
        <v>18</v>
      </c>
      <c r="H123" t="s">
        <v>66</v>
      </c>
      <c r="I123" t="str">
        <f>LEFT(H123,FIND(" (",H123)-1)</f>
        <v>Senior</v>
      </c>
      <c r="J123" t="str">
        <f>MID(H123,FIND("(",H123)+1,FIND(")",H123)-FIND("(",H123)-1)</f>
        <v>5-8 yrs</v>
      </c>
      <c r="L123">
        <v>125446</v>
      </c>
      <c r="M123" t="s">
        <v>370</v>
      </c>
      <c r="N123" t="s">
        <v>21</v>
      </c>
      <c r="O123" t="s">
        <v>22</v>
      </c>
      <c r="P123" s="1">
        <v>45580</v>
      </c>
      <c r="Q123">
        <v>1103</v>
      </c>
      <c r="R123">
        <v>1361</v>
      </c>
      <c r="S123" t="s">
        <v>34</v>
      </c>
      <c r="T123">
        <v>4</v>
      </c>
      <c r="U123" t="s">
        <v>83</v>
      </c>
      <c r="V123" t="s">
        <v>59</v>
      </c>
      <c r="W123" t="s">
        <v>23</v>
      </c>
    </row>
    <row r="124" spans="1:23" x14ac:dyDescent="0.3">
      <c r="A124" t="s">
        <v>371</v>
      </c>
      <c r="B124" t="s">
        <v>236</v>
      </c>
      <c r="C124" t="s">
        <v>192</v>
      </c>
      <c r="D124" t="s">
        <v>125</v>
      </c>
      <c r="E124" t="s">
        <v>159</v>
      </c>
      <c r="F124" t="s">
        <v>160</v>
      </c>
      <c r="G124" t="s">
        <v>55</v>
      </c>
      <c r="H124" t="s">
        <v>66</v>
      </c>
      <c r="I124" t="str">
        <f>LEFT(H124,FIND(" (",H124)-1)</f>
        <v>Senior</v>
      </c>
      <c r="J124" t="str">
        <f>MID(H124,FIND("(",H124)+1,FIND(")",H124)-FIND("(",H124)-1)</f>
        <v>5-8 yrs</v>
      </c>
      <c r="L124">
        <v>187875</v>
      </c>
      <c r="M124" t="s">
        <v>372</v>
      </c>
      <c r="N124" t="s">
        <v>94</v>
      </c>
      <c r="O124" t="s">
        <v>79</v>
      </c>
      <c r="P124" s="1">
        <v>45620</v>
      </c>
      <c r="Q124">
        <v>540</v>
      </c>
      <c r="R124">
        <v>2156</v>
      </c>
      <c r="S124" t="s">
        <v>34</v>
      </c>
      <c r="T124">
        <v>4</v>
      </c>
      <c r="U124" t="s">
        <v>5123</v>
      </c>
      <c r="V124" t="s">
        <v>46</v>
      </c>
      <c r="W124" t="s">
        <v>23</v>
      </c>
    </row>
    <row r="125" spans="1:23" x14ac:dyDescent="0.3">
      <c r="A125" t="s">
        <v>373</v>
      </c>
      <c r="B125" t="s">
        <v>151</v>
      </c>
      <c r="C125" t="s">
        <v>226</v>
      </c>
      <c r="D125" t="s">
        <v>15</v>
      </c>
      <c r="E125" t="s">
        <v>64</v>
      </c>
      <c r="F125" t="s">
        <v>65</v>
      </c>
      <c r="G125" t="s">
        <v>55</v>
      </c>
      <c r="H125" t="s">
        <v>31</v>
      </c>
      <c r="I125" t="str">
        <f>LEFT(H125,FIND(" (",H125)-1)</f>
        <v>Staff/Principal</v>
      </c>
      <c r="J125" t="str">
        <f>MID(H125,FIND("(",H125)+1,FIND(")",H125)-FIND("(",H125)-1)</f>
        <v>8+ yrs</v>
      </c>
      <c r="L125">
        <v>149533</v>
      </c>
      <c r="M125" t="s">
        <v>374</v>
      </c>
      <c r="N125" t="s">
        <v>89</v>
      </c>
      <c r="O125" t="s">
        <v>51</v>
      </c>
      <c r="P125" s="1">
        <v>45410</v>
      </c>
      <c r="Q125">
        <v>2279</v>
      </c>
      <c r="R125">
        <v>2710</v>
      </c>
      <c r="S125" t="s">
        <v>23</v>
      </c>
      <c r="T125">
        <v>6</v>
      </c>
      <c r="U125" t="s">
        <v>5123</v>
      </c>
      <c r="V125" t="s">
        <v>24</v>
      </c>
      <c r="W125" t="s">
        <v>34</v>
      </c>
    </row>
    <row r="126" spans="1:23" x14ac:dyDescent="0.3">
      <c r="A126" t="s">
        <v>375</v>
      </c>
      <c r="B126" t="s">
        <v>151</v>
      </c>
      <c r="C126" t="s">
        <v>204</v>
      </c>
      <c r="D126" t="s">
        <v>111</v>
      </c>
      <c r="E126" t="s">
        <v>133</v>
      </c>
      <c r="F126" t="s">
        <v>134</v>
      </c>
      <c r="G126" t="s">
        <v>55</v>
      </c>
      <c r="H126" t="s">
        <v>66</v>
      </c>
      <c r="I126" t="str">
        <f>LEFT(H126,FIND(" (",H126)-1)</f>
        <v>Senior</v>
      </c>
      <c r="J126" t="str">
        <f>MID(H126,FIND("(",H126)+1,FIND(")",H126)-FIND("(",H126)-1)</f>
        <v>5-8 yrs</v>
      </c>
      <c r="L126">
        <v>165845</v>
      </c>
      <c r="M126" t="s">
        <v>376</v>
      </c>
      <c r="N126" t="s">
        <v>245</v>
      </c>
      <c r="O126" t="s">
        <v>51</v>
      </c>
      <c r="P126" s="1">
        <v>45300</v>
      </c>
      <c r="Q126">
        <v>1751</v>
      </c>
      <c r="R126">
        <v>1104</v>
      </c>
      <c r="S126" t="s">
        <v>23</v>
      </c>
      <c r="T126">
        <v>4</v>
      </c>
      <c r="U126" t="s">
        <v>5123</v>
      </c>
      <c r="V126" t="s">
        <v>24</v>
      </c>
      <c r="W126" t="s">
        <v>34</v>
      </c>
    </row>
    <row r="127" spans="1:23" x14ac:dyDescent="0.3">
      <c r="A127" t="s">
        <v>377</v>
      </c>
      <c r="B127" t="s">
        <v>143</v>
      </c>
      <c r="C127" t="s">
        <v>54</v>
      </c>
      <c r="D127" t="s">
        <v>147</v>
      </c>
      <c r="E127" t="s">
        <v>29</v>
      </c>
      <c r="F127" t="s">
        <v>30</v>
      </c>
      <c r="G127" t="s">
        <v>18</v>
      </c>
      <c r="H127" t="s">
        <v>56</v>
      </c>
      <c r="I127" t="str">
        <f>LEFT(H127,FIND(" (",H127)-1)</f>
        <v>Mid</v>
      </c>
      <c r="J127" t="str">
        <f>MID(H127,FIND("(",H127)+1,FIND(")",H127)-FIND("(",H127)-1)</f>
        <v>2-5 yrs</v>
      </c>
      <c r="L127">
        <v>153371</v>
      </c>
      <c r="M127" t="s">
        <v>378</v>
      </c>
      <c r="N127" t="s">
        <v>141</v>
      </c>
      <c r="O127" t="s">
        <v>51</v>
      </c>
      <c r="P127" s="1">
        <v>45715</v>
      </c>
      <c r="Q127">
        <v>529</v>
      </c>
      <c r="R127">
        <v>2618</v>
      </c>
      <c r="S127" t="s">
        <v>34</v>
      </c>
      <c r="T127">
        <v>2</v>
      </c>
      <c r="U127" t="s">
        <v>52</v>
      </c>
      <c r="V127" t="s">
        <v>24</v>
      </c>
      <c r="W127" t="s">
        <v>23</v>
      </c>
    </row>
    <row r="128" spans="1:23" x14ac:dyDescent="0.3">
      <c r="A128" t="s">
        <v>379</v>
      </c>
      <c r="B128" t="s">
        <v>236</v>
      </c>
      <c r="C128" t="s">
        <v>239</v>
      </c>
      <c r="D128" t="s">
        <v>49</v>
      </c>
      <c r="E128" t="s">
        <v>76</v>
      </c>
      <c r="F128" t="s">
        <v>77</v>
      </c>
      <c r="G128" t="s">
        <v>55</v>
      </c>
      <c r="H128" t="s">
        <v>19</v>
      </c>
      <c r="I128" t="str">
        <f>LEFT(H128,FIND(" (",H128)-1)</f>
        <v>Entry</v>
      </c>
      <c r="J128" t="str">
        <f>MID(H128,FIND("(",H128)+1,FIND(")",H128)-FIND("(",H128)-1)</f>
        <v>0-2 yrs</v>
      </c>
      <c r="L128">
        <v>57519</v>
      </c>
      <c r="M128" t="s">
        <v>380</v>
      </c>
      <c r="N128" t="s">
        <v>186</v>
      </c>
      <c r="O128" t="s">
        <v>51</v>
      </c>
      <c r="P128" s="1">
        <v>45409</v>
      </c>
      <c r="Q128">
        <v>1448</v>
      </c>
      <c r="R128">
        <v>3693</v>
      </c>
      <c r="S128" t="s">
        <v>23</v>
      </c>
      <c r="T128">
        <v>0</v>
      </c>
      <c r="U128" t="s">
        <v>5123</v>
      </c>
      <c r="V128" t="s">
        <v>24</v>
      </c>
      <c r="W128" t="s">
        <v>23</v>
      </c>
    </row>
    <row r="129" spans="1:23" x14ac:dyDescent="0.3">
      <c r="A129" t="s">
        <v>381</v>
      </c>
      <c r="B129" t="s">
        <v>151</v>
      </c>
      <c r="C129" t="s">
        <v>54</v>
      </c>
      <c r="D129" t="s">
        <v>75</v>
      </c>
      <c r="E129" t="s">
        <v>200</v>
      </c>
      <c r="F129" t="s">
        <v>201</v>
      </c>
      <c r="G129" t="s">
        <v>18</v>
      </c>
      <c r="H129" t="s">
        <v>56</v>
      </c>
      <c r="I129" t="str">
        <f>LEFT(H129,FIND(" (",H129)-1)</f>
        <v>Mid</v>
      </c>
      <c r="J129" t="str">
        <f>MID(H129,FIND("(",H129)+1,FIND(")",H129)-FIND("(",H129)-1)</f>
        <v>2-5 yrs</v>
      </c>
      <c r="L129">
        <v>98787</v>
      </c>
      <c r="M129" t="s">
        <v>382</v>
      </c>
      <c r="N129" t="s">
        <v>33</v>
      </c>
      <c r="O129" t="s">
        <v>51</v>
      </c>
      <c r="P129" s="1">
        <v>45712</v>
      </c>
      <c r="Q129">
        <v>873</v>
      </c>
      <c r="R129">
        <v>3247</v>
      </c>
      <c r="S129" t="s">
        <v>99</v>
      </c>
      <c r="T129">
        <v>2</v>
      </c>
      <c r="U129" t="s">
        <v>5123</v>
      </c>
      <c r="V129" t="s">
        <v>24</v>
      </c>
      <c r="W129" t="s">
        <v>23</v>
      </c>
    </row>
    <row r="130" spans="1:23" x14ac:dyDescent="0.3">
      <c r="A130" t="s">
        <v>383</v>
      </c>
      <c r="B130" t="s">
        <v>229</v>
      </c>
      <c r="C130" t="s">
        <v>192</v>
      </c>
      <c r="D130" t="s">
        <v>38</v>
      </c>
      <c r="E130" t="s">
        <v>5139</v>
      </c>
      <c r="F130" t="s">
        <v>5133</v>
      </c>
      <c r="G130" t="s">
        <v>18</v>
      </c>
      <c r="H130" t="s">
        <v>19</v>
      </c>
      <c r="I130" t="str">
        <f>LEFT(H130,FIND(" (",H130)-1)</f>
        <v>Entry</v>
      </c>
      <c r="J130" t="str">
        <f>MID(H130,FIND("(",H130)+1,FIND(")",H130)-FIND("(",H130)-1)</f>
        <v>0-2 yrs</v>
      </c>
      <c r="L130">
        <v>71255</v>
      </c>
      <c r="M130" t="s">
        <v>384</v>
      </c>
      <c r="N130" t="s">
        <v>89</v>
      </c>
      <c r="O130" t="s">
        <v>51</v>
      </c>
      <c r="P130" s="1">
        <v>45330</v>
      </c>
      <c r="Q130">
        <v>1837</v>
      </c>
      <c r="R130">
        <v>1778</v>
      </c>
      <c r="S130" t="s">
        <v>34</v>
      </c>
      <c r="T130">
        <v>0</v>
      </c>
      <c r="U130" t="s">
        <v>83</v>
      </c>
      <c r="V130" t="s">
        <v>24</v>
      </c>
      <c r="W130" t="s">
        <v>34</v>
      </c>
    </row>
    <row r="131" spans="1:23" x14ac:dyDescent="0.3">
      <c r="A131" t="s">
        <v>385</v>
      </c>
      <c r="B131" t="s">
        <v>85</v>
      </c>
      <c r="C131" t="s">
        <v>27</v>
      </c>
      <c r="D131" t="s">
        <v>174</v>
      </c>
      <c r="E131" t="s">
        <v>29</v>
      </c>
      <c r="F131" t="s">
        <v>30</v>
      </c>
      <c r="G131" t="s">
        <v>41</v>
      </c>
      <c r="H131" t="s">
        <v>66</v>
      </c>
      <c r="I131" t="str">
        <f>LEFT(H131,FIND(" (",H131)-1)</f>
        <v>Senior</v>
      </c>
      <c r="J131" t="str">
        <f>MID(H131,FIND("(",H131)+1,FIND(")",H131)-FIND("(",H131)-1)</f>
        <v>5-8 yrs</v>
      </c>
      <c r="L131">
        <v>136406</v>
      </c>
      <c r="M131" t="s">
        <v>386</v>
      </c>
      <c r="N131" t="s">
        <v>141</v>
      </c>
      <c r="O131" t="s">
        <v>22</v>
      </c>
      <c r="P131" s="1">
        <v>45334</v>
      </c>
      <c r="Q131">
        <v>321</v>
      </c>
      <c r="R131">
        <v>3872</v>
      </c>
      <c r="S131" t="s">
        <v>23</v>
      </c>
      <c r="T131">
        <v>4</v>
      </c>
      <c r="U131" t="s">
        <v>45</v>
      </c>
      <c r="V131" t="s">
        <v>59</v>
      </c>
      <c r="W131" t="s">
        <v>34</v>
      </c>
    </row>
    <row r="132" spans="1:23" x14ac:dyDescent="0.3">
      <c r="A132" t="s">
        <v>387</v>
      </c>
      <c r="B132" t="s">
        <v>70</v>
      </c>
      <c r="C132" t="s">
        <v>128</v>
      </c>
      <c r="D132" t="s">
        <v>147</v>
      </c>
      <c r="E132" t="s">
        <v>5139</v>
      </c>
      <c r="F132" t="s">
        <v>5133</v>
      </c>
      <c r="G132" t="s">
        <v>18</v>
      </c>
      <c r="H132" t="s">
        <v>56</v>
      </c>
      <c r="I132" t="str">
        <f>LEFT(H132,FIND(" (",H132)-1)</f>
        <v>Mid</v>
      </c>
      <c r="J132" t="str">
        <f>MID(H132,FIND("(",H132)+1,FIND(")",H132)-FIND("(",H132)-1)</f>
        <v>2-5 yrs</v>
      </c>
      <c r="L132">
        <v>79296</v>
      </c>
      <c r="M132" t="s">
        <v>388</v>
      </c>
      <c r="N132" t="s">
        <v>43</v>
      </c>
      <c r="O132" t="s">
        <v>22</v>
      </c>
      <c r="P132" s="1">
        <v>45576</v>
      </c>
      <c r="Q132">
        <v>1994</v>
      </c>
      <c r="R132">
        <v>1598</v>
      </c>
      <c r="S132" t="s">
        <v>23</v>
      </c>
      <c r="T132">
        <v>2</v>
      </c>
      <c r="U132" t="s">
        <v>83</v>
      </c>
      <c r="V132" t="s">
        <v>59</v>
      </c>
      <c r="W132" t="s">
        <v>23</v>
      </c>
    </row>
    <row r="133" spans="1:23" x14ac:dyDescent="0.3">
      <c r="A133" t="s">
        <v>389</v>
      </c>
      <c r="B133" t="s">
        <v>143</v>
      </c>
      <c r="C133" t="s">
        <v>179</v>
      </c>
      <c r="D133" t="s">
        <v>63</v>
      </c>
      <c r="E133" t="s">
        <v>5134</v>
      </c>
      <c r="F133" t="s">
        <v>5133</v>
      </c>
      <c r="G133" t="s">
        <v>18</v>
      </c>
      <c r="H133" t="s">
        <v>56</v>
      </c>
      <c r="I133" t="str">
        <f>LEFT(H133,FIND(" (",H133)-1)</f>
        <v>Mid</v>
      </c>
      <c r="J133" t="str">
        <f>MID(H133,FIND("(",H133)+1,FIND(")",H133)-FIND("(",H133)-1)</f>
        <v>2-5 yrs</v>
      </c>
      <c r="L133">
        <v>111357</v>
      </c>
      <c r="M133" t="s">
        <v>390</v>
      </c>
      <c r="N133" t="s">
        <v>141</v>
      </c>
      <c r="O133" t="s">
        <v>44</v>
      </c>
      <c r="P133" s="1">
        <v>45429</v>
      </c>
      <c r="Q133">
        <v>1779</v>
      </c>
      <c r="R133">
        <v>1040</v>
      </c>
      <c r="S133" t="s">
        <v>99</v>
      </c>
      <c r="T133">
        <v>2</v>
      </c>
      <c r="U133" t="s">
        <v>58</v>
      </c>
      <c r="V133" t="s">
        <v>24</v>
      </c>
      <c r="W133" t="s">
        <v>34</v>
      </c>
    </row>
    <row r="134" spans="1:23" x14ac:dyDescent="0.3">
      <c r="A134" t="s">
        <v>391</v>
      </c>
      <c r="B134" t="s">
        <v>13</v>
      </c>
      <c r="C134" t="s">
        <v>14</v>
      </c>
      <c r="D134" t="s">
        <v>111</v>
      </c>
      <c r="E134" t="s">
        <v>230</v>
      </c>
      <c r="F134" t="s">
        <v>231</v>
      </c>
      <c r="G134" t="s">
        <v>18</v>
      </c>
      <c r="H134" t="s">
        <v>56</v>
      </c>
      <c r="I134" t="str">
        <f>LEFT(H134,FIND(" (",H134)-1)</f>
        <v>Mid</v>
      </c>
      <c r="J134" t="str">
        <f>MID(H134,FIND("(",H134)+1,FIND(")",H134)-FIND("(",H134)-1)</f>
        <v>2-5 yrs</v>
      </c>
      <c r="L134">
        <v>88966</v>
      </c>
      <c r="M134" t="s">
        <v>392</v>
      </c>
      <c r="N134" t="s">
        <v>43</v>
      </c>
      <c r="O134" t="s">
        <v>22</v>
      </c>
      <c r="P134" s="1">
        <v>45494</v>
      </c>
      <c r="Q134">
        <v>1613</v>
      </c>
      <c r="R134">
        <v>2480</v>
      </c>
      <c r="S134" t="s">
        <v>99</v>
      </c>
      <c r="T134">
        <v>2</v>
      </c>
      <c r="U134" t="s">
        <v>52</v>
      </c>
      <c r="V134" t="s">
        <v>24</v>
      </c>
      <c r="W134" t="s">
        <v>34</v>
      </c>
    </row>
    <row r="135" spans="1:23" x14ac:dyDescent="0.3">
      <c r="A135" t="s">
        <v>393</v>
      </c>
      <c r="B135" t="s">
        <v>137</v>
      </c>
      <c r="C135" t="s">
        <v>54</v>
      </c>
      <c r="D135" t="s">
        <v>174</v>
      </c>
      <c r="E135" t="s">
        <v>230</v>
      </c>
      <c r="F135" t="s">
        <v>231</v>
      </c>
      <c r="G135" t="s">
        <v>41</v>
      </c>
      <c r="H135" t="s">
        <v>66</v>
      </c>
      <c r="I135" t="str">
        <f>LEFT(H135,FIND(" (",H135)-1)</f>
        <v>Senior</v>
      </c>
      <c r="J135" t="str">
        <f>MID(H135,FIND("(",H135)+1,FIND(")",H135)-FIND("(",H135)-1)</f>
        <v>5-8 yrs</v>
      </c>
      <c r="L135">
        <v>162786</v>
      </c>
      <c r="M135" t="s">
        <v>394</v>
      </c>
      <c r="N135" t="s">
        <v>33</v>
      </c>
      <c r="O135" t="s">
        <v>22</v>
      </c>
      <c r="P135" s="1">
        <v>45616</v>
      </c>
      <c r="Q135">
        <v>1118</v>
      </c>
      <c r="R135">
        <v>2435</v>
      </c>
      <c r="S135" t="s">
        <v>99</v>
      </c>
      <c r="T135">
        <v>4</v>
      </c>
      <c r="U135" t="s">
        <v>52</v>
      </c>
      <c r="V135" t="s">
        <v>24</v>
      </c>
      <c r="W135" t="s">
        <v>23</v>
      </c>
    </row>
    <row r="136" spans="1:23" x14ac:dyDescent="0.3">
      <c r="A136" t="s">
        <v>395</v>
      </c>
      <c r="B136" t="s">
        <v>172</v>
      </c>
      <c r="C136" t="s">
        <v>48</v>
      </c>
      <c r="D136" t="s">
        <v>63</v>
      </c>
      <c r="E136" t="s">
        <v>39</v>
      </c>
      <c r="F136" t="s">
        <v>40</v>
      </c>
      <c r="G136" t="s">
        <v>41</v>
      </c>
      <c r="H136" t="s">
        <v>56</v>
      </c>
      <c r="I136" t="str">
        <f>LEFT(H136,FIND(" (",H136)-1)</f>
        <v>Mid</v>
      </c>
      <c r="J136" t="str">
        <f>MID(H136,FIND("(",H136)+1,FIND(")",H136)-FIND("(",H136)-1)</f>
        <v>2-5 yrs</v>
      </c>
      <c r="L136">
        <v>91795</v>
      </c>
      <c r="M136" t="s">
        <v>396</v>
      </c>
      <c r="N136" t="s">
        <v>33</v>
      </c>
      <c r="O136" t="s">
        <v>22</v>
      </c>
      <c r="P136" s="1">
        <v>45717</v>
      </c>
      <c r="Q136">
        <v>1540</v>
      </c>
      <c r="R136">
        <v>1001</v>
      </c>
      <c r="S136" t="s">
        <v>23</v>
      </c>
      <c r="T136">
        <v>2</v>
      </c>
      <c r="U136" t="s">
        <v>52</v>
      </c>
      <c r="V136" t="s">
        <v>59</v>
      </c>
      <c r="W136" t="s">
        <v>23</v>
      </c>
    </row>
    <row r="137" spans="1:23" x14ac:dyDescent="0.3">
      <c r="A137" t="s">
        <v>397</v>
      </c>
      <c r="B137" t="s">
        <v>70</v>
      </c>
      <c r="C137" t="s">
        <v>158</v>
      </c>
      <c r="D137" t="s">
        <v>75</v>
      </c>
      <c r="E137" t="s">
        <v>216</v>
      </c>
      <c r="F137" t="s">
        <v>217</v>
      </c>
      <c r="G137" t="s">
        <v>41</v>
      </c>
      <c r="H137" t="s">
        <v>31</v>
      </c>
      <c r="I137" t="str">
        <f>LEFT(H137,FIND(" (",H137)-1)</f>
        <v>Staff/Principal</v>
      </c>
      <c r="J137" t="str">
        <f>MID(H137,FIND("(",H137)+1,FIND(")",H137)-FIND("(",H137)-1)</f>
        <v>8+ yrs</v>
      </c>
      <c r="L137">
        <v>255797</v>
      </c>
      <c r="M137" t="s">
        <v>398</v>
      </c>
      <c r="N137" t="s">
        <v>33</v>
      </c>
      <c r="O137" t="s">
        <v>51</v>
      </c>
      <c r="P137" s="1">
        <v>45497</v>
      </c>
      <c r="Q137">
        <v>648</v>
      </c>
      <c r="R137">
        <v>457</v>
      </c>
      <c r="S137" t="s">
        <v>23</v>
      </c>
      <c r="T137">
        <v>6</v>
      </c>
      <c r="U137" t="s">
        <v>45</v>
      </c>
      <c r="V137" t="s">
        <v>24</v>
      </c>
      <c r="W137" t="s">
        <v>23</v>
      </c>
    </row>
    <row r="138" spans="1:23" x14ac:dyDescent="0.3">
      <c r="A138" t="s">
        <v>399</v>
      </c>
      <c r="B138" t="s">
        <v>143</v>
      </c>
      <c r="C138" t="s">
        <v>74</v>
      </c>
      <c r="D138" t="s">
        <v>111</v>
      </c>
      <c r="E138" t="s">
        <v>5132</v>
      </c>
      <c r="F138" t="s">
        <v>5133</v>
      </c>
      <c r="G138" t="s">
        <v>55</v>
      </c>
      <c r="H138" t="s">
        <v>31</v>
      </c>
      <c r="I138" t="str">
        <f>LEFT(H138,FIND(" (",H138)-1)</f>
        <v>Staff/Principal</v>
      </c>
      <c r="J138" t="str">
        <f>MID(H138,FIND("(",H138)+1,FIND(")",H138)-FIND("(",H138)-1)</f>
        <v>8+ yrs</v>
      </c>
      <c r="L138">
        <v>171802</v>
      </c>
      <c r="M138" t="s">
        <v>400</v>
      </c>
      <c r="N138" t="s">
        <v>94</v>
      </c>
      <c r="O138" t="s">
        <v>51</v>
      </c>
      <c r="P138" s="1">
        <v>45512</v>
      </c>
      <c r="Q138">
        <v>1205</v>
      </c>
      <c r="R138">
        <v>1835</v>
      </c>
      <c r="S138" t="s">
        <v>23</v>
      </c>
      <c r="T138">
        <v>6</v>
      </c>
      <c r="U138" t="s">
        <v>58</v>
      </c>
      <c r="V138" t="s">
        <v>59</v>
      </c>
      <c r="W138" t="s">
        <v>23</v>
      </c>
    </row>
    <row r="139" spans="1:23" x14ac:dyDescent="0.3">
      <c r="A139" t="s">
        <v>401</v>
      </c>
      <c r="B139" t="s">
        <v>131</v>
      </c>
      <c r="C139" t="s">
        <v>226</v>
      </c>
      <c r="D139" t="s">
        <v>28</v>
      </c>
      <c r="E139" t="s">
        <v>5141</v>
      </c>
      <c r="F139" t="s">
        <v>5133</v>
      </c>
      <c r="G139" t="s">
        <v>55</v>
      </c>
      <c r="H139" t="s">
        <v>56</v>
      </c>
      <c r="I139" t="str">
        <f>LEFT(H139,FIND(" (",H139)-1)</f>
        <v>Mid</v>
      </c>
      <c r="J139" t="str">
        <f>MID(H139,FIND("(",H139)+1,FIND(")",H139)-FIND("(",H139)-1)</f>
        <v>2-5 yrs</v>
      </c>
      <c r="L139">
        <v>103623</v>
      </c>
      <c r="M139" t="s">
        <v>402</v>
      </c>
      <c r="N139" t="s">
        <v>68</v>
      </c>
      <c r="O139" t="s">
        <v>51</v>
      </c>
      <c r="P139" s="1">
        <v>45539</v>
      </c>
      <c r="Q139">
        <v>1147</v>
      </c>
      <c r="R139">
        <v>2144</v>
      </c>
      <c r="S139" t="s">
        <v>23</v>
      </c>
      <c r="T139">
        <v>2</v>
      </c>
      <c r="U139" t="s">
        <v>58</v>
      </c>
      <c r="V139" t="s">
        <v>24</v>
      </c>
      <c r="W139" t="s">
        <v>23</v>
      </c>
    </row>
    <row r="140" spans="1:23" x14ac:dyDescent="0.3">
      <c r="A140" t="s">
        <v>403</v>
      </c>
      <c r="B140" t="s">
        <v>172</v>
      </c>
      <c r="C140" t="s">
        <v>239</v>
      </c>
      <c r="D140" t="s">
        <v>38</v>
      </c>
      <c r="E140" t="s">
        <v>5136</v>
      </c>
      <c r="F140" t="s">
        <v>5133</v>
      </c>
      <c r="G140" t="s">
        <v>18</v>
      </c>
      <c r="H140" t="s">
        <v>66</v>
      </c>
      <c r="I140" t="str">
        <f>LEFT(H140,FIND(" (",H140)-1)</f>
        <v>Senior</v>
      </c>
      <c r="J140" t="str">
        <f>MID(H140,FIND("(",H140)+1,FIND(")",H140)-FIND("(",H140)-1)</f>
        <v>5-8 yrs</v>
      </c>
      <c r="L140">
        <v>171964</v>
      </c>
      <c r="M140" t="s">
        <v>404</v>
      </c>
      <c r="N140" t="s">
        <v>68</v>
      </c>
      <c r="O140" t="s">
        <v>51</v>
      </c>
      <c r="P140" s="1">
        <v>45706</v>
      </c>
      <c r="Q140">
        <v>955</v>
      </c>
      <c r="R140">
        <v>1365</v>
      </c>
      <c r="S140" t="s">
        <v>23</v>
      </c>
      <c r="T140">
        <v>4</v>
      </c>
      <c r="U140" t="s">
        <v>58</v>
      </c>
      <c r="V140" t="s">
        <v>24</v>
      </c>
      <c r="W140" t="s">
        <v>34</v>
      </c>
    </row>
    <row r="141" spans="1:23" x14ac:dyDescent="0.3">
      <c r="A141" t="s">
        <v>405</v>
      </c>
      <c r="B141" t="s">
        <v>222</v>
      </c>
      <c r="C141" t="s">
        <v>204</v>
      </c>
      <c r="D141" t="s">
        <v>28</v>
      </c>
      <c r="E141" t="s">
        <v>5139</v>
      </c>
      <c r="F141" t="s">
        <v>5133</v>
      </c>
      <c r="G141" t="s">
        <v>18</v>
      </c>
      <c r="H141" t="s">
        <v>56</v>
      </c>
      <c r="I141" t="str">
        <f>LEFT(H141,FIND(" (",H141)-1)</f>
        <v>Mid</v>
      </c>
      <c r="J141" t="str">
        <f>MID(H141,FIND("(",H141)+1,FIND(")",H141)-FIND("(",H141)-1)</f>
        <v>2-5 yrs</v>
      </c>
      <c r="L141">
        <v>85628</v>
      </c>
      <c r="M141" t="s">
        <v>406</v>
      </c>
      <c r="N141" t="s">
        <v>33</v>
      </c>
      <c r="O141" t="s">
        <v>44</v>
      </c>
      <c r="P141" s="1">
        <v>45669</v>
      </c>
      <c r="Q141">
        <v>556</v>
      </c>
      <c r="R141">
        <v>2374</v>
      </c>
      <c r="S141" t="s">
        <v>34</v>
      </c>
      <c r="T141">
        <v>2</v>
      </c>
      <c r="U141" t="s">
        <v>83</v>
      </c>
      <c r="V141" t="s">
        <v>24</v>
      </c>
      <c r="W141" t="s">
        <v>34</v>
      </c>
    </row>
    <row r="142" spans="1:23" x14ac:dyDescent="0.3">
      <c r="A142" t="s">
        <v>407</v>
      </c>
      <c r="B142" t="s">
        <v>172</v>
      </c>
      <c r="C142" t="s">
        <v>128</v>
      </c>
      <c r="D142" t="s">
        <v>63</v>
      </c>
      <c r="E142" t="s">
        <v>16</v>
      </c>
      <c r="F142" t="s">
        <v>17</v>
      </c>
      <c r="G142" t="s">
        <v>41</v>
      </c>
      <c r="H142" t="s">
        <v>19</v>
      </c>
      <c r="I142" t="str">
        <f>LEFT(H142,FIND(" (",H142)-1)</f>
        <v>Entry</v>
      </c>
      <c r="J142" t="str">
        <f>MID(H142,FIND("(",H142)+1,FIND(")",H142)-FIND("(",H142)-1)</f>
        <v>0-2 yrs</v>
      </c>
      <c r="L142">
        <v>72865</v>
      </c>
      <c r="M142" t="s">
        <v>408</v>
      </c>
      <c r="N142" t="s">
        <v>43</v>
      </c>
      <c r="O142" t="s">
        <v>51</v>
      </c>
      <c r="P142" s="1">
        <v>45542</v>
      </c>
      <c r="Q142">
        <v>1518</v>
      </c>
      <c r="R142">
        <v>3772</v>
      </c>
      <c r="S142" t="s">
        <v>23</v>
      </c>
      <c r="T142">
        <v>0</v>
      </c>
      <c r="U142" t="s">
        <v>5123</v>
      </c>
      <c r="V142" t="s">
        <v>24</v>
      </c>
      <c r="W142" t="s">
        <v>34</v>
      </c>
    </row>
    <row r="143" spans="1:23" x14ac:dyDescent="0.3">
      <c r="A143" t="s">
        <v>409</v>
      </c>
      <c r="B143" t="s">
        <v>91</v>
      </c>
      <c r="C143" t="s">
        <v>14</v>
      </c>
      <c r="D143" t="s">
        <v>125</v>
      </c>
      <c r="E143" t="s">
        <v>5137</v>
      </c>
      <c r="F143" t="s">
        <v>5138</v>
      </c>
      <c r="G143" t="s">
        <v>18</v>
      </c>
      <c r="H143" t="s">
        <v>66</v>
      </c>
      <c r="I143" t="str">
        <f>LEFT(H143,FIND(" (",H143)-1)</f>
        <v>Senior</v>
      </c>
      <c r="J143" t="str">
        <f>MID(H143,FIND("(",H143)+1,FIND(")",H143)-FIND("(",H143)-1)</f>
        <v>5-8 yrs</v>
      </c>
      <c r="L143">
        <v>185292</v>
      </c>
      <c r="M143" t="s">
        <v>410</v>
      </c>
      <c r="N143" t="s">
        <v>141</v>
      </c>
      <c r="O143" t="s">
        <v>51</v>
      </c>
      <c r="P143" s="1">
        <v>45647</v>
      </c>
      <c r="Q143">
        <v>1009</v>
      </c>
      <c r="R143">
        <v>2282</v>
      </c>
      <c r="S143" t="s">
        <v>34</v>
      </c>
      <c r="T143">
        <v>4</v>
      </c>
      <c r="U143" t="s">
        <v>45</v>
      </c>
      <c r="V143" t="s">
        <v>24</v>
      </c>
      <c r="W143" t="s">
        <v>34</v>
      </c>
    </row>
    <row r="144" spans="1:23" x14ac:dyDescent="0.3">
      <c r="A144" t="s">
        <v>411</v>
      </c>
      <c r="B144" t="s">
        <v>172</v>
      </c>
      <c r="C144" t="s">
        <v>14</v>
      </c>
      <c r="D144" t="s">
        <v>63</v>
      </c>
      <c r="E144" t="s">
        <v>5141</v>
      </c>
      <c r="F144" t="s">
        <v>5133</v>
      </c>
      <c r="G144" t="s">
        <v>55</v>
      </c>
      <c r="H144" t="s">
        <v>19</v>
      </c>
      <c r="I144" t="str">
        <f>LEFT(H144,FIND(" (",H144)-1)</f>
        <v>Entry</v>
      </c>
      <c r="J144" t="str">
        <f>MID(H144,FIND("(",H144)+1,FIND(")",H144)-FIND("(",H144)-1)</f>
        <v>0-2 yrs</v>
      </c>
      <c r="L144">
        <v>50000</v>
      </c>
      <c r="M144" t="s">
        <v>412</v>
      </c>
      <c r="N144" t="s">
        <v>89</v>
      </c>
      <c r="O144" t="s">
        <v>51</v>
      </c>
      <c r="P144" s="1">
        <v>45540</v>
      </c>
      <c r="Q144">
        <v>2118</v>
      </c>
      <c r="R144">
        <v>2011</v>
      </c>
      <c r="S144" t="s">
        <v>34</v>
      </c>
      <c r="T144">
        <v>0</v>
      </c>
      <c r="U144" t="s">
        <v>83</v>
      </c>
      <c r="V144" t="s">
        <v>24</v>
      </c>
      <c r="W144" t="s">
        <v>23</v>
      </c>
    </row>
    <row r="145" spans="1:23" x14ac:dyDescent="0.3">
      <c r="A145" t="s">
        <v>413</v>
      </c>
      <c r="B145" t="s">
        <v>81</v>
      </c>
      <c r="C145" t="s">
        <v>192</v>
      </c>
      <c r="D145" t="s">
        <v>75</v>
      </c>
      <c r="E145" t="s">
        <v>16</v>
      </c>
      <c r="F145" t="s">
        <v>17</v>
      </c>
      <c r="G145" t="s">
        <v>18</v>
      </c>
      <c r="H145" t="s">
        <v>19</v>
      </c>
      <c r="I145" t="str">
        <f>LEFT(H145,FIND(" (",H145)-1)</f>
        <v>Entry</v>
      </c>
      <c r="J145" t="str">
        <f>MID(H145,FIND("(",H145)+1,FIND(")",H145)-FIND("(",H145)-1)</f>
        <v>0-2 yrs</v>
      </c>
      <c r="L145">
        <v>72326</v>
      </c>
      <c r="M145" t="s">
        <v>414</v>
      </c>
      <c r="N145" t="s">
        <v>33</v>
      </c>
      <c r="O145" t="s">
        <v>51</v>
      </c>
      <c r="P145" s="1">
        <v>45439</v>
      </c>
      <c r="Q145">
        <v>767</v>
      </c>
      <c r="R145">
        <v>1107</v>
      </c>
      <c r="S145" t="s">
        <v>23</v>
      </c>
      <c r="T145">
        <v>0</v>
      </c>
      <c r="U145" t="s">
        <v>45</v>
      </c>
      <c r="V145" t="s">
        <v>24</v>
      </c>
      <c r="W145" t="s">
        <v>23</v>
      </c>
    </row>
    <row r="146" spans="1:23" x14ac:dyDescent="0.3">
      <c r="A146" t="s">
        <v>415</v>
      </c>
      <c r="B146" t="s">
        <v>172</v>
      </c>
      <c r="C146" t="s">
        <v>146</v>
      </c>
      <c r="D146" t="s">
        <v>49</v>
      </c>
      <c r="E146" t="s">
        <v>5139</v>
      </c>
      <c r="F146" t="s">
        <v>5133</v>
      </c>
      <c r="G146" t="s">
        <v>18</v>
      </c>
      <c r="H146" t="s">
        <v>56</v>
      </c>
      <c r="I146" t="str">
        <f>LEFT(H146,FIND(" (",H146)-1)</f>
        <v>Mid</v>
      </c>
      <c r="J146" t="str">
        <f>MID(H146,FIND("(",H146)+1,FIND(")",H146)-FIND("(",H146)-1)</f>
        <v>2-5 yrs</v>
      </c>
      <c r="L146">
        <v>115145</v>
      </c>
      <c r="M146" t="s">
        <v>416</v>
      </c>
      <c r="N146" t="s">
        <v>149</v>
      </c>
      <c r="O146" t="s">
        <v>44</v>
      </c>
      <c r="P146" s="1">
        <v>45716</v>
      </c>
      <c r="Q146">
        <v>1270</v>
      </c>
      <c r="R146">
        <v>869</v>
      </c>
      <c r="S146" t="s">
        <v>23</v>
      </c>
      <c r="T146">
        <v>2</v>
      </c>
      <c r="U146" t="s">
        <v>83</v>
      </c>
      <c r="V146" t="s">
        <v>24</v>
      </c>
      <c r="W146" t="s">
        <v>23</v>
      </c>
    </row>
    <row r="147" spans="1:23" x14ac:dyDescent="0.3">
      <c r="A147" t="s">
        <v>417</v>
      </c>
      <c r="B147" t="s">
        <v>85</v>
      </c>
      <c r="C147" t="s">
        <v>173</v>
      </c>
      <c r="D147" t="s">
        <v>111</v>
      </c>
      <c r="E147" t="s">
        <v>102</v>
      </c>
      <c r="F147" t="s">
        <v>103</v>
      </c>
      <c r="G147" t="s">
        <v>41</v>
      </c>
      <c r="H147" t="s">
        <v>31</v>
      </c>
      <c r="I147" t="str">
        <f>LEFT(H147,FIND(" (",H147)-1)</f>
        <v>Staff/Principal</v>
      </c>
      <c r="J147" t="str">
        <f>MID(H147,FIND("(",H147)+1,FIND(")",H147)-FIND("(",H147)-1)</f>
        <v>8+ yrs</v>
      </c>
      <c r="L147">
        <v>228145</v>
      </c>
      <c r="M147" t="s">
        <v>418</v>
      </c>
      <c r="N147" t="s">
        <v>94</v>
      </c>
      <c r="O147" t="s">
        <v>51</v>
      </c>
      <c r="P147" s="1">
        <v>45693</v>
      </c>
      <c r="Q147">
        <v>1625</v>
      </c>
      <c r="R147">
        <v>2893</v>
      </c>
      <c r="S147" t="s">
        <v>23</v>
      </c>
      <c r="T147">
        <v>6</v>
      </c>
      <c r="U147" t="s">
        <v>83</v>
      </c>
      <c r="V147" t="s">
        <v>24</v>
      </c>
      <c r="W147" t="s">
        <v>23</v>
      </c>
    </row>
    <row r="148" spans="1:23" x14ac:dyDescent="0.3">
      <c r="A148" t="s">
        <v>419</v>
      </c>
      <c r="B148" t="s">
        <v>13</v>
      </c>
      <c r="C148" t="s">
        <v>116</v>
      </c>
      <c r="D148" t="s">
        <v>38</v>
      </c>
      <c r="E148" t="s">
        <v>5139</v>
      </c>
      <c r="F148" t="s">
        <v>5133</v>
      </c>
      <c r="G148" t="s">
        <v>55</v>
      </c>
      <c r="H148" t="s">
        <v>56</v>
      </c>
      <c r="I148" t="str">
        <f>LEFT(H148,FIND(" (",H148)-1)</f>
        <v>Mid</v>
      </c>
      <c r="J148" t="str">
        <f>MID(H148,FIND("(",H148)+1,FIND(")",H148)-FIND("(",H148)-1)</f>
        <v>2-5 yrs</v>
      </c>
      <c r="L148">
        <v>85508</v>
      </c>
      <c r="M148" t="s">
        <v>420</v>
      </c>
      <c r="N148" t="s">
        <v>43</v>
      </c>
      <c r="O148" t="s">
        <v>44</v>
      </c>
      <c r="P148" s="1">
        <v>45433</v>
      </c>
      <c r="Q148">
        <v>1908</v>
      </c>
      <c r="R148">
        <v>2014</v>
      </c>
      <c r="S148" t="s">
        <v>34</v>
      </c>
      <c r="T148">
        <v>2</v>
      </c>
      <c r="U148" t="s">
        <v>45</v>
      </c>
      <c r="V148" t="s">
        <v>24</v>
      </c>
      <c r="W148" t="s">
        <v>34</v>
      </c>
    </row>
    <row r="149" spans="1:23" x14ac:dyDescent="0.3">
      <c r="A149" t="s">
        <v>421</v>
      </c>
      <c r="B149" t="s">
        <v>70</v>
      </c>
      <c r="C149" t="s">
        <v>128</v>
      </c>
      <c r="D149" t="s">
        <v>49</v>
      </c>
      <c r="E149" t="s">
        <v>5134</v>
      </c>
      <c r="F149" t="s">
        <v>5133</v>
      </c>
      <c r="G149" t="s">
        <v>41</v>
      </c>
      <c r="H149" t="s">
        <v>19</v>
      </c>
      <c r="I149" t="str">
        <f>LEFT(H149,FIND(" (",H149)-1)</f>
        <v>Entry</v>
      </c>
      <c r="J149" t="str">
        <f>MID(H149,FIND("(",H149)+1,FIND(")",H149)-FIND("(",H149)-1)</f>
        <v>0-2 yrs</v>
      </c>
      <c r="L149">
        <v>53362</v>
      </c>
      <c r="M149" t="s">
        <v>422</v>
      </c>
      <c r="N149" t="s">
        <v>33</v>
      </c>
      <c r="O149" t="s">
        <v>44</v>
      </c>
      <c r="P149" s="1">
        <v>45434</v>
      </c>
      <c r="Q149">
        <v>2177</v>
      </c>
      <c r="R149">
        <v>2610</v>
      </c>
      <c r="S149" t="s">
        <v>23</v>
      </c>
      <c r="T149">
        <v>0</v>
      </c>
      <c r="U149" t="s">
        <v>45</v>
      </c>
      <c r="V149" t="s">
        <v>59</v>
      </c>
      <c r="W149" t="s">
        <v>23</v>
      </c>
    </row>
    <row r="150" spans="1:23" x14ac:dyDescent="0.3">
      <c r="A150" t="s">
        <v>423</v>
      </c>
      <c r="B150" t="s">
        <v>137</v>
      </c>
      <c r="C150" t="s">
        <v>158</v>
      </c>
      <c r="D150" t="s">
        <v>174</v>
      </c>
      <c r="E150" t="s">
        <v>5139</v>
      </c>
      <c r="F150" t="s">
        <v>5133</v>
      </c>
      <c r="G150" t="s">
        <v>55</v>
      </c>
      <c r="H150" t="s">
        <v>56</v>
      </c>
      <c r="I150" t="str">
        <f>LEFT(H150,FIND(" (",H150)-1)</f>
        <v>Mid</v>
      </c>
      <c r="J150" t="str">
        <f>MID(H150,FIND("(",H150)+1,FIND(")",H150)-FIND("(",H150)-1)</f>
        <v>2-5 yrs</v>
      </c>
      <c r="L150">
        <v>120334</v>
      </c>
      <c r="M150" t="s">
        <v>424</v>
      </c>
      <c r="N150" t="s">
        <v>89</v>
      </c>
      <c r="O150" t="s">
        <v>44</v>
      </c>
      <c r="P150" s="1">
        <v>45545</v>
      </c>
      <c r="Q150">
        <v>498</v>
      </c>
      <c r="R150">
        <v>198</v>
      </c>
      <c r="S150" t="s">
        <v>34</v>
      </c>
      <c r="T150">
        <v>2</v>
      </c>
      <c r="U150" t="s">
        <v>58</v>
      </c>
      <c r="V150" t="s">
        <v>24</v>
      </c>
      <c r="W150" t="s">
        <v>23</v>
      </c>
    </row>
    <row r="151" spans="1:23" x14ac:dyDescent="0.3">
      <c r="A151" t="s">
        <v>425</v>
      </c>
      <c r="B151" t="s">
        <v>222</v>
      </c>
      <c r="C151" t="s">
        <v>110</v>
      </c>
      <c r="D151" t="s">
        <v>174</v>
      </c>
      <c r="E151" t="s">
        <v>39</v>
      </c>
      <c r="F151" t="s">
        <v>40</v>
      </c>
      <c r="G151" t="s">
        <v>18</v>
      </c>
      <c r="H151" t="s">
        <v>31</v>
      </c>
      <c r="I151" t="str">
        <f>LEFT(H151,FIND(" (",H151)-1)</f>
        <v>Staff/Principal</v>
      </c>
      <c r="J151" t="str">
        <f>MID(H151,FIND("(",H151)+1,FIND(")",H151)-FIND("(",H151)-1)</f>
        <v>8+ yrs</v>
      </c>
      <c r="L151">
        <v>210691</v>
      </c>
      <c r="M151" t="s">
        <v>426</v>
      </c>
      <c r="N151" t="s">
        <v>120</v>
      </c>
      <c r="O151" t="s">
        <v>22</v>
      </c>
      <c r="P151" s="1">
        <v>45511</v>
      </c>
      <c r="Q151">
        <v>1823</v>
      </c>
      <c r="R151">
        <v>2731</v>
      </c>
      <c r="S151" t="s">
        <v>99</v>
      </c>
      <c r="T151">
        <v>6</v>
      </c>
      <c r="U151" t="s">
        <v>52</v>
      </c>
      <c r="V151" t="s">
        <v>24</v>
      </c>
      <c r="W151" t="s">
        <v>23</v>
      </c>
    </row>
    <row r="152" spans="1:23" x14ac:dyDescent="0.3">
      <c r="A152" t="s">
        <v>427</v>
      </c>
      <c r="B152" t="s">
        <v>91</v>
      </c>
      <c r="C152" t="s">
        <v>124</v>
      </c>
      <c r="D152" t="s">
        <v>15</v>
      </c>
      <c r="E152" t="s">
        <v>5136</v>
      </c>
      <c r="F152" t="s">
        <v>5133</v>
      </c>
      <c r="G152" t="s">
        <v>41</v>
      </c>
      <c r="H152" t="s">
        <v>31</v>
      </c>
      <c r="I152" t="str">
        <f>LEFT(H152,FIND(" (",H152)-1)</f>
        <v>Staff/Principal</v>
      </c>
      <c r="J152" t="str">
        <f>MID(H152,FIND("(",H152)+1,FIND(")",H152)-FIND("(",H152)-1)</f>
        <v>8+ yrs</v>
      </c>
      <c r="L152">
        <v>209017</v>
      </c>
      <c r="M152" t="s">
        <v>428</v>
      </c>
      <c r="N152" t="s">
        <v>89</v>
      </c>
      <c r="O152" t="s">
        <v>51</v>
      </c>
      <c r="P152" s="1">
        <v>45292</v>
      </c>
      <c r="Q152">
        <v>793</v>
      </c>
      <c r="R152">
        <v>3533</v>
      </c>
      <c r="S152" t="s">
        <v>23</v>
      </c>
      <c r="T152">
        <v>6</v>
      </c>
      <c r="U152" t="s">
        <v>52</v>
      </c>
      <c r="V152" t="s">
        <v>24</v>
      </c>
      <c r="W152" t="s">
        <v>34</v>
      </c>
    </row>
    <row r="153" spans="1:23" x14ac:dyDescent="0.3">
      <c r="A153" t="s">
        <v>429</v>
      </c>
      <c r="B153" t="s">
        <v>70</v>
      </c>
      <c r="C153" t="s">
        <v>110</v>
      </c>
      <c r="D153" t="s">
        <v>75</v>
      </c>
      <c r="E153" t="s">
        <v>5137</v>
      </c>
      <c r="F153" t="s">
        <v>5138</v>
      </c>
      <c r="G153" t="s">
        <v>18</v>
      </c>
      <c r="H153" t="s">
        <v>19</v>
      </c>
      <c r="I153" t="str">
        <f>LEFT(H153,FIND(" (",H153)-1)</f>
        <v>Entry</v>
      </c>
      <c r="J153" t="str">
        <f>MID(H153,FIND("(",H153)+1,FIND(")",H153)-FIND("(",H153)-1)</f>
        <v>0-2 yrs</v>
      </c>
      <c r="L153">
        <v>74365</v>
      </c>
      <c r="M153" t="s">
        <v>430</v>
      </c>
      <c r="N153" t="s">
        <v>68</v>
      </c>
      <c r="O153" t="s">
        <v>51</v>
      </c>
      <c r="P153" s="1">
        <v>45743</v>
      </c>
      <c r="Q153">
        <v>972</v>
      </c>
      <c r="R153">
        <v>1812</v>
      </c>
      <c r="S153" t="s">
        <v>23</v>
      </c>
      <c r="T153">
        <v>0</v>
      </c>
      <c r="U153" t="s">
        <v>52</v>
      </c>
      <c r="V153" t="s">
        <v>24</v>
      </c>
      <c r="W153" t="s">
        <v>34</v>
      </c>
    </row>
    <row r="154" spans="1:23" x14ac:dyDescent="0.3">
      <c r="A154" t="s">
        <v>431</v>
      </c>
      <c r="B154" t="s">
        <v>329</v>
      </c>
      <c r="C154" t="s">
        <v>27</v>
      </c>
      <c r="D154" t="s">
        <v>125</v>
      </c>
      <c r="E154" t="s">
        <v>87</v>
      </c>
      <c r="F154" t="s">
        <v>87</v>
      </c>
      <c r="G154" t="s">
        <v>18</v>
      </c>
      <c r="H154" t="s">
        <v>31</v>
      </c>
      <c r="I154" t="str">
        <f>LEFT(H154,FIND(" (",H154)-1)</f>
        <v>Staff/Principal</v>
      </c>
      <c r="J154" t="str">
        <f>MID(H154,FIND("(",H154)+1,FIND(")",H154)-FIND("(",H154)-1)</f>
        <v>8+ yrs</v>
      </c>
      <c r="L154">
        <v>175519</v>
      </c>
      <c r="M154" t="s">
        <v>432</v>
      </c>
      <c r="N154" t="s">
        <v>141</v>
      </c>
      <c r="O154" t="s">
        <v>22</v>
      </c>
      <c r="P154" s="1">
        <v>45343</v>
      </c>
      <c r="Q154">
        <v>645</v>
      </c>
      <c r="R154">
        <v>1026</v>
      </c>
      <c r="S154" t="s">
        <v>23</v>
      </c>
      <c r="T154">
        <v>6</v>
      </c>
      <c r="U154" t="s">
        <v>83</v>
      </c>
      <c r="V154" t="s">
        <v>59</v>
      </c>
      <c r="W154" t="s">
        <v>34</v>
      </c>
    </row>
    <row r="155" spans="1:23" x14ac:dyDescent="0.3">
      <c r="A155" t="s">
        <v>433</v>
      </c>
      <c r="B155" t="s">
        <v>151</v>
      </c>
      <c r="C155" t="s">
        <v>192</v>
      </c>
      <c r="D155" t="s">
        <v>147</v>
      </c>
      <c r="E155" t="s">
        <v>87</v>
      </c>
      <c r="F155" t="s">
        <v>87</v>
      </c>
      <c r="G155" t="s">
        <v>41</v>
      </c>
      <c r="H155" t="s">
        <v>66</v>
      </c>
      <c r="I155" t="str">
        <f>LEFT(H155,FIND(" (",H155)-1)</f>
        <v>Senior</v>
      </c>
      <c r="J155" t="str">
        <f>MID(H155,FIND("(",H155)+1,FIND(")",H155)-FIND("(",H155)-1)</f>
        <v>5-8 yrs</v>
      </c>
      <c r="L155">
        <v>156270</v>
      </c>
      <c r="M155" t="s">
        <v>434</v>
      </c>
      <c r="N155" t="s">
        <v>245</v>
      </c>
      <c r="O155" t="s">
        <v>22</v>
      </c>
      <c r="P155" s="1">
        <v>45552</v>
      </c>
      <c r="Q155">
        <v>2346</v>
      </c>
      <c r="R155">
        <v>2623</v>
      </c>
      <c r="S155" t="s">
        <v>23</v>
      </c>
      <c r="T155">
        <v>4</v>
      </c>
      <c r="U155" t="s">
        <v>83</v>
      </c>
      <c r="V155" t="s">
        <v>59</v>
      </c>
      <c r="W155" t="s">
        <v>34</v>
      </c>
    </row>
    <row r="156" spans="1:23" x14ac:dyDescent="0.3">
      <c r="A156" t="s">
        <v>435</v>
      </c>
      <c r="B156" t="s">
        <v>225</v>
      </c>
      <c r="C156" t="s">
        <v>124</v>
      </c>
      <c r="D156" t="s">
        <v>28</v>
      </c>
      <c r="E156" t="s">
        <v>64</v>
      </c>
      <c r="F156" t="s">
        <v>65</v>
      </c>
      <c r="G156" t="s">
        <v>18</v>
      </c>
      <c r="H156" t="s">
        <v>66</v>
      </c>
      <c r="I156" t="str">
        <f>LEFT(H156,FIND(" (",H156)-1)</f>
        <v>Senior</v>
      </c>
      <c r="J156" t="str">
        <f>MID(H156,FIND("(",H156)+1,FIND(")",H156)-FIND("(",H156)-1)</f>
        <v>5-8 yrs</v>
      </c>
      <c r="L156">
        <v>157912</v>
      </c>
      <c r="M156" t="s">
        <v>436</v>
      </c>
      <c r="N156" t="s">
        <v>149</v>
      </c>
      <c r="O156" t="s">
        <v>22</v>
      </c>
      <c r="P156" s="1">
        <v>45721</v>
      </c>
      <c r="Q156">
        <v>547</v>
      </c>
      <c r="R156">
        <v>3895</v>
      </c>
      <c r="S156" t="s">
        <v>23</v>
      </c>
      <c r="T156">
        <v>4</v>
      </c>
      <c r="U156" t="s">
        <v>83</v>
      </c>
      <c r="V156" t="s">
        <v>24</v>
      </c>
      <c r="W156" t="s">
        <v>23</v>
      </c>
    </row>
    <row r="157" spans="1:23" x14ac:dyDescent="0.3">
      <c r="A157" t="s">
        <v>437</v>
      </c>
      <c r="B157" t="s">
        <v>329</v>
      </c>
      <c r="C157" t="s">
        <v>158</v>
      </c>
      <c r="D157" t="s">
        <v>125</v>
      </c>
      <c r="E157" t="s">
        <v>5134</v>
      </c>
      <c r="F157" t="s">
        <v>5133</v>
      </c>
      <c r="G157" t="s">
        <v>18</v>
      </c>
      <c r="H157" t="s">
        <v>31</v>
      </c>
      <c r="I157" t="str">
        <f>LEFT(H157,FIND(" (",H157)-1)</f>
        <v>Staff/Principal</v>
      </c>
      <c r="J157" t="str">
        <f>MID(H157,FIND("(",H157)+1,FIND(")",H157)-FIND("(",H157)-1)</f>
        <v>8+ yrs</v>
      </c>
      <c r="L157">
        <v>174283</v>
      </c>
      <c r="M157" t="s">
        <v>438</v>
      </c>
      <c r="N157" t="s">
        <v>33</v>
      </c>
      <c r="O157" t="s">
        <v>51</v>
      </c>
      <c r="P157" s="1">
        <v>45566</v>
      </c>
      <c r="Q157">
        <v>1900</v>
      </c>
      <c r="R157">
        <v>2412</v>
      </c>
      <c r="S157" t="s">
        <v>23</v>
      </c>
      <c r="T157">
        <v>6</v>
      </c>
      <c r="U157" t="s">
        <v>5123</v>
      </c>
      <c r="V157" t="s">
        <v>24</v>
      </c>
      <c r="W157" t="s">
        <v>34</v>
      </c>
    </row>
    <row r="158" spans="1:23" x14ac:dyDescent="0.3">
      <c r="A158" t="s">
        <v>439</v>
      </c>
      <c r="B158" t="s">
        <v>91</v>
      </c>
      <c r="C158" t="s">
        <v>101</v>
      </c>
      <c r="D158" t="s">
        <v>15</v>
      </c>
      <c r="E158" t="s">
        <v>29</v>
      </c>
      <c r="F158" t="s">
        <v>30</v>
      </c>
      <c r="G158" t="s">
        <v>18</v>
      </c>
      <c r="H158" t="s">
        <v>19</v>
      </c>
      <c r="I158" t="str">
        <f>LEFT(H158,FIND(" (",H158)-1)</f>
        <v>Entry</v>
      </c>
      <c r="J158" t="str">
        <f>MID(H158,FIND("(",H158)+1,FIND(")",H158)-FIND("(",H158)-1)</f>
        <v>0-2 yrs</v>
      </c>
      <c r="L158">
        <v>93508</v>
      </c>
      <c r="M158" t="s">
        <v>440</v>
      </c>
      <c r="N158" t="s">
        <v>68</v>
      </c>
      <c r="O158" t="s">
        <v>44</v>
      </c>
      <c r="P158" s="1">
        <v>45514</v>
      </c>
      <c r="Q158">
        <v>346</v>
      </c>
      <c r="R158">
        <v>681</v>
      </c>
      <c r="S158" t="s">
        <v>23</v>
      </c>
      <c r="T158">
        <v>0</v>
      </c>
      <c r="U158" t="s">
        <v>45</v>
      </c>
      <c r="V158" t="s">
        <v>24</v>
      </c>
      <c r="W158" t="s">
        <v>23</v>
      </c>
    </row>
    <row r="159" spans="1:23" x14ac:dyDescent="0.3">
      <c r="A159" t="s">
        <v>441</v>
      </c>
      <c r="B159" t="s">
        <v>36</v>
      </c>
      <c r="C159" t="s">
        <v>173</v>
      </c>
      <c r="D159" t="s">
        <v>75</v>
      </c>
      <c r="E159" t="s">
        <v>5141</v>
      </c>
      <c r="F159" t="s">
        <v>5133</v>
      </c>
      <c r="G159" t="s">
        <v>18</v>
      </c>
      <c r="H159" t="s">
        <v>56</v>
      </c>
      <c r="I159" t="str">
        <f>LEFT(H159,FIND(" (",H159)-1)</f>
        <v>Mid</v>
      </c>
      <c r="J159" t="str">
        <f>MID(H159,FIND("(",H159)+1,FIND(")",H159)-FIND("(",H159)-1)</f>
        <v>2-5 yrs</v>
      </c>
      <c r="L159">
        <v>119381</v>
      </c>
      <c r="M159" t="s">
        <v>442</v>
      </c>
      <c r="N159" t="s">
        <v>141</v>
      </c>
      <c r="O159" t="s">
        <v>22</v>
      </c>
      <c r="P159" s="1">
        <v>45691</v>
      </c>
      <c r="Q159">
        <v>615</v>
      </c>
      <c r="R159">
        <v>2042</v>
      </c>
      <c r="S159" t="s">
        <v>23</v>
      </c>
      <c r="T159">
        <v>2</v>
      </c>
      <c r="U159" t="s">
        <v>45</v>
      </c>
      <c r="V159" t="s">
        <v>24</v>
      </c>
      <c r="W159" t="s">
        <v>23</v>
      </c>
    </row>
    <row r="160" spans="1:23" x14ac:dyDescent="0.3">
      <c r="A160" t="s">
        <v>443</v>
      </c>
      <c r="B160" t="s">
        <v>222</v>
      </c>
      <c r="C160" t="s">
        <v>92</v>
      </c>
      <c r="D160" t="s">
        <v>15</v>
      </c>
      <c r="E160" t="s">
        <v>102</v>
      </c>
      <c r="F160" t="s">
        <v>103</v>
      </c>
      <c r="G160" t="s">
        <v>18</v>
      </c>
      <c r="H160" t="s">
        <v>66</v>
      </c>
      <c r="I160" t="str">
        <f>LEFT(H160,FIND(" (",H160)-1)</f>
        <v>Senior</v>
      </c>
      <c r="J160" t="str">
        <f>MID(H160,FIND("(",H160)+1,FIND(")",H160)-FIND("(",H160)-1)</f>
        <v>5-8 yrs</v>
      </c>
      <c r="L160">
        <v>117834</v>
      </c>
      <c r="M160" t="s">
        <v>444</v>
      </c>
      <c r="N160" t="s">
        <v>186</v>
      </c>
      <c r="O160" t="s">
        <v>51</v>
      </c>
      <c r="P160" s="1">
        <v>45344</v>
      </c>
      <c r="Q160">
        <v>1868</v>
      </c>
      <c r="R160">
        <v>3779</v>
      </c>
      <c r="S160" t="s">
        <v>34</v>
      </c>
      <c r="T160">
        <v>4</v>
      </c>
      <c r="U160" t="s">
        <v>5123</v>
      </c>
      <c r="V160" t="s">
        <v>24</v>
      </c>
      <c r="W160" t="s">
        <v>23</v>
      </c>
    </row>
    <row r="161" spans="1:23" x14ac:dyDescent="0.3">
      <c r="A161" t="s">
        <v>445</v>
      </c>
      <c r="B161" t="s">
        <v>329</v>
      </c>
      <c r="C161" t="s">
        <v>167</v>
      </c>
      <c r="D161" t="s">
        <v>38</v>
      </c>
      <c r="E161" t="s">
        <v>5132</v>
      </c>
      <c r="F161" t="s">
        <v>5133</v>
      </c>
      <c r="G161" t="s">
        <v>18</v>
      </c>
      <c r="H161" t="s">
        <v>56</v>
      </c>
      <c r="I161" t="str">
        <f>LEFT(H161,FIND(" (",H161)-1)</f>
        <v>Mid</v>
      </c>
      <c r="J161" t="str">
        <f>MID(H161,FIND("(",H161)+1,FIND(")",H161)-FIND("(",H161)-1)</f>
        <v>2-5 yrs</v>
      </c>
      <c r="L161">
        <v>122999</v>
      </c>
      <c r="M161" t="s">
        <v>446</v>
      </c>
      <c r="N161" t="s">
        <v>186</v>
      </c>
      <c r="O161" t="s">
        <v>44</v>
      </c>
      <c r="P161" s="1">
        <v>45660</v>
      </c>
      <c r="Q161">
        <v>488</v>
      </c>
      <c r="R161">
        <v>3917</v>
      </c>
      <c r="S161" t="s">
        <v>23</v>
      </c>
      <c r="T161">
        <v>2</v>
      </c>
      <c r="U161" t="s">
        <v>58</v>
      </c>
      <c r="V161" t="s">
        <v>59</v>
      </c>
      <c r="W161" t="s">
        <v>23</v>
      </c>
    </row>
    <row r="162" spans="1:23" x14ac:dyDescent="0.3">
      <c r="A162" t="s">
        <v>447</v>
      </c>
      <c r="B162" t="s">
        <v>81</v>
      </c>
      <c r="C162" t="s">
        <v>226</v>
      </c>
      <c r="D162" t="s">
        <v>111</v>
      </c>
      <c r="E162" t="s">
        <v>5136</v>
      </c>
      <c r="F162" t="s">
        <v>5133</v>
      </c>
      <c r="G162" t="s">
        <v>41</v>
      </c>
      <c r="H162" t="s">
        <v>66</v>
      </c>
      <c r="I162" t="str">
        <f>LEFT(H162,FIND(" (",H162)-1)</f>
        <v>Senior</v>
      </c>
      <c r="J162" t="str">
        <f>MID(H162,FIND("(",H162)+1,FIND(")",H162)-FIND("(",H162)-1)</f>
        <v>5-8 yrs</v>
      </c>
      <c r="L162">
        <v>123683</v>
      </c>
      <c r="M162" t="s">
        <v>448</v>
      </c>
      <c r="N162" t="s">
        <v>89</v>
      </c>
      <c r="O162" t="s">
        <v>79</v>
      </c>
      <c r="P162" s="1">
        <v>45296</v>
      </c>
      <c r="Q162">
        <v>1100</v>
      </c>
      <c r="R162">
        <v>3010</v>
      </c>
      <c r="S162" t="s">
        <v>99</v>
      </c>
      <c r="T162">
        <v>4</v>
      </c>
      <c r="U162" t="s">
        <v>52</v>
      </c>
      <c r="V162" t="s">
        <v>24</v>
      </c>
      <c r="W162" t="s">
        <v>23</v>
      </c>
    </row>
    <row r="163" spans="1:23" x14ac:dyDescent="0.3">
      <c r="A163" t="s">
        <v>449</v>
      </c>
      <c r="B163" t="s">
        <v>151</v>
      </c>
      <c r="C163" t="s">
        <v>128</v>
      </c>
      <c r="D163" t="s">
        <v>28</v>
      </c>
      <c r="E163" t="s">
        <v>133</v>
      </c>
      <c r="F163" t="s">
        <v>134</v>
      </c>
      <c r="G163" t="s">
        <v>18</v>
      </c>
      <c r="H163" t="s">
        <v>56</v>
      </c>
      <c r="I163" t="str">
        <f>LEFT(H163,FIND(" (",H163)-1)</f>
        <v>Mid</v>
      </c>
      <c r="J163" t="str">
        <f>MID(H163,FIND("(",H163)+1,FIND(")",H163)-FIND("(",H163)-1)</f>
        <v>2-5 yrs</v>
      </c>
      <c r="L163">
        <v>125584</v>
      </c>
      <c r="M163" t="s">
        <v>450</v>
      </c>
      <c r="N163" t="s">
        <v>33</v>
      </c>
      <c r="O163" t="s">
        <v>22</v>
      </c>
      <c r="P163" s="1">
        <v>45721</v>
      </c>
      <c r="Q163">
        <v>2470</v>
      </c>
      <c r="R163">
        <v>985</v>
      </c>
      <c r="S163" t="s">
        <v>23</v>
      </c>
      <c r="T163">
        <v>2</v>
      </c>
      <c r="U163" t="s">
        <v>5123</v>
      </c>
      <c r="V163" t="s">
        <v>46</v>
      </c>
      <c r="W163" t="s">
        <v>34</v>
      </c>
    </row>
    <row r="164" spans="1:23" x14ac:dyDescent="0.3">
      <c r="A164" t="s">
        <v>451</v>
      </c>
      <c r="B164" t="s">
        <v>36</v>
      </c>
      <c r="C164" t="s">
        <v>97</v>
      </c>
      <c r="D164" t="s">
        <v>147</v>
      </c>
      <c r="E164" t="s">
        <v>5135</v>
      </c>
      <c r="F164" t="s">
        <v>5133</v>
      </c>
      <c r="G164" t="s">
        <v>55</v>
      </c>
      <c r="H164" t="s">
        <v>19</v>
      </c>
      <c r="I164" t="str">
        <f>LEFT(H164,FIND(" (",H164)-1)</f>
        <v>Entry</v>
      </c>
      <c r="J164" t="str">
        <f>MID(H164,FIND("(",H164)+1,FIND(")",H164)-FIND("(",H164)-1)</f>
        <v>0-2 yrs</v>
      </c>
      <c r="L164">
        <v>84598</v>
      </c>
      <c r="M164" t="s">
        <v>452</v>
      </c>
      <c r="N164" t="s">
        <v>68</v>
      </c>
      <c r="O164" t="s">
        <v>22</v>
      </c>
      <c r="P164" s="1">
        <v>45724</v>
      </c>
      <c r="Q164">
        <v>555</v>
      </c>
      <c r="R164">
        <v>1791</v>
      </c>
      <c r="S164" t="s">
        <v>23</v>
      </c>
      <c r="T164">
        <v>0</v>
      </c>
      <c r="U164" t="s">
        <v>52</v>
      </c>
      <c r="V164" t="s">
        <v>24</v>
      </c>
      <c r="W164" t="s">
        <v>34</v>
      </c>
    </row>
    <row r="165" spans="1:23" x14ac:dyDescent="0.3">
      <c r="A165" t="s">
        <v>453</v>
      </c>
      <c r="B165" t="s">
        <v>236</v>
      </c>
      <c r="C165" t="s">
        <v>101</v>
      </c>
      <c r="D165" t="s">
        <v>125</v>
      </c>
      <c r="E165" t="s">
        <v>5132</v>
      </c>
      <c r="F165" t="s">
        <v>5133</v>
      </c>
      <c r="G165" t="s">
        <v>18</v>
      </c>
      <c r="H165" t="s">
        <v>31</v>
      </c>
      <c r="I165" t="str">
        <f>LEFT(H165,FIND(" (",H165)-1)</f>
        <v>Staff/Principal</v>
      </c>
      <c r="J165" t="str">
        <f>MID(H165,FIND("(",H165)+1,FIND(")",H165)-FIND("(",H165)-1)</f>
        <v>8+ yrs</v>
      </c>
      <c r="L165">
        <v>170455</v>
      </c>
      <c r="M165" t="s">
        <v>454</v>
      </c>
      <c r="N165" t="s">
        <v>33</v>
      </c>
      <c r="O165" t="s">
        <v>22</v>
      </c>
      <c r="P165" s="1">
        <v>45431</v>
      </c>
      <c r="Q165">
        <v>2141</v>
      </c>
      <c r="R165">
        <v>1918</v>
      </c>
      <c r="S165" t="s">
        <v>23</v>
      </c>
      <c r="T165">
        <v>6</v>
      </c>
      <c r="U165" t="s">
        <v>5123</v>
      </c>
      <c r="V165" t="s">
        <v>24</v>
      </c>
      <c r="W165" t="s">
        <v>23</v>
      </c>
    </row>
    <row r="166" spans="1:23" x14ac:dyDescent="0.3">
      <c r="A166" t="s">
        <v>455</v>
      </c>
      <c r="B166" t="s">
        <v>106</v>
      </c>
      <c r="C166" t="s">
        <v>116</v>
      </c>
      <c r="D166" t="s">
        <v>111</v>
      </c>
      <c r="E166" t="s">
        <v>230</v>
      </c>
      <c r="F166" t="s">
        <v>231</v>
      </c>
      <c r="G166" t="s">
        <v>41</v>
      </c>
      <c r="H166" t="s">
        <v>31</v>
      </c>
      <c r="I166" t="str">
        <f>LEFT(H166,FIND(" (",H166)-1)</f>
        <v>Staff/Principal</v>
      </c>
      <c r="J166" t="str">
        <f>MID(H166,FIND("(",H166)+1,FIND(")",H166)-FIND("(",H166)-1)</f>
        <v>8+ yrs</v>
      </c>
      <c r="L166">
        <v>234681</v>
      </c>
      <c r="M166" t="s">
        <v>456</v>
      </c>
      <c r="N166" t="s">
        <v>33</v>
      </c>
      <c r="O166" t="s">
        <v>22</v>
      </c>
      <c r="P166" s="1">
        <v>45728</v>
      </c>
      <c r="Q166">
        <v>1642</v>
      </c>
      <c r="R166">
        <v>617</v>
      </c>
      <c r="S166" t="s">
        <v>34</v>
      </c>
      <c r="T166">
        <v>6</v>
      </c>
      <c r="U166" t="s">
        <v>52</v>
      </c>
      <c r="V166" t="s">
        <v>46</v>
      </c>
      <c r="W166" t="s">
        <v>34</v>
      </c>
    </row>
    <row r="167" spans="1:23" x14ac:dyDescent="0.3">
      <c r="A167" t="s">
        <v>457</v>
      </c>
      <c r="B167" t="s">
        <v>229</v>
      </c>
      <c r="C167" t="s">
        <v>92</v>
      </c>
      <c r="D167" t="s">
        <v>49</v>
      </c>
      <c r="E167" t="s">
        <v>16</v>
      </c>
      <c r="F167" t="s">
        <v>17</v>
      </c>
      <c r="G167" t="s">
        <v>55</v>
      </c>
      <c r="H167" t="s">
        <v>66</v>
      </c>
      <c r="I167" t="str">
        <f>LEFT(H167,FIND(" (",H167)-1)</f>
        <v>Senior</v>
      </c>
      <c r="J167" t="str">
        <f>MID(H167,FIND("(",H167)+1,FIND(")",H167)-FIND("(",H167)-1)</f>
        <v>5-8 yrs</v>
      </c>
      <c r="L167">
        <v>161145</v>
      </c>
      <c r="M167" t="s">
        <v>458</v>
      </c>
      <c r="N167" t="s">
        <v>94</v>
      </c>
      <c r="O167" t="s">
        <v>51</v>
      </c>
      <c r="P167" s="1">
        <v>45381</v>
      </c>
      <c r="Q167">
        <v>872</v>
      </c>
      <c r="R167">
        <v>507</v>
      </c>
      <c r="S167" t="s">
        <v>34</v>
      </c>
      <c r="T167">
        <v>4</v>
      </c>
      <c r="U167" t="s">
        <v>52</v>
      </c>
      <c r="V167" t="s">
        <v>24</v>
      </c>
      <c r="W167" t="s">
        <v>23</v>
      </c>
    </row>
    <row r="168" spans="1:23" x14ac:dyDescent="0.3">
      <c r="A168" t="s">
        <v>459</v>
      </c>
      <c r="B168" t="s">
        <v>225</v>
      </c>
      <c r="C168" t="s">
        <v>146</v>
      </c>
      <c r="D168" t="s">
        <v>125</v>
      </c>
      <c r="E168" t="s">
        <v>200</v>
      </c>
      <c r="F168" t="s">
        <v>201</v>
      </c>
      <c r="G168" t="s">
        <v>41</v>
      </c>
      <c r="H168" t="s">
        <v>19</v>
      </c>
      <c r="I168" t="str">
        <f>LEFT(H168,FIND(" (",H168)-1)</f>
        <v>Entry</v>
      </c>
      <c r="J168" t="str">
        <f>MID(H168,FIND("(",H168)+1,FIND(")",H168)-FIND("(",H168)-1)</f>
        <v>0-2 yrs</v>
      </c>
      <c r="L168">
        <v>80357</v>
      </c>
      <c r="M168" t="s">
        <v>460</v>
      </c>
      <c r="N168" t="s">
        <v>33</v>
      </c>
      <c r="O168" t="s">
        <v>22</v>
      </c>
      <c r="P168" s="1">
        <v>45708</v>
      </c>
      <c r="Q168">
        <v>1658</v>
      </c>
      <c r="R168">
        <v>511</v>
      </c>
      <c r="S168" t="s">
        <v>34</v>
      </c>
      <c r="T168">
        <v>0</v>
      </c>
      <c r="U168" t="s">
        <v>58</v>
      </c>
      <c r="V168" t="s">
        <v>24</v>
      </c>
      <c r="W168" t="s">
        <v>23</v>
      </c>
    </row>
    <row r="169" spans="1:23" x14ac:dyDescent="0.3">
      <c r="A169" t="s">
        <v>461</v>
      </c>
      <c r="B169" t="s">
        <v>329</v>
      </c>
      <c r="C169" t="s">
        <v>132</v>
      </c>
      <c r="D169" t="s">
        <v>111</v>
      </c>
      <c r="E169" t="s">
        <v>159</v>
      </c>
      <c r="F169" t="s">
        <v>160</v>
      </c>
      <c r="G169" t="s">
        <v>18</v>
      </c>
      <c r="H169" t="s">
        <v>31</v>
      </c>
      <c r="I169" t="str">
        <f>LEFT(H169,FIND(" (",H169)-1)</f>
        <v>Staff/Principal</v>
      </c>
      <c r="J169" t="str">
        <f>MID(H169,FIND("(",H169)+1,FIND(")",H169)-FIND("(",H169)-1)</f>
        <v>8+ yrs</v>
      </c>
      <c r="L169">
        <v>268284</v>
      </c>
      <c r="M169" t="s">
        <v>462</v>
      </c>
      <c r="N169" t="s">
        <v>68</v>
      </c>
      <c r="O169" t="s">
        <v>51</v>
      </c>
      <c r="P169" s="1">
        <v>45641</v>
      </c>
      <c r="Q169">
        <v>1306</v>
      </c>
      <c r="R169">
        <v>2661</v>
      </c>
      <c r="S169" t="s">
        <v>23</v>
      </c>
      <c r="T169">
        <v>6</v>
      </c>
      <c r="U169" t="s">
        <v>58</v>
      </c>
      <c r="V169" t="s">
        <v>59</v>
      </c>
      <c r="W169" t="s">
        <v>23</v>
      </c>
    </row>
    <row r="170" spans="1:23" x14ac:dyDescent="0.3">
      <c r="A170" t="s">
        <v>463</v>
      </c>
      <c r="B170" t="s">
        <v>70</v>
      </c>
      <c r="C170" t="s">
        <v>158</v>
      </c>
      <c r="D170" t="s">
        <v>63</v>
      </c>
      <c r="E170" t="s">
        <v>5134</v>
      </c>
      <c r="F170" t="s">
        <v>5133</v>
      </c>
      <c r="G170" t="s">
        <v>18</v>
      </c>
      <c r="H170" t="s">
        <v>66</v>
      </c>
      <c r="I170" t="str">
        <f>LEFT(H170,FIND(" (",H170)-1)</f>
        <v>Senior</v>
      </c>
      <c r="J170" t="str">
        <f>MID(H170,FIND("(",H170)+1,FIND(")",H170)-FIND("(",H170)-1)</f>
        <v>5-8 yrs</v>
      </c>
      <c r="L170">
        <v>143374</v>
      </c>
      <c r="M170" t="s">
        <v>464</v>
      </c>
      <c r="N170" t="s">
        <v>94</v>
      </c>
      <c r="O170" t="s">
        <v>51</v>
      </c>
      <c r="P170" s="1">
        <v>45394</v>
      </c>
      <c r="Q170">
        <v>2357</v>
      </c>
      <c r="R170">
        <v>1327</v>
      </c>
      <c r="S170" t="s">
        <v>23</v>
      </c>
      <c r="T170">
        <v>4</v>
      </c>
      <c r="U170" t="s">
        <v>52</v>
      </c>
      <c r="V170" t="s">
        <v>24</v>
      </c>
      <c r="W170" t="s">
        <v>23</v>
      </c>
    </row>
    <row r="171" spans="1:23" x14ac:dyDescent="0.3">
      <c r="A171" t="s">
        <v>465</v>
      </c>
      <c r="B171" t="s">
        <v>151</v>
      </c>
      <c r="C171" t="s">
        <v>173</v>
      </c>
      <c r="D171" t="s">
        <v>75</v>
      </c>
      <c r="E171" t="s">
        <v>5135</v>
      </c>
      <c r="F171" t="s">
        <v>5133</v>
      </c>
      <c r="G171" t="s">
        <v>55</v>
      </c>
      <c r="H171" t="s">
        <v>66</v>
      </c>
      <c r="I171" t="str">
        <f>LEFT(H171,FIND(" (",H171)-1)</f>
        <v>Senior</v>
      </c>
      <c r="J171" t="str">
        <f>MID(H171,FIND("(",H171)+1,FIND(")",H171)-FIND("(",H171)-1)</f>
        <v>5-8 yrs</v>
      </c>
      <c r="L171">
        <v>129649</v>
      </c>
      <c r="M171" t="s">
        <v>466</v>
      </c>
      <c r="N171" t="s">
        <v>33</v>
      </c>
      <c r="O171" t="s">
        <v>44</v>
      </c>
      <c r="P171" s="1">
        <v>45533</v>
      </c>
      <c r="Q171">
        <v>529</v>
      </c>
      <c r="R171">
        <v>3139</v>
      </c>
      <c r="S171" t="s">
        <v>99</v>
      </c>
      <c r="T171">
        <v>4</v>
      </c>
      <c r="U171" t="s">
        <v>52</v>
      </c>
      <c r="V171" t="s">
        <v>24</v>
      </c>
      <c r="W171" t="s">
        <v>23</v>
      </c>
    </row>
    <row r="172" spans="1:23" x14ac:dyDescent="0.3">
      <c r="A172" t="s">
        <v>467</v>
      </c>
      <c r="B172" t="s">
        <v>137</v>
      </c>
      <c r="C172" t="s">
        <v>37</v>
      </c>
      <c r="D172" t="s">
        <v>111</v>
      </c>
      <c r="E172" t="s">
        <v>102</v>
      </c>
      <c r="F172" t="s">
        <v>103</v>
      </c>
      <c r="G172" t="s">
        <v>18</v>
      </c>
      <c r="H172" t="s">
        <v>66</v>
      </c>
      <c r="I172" t="str">
        <f>LEFT(H172,FIND(" (",H172)-1)</f>
        <v>Senior</v>
      </c>
      <c r="J172" t="str">
        <f>MID(H172,FIND("(",H172)+1,FIND(")",H172)-FIND("(",H172)-1)</f>
        <v>5-8 yrs</v>
      </c>
      <c r="L172">
        <v>125983</v>
      </c>
      <c r="M172" t="s">
        <v>468</v>
      </c>
      <c r="N172" t="s">
        <v>43</v>
      </c>
      <c r="O172" t="s">
        <v>22</v>
      </c>
      <c r="P172" s="1">
        <v>45595</v>
      </c>
      <c r="Q172">
        <v>1071</v>
      </c>
      <c r="R172">
        <v>3437</v>
      </c>
      <c r="S172" t="s">
        <v>99</v>
      </c>
      <c r="T172">
        <v>4</v>
      </c>
      <c r="U172" t="s">
        <v>58</v>
      </c>
      <c r="V172" t="s">
        <v>24</v>
      </c>
      <c r="W172" t="s">
        <v>34</v>
      </c>
    </row>
    <row r="173" spans="1:23" x14ac:dyDescent="0.3">
      <c r="A173" t="s">
        <v>469</v>
      </c>
      <c r="B173" t="s">
        <v>229</v>
      </c>
      <c r="C173" t="s">
        <v>204</v>
      </c>
      <c r="D173" t="s">
        <v>125</v>
      </c>
      <c r="E173" t="s">
        <v>5135</v>
      </c>
      <c r="F173" t="s">
        <v>5133</v>
      </c>
      <c r="G173" t="s">
        <v>18</v>
      </c>
      <c r="H173" t="s">
        <v>19</v>
      </c>
      <c r="I173" t="str">
        <f>LEFT(H173,FIND(" (",H173)-1)</f>
        <v>Entry</v>
      </c>
      <c r="J173" t="str">
        <f>MID(H173,FIND("(",H173)+1,FIND(")",H173)-FIND("(",H173)-1)</f>
        <v>0-2 yrs</v>
      </c>
      <c r="L173">
        <v>59720</v>
      </c>
      <c r="M173" t="s">
        <v>470</v>
      </c>
      <c r="N173" t="s">
        <v>21</v>
      </c>
      <c r="O173" t="s">
        <v>51</v>
      </c>
      <c r="P173" s="1">
        <v>45404</v>
      </c>
      <c r="Q173">
        <v>1026</v>
      </c>
      <c r="R173">
        <v>3773</v>
      </c>
      <c r="S173" t="s">
        <v>23</v>
      </c>
      <c r="T173">
        <v>0</v>
      </c>
      <c r="U173" t="s">
        <v>45</v>
      </c>
      <c r="V173" t="s">
        <v>24</v>
      </c>
      <c r="W173" t="s">
        <v>34</v>
      </c>
    </row>
    <row r="174" spans="1:23" x14ac:dyDescent="0.3">
      <c r="A174" t="s">
        <v>471</v>
      </c>
      <c r="B174" t="s">
        <v>61</v>
      </c>
      <c r="C174" t="s">
        <v>209</v>
      </c>
      <c r="D174" t="s">
        <v>125</v>
      </c>
      <c r="E174" t="s">
        <v>76</v>
      </c>
      <c r="F174" t="s">
        <v>77</v>
      </c>
      <c r="G174" t="s">
        <v>55</v>
      </c>
      <c r="H174" t="s">
        <v>19</v>
      </c>
      <c r="I174" t="str">
        <f>LEFT(H174,FIND(" (",H174)-1)</f>
        <v>Entry</v>
      </c>
      <c r="J174" t="str">
        <f>MID(H174,FIND("(",H174)+1,FIND(")",H174)-FIND("(",H174)-1)</f>
        <v>0-2 yrs</v>
      </c>
      <c r="L174">
        <v>69028</v>
      </c>
      <c r="M174" t="s">
        <v>472</v>
      </c>
      <c r="N174" t="s">
        <v>43</v>
      </c>
      <c r="O174" t="s">
        <v>44</v>
      </c>
      <c r="P174" s="1">
        <v>45329</v>
      </c>
      <c r="Q174">
        <v>2089</v>
      </c>
      <c r="R174">
        <v>3253</v>
      </c>
      <c r="S174" t="s">
        <v>23</v>
      </c>
      <c r="T174">
        <v>0</v>
      </c>
      <c r="U174" t="s">
        <v>58</v>
      </c>
      <c r="V174" t="s">
        <v>24</v>
      </c>
      <c r="W174" t="s">
        <v>34</v>
      </c>
    </row>
    <row r="175" spans="1:23" x14ac:dyDescent="0.3">
      <c r="A175" t="s">
        <v>473</v>
      </c>
      <c r="B175" t="s">
        <v>26</v>
      </c>
      <c r="C175" t="s">
        <v>107</v>
      </c>
      <c r="D175" t="s">
        <v>15</v>
      </c>
      <c r="E175" t="s">
        <v>29</v>
      </c>
      <c r="F175" t="s">
        <v>30</v>
      </c>
      <c r="G175" t="s">
        <v>41</v>
      </c>
      <c r="H175" t="s">
        <v>66</v>
      </c>
      <c r="I175" t="str">
        <f>LEFT(H175,FIND(" (",H175)-1)</f>
        <v>Senior</v>
      </c>
      <c r="J175" t="str">
        <f>MID(H175,FIND("(",H175)+1,FIND(")",H175)-FIND("(",H175)-1)</f>
        <v>5-8 yrs</v>
      </c>
      <c r="L175">
        <v>159211</v>
      </c>
      <c r="M175" t="s">
        <v>474</v>
      </c>
      <c r="N175" t="s">
        <v>68</v>
      </c>
      <c r="O175" t="s">
        <v>79</v>
      </c>
      <c r="P175" s="1">
        <v>45709</v>
      </c>
      <c r="Q175">
        <v>1903</v>
      </c>
      <c r="R175">
        <v>3494</v>
      </c>
      <c r="S175" t="s">
        <v>99</v>
      </c>
      <c r="T175">
        <v>4</v>
      </c>
      <c r="U175" t="s">
        <v>83</v>
      </c>
      <c r="V175" t="s">
        <v>24</v>
      </c>
      <c r="W175" t="s">
        <v>23</v>
      </c>
    </row>
    <row r="176" spans="1:23" x14ac:dyDescent="0.3">
      <c r="A176" t="s">
        <v>475</v>
      </c>
      <c r="B176" t="s">
        <v>85</v>
      </c>
      <c r="C176" t="s">
        <v>167</v>
      </c>
      <c r="D176" t="s">
        <v>49</v>
      </c>
      <c r="E176" t="s">
        <v>200</v>
      </c>
      <c r="F176" t="s">
        <v>201</v>
      </c>
      <c r="G176" t="s">
        <v>18</v>
      </c>
      <c r="H176" t="s">
        <v>56</v>
      </c>
      <c r="I176" t="str">
        <f>LEFT(H176,FIND(" (",H176)-1)</f>
        <v>Mid</v>
      </c>
      <c r="J176" t="str">
        <f>MID(H176,FIND("(",H176)+1,FIND(")",H176)-FIND("(",H176)-1)</f>
        <v>2-5 yrs</v>
      </c>
      <c r="L176">
        <v>115478</v>
      </c>
      <c r="M176" t="s">
        <v>476</v>
      </c>
      <c r="N176" t="s">
        <v>43</v>
      </c>
      <c r="O176" t="s">
        <v>44</v>
      </c>
      <c r="P176" s="1">
        <v>45546</v>
      </c>
      <c r="Q176">
        <v>1675</v>
      </c>
      <c r="R176">
        <v>1839</v>
      </c>
      <c r="S176" t="s">
        <v>34</v>
      </c>
      <c r="T176">
        <v>2</v>
      </c>
      <c r="U176" t="s">
        <v>52</v>
      </c>
      <c r="V176" t="s">
        <v>24</v>
      </c>
      <c r="W176" t="s">
        <v>34</v>
      </c>
    </row>
    <row r="177" spans="1:23" x14ac:dyDescent="0.3">
      <c r="A177" t="s">
        <v>477</v>
      </c>
      <c r="B177" t="s">
        <v>36</v>
      </c>
      <c r="C177" t="s">
        <v>158</v>
      </c>
      <c r="D177" t="s">
        <v>111</v>
      </c>
      <c r="E177" t="s">
        <v>5140</v>
      </c>
      <c r="F177" t="s">
        <v>5133</v>
      </c>
      <c r="G177" t="s">
        <v>18</v>
      </c>
      <c r="H177" t="s">
        <v>19</v>
      </c>
      <c r="I177" t="str">
        <f>LEFT(H177,FIND(" (",H177)-1)</f>
        <v>Entry</v>
      </c>
      <c r="J177" t="str">
        <f>MID(H177,FIND("(",H177)+1,FIND(")",H177)-FIND("(",H177)-1)</f>
        <v>0-2 yrs</v>
      </c>
      <c r="L177">
        <v>80422</v>
      </c>
      <c r="M177" t="s">
        <v>478</v>
      </c>
      <c r="N177" t="s">
        <v>89</v>
      </c>
      <c r="O177" t="s">
        <v>51</v>
      </c>
      <c r="P177" s="1">
        <v>45516</v>
      </c>
      <c r="Q177">
        <v>1223</v>
      </c>
      <c r="R177">
        <v>676</v>
      </c>
      <c r="S177" t="s">
        <v>23</v>
      </c>
      <c r="T177">
        <v>0</v>
      </c>
      <c r="U177" t="s">
        <v>5123</v>
      </c>
      <c r="V177" t="s">
        <v>24</v>
      </c>
      <c r="W177" t="s">
        <v>34</v>
      </c>
    </row>
    <row r="178" spans="1:23" x14ac:dyDescent="0.3">
      <c r="A178" t="s">
        <v>479</v>
      </c>
      <c r="B178" t="s">
        <v>13</v>
      </c>
      <c r="C178" t="s">
        <v>27</v>
      </c>
      <c r="D178" t="s">
        <v>111</v>
      </c>
      <c r="E178" t="s">
        <v>5132</v>
      </c>
      <c r="F178" t="s">
        <v>5133</v>
      </c>
      <c r="G178" t="s">
        <v>18</v>
      </c>
      <c r="H178" t="s">
        <v>19</v>
      </c>
      <c r="I178" t="str">
        <f>LEFT(H178,FIND(" (",H178)-1)</f>
        <v>Entry</v>
      </c>
      <c r="J178" t="str">
        <f>MID(H178,FIND("(",H178)+1,FIND(")",H178)-FIND("(",H178)-1)</f>
        <v>0-2 yrs</v>
      </c>
      <c r="L178">
        <v>70163</v>
      </c>
      <c r="M178" t="s">
        <v>480</v>
      </c>
      <c r="N178" t="s">
        <v>33</v>
      </c>
      <c r="O178" t="s">
        <v>79</v>
      </c>
      <c r="P178" s="1">
        <v>45484</v>
      </c>
      <c r="Q178">
        <v>2277</v>
      </c>
      <c r="R178">
        <v>2895</v>
      </c>
      <c r="S178" t="s">
        <v>34</v>
      </c>
      <c r="T178">
        <v>0</v>
      </c>
      <c r="U178" t="s">
        <v>52</v>
      </c>
      <c r="V178" t="s">
        <v>24</v>
      </c>
      <c r="W178" t="s">
        <v>34</v>
      </c>
    </row>
    <row r="179" spans="1:23" x14ac:dyDescent="0.3">
      <c r="A179" t="s">
        <v>481</v>
      </c>
      <c r="B179" t="s">
        <v>229</v>
      </c>
      <c r="C179" t="s">
        <v>179</v>
      </c>
      <c r="D179" t="s">
        <v>38</v>
      </c>
      <c r="E179" t="s">
        <v>5132</v>
      </c>
      <c r="F179" t="s">
        <v>5133</v>
      </c>
      <c r="G179" t="s">
        <v>18</v>
      </c>
      <c r="H179" t="s">
        <v>19</v>
      </c>
      <c r="I179" t="str">
        <f>LEFT(H179,FIND(" (",H179)-1)</f>
        <v>Entry</v>
      </c>
      <c r="J179" t="str">
        <f>MID(H179,FIND("(",H179)+1,FIND(")",H179)-FIND("(",H179)-1)</f>
        <v>0-2 yrs</v>
      </c>
      <c r="L179">
        <v>88314</v>
      </c>
      <c r="M179" t="s">
        <v>482</v>
      </c>
      <c r="N179" t="s">
        <v>33</v>
      </c>
      <c r="O179" t="s">
        <v>22</v>
      </c>
      <c r="P179" s="1">
        <v>45389</v>
      </c>
      <c r="Q179">
        <v>1909</v>
      </c>
      <c r="R179">
        <v>2351</v>
      </c>
      <c r="S179" t="s">
        <v>23</v>
      </c>
      <c r="T179">
        <v>0</v>
      </c>
      <c r="U179" t="s">
        <v>58</v>
      </c>
      <c r="V179" t="s">
        <v>24</v>
      </c>
      <c r="W179" t="s">
        <v>34</v>
      </c>
    </row>
    <row r="180" spans="1:23" x14ac:dyDescent="0.3">
      <c r="A180" t="s">
        <v>483</v>
      </c>
      <c r="B180" t="s">
        <v>329</v>
      </c>
      <c r="C180" t="s">
        <v>192</v>
      </c>
      <c r="D180" t="s">
        <v>49</v>
      </c>
      <c r="E180" t="s">
        <v>230</v>
      </c>
      <c r="F180" t="s">
        <v>231</v>
      </c>
      <c r="G180" t="s">
        <v>55</v>
      </c>
      <c r="H180" t="s">
        <v>19</v>
      </c>
      <c r="I180" t="str">
        <f>LEFT(H180,FIND(" (",H180)-1)</f>
        <v>Entry</v>
      </c>
      <c r="J180" t="str">
        <f>MID(H180,FIND("(",H180)+1,FIND(")",H180)-FIND("(",H180)-1)</f>
        <v>0-2 yrs</v>
      </c>
      <c r="L180">
        <v>66665</v>
      </c>
      <c r="M180" t="s">
        <v>484</v>
      </c>
      <c r="N180" t="s">
        <v>149</v>
      </c>
      <c r="O180" t="s">
        <v>51</v>
      </c>
      <c r="P180" s="1">
        <v>45612</v>
      </c>
      <c r="Q180">
        <v>1928</v>
      </c>
      <c r="R180">
        <v>1938</v>
      </c>
      <c r="S180" t="s">
        <v>23</v>
      </c>
      <c r="T180">
        <v>0</v>
      </c>
      <c r="U180" t="s">
        <v>45</v>
      </c>
      <c r="V180" t="s">
        <v>24</v>
      </c>
      <c r="W180" t="s">
        <v>23</v>
      </c>
    </row>
    <row r="181" spans="1:23" x14ac:dyDescent="0.3">
      <c r="A181" t="s">
        <v>485</v>
      </c>
      <c r="B181" t="s">
        <v>222</v>
      </c>
      <c r="C181" t="s">
        <v>37</v>
      </c>
      <c r="D181" t="s">
        <v>15</v>
      </c>
      <c r="E181" t="s">
        <v>5134</v>
      </c>
      <c r="F181" t="s">
        <v>5133</v>
      </c>
      <c r="G181" t="s">
        <v>18</v>
      </c>
      <c r="H181" t="s">
        <v>66</v>
      </c>
      <c r="I181" t="str">
        <f>LEFT(H181,FIND(" (",H181)-1)</f>
        <v>Senior</v>
      </c>
      <c r="J181" t="str">
        <f>MID(H181,FIND("(",H181)+1,FIND(")",H181)-FIND("(",H181)-1)</f>
        <v>5-8 yrs</v>
      </c>
      <c r="L181">
        <v>223444</v>
      </c>
      <c r="M181" t="s">
        <v>486</v>
      </c>
      <c r="N181" t="s">
        <v>33</v>
      </c>
      <c r="O181" t="s">
        <v>22</v>
      </c>
      <c r="P181" s="1">
        <v>45520</v>
      </c>
      <c r="Q181">
        <v>696</v>
      </c>
      <c r="R181">
        <v>361</v>
      </c>
      <c r="S181" t="s">
        <v>23</v>
      </c>
      <c r="T181">
        <v>4</v>
      </c>
      <c r="U181" t="s">
        <v>83</v>
      </c>
      <c r="V181" t="s">
        <v>24</v>
      </c>
      <c r="W181" t="s">
        <v>23</v>
      </c>
    </row>
    <row r="182" spans="1:23" x14ac:dyDescent="0.3">
      <c r="A182" t="s">
        <v>487</v>
      </c>
      <c r="B182" t="s">
        <v>91</v>
      </c>
      <c r="C182" t="s">
        <v>62</v>
      </c>
      <c r="D182" t="s">
        <v>111</v>
      </c>
      <c r="E182" t="s">
        <v>5134</v>
      </c>
      <c r="F182" t="s">
        <v>5133</v>
      </c>
      <c r="G182" t="s">
        <v>55</v>
      </c>
      <c r="H182" t="s">
        <v>19</v>
      </c>
      <c r="I182" t="str">
        <f>LEFT(H182,FIND(" (",H182)-1)</f>
        <v>Entry</v>
      </c>
      <c r="J182" t="str">
        <f>MID(H182,FIND("(",H182)+1,FIND(")",H182)-FIND("(",H182)-1)</f>
        <v>0-2 yrs</v>
      </c>
      <c r="L182">
        <v>77883</v>
      </c>
      <c r="M182" t="s">
        <v>488</v>
      </c>
      <c r="N182" t="s">
        <v>186</v>
      </c>
      <c r="O182" t="s">
        <v>79</v>
      </c>
      <c r="P182" s="1">
        <v>45506</v>
      </c>
      <c r="Q182">
        <v>903</v>
      </c>
      <c r="R182">
        <v>502</v>
      </c>
      <c r="S182" t="s">
        <v>99</v>
      </c>
      <c r="T182">
        <v>0</v>
      </c>
      <c r="U182" t="s">
        <v>58</v>
      </c>
      <c r="V182" t="s">
        <v>24</v>
      </c>
      <c r="W182" t="s">
        <v>23</v>
      </c>
    </row>
    <row r="183" spans="1:23" x14ac:dyDescent="0.3">
      <c r="A183" t="s">
        <v>489</v>
      </c>
      <c r="B183" t="s">
        <v>106</v>
      </c>
      <c r="C183" t="s">
        <v>110</v>
      </c>
      <c r="D183" t="s">
        <v>147</v>
      </c>
      <c r="E183" t="s">
        <v>64</v>
      </c>
      <c r="F183" t="s">
        <v>65</v>
      </c>
      <c r="G183" t="s">
        <v>18</v>
      </c>
      <c r="H183" t="s">
        <v>56</v>
      </c>
      <c r="I183" t="str">
        <f>LEFT(H183,FIND(" (",H183)-1)</f>
        <v>Mid</v>
      </c>
      <c r="J183" t="str">
        <f>MID(H183,FIND("(",H183)+1,FIND(")",H183)-FIND("(",H183)-1)</f>
        <v>2-5 yrs</v>
      </c>
      <c r="L183">
        <v>93028</v>
      </c>
      <c r="M183" t="s">
        <v>490</v>
      </c>
      <c r="N183" t="s">
        <v>149</v>
      </c>
      <c r="O183" t="s">
        <v>51</v>
      </c>
      <c r="P183" s="1">
        <v>45332</v>
      </c>
      <c r="Q183">
        <v>1635</v>
      </c>
      <c r="R183">
        <v>3518</v>
      </c>
      <c r="S183" t="s">
        <v>23</v>
      </c>
      <c r="T183">
        <v>2</v>
      </c>
      <c r="U183" t="s">
        <v>58</v>
      </c>
      <c r="V183" t="s">
        <v>59</v>
      </c>
      <c r="W183" t="s">
        <v>34</v>
      </c>
    </row>
    <row r="184" spans="1:23" x14ac:dyDescent="0.3">
      <c r="A184" t="s">
        <v>491</v>
      </c>
      <c r="B184" t="s">
        <v>85</v>
      </c>
      <c r="C184" t="s">
        <v>128</v>
      </c>
      <c r="D184" t="s">
        <v>75</v>
      </c>
      <c r="E184" t="s">
        <v>5137</v>
      </c>
      <c r="F184" t="s">
        <v>5138</v>
      </c>
      <c r="G184" t="s">
        <v>18</v>
      </c>
      <c r="H184" t="s">
        <v>31</v>
      </c>
      <c r="I184" t="str">
        <f>LEFT(H184,FIND(" (",H184)-1)</f>
        <v>Staff/Principal</v>
      </c>
      <c r="J184" t="str">
        <f>MID(H184,FIND("(",H184)+1,FIND(")",H184)-FIND("(",H184)-1)</f>
        <v>8+ yrs</v>
      </c>
      <c r="L184">
        <v>161447</v>
      </c>
      <c r="M184" t="s">
        <v>492</v>
      </c>
      <c r="N184" t="s">
        <v>33</v>
      </c>
      <c r="O184" t="s">
        <v>44</v>
      </c>
      <c r="P184" s="1">
        <v>45367</v>
      </c>
      <c r="Q184">
        <v>1983</v>
      </c>
      <c r="R184">
        <v>1091</v>
      </c>
      <c r="S184" t="s">
        <v>23</v>
      </c>
      <c r="T184">
        <v>6</v>
      </c>
      <c r="U184" t="s">
        <v>58</v>
      </c>
      <c r="V184" t="s">
        <v>24</v>
      </c>
      <c r="W184" t="s">
        <v>23</v>
      </c>
    </row>
    <row r="185" spans="1:23" x14ac:dyDescent="0.3">
      <c r="A185" t="s">
        <v>493</v>
      </c>
      <c r="B185" t="s">
        <v>222</v>
      </c>
      <c r="C185" t="s">
        <v>239</v>
      </c>
      <c r="D185" t="s">
        <v>28</v>
      </c>
      <c r="E185" t="s">
        <v>5134</v>
      </c>
      <c r="F185" t="s">
        <v>5133</v>
      </c>
      <c r="G185" t="s">
        <v>18</v>
      </c>
      <c r="H185" t="s">
        <v>66</v>
      </c>
      <c r="I185" t="str">
        <f>LEFT(H185,FIND(" (",H185)-1)</f>
        <v>Senior</v>
      </c>
      <c r="J185" t="str">
        <f>MID(H185,FIND("(",H185)+1,FIND(")",H185)-FIND("(",H185)-1)</f>
        <v>5-8 yrs</v>
      </c>
      <c r="L185">
        <v>163026</v>
      </c>
      <c r="M185" t="s">
        <v>494</v>
      </c>
      <c r="N185" t="s">
        <v>33</v>
      </c>
      <c r="O185" t="s">
        <v>44</v>
      </c>
      <c r="P185" s="1">
        <v>45603</v>
      </c>
      <c r="Q185">
        <v>382</v>
      </c>
      <c r="R185">
        <v>1393</v>
      </c>
      <c r="S185" t="s">
        <v>23</v>
      </c>
      <c r="T185">
        <v>4</v>
      </c>
      <c r="U185" t="s">
        <v>45</v>
      </c>
      <c r="V185" t="s">
        <v>24</v>
      </c>
      <c r="W185" t="s">
        <v>23</v>
      </c>
    </row>
    <row r="186" spans="1:23" x14ac:dyDescent="0.3">
      <c r="A186" t="s">
        <v>495</v>
      </c>
      <c r="B186" t="s">
        <v>13</v>
      </c>
      <c r="C186" t="s">
        <v>204</v>
      </c>
      <c r="D186" t="s">
        <v>63</v>
      </c>
      <c r="E186" t="s">
        <v>64</v>
      </c>
      <c r="F186" t="s">
        <v>65</v>
      </c>
      <c r="G186" t="s">
        <v>18</v>
      </c>
      <c r="H186" t="s">
        <v>56</v>
      </c>
      <c r="I186" t="str">
        <f>LEFT(H186,FIND(" (",H186)-1)</f>
        <v>Mid</v>
      </c>
      <c r="J186" t="str">
        <f>MID(H186,FIND("(",H186)+1,FIND(")",H186)-FIND("(",H186)-1)</f>
        <v>2-5 yrs</v>
      </c>
      <c r="L186">
        <v>105575</v>
      </c>
      <c r="M186" t="s">
        <v>496</v>
      </c>
      <c r="N186" t="s">
        <v>149</v>
      </c>
      <c r="O186" t="s">
        <v>22</v>
      </c>
      <c r="P186" s="1">
        <v>45672</v>
      </c>
      <c r="Q186">
        <v>1967</v>
      </c>
      <c r="R186">
        <v>3044</v>
      </c>
      <c r="S186" t="s">
        <v>23</v>
      </c>
      <c r="T186">
        <v>2</v>
      </c>
      <c r="U186" t="s">
        <v>83</v>
      </c>
      <c r="V186" t="s">
        <v>59</v>
      </c>
      <c r="W186" t="s">
        <v>23</v>
      </c>
    </row>
    <row r="187" spans="1:23" x14ac:dyDescent="0.3">
      <c r="A187" t="s">
        <v>497</v>
      </c>
      <c r="B187" t="s">
        <v>131</v>
      </c>
      <c r="C187" t="s">
        <v>116</v>
      </c>
      <c r="D187" t="s">
        <v>15</v>
      </c>
      <c r="E187" t="s">
        <v>5136</v>
      </c>
      <c r="F187" t="s">
        <v>5133</v>
      </c>
      <c r="G187" t="s">
        <v>18</v>
      </c>
      <c r="H187" t="s">
        <v>56</v>
      </c>
      <c r="I187" t="str">
        <f>LEFT(H187,FIND(" (",H187)-1)</f>
        <v>Mid</v>
      </c>
      <c r="J187" t="str">
        <f>MID(H187,FIND("(",H187)+1,FIND(")",H187)-FIND("(",H187)-1)</f>
        <v>2-5 yrs</v>
      </c>
      <c r="L187">
        <v>124137</v>
      </c>
      <c r="M187" t="s">
        <v>498</v>
      </c>
      <c r="N187" t="s">
        <v>245</v>
      </c>
      <c r="O187" t="s">
        <v>22</v>
      </c>
      <c r="P187" s="1">
        <v>45551</v>
      </c>
      <c r="Q187">
        <v>2169</v>
      </c>
      <c r="R187">
        <v>217</v>
      </c>
      <c r="S187" t="s">
        <v>99</v>
      </c>
      <c r="T187">
        <v>2</v>
      </c>
      <c r="U187" t="s">
        <v>52</v>
      </c>
      <c r="V187" t="s">
        <v>24</v>
      </c>
      <c r="W187" t="s">
        <v>23</v>
      </c>
    </row>
    <row r="188" spans="1:23" x14ac:dyDescent="0.3">
      <c r="A188" t="s">
        <v>499</v>
      </c>
      <c r="B188" t="s">
        <v>131</v>
      </c>
      <c r="C188" t="s">
        <v>226</v>
      </c>
      <c r="D188" t="s">
        <v>174</v>
      </c>
      <c r="E188" t="s">
        <v>5137</v>
      </c>
      <c r="F188" t="s">
        <v>5138</v>
      </c>
      <c r="G188" t="s">
        <v>41</v>
      </c>
      <c r="H188" t="s">
        <v>31</v>
      </c>
      <c r="I188" t="str">
        <f>LEFT(H188,FIND(" (",H188)-1)</f>
        <v>Staff/Principal</v>
      </c>
      <c r="J188" t="str">
        <f>MID(H188,FIND("(",H188)+1,FIND(")",H188)-FIND("(",H188)-1)</f>
        <v>8+ yrs</v>
      </c>
      <c r="L188">
        <v>217036</v>
      </c>
      <c r="M188" t="s">
        <v>500</v>
      </c>
      <c r="N188" t="s">
        <v>94</v>
      </c>
      <c r="O188" t="s">
        <v>22</v>
      </c>
      <c r="P188" s="1">
        <v>45415</v>
      </c>
      <c r="Q188">
        <v>1359</v>
      </c>
      <c r="R188">
        <v>3077</v>
      </c>
      <c r="S188" t="s">
        <v>23</v>
      </c>
      <c r="T188">
        <v>6</v>
      </c>
      <c r="U188" t="s">
        <v>5123</v>
      </c>
      <c r="V188" t="s">
        <v>24</v>
      </c>
      <c r="W188" t="s">
        <v>34</v>
      </c>
    </row>
    <row r="189" spans="1:23" x14ac:dyDescent="0.3">
      <c r="A189" t="s">
        <v>501</v>
      </c>
      <c r="B189" t="s">
        <v>222</v>
      </c>
      <c r="C189" t="s">
        <v>192</v>
      </c>
      <c r="D189" t="s">
        <v>125</v>
      </c>
      <c r="E189" t="s">
        <v>29</v>
      </c>
      <c r="F189" t="s">
        <v>30</v>
      </c>
      <c r="G189" t="s">
        <v>41</v>
      </c>
      <c r="H189" t="s">
        <v>56</v>
      </c>
      <c r="I189" t="str">
        <f>LEFT(H189,FIND(" (",H189)-1)</f>
        <v>Mid</v>
      </c>
      <c r="J189" t="str">
        <f>MID(H189,FIND("(",H189)+1,FIND(")",H189)-FIND("(",H189)-1)</f>
        <v>2-5 yrs</v>
      </c>
      <c r="L189">
        <v>108557</v>
      </c>
      <c r="M189" t="s">
        <v>502</v>
      </c>
      <c r="N189" t="s">
        <v>186</v>
      </c>
      <c r="O189" t="s">
        <v>51</v>
      </c>
      <c r="P189" s="1">
        <v>45638</v>
      </c>
      <c r="Q189">
        <v>334</v>
      </c>
      <c r="R189">
        <v>926</v>
      </c>
      <c r="S189" t="s">
        <v>23</v>
      </c>
      <c r="T189">
        <v>2</v>
      </c>
      <c r="U189" t="s">
        <v>45</v>
      </c>
      <c r="V189" t="s">
        <v>59</v>
      </c>
      <c r="W189" t="s">
        <v>23</v>
      </c>
    </row>
    <row r="190" spans="1:23" x14ac:dyDescent="0.3">
      <c r="A190" t="s">
        <v>503</v>
      </c>
      <c r="B190" t="s">
        <v>36</v>
      </c>
      <c r="C190" t="s">
        <v>54</v>
      </c>
      <c r="D190" t="s">
        <v>111</v>
      </c>
      <c r="E190" t="s">
        <v>5134</v>
      </c>
      <c r="F190" t="s">
        <v>5133</v>
      </c>
      <c r="G190" t="s">
        <v>55</v>
      </c>
      <c r="H190" t="s">
        <v>31</v>
      </c>
      <c r="I190" t="str">
        <f>LEFT(H190,FIND(" (",H190)-1)</f>
        <v>Staff/Principal</v>
      </c>
      <c r="J190" t="str">
        <f>MID(H190,FIND("(",H190)+1,FIND(")",H190)-FIND("(",H190)-1)</f>
        <v>8+ yrs</v>
      </c>
      <c r="L190">
        <v>169515</v>
      </c>
      <c r="M190" t="s">
        <v>504</v>
      </c>
      <c r="N190" t="s">
        <v>33</v>
      </c>
      <c r="O190" t="s">
        <v>22</v>
      </c>
      <c r="P190" s="1">
        <v>45527</v>
      </c>
      <c r="Q190">
        <v>2395</v>
      </c>
      <c r="R190">
        <v>2723</v>
      </c>
      <c r="S190" t="s">
        <v>99</v>
      </c>
      <c r="T190">
        <v>6</v>
      </c>
      <c r="U190" t="s">
        <v>45</v>
      </c>
      <c r="V190" t="s">
        <v>24</v>
      </c>
      <c r="W190" t="s">
        <v>23</v>
      </c>
    </row>
    <row r="191" spans="1:23" x14ac:dyDescent="0.3">
      <c r="A191" t="s">
        <v>505</v>
      </c>
      <c r="B191" t="s">
        <v>81</v>
      </c>
      <c r="C191" t="s">
        <v>97</v>
      </c>
      <c r="D191" t="s">
        <v>28</v>
      </c>
      <c r="E191" t="s">
        <v>5137</v>
      </c>
      <c r="F191" t="s">
        <v>5138</v>
      </c>
      <c r="G191" t="s">
        <v>41</v>
      </c>
      <c r="H191" t="s">
        <v>66</v>
      </c>
      <c r="I191" t="str">
        <f>LEFT(H191,FIND(" (",H191)-1)</f>
        <v>Senior</v>
      </c>
      <c r="J191" t="str">
        <f>MID(H191,FIND("(",H191)+1,FIND(")",H191)-FIND("(",H191)-1)</f>
        <v>5-8 yrs</v>
      </c>
      <c r="L191">
        <v>109099</v>
      </c>
      <c r="M191" t="s">
        <v>506</v>
      </c>
      <c r="N191" t="s">
        <v>33</v>
      </c>
      <c r="O191" t="s">
        <v>22</v>
      </c>
      <c r="P191" s="1">
        <v>45464</v>
      </c>
      <c r="Q191">
        <v>2418</v>
      </c>
      <c r="R191">
        <v>3145</v>
      </c>
      <c r="S191" t="s">
        <v>34</v>
      </c>
      <c r="T191">
        <v>4</v>
      </c>
      <c r="U191" t="s">
        <v>5123</v>
      </c>
      <c r="V191" t="s">
        <v>59</v>
      </c>
      <c r="W191" t="s">
        <v>23</v>
      </c>
    </row>
    <row r="192" spans="1:23" x14ac:dyDescent="0.3">
      <c r="A192" t="s">
        <v>507</v>
      </c>
      <c r="B192" t="s">
        <v>85</v>
      </c>
      <c r="C192" t="s">
        <v>54</v>
      </c>
      <c r="D192" t="s">
        <v>147</v>
      </c>
      <c r="E192" t="s">
        <v>5132</v>
      </c>
      <c r="F192" t="s">
        <v>5133</v>
      </c>
      <c r="G192" t="s">
        <v>41</v>
      </c>
      <c r="H192" t="s">
        <v>31</v>
      </c>
      <c r="I192" t="str">
        <f>LEFT(H192,FIND(" (",H192)-1)</f>
        <v>Staff/Principal</v>
      </c>
      <c r="J192" t="str">
        <f>MID(H192,FIND("(",H192)+1,FIND(")",H192)-FIND("(",H192)-1)</f>
        <v>8+ yrs</v>
      </c>
      <c r="L192">
        <v>183925</v>
      </c>
      <c r="M192" t="s">
        <v>508</v>
      </c>
      <c r="N192" t="s">
        <v>141</v>
      </c>
      <c r="O192" t="s">
        <v>44</v>
      </c>
      <c r="P192" s="1">
        <v>45661</v>
      </c>
      <c r="Q192">
        <v>1077</v>
      </c>
      <c r="R192">
        <v>1415</v>
      </c>
      <c r="S192" t="s">
        <v>23</v>
      </c>
      <c r="T192">
        <v>6</v>
      </c>
      <c r="U192" t="s">
        <v>52</v>
      </c>
      <c r="V192" t="s">
        <v>24</v>
      </c>
      <c r="W192" t="s">
        <v>23</v>
      </c>
    </row>
    <row r="193" spans="1:23" x14ac:dyDescent="0.3">
      <c r="A193" t="s">
        <v>509</v>
      </c>
      <c r="B193" t="s">
        <v>96</v>
      </c>
      <c r="C193" t="s">
        <v>74</v>
      </c>
      <c r="D193" t="s">
        <v>125</v>
      </c>
      <c r="E193" t="s">
        <v>76</v>
      </c>
      <c r="F193" t="s">
        <v>77</v>
      </c>
      <c r="G193" t="s">
        <v>18</v>
      </c>
      <c r="H193" t="s">
        <v>66</v>
      </c>
      <c r="I193" t="str">
        <f>LEFT(H193,FIND(" (",H193)-1)</f>
        <v>Senior</v>
      </c>
      <c r="J193" t="str">
        <f>MID(H193,FIND("(",H193)+1,FIND(")",H193)-FIND("(",H193)-1)</f>
        <v>5-8 yrs</v>
      </c>
      <c r="L193">
        <v>173122</v>
      </c>
      <c r="M193" t="s">
        <v>510</v>
      </c>
      <c r="N193" t="s">
        <v>33</v>
      </c>
      <c r="O193" t="s">
        <v>79</v>
      </c>
      <c r="P193" s="1">
        <v>45379</v>
      </c>
      <c r="Q193">
        <v>1674</v>
      </c>
      <c r="R193">
        <v>2690</v>
      </c>
      <c r="S193" t="s">
        <v>34</v>
      </c>
      <c r="T193">
        <v>4</v>
      </c>
      <c r="U193" t="s">
        <v>45</v>
      </c>
      <c r="V193" t="s">
        <v>24</v>
      </c>
      <c r="W193" t="s">
        <v>23</v>
      </c>
    </row>
    <row r="194" spans="1:23" x14ac:dyDescent="0.3">
      <c r="A194" t="s">
        <v>511</v>
      </c>
      <c r="B194" t="s">
        <v>329</v>
      </c>
      <c r="C194" t="s">
        <v>110</v>
      </c>
      <c r="D194" t="s">
        <v>63</v>
      </c>
      <c r="E194" t="s">
        <v>5141</v>
      </c>
      <c r="F194" t="s">
        <v>5133</v>
      </c>
      <c r="G194" t="s">
        <v>18</v>
      </c>
      <c r="H194" t="s">
        <v>66</v>
      </c>
      <c r="I194" t="str">
        <f>LEFT(H194,FIND(" (",H194)-1)</f>
        <v>Senior</v>
      </c>
      <c r="J194" t="str">
        <f>MID(H194,FIND("(",H194)+1,FIND(")",H194)-FIND("(",H194)-1)</f>
        <v>5-8 yrs</v>
      </c>
      <c r="L194">
        <v>155780</v>
      </c>
      <c r="M194" t="s">
        <v>512</v>
      </c>
      <c r="N194" t="s">
        <v>21</v>
      </c>
      <c r="O194" t="s">
        <v>44</v>
      </c>
      <c r="P194" s="1">
        <v>45442</v>
      </c>
      <c r="Q194">
        <v>2349</v>
      </c>
      <c r="R194">
        <v>500</v>
      </c>
      <c r="S194" t="s">
        <v>99</v>
      </c>
      <c r="T194">
        <v>4</v>
      </c>
      <c r="U194" t="s">
        <v>58</v>
      </c>
      <c r="V194" t="s">
        <v>24</v>
      </c>
      <c r="W194" t="s">
        <v>34</v>
      </c>
    </row>
    <row r="195" spans="1:23" x14ac:dyDescent="0.3">
      <c r="A195" t="s">
        <v>513</v>
      </c>
      <c r="B195" t="s">
        <v>61</v>
      </c>
      <c r="C195" t="s">
        <v>27</v>
      </c>
      <c r="D195" t="s">
        <v>15</v>
      </c>
      <c r="E195" t="s">
        <v>87</v>
      </c>
      <c r="F195" t="s">
        <v>87</v>
      </c>
      <c r="G195" t="s">
        <v>18</v>
      </c>
      <c r="H195" t="s">
        <v>56</v>
      </c>
      <c r="I195" t="str">
        <f>LEFT(H195,FIND(" (",H195)-1)</f>
        <v>Mid</v>
      </c>
      <c r="J195" t="str">
        <f>MID(H195,FIND("(",H195)+1,FIND(")",H195)-FIND("(",H195)-1)</f>
        <v>2-5 yrs</v>
      </c>
      <c r="L195">
        <v>85334</v>
      </c>
      <c r="M195" t="s">
        <v>514</v>
      </c>
      <c r="N195" t="s">
        <v>68</v>
      </c>
      <c r="O195" t="s">
        <v>22</v>
      </c>
      <c r="P195" s="1">
        <v>45583</v>
      </c>
      <c r="Q195">
        <v>1420</v>
      </c>
      <c r="R195">
        <v>867</v>
      </c>
      <c r="S195" t="s">
        <v>23</v>
      </c>
      <c r="T195">
        <v>2</v>
      </c>
      <c r="U195" t="s">
        <v>52</v>
      </c>
      <c r="V195" t="s">
        <v>24</v>
      </c>
      <c r="W195" t="s">
        <v>34</v>
      </c>
    </row>
    <row r="196" spans="1:23" x14ac:dyDescent="0.3">
      <c r="A196" t="s">
        <v>515</v>
      </c>
      <c r="B196" t="s">
        <v>70</v>
      </c>
      <c r="C196" t="s">
        <v>124</v>
      </c>
      <c r="D196" t="s">
        <v>174</v>
      </c>
      <c r="E196" t="s">
        <v>216</v>
      </c>
      <c r="F196" t="s">
        <v>217</v>
      </c>
      <c r="G196" t="s">
        <v>18</v>
      </c>
      <c r="H196" t="s">
        <v>56</v>
      </c>
      <c r="I196" t="str">
        <f>LEFT(H196,FIND(" (",H196)-1)</f>
        <v>Mid</v>
      </c>
      <c r="J196" t="str">
        <f>MID(H196,FIND("(",H196)+1,FIND(")",H196)-FIND("(",H196)-1)</f>
        <v>2-5 yrs</v>
      </c>
      <c r="L196">
        <v>113428</v>
      </c>
      <c r="M196" t="s">
        <v>516</v>
      </c>
      <c r="N196" t="s">
        <v>43</v>
      </c>
      <c r="O196" t="s">
        <v>44</v>
      </c>
      <c r="P196" s="1">
        <v>45511</v>
      </c>
      <c r="Q196">
        <v>2475</v>
      </c>
      <c r="R196">
        <v>790</v>
      </c>
      <c r="S196" t="s">
        <v>34</v>
      </c>
      <c r="T196">
        <v>2</v>
      </c>
      <c r="U196" t="s">
        <v>5123</v>
      </c>
      <c r="V196" t="s">
        <v>24</v>
      </c>
      <c r="W196" t="s">
        <v>34</v>
      </c>
    </row>
    <row r="197" spans="1:23" x14ac:dyDescent="0.3">
      <c r="A197" t="s">
        <v>517</v>
      </c>
      <c r="B197" t="s">
        <v>225</v>
      </c>
      <c r="C197" t="s">
        <v>195</v>
      </c>
      <c r="D197" t="s">
        <v>75</v>
      </c>
      <c r="E197" t="s">
        <v>64</v>
      </c>
      <c r="F197" t="s">
        <v>65</v>
      </c>
      <c r="G197" t="s">
        <v>18</v>
      </c>
      <c r="H197" t="s">
        <v>66</v>
      </c>
      <c r="I197" t="str">
        <f>LEFT(H197,FIND(" (",H197)-1)</f>
        <v>Senior</v>
      </c>
      <c r="J197" t="str">
        <f>MID(H197,FIND("(",H197)+1,FIND(")",H197)-FIND("(",H197)-1)</f>
        <v>5-8 yrs</v>
      </c>
      <c r="L197">
        <v>160403</v>
      </c>
      <c r="M197" t="s">
        <v>518</v>
      </c>
      <c r="N197" t="s">
        <v>33</v>
      </c>
      <c r="O197" t="s">
        <v>51</v>
      </c>
      <c r="P197" s="1">
        <v>45549</v>
      </c>
      <c r="Q197">
        <v>848</v>
      </c>
      <c r="R197">
        <v>1413</v>
      </c>
      <c r="S197" t="s">
        <v>99</v>
      </c>
      <c r="T197">
        <v>4</v>
      </c>
      <c r="U197" t="s">
        <v>58</v>
      </c>
      <c r="V197" t="s">
        <v>24</v>
      </c>
      <c r="W197" t="s">
        <v>34</v>
      </c>
    </row>
    <row r="198" spans="1:23" x14ac:dyDescent="0.3">
      <c r="A198" t="s">
        <v>519</v>
      </c>
      <c r="B198" t="s">
        <v>137</v>
      </c>
      <c r="C198" t="s">
        <v>182</v>
      </c>
      <c r="D198" t="s">
        <v>15</v>
      </c>
      <c r="E198" t="s">
        <v>29</v>
      </c>
      <c r="F198" t="s">
        <v>30</v>
      </c>
      <c r="G198" t="s">
        <v>18</v>
      </c>
      <c r="H198" t="s">
        <v>19</v>
      </c>
      <c r="I198" t="str">
        <f>LEFT(H198,FIND(" (",H198)-1)</f>
        <v>Entry</v>
      </c>
      <c r="J198" t="str">
        <f>MID(H198,FIND("(",H198)+1,FIND(")",H198)-FIND("(",H198)-1)</f>
        <v>0-2 yrs</v>
      </c>
      <c r="L198">
        <v>58863</v>
      </c>
      <c r="M198" t="s">
        <v>520</v>
      </c>
      <c r="N198" t="s">
        <v>43</v>
      </c>
      <c r="O198" t="s">
        <v>51</v>
      </c>
      <c r="P198" s="1">
        <v>45359</v>
      </c>
      <c r="Q198">
        <v>1347</v>
      </c>
      <c r="R198">
        <v>3169</v>
      </c>
      <c r="S198" t="s">
        <v>23</v>
      </c>
      <c r="T198">
        <v>0</v>
      </c>
      <c r="U198" t="s">
        <v>5123</v>
      </c>
      <c r="V198" t="s">
        <v>24</v>
      </c>
      <c r="W198" t="s">
        <v>34</v>
      </c>
    </row>
    <row r="199" spans="1:23" x14ac:dyDescent="0.3">
      <c r="A199" t="s">
        <v>521</v>
      </c>
      <c r="B199" t="s">
        <v>13</v>
      </c>
      <c r="C199" t="s">
        <v>179</v>
      </c>
      <c r="D199" t="s">
        <v>147</v>
      </c>
      <c r="E199" t="s">
        <v>5135</v>
      </c>
      <c r="F199" t="s">
        <v>5133</v>
      </c>
      <c r="G199" t="s">
        <v>41</v>
      </c>
      <c r="H199" t="s">
        <v>19</v>
      </c>
      <c r="I199" t="str">
        <f>LEFT(H199,FIND(" (",H199)-1)</f>
        <v>Entry</v>
      </c>
      <c r="J199" t="str">
        <f>MID(H199,FIND("(",H199)+1,FIND(")",H199)-FIND("(",H199)-1)</f>
        <v>0-2 yrs</v>
      </c>
      <c r="L199">
        <v>71936</v>
      </c>
      <c r="M199" t="s">
        <v>522</v>
      </c>
      <c r="N199" t="s">
        <v>186</v>
      </c>
      <c r="O199" t="s">
        <v>51</v>
      </c>
      <c r="P199" s="1">
        <v>45505</v>
      </c>
      <c r="Q199">
        <v>2431</v>
      </c>
      <c r="R199">
        <v>1115</v>
      </c>
      <c r="S199" t="s">
        <v>23</v>
      </c>
      <c r="T199">
        <v>0</v>
      </c>
      <c r="U199" t="s">
        <v>52</v>
      </c>
      <c r="V199" t="s">
        <v>24</v>
      </c>
      <c r="W199" t="s">
        <v>23</v>
      </c>
    </row>
    <row r="200" spans="1:23" x14ac:dyDescent="0.3">
      <c r="A200" t="s">
        <v>523</v>
      </c>
      <c r="B200" t="s">
        <v>131</v>
      </c>
      <c r="C200" t="s">
        <v>226</v>
      </c>
      <c r="D200" t="s">
        <v>147</v>
      </c>
      <c r="E200" t="s">
        <v>230</v>
      </c>
      <c r="F200" t="s">
        <v>231</v>
      </c>
      <c r="G200" t="s">
        <v>18</v>
      </c>
      <c r="H200" t="s">
        <v>19</v>
      </c>
      <c r="I200" t="str">
        <f>LEFT(H200,FIND(" (",H200)-1)</f>
        <v>Entry</v>
      </c>
      <c r="J200" t="str">
        <f>MID(H200,FIND("(",H200)+1,FIND(")",H200)-FIND("(",H200)-1)</f>
        <v>0-2 yrs</v>
      </c>
      <c r="L200">
        <v>70733</v>
      </c>
      <c r="M200" t="s">
        <v>524</v>
      </c>
      <c r="N200" t="s">
        <v>33</v>
      </c>
      <c r="O200" t="s">
        <v>22</v>
      </c>
      <c r="P200" s="1">
        <v>45346</v>
      </c>
      <c r="Q200">
        <v>461</v>
      </c>
      <c r="R200">
        <v>2255</v>
      </c>
      <c r="S200" t="s">
        <v>23</v>
      </c>
      <c r="T200">
        <v>0</v>
      </c>
      <c r="U200" t="s">
        <v>52</v>
      </c>
      <c r="V200" t="s">
        <v>24</v>
      </c>
      <c r="W200" t="s">
        <v>23</v>
      </c>
    </row>
    <row r="201" spans="1:23" x14ac:dyDescent="0.3">
      <c r="A201" t="s">
        <v>525</v>
      </c>
      <c r="B201" t="s">
        <v>91</v>
      </c>
      <c r="C201" t="s">
        <v>101</v>
      </c>
      <c r="D201" t="s">
        <v>28</v>
      </c>
      <c r="E201" t="s">
        <v>5140</v>
      </c>
      <c r="F201" t="s">
        <v>5133</v>
      </c>
      <c r="G201" t="s">
        <v>41</v>
      </c>
      <c r="H201" t="s">
        <v>19</v>
      </c>
      <c r="I201" t="str">
        <f>LEFT(H201,FIND(" (",H201)-1)</f>
        <v>Entry</v>
      </c>
      <c r="J201" t="str">
        <f>MID(H201,FIND("(",H201)+1,FIND(")",H201)-FIND("(",H201)-1)</f>
        <v>0-2 yrs</v>
      </c>
      <c r="L201">
        <v>55598</v>
      </c>
      <c r="M201" t="s">
        <v>526</v>
      </c>
      <c r="N201" t="s">
        <v>33</v>
      </c>
      <c r="O201" t="s">
        <v>51</v>
      </c>
      <c r="P201" s="1">
        <v>45348</v>
      </c>
      <c r="Q201">
        <v>2170</v>
      </c>
      <c r="R201">
        <v>1222</v>
      </c>
      <c r="S201" t="s">
        <v>23</v>
      </c>
      <c r="T201">
        <v>0</v>
      </c>
      <c r="U201" t="s">
        <v>5123</v>
      </c>
      <c r="V201" t="s">
        <v>24</v>
      </c>
      <c r="W201" t="s">
        <v>34</v>
      </c>
    </row>
    <row r="202" spans="1:23" x14ac:dyDescent="0.3">
      <c r="A202" t="s">
        <v>527</v>
      </c>
      <c r="B202" t="s">
        <v>229</v>
      </c>
      <c r="C202" t="s">
        <v>48</v>
      </c>
      <c r="D202" t="s">
        <v>125</v>
      </c>
      <c r="E202" t="s">
        <v>5141</v>
      </c>
      <c r="F202" t="s">
        <v>5133</v>
      </c>
      <c r="G202" t="s">
        <v>55</v>
      </c>
      <c r="H202" t="s">
        <v>66</v>
      </c>
      <c r="I202" t="str">
        <f>LEFT(H202,FIND(" (",H202)-1)</f>
        <v>Senior</v>
      </c>
      <c r="J202" t="str">
        <f>MID(H202,FIND("(",H202)+1,FIND(")",H202)-FIND("(",H202)-1)</f>
        <v>5-8 yrs</v>
      </c>
      <c r="L202">
        <v>159660</v>
      </c>
      <c r="M202" t="s">
        <v>528</v>
      </c>
      <c r="N202" t="s">
        <v>33</v>
      </c>
      <c r="O202" t="s">
        <v>51</v>
      </c>
      <c r="P202" s="1">
        <v>45452</v>
      </c>
      <c r="Q202">
        <v>2092</v>
      </c>
      <c r="R202">
        <v>3922</v>
      </c>
      <c r="S202" t="s">
        <v>23</v>
      </c>
      <c r="T202">
        <v>4</v>
      </c>
      <c r="U202" t="s">
        <v>5123</v>
      </c>
      <c r="V202" t="s">
        <v>24</v>
      </c>
      <c r="W202" t="s">
        <v>34</v>
      </c>
    </row>
    <row r="203" spans="1:23" x14ac:dyDescent="0.3">
      <c r="A203" t="s">
        <v>529</v>
      </c>
      <c r="B203" t="s">
        <v>13</v>
      </c>
      <c r="C203" t="s">
        <v>167</v>
      </c>
      <c r="D203" t="s">
        <v>49</v>
      </c>
      <c r="E203" t="s">
        <v>5134</v>
      </c>
      <c r="F203" t="s">
        <v>5133</v>
      </c>
      <c r="G203" t="s">
        <v>55</v>
      </c>
      <c r="H203" t="s">
        <v>31</v>
      </c>
      <c r="I203" t="str">
        <f>LEFT(H203,FIND(" (",H203)-1)</f>
        <v>Staff/Principal</v>
      </c>
      <c r="J203" t="str">
        <f>MID(H203,FIND("(",H203)+1,FIND(")",H203)-FIND("(",H203)-1)</f>
        <v>8+ yrs</v>
      </c>
      <c r="L203">
        <v>220188</v>
      </c>
      <c r="M203" t="s">
        <v>530</v>
      </c>
      <c r="N203" t="s">
        <v>33</v>
      </c>
      <c r="O203" t="s">
        <v>22</v>
      </c>
      <c r="P203" s="1">
        <v>45431</v>
      </c>
      <c r="Q203">
        <v>540</v>
      </c>
      <c r="R203">
        <v>3870</v>
      </c>
      <c r="S203" t="s">
        <v>23</v>
      </c>
      <c r="T203">
        <v>6</v>
      </c>
      <c r="U203" t="s">
        <v>5123</v>
      </c>
      <c r="V203" t="s">
        <v>24</v>
      </c>
      <c r="W203" t="s">
        <v>23</v>
      </c>
    </row>
    <row r="204" spans="1:23" x14ac:dyDescent="0.3">
      <c r="A204" t="s">
        <v>531</v>
      </c>
      <c r="B204" t="s">
        <v>143</v>
      </c>
      <c r="C204" t="s">
        <v>86</v>
      </c>
      <c r="D204" t="s">
        <v>125</v>
      </c>
      <c r="E204" t="s">
        <v>102</v>
      </c>
      <c r="F204" t="s">
        <v>103</v>
      </c>
      <c r="G204" t="s">
        <v>41</v>
      </c>
      <c r="H204" t="s">
        <v>31</v>
      </c>
      <c r="I204" t="str">
        <f>LEFT(H204,FIND(" (",H204)-1)</f>
        <v>Staff/Principal</v>
      </c>
      <c r="J204" t="str">
        <f>MID(H204,FIND("(",H204)+1,FIND(")",H204)-FIND("(",H204)-1)</f>
        <v>8+ yrs</v>
      </c>
      <c r="L204">
        <v>238989</v>
      </c>
      <c r="M204" t="s">
        <v>532</v>
      </c>
      <c r="N204" t="s">
        <v>33</v>
      </c>
      <c r="O204" t="s">
        <v>51</v>
      </c>
      <c r="P204" s="1">
        <v>45690</v>
      </c>
      <c r="Q204">
        <v>2299</v>
      </c>
      <c r="R204">
        <v>472</v>
      </c>
      <c r="S204" t="s">
        <v>99</v>
      </c>
      <c r="T204">
        <v>6</v>
      </c>
      <c r="U204" t="s">
        <v>58</v>
      </c>
      <c r="V204" t="s">
        <v>24</v>
      </c>
      <c r="W204" t="s">
        <v>34</v>
      </c>
    </row>
    <row r="205" spans="1:23" x14ac:dyDescent="0.3">
      <c r="A205" t="s">
        <v>533</v>
      </c>
      <c r="B205" t="s">
        <v>236</v>
      </c>
      <c r="C205" t="s">
        <v>48</v>
      </c>
      <c r="D205" t="s">
        <v>38</v>
      </c>
      <c r="E205" t="s">
        <v>76</v>
      </c>
      <c r="F205" t="s">
        <v>77</v>
      </c>
      <c r="G205" t="s">
        <v>41</v>
      </c>
      <c r="H205" t="s">
        <v>19</v>
      </c>
      <c r="I205" t="str">
        <f>LEFT(H205,FIND(" (",H205)-1)</f>
        <v>Entry</v>
      </c>
      <c r="J205" t="str">
        <f>MID(H205,FIND("(",H205)+1,FIND(")",H205)-FIND("(",H205)-1)</f>
        <v>0-2 yrs</v>
      </c>
      <c r="L205">
        <v>83277</v>
      </c>
      <c r="M205" t="s">
        <v>534</v>
      </c>
      <c r="N205" t="s">
        <v>141</v>
      </c>
      <c r="O205" t="s">
        <v>51</v>
      </c>
      <c r="P205" s="1">
        <v>45587</v>
      </c>
      <c r="Q205">
        <v>1876</v>
      </c>
      <c r="R205">
        <v>618</v>
      </c>
      <c r="S205" t="s">
        <v>23</v>
      </c>
      <c r="T205">
        <v>0</v>
      </c>
      <c r="U205" t="s">
        <v>83</v>
      </c>
      <c r="V205" t="s">
        <v>59</v>
      </c>
      <c r="W205" t="s">
        <v>23</v>
      </c>
    </row>
    <row r="206" spans="1:23" x14ac:dyDescent="0.3">
      <c r="A206" t="s">
        <v>535</v>
      </c>
      <c r="B206" t="s">
        <v>151</v>
      </c>
      <c r="C206" t="s">
        <v>132</v>
      </c>
      <c r="D206" t="s">
        <v>75</v>
      </c>
      <c r="E206" t="s">
        <v>76</v>
      </c>
      <c r="F206" t="s">
        <v>77</v>
      </c>
      <c r="G206" t="s">
        <v>55</v>
      </c>
      <c r="H206" t="s">
        <v>56</v>
      </c>
      <c r="I206" t="str">
        <f>LEFT(H206,FIND(" (",H206)-1)</f>
        <v>Mid</v>
      </c>
      <c r="J206" t="str">
        <f>MID(H206,FIND("(",H206)+1,FIND(")",H206)-FIND("(",H206)-1)</f>
        <v>2-5 yrs</v>
      </c>
      <c r="L206">
        <v>82722</v>
      </c>
      <c r="M206" t="s">
        <v>536</v>
      </c>
      <c r="N206" t="s">
        <v>120</v>
      </c>
      <c r="O206" t="s">
        <v>22</v>
      </c>
      <c r="P206" s="1">
        <v>45728</v>
      </c>
      <c r="Q206">
        <v>1850</v>
      </c>
      <c r="R206">
        <v>1661</v>
      </c>
      <c r="S206" t="s">
        <v>23</v>
      </c>
      <c r="T206">
        <v>2</v>
      </c>
      <c r="U206" t="s">
        <v>5123</v>
      </c>
      <c r="V206" t="s">
        <v>24</v>
      </c>
      <c r="W206" t="s">
        <v>23</v>
      </c>
    </row>
    <row r="207" spans="1:23" x14ac:dyDescent="0.3">
      <c r="A207" t="s">
        <v>537</v>
      </c>
      <c r="B207" t="s">
        <v>172</v>
      </c>
      <c r="C207" t="s">
        <v>124</v>
      </c>
      <c r="D207" t="s">
        <v>49</v>
      </c>
      <c r="E207" t="s">
        <v>159</v>
      </c>
      <c r="F207" t="s">
        <v>160</v>
      </c>
      <c r="G207" t="s">
        <v>18</v>
      </c>
      <c r="H207" t="s">
        <v>19</v>
      </c>
      <c r="I207" t="str">
        <f>LEFT(H207,FIND(" (",H207)-1)</f>
        <v>Entry</v>
      </c>
      <c r="J207" t="str">
        <f>MID(H207,FIND("(",H207)+1,FIND(")",H207)-FIND("(",H207)-1)</f>
        <v>0-2 yrs</v>
      </c>
      <c r="L207">
        <v>58183</v>
      </c>
      <c r="M207" t="s">
        <v>538</v>
      </c>
      <c r="N207" t="s">
        <v>94</v>
      </c>
      <c r="O207" t="s">
        <v>44</v>
      </c>
      <c r="P207" s="1">
        <v>45352</v>
      </c>
      <c r="Q207">
        <v>1547</v>
      </c>
      <c r="R207">
        <v>3655</v>
      </c>
      <c r="S207" t="s">
        <v>23</v>
      </c>
      <c r="T207">
        <v>0</v>
      </c>
      <c r="U207" t="s">
        <v>52</v>
      </c>
      <c r="V207" t="s">
        <v>24</v>
      </c>
      <c r="W207" t="s">
        <v>23</v>
      </c>
    </row>
    <row r="208" spans="1:23" x14ac:dyDescent="0.3">
      <c r="A208" t="s">
        <v>539</v>
      </c>
      <c r="B208" t="s">
        <v>236</v>
      </c>
      <c r="C208" t="s">
        <v>226</v>
      </c>
      <c r="D208" t="s">
        <v>63</v>
      </c>
      <c r="E208" t="s">
        <v>5135</v>
      </c>
      <c r="F208" t="s">
        <v>5133</v>
      </c>
      <c r="G208" t="s">
        <v>55</v>
      </c>
      <c r="H208" t="s">
        <v>66</v>
      </c>
      <c r="I208" t="str">
        <f>LEFT(H208,FIND(" (",H208)-1)</f>
        <v>Senior</v>
      </c>
      <c r="J208" t="str">
        <f>MID(H208,FIND("(",H208)+1,FIND(")",H208)-FIND("(",H208)-1)</f>
        <v>5-8 yrs</v>
      </c>
      <c r="L208">
        <v>163905</v>
      </c>
      <c r="M208" t="s">
        <v>540</v>
      </c>
      <c r="N208" t="s">
        <v>33</v>
      </c>
      <c r="O208" t="s">
        <v>22</v>
      </c>
      <c r="P208" s="1">
        <v>45724</v>
      </c>
      <c r="Q208">
        <v>1208</v>
      </c>
      <c r="R208">
        <v>18</v>
      </c>
      <c r="S208" t="s">
        <v>23</v>
      </c>
      <c r="T208">
        <v>4</v>
      </c>
      <c r="U208" t="s">
        <v>45</v>
      </c>
      <c r="V208" t="s">
        <v>24</v>
      </c>
      <c r="W208" t="s">
        <v>34</v>
      </c>
    </row>
    <row r="209" spans="1:23" x14ac:dyDescent="0.3">
      <c r="A209" t="s">
        <v>541</v>
      </c>
      <c r="B209" t="s">
        <v>13</v>
      </c>
      <c r="C209" t="s">
        <v>54</v>
      </c>
      <c r="D209" t="s">
        <v>38</v>
      </c>
      <c r="E209" t="s">
        <v>102</v>
      </c>
      <c r="F209" t="s">
        <v>103</v>
      </c>
      <c r="G209" t="s">
        <v>41</v>
      </c>
      <c r="H209" t="s">
        <v>19</v>
      </c>
      <c r="I209" t="str">
        <f>LEFT(H209,FIND(" (",H209)-1)</f>
        <v>Entry</v>
      </c>
      <c r="J209" t="str">
        <f>MID(H209,FIND("(",H209)+1,FIND(")",H209)-FIND("(",H209)-1)</f>
        <v>0-2 yrs</v>
      </c>
      <c r="L209">
        <v>76473</v>
      </c>
      <c r="M209" t="s">
        <v>542</v>
      </c>
      <c r="N209" t="s">
        <v>33</v>
      </c>
      <c r="O209" t="s">
        <v>51</v>
      </c>
      <c r="P209" s="1">
        <v>45712</v>
      </c>
      <c r="Q209">
        <v>1080</v>
      </c>
      <c r="R209">
        <v>2945</v>
      </c>
      <c r="S209" t="s">
        <v>23</v>
      </c>
      <c r="T209">
        <v>0</v>
      </c>
      <c r="U209" t="s">
        <v>58</v>
      </c>
      <c r="V209" t="s">
        <v>24</v>
      </c>
      <c r="W209" t="s">
        <v>23</v>
      </c>
    </row>
    <row r="210" spans="1:23" x14ac:dyDescent="0.3">
      <c r="A210" t="s">
        <v>543</v>
      </c>
      <c r="B210" t="s">
        <v>143</v>
      </c>
      <c r="C210" t="s">
        <v>116</v>
      </c>
      <c r="D210" t="s">
        <v>111</v>
      </c>
      <c r="E210" t="s">
        <v>39</v>
      </c>
      <c r="F210" t="s">
        <v>40</v>
      </c>
      <c r="G210" t="s">
        <v>41</v>
      </c>
      <c r="H210" t="s">
        <v>19</v>
      </c>
      <c r="I210" t="str">
        <f>LEFT(H210,FIND(" (",H210)-1)</f>
        <v>Entry</v>
      </c>
      <c r="J210" t="str">
        <f>MID(H210,FIND("(",H210)+1,FIND(")",H210)-FIND("(",H210)-1)</f>
        <v>0-2 yrs</v>
      </c>
      <c r="L210">
        <v>76489</v>
      </c>
      <c r="M210" t="s">
        <v>544</v>
      </c>
      <c r="N210" t="s">
        <v>33</v>
      </c>
      <c r="O210" t="s">
        <v>51</v>
      </c>
      <c r="P210" s="1">
        <v>45593</v>
      </c>
      <c r="Q210">
        <v>2382</v>
      </c>
      <c r="R210">
        <v>3209</v>
      </c>
      <c r="S210" t="s">
        <v>99</v>
      </c>
      <c r="T210">
        <v>0</v>
      </c>
      <c r="U210" t="s">
        <v>52</v>
      </c>
      <c r="V210" t="s">
        <v>24</v>
      </c>
      <c r="W210" t="s">
        <v>34</v>
      </c>
    </row>
    <row r="211" spans="1:23" x14ac:dyDescent="0.3">
      <c r="A211" t="s">
        <v>545</v>
      </c>
      <c r="B211" t="s">
        <v>61</v>
      </c>
      <c r="C211" t="s">
        <v>71</v>
      </c>
      <c r="D211" t="s">
        <v>38</v>
      </c>
      <c r="E211" t="s">
        <v>5134</v>
      </c>
      <c r="F211" t="s">
        <v>5133</v>
      </c>
      <c r="G211" t="s">
        <v>41</v>
      </c>
      <c r="H211" t="s">
        <v>19</v>
      </c>
      <c r="I211" t="str">
        <f>LEFT(H211,FIND(" (",H211)-1)</f>
        <v>Entry</v>
      </c>
      <c r="J211" t="str">
        <f>MID(H211,FIND("(",H211)+1,FIND(")",H211)-FIND("(",H211)-1)</f>
        <v>0-2 yrs</v>
      </c>
      <c r="L211">
        <v>118544</v>
      </c>
      <c r="M211" t="s">
        <v>546</v>
      </c>
      <c r="N211" t="s">
        <v>33</v>
      </c>
      <c r="O211" t="s">
        <v>22</v>
      </c>
      <c r="P211" s="1">
        <v>45602</v>
      </c>
      <c r="Q211">
        <v>1704</v>
      </c>
      <c r="R211">
        <v>3985</v>
      </c>
      <c r="S211" t="s">
        <v>23</v>
      </c>
      <c r="T211">
        <v>0</v>
      </c>
      <c r="U211" t="s">
        <v>52</v>
      </c>
      <c r="V211" t="s">
        <v>24</v>
      </c>
      <c r="W211" t="s">
        <v>23</v>
      </c>
    </row>
    <row r="212" spans="1:23" x14ac:dyDescent="0.3">
      <c r="A212" t="s">
        <v>547</v>
      </c>
      <c r="B212" t="s">
        <v>131</v>
      </c>
      <c r="C212" t="s">
        <v>239</v>
      </c>
      <c r="D212" t="s">
        <v>125</v>
      </c>
      <c r="E212" t="s">
        <v>133</v>
      </c>
      <c r="F212" t="s">
        <v>134</v>
      </c>
      <c r="G212" t="s">
        <v>55</v>
      </c>
      <c r="H212" t="s">
        <v>66</v>
      </c>
      <c r="I212" t="str">
        <f>LEFT(H212,FIND(" (",H212)-1)</f>
        <v>Senior</v>
      </c>
      <c r="J212" t="str">
        <f>MID(H212,FIND("(",H212)+1,FIND(")",H212)-FIND("(",H212)-1)</f>
        <v>5-8 yrs</v>
      </c>
      <c r="L212">
        <v>165414</v>
      </c>
      <c r="M212" t="s">
        <v>548</v>
      </c>
      <c r="N212" t="s">
        <v>33</v>
      </c>
      <c r="O212" t="s">
        <v>79</v>
      </c>
      <c r="P212" s="1">
        <v>45656</v>
      </c>
      <c r="Q212">
        <v>1028</v>
      </c>
      <c r="R212">
        <v>2073</v>
      </c>
      <c r="S212" t="s">
        <v>23</v>
      </c>
      <c r="T212">
        <v>4</v>
      </c>
      <c r="U212" t="s">
        <v>45</v>
      </c>
      <c r="V212" t="s">
        <v>59</v>
      </c>
      <c r="W212" t="s">
        <v>23</v>
      </c>
    </row>
    <row r="213" spans="1:23" x14ac:dyDescent="0.3">
      <c r="A213" t="s">
        <v>549</v>
      </c>
      <c r="B213" t="s">
        <v>26</v>
      </c>
      <c r="C213" t="s">
        <v>62</v>
      </c>
      <c r="D213" t="s">
        <v>49</v>
      </c>
      <c r="E213" t="s">
        <v>200</v>
      </c>
      <c r="F213" t="s">
        <v>201</v>
      </c>
      <c r="G213" t="s">
        <v>41</v>
      </c>
      <c r="H213" t="s">
        <v>31</v>
      </c>
      <c r="I213" t="str">
        <f>LEFT(H213,FIND(" (",H213)-1)</f>
        <v>Staff/Principal</v>
      </c>
      <c r="J213" t="str">
        <f>MID(H213,FIND("(",H213)+1,FIND(")",H213)-FIND("(",H213)-1)</f>
        <v>8+ yrs</v>
      </c>
      <c r="L213">
        <v>240880</v>
      </c>
      <c r="M213" t="s">
        <v>550</v>
      </c>
      <c r="N213" t="s">
        <v>33</v>
      </c>
      <c r="O213" t="s">
        <v>22</v>
      </c>
      <c r="P213" s="1">
        <v>45633</v>
      </c>
      <c r="Q213">
        <v>895</v>
      </c>
      <c r="R213">
        <v>227</v>
      </c>
      <c r="S213" t="s">
        <v>23</v>
      </c>
      <c r="T213">
        <v>6</v>
      </c>
      <c r="U213" t="s">
        <v>52</v>
      </c>
      <c r="V213" t="s">
        <v>24</v>
      </c>
      <c r="W213" t="s">
        <v>23</v>
      </c>
    </row>
    <row r="214" spans="1:23" x14ac:dyDescent="0.3">
      <c r="A214" t="s">
        <v>551</v>
      </c>
      <c r="B214" t="s">
        <v>81</v>
      </c>
      <c r="C214" t="s">
        <v>101</v>
      </c>
      <c r="D214" t="s">
        <v>111</v>
      </c>
      <c r="E214" t="s">
        <v>64</v>
      </c>
      <c r="F214" t="s">
        <v>65</v>
      </c>
      <c r="G214" t="s">
        <v>55</v>
      </c>
      <c r="H214" t="s">
        <v>66</v>
      </c>
      <c r="I214" t="str">
        <f>LEFT(H214,FIND(" (",H214)-1)</f>
        <v>Senior</v>
      </c>
      <c r="J214" t="str">
        <f>MID(H214,FIND("(",H214)+1,FIND(")",H214)-FIND("(",H214)-1)</f>
        <v>5-8 yrs</v>
      </c>
      <c r="L214">
        <v>175758</v>
      </c>
      <c r="M214" t="s">
        <v>552</v>
      </c>
      <c r="N214" t="s">
        <v>33</v>
      </c>
      <c r="O214" t="s">
        <v>44</v>
      </c>
      <c r="P214" s="1">
        <v>45645</v>
      </c>
      <c r="Q214">
        <v>1218</v>
      </c>
      <c r="R214">
        <v>3050</v>
      </c>
      <c r="S214" t="s">
        <v>23</v>
      </c>
      <c r="T214">
        <v>4</v>
      </c>
      <c r="U214" t="s">
        <v>58</v>
      </c>
      <c r="V214" t="s">
        <v>24</v>
      </c>
      <c r="W214" t="s">
        <v>23</v>
      </c>
    </row>
    <row r="215" spans="1:23" x14ac:dyDescent="0.3">
      <c r="A215" t="s">
        <v>553</v>
      </c>
      <c r="B215" t="s">
        <v>81</v>
      </c>
      <c r="C215" t="s">
        <v>116</v>
      </c>
      <c r="D215" t="s">
        <v>38</v>
      </c>
      <c r="E215" t="s">
        <v>5134</v>
      </c>
      <c r="F215" t="s">
        <v>5133</v>
      </c>
      <c r="G215" t="s">
        <v>18</v>
      </c>
      <c r="H215" t="s">
        <v>19</v>
      </c>
      <c r="I215" t="str">
        <f>LEFT(H215,FIND(" (",H215)-1)</f>
        <v>Entry</v>
      </c>
      <c r="J215" t="str">
        <f>MID(H215,FIND("(",H215)+1,FIND(")",H215)-FIND("(",H215)-1)</f>
        <v>0-2 yrs</v>
      </c>
      <c r="L215">
        <v>78207</v>
      </c>
      <c r="M215" t="s">
        <v>554</v>
      </c>
      <c r="N215" t="s">
        <v>89</v>
      </c>
      <c r="O215" t="s">
        <v>79</v>
      </c>
      <c r="P215" s="1">
        <v>45695</v>
      </c>
      <c r="Q215">
        <v>1806</v>
      </c>
      <c r="R215">
        <v>3102</v>
      </c>
      <c r="S215" t="s">
        <v>23</v>
      </c>
      <c r="T215">
        <v>0</v>
      </c>
      <c r="U215" t="s">
        <v>83</v>
      </c>
      <c r="V215" t="s">
        <v>24</v>
      </c>
      <c r="W215" t="s">
        <v>23</v>
      </c>
    </row>
    <row r="216" spans="1:23" x14ac:dyDescent="0.3">
      <c r="A216" t="s">
        <v>555</v>
      </c>
      <c r="B216" t="s">
        <v>106</v>
      </c>
      <c r="C216" t="s">
        <v>14</v>
      </c>
      <c r="D216" t="s">
        <v>28</v>
      </c>
      <c r="E216" t="s">
        <v>39</v>
      </c>
      <c r="F216" t="s">
        <v>40</v>
      </c>
      <c r="G216" t="s">
        <v>18</v>
      </c>
      <c r="H216" t="s">
        <v>66</v>
      </c>
      <c r="I216" t="str">
        <f>LEFT(H216,FIND(" (",H216)-1)</f>
        <v>Senior</v>
      </c>
      <c r="J216" t="str">
        <f>MID(H216,FIND("(",H216)+1,FIND(")",H216)-FIND("(",H216)-1)</f>
        <v>5-8 yrs</v>
      </c>
      <c r="L216">
        <v>141487</v>
      </c>
      <c r="M216" t="s">
        <v>556</v>
      </c>
      <c r="N216" t="s">
        <v>186</v>
      </c>
      <c r="O216" t="s">
        <v>51</v>
      </c>
      <c r="P216" s="1">
        <v>45641</v>
      </c>
      <c r="Q216">
        <v>832</v>
      </c>
      <c r="R216">
        <v>669</v>
      </c>
      <c r="S216" t="s">
        <v>23</v>
      </c>
      <c r="T216">
        <v>4</v>
      </c>
      <c r="U216" t="s">
        <v>45</v>
      </c>
      <c r="V216" t="s">
        <v>24</v>
      </c>
      <c r="W216" t="s">
        <v>23</v>
      </c>
    </row>
    <row r="217" spans="1:23" x14ac:dyDescent="0.3">
      <c r="A217" t="s">
        <v>557</v>
      </c>
      <c r="B217" t="s">
        <v>61</v>
      </c>
      <c r="C217" t="s">
        <v>179</v>
      </c>
      <c r="D217" t="s">
        <v>63</v>
      </c>
      <c r="E217" t="s">
        <v>64</v>
      </c>
      <c r="F217" t="s">
        <v>65</v>
      </c>
      <c r="G217" t="s">
        <v>55</v>
      </c>
      <c r="H217" t="s">
        <v>19</v>
      </c>
      <c r="I217" t="str">
        <f>LEFT(H217,FIND(" (",H217)-1)</f>
        <v>Entry</v>
      </c>
      <c r="J217" t="str">
        <f>MID(H217,FIND("(",H217)+1,FIND(")",H217)-FIND("(",H217)-1)</f>
        <v>0-2 yrs</v>
      </c>
      <c r="L217">
        <v>79563</v>
      </c>
      <c r="M217" t="s">
        <v>558</v>
      </c>
      <c r="N217" t="s">
        <v>33</v>
      </c>
      <c r="O217" t="s">
        <v>44</v>
      </c>
      <c r="P217" s="1">
        <v>45597</v>
      </c>
      <c r="Q217">
        <v>1766</v>
      </c>
      <c r="R217">
        <v>308</v>
      </c>
      <c r="S217" t="s">
        <v>23</v>
      </c>
      <c r="T217">
        <v>0</v>
      </c>
      <c r="U217" t="s">
        <v>45</v>
      </c>
      <c r="V217" t="s">
        <v>24</v>
      </c>
      <c r="W217" t="s">
        <v>23</v>
      </c>
    </row>
    <row r="218" spans="1:23" x14ac:dyDescent="0.3">
      <c r="A218" t="s">
        <v>559</v>
      </c>
      <c r="B218" t="s">
        <v>131</v>
      </c>
      <c r="C218" t="s">
        <v>204</v>
      </c>
      <c r="D218" t="s">
        <v>111</v>
      </c>
      <c r="E218" t="s">
        <v>76</v>
      </c>
      <c r="F218" t="s">
        <v>77</v>
      </c>
      <c r="G218" t="s">
        <v>18</v>
      </c>
      <c r="H218" t="s">
        <v>19</v>
      </c>
      <c r="I218" t="str">
        <f>LEFT(H218,FIND(" (",H218)-1)</f>
        <v>Entry</v>
      </c>
      <c r="J218" t="str">
        <f>MID(H218,FIND("(",H218)+1,FIND(")",H218)-FIND("(",H218)-1)</f>
        <v>0-2 yrs</v>
      </c>
      <c r="L218">
        <v>60262</v>
      </c>
      <c r="M218" t="s">
        <v>560</v>
      </c>
      <c r="N218" t="s">
        <v>120</v>
      </c>
      <c r="O218" t="s">
        <v>51</v>
      </c>
      <c r="P218" s="1">
        <v>45570</v>
      </c>
      <c r="Q218">
        <v>336</v>
      </c>
      <c r="R218">
        <v>479</v>
      </c>
      <c r="S218" t="s">
        <v>23</v>
      </c>
      <c r="T218">
        <v>0</v>
      </c>
      <c r="U218" t="s">
        <v>58</v>
      </c>
      <c r="V218" t="s">
        <v>24</v>
      </c>
      <c r="W218" t="s">
        <v>23</v>
      </c>
    </row>
    <row r="219" spans="1:23" x14ac:dyDescent="0.3">
      <c r="A219" t="s">
        <v>561</v>
      </c>
      <c r="B219" t="s">
        <v>85</v>
      </c>
      <c r="C219" t="s">
        <v>116</v>
      </c>
      <c r="D219" t="s">
        <v>174</v>
      </c>
      <c r="E219" t="s">
        <v>5135</v>
      </c>
      <c r="F219" t="s">
        <v>5133</v>
      </c>
      <c r="G219" t="s">
        <v>41</v>
      </c>
      <c r="H219" t="s">
        <v>56</v>
      </c>
      <c r="I219" t="str">
        <f>LEFT(H219,FIND(" (",H219)-1)</f>
        <v>Mid</v>
      </c>
      <c r="J219" t="str">
        <f>MID(H219,FIND("(",H219)+1,FIND(")",H219)-FIND("(",H219)-1)</f>
        <v>2-5 yrs</v>
      </c>
      <c r="L219">
        <v>105310</v>
      </c>
      <c r="M219" t="s">
        <v>562</v>
      </c>
      <c r="N219" t="s">
        <v>94</v>
      </c>
      <c r="O219" t="s">
        <v>51</v>
      </c>
      <c r="P219" s="1">
        <v>45456</v>
      </c>
      <c r="Q219">
        <v>2383</v>
      </c>
      <c r="R219">
        <v>1835</v>
      </c>
      <c r="S219" t="s">
        <v>23</v>
      </c>
      <c r="T219">
        <v>2</v>
      </c>
      <c r="U219" t="s">
        <v>45</v>
      </c>
      <c r="V219" t="s">
        <v>59</v>
      </c>
      <c r="W219" t="s">
        <v>34</v>
      </c>
    </row>
    <row r="220" spans="1:23" x14ac:dyDescent="0.3">
      <c r="A220" t="s">
        <v>563</v>
      </c>
      <c r="B220" t="s">
        <v>131</v>
      </c>
      <c r="C220" t="s">
        <v>128</v>
      </c>
      <c r="D220" t="s">
        <v>147</v>
      </c>
      <c r="E220" t="s">
        <v>5137</v>
      </c>
      <c r="F220" t="s">
        <v>5138</v>
      </c>
      <c r="G220" t="s">
        <v>18</v>
      </c>
      <c r="H220" t="s">
        <v>19</v>
      </c>
      <c r="I220" t="str">
        <f>LEFT(H220,FIND(" (",H220)-1)</f>
        <v>Entry</v>
      </c>
      <c r="J220" t="str">
        <f>MID(H220,FIND("(",H220)+1,FIND(")",H220)-FIND("(",H220)-1)</f>
        <v>0-2 yrs</v>
      </c>
      <c r="L220">
        <v>63884</v>
      </c>
      <c r="M220" t="s">
        <v>564</v>
      </c>
      <c r="N220" t="s">
        <v>33</v>
      </c>
      <c r="O220" t="s">
        <v>44</v>
      </c>
      <c r="P220" s="1">
        <v>45687</v>
      </c>
      <c r="Q220">
        <v>1142</v>
      </c>
      <c r="R220">
        <v>2212</v>
      </c>
      <c r="S220" t="s">
        <v>23</v>
      </c>
      <c r="T220">
        <v>0</v>
      </c>
      <c r="U220" t="s">
        <v>58</v>
      </c>
      <c r="V220" t="s">
        <v>24</v>
      </c>
      <c r="W220" t="s">
        <v>23</v>
      </c>
    </row>
    <row r="221" spans="1:23" x14ac:dyDescent="0.3">
      <c r="A221" t="s">
        <v>565</v>
      </c>
      <c r="B221" t="s">
        <v>61</v>
      </c>
      <c r="C221" t="s">
        <v>74</v>
      </c>
      <c r="D221" t="s">
        <v>49</v>
      </c>
      <c r="E221" t="s">
        <v>39</v>
      </c>
      <c r="F221" t="s">
        <v>40</v>
      </c>
      <c r="G221" t="s">
        <v>41</v>
      </c>
      <c r="H221" t="s">
        <v>19</v>
      </c>
      <c r="I221" t="str">
        <f>LEFT(H221,FIND(" (",H221)-1)</f>
        <v>Entry</v>
      </c>
      <c r="J221" t="str">
        <f>MID(H221,FIND("(",H221)+1,FIND(")",H221)-FIND("(",H221)-1)</f>
        <v>0-2 yrs</v>
      </c>
      <c r="L221">
        <v>71031</v>
      </c>
      <c r="M221" t="s">
        <v>566</v>
      </c>
      <c r="N221" t="s">
        <v>33</v>
      </c>
      <c r="O221" t="s">
        <v>51</v>
      </c>
      <c r="P221" s="1">
        <v>45311</v>
      </c>
      <c r="Q221">
        <v>1232</v>
      </c>
      <c r="R221">
        <v>3741</v>
      </c>
      <c r="S221" t="s">
        <v>23</v>
      </c>
      <c r="T221">
        <v>0</v>
      </c>
      <c r="U221" t="s">
        <v>58</v>
      </c>
      <c r="V221" t="s">
        <v>24</v>
      </c>
      <c r="W221" t="s">
        <v>34</v>
      </c>
    </row>
    <row r="222" spans="1:23" x14ac:dyDescent="0.3">
      <c r="A222" t="s">
        <v>567</v>
      </c>
      <c r="B222" t="s">
        <v>236</v>
      </c>
      <c r="C222" t="s">
        <v>132</v>
      </c>
      <c r="D222" t="s">
        <v>49</v>
      </c>
      <c r="E222" t="s">
        <v>5134</v>
      </c>
      <c r="F222" t="s">
        <v>5133</v>
      </c>
      <c r="G222" t="s">
        <v>41</v>
      </c>
      <c r="H222" t="s">
        <v>19</v>
      </c>
      <c r="I222" t="str">
        <f>LEFT(H222,FIND(" (",H222)-1)</f>
        <v>Entry</v>
      </c>
      <c r="J222" t="str">
        <f>MID(H222,FIND("(",H222)+1,FIND(")",H222)-FIND("(",H222)-1)</f>
        <v>0-2 yrs</v>
      </c>
      <c r="L222">
        <v>99164</v>
      </c>
      <c r="M222" t="s">
        <v>568</v>
      </c>
      <c r="N222" t="s">
        <v>21</v>
      </c>
      <c r="O222" t="s">
        <v>51</v>
      </c>
      <c r="P222" s="1">
        <v>45565</v>
      </c>
      <c r="Q222">
        <v>2359</v>
      </c>
      <c r="R222">
        <v>444</v>
      </c>
      <c r="S222" t="s">
        <v>23</v>
      </c>
      <c r="T222">
        <v>0</v>
      </c>
      <c r="U222" t="s">
        <v>45</v>
      </c>
      <c r="V222" t="s">
        <v>24</v>
      </c>
      <c r="W222" t="s">
        <v>34</v>
      </c>
    </row>
    <row r="223" spans="1:23" x14ac:dyDescent="0.3">
      <c r="A223" t="s">
        <v>569</v>
      </c>
      <c r="B223" t="s">
        <v>172</v>
      </c>
      <c r="C223" t="s">
        <v>128</v>
      </c>
      <c r="D223" t="s">
        <v>75</v>
      </c>
      <c r="E223" t="s">
        <v>5134</v>
      </c>
      <c r="F223" t="s">
        <v>5133</v>
      </c>
      <c r="G223" t="s">
        <v>55</v>
      </c>
      <c r="H223" t="s">
        <v>31</v>
      </c>
      <c r="I223" t="str">
        <f>LEFT(H223,FIND(" (",H223)-1)</f>
        <v>Staff/Principal</v>
      </c>
      <c r="J223" t="str">
        <f>MID(H223,FIND("(",H223)+1,FIND(")",H223)-FIND("(",H223)-1)</f>
        <v>8+ yrs</v>
      </c>
      <c r="L223">
        <v>132778</v>
      </c>
      <c r="M223" t="s">
        <v>570</v>
      </c>
      <c r="N223" t="s">
        <v>33</v>
      </c>
      <c r="O223" t="s">
        <v>22</v>
      </c>
      <c r="P223" s="1">
        <v>45307</v>
      </c>
      <c r="Q223">
        <v>890</v>
      </c>
      <c r="R223">
        <v>1230</v>
      </c>
      <c r="S223" t="s">
        <v>23</v>
      </c>
      <c r="T223">
        <v>6</v>
      </c>
      <c r="U223" t="s">
        <v>45</v>
      </c>
      <c r="V223" t="s">
        <v>46</v>
      </c>
      <c r="W223" t="s">
        <v>34</v>
      </c>
    </row>
    <row r="224" spans="1:23" x14ac:dyDescent="0.3">
      <c r="A224" t="s">
        <v>571</v>
      </c>
      <c r="B224" t="s">
        <v>26</v>
      </c>
      <c r="C224" t="s">
        <v>209</v>
      </c>
      <c r="D224" t="s">
        <v>125</v>
      </c>
      <c r="E224" t="s">
        <v>5137</v>
      </c>
      <c r="F224" t="s">
        <v>5138</v>
      </c>
      <c r="G224" t="s">
        <v>18</v>
      </c>
      <c r="H224" t="s">
        <v>56</v>
      </c>
      <c r="I224" t="str">
        <f>LEFT(H224,FIND(" (",H224)-1)</f>
        <v>Mid</v>
      </c>
      <c r="J224" t="str">
        <f>MID(H224,FIND("(",H224)+1,FIND(")",H224)-FIND("(",H224)-1)</f>
        <v>2-5 yrs</v>
      </c>
      <c r="L224">
        <v>123587</v>
      </c>
      <c r="M224" t="s">
        <v>572</v>
      </c>
      <c r="N224" t="s">
        <v>94</v>
      </c>
      <c r="O224" t="s">
        <v>22</v>
      </c>
      <c r="P224" s="1">
        <v>45585</v>
      </c>
      <c r="Q224">
        <v>1335</v>
      </c>
      <c r="R224">
        <v>805</v>
      </c>
      <c r="S224" t="s">
        <v>34</v>
      </c>
      <c r="T224">
        <v>2</v>
      </c>
      <c r="U224" t="s">
        <v>83</v>
      </c>
      <c r="V224" t="s">
        <v>59</v>
      </c>
      <c r="W224" t="s">
        <v>23</v>
      </c>
    </row>
    <row r="225" spans="1:23" x14ac:dyDescent="0.3">
      <c r="A225" t="s">
        <v>573</v>
      </c>
      <c r="B225" t="s">
        <v>26</v>
      </c>
      <c r="C225" t="s">
        <v>192</v>
      </c>
      <c r="D225" t="s">
        <v>174</v>
      </c>
      <c r="E225" t="s">
        <v>133</v>
      </c>
      <c r="F225" t="s">
        <v>134</v>
      </c>
      <c r="G225" t="s">
        <v>18</v>
      </c>
      <c r="H225" t="s">
        <v>31</v>
      </c>
      <c r="I225" t="str">
        <f>LEFT(H225,FIND(" (",H225)-1)</f>
        <v>Staff/Principal</v>
      </c>
      <c r="J225" t="str">
        <f>MID(H225,FIND("(",H225)+1,FIND(")",H225)-FIND("(",H225)-1)</f>
        <v>8+ yrs</v>
      </c>
      <c r="L225">
        <v>141942</v>
      </c>
      <c r="M225" t="s">
        <v>574</v>
      </c>
      <c r="N225" t="s">
        <v>33</v>
      </c>
      <c r="O225" t="s">
        <v>51</v>
      </c>
      <c r="P225" s="1">
        <v>45635</v>
      </c>
      <c r="Q225">
        <v>1260</v>
      </c>
      <c r="R225">
        <v>419</v>
      </c>
      <c r="S225" t="s">
        <v>23</v>
      </c>
      <c r="T225">
        <v>6</v>
      </c>
      <c r="U225" t="s">
        <v>5123</v>
      </c>
      <c r="V225" t="s">
        <v>59</v>
      </c>
      <c r="W225" t="s">
        <v>34</v>
      </c>
    </row>
    <row r="226" spans="1:23" x14ac:dyDescent="0.3">
      <c r="A226" t="s">
        <v>575</v>
      </c>
      <c r="B226" t="s">
        <v>172</v>
      </c>
      <c r="C226" t="s">
        <v>158</v>
      </c>
      <c r="D226" t="s">
        <v>38</v>
      </c>
      <c r="E226" t="s">
        <v>216</v>
      </c>
      <c r="F226" t="s">
        <v>217</v>
      </c>
      <c r="G226" t="s">
        <v>41</v>
      </c>
      <c r="H226" t="s">
        <v>66</v>
      </c>
      <c r="I226" t="str">
        <f>LEFT(H226,FIND(" (",H226)-1)</f>
        <v>Senior</v>
      </c>
      <c r="J226" t="str">
        <f>MID(H226,FIND("(",H226)+1,FIND(")",H226)-FIND("(",H226)-1)</f>
        <v>5-8 yrs</v>
      </c>
      <c r="L226">
        <v>137257</v>
      </c>
      <c r="M226" t="s">
        <v>576</v>
      </c>
      <c r="N226" t="s">
        <v>245</v>
      </c>
      <c r="O226" t="s">
        <v>44</v>
      </c>
      <c r="P226" s="1">
        <v>45647</v>
      </c>
      <c r="Q226">
        <v>2086</v>
      </c>
      <c r="R226">
        <v>1143</v>
      </c>
      <c r="S226" t="s">
        <v>23</v>
      </c>
      <c r="T226">
        <v>4</v>
      </c>
      <c r="U226" t="s">
        <v>52</v>
      </c>
      <c r="V226" t="s">
        <v>24</v>
      </c>
      <c r="W226" t="s">
        <v>34</v>
      </c>
    </row>
    <row r="227" spans="1:23" x14ac:dyDescent="0.3">
      <c r="A227" t="s">
        <v>577</v>
      </c>
      <c r="B227" t="s">
        <v>96</v>
      </c>
      <c r="C227" t="s">
        <v>128</v>
      </c>
      <c r="D227" t="s">
        <v>125</v>
      </c>
      <c r="E227" t="s">
        <v>39</v>
      </c>
      <c r="F227" t="s">
        <v>40</v>
      </c>
      <c r="G227" t="s">
        <v>18</v>
      </c>
      <c r="H227" t="s">
        <v>31</v>
      </c>
      <c r="I227" t="str">
        <f>LEFT(H227,FIND(" (",H227)-1)</f>
        <v>Staff/Principal</v>
      </c>
      <c r="J227" t="str">
        <f>MID(H227,FIND("(",H227)+1,FIND(")",H227)-FIND("(",H227)-1)</f>
        <v>8+ yrs</v>
      </c>
      <c r="L227">
        <v>239202</v>
      </c>
      <c r="M227" t="s">
        <v>578</v>
      </c>
      <c r="N227" t="s">
        <v>33</v>
      </c>
      <c r="O227" t="s">
        <v>44</v>
      </c>
      <c r="P227" s="1">
        <v>45448</v>
      </c>
      <c r="Q227">
        <v>1104</v>
      </c>
      <c r="R227">
        <v>1088</v>
      </c>
      <c r="S227" t="s">
        <v>23</v>
      </c>
      <c r="T227">
        <v>6</v>
      </c>
      <c r="U227" t="s">
        <v>5123</v>
      </c>
      <c r="V227" t="s">
        <v>59</v>
      </c>
      <c r="W227" t="s">
        <v>23</v>
      </c>
    </row>
    <row r="228" spans="1:23" x14ac:dyDescent="0.3">
      <c r="A228" t="s">
        <v>579</v>
      </c>
      <c r="B228" t="s">
        <v>131</v>
      </c>
      <c r="C228" t="s">
        <v>209</v>
      </c>
      <c r="D228" t="s">
        <v>174</v>
      </c>
      <c r="E228" t="s">
        <v>200</v>
      </c>
      <c r="F228" t="s">
        <v>201</v>
      </c>
      <c r="G228" t="s">
        <v>41</v>
      </c>
      <c r="H228" t="s">
        <v>19</v>
      </c>
      <c r="I228" t="str">
        <f>LEFT(H228,FIND(" (",H228)-1)</f>
        <v>Entry</v>
      </c>
      <c r="J228" t="str">
        <f>MID(H228,FIND("(",H228)+1,FIND(")",H228)-FIND("(",H228)-1)</f>
        <v>0-2 yrs</v>
      </c>
      <c r="L228">
        <v>70809</v>
      </c>
      <c r="M228" t="s">
        <v>580</v>
      </c>
      <c r="N228" t="s">
        <v>33</v>
      </c>
      <c r="O228" t="s">
        <v>51</v>
      </c>
      <c r="P228" s="1">
        <v>45685</v>
      </c>
      <c r="Q228">
        <v>1491</v>
      </c>
      <c r="R228">
        <v>558</v>
      </c>
      <c r="S228" t="s">
        <v>23</v>
      </c>
      <c r="T228">
        <v>0</v>
      </c>
      <c r="U228" t="s">
        <v>83</v>
      </c>
      <c r="V228" t="s">
        <v>24</v>
      </c>
      <c r="W228" t="s">
        <v>34</v>
      </c>
    </row>
    <row r="229" spans="1:23" x14ac:dyDescent="0.3">
      <c r="A229" t="s">
        <v>581</v>
      </c>
      <c r="B229" t="s">
        <v>151</v>
      </c>
      <c r="C229" t="s">
        <v>209</v>
      </c>
      <c r="D229" t="s">
        <v>63</v>
      </c>
      <c r="E229" t="s">
        <v>216</v>
      </c>
      <c r="F229" t="s">
        <v>217</v>
      </c>
      <c r="G229" t="s">
        <v>41</v>
      </c>
      <c r="H229" t="s">
        <v>56</v>
      </c>
      <c r="I229" t="str">
        <f>LEFT(H229,FIND(" (",H229)-1)</f>
        <v>Mid</v>
      </c>
      <c r="J229" t="str">
        <f>MID(H229,FIND("(",H229)+1,FIND(")",H229)-FIND("(",H229)-1)</f>
        <v>2-5 yrs</v>
      </c>
      <c r="L229">
        <v>88660</v>
      </c>
      <c r="M229" t="s">
        <v>582</v>
      </c>
      <c r="N229" t="s">
        <v>33</v>
      </c>
      <c r="O229" t="s">
        <v>79</v>
      </c>
      <c r="P229" s="1">
        <v>45679</v>
      </c>
      <c r="Q229">
        <v>465</v>
      </c>
      <c r="R229">
        <v>906</v>
      </c>
      <c r="S229" t="s">
        <v>23</v>
      </c>
      <c r="T229">
        <v>2</v>
      </c>
      <c r="U229" t="s">
        <v>52</v>
      </c>
      <c r="V229" t="s">
        <v>24</v>
      </c>
      <c r="W229" t="s">
        <v>34</v>
      </c>
    </row>
    <row r="230" spans="1:23" x14ac:dyDescent="0.3">
      <c r="A230" t="s">
        <v>583</v>
      </c>
      <c r="B230" t="s">
        <v>229</v>
      </c>
      <c r="C230" t="s">
        <v>97</v>
      </c>
      <c r="D230" t="s">
        <v>28</v>
      </c>
      <c r="E230" t="s">
        <v>76</v>
      </c>
      <c r="F230" t="s">
        <v>77</v>
      </c>
      <c r="G230" t="s">
        <v>55</v>
      </c>
      <c r="H230" t="s">
        <v>56</v>
      </c>
      <c r="I230" t="str">
        <f>LEFT(H230,FIND(" (",H230)-1)</f>
        <v>Mid</v>
      </c>
      <c r="J230" t="str">
        <f>MID(H230,FIND("(",H230)+1,FIND(")",H230)-FIND("(",H230)-1)</f>
        <v>2-5 yrs</v>
      </c>
      <c r="L230">
        <v>95836</v>
      </c>
      <c r="M230" t="s">
        <v>584</v>
      </c>
      <c r="N230" t="s">
        <v>94</v>
      </c>
      <c r="O230" t="s">
        <v>44</v>
      </c>
      <c r="P230" s="1">
        <v>45476</v>
      </c>
      <c r="Q230">
        <v>1378</v>
      </c>
      <c r="R230">
        <v>2380</v>
      </c>
      <c r="S230" t="s">
        <v>23</v>
      </c>
      <c r="T230">
        <v>2</v>
      </c>
      <c r="U230" t="s">
        <v>52</v>
      </c>
      <c r="V230" t="s">
        <v>24</v>
      </c>
      <c r="W230" t="s">
        <v>34</v>
      </c>
    </row>
    <row r="231" spans="1:23" x14ac:dyDescent="0.3">
      <c r="A231" t="s">
        <v>585</v>
      </c>
      <c r="B231" t="s">
        <v>143</v>
      </c>
      <c r="C231" t="s">
        <v>146</v>
      </c>
      <c r="D231" t="s">
        <v>125</v>
      </c>
      <c r="E231" t="s">
        <v>76</v>
      </c>
      <c r="F231" t="s">
        <v>77</v>
      </c>
      <c r="G231" t="s">
        <v>18</v>
      </c>
      <c r="H231" t="s">
        <v>19</v>
      </c>
      <c r="I231" t="str">
        <f>LEFT(H231,FIND(" (",H231)-1)</f>
        <v>Entry</v>
      </c>
      <c r="J231" t="str">
        <f>MID(H231,FIND("(",H231)+1,FIND(")",H231)-FIND("(",H231)-1)</f>
        <v>0-2 yrs</v>
      </c>
      <c r="L231">
        <v>78562</v>
      </c>
      <c r="M231" t="s">
        <v>586</v>
      </c>
      <c r="N231" t="s">
        <v>68</v>
      </c>
      <c r="O231" t="s">
        <v>22</v>
      </c>
      <c r="P231" s="1">
        <v>45406</v>
      </c>
      <c r="Q231">
        <v>2407</v>
      </c>
      <c r="R231">
        <v>2645</v>
      </c>
      <c r="S231" t="s">
        <v>23</v>
      </c>
      <c r="T231">
        <v>0</v>
      </c>
      <c r="U231" t="s">
        <v>52</v>
      </c>
      <c r="V231" t="s">
        <v>24</v>
      </c>
      <c r="W231" t="s">
        <v>34</v>
      </c>
    </row>
    <row r="232" spans="1:23" x14ac:dyDescent="0.3">
      <c r="A232" t="s">
        <v>587</v>
      </c>
      <c r="B232" t="s">
        <v>13</v>
      </c>
      <c r="C232" t="s">
        <v>124</v>
      </c>
      <c r="D232" t="s">
        <v>38</v>
      </c>
      <c r="E232" t="s">
        <v>5139</v>
      </c>
      <c r="F232" t="s">
        <v>5133</v>
      </c>
      <c r="G232" t="s">
        <v>55</v>
      </c>
      <c r="H232" t="s">
        <v>56</v>
      </c>
      <c r="I232" t="str">
        <f>LEFT(H232,FIND(" (",H232)-1)</f>
        <v>Mid</v>
      </c>
      <c r="J232" t="str">
        <f>MID(H232,FIND("(",H232)+1,FIND(")",H232)-FIND("(",H232)-1)</f>
        <v>2-5 yrs</v>
      </c>
      <c r="L232">
        <v>95538</v>
      </c>
      <c r="M232" t="s">
        <v>588</v>
      </c>
      <c r="N232" t="s">
        <v>141</v>
      </c>
      <c r="O232" t="s">
        <v>22</v>
      </c>
      <c r="P232" s="1">
        <v>45660</v>
      </c>
      <c r="Q232">
        <v>959</v>
      </c>
      <c r="R232">
        <v>561</v>
      </c>
      <c r="S232" t="s">
        <v>23</v>
      </c>
      <c r="T232">
        <v>2</v>
      </c>
      <c r="U232" t="s">
        <v>5123</v>
      </c>
      <c r="V232" t="s">
        <v>59</v>
      </c>
      <c r="W232" t="s">
        <v>34</v>
      </c>
    </row>
    <row r="233" spans="1:23" x14ac:dyDescent="0.3">
      <c r="A233" t="s">
        <v>589</v>
      </c>
      <c r="B233" t="s">
        <v>222</v>
      </c>
      <c r="C233" t="s">
        <v>204</v>
      </c>
      <c r="D233" t="s">
        <v>63</v>
      </c>
      <c r="E233" t="s">
        <v>102</v>
      </c>
      <c r="F233" t="s">
        <v>103</v>
      </c>
      <c r="G233" t="s">
        <v>41</v>
      </c>
      <c r="H233" t="s">
        <v>66</v>
      </c>
      <c r="I233" t="str">
        <f>LEFT(H233,FIND(" (",H233)-1)</f>
        <v>Senior</v>
      </c>
      <c r="J233" t="str">
        <f>MID(H233,FIND("(",H233)+1,FIND(")",H233)-FIND("(",H233)-1)</f>
        <v>5-8 yrs</v>
      </c>
      <c r="L233">
        <v>155844</v>
      </c>
      <c r="M233" t="s">
        <v>590</v>
      </c>
      <c r="N233" t="s">
        <v>33</v>
      </c>
      <c r="O233" t="s">
        <v>51</v>
      </c>
      <c r="P233" s="1">
        <v>45499</v>
      </c>
      <c r="Q233">
        <v>2230</v>
      </c>
      <c r="R233">
        <v>3562</v>
      </c>
      <c r="S233" t="s">
        <v>23</v>
      </c>
      <c r="T233">
        <v>4</v>
      </c>
      <c r="U233" t="s">
        <v>52</v>
      </c>
      <c r="V233" t="s">
        <v>59</v>
      </c>
      <c r="W233" t="s">
        <v>23</v>
      </c>
    </row>
    <row r="234" spans="1:23" x14ac:dyDescent="0.3">
      <c r="A234" t="s">
        <v>591</v>
      </c>
      <c r="B234" t="s">
        <v>143</v>
      </c>
      <c r="C234" t="s">
        <v>92</v>
      </c>
      <c r="D234" t="s">
        <v>147</v>
      </c>
      <c r="E234" t="s">
        <v>216</v>
      </c>
      <c r="F234" t="s">
        <v>217</v>
      </c>
      <c r="G234" t="s">
        <v>41</v>
      </c>
      <c r="H234" t="s">
        <v>56</v>
      </c>
      <c r="I234" t="str">
        <f>LEFT(H234,FIND(" (",H234)-1)</f>
        <v>Mid</v>
      </c>
      <c r="J234" t="str">
        <f>MID(H234,FIND("(",H234)+1,FIND(")",H234)-FIND("(",H234)-1)</f>
        <v>2-5 yrs</v>
      </c>
      <c r="L234">
        <v>110902</v>
      </c>
      <c r="M234" t="s">
        <v>592</v>
      </c>
      <c r="N234" t="s">
        <v>149</v>
      </c>
      <c r="O234" t="s">
        <v>51</v>
      </c>
      <c r="P234" s="1">
        <v>45427</v>
      </c>
      <c r="Q234">
        <v>744</v>
      </c>
      <c r="R234">
        <v>77</v>
      </c>
      <c r="S234" t="s">
        <v>34</v>
      </c>
      <c r="T234">
        <v>2</v>
      </c>
      <c r="U234" t="s">
        <v>83</v>
      </c>
      <c r="V234" t="s">
        <v>24</v>
      </c>
      <c r="W234" t="s">
        <v>23</v>
      </c>
    </row>
    <row r="235" spans="1:23" x14ac:dyDescent="0.3">
      <c r="A235" t="s">
        <v>593</v>
      </c>
      <c r="B235" t="s">
        <v>85</v>
      </c>
      <c r="C235" t="s">
        <v>86</v>
      </c>
      <c r="D235" t="s">
        <v>111</v>
      </c>
      <c r="E235" t="s">
        <v>102</v>
      </c>
      <c r="F235" t="s">
        <v>103</v>
      </c>
      <c r="G235" t="s">
        <v>41</v>
      </c>
      <c r="H235" t="s">
        <v>19</v>
      </c>
      <c r="I235" t="str">
        <f>LEFT(H235,FIND(" (",H235)-1)</f>
        <v>Entry</v>
      </c>
      <c r="J235" t="str">
        <f>MID(H235,FIND("(",H235)+1,FIND(")",H235)-FIND("(",H235)-1)</f>
        <v>0-2 yrs</v>
      </c>
      <c r="L235">
        <v>61789</v>
      </c>
      <c r="M235" t="s">
        <v>594</v>
      </c>
      <c r="N235" t="s">
        <v>68</v>
      </c>
      <c r="O235" t="s">
        <v>51</v>
      </c>
      <c r="P235" s="1">
        <v>45606</v>
      </c>
      <c r="Q235">
        <v>304</v>
      </c>
      <c r="R235">
        <v>3683</v>
      </c>
      <c r="S235" t="s">
        <v>99</v>
      </c>
      <c r="T235">
        <v>0</v>
      </c>
      <c r="U235" t="s">
        <v>58</v>
      </c>
      <c r="V235" t="s">
        <v>24</v>
      </c>
      <c r="W235" t="s">
        <v>34</v>
      </c>
    </row>
    <row r="236" spans="1:23" x14ac:dyDescent="0.3">
      <c r="A236" t="s">
        <v>595</v>
      </c>
      <c r="B236" t="s">
        <v>229</v>
      </c>
      <c r="C236" t="s">
        <v>209</v>
      </c>
      <c r="D236" t="s">
        <v>28</v>
      </c>
      <c r="E236" t="s">
        <v>29</v>
      </c>
      <c r="F236" t="s">
        <v>30</v>
      </c>
      <c r="G236" t="s">
        <v>55</v>
      </c>
      <c r="H236" t="s">
        <v>31</v>
      </c>
      <c r="I236" t="str">
        <f>LEFT(H236,FIND(" (",H236)-1)</f>
        <v>Staff/Principal</v>
      </c>
      <c r="J236" t="str">
        <f>MID(H236,FIND("(",H236)+1,FIND(")",H236)-FIND("(",H236)-1)</f>
        <v>8+ yrs</v>
      </c>
      <c r="L236">
        <v>277181</v>
      </c>
      <c r="M236" t="s">
        <v>596</v>
      </c>
      <c r="N236" t="s">
        <v>141</v>
      </c>
      <c r="O236" t="s">
        <v>51</v>
      </c>
      <c r="P236" s="1">
        <v>45538</v>
      </c>
      <c r="Q236">
        <v>1252</v>
      </c>
      <c r="R236">
        <v>3737</v>
      </c>
      <c r="S236" t="s">
        <v>99</v>
      </c>
      <c r="T236">
        <v>6</v>
      </c>
      <c r="U236" t="s">
        <v>45</v>
      </c>
      <c r="V236" t="s">
        <v>24</v>
      </c>
      <c r="W236" t="s">
        <v>23</v>
      </c>
    </row>
    <row r="237" spans="1:23" x14ac:dyDescent="0.3">
      <c r="A237" t="s">
        <v>597</v>
      </c>
      <c r="B237" t="s">
        <v>36</v>
      </c>
      <c r="C237" t="s">
        <v>97</v>
      </c>
      <c r="D237" t="s">
        <v>38</v>
      </c>
      <c r="E237" t="s">
        <v>5140</v>
      </c>
      <c r="F237" t="s">
        <v>5133</v>
      </c>
      <c r="G237" t="s">
        <v>41</v>
      </c>
      <c r="H237" t="s">
        <v>56</v>
      </c>
      <c r="I237" t="str">
        <f>LEFT(H237,FIND(" (",H237)-1)</f>
        <v>Mid</v>
      </c>
      <c r="J237" t="str">
        <f>MID(H237,FIND("(",H237)+1,FIND(")",H237)-FIND("(",H237)-1)</f>
        <v>2-5 yrs</v>
      </c>
      <c r="L237">
        <v>122551</v>
      </c>
      <c r="M237" t="s">
        <v>598</v>
      </c>
      <c r="N237" t="s">
        <v>141</v>
      </c>
      <c r="O237" t="s">
        <v>51</v>
      </c>
      <c r="P237" s="1">
        <v>45696</v>
      </c>
      <c r="Q237">
        <v>1593</v>
      </c>
      <c r="R237">
        <v>1684</v>
      </c>
      <c r="S237" t="s">
        <v>23</v>
      </c>
      <c r="T237">
        <v>2</v>
      </c>
      <c r="U237" t="s">
        <v>52</v>
      </c>
      <c r="V237" t="s">
        <v>24</v>
      </c>
      <c r="W237" t="s">
        <v>23</v>
      </c>
    </row>
    <row r="238" spans="1:23" x14ac:dyDescent="0.3">
      <c r="A238" t="s">
        <v>599</v>
      </c>
      <c r="B238" t="s">
        <v>36</v>
      </c>
      <c r="C238" t="s">
        <v>74</v>
      </c>
      <c r="D238" t="s">
        <v>63</v>
      </c>
      <c r="E238" t="s">
        <v>200</v>
      </c>
      <c r="F238" t="s">
        <v>201</v>
      </c>
      <c r="G238" t="s">
        <v>18</v>
      </c>
      <c r="H238" t="s">
        <v>31</v>
      </c>
      <c r="I238" t="str">
        <f>LEFT(H238,FIND(" (",H238)-1)</f>
        <v>Staff/Principal</v>
      </c>
      <c r="J238" t="str">
        <f>MID(H238,FIND("(",H238)+1,FIND(")",H238)-FIND("(",H238)-1)</f>
        <v>8+ yrs</v>
      </c>
      <c r="L238">
        <v>127094</v>
      </c>
      <c r="M238" t="s">
        <v>600</v>
      </c>
      <c r="N238" t="s">
        <v>94</v>
      </c>
      <c r="O238" t="s">
        <v>22</v>
      </c>
      <c r="P238" s="1">
        <v>45433</v>
      </c>
      <c r="Q238">
        <v>1556</v>
      </c>
      <c r="R238">
        <v>2376</v>
      </c>
      <c r="S238" t="s">
        <v>23</v>
      </c>
      <c r="T238">
        <v>6</v>
      </c>
      <c r="U238" t="s">
        <v>58</v>
      </c>
      <c r="V238" t="s">
        <v>59</v>
      </c>
      <c r="W238" t="s">
        <v>23</v>
      </c>
    </row>
    <row r="239" spans="1:23" x14ac:dyDescent="0.3">
      <c r="A239" t="s">
        <v>601</v>
      </c>
      <c r="B239" t="s">
        <v>13</v>
      </c>
      <c r="C239" t="s">
        <v>158</v>
      </c>
      <c r="D239" t="s">
        <v>75</v>
      </c>
      <c r="E239" t="s">
        <v>39</v>
      </c>
      <c r="F239" t="s">
        <v>40</v>
      </c>
      <c r="G239" t="s">
        <v>41</v>
      </c>
      <c r="H239" t="s">
        <v>56</v>
      </c>
      <c r="I239" t="str">
        <f>LEFT(H239,FIND(" (",H239)-1)</f>
        <v>Mid</v>
      </c>
      <c r="J239" t="str">
        <f>MID(H239,FIND("(",H239)+1,FIND(")",H239)-FIND("(",H239)-1)</f>
        <v>2-5 yrs</v>
      </c>
      <c r="L239">
        <v>113691</v>
      </c>
      <c r="M239" t="s">
        <v>602</v>
      </c>
      <c r="N239" t="s">
        <v>33</v>
      </c>
      <c r="O239" t="s">
        <v>51</v>
      </c>
      <c r="P239" s="1">
        <v>45374</v>
      </c>
      <c r="Q239">
        <v>513</v>
      </c>
      <c r="R239">
        <v>668</v>
      </c>
      <c r="S239" t="s">
        <v>23</v>
      </c>
      <c r="T239">
        <v>2</v>
      </c>
      <c r="U239" t="s">
        <v>5123</v>
      </c>
      <c r="V239" t="s">
        <v>59</v>
      </c>
      <c r="W239" t="s">
        <v>23</v>
      </c>
    </row>
    <row r="240" spans="1:23" x14ac:dyDescent="0.3">
      <c r="A240" t="s">
        <v>603</v>
      </c>
      <c r="B240" t="s">
        <v>96</v>
      </c>
      <c r="C240" t="s">
        <v>54</v>
      </c>
      <c r="D240" t="s">
        <v>111</v>
      </c>
      <c r="E240" t="s">
        <v>5136</v>
      </c>
      <c r="F240" t="s">
        <v>5133</v>
      </c>
      <c r="G240" t="s">
        <v>18</v>
      </c>
      <c r="H240" t="s">
        <v>31</v>
      </c>
      <c r="I240" t="str">
        <f>LEFT(H240,FIND(" (",H240)-1)</f>
        <v>Staff/Principal</v>
      </c>
      <c r="J240" t="str">
        <f>MID(H240,FIND("(",H240)+1,FIND(")",H240)-FIND("(",H240)-1)</f>
        <v>8+ yrs</v>
      </c>
      <c r="L240">
        <v>176175</v>
      </c>
      <c r="M240" t="s">
        <v>604</v>
      </c>
      <c r="N240" t="s">
        <v>33</v>
      </c>
      <c r="O240" t="s">
        <v>51</v>
      </c>
      <c r="P240" s="1">
        <v>45405</v>
      </c>
      <c r="Q240">
        <v>1473</v>
      </c>
      <c r="R240">
        <v>2924</v>
      </c>
      <c r="S240" t="s">
        <v>99</v>
      </c>
      <c r="T240">
        <v>6</v>
      </c>
      <c r="U240" t="s">
        <v>5123</v>
      </c>
      <c r="V240" t="s">
        <v>46</v>
      </c>
      <c r="W240" t="s">
        <v>23</v>
      </c>
    </row>
    <row r="241" spans="1:23" x14ac:dyDescent="0.3">
      <c r="A241" t="s">
        <v>605</v>
      </c>
      <c r="B241" t="s">
        <v>96</v>
      </c>
      <c r="C241" t="s">
        <v>195</v>
      </c>
      <c r="D241" t="s">
        <v>125</v>
      </c>
      <c r="E241" t="s">
        <v>5140</v>
      </c>
      <c r="F241" t="s">
        <v>5133</v>
      </c>
      <c r="G241" t="s">
        <v>18</v>
      </c>
      <c r="H241" t="s">
        <v>31</v>
      </c>
      <c r="I241" t="str">
        <f>LEFT(H241,FIND(" (",H241)-1)</f>
        <v>Staff/Principal</v>
      </c>
      <c r="J241" t="str">
        <f>MID(H241,FIND("(",H241)+1,FIND(")",H241)-FIND("(",H241)-1)</f>
        <v>8+ yrs</v>
      </c>
      <c r="L241">
        <v>230687</v>
      </c>
      <c r="M241" t="s">
        <v>606</v>
      </c>
      <c r="N241" t="s">
        <v>33</v>
      </c>
      <c r="O241" t="s">
        <v>51</v>
      </c>
      <c r="P241" s="1">
        <v>45628</v>
      </c>
      <c r="Q241">
        <v>1773</v>
      </c>
      <c r="R241">
        <v>989</v>
      </c>
      <c r="S241" t="s">
        <v>23</v>
      </c>
      <c r="T241">
        <v>6</v>
      </c>
      <c r="U241" t="s">
        <v>52</v>
      </c>
      <c r="V241" t="s">
        <v>24</v>
      </c>
      <c r="W241" t="s">
        <v>34</v>
      </c>
    </row>
    <row r="242" spans="1:23" x14ac:dyDescent="0.3">
      <c r="A242" t="s">
        <v>607</v>
      </c>
      <c r="B242" t="s">
        <v>137</v>
      </c>
      <c r="C242" t="s">
        <v>74</v>
      </c>
      <c r="D242" t="s">
        <v>111</v>
      </c>
      <c r="E242" t="s">
        <v>5134</v>
      </c>
      <c r="F242" t="s">
        <v>5133</v>
      </c>
      <c r="G242" t="s">
        <v>18</v>
      </c>
      <c r="H242" t="s">
        <v>66</v>
      </c>
      <c r="I242" t="str">
        <f>LEFT(H242,FIND(" (",H242)-1)</f>
        <v>Senior</v>
      </c>
      <c r="J242" t="str">
        <f>MID(H242,FIND("(",H242)+1,FIND(")",H242)-FIND("(",H242)-1)</f>
        <v>5-8 yrs</v>
      </c>
      <c r="L242">
        <v>128601</v>
      </c>
      <c r="M242" t="s">
        <v>608</v>
      </c>
      <c r="N242" t="s">
        <v>33</v>
      </c>
      <c r="O242" t="s">
        <v>51</v>
      </c>
      <c r="P242" s="1">
        <v>45394</v>
      </c>
      <c r="Q242">
        <v>1432</v>
      </c>
      <c r="R242">
        <v>936</v>
      </c>
      <c r="S242" t="s">
        <v>23</v>
      </c>
      <c r="T242">
        <v>4</v>
      </c>
      <c r="U242" t="s">
        <v>52</v>
      </c>
      <c r="V242" t="s">
        <v>24</v>
      </c>
      <c r="W242" t="s">
        <v>34</v>
      </c>
    </row>
    <row r="243" spans="1:23" x14ac:dyDescent="0.3">
      <c r="A243" t="s">
        <v>609</v>
      </c>
      <c r="B243" t="s">
        <v>151</v>
      </c>
      <c r="C243" t="s">
        <v>116</v>
      </c>
      <c r="D243" t="s">
        <v>111</v>
      </c>
      <c r="E243" t="s">
        <v>102</v>
      </c>
      <c r="F243" t="s">
        <v>103</v>
      </c>
      <c r="G243" t="s">
        <v>18</v>
      </c>
      <c r="H243" t="s">
        <v>66</v>
      </c>
      <c r="I243" t="str">
        <f>LEFT(H243,FIND(" (",H243)-1)</f>
        <v>Senior</v>
      </c>
      <c r="J243" t="str">
        <f>MID(H243,FIND("(",H243)+1,FIND(")",H243)-FIND("(",H243)-1)</f>
        <v>5-8 yrs</v>
      </c>
      <c r="L243">
        <v>146902</v>
      </c>
      <c r="M243" t="s">
        <v>610</v>
      </c>
      <c r="N243" t="s">
        <v>33</v>
      </c>
      <c r="O243" t="s">
        <v>22</v>
      </c>
      <c r="P243" s="1">
        <v>45346</v>
      </c>
      <c r="Q243">
        <v>2113</v>
      </c>
      <c r="R243">
        <v>3966</v>
      </c>
      <c r="S243" t="s">
        <v>23</v>
      </c>
      <c r="T243">
        <v>4</v>
      </c>
      <c r="U243" t="s">
        <v>58</v>
      </c>
      <c r="V243" t="s">
        <v>59</v>
      </c>
      <c r="W243" t="s">
        <v>23</v>
      </c>
    </row>
    <row r="244" spans="1:23" x14ac:dyDescent="0.3">
      <c r="A244" t="s">
        <v>611</v>
      </c>
      <c r="B244" t="s">
        <v>172</v>
      </c>
      <c r="C244" t="s">
        <v>48</v>
      </c>
      <c r="D244" t="s">
        <v>38</v>
      </c>
      <c r="E244" t="s">
        <v>200</v>
      </c>
      <c r="F244" t="s">
        <v>201</v>
      </c>
      <c r="G244" t="s">
        <v>55</v>
      </c>
      <c r="H244" t="s">
        <v>31</v>
      </c>
      <c r="I244" t="str">
        <f>LEFT(H244,FIND(" (",H244)-1)</f>
        <v>Staff/Principal</v>
      </c>
      <c r="J244" t="str">
        <f>MID(H244,FIND("(",H244)+1,FIND(")",H244)-FIND("(",H244)-1)</f>
        <v>8+ yrs</v>
      </c>
      <c r="L244">
        <v>218179</v>
      </c>
      <c r="M244" t="s">
        <v>612</v>
      </c>
      <c r="N244" t="s">
        <v>245</v>
      </c>
      <c r="O244" t="s">
        <v>44</v>
      </c>
      <c r="P244" s="1">
        <v>45538</v>
      </c>
      <c r="Q244">
        <v>1989</v>
      </c>
      <c r="R244">
        <v>3923</v>
      </c>
      <c r="S244" t="s">
        <v>23</v>
      </c>
      <c r="T244">
        <v>6</v>
      </c>
      <c r="U244" t="s">
        <v>83</v>
      </c>
      <c r="V244" t="s">
        <v>24</v>
      </c>
      <c r="W244" t="s">
        <v>23</v>
      </c>
    </row>
    <row r="245" spans="1:23" x14ac:dyDescent="0.3">
      <c r="A245" t="s">
        <v>613</v>
      </c>
      <c r="B245" t="s">
        <v>91</v>
      </c>
      <c r="C245" t="s">
        <v>173</v>
      </c>
      <c r="D245" t="s">
        <v>125</v>
      </c>
      <c r="E245" t="s">
        <v>5136</v>
      </c>
      <c r="F245" t="s">
        <v>5133</v>
      </c>
      <c r="G245" t="s">
        <v>18</v>
      </c>
      <c r="H245" t="s">
        <v>66</v>
      </c>
      <c r="I245" t="str">
        <f>LEFT(H245,FIND(" (",H245)-1)</f>
        <v>Senior</v>
      </c>
      <c r="J245" t="str">
        <f>MID(H245,FIND("(",H245)+1,FIND(")",H245)-FIND("(",H245)-1)</f>
        <v>5-8 yrs</v>
      </c>
      <c r="L245">
        <v>173375</v>
      </c>
      <c r="M245" t="s">
        <v>614</v>
      </c>
      <c r="N245" t="s">
        <v>21</v>
      </c>
      <c r="O245" t="s">
        <v>79</v>
      </c>
      <c r="P245" s="1">
        <v>45675</v>
      </c>
      <c r="Q245">
        <v>1078</v>
      </c>
      <c r="R245">
        <v>2053</v>
      </c>
      <c r="S245" t="s">
        <v>23</v>
      </c>
      <c r="T245">
        <v>4</v>
      </c>
      <c r="U245" t="s">
        <v>52</v>
      </c>
      <c r="V245" t="s">
        <v>59</v>
      </c>
      <c r="W245" t="s">
        <v>23</v>
      </c>
    </row>
    <row r="246" spans="1:23" x14ac:dyDescent="0.3">
      <c r="A246" t="s">
        <v>615</v>
      </c>
      <c r="B246" t="s">
        <v>106</v>
      </c>
      <c r="C246" t="s">
        <v>192</v>
      </c>
      <c r="D246" t="s">
        <v>111</v>
      </c>
      <c r="E246" t="s">
        <v>87</v>
      </c>
      <c r="F246" t="s">
        <v>87</v>
      </c>
      <c r="G246" t="s">
        <v>55</v>
      </c>
      <c r="H246" t="s">
        <v>56</v>
      </c>
      <c r="I246" t="str">
        <f>LEFT(H246,FIND(" (",H246)-1)</f>
        <v>Mid</v>
      </c>
      <c r="J246" t="str">
        <f>MID(H246,FIND("(",H246)+1,FIND(")",H246)-FIND("(",H246)-1)</f>
        <v>2-5 yrs</v>
      </c>
      <c r="L246">
        <v>86234</v>
      </c>
      <c r="M246" t="s">
        <v>616</v>
      </c>
      <c r="N246" t="s">
        <v>33</v>
      </c>
      <c r="O246" t="s">
        <v>22</v>
      </c>
      <c r="P246" s="1">
        <v>45720</v>
      </c>
      <c r="Q246">
        <v>473</v>
      </c>
      <c r="R246">
        <v>3483</v>
      </c>
      <c r="S246" t="s">
        <v>23</v>
      </c>
      <c r="T246">
        <v>2</v>
      </c>
      <c r="U246" t="s">
        <v>83</v>
      </c>
      <c r="V246" t="s">
        <v>24</v>
      </c>
      <c r="W246" t="s">
        <v>23</v>
      </c>
    </row>
    <row r="247" spans="1:23" x14ac:dyDescent="0.3">
      <c r="A247" t="s">
        <v>617</v>
      </c>
      <c r="B247" t="s">
        <v>143</v>
      </c>
      <c r="C247" t="s">
        <v>192</v>
      </c>
      <c r="D247" t="s">
        <v>75</v>
      </c>
      <c r="E247" t="s">
        <v>159</v>
      </c>
      <c r="F247" t="s">
        <v>160</v>
      </c>
      <c r="G247" t="s">
        <v>18</v>
      </c>
      <c r="H247" t="s">
        <v>66</v>
      </c>
      <c r="I247" t="str">
        <f>LEFT(H247,FIND(" (",H247)-1)</f>
        <v>Senior</v>
      </c>
      <c r="J247" t="str">
        <f>MID(H247,FIND("(",H247)+1,FIND(")",H247)-FIND("(",H247)-1)</f>
        <v>5-8 yrs</v>
      </c>
      <c r="L247">
        <v>140968</v>
      </c>
      <c r="M247" t="s">
        <v>618</v>
      </c>
      <c r="N247" t="s">
        <v>141</v>
      </c>
      <c r="O247" t="s">
        <v>22</v>
      </c>
      <c r="P247" s="1">
        <v>45683</v>
      </c>
      <c r="Q247">
        <v>1722</v>
      </c>
      <c r="R247">
        <v>1622</v>
      </c>
      <c r="S247" t="s">
        <v>99</v>
      </c>
      <c r="T247">
        <v>4</v>
      </c>
      <c r="U247" t="s">
        <v>52</v>
      </c>
      <c r="V247" t="s">
        <v>24</v>
      </c>
      <c r="W247" t="s">
        <v>34</v>
      </c>
    </row>
    <row r="248" spans="1:23" x14ac:dyDescent="0.3">
      <c r="A248" t="s">
        <v>619</v>
      </c>
      <c r="B248" t="s">
        <v>131</v>
      </c>
      <c r="C248" t="s">
        <v>167</v>
      </c>
      <c r="D248" t="s">
        <v>75</v>
      </c>
      <c r="E248" t="s">
        <v>5132</v>
      </c>
      <c r="F248" t="s">
        <v>5133</v>
      </c>
      <c r="G248" t="s">
        <v>41</v>
      </c>
      <c r="H248" t="s">
        <v>31</v>
      </c>
      <c r="I248" t="str">
        <f>LEFT(H248,FIND(" (",H248)-1)</f>
        <v>Staff/Principal</v>
      </c>
      <c r="J248" t="str">
        <f>MID(H248,FIND("(",H248)+1,FIND(")",H248)-FIND("(",H248)-1)</f>
        <v>8+ yrs</v>
      </c>
      <c r="L248">
        <v>182901</v>
      </c>
      <c r="M248" t="s">
        <v>620</v>
      </c>
      <c r="N248" t="s">
        <v>120</v>
      </c>
      <c r="O248" t="s">
        <v>22</v>
      </c>
      <c r="P248" s="1">
        <v>45298</v>
      </c>
      <c r="Q248">
        <v>1403</v>
      </c>
      <c r="R248">
        <v>1940</v>
      </c>
      <c r="S248" t="s">
        <v>99</v>
      </c>
      <c r="T248">
        <v>6</v>
      </c>
      <c r="U248" t="s">
        <v>45</v>
      </c>
      <c r="V248" t="s">
        <v>24</v>
      </c>
      <c r="W248" t="s">
        <v>23</v>
      </c>
    </row>
    <row r="249" spans="1:23" x14ac:dyDescent="0.3">
      <c r="A249" t="s">
        <v>621</v>
      </c>
      <c r="B249" t="s">
        <v>106</v>
      </c>
      <c r="C249" t="s">
        <v>107</v>
      </c>
      <c r="D249" t="s">
        <v>28</v>
      </c>
      <c r="E249" t="s">
        <v>5141</v>
      </c>
      <c r="F249" t="s">
        <v>5133</v>
      </c>
      <c r="G249" t="s">
        <v>18</v>
      </c>
      <c r="H249" t="s">
        <v>31</v>
      </c>
      <c r="I249" t="str">
        <f>LEFT(H249,FIND(" (",H249)-1)</f>
        <v>Staff/Principal</v>
      </c>
      <c r="J249" t="str">
        <f>MID(H249,FIND("(",H249)+1,FIND(")",H249)-FIND("(",H249)-1)</f>
        <v>8+ yrs</v>
      </c>
      <c r="L249">
        <v>176480</v>
      </c>
      <c r="M249" t="s">
        <v>622</v>
      </c>
      <c r="N249" t="s">
        <v>149</v>
      </c>
      <c r="O249" t="s">
        <v>44</v>
      </c>
      <c r="P249" s="1">
        <v>45497</v>
      </c>
      <c r="Q249">
        <v>2070</v>
      </c>
      <c r="R249">
        <v>3517</v>
      </c>
      <c r="S249" t="s">
        <v>23</v>
      </c>
      <c r="T249">
        <v>6</v>
      </c>
      <c r="U249" t="s">
        <v>52</v>
      </c>
      <c r="V249" t="s">
        <v>59</v>
      </c>
      <c r="W249" t="s">
        <v>23</v>
      </c>
    </row>
    <row r="250" spans="1:23" x14ac:dyDescent="0.3">
      <c r="A250" t="s">
        <v>623</v>
      </c>
      <c r="B250" t="s">
        <v>96</v>
      </c>
      <c r="C250" t="s">
        <v>132</v>
      </c>
      <c r="D250" t="s">
        <v>147</v>
      </c>
      <c r="E250" t="s">
        <v>102</v>
      </c>
      <c r="F250" t="s">
        <v>103</v>
      </c>
      <c r="G250" t="s">
        <v>18</v>
      </c>
      <c r="H250" t="s">
        <v>19</v>
      </c>
      <c r="I250" t="str">
        <f>LEFT(H250,FIND(" (",H250)-1)</f>
        <v>Entry</v>
      </c>
      <c r="J250" t="str">
        <f>MID(H250,FIND("(",H250)+1,FIND(")",H250)-FIND("(",H250)-1)</f>
        <v>0-2 yrs</v>
      </c>
      <c r="L250">
        <v>92244</v>
      </c>
      <c r="M250" t="s">
        <v>624</v>
      </c>
      <c r="N250" t="s">
        <v>21</v>
      </c>
      <c r="O250" t="s">
        <v>22</v>
      </c>
      <c r="P250" s="1">
        <v>45360</v>
      </c>
      <c r="Q250">
        <v>969</v>
      </c>
      <c r="R250">
        <v>255</v>
      </c>
      <c r="S250" t="s">
        <v>34</v>
      </c>
      <c r="T250">
        <v>0</v>
      </c>
      <c r="U250" t="s">
        <v>45</v>
      </c>
      <c r="V250" t="s">
        <v>24</v>
      </c>
      <c r="W250" t="s">
        <v>23</v>
      </c>
    </row>
    <row r="251" spans="1:23" x14ac:dyDescent="0.3">
      <c r="A251" t="s">
        <v>625</v>
      </c>
      <c r="B251" t="s">
        <v>172</v>
      </c>
      <c r="C251" t="s">
        <v>195</v>
      </c>
      <c r="D251" t="s">
        <v>38</v>
      </c>
      <c r="E251" t="s">
        <v>16</v>
      </c>
      <c r="F251" t="s">
        <v>17</v>
      </c>
      <c r="G251" t="s">
        <v>18</v>
      </c>
      <c r="H251" t="s">
        <v>66</v>
      </c>
      <c r="I251" t="str">
        <f>LEFT(H251,FIND(" (",H251)-1)</f>
        <v>Senior</v>
      </c>
      <c r="J251" t="str">
        <f>MID(H251,FIND("(",H251)+1,FIND(")",H251)-FIND("(",H251)-1)</f>
        <v>5-8 yrs</v>
      </c>
      <c r="L251">
        <v>160934</v>
      </c>
      <c r="M251" t="s">
        <v>626</v>
      </c>
      <c r="N251" t="s">
        <v>33</v>
      </c>
      <c r="O251" t="s">
        <v>51</v>
      </c>
      <c r="P251" s="1">
        <v>45578</v>
      </c>
      <c r="Q251">
        <v>1014</v>
      </c>
      <c r="R251">
        <v>3206</v>
      </c>
      <c r="S251" t="s">
        <v>23</v>
      </c>
      <c r="T251">
        <v>4</v>
      </c>
      <c r="U251" t="s">
        <v>45</v>
      </c>
      <c r="V251" t="s">
        <v>24</v>
      </c>
      <c r="W251" t="s">
        <v>23</v>
      </c>
    </row>
    <row r="252" spans="1:23" x14ac:dyDescent="0.3">
      <c r="A252" t="s">
        <v>627</v>
      </c>
      <c r="B252" t="s">
        <v>172</v>
      </c>
      <c r="C252" t="s">
        <v>14</v>
      </c>
      <c r="D252" t="s">
        <v>111</v>
      </c>
      <c r="E252" t="s">
        <v>5134</v>
      </c>
      <c r="F252" t="s">
        <v>5133</v>
      </c>
      <c r="G252" t="s">
        <v>41</v>
      </c>
      <c r="H252" t="s">
        <v>19</v>
      </c>
      <c r="I252" t="str">
        <f>LEFT(H252,FIND(" (",H252)-1)</f>
        <v>Entry</v>
      </c>
      <c r="J252" t="str">
        <f>MID(H252,FIND("(",H252)+1,FIND(")",H252)-FIND("(",H252)-1)</f>
        <v>0-2 yrs</v>
      </c>
      <c r="L252">
        <v>54112</v>
      </c>
      <c r="M252" t="s">
        <v>628</v>
      </c>
      <c r="N252" t="s">
        <v>33</v>
      </c>
      <c r="O252" t="s">
        <v>51</v>
      </c>
      <c r="P252" s="1">
        <v>45529</v>
      </c>
      <c r="Q252">
        <v>592</v>
      </c>
      <c r="R252">
        <v>334</v>
      </c>
      <c r="S252" t="s">
        <v>34</v>
      </c>
      <c r="T252">
        <v>0</v>
      </c>
      <c r="U252" t="s">
        <v>52</v>
      </c>
      <c r="V252" t="s">
        <v>24</v>
      </c>
      <c r="W252" t="s">
        <v>23</v>
      </c>
    </row>
    <row r="253" spans="1:23" x14ac:dyDescent="0.3">
      <c r="A253" t="s">
        <v>629</v>
      </c>
      <c r="B253" t="s">
        <v>36</v>
      </c>
      <c r="C253" t="s">
        <v>209</v>
      </c>
      <c r="D253" t="s">
        <v>38</v>
      </c>
      <c r="E253" t="s">
        <v>16</v>
      </c>
      <c r="F253" t="s">
        <v>17</v>
      </c>
      <c r="G253" t="s">
        <v>55</v>
      </c>
      <c r="H253" t="s">
        <v>31</v>
      </c>
      <c r="I253" t="str">
        <f>LEFT(H253,FIND(" (",H253)-1)</f>
        <v>Staff/Principal</v>
      </c>
      <c r="J253" t="str">
        <f>MID(H253,FIND("(",H253)+1,FIND(")",H253)-FIND("(",H253)-1)</f>
        <v>8+ yrs</v>
      </c>
      <c r="L253">
        <v>233043</v>
      </c>
      <c r="M253" t="s">
        <v>630</v>
      </c>
      <c r="N253" t="s">
        <v>186</v>
      </c>
      <c r="O253" t="s">
        <v>51</v>
      </c>
      <c r="P253" s="1">
        <v>45691</v>
      </c>
      <c r="Q253">
        <v>627</v>
      </c>
      <c r="R253">
        <v>872</v>
      </c>
      <c r="S253" t="s">
        <v>34</v>
      </c>
      <c r="T253">
        <v>6</v>
      </c>
      <c r="U253" t="s">
        <v>5123</v>
      </c>
      <c r="V253" t="s">
        <v>24</v>
      </c>
      <c r="W253" t="s">
        <v>23</v>
      </c>
    </row>
    <row r="254" spans="1:23" x14ac:dyDescent="0.3">
      <c r="A254" t="s">
        <v>631</v>
      </c>
      <c r="B254" t="s">
        <v>96</v>
      </c>
      <c r="C254" t="s">
        <v>179</v>
      </c>
      <c r="D254" t="s">
        <v>38</v>
      </c>
      <c r="E254" t="s">
        <v>5140</v>
      </c>
      <c r="F254" t="s">
        <v>5133</v>
      </c>
      <c r="G254" t="s">
        <v>41</v>
      </c>
      <c r="H254" t="s">
        <v>19</v>
      </c>
      <c r="I254" t="str">
        <f>LEFT(H254,FIND(" (",H254)-1)</f>
        <v>Entry</v>
      </c>
      <c r="J254" t="str">
        <f>MID(H254,FIND("(",H254)+1,FIND(")",H254)-FIND("(",H254)-1)</f>
        <v>0-2 yrs</v>
      </c>
      <c r="L254">
        <v>96739</v>
      </c>
      <c r="M254" t="s">
        <v>632</v>
      </c>
      <c r="N254" t="s">
        <v>141</v>
      </c>
      <c r="O254" t="s">
        <v>22</v>
      </c>
      <c r="P254" s="1">
        <v>45560</v>
      </c>
      <c r="Q254">
        <v>1463</v>
      </c>
      <c r="R254">
        <v>1825</v>
      </c>
      <c r="S254" t="s">
        <v>23</v>
      </c>
      <c r="T254">
        <v>0</v>
      </c>
      <c r="U254" t="s">
        <v>52</v>
      </c>
      <c r="V254" t="s">
        <v>24</v>
      </c>
      <c r="W254" t="s">
        <v>34</v>
      </c>
    </row>
    <row r="255" spans="1:23" x14ac:dyDescent="0.3">
      <c r="A255" t="s">
        <v>633</v>
      </c>
      <c r="B255" t="s">
        <v>229</v>
      </c>
      <c r="C255" t="s">
        <v>97</v>
      </c>
      <c r="D255" t="s">
        <v>111</v>
      </c>
      <c r="E255" t="s">
        <v>5132</v>
      </c>
      <c r="F255" t="s">
        <v>5133</v>
      </c>
      <c r="G255" t="s">
        <v>55</v>
      </c>
      <c r="H255" t="s">
        <v>66</v>
      </c>
      <c r="I255" t="str">
        <f>LEFT(H255,FIND(" (",H255)-1)</f>
        <v>Senior</v>
      </c>
      <c r="J255" t="str">
        <f>MID(H255,FIND("(",H255)+1,FIND(")",H255)-FIND("(",H255)-1)</f>
        <v>5-8 yrs</v>
      </c>
      <c r="L255">
        <v>177876</v>
      </c>
      <c r="M255" t="s">
        <v>634</v>
      </c>
      <c r="N255" t="s">
        <v>89</v>
      </c>
      <c r="O255" t="s">
        <v>51</v>
      </c>
      <c r="P255" s="1">
        <v>45531</v>
      </c>
      <c r="Q255">
        <v>2486</v>
      </c>
      <c r="R255">
        <v>1278</v>
      </c>
      <c r="S255" t="s">
        <v>99</v>
      </c>
      <c r="T255">
        <v>4</v>
      </c>
      <c r="U255" t="s">
        <v>58</v>
      </c>
      <c r="V255" t="s">
        <v>24</v>
      </c>
      <c r="W255" t="s">
        <v>23</v>
      </c>
    </row>
    <row r="256" spans="1:23" x14ac:dyDescent="0.3">
      <c r="A256" t="s">
        <v>635</v>
      </c>
      <c r="B256" t="s">
        <v>172</v>
      </c>
      <c r="C256" t="s">
        <v>192</v>
      </c>
      <c r="D256" t="s">
        <v>75</v>
      </c>
      <c r="E256" t="s">
        <v>5141</v>
      </c>
      <c r="F256" t="s">
        <v>5133</v>
      </c>
      <c r="G256" t="s">
        <v>18</v>
      </c>
      <c r="H256" t="s">
        <v>66</v>
      </c>
      <c r="I256" t="str">
        <f>LEFT(H256,FIND(" (",H256)-1)</f>
        <v>Senior</v>
      </c>
      <c r="J256" t="str">
        <f>MID(H256,FIND("(",H256)+1,FIND(")",H256)-FIND("(",H256)-1)</f>
        <v>5-8 yrs</v>
      </c>
      <c r="L256">
        <v>108977</v>
      </c>
      <c r="M256" t="s">
        <v>636</v>
      </c>
      <c r="N256" t="s">
        <v>120</v>
      </c>
      <c r="O256" t="s">
        <v>22</v>
      </c>
      <c r="P256" s="1">
        <v>45371</v>
      </c>
      <c r="Q256">
        <v>2314</v>
      </c>
      <c r="R256">
        <v>3888</v>
      </c>
      <c r="S256" t="s">
        <v>23</v>
      </c>
      <c r="T256">
        <v>4</v>
      </c>
      <c r="U256" t="s">
        <v>45</v>
      </c>
      <c r="V256" t="s">
        <v>24</v>
      </c>
      <c r="W256" t="s">
        <v>34</v>
      </c>
    </row>
    <row r="257" spans="1:23" x14ac:dyDescent="0.3">
      <c r="A257" t="s">
        <v>637</v>
      </c>
      <c r="B257" t="s">
        <v>81</v>
      </c>
      <c r="C257" t="s">
        <v>97</v>
      </c>
      <c r="D257" t="s">
        <v>147</v>
      </c>
      <c r="E257" t="s">
        <v>5140</v>
      </c>
      <c r="F257" t="s">
        <v>5133</v>
      </c>
      <c r="G257" t="s">
        <v>41</v>
      </c>
      <c r="H257" t="s">
        <v>56</v>
      </c>
      <c r="I257" t="str">
        <f>LEFT(H257,FIND(" (",H257)-1)</f>
        <v>Mid</v>
      </c>
      <c r="J257" t="str">
        <f>MID(H257,FIND("(",H257)+1,FIND(")",H257)-FIND("(",H257)-1)</f>
        <v>2-5 yrs</v>
      </c>
      <c r="L257">
        <v>100412</v>
      </c>
      <c r="M257" t="s">
        <v>638</v>
      </c>
      <c r="N257" t="s">
        <v>33</v>
      </c>
      <c r="O257" t="s">
        <v>44</v>
      </c>
      <c r="P257" s="1">
        <v>45388</v>
      </c>
      <c r="Q257">
        <v>1203</v>
      </c>
      <c r="R257">
        <v>1087</v>
      </c>
      <c r="S257" t="s">
        <v>34</v>
      </c>
      <c r="T257">
        <v>2</v>
      </c>
      <c r="U257" t="s">
        <v>52</v>
      </c>
      <c r="V257" t="s">
        <v>24</v>
      </c>
      <c r="W257" t="s">
        <v>23</v>
      </c>
    </row>
    <row r="258" spans="1:23" x14ac:dyDescent="0.3">
      <c r="A258" t="s">
        <v>639</v>
      </c>
      <c r="B258" t="s">
        <v>85</v>
      </c>
      <c r="C258" t="s">
        <v>97</v>
      </c>
      <c r="D258" t="s">
        <v>63</v>
      </c>
      <c r="E258" t="s">
        <v>230</v>
      </c>
      <c r="F258" t="s">
        <v>231</v>
      </c>
      <c r="G258" t="s">
        <v>41</v>
      </c>
      <c r="H258" t="s">
        <v>66</v>
      </c>
      <c r="I258" t="str">
        <f>LEFT(H258,FIND(" (",H258)-1)</f>
        <v>Senior</v>
      </c>
      <c r="J258" t="str">
        <f>MID(H258,FIND("(",H258)+1,FIND(")",H258)-FIND("(",H258)-1)</f>
        <v>5-8 yrs</v>
      </c>
      <c r="L258">
        <v>184206</v>
      </c>
      <c r="M258" t="s">
        <v>640</v>
      </c>
      <c r="N258" t="s">
        <v>149</v>
      </c>
      <c r="O258" t="s">
        <v>51</v>
      </c>
      <c r="P258" s="1">
        <v>45564</v>
      </c>
      <c r="Q258">
        <v>1414</v>
      </c>
      <c r="R258">
        <v>2879</v>
      </c>
      <c r="S258" t="s">
        <v>23</v>
      </c>
      <c r="T258">
        <v>4</v>
      </c>
      <c r="U258" t="s">
        <v>52</v>
      </c>
      <c r="V258" t="s">
        <v>24</v>
      </c>
      <c r="W258" t="s">
        <v>34</v>
      </c>
    </row>
    <row r="259" spans="1:23" x14ac:dyDescent="0.3">
      <c r="A259" t="s">
        <v>641</v>
      </c>
      <c r="B259" t="s">
        <v>26</v>
      </c>
      <c r="C259" t="s">
        <v>124</v>
      </c>
      <c r="D259" t="s">
        <v>63</v>
      </c>
      <c r="E259" t="s">
        <v>102</v>
      </c>
      <c r="F259" t="s">
        <v>103</v>
      </c>
      <c r="G259" t="s">
        <v>55</v>
      </c>
      <c r="H259" t="s">
        <v>19</v>
      </c>
      <c r="I259" t="str">
        <f>LEFT(H259,FIND(" (",H259)-1)</f>
        <v>Entry</v>
      </c>
      <c r="J259" t="str">
        <f>MID(H259,FIND("(",H259)+1,FIND(")",H259)-FIND("(",H259)-1)</f>
        <v>0-2 yrs</v>
      </c>
      <c r="L259">
        <v>61083</v>
      </c>
      <c r="M259" t="s">
        <v>642</v>
      </c>
      <c r="N259" t="s">
        <v>68</v>
      </c>
      <c r="O259" t="s">
        <v>22</v>
      </c>
      <c r="P259" s="1">
        <v>45436</v>
      </c>
      <c r="Q259">
        <v>2021</v>
      </c>
      <c r="R259">
        <v>1286</v>
      </c>
      <c r="S259" t="s">
        <v>23</v>
      </c>
      <c r="T259">
        <v>0</v>
      </c>
      <c r="U259" t="s">
        <v>58</v>
      </c>
      <c r="V259" t="s">
        <v>46</v>
      </c>
      <c r="W259" t="s">
        <v>23</v>
      </c>
    </row>
    <row r="260" spans="1:23" x14ac:dyDescent="0.3">
      <c r="A260" t="s">
        <v>643</v>
      </c>
      <c r="B260" t="s">
        <v>229</v>
      </c>
      <c r="C260" t="s">
        <v>167</v>
      </c>
      <c r="D260" t="s">
        <v>38</v>
      </c>
      <c r="E260" t="s">
        <v>5136</v>
      </c>
      <c r="F260" t="s">
        <v>5133</v>
      </c>
      <c r="G260" t="s">
        <v>55</v>
      </c>
      <c r="H260" t="s">
        <v>66</v>
      </c>
      <c r="I260" t="str">
        <f>LEFT(H260,FIND(" (",H260)-1)</f>
        <v>Senior</v>
      </c>
      <c r="J260" t="str">
        <f>MID(H260,FIND("(",H260)+1,FIND(")",H260)-FIND("(",H260)-1)</f>
        <v>5-8 yrs</v>
      </c>
      <c r="L260">
        <v>161983</v>
      </c>
      <c r="M260" t="s">
        <v>644</v>
      </c>
      <c r="N260" t="s">
        <v>89</v>
      </c>
      <c r="O260" t="s">
        <v>44</v>
      </c>
      <c r="P260" s="1">
        <v>45366</v>
      </c>
      <c r="Q260">
        <v>1324</v>
      </c>
      <c r="R260">
        <v>3357</v>
      </c>
      <c r="S260" t="s">
        <v>23</v>
      </c>
      <c r="T260">
        <v>4</v>
      </c>
      <c r="U260" t="s">
        <v>5123</v>
      </c>
      <c r="V260" t="s">
        <v>24</v>
      </c>
      <c r="W260" t="s">
        <v>23</v>
      </c>
    </row>
    <row r="261" spans="1:23" x14ac:dyDescent="0.3">
      <c r="A261" t="s">
        <v>645</v>
      </c>
      <c r="B261" t="s">
        <v>91</v>
      </c>
      <c r="C261" t="s">
        <v>192</v>
      </c>
      <c r="D261" t="s">
        <v>147</v>
      </c>
      <c r="E261" t="s">
        <v>39</v>
      </c>
      <c r="F261" t="s">
        <v>40</v>
      </c>
      <c r="G261" t="s">
        <v>18</v>
      </c>
      <c r="H261" t="s">
        <v>31</v>
      </c>
      <c r="I261" t="str">
        <f>LEFT(H261,FIND(" (",H261)-1)</f>
        <v>Staff/Principal</v>
      </c>
      <c r="J261" t="str">
        <f>MID(H261,FIND("(",H261)+1,FIND(")",H261)-FIND("(",H261)-1)</f>
        <v>8+ yrs</v>
      </c>
      <c r="L261">
        <v>227886</v>
      </c>
      <c r="M261" t="s">
        <v>646</v>
      </c>
      <c r="N261" t="s">
        <v>245</v>
      </c>
      <c r="O261" t="s">
        <v>51</v>
      </c>
      <c r="P261" s="1">
        <v>45309</v>
      </c>
      <c r="Q261">
        <v>1578</v>
      </c>
      <c r="R261">
        <v>3844</v>
      </c>
      <c r="S261" t="s">
        <v>23</v>
      </c>
      <c r="T261">
        <v>6</v>
      </c>
      <c r="U261" t="s">
        <v>5123</v>
      </c>
      <c r="V261" t="s">
        <v>59</v>
      </c>
      <c r="W261" t="s">
        <v>23</v>
      </c>
    </row>
    <row r="262" spans="1:23" x14ac:dyDescent="0.3">
      <c r="A262" t="s">
        <v>647</v>
      </c>
      <c r="B262" t="s">
        <v>13</v>
      </c>
      <c r="C262" t="s">
        <v>92</v>
      </c>
      <c r="D262" t="s">
        <v>147</v>
      </c>
      <c r="E262" t="s">
        <v>159</v>
      </c>
      <c r="F262" t="s">
        <v>160</v>
      </c>
      <c r="G262" t="s">
        <v>41</v>
      </c>
      <c r="H262" t="s">
        <v>66</v>
      </c>
      <c r="I262" t="str">
        <f>LEFT(H262,FIND(" (",H262)-1)</f>
        <v>Senior</v>
      </c>
      <c r="J262" t="str">
        <f>MID(H262,FIND("(",H262)+1,FIND(")",H262)-FIND("(",H262)-1)</f>
        <v>5-8 yrs</v>
      </c>
      <c r="L262">
        <v>124972</v>
      </c>
      <c r="M262" t="s">
        <v>648</v>
      </c>
      <c r="N262" t="s">
        <v>33</v>
      </c>
      <c r="O262" t="s">
        <v>51</v>
      </c>
      <c r="P262" s="1">
        <v>45393</v>
      </c>
      <c r="Q262">
        <v>985</v>
      </c>
      <c r="R262">
        <v>3263</v>
      </c>
      <c r="S262" t="s">
        <v>23</v>
      </c>
      <c r="T262">
        <v>4</v>
      </c>
      <c r="U262" t="s">
        <v>5123</v>
      </c>
      <c r="V262" t="s">
        <v>24</v>
      </c>
      <c r="W262" t="s">
        <v>34</v>
      </c>
    </row>
    <row r="263" spans="1:23" x14ac:dyDescent="0.3">
      <c r="A263" t="s">
        <v>649</v>
      </c>
      <c r="B263" t="s">
        <v>229</v>
      </c>
      <c r="C263" t="s">
        <v>27</v>
      </c>
      <c r="D263" t="s">
        <v>15</v>
      </c>
      <c r="E263" t="s">
        <v>216</v>
      </c>
      <c r="F263" t="s">
        <v>217</v>
      </c>
      <c r="G263" t="s">
        <v>18</v>
      </c>
      <c r="H263" t="s">
        <v>31</v>
      </c>
      <c r="I263" t="str">
        <f>LEFT(H263,FIND(" (",H263)-1)</f>
        <v>Staff/Principal</v>
      </c>
      <c r="J263" t="str">
        <f>MID(H263,FIND("(",H263)+1,FIND(")",H263)-FIND("(",H263)-1)</f>
        <v>8+ yrs</v>
      </c>
      <c r="L263">
        <v>197857</v>
      </c>
      <c r="M263" t="s">
        <v>650</v>
      </c>
      <c r="N263" t="s">
        <v>21</v>
      </c>
      <c r="O263" t="s">
        <v>22</v>
      </c>
      <c r="P263" s="1">
        <v>45686</v>
      </c>
      <c r="Q263">
        <v>930</v>
      </c>
      <c r="R263">
        <v>2882</v>
      </c>
      <c r="S263" t="s">
        <v>23</v>
      </c>
      <c r="T263">
        <v>6</v>
      </c>
      <c r="U263" t="s">
        <v>5123</v>
      </c>
      <c r="V263" t="s">
        <v>24</v>
      </c>
      <c r="W263" t="s">
        <v>34</v>
      </c>
    </row>
    <row r="264" spans="1:23" x14ac:dyDescent="0.3">
      <c r="A264" t="s">
        <v>651</v>
      </c>
      <c r="B264" t="s">
        <v>26</v>
      </c>
      <c r="C264" t="s">
        <v>74</v>
      </c>
      <c r="D264" t="s">
        <v>28</v>
      </c>
      <c r="E264" t="s">
        <v>39</v>
      </c>
      <c r="F264" t="s">
        <v>40</v>
      </c>
      <c r="G264" t="s">
        <v>41</v>
      </c>
      <c r="H264" t="s">
        <v>66</v>
      </c>
      <c r="I264" t="str">
        <f>LEFT(H264,FIND(" (",H264)-1)</f>
        <v>Senior</v>
      </c>
      <c r="J264" t="str">
        <f>MID(H264,FIND("(",H264)+1,FIND(")",H264)-FIND("(",H264)-1)</f>
        <v>5-8 yrs</v>
      </c>
      <c r="L264">
        <v>62485</v>
      </c>
      <c r="M264" t="s">
        <v>652</v>
      </c>
      <c r="N264" t="s">
        <v>33</v>
      </c>
      <c r="O264" t="s">
        <v>51</v>
      </c>
      <c r="P264" s="1">
        <v>45302</v>
      </c>
      <c r="Q264">
        <v>2307</v>
      </c>
      <c r="R264">
        <v>787</v>
      </c>
      <c r="S264" t="s">
        <v>23</v>
      </c>
      <c r="T264">
        <v>4</v>
      </c>
      <c r="U264" t="s">
        <v>83</v>
      </c>
      <c r="V264" t="s">
        <v>24</v>
      </c>
      <c r="W264" t="s">
        <v>23</v>
      </c>
    </row>
    <row r="265" spans="1:23" x14ac:dyDescent="0.3">
      <c r="A265" t="s">
        <v>653</v>
      </c>
      <c r="B265" t="s">
        <v>36</v>
      </c>
      <c r="C265" t="s">
        <v>54</v>
      </c>
      <c r="D265" t="s">
        <v>125</v>
      </c>
      <c r="E265" t="s">
        <v>5136</v>
      </c>
      <c r="F265" t="s">
        <v>5133</v>
      </c>
      <c r="G265" t="s">
        <v>41</v>
      </c>
      <c r="H265" t="s">
        <v>56</v>
      </c>
      <c r="I265" t="str">
        <f>LEFT(H265,FIND(" (",H265)-1)</f>
        <v>Mid</v>
      </c>
      <c r="J265" t="str">
        <f>MID(H265,FIND("(",H265)+1,FIND(")",H265)-FIND("(",H265)-1)</f>
        <v>2-5 yrs</v>
      </c>
      <c r="L265">
        <v>89717</v>
      </c>
      <c r="M265" t="s">
        <v>654</v>
      </c>
      <c r="N265" t="s">
        <v>94</v>
      </c>
      <c r="O265" t="s">
        <v>44</v>
      </c>
      <c r="P265" s="1">
        <v>45522</v>
      </c>
      <c r="Q265">
        <v>1791</v>
      </c>
      <c r="R265">
        <v>3188</v>
      </c>
      <c r="S265" t="s">
        <v>23</v>
      </c>
      <c r="T265">
        <v>2</v>
      </c>
      <c r="U265" t="s">
        <v>45</v>
      </c>
      <c r="V265" t="s">
        <v>59</v>
      </c>
      <c r="W265" t="s">
        <v>23</v>
      </c>
    </row>
    <row r="266" spans="1:23" x14ac:dyDescent="0.3">
      <c r="A266" t="s">
        <v>655</v>
      </c>
      <c r="B266" t="s">
        <v>26</v>
      </c>
      <c r="C266" t="s">
        <v>48</v>
      </c>
      <c r="D266" t="s">
        <v>49</v>
      </c>
      <c r="E266" t="s">
        <v>87</v>
      </c>
      <c r="F266" t="s">
        <v>87</v>
      </c>
      <c r="G266" t="s">
        <v>41</v>
      </c>
      <c r="H266" t="s">
        <v>31</v>
      </c>
      <c r="I266" t="str">
        <f>LEFT(H266,FIND(" (",H266)-1)</f>
        <v>Staff/Principal</v>
      </c>
      <c r="J266" t="str">
        <f>MID(H266,FIND("(",H266)+1,FIND(")",H266)-FIND("(",H266)-1)</f>
        <v>8+ yrs</v>
      </c>
      <c r="L266">
        <v>190907</v>
      </c>
      <c r="M266" t="s">
        <v>656</v>
      </c>
      <c r="N266" t="s">
        <v>94</v>
      </c>
      <c r="O266" t="s">
        <v>22</v>
      </c>
      <c r="P266" s="1">
        <v>45546</v>
      </c>
      <c r="Q266">
        <v>831</v>
      </c>
      <c r="R266">
        <v>741</v>
      </c>
      <c r="S266" t="s">
        <v>99</v>
      </c>
      <c r="T266">
        <v>6</v>
      </c>
      <c r="U266" t="s">
        <v>52</v>
      </c>
      <c r="V266" t="s">
        <v>24</v>
      </c>
      <c r="W266" t="s">
        <v>34</v>
      </c>
    </row>
    <row r="267" spans="1:23" x14ac:dyDescent="0.3">
      <c r="A267" t="s">
        <v>657</v>
      </c>
      <c r="B267" t="s">
        <v>229</v>
      </c>
      <c r="C267" t="s">
        <v>97</v>
      </c>
      <c r="D267" t="s">
        <v>63</v>
      </c>
      <c r="E267" t="s">
        <v>159</v>
      </c>
      <c r="F267" t="s">
        <v>160</v>
      </c>
      <c r="G267" t="s">
        <v>41</v>
      </c>
      <c r="H267" t="s">
        <v>31</v>
      </c>
      <c r="I267" t="str">
        <f>LEFT(H267,FIND(" (",H267)-1)</f>
        <v>Staff/Principal</v>
      </c>
      <c r="J267" t="str">
        <f>MID(H267,FIND("(",H267)+1,FIND(")",H267)-FIND("(",H267)-1)</f>
        <v>8+ yrs</v>
      </c>
      <c r="L267">
        <v>155079</v>
      </c>
      <c r="M267" t="s">
        <v>658</v>
      </c>
      <c r="N267" t="s">
        <v>245</v>
      </c>
      <c r="O267" t="s">
        <v>79</v>
      </c>
      <c r="P267" s="1">
        <v>45651</v>
      </c>
      <c r="Q267">
        <v>627</v>
      </c>
      <c r="R267">
        <v>1927</v>
      </c>
      <c r="S267" t="s">
        <v>23</v>
      </c>
      <c r="T267">
        <v>6</v>
      </c>
      <c r="U267" t="s">
        <v>5123</v>
      </c>
      <c r="V267" t="s">
        <v>24</v>
      </c>
      <c r="W267" t="s">
        <v>23</v>
      </c>
    </row>
    <row r="268" spans="1:23" x14ac:dyDescent="0.3">
      <c r="A268" t="s">
        <v>659</v>
      </c>
      <c r="B268" t="s">
        <v>329</v>
      </c>
      <c r="C268" t="s">
        <v>74</v>
      </c>
      <c r="D268" t="s">
        <v>147</v>
      </c>
      <c r="E268" t="s">
        <v>5135</v>
      </c>
      <c r="F268" t="s">
        <v>5133</v>
      </c>
      <c r="G268" t="s">
        <v>55</v>
      </c>
      <c r="H268" t="s">
        <v>66</v>
      </c>
      <c r="I268" t="str">
        <f>LEFT(H268,FIND(" (",H268)-1)</f>
        <v>Senior</v>
      </c>
      <c r="J268" t="str">
        <f>MID(H268,FIND("(",H268)+1,FIND(")",H268)-FIND("(",H268)-1)</f>
        <v>5-8 yrs</v>
      </c>
      <c r="L268">
        <v>194075</v>
      </c>
      <c r="M268" t="s">
        <v>660</v>
      </c>
      <c r="N268" t="s">
        <v>245</v>
      </c>
      <c r="O268" t="s">
        <v>22</v>
      </c>
      <c r="P268" s="1">
        <v>45428</v>
      </c>
      <c r="Q268">
        <v>2455</v>
      </c>
      <c r="R268">
        <v>2700</v>
      </c>
      <c r="S268" t="s">
        <v>34</v>
      </c>
      <c r="T268">
        <v>4</v>
      </c>
      <c r="U268" t="s">
        <v>52</v>
      </c>
      <c r="V268" t="s">
        <v>24</v>
      </c>
      <c r="W268" t="s">
        <v>23</v>
      </c>
    </row>
    <row r="269" spans="1:23" x14ac:dyDescent="0.3">
      <c r="A269" t="s">
        <v>661</v>
      </c>
      <c r="B269" t="s">
        <v>13</v>
      </c>
      <c r="C269" t="s">
        <v>48</v>
      </c>
      <c r="D269" t="s">
        <v>125</v>
      </c>
      <c r="E269" t="s">
        <v>39</v>
      </c>
      <c r="F269" t="s">
        <v>40</v>
      </c>
      <c r="G269" t="s">
        <v>41</v>
      </c>
      <c r="H269" t="s">
        <v>66</v>
      </c>
      <c r="I269" t="str">
        <f>LEFT(H269,FIND(" (",H269)-1)</f>
        <v>Senior</v>
      </c>
      <c r="J269" t="str">
        <f>MID(H269,FIND("(",H269)+1,FIND(")",H269)-FIND("(",H269)-1)</f>
        <v>5-8 yrs</v>
      </c>
      <c r="L269">
        <v>111386</v>
      </c>
      <c r="M269" t="s">
        <v>662</v>
      </c>
      <c r="N269" t="s">
        <v>43</v>
      </c>
      <c r="O269" t="s">
        <v>51</v>
      </c>
      <c r="P269" s="1">
        <v>45510</v>
      </c>
      <c r="Q269">
        <v>2114</v>
      </c>
      <c r="R269">
        <v>3833</v>
      </c>
      <c r="S269" t="s">
        <v>23</v>
      </c>
      <c r="T269">
        <v>4</v>
      </c>
      <c r="U269" t="s">
        <v>45</v>
      </c>
      <c r="V269" t="s">
        <v>24</v>
      </c>
      <c r="W269" t="s">
        <v>23</v>
      </c>
    </row>
    <row r="270" spans="1:23" x14ac:dyDescent="0.3">
      <c r="A270" t="s">
        <v>663</v>
      </c>
      <c r="B270" t="s">
        <v>225</v>
      </c>
      <c r="C270" t="s">
        <v>146</v>
      </c>
      <c r="D270" t="s">
        <v>147</v>
      </c>
      <c r="E270" t="s">
        <v>5139</v>
      </c>
      <c r="F270" t="s">
        <v>5133</v>
      </c>
      <c r="G270" t="s">
        <v>55</v>
      </c>
      <c r="H270" t="s">
        <v>31</v>
      </c>
      <c r="I270" t="str">
        <f>LEFT(H270,FIND(" (",H270)-1)</f>
        <v>Staff/Principal</v>
      </c>
      <c r="J270" t="str">
        <f>MID(H270,FIND("(",H270)+1,FIND(")",H270)-FIND("(",H270)-1)</f>
        <v>8+ yrs</v>
      </c>
      <c r="L270">
        <v>184158</v>
      </c>
      <c r="M270" t="s">
        <v>664</v>
      </c>
      <c r="N270" t="s">
        <v>89</v>
      </c>
      <c r="O270" t="s">
        <v>22</v>
      </c>
      <c r="P270" s="1">
        <v>45457</v>
      </c>
      <c r="Q270">
        <v>441</v>
      </c>
      <c r="R270">
        <v>1175</v>
      </c>
      <c r="S270" t="s">
        <v>23</v>
      </c>
      <c r="T270">
        <v>6</v>
      </c>
      <c r="U270" t="s">
        <v>83</v>
      </c>
      <c r="V270" t="s">
        <v>24</v>
      </c>
      <c r="W270" t="s">
        <v>23</v>
      </c>
    </row>
    <row r="271" spans="1:23" x14ac:dyDescent="0.3">
      <c r="A271" t="s">
        <v>665</v>
      </c>
      <c r="B271" t="s">
        <v>151</v>
      </c>
      <c r="C271" t="s">
        <v>239</v>
      </c>
      <c r="D271" t="s">
        <v>75</v>
      </c>
      <c r="E271" t="s">
        <v>29</v>
      </c>
      <c r="F271" t="s">
        <v>30</v>
      </c>
      <c r="G271" t="s">
        <v>18</v>
      </c>
      <c r="H271" t="s">
        <v>66</v>
      </c>
      <c r="I271" t="str">
        <f>LEFT(H271,FIND(" (",H271)-1)</f>
        <v>Senior</v>
      </c>
      <c r="J271" t="str">
        <f>MID(H271,FIND("(",H271)+1,FIND(")",H271)-FIND("(",H271)-1)</f>
        <v>5-8 yrs</v>
      </c>
      <c r="L271">
        <v>153529</v>
      </c>
      <c r="M271" t="s">
        <v>666</v>
      </c>
      <c r="N271" t="s">
        <v>33</v>
      </c>
      <c r="O271" t="s">
        <v>51</v>
      </c>
      <c r="P271" s="1">
        <v>45453</v>
      </c>
      <c r="Q271">
        <v>933</v>
      </c>
      <c r="R271">
        <v>396</v>
      </c>
      <c r="S271" t="s">
        <v>34</v>
      </c>
      <c r="T271">
        <v>4</v>
      </c>
      <c r="U271" t="s">
        <v>45</v>
      </c>
      <c r="V271" t="s">
        <v>24</v>
      </c>
      <c r="W271" t="s">
        <v>34</v>
      </c>
    </row>
    <row r="272" spans="1:23" x14ac:dyDescent="0.3">
      <c r="A272" t="s">
        <v>667</v>
      </c>
      <c r="B272" t="s">
        <v>143</v>
      </c>
      <c r="C272" t="s">
        <v>107</v>
      </c>
      <c r="D272" t="s">
        <v>174</v>
      </c>
      <c r="E272" t="s">
        <v>29</v>
      </c>
      <c r="F272" t="s">
        <v>30</v>
      </c>
      <c r="G272" t="s">
        <v>18</v>
      </c>
      <c r="H272" t="s">
        <v>56</v>
      </c>
      <c r="I272" t="str">
        <f>LEFT(H272,FIND(" (",H272)-1)</f>
        <v>Mid</v>
      </c>
      <c r="J272" t="str">
        <f>MID(H272,FIND("(",H272)+1,FIND(")",H272)-FIND("(",H272)-1)</f>
        <v>2-5 yrs</v>
      </c>
      <c r="L272">
        <v>138537</v>
      </c>
      <c r="M272" t="s">
        <v>668</v>
      </c>
      <c r="N272" t="s">
        <v>33</v>
      </c>
      <c r="O272" t="s">
        <v>44</v>
      </c>
      <c r="P272" s="1">
        <v>45445</v>
      </c>
      <c r="Q272">
        <v>1008</v>
      </c>
      <c r="R272">
        <v>2009</v>
      </c>
      <c r="S272" t="s">
        <v>23</v>
      </c>
      <c r="T272">
        <v>2</v>
      </c>
      <c r="U272" t="s">
        <v>83</v>
      </c>
      <c r="V272" t="s">
        <v>59</v>
      </c>
      <c r="W272" t="s">
        <v>34</v>
      </c>
    </row>
    <row r="273" spans="1:23" x14ac:dyDescent="0.3">
      <c r="A273" t="s">
        <v>669</v>
      </c>
      <c r="B273" t="s">
        <v>81</v>
      </c>
      <c r="C273" t="s">
        <v>14</v>
      </c>
      <c r="D273" t="s">
        <v>147</v>
      </c>
      <c r="E273" t="s">
        <v>200</v>
      </c>
      <c r="F273" t="s">
        <v>201</v>
      </c>
      <c r="G273" t="s">
        <v>18</v>
      </c>
      <c r="H273" t="s">
        <v>19</v>
      </c>
      <c r="I273" t="str">
        <f>LEFT(H273,FIND(" (",H273)-1)</f>
        <v>Entry</v>
      </c>
      <c r="J273" t="str">
        <f>MID(H273,FIND("(",H273)+1,FIND(")",H273)-FIND("(",H273)-1)</f>
        <v>0-2 yrs</v>
      </c>
      <c r="L273">
        <v>51908</v>
      </c>
      <c r="M273" t="s">
        <v>670</v>
      </c>
      <c r="N273" t="s">
        <v>33</v>
      </c>
      <c r="O273" t="s">
        <v>79</v>
      </c>
      <c r="P273" s="1">
        <v>45691</v>
      </c>
      <c r="Q273">
        <v>793</v>
      </c>
      <c r="R273">
        <v>3572</v>
      </c>
      <c r="S273" t="s">
        <v>23</v>
      </c>
      <c r="T273">
        <v>0</v>
      </c>
      <c r="U273" t="s">
        <v>83</v>
      </c>
      <c r="V273" t="s">
        <v>46</v>
      </c>
      <c r="W273" t="s">
        <v>23</v>
      </c>
    </row>
    <row r="274" spans="1:23" x14ac:dyDescent="0.3">
      <c r="A274" t="s">
        <v>671</v>
      </c>
      <c r="B274" t="s">
        <v>137</v>
      </c>
      <c r="C274" t="s">
        <v>146</v>
      </c>
      <c r="D274" t="s">
        <v>111</v>
      </c>
      <c r="E274" t="s">
        <v>230</v>
      </c>
      <c r="F274" t="s">
        <v>231</v>
      </c>
      <c r="G274" t="s">
        <v>41</v>
      </c>
      <c r="H274" t="s">
        <v>19</v>
      </c>
      <c r="I274" t="str">
        <f>LEFT(H274,FIND(" (",H274)-1)</f>
        <v>Entry</v>
      </c>
      <c r="J274" t="str">
        <f>MID(H274,FIND("(",H274)+1,FIND(")",H274)-FIND("(",H274)-1)</f>
        <v>0-2 yrs</v>
      </c>
      <c r="L274">
        <v>84655</v>
      </c>
      <c r="M274" t="s">
        <v>672</v>
      </c>
      <c r="N274" t="s">
        <v>141</v>
      </c>
      <c r="O274" t="s">
        <v>51</v>
      </c>
      <c r="P274" s="1">
        <v>45455</v>
      </c>
      <c r="Q274">
        <v>668</v>
      </c>
      <c r="R274">
        <v>919</v>
      </c>
      <c r="S274" t="s">
        <v>23</v>
      </c>
      <c r="T274">
        <v>0</v>
      </c>
      <c r="U274" t="s">
        <v>58</v>
      </c>
      <c r="V274" t="s">
        <v>24</v>
      </c>
      <c r="W274" t="s">
        <v>34</v>
      </c>
    </row>
    <row r="275" spans="1:23" x14ac:dyDescent="0.3">
      <c r="A275" t="s">
        <v>673</v>
      </c>
      <c r="B275" t="s">
        <v>96</v>
      </c>
      <c r="C275" t="s">
        <v>192</v>
      </c>
      <c r="D275" t="s">
        <v>147</v>
      </c>
      <c r="E275" t="s">
        <v>133</v>
      </c>
      <c r="F275" t="s">
        <v>134</v>
      </c>
      <c r="G275" t="s">
        <v>18</v>
      </c>
      <c r="H275" t="s">
        <v>19</v>
      </c>
      <c r="I275" t="str">
        <f>LEFT(H275,FIND(" (",H275)-1)</f>
        <v>Entry</v>
      </c>
      <c r="J275" t="str">
        <f>MID(H275,FIND("(",H275)+1,FIND(")",H275)-FIND("(",H275)-1)</f>
        <v>0-2 yrs</v>
      </c>
      <c r="L275">
        <v>70128</v>
      </c>
      <c r="M275" t="s">
        <v>674</v>
      </c>
      <c r="N275" t="s">
        <v>245</v>
      </c>
      <c r="O275" t="s">
        <v>51</v>
      </c>
      <c r="P275" s="1">
        <v>45335</v>
      </c>
      <c r="Q275">
        <v>1103</v>
      </c>
      <c r="R275">
        <v>2308</v>
      </c>
      <c r="S275" t="s">
        <v>23</v>
      </c>
      <c r="T275">
        <v>0</v>
      </c>
      <c r="U275" t="s">
        <v>83</v>
      </c>
      <c r="V275" t="s">
        <v>24</v>
      </c>
      <c r="W275" t="s">
        <v>34</v>
      </c>
    </row>
    <row r="276" spans="1:23" x14ac:dyDescent="0.3">
      <c r="A276" t="s">
        <v>675</v>
      </c>
      <c r="B276" t="s">
        <v>329</v>
      </c>
      <c r="C276" t="s">
        <v>71</v>
      </c>
      <c r="D276" t="s">
        <v>28</v>
      </c>
      <c r="E276" t="s">
        <v>200</v>
      </c>
      <c r="F276" t="s">
        <v>201</v>
      </c>
      <c r="G276" t="s">
        <v>18</v>
      </c>
      <c r="H276" t="s">
        <v>66</v>
      </c>
      <c r="I276" t="str">
        <f>LEFT(H276,FIND(" (",H276)-1)</f>
        <v>Senior</v>
      </c>
      <c r="J276" t="str">
        <f>MID(H276,FIND("(",H276)+1,FIND(")",H276)-FIND("(",H276)-1)</f>
        <v>5-8 yrs</v>
      </c>
      <c r="L276">
        <v>123499</v>
      </c>
      <c r="M276" t="s">
        <v>676</v>
      </c>
      <c r="N276" t="s">
        <v>186</v>
      </c>
      <c r="O276" t="s">
        <v>22</v>
      </c>
      <c r="P276" s="1">
        <v>45635</v>
      </c>
      <c r="Q276">
        <v>1732</v>
      </c>
      <c r="R276">
        <v>2534</v>
      </c>
      <c r="S276" t="s">
        <v>23</v>
      </c>
      <c r="T276">
        <v>4</v>
      </c>
      <c r="U276" t="s">
        <v>58</v>
      </c>
      <c r="V276" t="s">
        <v>24</v>
      </c>
      <c r="W276" t="s">
        <v>34</v>
      </c>
    </row>
    <row r="277" spans="1:23" x14ac:dyDescent="0.3">
      <c r="A277" t="s">
        <v>677</v>
      </c>
      <c r="B277" t="s">
        <v>91</v>
      </c>
      <c r="C277" t="s">
        <v>239</v>
      </c>
      <c r="D277" t="s">
        <v>125</v>
      </c>
      <c r="E277" t="s">
        <v>5141</v>
      </c>
      <c r="F277" t="s">
        <v>5133</v>
      </c>
      <c r="G277" t="s">
        <v>18</v>
      </c>
      <c r="H277" t="s">
        <v>56</v>
      </c>
      <c r="I277" t="str">
        <f>LEFT(H277,FIND(" (",H277)-1)</f>
        <v>Mid</v>
      </c>
      <c r="J277" t="str">
        <f>MID(H277,FIND("(",H277)+1,FIND(")",H277)-FIND("(",H277)-1)</f>
        <v>2-5 yrs</v>
      </c>
      <c r="L277">
        <v>119149</v>
      </c>
      <c r="M277" t="s">
        <v>678</v>
      </c>
      <c r="N277" t="s">
        <v>21</v>
      </c>
      <c r="O277" t="s">
        <v>44</v>
      </c>
      <c r="P277" s="1">
        <v>45664</v>
      </c>
      <c r="Q277">
        <v>1478</v>
      </c>
      <c r="R277">
        <v>66</v>
      </c>
      <c r="S277" t="s">
        <v>23</v>
      </c>
      <c r="T277">
        <v>2</v>
      </c>
      <c r="U277" t="s">
        <v>5123</v>
      </c>
      <c r="V277" t="s">
        <v>24</v>
      </c>
      <c r="W277" t="s">
        <v>23</v>
      </c>
    </row>
    <row r="278" spans="1:23" x14ac:dyDescent="0.3">
      <c r="A278" t="s">
        <v>679</v>
      </c>
      <c r="B278" t="s">
        <v>236</v>
      </c>
      <c r="C278" t="s">
        <v>48</v>
      </c>
      <c r="D278" t="s">
        <v>15</v>
      </c>
      <c r="E278" t="s">
        <v>133</v>
      </c>
      <c r="F278" t="s">
        <v>134</v>
      </c>
      <c r="G278" t="s">
        <v>18</v>
      </c>
      <c r="H278" t="s">
        <v>56</v>
      </c>
      <c r="I278" t="str">
        <f>LEFT(H278,FIND(" (",H278)-1)</f>
        <v>Mid</v>
      </c>
      <c r="J278" t="str">
        <f>MID(H278,FIND("(",H278)+1,FIND(")",H278)-FIND("(",H278)-1)</f>
        <v>2-5 yrs</v>
      </c>
      <c r="L278">
        <v>113941</v>
      </c>
      <c r="M278" t="s">
        <v>680</v>
      </c>
      <c r="N278" t="s">
        <v>33</v>
      </c>
      <c r="O278" t="s">
        <v>51</v>
      </c>
      <c r="P278" s="1">
        <v>45571</v>
      </c>
      <c r="Q278">
        <v>2457</v>
      </c>
      <c r="R278">
        <v>188</v>
      </c>
      <c r="S278" t="s">
        <v>23</v>
      </c>
      <c r="T278">
        <v>2</v>
      </c>
      <c r="U278" t="s">
        <v>5123</v>
      </c>
      <c r="V278" t="s">
        <v>24</v>
      </c>
      <c r="W278" t="s">
        <v>23</v>
      </c>
    </row>
    <row r="279" spans="1:23" x14ac:dyDescent="0.3">
      <c r="A279" t="s">
        <v>681</v>
      </c>
      <c r="B279" t="s">
        <v>85</v>
      </c>
      <c r="C279" t="s">
        <v>239</v>
      </c>
      <c r="D279" t="s">
        <v>174</v>
      </c>
      <c r="E279" t="s">
        <v>5135</v>
      </c>
      <c r="F279" t="s">
        <v>5133</v>
      </c>
      <c r="G279" t="s">
        <v>41</v>
      </c>
      <c r="H279" t="s">
        <v>66</v>
      </c>
      <c r="I279" t="str">
        <f>LEFT(H279,FIND(" (",H279)-1)</f>
        <v>Senior</v>
      </c>
      <c r="J279" t="str">
        <f>MID(H279,FIND("(",H279)+1,FIND(")",H279)-FIND("(",H279)-1)</f>
        <v>5-8 yrs</v>
      </c>
      <c r="L279">
        <v>133794</v>
      </c>
      <c r="M279" t="s">
        <v>682</v>
      </c>
      <c r="N279" t="s">
        <v>33</v>
      </c>
      <c r="O279" t="s">
        <v>44</v>
      </c>
      <c r="P279" s="1">
        <v>45296</v>
      </c>
      <c r="Q279">
        <v>378</v>
      </c>
      <c r="R279">
        <v>1208</v>
      </c>
      <c r="S279" t="s">
        <v>99</v>
      </c>
      <c r="T279">
        <v>4</v>
      </c>
      <c r="U279" t="s">
        <v>58</v>
      </c>
      <c r="V279" t="s">
        <v>24</v>
      </c>
      <c r="W279" t="s">
        <v>34</v>
      </c>
    </row>
    <row r="280" spans="1:23" x14ac:dyDescent="0.3">
      <c r="A280" t="s">
        <v>683</v>
      </c>
      <c r="B280" t="s">
        <v>13</v>
      </c>
      <c r="C280" t="s">
        <v>74</v>
      </c>
      <c r="D280" t="s">
        <v>15</v>
      </c>
      <c r="E280" t="s">
        <v>159</v>
      </c>
      <c r="F280" t="s">
        <v>160</v>
      </c>
      <c r="G280" t="s">
        <v>55</v>
      </c>
      <c r="H280" t="s">
        <v>66</v>
      </c>
      <c r="I280" t="str">
        <f>LEFT(H280,FIND(" (",H280)-1)</f>
        <v>Senior</v>
      </c>
      <c r="J280" t="str">
        <f>MID(H280,FIND("(",H280)+1,FIND(")",H280)-FIND("(",H280)-1)</f>
        <v>5-8 yrs</v>
      </c>
      <c r="L280">
        <v>151884</v>
      </c>
      <c r="M280" t="s">
        <v>684</v>
      </c>
      <c r="N280" t="s">
        <v>33</v>
      </c>
      <c r="O280" t="s">
        <v>22</v>
      </c>
      <c r="P280" s="1">
        <v>45564</v>
      </c>
      <c r="Q280">
        <v>2468</v>
      </c>
      <c r="R280">
        <v>1258</v>
      </c>
      <c r="S280" t="s">
        <v>23</v>
      </c>
      <c r="T280">
        <v>4</v>
      </c>
      <c r="U280" t="s">
        <v>58</v>
      </c>
      <c r="V280" t="s">
        <v>59</v>
      </c>
      <c r="W280" t="s">
        <v>34</v>
      </c>
    </row>
    <row r="281" spans="1:23" x14ac:dyDescent="0.3">
      <c r="A281" t="s">
        <v>685</v>
      </c>
      <c r="B281" t="s">
        <v>225</v>
      </c>
      <c r="C281" t="s">
        <v>74</v>
      </c>
      <c r="D281" t="s">
        <v>28</v>
      </c>
      <c r="E281" t="s">
        <v>230</v>
      </c>
      <c r="F281" t="s">
        <v>231</v>
      </c>
      <c r="G281" t="s">
        <v>18</v>
      </c>
      <c r="H281" t="s">
        <v>66</v>
      </c>
      <c r="I281" t="str">
        <f>LEFT(H281,FIND(" (",H281)-1)</f>
        <v>Senior</v>
      </c>
      <c r="J281" t="str">
        <f>MID(H281,FIND("(",H281)+1,FIND(")",H281)-FIND("(",H281)-1)</f>
        <v>5-8 yrs</v>
      </c>
      <c r="L281">
        <v>139596</v>
      </c>
      <c r="M281" t="s">
        <v>686</v>
      </c>
      <c r="N281" t="s">
        <v>186</v>
      </c>
      <c r="O281" t="s">
        <v>22</v>
      </c>
      <c r="P281" s="1">
        <v>45548</v>
      </c>
      <c r="Q281">
        <v>1699</v>
      </c>
      <c r="R281">
        <v>3684</v>
      </c>
      <c r="S281" t="s">
        <v>23</v>
      </c>
      <c r="T281">
        <v>4</v>
      </c>
      <c r="U281" t="s">
        <v>52</v>
      </c>
      <c r="V281" t="s">
        <v>24</v>
      </c>
      <c r="W281" t="s">
        <v>34</v>
      </c>
    </row>
    <row r="282" spans="1:23" x14ac:dyDescent="0.3">
      <c r="A282" t="s">
        <v>687</v>
      </c>
      <c r="B282" t="s">
        <v>85</v>
      </c>
      <c r="C282" t="s">
        <v>37</v>
      </c>
      <c r="D282" t="s">
        <v>75</v>
      </c>
      <c r="E282" t="s">
        <v>5139</v>
      </c>
      <c r="F282" t="s">
        <v>5133</v>
      </c>
      <c r="G282" t="s">
        <v>18</v>
      </c>
      <c r="H282" t="s">
        <v>56</v>
      </c>
      <c r="I282" t="str">
        <f>LEFT(H282,FIND(" (",H282)-1)</f>
        <v>Mid</v>
      </c>
      <c r="J282" t="str">
        <f>MID(H282,FIND("(",H282)+1,FIND(")",H282)-FIND("(",H282)-1)</f>
        <v>2-5 yrs</v>
      </c>
      <c r="L282">
        <v>112247</v>
      </c>
      <c r="M282" t="s">
        <v>688</v>
      </c>
      <c r="N282" t="s">
        <v>68</v>
      </c>
      <c r="O282" t="s">
        <v>51</v>
      </c>
      <c r="P282" s="1">
        <v>45370</v>
      </c>
      <c r="Q282">
        <v>1128</v>
      </c>
      <c r="R282">
        <v>3543</v>
      </c>
      <c r="S282" t="s">
        <v>34</v>
      </c>
      <c r="T282">
        <v>2</v>
      </c>
      <c r="U282" t="s">
        <v>83</v>
      </c>
      <c r="V282" t="s">
        <v>59</v>
      </c>
      <c r="W282" t="s">
        <v>34</v>
      </c>
    </row>
    <row r="283" spans="1:23" x14ac:dyDescent="0.3">
      <c r="A283" t="s">
        <v>689</v>
      </c>
      <c r="B283" t="s">
        <v>61</v>
      </c>
      <c r="C283" t="s">
        <v>107</v>
      </c>
      <c r="D283" t="s">
        <v>15</v>
      </c>
      <c r="E283" t="s">
        <v>5132</v>
      </c>
      <c r="F283" t="s">
        <v>5133</v>
      </c>
      <c r="G283" t="s">
        <v>18</v>
      </c>
      <c r="H283" t="s">
        <v>56</v>
      </c>
      <c r="I283" t="str">
        <f>LEFT(H283,FIND(" (",H283)-1)</f>
        <v>Mid</v>
      </c>
      <c r="J283" t="str">
        <f>MID(H283,FIND("(",H283)+1,FIND(")",H283)-FIND("(",H283)-1)</f>
        <v>2-5 yrs</v>
      </c>
      <c r="L283">
        <v>123110</v>
      </c>
      <c r="M283" t="s">
        <v>690</v>
      </c>
      <c r="N283" t="s">
        <v>33</v>
      </c>
      <c r="O283" t="s">
        <v>44</v>
      </c>
      <c r="P283" s="1">
        <v>45564</v>
      </c>
      <c r="Q283">
        <v>1995</v>
      </c>
      <c r="R283">
        <v>3947</v>
      </c>
      <c r="S283" t="s">
        <v>23</v>
      </c>
      <c r="T283">
        <v>2</v>
      </c>
      <c r="U283" t="s">
        <v>58</v>
      </c>
      <c r="V283" t="s">
        <v>59</v>
      </c>
      <c r="W283" t="s">
        <v>23</v>
      </c>
    </row>
    <row r="284" spans="1:23" x14ac:dyDescent="0.3">
      <c r="A284" t="s">
        <v>691</v>
      </c>
      <c r="B284" t="s">
        <v>36</v>
      </c>
      <c r="C284" t="s">
        <v>92</v>
      </c>
      <c r="D284" t="s">
        <v>111</v>
      </c>
      <c r="E284" t="s">
        <v>87</v>
      </c>
      <c r="F284" t="s">
        <v>87</v>
      </c>
      <c r="G284" t="s">
        <v>18</v>
      </c>
      <c r="H284" t="s">
        <v>56</v>
      </c>
      <c r="I284" t="str">
        <f>LEFT(H284,FIND(" (",H284)-1)</f>
        <v>Mid</v>
      </c>
      <c r="J284" t="str">
        <f>MID(H284,FIND("(",H284)+1,FIND(")",H284)-FIND("(",H284)-1)</f>
        <v>2-5 yrs</v>
      </c>
      <c r="L284">
        <v>141403</v>
      </c>
      <c r="M284" t="s">
        <v>692</v>
      </c>
      <c r="N284" t="s">
        <v>21</v>
      </c>
      <c r="O284" t="s">
        <v>22</v>
      </c>
      <c r="P284" s="1">
        <v>45386</v>
      </c>
      <c r="Q284">
        <v>406</v>
      </c>
      <c r="R284">
        <v>1481</v>
      </c>
      <c r="S284" t="s">
        <v>34</v>
      </c>
      <c r="T284">
        <v>2</v>
      </c>
      <c r="U284" t="s">
        <v>58</v>
      </c>
      <c r="V284" t="s">
        <v>24</v>
      </c>
      <c r="W284" t="s">
        <v>23</v>
      </c>
    </row>
    <row r="285" spans="1:23" x14ac:dyDescent="0.3">
      <c r="A285" t="s">
        <v>693</v>
      </c>
      <c r="B285" t="s">
        <v>96</v>
      </c>
      <c r="C285" t="s">
        <v>124</v>
      </c>
      <c r="D285" t="s">
        <v>28</v>
      </c>
      <c r="E285" t="s">
        <v>102</v>
      </c>
      <c r="F285" t="s">
        <v>103</v>
      </c>
      <c r="G285" t="s">
        <v>55</v>
      </c>
      <c r="H285" t="s">
        <v>66</v>
      </c>
      <c r="I285" t="str">
        <f>LEFT(H285,FIND(" (",H285)-1)</f>
        <v>Senior</v>
      </c>
      <c r="J285" t="str">
        <f>MID(H285,FIND("(",H285)+1,FIND(")",H285)-FIND("(",H285)-1)</f>
        <v>5-8 yrs</v>
      </c>
      <c r="L285">
        <v>116578</v>
      </c>
      <c r="M285" t="s">
        <v>694</v>
      </c>
      <c r="N285" t="s">
        <v>33</v>
      </c>
      <c r="O285" t="s">
        <v>79</v>
      </c>
      <c r="P285" s="1">
        <v>45543</v>
      </c>
      <c r="Q285">
        <v>1211</v>
      </c>
      <c r="R285">
        <v>3050</v>
      </c>
      <c r="S285" t="s">
        <v>23</v>
      </c>
      <c r="T285">
        <v>4</v>
      </c>
      <c r="U285" t="s">
        <v>52</v>
      </c>
      <c r="V285" t="s">
        <v>59</v>
      </c>
      <c r="W285" t="s">
        <v>34</v>
      </c>
    </row>
    <row r="286" spans="1:23" x14ac:dyDescent="0.3">
      <c r="A286" t="s">
        <v>695</v>
      </c>
      <c r="B286" t="s">
        <v>172</v>
      </c>
      <c r="C286" t="s">
        <v>107</v>
      </c>
      <c r="D286" t="s">
        <v>174</v>
      </c>
      <c r="E286" t="s">
        <v>5132</v>
      </c>
      <c r="F286" t="s">
        <v>5133</v>
      </c>
      <c r="G286" t="s">
        <v>55</v>
      </c>
      <c r="H286" t="s">
        <v>31</v>
      </c>
      <c r="I286" t="str">
        <f>LEFT(H286,FIND(" (",H286)-1)</f>
        <v>Staff/Principal</v>
      </c>
      <c r="J286" t="str">
        <f>MID(H286,FIND("(",H286)+1,FIND(")",H286)-FIND("(",H286)-1)</f>
        <v>8+ yrs</v>
      </c>
      <c r="L286">
        <v>276789</v>
      </c>
      <c r="M286" t="s">
        <v>696</v>
      </c>
      <c r="N286" t="s">
        <v>141</v>
      </c>
      <c r="O286" t="s">
        <v>51</v>
      </c>
      <c r="P286" s="1">
        <v>45746</v>
      </c>
      <c r="Q286">
        <v>2496</v>
      </c>
      <c r="R286">
        <v>2161</v>
      </c>
      <c r="S286" t="s">
        <v>23</v>
      </c>
      <c r="T286">
        <v>6</v>
      </c>
      <c r="U286" t="s">
        <v>5123</v>
      </c>
      <c r="V286" t="s">
        <v>24</v>
      </c>
      <c r="W286" t="s">
        <v>23</v>
      </c>
    </row>
    <row r="287" spans="1:23" x14ac:dyDescent="0.3">
      <c r="A287" t="s">
        <v>697</v>
      </c>
      <c r="B287" t="s">
        <v>229</v>
      </c>
      <c r="C287" t="s">
        <v>132</v>
      </c>
      <c r="D287" t="s">
        <v>38</v>
      </c>
      <c r="E287" t="s">
        <v>76</v>
      </c>
      <c r="F287" t="s">
        <v>77</v>
      </c>
      <c r="G287" t="s">
        <v>41</v>
      </c>
      <c r="H287" t="s">
        <v>56</v>
      </c>
      <c r="I287" t="str">
        <f>LEFT(H287,FIND(" (",H287)-1)</f>
        <v>Mid</v>
      </c>
      <c r="J287" t="str">
        <f>MID(H287,FIND("(",H287)+1,FIND(")",H287)-FIND("(",H287)-1)</f>
        <v>2-5 yrs</v>
      </c>
      <c r="L287">
        <v>71348</v>
      </c>
      <c r="M287" t="s">
        <v>698</v>
      </c>
      <c r="N287" t="s">
        <v>33</v>
      </c>
      <c r="O287" t="s">
        <v>22</v>
      </c>
      <c r="P287" s="1">
        <v>45668</v>
      </c>
      <c r="Q287">
        <v>1930</v>
      </c>
      <c r="R287">
        <v>3632</v>
      </c>
      <c r="S287" t="s">
        <v>23</v>
      </c>
      <c r="T287">
        <v>2</v>
      </c>
      <c r="U287" t="s">
        <v>45</v>
      </c>
      <c r="V287" t="s">
        <v>24</v>
      </c>
      <c r="W287" t="s">
        <v>34</v>
      </c>
    </row>
    <row r="288" spans="1:23" x14ac:dyDescent="0.3">
      <c r="A288" t="s">
        <v>699</v>
      </c>
      <c r="B288" t="s">
        <v>85</v>
      </c>
      <c r="C288" t="s">
        <v>182</v>
      </c>
      <c r="D288" t="s">
        <v>75</v>
      </c>
      <c r="E288" t="s">
        <v>76</v>
      </c>
      <c r="F288" t="s">
        <v>77</v>
      </c>
      <c r="G288" t="s">
        <v>55</v>
      </c>
      <c r="H288" t="s">
        <v>19</v>
      </c>
      <c r="I288" t="str">
        <f>LEFT(H288,FIND(" (",H288)-1)</f>
        <v>Entry</v>
      </c>
      <c r="J288" t="str">
        <f>MID(H288,FIND("(",H288)+1,FIND(")",H288)-FIND("(",H288)-1)</f>
        <v>0-2 yrs</v>
      </c>
      <c r="L288">
        <v>68087</v>
      </c>
      <c r="M288" t="s">
        <v>700</v>
      </c>
      <c r="N288" t="s">
        <v>33</v>
      </c>
      <c r="O288" t="s">
        <v>22</v>
      </c>
      <c r="P288" s="1">
        <v>45529</v>
      </c>
      <c r="Q288">
        <v>1993</v>
      </c>
      <c r="R288">
        <v>1334</v>
      </c>
      <c r="S288" t="s">
        <v>23</v>
      </c>
      <c r="T288">
        <v>0</v>
      </c>
      <c r="U288" t="s">
        <v>52</v>
      </c>
      <c r="V288" t="s">
        <v>24</v>
      </c>
      <c r="W288" t="s">
        <v>23</v>
      </c>
    </row>
    <row r="289" spans="1:23" x14ac:dyDescent="0.3">
      <c r="A289" t="s">
        <v>701</v>
      </c>
      <c r="B289" t="s">
        <v>106</v>
      </c>
      <c r="C289" t="s">
        <v>97</v>
      </c>
      <c r="D289" t="s">
        <v>174</v>
      </c>
      <c r="E289" t="s">
        <v>5136</v>
      </c>
      <c r="F289" t="s">
        <v>5133</v>
      </c>
      <c r="G289" t="s">
        <v>18</v>
      </c>
      <c r="H289" t="s">
        <v>31</v>
      </c>
      <c r="I289" t="str">
        <f>LEFT(H289,FIND(" (",H289)-1)</f>
        <v>Staff/Principal</v>
      </c>
      <c r="J289" t="str">
        <f>MID(H289,FIND("(",H289)+1,FIND(")",H289)-FIND("(",H289)-1)</f>
        <v>8+ yrs</v>
      </c>
      <c r="L289">
        <v>221179</v>
      </c>
      <c r="M289" t="s">
        <v>702</v>
      </c>
      <c r="N289" t="s">
        <v>89</v>
      </c>
      <c r="O289" t="s">
        <v>22</v>
      </c>
      <c r="P289" s="1">
        <v>45646</v>
      </c>
      <c r="Q289">
        <v>1873</v>
      </c>
      <c r="R289">
        <v>2987</v>
      </c>
      <c r="S289" t="s">
        <v>23</v>
      </c>
      <c r="T289">
        <v>6</v>
      </c>
      <c r="U289" t="s">
        <v>83</v>
      </c>
      <c r="V289" t="s">
        <v>24</v>
      </c>
      <c r="W289" t="s">
        <v>34</v>
      </c>
    </row>
    <row r="290" spans="1:23" x14ac:dyDescent="0.3">
      <c r="A290" t="s">
        <v>703</v>
      </c>
      <c r="B290" t="s">
        <v>26</v>
      </c>
      <c r="C290" t="s">
        <v>179</v>
      </c>
      <c r="D290" t="s">
        <v>63</v>
      </c>
      <c r="E290" t="s">
        <v>5135</v>
      </c>
      <c r="F290" t="s">
        <v>5133</v>
      </c>
      <c r="G290" t="s">
        <v>41</v>
      </c>
      <c r="H290" t="s">
        <v>31</v>
      </c>
      <c r="I290" t="str">
        <f>LEFT(H290,FIND(" (",H290)-1)</f>
        <v>Staff/Principal</v>
      </c>
      <c r="J290" t="str">
        <f>MID(H290,FIND("(",H290)+1,FIND(")",H290)-FIND("(",H290)-1)</f>
        <v>8+ yrs</v>
      </c>
      <c r="L290">
        <v>210115</v>
      </c>
      <c r="M290" t="s">
        <v>704</v>
      </c>
      <c r="N290" t="s">
        <v>120</v>
      </c>
      <c r="O290" t="s">
        <v>22</v>
      </c>
      <c r="P290" s="1">
        <v>45463</v>
      </c>
      <c r="Q290">
        <v>1040</v>
      </c>
      <c r="R290">
        <v>491</v>
      </c>
      <c r="S290" t="s">
        <v>99</v>
      </c>
      <c r="T290">
        <v>6</v>
      </c>
      <c r="U290" t="s">
        <v>52</v>
      </c>
      <c r="V290" t="s">
        <v>24</v>
      </c>
      <c r="W290" t="s">
        <v>23</v>
      </c>
    </row>
    <row r="291" spans="1:23" x14ac:dyDescent="0.3">
      <c r="A291" t="s">
        <v>705</v>
      </c>
      <c r="B291" t="s">
        <v>151</v>
      </c>
      <c r="C291" t="s">
        <v>48</v>
      </c>
      <c r="D291" t="s">
        <v>63</v>
      </c>
      <c r="E291" t="s">
        <v>159</v>
      </c>
      <c r="F291" t="s">
        <v>160</v>
      </c>
      <c r="G291" t="s">
        <v>55</v>
      </c>
      <c r="H291" t="s">
        <v>31</v>
      </c>
      <c r="I291" t="str">
        <f>LEFT(H291,FIND(" (",H291)-1)</f>
        <v>Staff/Principal</v>
      </c>
      <c r="J291" t="str">
        <f>MID(H291,FIND("(",H291)+1,FIND(")",H291)-FIND("(",H291)-1)</f>
        <v>8+ yrs</v>
      </c>
      <c r="L291">
        <v>177582</v>
      </c>
      <c r="M291" t="s">
        <v>706</v>
      </c>
      <c r="N291" t="s">
        <v>21</v>
      </c>
      <c r="O291" t="s">
        <v>51</v>
      </c>
      <c r="P291" s="1">
        <v>45570</v>
      </c>
      <c r="Q291">
        <v>2109</v>
      </c>
      <c r="R291">
        <v>335</v>
      </c>
      <c r="S291" t="s">
        <v>23</v>
      </c>
      <c r="T291">
        <v>6</v>
      </c>
      <c r="U291" t="s">
        <v>5123</v>
      </c>
      <c r="V291" t="s">
        <v>24</v>
      </c>
      <c r="W291" t="s">
        <v>23</v>
      </c>
    </row>
    <row r="292" spans="1:23" x14ac:dyDescent="0.3">
      <c r="A292" t="s">
        <v>707</v>
      </c>
      <c r="B292" t="s">
        <v>85</v>
      </c>
      <c r="C292" t="s">
        <v>179</v>
      </c>
      <c r="D292" t="s">
        <v>174</v>
      </c>
      <c r="E292" t="s">
        <v>5135</v>
      </c>
      <c r="F292" t="s">
        <v>5133</v>
      </c>
      <c r="G292" t="s">
        <v>18</v>
      </c>
      <c r="H292" t="s">
        <v>56</v>
      </c>
      <c r="I292" t="str">
        <f>LEFT(H292,FIND(" (",H292)-1)</f>
        <v>Mid</v>
      </c>
      <c r="J292" t="str">
        <f>MID(H292,FIND("(",H292)+1,FIND(")",H292)-FIND("(",H292)-1)</f>
        <v>2-5 yrs</v>
      </c>
      <c r="L292">
        <v>105879</v>
      </c>
      <c r="M292" t="s">
        <v>708</v>
      </c>
      <c r="N292" t="s">
        <v>33</v>
      </c>
      <c r="O292" t="s">
        <v>79</v>
      </c>
      <c r="P292" s="1">
        <v>45320</v>
      </c>
      <c r="Q292">
        <v>500</v>
      </c>
      <c r="R292">
        <v>456</v>
      </c>
      <c r="S292" t="s">
        <v>23</v>
      </c>
      <c r="T292">
        <v>2</v>
      </c>
      <c r="U292" t="s">
        <v>52</v>
      </c>
      <c r="V292" t="s">
        <v>24</v>
      </c>
      <c r="W292" t="s">
        <v>34</v>
      </c>
    </row>
    <row r="293" spans="1:23" x14ac:dyDescent="0.3">
      <c r="A293" t="s">
        <v>709</v>
      </c>
      <c r="B293" t="s">
        <v>85</v>
      </c>
      <c r="C293" t="s">
        <v>116</v>
      </c>
      <c r="D293" t="s">
        <v>49</v>
      </c>
      <c r="E293" t="s">
        <v>39</v>
      </c>
      <c r="F293" t="s">
        <v>40</v>
      </c>
      <c r="G293" t="s">
        <v>41</v>
      </c>
      <c r="H293" t="s">
        <v>56</v>
      </c>
      <c r="I293" t="str">
        <f>LEFT(H293,FIND(" (",H293)-1)</f>
        <v>Mid</v>
      </c>
      <c r="J293" t="str">
        <f>MID(H293,FIND("(",H293)+1,FIND(")",H293)-FIND("(",H293)-1)</f>
        <v>2-5 yrs</v>
      </c>
      <c r="L293">
        <v>100238</v>
      </c>
      <c r="M293" t="s">
        <v>710</v>
      </c>
      <c r="N293" t="s">
        <v>141</v>
      </c>
      <c r="O293" t="s">
        <v>44</v>
      </c>
      <c r="P293" s="1">
        <v>45476</v>
      </c>
      <c r="Q293">
        <v>565</v>
      </c>
      <c r="R293">
        <v>1209</v>
      </c>
      <c r="S293" t="s">
        <v>23</v>
      </c>
      <c r="T293">
        <v>2</v>
      </c>
      <c r="U293" t="s">
        <v>5123</v>
      </c>
      <c r="V293" t="s">
        <v>24</v>
      </c>
      <c r="W293" t="s">
        <v>34</v>
      </c>
    </row>
    <row r="294" spans="1:23" x14ac:dyDescent="0.3">
      <c r="A294" t="s">
        <v>711</v>
      </c>
      <c r="B294" t="s">
        <v>131</v>
      </c>
      <c r="C294" t="s">
        <v>239</v>
      </c>
      <c r="D294" t="s">
        <v>28</v>
      </c>
      <c r="E294" t="s">
        <v>76</v>
      </c>
      <c r="F294" t="s">
        <v>77</v>
      </c>
      <c r="G294" t="s">
        <v>18</v>
      </c>
      <c r="H294" t="s">
        <v>31</v>
      </c>
      <c r="I294" t="str">
        <f>LEFT(H294,FIND(" (",H294)-1)</f>
        <v>Staff/Principal</v>
      </c>
      <c r="J294" t="str">
        <f>MID(H294,FIND("(",H294)+1,FIND(")",H294)-FIND("(",H294)-1)</f>
        <v>8+ yrs</v>
      </c>
      <c r="L294">
        <v>178782</v>
      </c>
      <c r="M294" t="s">
        <v>712</v>
      </c>
      <c r="N294" t="s">
        <v>21</v>
      </c>
      <c r="O294" t="s">
        <v>51</v>
      </c>
      <c r="P294" s="1">
        <v>45399</v>
      </c>
      <c r="Q294">
        <v>1596</v>
      </c>
      <c r="R294">
        <v>1073</v>
      </c>
      <c r="S294" t="s">
        <v>23</v>
      </c>
      <c r="T294">
        <v>6</v>
      </c>
      <c r="U294" t="s">
        <v>83</v>
      </c>
      <c r="V294" t="s">
        <v>24</v>
      </c>
      <c r="W294" t="s">
        <v>34</v>
      </c>
    </row>
    <row r="295" spans="1:23" x14ac:dyDescent="0.3">
      <c r="A295" t="s">
        <v>713</v>
      </c>
      <c r="B295" t="s">
        <v>143</v>
      </c>
      <c r="C295" t="s">
        <v>124</v>
      </c>
      <c r="D295" t="s">
        <v>49</v>
      </c>
      <c r="E295" t="s">
        <v>76</v>
      </c>
      <c r="F295" t="s">
        <v>77</v>
      </c>
      <c r="G295" t="s">
        <v>41</v>
      </c>
      <c r="H295" t="s">
        <v>31</v>
      </c>
      <c r="I295" t="str">
        <f>LEFT(H295,FIND(" (",H295)-1)</f>
        <v>Staff/Principal</v>
      </c>
      <c r="J295" t="str">
        <f>MID(H295,FIND("(",H295)+1,FIND(")",H295)-FIND("(",H295)-1)</f>
        <v>8+ yrs</v>
      </c>
      <c r="L295">
        <v>230585</v>
      </c>
      <c r="M295" t="s">
        <v>714</v>
      </c>
      <c r="N295" t="s">
        <v>33</v>
      </c>
      <c r="O295" t="s">
        <v>22</v>
      </c>
      <c r="P295" s="1">
        <v>45546</v>
      </c>
      <c r="Q295">
        <v>783</v>
      </c>
      <c r="R295">
        <v>3030</v>
      </c>
      <c r="S295" t="s">
        <v>23</v>
      </c>
      <c r="T295">
        <v>6</v>
      </c>
      <c r="U295" t="s">
        <v>83</v>
      </c>
      <c r="V295" t="s">
        <v>46</v>
      </c>
      <c r="W295" t="s">
        <v>34</v>
      </c>
    </row>
    <row r="296" spans="1:23" x14ac:dyDescent="0.3">
      <c r="A296" t="s">
        <v>715</v>
      </c>
      <c r="B296" t="s">
        <v>236</v>
      </c>
      <c r="C296" t="s">
        <v>179</v>
      </c>
      <c r="D296" t="s">
        <v>28</v>
      </c>
      <c r="E296" t="s">
        <v>133</v>
      </c>
      <c r="F296" t="s">
        <v>134</v>
      </c>
      <c r="G296" t="s">
        <v>55</v>
      </c>
      <c r="H296" t="s">
        <v>66</v>
      </c>
      <c r="I296" t="str">
        <f>LEFT(H296,FIND(" (",H296)-1)</f>
        <v>Senior</v>
      </c>
      <c r="J296" t="str">
        <f>MID(H296,FIND("(",H296)+1,FIND(")",H296)-FIND("(",H296)-1)</f>
        <v>5-8 yrs</v>
      </c>
      <c r="L296">
        <v>159639</v>
      </c>
      <c r="M296" t="s">
        <v>716</v>
      </c>
      <c r="N296" t="s">
        <v>149</v>
      </c>
      <c r="O296" t="s">
        <v>51</v>
      </c>
      <c r="P296" s="1">
        <v>45400</v>
      </c>
      <c r="Q296">
        <v>1626</v>
      </c>
      <c r="R296">
        <v>3151</v>
      </c>
      <c r="S296" t="s">
        <v>34</v>
      </c>
      <c r="T296">
        <v>4</v>
      </c>
      <c r="U296" t="s">
        <v>45</v>
      </c>
      <c r="V296" t="s">
        <v>24</v>
      </c>
      <c r="W296" t="s">
        <v>23</v>
      </c>
    </row>
    <row r="297" spans="1:23" x14ac:dyDescent="0.3">
      <c r="A297" t="s">
        <v>717</v>
      </c>
      <c r="B297" t="s">
        <v>85</v>
      </c>
      <c r="C297" t="s">
        <v>97</v>
      </c>
      <c r="D297" t="s">
        <v>63</v>
      </c>
      <c r="E297" t="s">
        <v>102</v>
      </c>
      <c r="F297" t="s">
        <v>103</v>
      </c>
      <c r="G297" t="s">
        <v>18</v>
      </c>
      <c r="H297" t="s">
        <v>19</v>
      </c>
      <c r="I297" t="str">
        <f>LEFT(H297,FIND(" (",H297)-1)</f>
        <v>Entry</v>
      </c>
      <c r="J297" t="str">
        <f>MID(H297,FIND("(",H297)+1,FIND(")",H297)-FIND("(",H297)-1)</f>
        <v>0-2 yrs</v>
      </c>
      <c r="L297">
        <v>61269</v>
      </c>
      <c r="M297" t="s">
        <v>718</v>
      </c>
      <c r="N297" t="s">
        <v>68</v>
      </c>
      <c r="O297" t="s">
        <v>44</v>
      </c>
      <c r="P297" s="1">
        <v>45718</v>
      </c>
      <c r="Q297">
        <v>2499</v>
      </c>
      <c r="R297">
        <v>3679</v>
      </c>
      <c r="S297" t="s">
        <v>23</v>
      </c>
      <c r="T297">
        <v>0</v>
      </c>
      <c r="U297" t="s">
        <v>58</v>
      </c>
      <c r="V297" t="s">
        <v>46</v>
      </c>
      <c r="W297" t="s">
        <v>34</v>
      </c>
    </row>
    <row r="298" spans="1:23" x14ac:dyDescent="0.3">
      <c r="A298" t="s">
        <v>719</v>
      </c>
      <c r="B298" t="s">
        <v>131</v>
      </c>
      <c r="C298" t="s">
        <v>173</v>
      </c>
      <c r="D298" t="s">
        <v>15</v>
      </c>
      <c r="E298" t="s">
        <v>200</v>
      </c>
      <c r="F298" t="s">
        <v>201</v>
      </c>
      <c r="G298" t="s">
        <v>41</v>
      </c>
      <c r="H298" t="s">
        <v>66</v>
      </c>
      <c r="I298" t="str">
        <f>LEFT(H298,FIND(" (",H298)-1)</f>
        <v>Senior</v>
      </c>
      <c r="J298" t="str">
        <f>MID(H298,FIND("(",H298)+1,FIND(")",H298)-FIND("(",H298)-1)</f>
        <v>5-8 yrs</v>
      </c>
      <c r="L298">
        <v>174289</v>
      </c>
      <c r="M298" t="s">
        <v>720</v>
      </c>
      <c r="N298" t="s">
        <v>68</v>
      </c>
      <c r="O298" t="s">
        <v>51</v>
      </c>
      <c r="P298" s="1">
        <v>45453</v>
      </c>
      <c r="Q298">
        <v>1836</v>
      </c>
      <c r="R298">
        <v>2576</v>
      </c>
      <c r="S298" t="s">
        <v>23</v>
      </c>
      <c r="T298">
        <v>4</v>
      </c>
      <c r="U298" t="s">
        <v>52</v>
      </c>
      <c r="V298" t="s">
        <v>24</v>
      </c>
      <c r="W298" t="s">
        <v>34</v>
      </c>
    </row>
    <row r="299" spans="1:23" x14ac:dyDescent="0.3">
      <c r="A299" t="s">
        <v>721</v>
      </c>
      <c r="B299" t="s">
        <v>85</v>
      </c>
      <c r="C299" t="s">
        <v>226</v>
      </c>
      <c r="D299" t="s">
        <v>63</v>
      </c>
      <c r="E299" t="s">
        <v>230</v>
      </c>
      <c r="F299" t="s">
        <v>231</v>
      </c>
      <c r="G299" t="s">
        <v>41</v>
      </c>
      <c r="H299" t="s">
        <v>19</v>
      </c>
      <c r="I299" t="str">
        <f>LEFT(H299,FIND(" (",H299)-1)</f>
        <v>Entry</v>
      </c>
      <c r="J299" t="str">
        <f>MID(H299,FIND("(",H299)+1,FIND(")",H299)-FIND("(",H299)-1)</f>
        <v>0-2 yrs</v>
      </c>
      <c r="L299">
        <v>73871</v>
      </c>
      <c r="M299" t="s">
        <v>722</v>
      </c>
      <c r="N299" t="s">
        <v>245</v>
      </c>
      <c r="O299" t="s">
        <v>44</v>
      </c>
      <c r="P299" s="1">
        <v>45453</v>
      </c>
      <c r="Q299">
        <v>1539</v>
      </c>
      <c r="R299">
        <v>895</v>
      </c>
      <c r="S299" t="s">
        <v>23</v>
      </c>
      <c r="T299">
        <v>0</v>
      </c>
      <c r="U299" t="s">
        <v>52</v>
      </c>
      <c r="V299" t="s">
        <v>24</v>
      </c>
      <c r="W299" t="s">
        <v>23</v>
      </c>
    </row>
    <row r="300" spans="1:23" x14ac:dyDescent="0.3">
      <c r="A300" t="s">
        <v>723</v>
      </c>
      <c r="B300" t="s">
        <v>106</v>
      </c>
      <c r="C300" t="s">
        <v>62</v>
      </c>
      <c r="D300" t="s">
        <v>28</v>
      </c>
      <c r="E300" t="s">
        <v>39</v>
      </c>
      <c r="F300" t="s">
        <v>40</v>
      </c>
      <c r="G300" t="s">
        <v>41</v>
      </c>
      <c r="H300" t="s">
        <v>19</v>
      </c>
      <c r="I300" t="str">
        <f>LEFT(H300,FIND(" (",H300)-1)</f>
        <v>Entry</v>
      </c>
      <c r="J300" t="str">
        <f>MID(H300,FIND("(",H300)+1,FIND(")",H300)-FIND("(",H300)-1)</f>
        <v>0-2 yrs</v>
      </c>
      <c r="L300">
        <v>80242</v>
      </c>
      <c r="M300" t="s">
        <v>724</v>
      </c>
      <c r="N300" t="s">
        <v>33</v>
      </c>
      <c r="O300" t="s">
        <v>44</v>
      </c>
      <c r="P300" s="1">
        <v>45701</v>
      </c>
      <c r="Q300">
        <v>886</v>
      </c>
      <c r="R300">
        <v>3161</v>
      </c>
      <c r="S300" t="s">
        <v>99</v>
      </c>
      <c r="T300">
        <v>0</v>
      </c>
      <c r="U300" t="s">
        <v>83</v>
      </c>
      <c r="V300" t="s">
        <v>24</v>
      </c>
      <c r="W300" t="s">
        <v>34</v>
      </c>
    </row>
    <row r="301" spans="1:23" x14ac:dyDescent="0.3">
      <c r="A301" t="s">
        <v>725</v>
      </c>
      <c r="B301" t="s">
        <v>229</v>
      </c>
      <c r="C301" t="s">
        <v>195</v>
      </c>
      <c r="D301" t="s">
        <v>49</v>
      </c>
      <c r="E301" t="s">
        <v>5134</v>
      </c>
      <c r="F301" t="s">
        <v>5133</v>
      </c>
      <c r="G301" t="s">
        <v>41</v>
      </c>
      <c r="H301" t="s">
        <v>31</v>
      </c>
      <c r="I301" t="str">
        <f>LEFT(H301,FIND(" (",H301)-1)</f>
        <v>Staff/Principal</v>
      </c>
      <c r="J301" t="str">
        <f>MID(H301,FIND("(",H301)+1,FIND(")",H301)-FIND("(",H301)-1)</f>
        <v>8+ yrs</v>
      </c>
      <c r="L301">
        <v>222666</v>
      </c>
      <c r="M301" t="s">
        <v>726</v>
      </c>
      <c r="N301" t="s">
        <v>33</v>
      </c>
      <c r="O301" t="s">
        <v>51</v>
      </c>
      <c r="P301" s="1">
        <v>45559</v>
      </c>
      <c r="Q301">
        <v>488</v>
      </c>
      <c r="R301">
        <v>432</v>
      </c>
      <c r="S301" t="s">
        <v>23</v>
      </c>
      <c r="T301">
        <v>6</v>
      </c>
      <c r="U301" t="s">
        <v>45</v>
      </c>
      <c r="V301" t="s">
        <v>24</v>
      </c>
      <c r="W301" t="s">
        <v>23</v>
      </c>
    </row>
    <row r="302" spans="1:23" x14ac:dyDescent="0.3">
      <c r="A302" t="s">
        <v>727</v>
      </c>
      <c r="B302" t="s">
        <v>106</v>
      </c>
      <c r="C302" t="s">
        <v>124</v>
      </c>
      <c r="D302" t="s">
        <v>111</v>
      </c>
      <c r="E302" t="s">
        <v>87</v>
      </c>
      <c r="F302" t="s">
        <v>87</v>
      </c>
      <c r="G302" t="s">
        <v>18</v>
      </c>
      <c r="H302" t="s">
        <v>66</v>
      </c>
      <c r="I302" t="str">
        <f>LEFT(H302,FIND(" (",H302)-1)</f>
        <v>Senior</v>
      </c>
      <c r="J302" t="str">
        <f>MID(H302,FIND("(",H302)+1,FIND(")",H302)-FIND("(",H302)-1)</f>
        <v>5-8 yrs</v>
      </c>
      <c r="L302">
        <v>127617</v>
      </c>
      <c r="M302" t="s">
        <v>728</v>
      </c>
      <c r="N302" t="s">
        <v>149</v>
      </c>
      <c r="O302" t="s">
        <v>51</v>
      </c>
      <c r="P302" s="1">
        <v>45433</v>
      </c>
      <c r="Q302">
        <v>719</v>
      </c>
      <c r="R302">
        <v>856</v>
      </c>
      <c r="S302" t="s">
        <v>23</v>
      </c>
      <c r="T302">
        <v>4</v>
      </c>
      <c r="U302" t="s">
        <v>83</v>
      </c>
      <c r="V302" t="s">
        <v>24</v>
      </c>
      <c r="W302" t="s">
        <v>34</v>
      </c>
    </row>
    <row r="303" spans="1:23" x14ac:dyDescent="0.3">
      <c r="A303" t="s">
        <v>729</v>
      </c>
      <c r="B303" t="s">
        <v>81</v>
      </c>
      <c r="C303" t="s">
        <v>101</v>
      </c>
      <c r="D303" t="s">
        <v>147</v>
      </c>
      <c r="E303" t="s">
        <v>102</v>
      </c>
      <c r="F303" t="s">
        <v>103</v>
      </c>
      <c r="G303" t="s">
        <v>18</v>
      </c>
      <c r="H303" t="s">
        <v>56</v>
      </c>
      <c r="I303" t="str">
        <f>LEFT(H303,FIND(" (",H303)-1)</f>
        <v>Mid</v>
      </c>
      <c r="J303" t="str">
        <f>MID(H303,FIND("(",H303)+1,FIND(")",H303)-FIND("(",H303)-1)</f>
        <v>2-5 yrs</v>
      </c>
      <c r="L303">
        <v>98908</v>
      </c>
      <c r="M303" t="s">
        <v>730</v>
      </c>
      <c r="N303" t="s">
        <v>186</v>
      </c>
      <c r="O303" t="s">
        <v>22</v>
      </c>
      <c r="P303" s="1">
        <v>45605</v>
      </c>
      <c r="Q303">
        <v>2046</v>
      </c>
      <c r="R303">
        <v>1615</v>
      </c>
      <c r="S303" t="s">
        <v>34</v>
      </c>
      <c r="T303">
        <v>2</v>
      </c>
      <c r="U303" t="s">
        <v>83</v>
      </c>
      <c r="V303" t="s">
        <v>59</v>
      </c>
      <c r="W303" t="s">
        <v>23</v>
      </c>
    </row>
    <row r="304" spans="1:23" x14ac:dyDescent="0.3">
      <c r="A304" t="s">
        <v>731</v>
      </c>
      <c r="B304" t="s">
        <v>172</v>
      </c>
      <c r="C304" t="s">
        <v>239</v>
      </c>
      <c r="D304" t="s">
        <v>63</v>
      </c>
      <c r="E304" t="s">
        <v>230</v>
      </c>
      <c r="F304" t="s">
        <v>231</v>
      </c>
      <c r="G304" t="s">
        <v>18</v>
      </c>
      <c r="H304" t="s">
        <v>66</v>
      </c>
      <c r="I304" t="str">
        <f>LEFT(H304,FIND(" (",H304)-1)</f>
        <v>Senior</v>
      </c>
      <c r="J304" t="str">
        <f>MID(H304,FIND("(",H304)+1,FIND(")",H304)-FIND("(",H304)-1)</f>
        <v>5-8 yrs</v>
      </c>
      <c r="L304">
        <v>170176</v>
      </c>
      <c r="M304" t="s">
        <v>732</v>
      </c>
      <c r="N304" t="s">
        <v>33</v>
      </c>
      <c r="O304" t="s">
        <v>22</v>
      </c>
      <c r="P304" s="1">
        <v>45393</v>
      </c>
      <c r="Q304">
        <v>1571</v>
      </c>
      <c r="R304">
        <v>2813</v>
      </c>
      <c r="S304" t="s">
        <v>23</v>
      </c>
      <c r="T304">
        <v>4</v>
      </c>
      <c r="U304" t="s">
        <v>58</v>
      </c>
      <c r="V304" t="s">
        <v>24</v>
      </c>
      <c r="W304" t="s">
        <v>23</v>
      </c>
    </row>
    <row r="305" spans="1:23" x14ac:dyDescent="0.3">
      <c r="A305" t="s">
        <v>733</v>
      </c>
      <c r="B305" t="s">
        <v>61</v>
      </c>
      <c r="C305" t="s">
        <v>192</v>
      </c>
      <c r="D305" t="s">
        <v>49</v>
      </c>
      <c r="E305" t="s">
        <v>5141</v>
      </c>
      <c r="F305" t="s">
        <v>5133</v>
      </c>
      <c r="G305" t="s">
        <v>18</v>
      </c>
      <c r="H305" t="s">
        <v>66</v>
      </c>
      <c r="I305" t="str">
        <f>LEFT(H305,FIND(" (",H305)-1)</f>
        <v>Senior</v>
      </c>
      <c r="J305" t="str">
        <f>MID(H305,FIND("(",H305)+1,FIND(")",H305)-FIND("(",H305)-1)</f>
        <v>5-8 yrs</v>
      </c>
      <c r="L305">
        <v>166479</v>
      </c>
      <c r="M305" t="s">
        <v>734</v>
      </c>
      <c r="N305" t="s">
        <v>149</v>
      </c>
      <c r="O305" t="s">
        <v>51</v>
      </c>
      <c r="P305" s="1">
        <v>45650</v>
      </c>
      <c r="Q305">
        <v>2189</v>
      </c>
      <c r="R305">
        <v>3474</v>
      </c>
      <c r="S305" t="s">
        <v>34</v>
      </c>
      <c r="T305">
        <v>4</v>
      </c>
      <c r="U305" t="s">
        <v>45</v>
      </c>
      <c r="V305" t="s">
        <v>24</v>
      </c>
      <c r="W305" t="s">
        <v>34</v>
      </c>
    </row>
    <row r="306" spans="1:23" x14ac:dyDescent="0.3">
      <c r="A306" t="s">
        <v>735</v>
      </c>
      <c r="B306" t="s">
        <v>13</v>
      </c>
      <c r="C306" t="s">
        <v>14</v>
      </c>
      <c r="D306" t="s">
        <v>38</v>
      </c>
      <c r="E306" t="s">
        <v>5137</v>
      </c>
      <c r="F306" t="s">
        <v>5138</v>
      </c>
      <c r="G306" t="s">
        <v>18</v>
      </c>
      <c r="H306" t="s">
        <v>31</v>
      </c>
      <c r="I306" t="str">
        <f>LEFT(H306,FIND(" (",H306)-1)</f>
        <v>Staff/Principal</v>
      </c>
      <c r="J306" t="str">
        <f>MID(H306,FIND("(",H306)+1,FIND(")",H306)-FIND("(",H306)-1)</f>
        <v>8+ yrs</v>
      </c>
      <c r="L306">
        <v>199247</v>
      </c>
      <c r="M306" t="s">
        <v>736</v>
      </c>
      <c r="N306" t="s">
        <v>21</v>
      </c>
      <c r="O306" t="s">
        <v>51</v>
      </c>
      <c r="P306" s="1">
        <v>45624</v>
      </c>
      <c r="Q306">
        <v>951</v>
      </c>
      <c r="R306">
        <v>3999</v>
      </c>
      <c r="S306" t="s">
        <v>23</v>
      </c>
      <c r="T306">
        <v>6</v>
      </c>
      <c r="U306" t="s">
        <v>5123</v>
      </c>
      <c r="V306" t="s">
        <v>24</v>
      </c>
      <c r="W306" t="s">
        <v>23</v>
      </c>
    </row>
    <row r="307" spans="1:23" x14ac:dyDescent="0.3">
      <c r="A307" t="s">
        <v>737</v>
      </c>
      <c r="B307" t="s">
        <v>143</v>
      </c>
      <c r="C307" t="s">
        <v>101</v>
      </c>
      <c r="D307" t="s">
        <v>111</v>
      </c>
      <c r="E307" t="s">
        <v>5139</v>
      </c>
      <c r="F307" t="s">
        <v>5133</v>
      </c>
      <c r="G307" t="s">
        <v>41</v>
      </c>
      <c r="H307" t="s">
        <v>31</v>
      </c>
      <c r="I307" t="str">
        <f>LEFT(H307,FIND(" (",H307)-1)</f>
        <v>Staff/Principal</v>
      </c>
      <c r="J307" t="str">
        <f>MID(H307,FIND("(",H307)+1,FIND(")",H307)-FIND("(",H307)-1)</f>
        <v>8+ yrs</v>
      </c>
      <c r="L307">
        <v>204223</v>
      </c>
      <c r="M307" t="s">
        <v>738</v>
      </c>
      <c r="N307" t="s">
        <v>89</v>
      </c>
      <c r="O307" t="s">
        <v>51</v>
      </c>
      <c r="P307" s="1">
        <v>45467</v>
      </c>
      <c r="Q307">
        <v>1632</v>
      </c>
      <c r="R307">
        <v>2283</v>
      </c>
      <c r="S307" t="s">
        <v>34</v>
      </c>
      <c r="T307">
        <v>6</v>
      </c>
      <c r="U307" t="s">
        <v>58</v>
      </c>
      <c r="V307" t="s">
        <v>24</v>
      </c>
      <c r="W307" t="s">
        <v>23</v>
      </c>
    </row>
    <row r="308" spans="1:23" x14ac:dyDescent="0.3">
      <c r="A308" t="s">
        <v>739</v>
      </c>
      <c r="B308" t="s">
        <v>70</v>
      </c>
      <c r="C308" t="s">
        <v>86</v>
      </c>
      <c r="D308" t="s">
        <v>111</v>
      </c>
      <c r="E308" t="s">
        <v>216</v>
      </c>
      <c r="F308" t="s">
        <v>217</v>
      </c>
      <c r="G308" t="s">
        <v>41</v>
      </c>
      <c r="H308" t="s">
        <v>19</v>
      </c>
      <c r="I308" t="str">
        <f>LEFT(H308,FIND(" (",H308)-1)</f>
        <v>Entry</v>
      </c>
      <c r="J308" t="str">
        <f>MID(H308,FIND("(",H308)+1,FIND(")",H308)-FIND("(",H308)-1)</f>
        <v>0-2 yrs</v>
      </c>
      <c r="L308">
        <v>86098</v>
      </c>
      <c r="M308" t="s">
        <v>740</v>
      </c>
      <c r="N308" t="s">
        <v>68</v>
      </c>
      <c r="O308" t="s">
        <v>79</v>
      </c>
      <c r="P308" s="1">
        <v>45486</v>
      </c>
      <c r="Q308">
        <v>300</v>
      </c>
      <c r="R308">
        <v>3110</v>
      </c>
      <c r="S308" t="s">
        <v>34</v>
      </c>
      <c r="T308">
        <v>0</v>
      </c>
      <c r="U308" t="s">
        <v>52</v>
      </c>
      <c r="V308" t="s">
        <v>24</v>
      </c>
      <c r="W308" t="s">
        <v>34</v>
      </c>
    </row>
    <row r="309" spans="1:23" x14ac:dyDescent="0.3">
      <c r="A309" t="s">
        <v>741</v>
      </c>
      <c r="B309" t="s">
        <v>85</v>
      </c>
      <c r="C309" t="s">
        <v>239</v>
      </c>
      <c r="D309" t="s">
        <v>174</v>
      </c>
      <c r="E309" t="s">
        <v>87</v>
      </c>
      <c r="F309" t="s">
        <v>87</v>
      </c>
      <c r="G309" t="s">
        <v>18</v>
      </c>
      <c r="H309" t="s">
        <v>31</v>
      </c>
      <c r="I309" t="str">
        <f>LEFT(H309,FIND(" (",H309)-1)</f>
        <v>Staff/Principal</v>
      </c>
      <c r="J309" t="str">
        <f>MID(H309,FIND("(",H309)+1,FIND(")",H309)-FIND("(",H309)-1)</f>
        <v>8+ yrs</v>
      </c>
      <c r="L309">
        <v>178703</v>
      </c>
      <c r="M309" t="s">
        <v>742</v>
      </c>
      <c r="N309" t="s">
        <v>33</v>
      </c>
      <c r="O309" t="s">
        <v>79</v>
      </c>
      <c r="P309" s="1">
        <v>45741</v>
      </c>
      <c r="Q309">
        <v>333</v>
      </c>
      <c r="R309">
        <v>2514</v>
      </c>
      <c r="S309" t="s">
        <v>99</v>
      </c>
      <c r="T309">
        <v>6</v>
      </c>
      <c r="U309" t="s">
        <v>58</v>
      </c>
      <c r="V309" t="s">
        <v>59</v>
      </c>
      <c r="W309" t="s">
        <v>23</v>
      </c>
    </row>
    <row r="310" spans="1:23" x14ac:dyDescent="0.3">
      <c r="A310" t="s">
        <v>743</v>
      </c>
      <c r="B310" t="s">
        <v>229</v>
      </c>
      <c r="C310" t="s">
        <v>54</v>
      </c>
      <c r="D310" t="s">
        <v>174</v>
      </c>
      <c r="E310" t="s">
        <v>133</v>
      </c>
      <c r="F310" t="s">
        <v>134</v>
      </c>
      <c r="G310" t="s">
        <v>55</v>
      </c>
      <c r="H310" t="s">
        <v>66</v>
      </c>
      <c r="I310" t="str">
        <f>LEFT(H310,FIND(" (",H310)-1)</f>
        <v>Senior</v>
      </c>
      <c r="J310" t="str">
        <f>MID(H310,FIND("(",H310)+1,FIND(")",H310)-FIND("(",H310)-1)</f>
        <v>5-8 yrs</v>
      </c>
      <c r="L310">
        <v>164771</v>
      </c>
      <c r="M310" t="s">
        <v>744</v>
      </c>
      <c r="N310" t="s">
        <v>33</v>
      </c>
      <c r="O310" t="s">
        <v>44</v>
      </c>
      <c r="P310" s="1">
        <v>45292</v>
      </c>
      <c r="Q310">
        <v>1963</v>
      </c>
      <c r="R310">
        <v>1572</v>
      </c>
      <c r="S310" t="s">
        <v>23</v>
      </c>
      <c r="T310">
        <v>4</v>
      </c>
      <c r="U310" t="s">
        <v>52</v>
      </c>
      <c r="V310" t="s">
        <v>24</v>
      </c>
      <c r="W310" t="s">
        <v>23</v>
      </c>
    </row>
    <row r="311" spans="1:23" x14ac:dyDescent="0.3">
      <c r="A311" t="s">
        <v>745</v>
      </c>
      <c r="B311" t="s">
        <v>106</v>
      </c>
      <c r="C311" t="s">
        <v>107</v>
      </c>
      <c r="D311" t="s">
        <v>63</v>
      </c>
      <c r="E311" t="s">
        <v>5141</v>
      </c>
      <c r="F311" t="s">
        <v>5133</v>
      </c>
      <c r="G311" t="s">
        <v>55</v>
      </c>
      <c r="H311" t="s">
        <v>31</v>
      </c>
      <c r="I311" t="str">
        <f>LEFT(H311,FIND(" (",H311)-1)</f>
        <v>Staff/Principal</v>
      </c>
      <c r="J311" t="str">
        <f>MID(H311,FIND("(",H311)+1,FIND(")",H311)-FIND("(",H311)-1)</f>
        <v>8+ yrs</v>
      </c>
      <c r="L311">
        <v>192721</v>
      </c>
      <c r="M311" t="s">
        <v>746</v>
      </c>
      <c r="N311" t="s">
        <v>68</v>
      </c>
      <c r="O311" t="s">
        <v>51</v>
      </c>
      <c r="P311" s="1">
        <v>45370</v>
      </c>
      <c r="Q311">
        <v>856</v>
      </c>
      <c r="R311">
        <v>356</v>
      </c>
      <c r="S311" t="s">
        <v>34</v>
      </c>
      <c r="T311">
        <v>6</v>
      </c>
      <c r="U311" t="s">
        <v>58</v>
      </c>
      <c r="V311" t="s">
        <v>59</v>
      </c>
      <c r="W311" t="s">
        <v>23</v>
      </c>
    </row>
    <row r="312" spans="1:23" x14ac:dyDescent="0.3">
      <c r="A312" t="s">
        <v>747</v>
      </c>
      <c r="B312" t="s">
        <v>85</v>
      </c>
      <c r="C312" t="s">
        <v>124</v>
      </c>
      <c r="D312" t="s">
        <v>111</v>
      </c>
      <c r="E312" t="s">
        <v>216</v>
      </c>
      <c r="F312" t="s">
        <v>217</v>
      </c>
      <c r="G312" t="s">
        <v>18</v>
      </c>
      <c r="H312" t="s">
        <v>31</v>
      </c>
      <c r="I312" t="str">
        <f>LEFT(H312,FIND(" (",H312)-1)</f>
        <v>Staff/Principal</v>
      </c>
      <c r="J312" t="str">
        <f>MID(H312,FIND("(",H312)+1,FIND(")",H312)-FIND("(",H312)-1)</f>
        <v>8+ yrs</v>
      </c>
      <c r="L312">
        <v>192163</v>
      </c>
      <c r="M312" t="s">
        <v>748</v>
      </c>
      <c r="N312" t="s">
        <v>21</v>
      </c>
      <c r="O312" t="s">
        <v>51</v>
      </c>
      <c r="P312" s="1">
        <v>45552</v>
      </c>
      <c r="Q312">
        <v>1269</v>
      </c>
      <c r="R312">
        <v>2926</v>
      </c>
      <c r="S312" t="s">
        <v>23</v>
      </c>
      <c r="T312">
        <v>6</v>
      </c>
      <c r="U312" t="s">
        <v>58</v>
      </c>
      <c r="V312" t="s">
        <v>46</v>
      </c>
      <c r="W312" t="s">
        <v>23</v>
      </c>
    </row>
    <row r="313" spans="1:23" x14ac:dyDescent="0.3">
      <c r="A313" t="s">
        <v>749</v>
      </c>
      <c r="B313" t="s">
        <v>229</v>
      </c>
      <c r="C313" t="s">
        <v>128</v>
      </c>
      <c r="D313" t="s">
        <v>28</v>
      </c>
      <c r="E313" t="s">
        <v>200</v>
      </c>
      <c r="F313" t="s">
        <v>201</v>
      </c>
      <c r="G313" t="s">
        <v>41</v>
      </c>
      <c r="H313" t="s">
        <v>19</v>
      </c>
      <c r="I313" t="str">
        <f>LEFT(H313,FIND(" (",H313)-1)</f>
        <v>Entry</v>
      </c>
      <c r="J313" t="str">
        <f>MID(H313,FIND("(",H313)+1,FIND(")",H313)-FIND("(",H313)-1)</f>
        <v>0-2 yrs</v>
      </c>
      <c r="L313">
        <v>83844</v>
      </c>
      <c r="M313" t="s">
        <v>750</v>
      </c>
      <c r="N313" t="s">
        <v>94</v>
      </c>
      <c r="O313" t="s">
        <v>51</v>
      </c>
      <c r="P313" s="1">
        <v>45480</v>
      </c>
      <c r="Q313">
        <v>620</v>
      </c>
      <c r="R313">
        <v>2153</v>
      </c>
      <c r="S313" t="s">
        <v>99</v>
      </c>
      <c r="T313">
        <v>0</v>
      </c>
      <c r="U313" t="s">
        <v>5123</v>
      </c>
      <c r="V313" t="s">
        <v>24</v>
      </c>
      <c r="W313" t="s">
        <v>23</v>
      </c>
    </row>
    <row r="314" spans="1:23" x14ac:dyDescent="0.3">
      <c r="A314" t="s">
        <v>751</v>
      </c>
      <c r="B314" t="s">
        <v>70</v>
      </c>
      <c r="C314" t="s">
        <v>14</v>
      </c>
      <c r="D314" t="s">
        <v>174</v>
      </c>
      <c r="E314" t="s">
        <v>216</v>
      </c>
      <c r="F314" t="s">
        <v>217</v>
      </c>
      <c r="G314" t="s">
        <v>18</v>
      </c>
      <c r="H314" t="s">
        <v>66</v>
      </c>
      <c r="I314" t="str">
        <f>LEFT(H314,FIND(" (",H314)-1)</f>
        <v>Senior</v>
      </c>
      <c r="J314" t="str">
        <f>MID(H314,FIND("(",H314)+1,FIND(")",H314)-FIND("(",H314)-1)</f>
        <v>5-8 yrs</v>
      </c>
      <c r="L314">
        <v>172286</v>
      </c>
      <c r="M314" t="s">
        <v>752</v>
      </c>
      <c r="N314" t="s">
        <v>33</v>
      </c>
      <c r="O314" t="s">
        <v>79</v>
      </c>
      <c r="P314" s="1">
        <v>45467</v>
      </c>
      <c r="Q314">
        <v>1506</v>
      </c>
      <c r="R314">
        <v>1194</v>
      </c>
      <c r="S314" t="s">
        <v>34</v>
      </c>
      <c r="T314">
        <v>4</v>
      </c>
      <c r="U314" t="s">
        <v>83</v>
      </c>
      <c r="V314" t="s">
        <v>59</v>
      </c>
      <c r="W314" t="s">
        <v>23</v>
      </c>
    </row>
    <row r="315" spans="1:23" x14ac:dyDescent="0.3">
      <c r="A315" t="s">
        <v>753</v>
      </c>
      <c r="B315" t="s">
        <v>143</v>
      </c>
      <c r="C315" t="s">
        <v>195</v>
      </c>
      <c r="D315" t="s">
        <v>15</v>
      </c>
      <c r="E315" t="s">
        <v>5135</v>
      </c>
      <c r="F315" t="s">
        <v>5133</v>
      </c>
      <c r="G315" t="s">
        <v>41</v>
      </c>
      <c r="H315" t="s">
        <v>66</v>
      </c>
      <c r="I315" t="str">
        <f>LEFT(H315,FIND(" (",H315)-1)</f>
        <v>Senior</v>
      </c>
      <c r="J315" t="str">
        <f>MID(H315,FIND("(",H315)+1,FIND(")",H315)-FIND("(",H315)-1)</f>
        <v>5-8 yrs</v>
      </c>
      <c r="L315">
        <v>171964</v>
      </c>
      <c r="M315" t="s">
        <v>754</v>
      </c>
      <c r="N315" t="s">
        <v>33</v>
      </c>
      <c r="O315" t="s">
        <v>22</v>
      </c>
      <c r="P315" s="1">
        <v>45588</v>
      </c>
      <c r="Q315">
        <v>637</v>
      </c>
      <c r="R315">
        <v>529</v>
      </c>
      <c r="S315" t="s">
        <v>23</v>
      </c>
      <c r="T315">
        <v>4</v>
      </c>
      <c r="U315" t="s">
        <v>45</v>
      </c>
      <c r="V315" t="s">
        <v>24</v>
      </c>
      <c r="W315" t="s">
        <v>23</v>
      </c>
    </row>
    <row r="316" spans="1:23" x14ac:dyDescent="0.3">
      <c r="A316" t="s">
        <v>755</v>
      </c>
      <c r="B316" t="s">
        <v>36</v>
      </c>
      <c r="C316" t="s">
        <v>173</v>
      </c>
      <c r="D316" t="s">
        <v>38</v>
      </c>
      <c r="E316" t="s">
        <v>5140</v>
      </c>
      <c r="F316" t="s">
        <v>5133</v>
      </c>
      <c r="G316" t="s">
        <v>41</v>
      </c>
      <c r="H316" t="s">
        <v>66</v>
      </c>
      <c r="I316" t="str">
        <f>LEFT(H316,FIND(" (",H316)-1)</f>
        <v>Senior</v>
      </c>
      <c r="J316" t="str">
        <f>MID(H316,FIND("(",H316)+1,FIND(")",H316)-FIND("(",H316)-1)</f>
        <v>5-8 yrs</v>
      </c>
      <c r="L316">
        <v>185247</v>
      </c>
      <c r="M316" t="s">
        <v>756</v>
      </c>
      <c r="N316" t="s">
        <v>68</v>
      </c>
      <c r="O316" t="s">
        <v>51</v>
      </c>
      <c r="P316" s="1">
        <v>45601</v>
      </c>
      <c r="Q316">
        <v>2460</v>
      </c>
      <c r="R316">
        <v>3540</v>
      </c>
      <c r="S316" t="s">
        <v>34</v>
      </c>
      <c r="T316">
        <v>4</v>
      </c>
      <c r="U316" t="s">
        <v>5123</v>
      </c>
      <c r="V316" t="s">
        <v>46</v>
      </c>
      <c r="W316" t="s">
        <v>23</v>
      </c>
    </row>
    <row r="317" spans="1:23" x14ac:dyDescent="0.3">
      <c r="A317" t="s">
        <v>757</v>
      </c>
      <c r="B317" t="s">
        <v>61</v>
      </c>
      <c r="C317" t="s">
        <v>132</v>
      </c>
      <c r="D317" t="s">
        <v>28</v>
      </c>
      <c r="E317" t="s">
        <v>5139</v>
      </c>
      <c r="F317" t="s">
        <v>5133</v>
      </c>
      <c r="G317" t="s">
        <v>41</v>
      </c>
      <c r="H317" t="s">
        <v>31</v>
      </c>
      <c r="I317" t="str">
        <f>LEFT(H317,FIND(" (",H317)-1)</f>
        <v>Staff/Principal</v>
      </c>
      <c r="J317" t="str">
        <f>MID(H317,FIND("(",H317)+1,FIND(")",H317)-FIND("(",H317)-1)</f>
        <v>8+ yrs</v>
      </c>
      <c r="L317">
        <v>200756</v>
      </c>
      <c r="M317" t="s">
        <v>758</v>
      </c>
      <c r="N317" t="s">
        <v>33</v>
      </c>
      <c r="O317" t="s">
        <v>44</v>
      </c>
      <c r="P317" s="1">
        <v>45413</v>
      </c>
      <c r="Q317">
        <v>775</v>
      </c>
      <c r="R317">
        <v>225</v>
      </c>
      <c r="S317" t="s">
        <v>34</v>
      </c>
      <c r="T317">
        <v>6</v>
      </c>
      <c r="U317" t="s">
        <v>58</v>
      </c>
      <c r="V317" t="s">
        <v>24</v>
      </c>
      <c r="W317" t="s">
        <v>23</v>
      </c>
    </row>
    <row r="318" spans="1:23" x14ac:dyDescent="0.3">
      <c r="A318" t="s">
        <v>759</v>
      </c>
      <c r="B318" t="s">
        <v>26</v>
      </c>
      <c r="C318" t="s">
        <v>146</v>
      </c>
      <c r="D318" t="s">
        <v>147</v>
      </c>
      <c r="E318" t="s">
        <v>5134</v>
      </c>
      <c r="F318" t="s">
        <v>5133</v>
      </c>
      <c r="G318" t="s">
        <v>41</v>
      </c>
      <c r="H318" t="s">
        <v>56</v>
      </c>
      <c r="I318" t="str">
        <f>LEFT(H318,FIND(" (",H318)-1)</f>
        <v>Mid</v>
      </c>
      <c r="J318" t="str">
        <f>MID(H318,FIND("(",H318)+1,FIND(")",H318)-FIND("(",H318)-1)</f>
        <v>2-5 yrs</v>
      </c>
      <c r="L318">
        <v>123502</v>
      </c>
      <c r="M318" t="s">
        <v>760</v>
      </c>
      <c r="N318" t="s">
        <v>33</v>
      </c>
      <c r="O318" t="s">
        <v>51</v>
      </c>
      <c r="P318" s="1">
        <v>45491</v>
      </c>
      <c r="Q318">
        <v>2471</v>
      </c>
      <c r="R318">
        <v>2807</v>
      </c>
      <c r="S318" t="s">
        <v>99</v>
      </c>
      <c r="T318">
        <v>2</v>
      </c>
      <c r="U318" t="s">
        <v>5123</v>
      </c>
      <c r="V318" t="s">
        <v>59</v>
      </c>
      <c r="W318" t="s">
        <v>23</v>
      </c>
    </row>
    <row r="319" spans="1:23" x14ac:dyDescent="0.3">
      <c r="A319" t="s">
        <v>761</v>
      </c>
      <c r="B319" t="s">
        <v>329</v>
      </c>
      <c r="C319" t="s">
        <v>107</v>
      </c>
      <c r="D319" t="s">
        <v>111</v>
      </c>
      <c r="E319" t="s">
        <v>5132</v>
      </c>
      <c r="F319" t="s">
        <v>5133</v>
      </c>
      <c r="G319" t="s">
        <v>18</v>
      </c>
      <c r="H319" t="s">
        <v>66</v>
      </c>
      <c r="I319" t="str">
        <f>LEFT(H319,FIND(" (",H319)-1)</f>
        <v>Senior</v>
      </c>
      <c r="J319" t="str">
        <f>MID(H319,FIND("(",H319)+1,FIND(")",H319)-FIND("(",H319)-1)</f>
        <v>5-8 yrs</v>
      </c>
      <c r="L319">
        <v>141622</v>
      </c>
      <c r="M319" t="s">
        <v>762</v>
      </c>
      <c r="N319" t="s">
        <v>245</v>
      </c>
      <c r="O319" t="s">
        <v>44</v>
      </c>
      <c r="P319" s="1">
        <v>45702</v>
      </c>
      <c r="Q319">
        <v>2429</v>
      </c>
      <c r="R319">
        <v>1392</v>
      </c>
      <c r="S319" t="s">
        <v>23</v>
      </c>
      <c r="T319">
        <v>4</v>
      </c>
      <c r="U319" t="s">
        <v>52</v>
      </c>
      <c r="V319" t="s">
        <v>24</v>
      </c>
      <c r="W319" t="s">
        <v>34</v>
      </c>
    </row>
    <row r="320" spans="1:23" x14ac:dyDescent="0.3">
      <c r="A320" t="s">
        <v>763</v>
      </c>
      <c r="B320" t="s">
        <v>151</v>
      </c>
      <c r="C320" t="s">
        <v>173</v>
      </c>
      <c r="D320" t="s">
        <v>38</v>
      </c>
      <c r="E320" t="s">
        <v>5140</v>
      </c>
      <c r="F320" t="s">
        <v>5133</v>
      </c>
      <c r="G320" t="s">
        <v>18</v>
      </c>
      <c r="H320" t="s">
        <v>19</v>
      </c>
      <c r="I320" t="str">
        <f>LEFT(H320,FIND(" (",H320)-1)</f>
        <v>Entry</v>
      </c>
      <c r="J320" t="str">
        <f>MID(H320,FIND("(",H320)+1,FIND(")",H320)-FIND("(",H320)-1)</f>
        <v>0-2 yrs</v>
      </c>
      <c r="L320">
        <v>74084</v>
      </c>
      <c r="M320" t="s">
        <v>764</v>
      </c>
      <c r="N320" t="s">
        <v>120</v>
      </c>
      <c r="O320" t="s">
        <v>22</v>
      </c>
      <c r="P320" s="1">
        <v>45560</v>
      </c>
      <c r="Q320">
        <v>676</v>
      </c>
      <c r="R320">
        <v>242</v>
      </c>
      <c r="S320" t="s">
        <v>99</v>
      </c>
      <c r="T320">
        <v>0</v>
      </c>
      <c r="U320" t="s">
        <v>52</v>
      </c>
      <c r="V320" t="s">
        <v>46</v>
      </c>
      <c r="W320" t="s">
        <v>23</v>
      </c>
    </row>
    <row r="321" spans="1:23" x14ac:dyDescent="0.3">
      <c r="A321" t="s">
        <v>765</v>
      </c>
      <c r="B321" t="s">
        <v>13</v>
      </c>
      <c r="C321" t="s">
        <v>97</v>
      </c>
      <c r="D321" t="s">
        <v>63</v>
      </c>
      <c r="E321" t="s">
        <v>216</v>
      </c>
      <c r="F321" t="s">
        <v>217</v>
      </c>
      <c r="G321" t="s">
        <v>18</v>
      </c>
      <c r="H321" t="s">
        <v>19</v>
      </c>
      <c r="I321" t="str">
        <f>LEFT(H321,FIND(" (",H321)-1)</f>
        <v>Entry</v>
      </c>
      <c r="J321" t="str">
        <f>MID(H321,FIND("(",H321)+1,FIND(")",H321)-FIND("(",H321)-1)</f>
        <v>0-2 yrs</v>
      </c>
      <c r="L321">
        <v>68360</v>
      </c>
      <c r="M321" t="s">
        <v>766</v>
      </c>
      <c r="N321" t="s">
        <v>149</v>
      </c>
      <c r="O321" t="s">
        <v>79</v>
      </c>
      <c r="P321" s="1">
        <v>45628</v>
      </c>
      <c r="Q321">
        <v>1432</v>
      </c>
      <c r="R321">
        <v>3161</v>
      </c>
      <c r="S321" t="s">
        <v>23</v>
      </c>
      <c r="T321">
        <v>0</v>
      </c>
      <c r="U321" t="s">
        <v>45</v>
      </c>
      <c r="V321" t="s">
        <v>24</v>
      </c>
      <c r="W321" t="s">
        <v>23</v>
      </c>
    </row>
    <row r="322" spans="1:23" x14ac:dyDescent="0.3">
      <c r="A322" t="s">
        <v>767</v>
      </c>
      <c r="B322" t="s">
        <v>36</v>
      </c>
      <c r="C322" t="s">
        <v>195</v>
      </c>
      <c r="D322" t="s">
        <v>147</v>
      </c>
      <c r="E322" t="s">
        <v>5134</v>
      </c>
      <c r="F322" t="s">
        <v>5133</v>
      </c>
      <c r="G322" t="s">
        <v>18</v>
      </c>
      <c r="H322" t="s">
        <v>19</v>
      </c>
      <c r="I322" t="str">
        <f>LEFT(H322,FIND(" (",H322)-1)</f>
        <v>Entry</v>
      </c>
      <c r="J322" t="str">
        <f>MID(H322,FIND("(",H322)+1,FIND(")",H322)-FIND("(",H322)-1)</f>
        <v>0-2 yrs</v>
      </c>
      <c r="L322">
        <v>71222</v>
      </c>
      <c r="M322" t="s">
        <v>768</v>
      </c>
      <c r="N322" t="s">
        <v>245</v>
      </c>
      <c r="O322" t="s">
        <v>22</v>
      </c>
      <c r="P322" s="1">
        <v>45322</v>
      </c>
      <c r="Q322">
        <v>2315</v>
      </c>
      <c r="R322">
        <v>454</v>
      </c>
      <c r="S322" t="s">
        <v>34</v>
      </c>
      <c r="T322">
        <v>0</v>
      </c>
      <c r="U322" t="s">
        <v>58</v>
      </c>
      <c r="V322" t="s">
        <v>24</v>
      </c>
      <c r="W322" t="s">
        <v>23</v>
      </c>
    </row>
    <row r="323" spans="1:23" x14ac:dyDescent="0.3">
      <c r="A323" t="s">
        <v>769</v>
      </c>
      <c r="B323" t="s">
        <v>172</v>
      </c>
      <c r="C323" t="s">
        <v>124</v>
      </c>
      <c r="D323" t="s">
        <v>15</v>
      </c>
      <c r="E323" t="s">
        <v>5137</v>
      </c>
      <c r="F323" t="s">
        <v>5138</v>
      </c>
      <c r="G323" t="s">
        <v>18</v>
      </c>
      <c r="H323" t="s">
        <v>66</v>
      </c>
      <c r="I323" t="str">
        <f>LEFT(H323,FIND(" (",H323)-1)</f>
        <v>Senior</v>
      </c>
      <c r="J323" t="str">
        <f>MID(H323,FIND("(",H323)+1,FIND(")",H323)-FIND("(",H323)-1)</f>
        <v>5-8 yrs</v>
      </c>
      <c r="L323">
        <v>166069</v>
      </c>
      <c r="M323" t="s">
        <v>770</v>
      </c>
      <c r="N323" t="s">
        <v>33</v>
      </c>
      <c r="O323" t="s">
        <v>51</v>
      </c>
      <c r="P323" s="1">
        <v>45328</v>
      </c>
      <c r="Q323">
        <v>1391</v>
      </c>
      <c r="R323">
        <v>630</v>
      </c>
      <c r="S323" t="s">
        <v>23</v>
      </c>
      <c r="T323">
        <v>4</v>
      </c>
      <c r="U323" t="s">
        <v>58</v>
      </c>
      <c r="V323" t="s">
        <v>24</v>
      </c>
      <c r="W323" t="s">
        <v>23</v>
      </c>
    </row>
    <row r="324" spans="1:23" x14ac:dyDescent="0.3">
      <c r="A324" t="s">
        <v>771</v>
      </c>
      <c r="B324" t="s">
        <v>96</v>
      </c>
      <c r="C324" t="s">
        <v>101</v>
      </c>
      <c r="D324" t="s">
        <v>111</v>
      </c>
      <c r="E324" t="s">
        <v>5139</v>
      </c>
      <c r="F324" t="s">
        <v>5133</v>
      </c>
      <c r="G324" t="s">
        <v>18</v>
      </c>
      <c r="H324" t="s">
        <v>31</v>
      </c>
      <c r="I324" t="str">
        <f>LEFT(H324,FIND(" (",H324)-1)</f>
        <v>Staff/Principal</v>
      </c>
      <c r="J324" t="str">
        <f>MID(H324,FIND("(",H324)+1,FIND(")",H324)-FIND("(",H324)-1)</f>
        <v>8+ yrs</v>
      </c>
      <c r="L324">
        <v>170544</v>
      </c>
      <c r="M324" t="s">
        <v>772</v>
      </c>
      <c r="N324" t="s">
        <v>89</v>
      </c>
      <c r="O324" t="s">
        <v>51</v>
      </c>
      <c r="P324" s="1">
        <v>45664</v>
      </c>
      <c r="Q324">
        <v>1770</v>
      </c>
      <c r="R324">
        <v>1375</v>
      </c>
      <c r="S324" t="s">
        <v>23</v>
      </c>
      <c r="T324">
        <v>6</v>
      </c>
      <c r="U324" t="s">
        <v>58</v>
      </c>
      <c r="V324" t="s">
        <v>24</v>
      </c>
      <c r="W324" t="s">
        <v>23</v>
      </c>
    </row>
    <row r="325" spans="1:23" x14ac:dyDescent="0.3">
      <c r="A325" t="s">
        <v>773</v>
      </c>
      <c r="B325" t="s">
        <v>70</v>
      </c>
      <c r="C325" t="s">
        <v>97</v>
      </c>
      <c r="D325" t="s">
        <v>38</v>
      </c>
      <c r="E325" t="s">
        <v>133</v>
      </c>
      <c r="F325" t="s">
        <v>134</v>
      </c>
      <c r="G325" t="s">
        <v>55</v>
      </c>
      <c r="H325" t="s">
        <v>66</v>
      </c>
      <c r="I325" t="str">
        <f>LEFT(H325,FIND(" (",H325)-1)</f>
        <v>Senior</v>
      </c>
      <c r="J325" t="str">
        <f>MID(H325,FIND("(",H325)+1,FIND(")",H325)-FIND("(",H325)-1)</f>
        <v>5-8 yrs</v>
      </c>
      <c r="L325">
        <v>206494</v>
      </c>
      <c r="M325" t="s">
        <v>774</v>
      </c>
      <c r="N325" t="s">
        <v>33</v>
      </c>
      <c r="O325" t="s">
        <v>22</v>
      </c>
      <c r="P325" s="1">
        <v>45466</v>
      </c>
      <c r="Q325">
        <v>461</v>
      </c>
      <c r="R325">
        <v>3972</v>
      </c>
      <c r="S325" t="s">
        <v>23</v>
      </c>
      <c r="T325">
        <v>4</v>
      </c>
      <c r="U325" t="s">
        <v>52</v>
      </c>
      <c r="V325" t="s">
        <v>24</v>
      </c>
      <c r="W325" t="s">
        <v>34</v>
      </c>
    </row>
    <row r="326" spans="1:23" x14ac:dyDescent="0.3">
      <c r="A326" t="s">
        <v>775</v>
      </c>
      <c r="B326" t="s">
        <v>13</v>
      </c>
      <c r="C326" t="s">
        <v>37</v>
      </c>
      <c r="D326" t="s">
        <v>38</v>
      </c>
      <c r="E326" t="s">
        <v>159</v>
      </c>
      <c r="F326" t="s">
        <v>160</v>
      </c>
      <c r="G326" t="s">
        <v>18</v>
      </c>
      <c r="H326" t="s">
        <v>66</v>
      </c>
      <c r="I326" t="str">
        <f>LEFT(H326,FIND(" (",H326)-1)</f>
        <v>Senior</v>
      </c>
      <c r="J326" t="str">
        <f>MID(H326,FIND("(",H326)+1,FIND(")",H326)-FIND("(",H326)-1)</f>
        <v>5-8 yrs</v>
      </c>
      <c r="L326">
        <v>122837</v>
      </c>
      <c r="M326" t="s">
        <v>776</v>
      </c>
      <c r="N326" t="s">
        <v>33</v>
      </c>
      <c r="O326" t="s">
        <v>51</v>
      </c>
      <c r="P326" s="1">
        <v>45615</v>
      </c>
      <c r="Q326">
        <v>558</v>
      </c>
      <c r="R326">
        <v>3257</v>
      </c>
      <c r="S326" t="s">
        <v>23</v>
      </c>
      <c r="T326">
        <v>4</v>
      </c>
      <c r="U326" t="s">
        <v>45</v>
      </c>
      <c r="V326" t="s">
        <v>24</v>
      </c>
      <c r="W326" t="s">
        <v>23</v>
      </c>
    </row>
    <row r="327" spans="1:23" x14ac:dyDescent="0.3">
      <c r="A327" t="s">
        <v>777</v>
      </c>
      <c r="B327" t="s">
        <v>172</v>
      </c>
      <c r="C327" t="s">
        <v>48</v>
      </c>
      <c r="D327" t="s">
        <v>75</v>
      </c>
      <c r="E327" t="s">
        <v>5135</v>
      </c>
      <c r="F327" t="s">
        <v>5133</v>
      </c>
      <c r="G327" t="s">
        <v>18</v>
      </c>
      <c r="H327" t="s">
        <v>19</v>
      </c>
      <c r="I327" t="str">
        <f>LEFT(H327,FIND(" (",H327)-1)</f>
        <v>Entry</v>
      </c>
      <c r="J327" t="str">
        <f>MID(H327,FIND("(",H327)+1,FIND(")",H327)-FIND("(",H327)-1)</f>
        <v>0-2 yrs</v>
      </c>
      <c r="L327">
        <v>54701</v>
      </c>
      <c r="M327" t="s">
        <v>778</v>
      </c>
      <c r="N327" t="s">
        <v>33</v>
      </c>
      <c r="O327" t="s">
        <v>51</v>
      </c>
      <c r="P327" s="1">
        <v>45464</v>
      </c>
      <c r="Q327">
        <v>2497</v>
      </c>
      <c r="R327">
        <v>620</v>
      </c>
      <c r="S327" t="s">
        <v>23</v>
      </c>
      <c r="T327">
        <v>0</v>
      </c>
      <c r="U327" t="s">
        <v>52</v>
      </c>
      <c r="V327" t="s">
        <v>46</v>
      </c>
      <c r="W327" t="s">
        <v>34</v>
      </c>
    </row>
    <row r="328" spans="1:23" x14ac:dyDescent="0.3">
      <c r="A328" t="s">
        <v>779</v>
      </c>
      <c r="B328" t="s">
        <v>61</v>
      </c>
      <c r="C328" t="s">
        <v>97</v>
      </c>
      <c r="D328" t="s">
        <v>15</v>
      </c>
      <c r="E328" t="s">
        <v>5140</v>
      </c>
      <c r="F328" t="s">
        <v>5133</v>
      </c>
      <c r="G328" t="s">
        <v>41</v>
      </c>
      <c r="H328" t="s">
        <v>31</v>
      </c>
      <c r="I328" t="str">
        <f>LEFT(H328,FIND(" (",H328)-1)</f>
        <v>Staff/Principal</v>
      </c>
      <c r="J328" t="str">
        <f>MID(H328,FIND("(",H328)+1,FIND(")",H328)-FIND("(",H328)-1)</f>
        <v>8+ yrs</v>
      </c>
      <c r="L328">
        <v>241691</v>
      </c>
      <c r="M328" t="s">
        <v>780</v>
      </c>
      <c r="N328" t="s">
        <v>68</v>
      </c>
      <c r="O328" t="s">
        <v>79</v>
      </c>
      <c r="P328" s="1">
        <v>45608</v>
      </c>
      <c r="Q328">
        <v>698</v>
      </c>
      <c r="R328">
        <v>1878</v>
      </c>
      <c r="S328" t="s">
        <v>23</v>
      </c>
      <c r="T328">
        <v>6</v>
      </c>
      <c r="U328" t="s">
        <v>83</v>
      </c>
      <c r="V328" t="s">
        <v>24</v>
      </c>
      <c r="W328" t="s">
        <v>23</v>
      </c>
    </row>
    <row r="329" spans="1:23" x14ac:dyDescent="0.3">
      <c r="A329" t="s">
        <v>781</v>
      </c>
      <c r="B329" t="s">
        <v>13</v>
      </c>
      <c r="C329" t="s">
        <v>27</v>
      </c>
      <c r="D329" t="s">
        <v>49</v>
      </c>
      <c r="E329" t="s">
        <v>216</v>
      </c>
      <c r="F329" t="s">
        <v>217</v>
      </c>
      <c r="G329" t="s">
        <v>41</v>
      </c>
      <c r="H329" t="s">
        <v>31</v>
      </c>
      <c r="I329" t="str">
        <f>LEFT(H329,FIND(" (",H329)-1)</f>
        <v>Staff/Principal</v>
      </c>
      <c r="J329" t="str">
        <f>MID(H329,FIND("(",H329)+1,FIND(")",H329)-FIND("(",H329)-1)</f>
        <v>8+ yrs</v>
      </c>
      <c r="L329">
        <v>228499</v>
      </c>
      <c r="M329" t="s">
        <v>782</v>
      </c>
      <c r="N329" t="s">
        <v>141</v>
      </c>
      <c r="O329" t="s">
        <v>79</v>
      </c>
      <c r="P329" s="1">
        <v>45404</v>
      </c>
      <c r="Q329">
        <v>862</v>
      </c>
      <c r="R329">
        <v>1327</v>
      </c>
      <c r="S329" t="s">
        <v>23</v>
      </c>
      <c r="T329">
        <v>6</v>
      </c>
      <c r="U329" t="s">
        <v>52</v>
      </c>
      <c r="V329" t="s">
        <v>59</v>
      </c>
      <c r="W329" t="s">
        <v>23</v>
      </c>
    </row>
    <row r="330" spans="1:23" x14ac:dyDescent="0.3">
      <c r="A330" t="s">
        <v>783</v>
      </c>
      <c r="B330" t="s">
        <v>236</v>
      </c>
      <c r="C330" t="s">
        <v>132</v>
      </c>
      <c r="D330" t="s">
        <v>125</v>
      </c>
      <c r="E330" t="s">
        <v>5137</v>
      </c>
      <c r="F330" t="s">
        <v>5138</v>
      </c>
      <c r="G330" t="s">
        <v>18</v>
      </c>
      <c r="H330" t="s">
        <v>19</v>
      </c>
      <c r="I330" t="str">
        <f>LEFT(H330,FIND(" (",H330)-1)</f>
        <v>Entry</v>
      </c>
      <c r="J330" t="str">
        <f>MID(H330,FIND("(",H330)+1,FIND(")",H330)-FIND("(",H330)-1)</f>
        <v>0-2 yrs</v>
      </c>
      <c r="L330">
        <v>77863</v>
      </c>
      <c r="M330" t="s">
        <v>784</v>
      </c>
      <c r="N330" t="s">
        <v>21</v>
      </c>
      <c r="O330" t="s">
        <v>22</v>
      </c>
      <c r="P330" s="1">
        <v>45679</v>
      </c>
      <c r="Q330">
        <v>1840</v>
      </c>
      <c r="R330">
        <v>3195</v>
      </c>
      <c r="S330" t="s">
        <v>34</v>
      </c>
      <c r="T330">
        <v>0</v>
      </c>
      <c r="U330" t="s">
        <v>58</v>
      </c>
      <c r="V330" t="s">
        <v>24</v>
      </c>
      <c r="W330" t="s">
        <v>34</v>
      </c>
    </row>
    <row r="331" spans="1:23" x14ac:dyDescent="0.3">
      <c r="A331" t="s">
        <v>785</v>
      </c>
      <c r="B331" t="s">
        <v>70</v>
      </c>
      <c r="C331" t="s">
        <v>92</v>
      </c>
      <c r="D331" t="s">
        <v>125</v>
      </c>
      <c r="E331" t="s">
        <v>5139</v>
      </c>
      <c r="F331" t="s">
        <v>5133</v>
      </c>
      <c r="G331" t="s">
        <v>41</v>
      </c>
      <c r="H331" t="s">
        <v>66</v>
      </c>
      <c r="I331" t="str">
        <f>LEFT(H331,FIND(" (",H331)-1)</f>
        <v>Senior</v>
      </c>
      <c r="J331" t="str">
        <f>MID(H331,FIND("(",H331)+1,FIND(")",H331)-FIND("(",H331)-1)</f>
        <v>5-8 yrs</v>
      </c>
      <c r="L331">
        <v>166965</v>
      </c>
      <c r="M331" t="s">
        <v>786</v>
      </c>
      <c r="N331" t="s">
        <v>141</v>
      </c>
      <c r="O331" t="s">
        <v>51</v>
      </c>
      <c r="P331" s="1">
        <v>45697</v>
      </c>
      <c r="Q331">
        <v>454</v>
      </c>
      <c r="R331">
        <v>2452</v>
      </c>
      <c r="S331" t="s">
        <v>34</v>
      </c>
      <c r="T331">
        <v>4</v>
      </c>
      <c r="U331" t="s">
        <v>58</v>
      </c>
      <c r="V331" t="s">
        <v>24</v>
      </c>
      <c r="W331" t="s">
        <v>34</v>
      </c>
    </row>
    <row r="332" spans="1:23" x14ac:dyDescent="0.3">
      <c r="A332" t="s">
        <v>787</v>
      </c>
      <c r="B332" t="s">
        <v>81</v>
      </c>
      <c r="C332" t="s">
        <v>74</v>
      </c>
      <c r="D332" t="s">
        <v>75</v>
      </c>
      <c r="E332" t="s">
        <v>5139</v>
      </c>
      <c r="F332" t="s">
        <v>5133</v>
      </c>
      <c r="G332" t="s">
        <v>18</v>
      </c>
      <c r="H332" t="s">
        <v>66</v>
      </c>
      <c r="I332" t="str">
        <f>LEFT(H332,FIND(" (",H332)-1)</f>
        <v>Senior</v>
      </c>
      <c r="J332" t="str">
        <f>MID(H332,FIND("(",H332)+1,FIND(")",H332)-FIND("(",H332)-1)</f>
        <v>5-8 yrs</v>
      </c>
      <c r="L332">
        <v>149669</v>
      </c>
      <c r="M332" t="s">
        <v>788</v>
      </c>
      <c r="N332" t="s">
        <v>33</v>
      </c>
      <c r="O332" t="s">
        <v>22</v>
      </c>
      <c r="P332" s="1">
        <v>45412</v>
      </c>
      <c r="Q332">
        <v>1152</v>
      </c>
      <c r="R332">
        <v>1142</v>
      </c>
      <c r="S332" t="s">
        <v>34</v>
      </c>
      <c r="T332">
        <v>4</v>
      </c>
      <c r="U332" t="s">
        <v>5123</v>
      </c>
      <c r="V332" t="s">
        <v>59</v>
      </c>
      <c r="W332" t="s">
        <v>23</v>
      </c>
    </row>
    <row r="333" spans="1:23" x14ac:dyDescent="0.3">
      <c r="A333" t="s">
        <v>789</v>
      </c>
      <c r="B333" t="s">
        <v>96</v>
      </c>
      <c r="C333" t="s">
        <v>27</v>
      </c>
      <c r="D333" t="s">
        <v>111</v>
      </c>
      <c r="E333" t="s">
        <v>102</v>
      </c>
      <c r="F333" t="s">
        <v>103</v>
      </c>
      <c r="G333" t="s">
        <v>18</v>
      </c>
      <c r="H333" t="s">
        <v>31</v>
      </c>
      <c r="I333" t="str">
        <f>LEFT(H333,FIND(" (",H333)-1)</f>
        <v>Staff/Principal</v>
      </c>
      <c r="J333" t="str">
        <f>MID(H333,FIND("(",H333)+1,FIND(")",H333)-FIND("(",H333)-1)</f>
        <v>8+ yrs</v>
      </c>
      <c r="L333">
        <v>167698</v>
      </c>
      <c r="M333" t="s">
        <v>790</v>
      </c>
      <c r="N333" t="s">
        <v>120</v>
      </c>
      <c r="O333" t="s">
        <v>44</v>
      </c>
      <c r="P333" s="1">
        <v>45314</v>
      </c>
      <c r="Q333">
        <v>2156</v>
      </c>
      <c r="R333">
        <v>187</v>
      </c>
      <c r="S333" t="s">
        <v>34</v>
      </c>
      <c r="T333">
        <v>6</v>
      </c>
      <c r="U333" t="s">
        <v>5123</v>
      </c>
      <c r="V333" t="s">
        <v>46</v>
      </c>
      <c r="W333" t="s">
        <v>34</v>
      </c>
    </row>
    <row r="334" spans="1:23" x14ac:dyDescent="0.3">
      <c r="A334" t="s">
        <v>791</v>
      </c>
      <c r="B334" t="s">
        <v>151</v>
      </c>
      <c r="C334" t="s">
        <v>27</v>
      </c>
      <c r="D334" t="s">
        <v>38</v>
      </c>
      <c r="E334" t="s">
        <v>76</v>
      </c>
      <c r="F334" t="s">
        <v>77</v>
      </c>
      <c r="G334" t="s">
        <v>18</v>
      </c>
      <c r="H334" t="s">
        <v>31</v>
      </c>
      <c r="I334" t="str">
        <f>LEFT(H334,FIND(" (",H334)-1)</f>
        <v>Staff/Principal</v>
      </c>
      <c r="J334" t="str">
        <f>MID(H334,FIND("(",H334)+1,FIND(")",H334)-FIND("(",H334)-1)</f>
        <v>8+ yrs</v>
      </c>
      <c r="L334">
        <v>202728</v>
      </c>
      <c r="M334" t="s">
        <v>792</v>
      </c>
      <c r="N334" t="s">
        <v>33</v>
      </c>
      <c r="O334" t="s">
        <v>44</v>
      </c>
      <c r="P334" s="1">
        <v>45412</v>
      </c>
      <c r="Q334">
        <v>1635</v>
      </c>
      <c r="R334">
        <v>942</v>
      </c>
      <c r="S334" t="s">
        <v>34</v>
      </c>
      <c r="T334">
        <v>6</v>
      </c>
      <c r="U334" t="s">
        <v>58</v>
      </c>
      <c r="V334" t="s">
        <v>59</v>
      </c>
      <c r="W334" t="s">
        <v>34</v>
      </c>
    </row>
    <row r="335" spans="1:23" x14ac:dyDescent="0.3">
      <c r="A335" t="s">
        <v>793</v>
      </c>
      <c r="B335" t="s">
        <v>91</v>
      </c>
      <c r="C335" t="s">
        <v>107</v>
      </c>
      <c r="D335" t="s">
        <v>38</v>
      </c>
      <c r="E335" t="s">
        <v>159</v>
      </c>
      <c r="F335" t="s">
        <v>160</v>
      </c>
      <c r="G335" t="s">
        <v>41</v>
      </c>
      <c r="H335" t="s">
        <v>19</v>
      </c>
      <c r="I335" t="str">
        <f>LEFT(H335,FIND(" (",H335)-1)</f>
        <v>Entry</v>
      </c>
      <c r="J335" t="str">
        <f>MID(H335,FIND("(",H335)+1,FIND(")",H335)-FIND("(",H335)-1)</f>
        <v>0-2 yrs</v>
      </c>
      <c r="L335">
        <v>61467</v>
      </c>
      <c r="M335" t="s">
        <v>794</v>
      </c>
      <c r="N335" t="s">
        <v>89</v>
      </c>
      <c r="O335" t="s">
        <v>51</v>
      </c>
      <c r="P335" s="1">
        <v>45319</v>
      </c>
      <c r="Q335">
        <v>1404</v>
      </c>
      <c r="R335">
        <v>838</v>
      </c>
      <c r="S335" t="s">
        <v>23</v>
      </c>
      <c r="T335">
        <v>0</v>
      </c>
      <c r="U335" t="s">
        <v>5123</v>
      </c>
      <c r="V335" t="s">
        <v>24</v>
      </c>
      <c r="W335" t="s">
        <v>34</v>
      </c>
    </row>
    <row r="336" spans="1:23" x14ac:dyDescent="0.3">
      <c r="A336" t="s">
        <v>795</v>
      </c>
      <c r="B336" t="s">
        <v>61</v>
      </c>
      <c r="C336" t="s">
        <v>97</v>
      </c>
      <c r="D336" t="s">
        <v>111</v>
      </c>
      <c r="E336" t="s">
        <v>39</v>
      </c>
      <c r="F336" t="s">
        <v>40</v>
      </c>
      <c r="G336" t="s">
        <v>41</v>
      </c>
      <c r="H336" t="s">
        <v>19</v>
      </c>
      <c r="I336" t="str">
        <f>LEFT(H336,FIND(" (",H336)-1)</f>
        <v>Entry</v>
      </c>
      <c r="J336" t="str">
        <f>MID(H336,FIND("(",H336)+1,FIND(")",H336)-FIND("(",H336)-1)</f>
        <v>0-2 yrs</v>
      </c>
      <c r="L336">
        <v>82286</v>
      </c>
      <c r="M336" t="s">
        <v>796</v>
      </c>
      <c r="N336" t="s">
        <v>33</v>
      </c>
      <c r="O336" t="s">
        <v>79</v>
      </c>
      <c r="P336" s="1">
        <v>45379</v>
      </c>
      <c r="Q336">
        <v>1240</v>
      </c>
      <c r="R336">
        <v>364</v>
      </c>
      <c r="S336" t="s">
        <v>23</v>
      </c>
      <c r="T336">
        <v>0</v>
      </c>
      <c r="U336" t="s">
        <v>83</v>
      </c>
      <c r="V336" t="s">
        <v>24</v>
      </c>
      <c r="W336" t="s">
        <v>23</v>
      </c>
    </row>
    <row r="337" spans="1:23" x14ac:dyDescent="0.3">
      <c r="A337" t="s">
        <v>797</v>
      </c>
      <c r="B337" t="s">
        <v>143</v>
      </c>
      <c r="C337" t="s">
        <v>209</v>
      </c>
      <c r="D337" t="s">
        <v>111</v>
      </c>
      <c r="E337" t="s">
        <v>39</v>
      </c>
      <c r="F337" t="s">
        <v>40</v>
      </c>
      <c r="G337" t="s">
        <v>18</v>
      </c>
      <c r="H337" t="s">
        <v>31</v>
      </c>
      <c r="I337" t="str">
        <f>LEFT(H337,FIND(" (",H337)-1)</f>
        <v>Staff/Principal</v>
      </c>
      <c r="J337" t="str">
        <f>MID(H337,FIND("(",H337)+1,FIND(")",H337)-FIND("(",H337)-1)</f>
        <v>8+ yrs</v>
      </c>
      <c r="L337">
        <v>194705</v>
      </c>
      <c r="M337" t="s">
        <v>798</v>
      </c>
      <c r="N337" t="s">
        <v>21</v>
      </c>
      <c r="O337" t="s">
        <v>44</v>
      </c>
      <c r="P337" s="1">
        <v>45665</v>
      </c>
      <c r="Q337">
        <v>2011</v>
      </c>
      <c r="R337">
        <v>191</v>
      </c>
      <c r="S337" t="s">
        <v>34</v>
      </c>
      <c r="T337">
        <v>6</v>
      </c>
      <c r="U337" t="s">
        <v>58</v>
      </c>
      <c r="V337" t="s">
        <v>59</v>
      </c>
      <c r="W337" t="s">
        <v>23</v>
      </c>
    </row>
    <row r="338" spans="1:23" x14ac:dyDescent="0.3">
      <c r="A338" t="s">
        <v>799</v>
      </c>
      <c r="B338" t="s">
        <v>329</v>
      </c>
      <c r="C338" t="s">
        <v>182</v>
      </c>
      <c r="D338" t="s">
        <v>147</v>
      </c>
      <c r="E338" t="s">
        <v>159</v>
      </c>
      <c r="F338" t="s">
        <v>160</v>
      </c>
      <c r="G338" t="s">
        <v>55</v>
      </c>
      <c r="H338" t="s">
        <v>31</v>
      </c>
      <c r="I338" t="str">
        <f>LEFT(H338,FIND(" (",H338)-1)</f>
        <v>Staff/Principal</v>
      </c>
      <c r="J338" t="str">
        <f>MID(H338,FIND("(",H338)+1,FIND(")",H338)-FIND("(",H338)-1)</f>
        <v>8+ yrs</v>
      </c>
      <c r="L338">
        <v>170282</v>
      </c>
      <c r="M338" t="s">
        <v>800</v>
      </c>
      <c r="N338" t="s">
        <v>186</v>
      </c>
      <c r="O338" t="s">
        <v>79</v>
      </c>
      <c r="P338" s="1">
        <v>45648</v>
      </c>
      <c r="Q338">
        <v>843</v>
      </c>
      <c r="R338">
        <v>1478</v>
      </c>
      <c r="S338" t="s">
        <v>23</v>
      </c>
      <c r="T338">
        <v>6</v>
      </c>
      <c r="U338" t="s">
        <v>5123</v>
      </c>
      <c r="V338" t="s">
        <v>24</v>
      </c>
      <c r="W338" t="s">
        <v>23</v>
      </c>
    </row>
    <row r="339" spans="1:23" x14ac:dyDescent="0.3">
      <c r="A339" t="s">
        <v>801</v>
      </c>
      <c r="B339" t="s">
        <v>222</v>
      </c>
      <c r="C339" t="s">
        <v>226</v>
      </c>
      <c r="D339" t="s">
        <v>63</v>
      </c>
      <c r="E339" t="s">
        <v>200</v>
      </c>
      <c r="F339" t="s">
        <v>201</v>
      </c>
      <c r="G339" t="s">
        <v>41</v>
      </c>
      <c r="H339" t="s">
        <v>31</v>
      </c>
      <c r="I339" t="str">
        <f>LEFT(H339,FIND(" (",H339)-1)</f>
        <v>Staff/Principal</v>
      </c>
      <c r="J339" t="str">
        <f>MID(H339,FIND("(",H339)+1,FIND(")",H339)-FIND("(",H339)-1)</f>
        <v>8+ yrs</v>
      </c>
      <c r="L339">
        <v>188430</v>
      </c>
      <c r="M339" t="s">
        <v>802</v>
      </c>
      <c r="N339" t="s">
        <v>33</v>
      </c>
      <c r="O339" t="s">
        <v>44</v>
      </c>
      <c r="P339" s="1">
        <v>45304</v>
      </c>
      <c r="Q339">
        <v>305</v>
      </c>
      <c r="R339">
        <v>3534</v>
      </c>
      <c r="S339" t="s">
        <v>23</v>
      </c>
      <c r="T339">
        <v>6</v>
      </c>
      <c r="U339" t="s">
        <v>58</v>
      </c>
      <c r="V339" t="s">
        <v>59</v>
      </c>
      <c r="W339" t="s">
        <v>34</v>
      </c>
    </row>
    <row r="340" spans="1:23" x14ac:dyDescent="0.3">
      <c r="A340" t="s">
        <v>803</v>
      </c>
      <c r="B340" t="s">
        <v>229</v>
      </c>
      <c r="C340" t="s">
        <v>107</v>
      </c>
      <c r="D340" t="s">
        <v>15</v>
      </c>
      <c r="E340" t="s">
        <v>5139</v>
      </c>
      <c r="F340" t="s">
        <v>5133</v>
      </c>
      <c r="G340" t="s">
        <v>41</v>
      </c>
      <c r="H340" t="s">
        <v>66</v>
      </c>
      <c r="I340" t="str">
        <f>LEFT(H340,FIND(" (",H340)-1)</f>
        <v>Senior</v>
      </c>
      <c r="J340" t="str">
        <f>MID(H340,FIND("(",H340)+1,FIND(")",H340)-FIND("(",H340)-1)</f>
        <v>5-8 yrs</v>
      </c>
      <c r="L340">
        <v>161149</v>
      </c>
      <c r="M340" t="s">
        <v>804</v>
      </c>
      <c r="N340" t="s">
        <v>33</v>
      </c>
      <c r="O340" t="s">
        <v>51</v>
      </c>
      <c r="P340" s="1">
        <v>45649</v>
      </c>
      <c r="Q340">
        <v>1790</v>
      </c>
      <c r="R340">
        <v>3647</v>
      </c>
      <c r="S340" t="s">
        <v>34</v>
      </c>
      <c r="T340">
        <v>4</v>
      </c>
      <c r="U340" t="s">
        <v>58</v>
      </c>
      <c r="V340" t="s">
        <v>24</v>
      </c>
      <c r="W340" t="s">
        <v>23</v>
      </c>
    </row>
    <row r="341" spans="1:23" x14ac:dyDescent="0.3">
      <c r="A341" t="s">
        <v>805</v>
      </c>
      <c r="B341" t="s">
        <v>225</v>
      </c>
      <c r="C341" t="s">
        <v>92</v>
      </c>
      <c r="D341" t="s">
        <v>75</v>
      </c>
      <c r="E341" t="s">
        <v>102</v>
      </c>
      <c r="F341" t="s">
        <v>103</v>
      </c>
      <c r="G341" t="s">
        <v>41</v>
      </c>
      <c r="H341" t="s">
        <v>66</v>
      </c>
      <c r="I341" t="str">
        <f>LEFT(H341,FIND(" (",H341)-1)</f>
        <v>Senior</v>
      </c>
      <c r="J341" t="str">
        <f>MID(H341,FIND("(",H341)+1,FIND(")",H341)-FIND("(",H341)-1)</f>
        <v>5-8 yrs</v>
      </c>
      <c r="L341">
        <v>134779</v>
      </c>
      <c r="M341" t="s">
        <v>806</v>
      </c>
      <c r="N341" t="s">
        <v>43</v>
      </c>
      <c r="O341" t="s">
        <v>22</v>
      </c>
      <c r="P341" s="1">
        <v>45652</v>
      </c>
      <c r="Q341">
        <v>2259</v>
      </c>
      <c r="R341">
        <v>3030</v>
      </c>
      <c r="S341" t="s">
        <v>99</v>
      </c>
      <c r="T341">
        <v>4</v>
      </c>
      <c r="U341" t="s">
        <v>83</v>
      </c>
      <c r="V341" t="s">
        <v>59</v>
      </c>
      <c r="W341" t="s">
        <v>23</v>
      </c>
    </row>
    <row r="342" spans="1:23" x14ac:dyDescent="0.3">
      <c r="A342" t="s">
        <v>807</v>
      </c>
      <c r="B342" t="s">
        <v>91</v>
      </c>
      <c r="C342" t="s">
        <v>116</v>
      </c>
      <c r="D342" t="s">
        <v>49</v>
      </c>
      <c r="E342" t="s">
        <v>5141</v>
      </c>
      <c r="F342" t="s">
        <v>5133</v>
      </c>
      <c r="G342" t="s">
        <v>55</v>
      </c>
      <c r="H342" t="s">
        <v>66</v>
      </c>
      <c r="I342" t="str">
        <f>LEFT(H342,FIND(" (",H342)-1)</f>
        <v>Senior</v>
      </c>
      <c r="J342" t="str">
        <f>MID(H342,FIND("(",H342)+1,FIND(")",H342)-FIND("(",H342)-1)</f>
        <v>5-8 yrs</v>
      </c>
      <c r="L342">
        <v>127800</v>
      </c>
      <c r="M342" t="s">
        <v>808</v>
      </c>
      <c r="N342" t="s">
        <v>94</v>
      </c>
      <c r="O342" t="s">
        <v>51</v>
      </c>
      <c r="P342" s="1">
        <v>45549</v>
      </c>
      <c r="Q342">
        <v>2478</v>
      </c>
      <c r="R342">
        <v>2788</v>
      </c>
      <c r="S342" t="s">
        <v>23</v>
      </c>
      <c r="T342">
        <v>4</v>
      </c>
      <c r="U342" t="s">
        <v>45</v>
      </c>
      <c r="V342" t="s">
        <v>24</v>
      </c>
      <c r="W342" t="s">
        <v>34</v>
      </c>
    </row>
    <row r="343" spans="1:23" x14ac:dyDescent="0.3">
      <c r="A343" t="s">
        <v>809</v>
      </c>
      <c r="B343" t="s">
        <v>70</v>
      </c>
      <c r="C343" t="s">
        <v>192</v>
      </c>
      <c r="D343" t="s">
        <v>125</v>
      </c>
      <c r="E343" t="s">
        <v>39</v>
      </c>
      <c r="F343" t="s">
        <v>40</v>
      </c>
      <c r="G343" t="s">
        <v>18</v>
      </c>
      <c r="H343" t="s">
        <v>56</v>
      </c>
      <c r="I343" t="str">
        <f>LEFT(H343,FIND(" (",H343)-1)</f>
        <v>Mid</v>
      </c>
      <c r="J343" t="str">
        <f>MID(H343,FIND("(",H343)+1,FIND(")",H343)-FIND("(",H343)-1)</f>
        <v>2-5 yrs</v>
      </c>
      <c r="L343">
        <v>114825</v>
      </c>
      <c r="M343" t="s">
        <v>810</v>
      </c>
      <c r="N343" t="s">
        <v>68</v>
      </c>
      <c r="O343" t="s">
        <v>44</v>
      </c>
      <c r="P343" s="1">
        <v>45492</v>
      </c>
      <c r="Q343">
        <v>2432</v>
      </c>
      <c r="R343">
        <v>3909</v>
      </c>
      <c r="S343" t="s">
        <v>23</v>
      </c>
      <c r="T343">
        <v>2</v>
      </c>
      <c r="U343" t="s">
        <v>45</v>
      </c>
      <c r="V343" t="s">
        <v>24</v>
      </c>
      <c r="W343" t="s">
        <v>23</v>
      </c>
    </row>
    <row r="344" spans="1:23" x14ac:dyDescent="0.3">
      <c r="A344" t="s">
        <v>811</v>
      </c>
      <c r="B344" t="s">
        <v>61</v>
      </c>
      <c r="C344" t="s">
        <v>116</v>
      </c>
      <c r="D344" t="s">
        <v>75</v>
      </c>
      <c r="E344" t="s">
        <v>5141</v>
      </c>
      <c r="F344" t="s">
        <v>5133</v>
      </c>
      <c r="G344" t="s">
        <v>18</v>
      </c>
      <c r="H344" t="s">
        <v>31</v>
      </c>
      <c r="I344" t="str">
        <f>LEFT(H344,FIND(" (",H344)-1)</f>
        <v>Staff/Principal</v>
      </c>
      <c r="J344" t="str">
        <f>MID(H344,FIND("(",H344)+1,FIND(")",H344)-FIND("(",H344)-1)</f>
        <v>8+ yrs</v>
      </c>
      <c r="L344">
        <v>208818</v>
      </c>
      <c r="M344" t="s">
        <v>812</v>
      </c>
      <c r="N344" t="s">
        <v>245</v>
      </c>
      <c r="O344" t="s">
        <v>51</v>
      </c>
      <c r="P344" s="1">
        <v>45669</v>
      </c>
      <c r="Q344">
        <v>1986</v>
      </c>
      <c r="R344">
        <v>2380</v>
      </c>
      <c r="S344" t="s">
        <v>23</v>
      </c>
      <c r="T344">
        <v>6</v>
      </c>
      <c r="U344" t="s">
        <v>45</v>
      </c>
      <c r="V344" t="s">
        <v>24</v>
      </c>
      <c r="W344" t="s">
        <v>23</v>
      </c>
    </row>
    <row r="345" spans="1:23" x14ac:dyDescent="0.3">
      <c r="A345" t="s">
        <v>813</v>
      </c>
      <c r="B345" t="s">
        <v>131</v>
      </c>
      <c r="C345" t="s">
        <v>71</v>
      </c>
      <c r="D345" t="s">
        <v>15</v>
      </c>
      <c r="E345" t="s">
        <v>39</v>
      </c>
      <c r="F345" t="s">
        <v>40</v>
      </c>
      <c r="G345" t="s">
        <v>18</v>
      </c>
      <c r="H345" t="s">
        <v>31</v>
      </c>
      <c r="I345" t="str">
        <f>LEFT(H345,FIND(" (",H345)-1)</f>
        <v>Staff/Principal</v>
      </c>
      <c r="J345" t="str">
        <f>MID(H345,FIND("(",H345)+1,FIND(")",H345)-FIND("(",H345)-1)</f>
        <v>8+ yrs</v>
      </c>
      <c r="L345">
        <v>181750</v>
      </c>
      <c r="M345" t="s">
        <v>814</v>
      </c>
      <c r="N345" t="s">
        <v>120</v>
      </c>
      <c r="O345" t="s">
        <v>22</v>
      </c>
      <c r="P345" s="1">
        <v>45359</v>
      </c>
      <c r="Q345">
        <v>1464</v>
      </c>
      <c r="R345">
        <v>1877</v>
      </c>
      <c r="S345" t="s">
        <v>99</v>
      </c>
      <c r="T345">
        <v>6</v>
      </c>
      <c r="U345" t="s">
        <v>83</v>
      </c>
      <c r="V345" t="s">
        <v>46</v>
      </c>
      <c r="W345" t="s">
        <v>23</v>
      </c>
    </row>
    <row r="346" spans="1:23" x14ac:dyDescent="0.3">
      <c r="A346" t="s">
        <v>815</v>
      </c>
      <c r="B346" t="s">
        <v>81</v>
      </c>
      <c r="C346" t="s">
        <v>37</v>
      </c>
      <c r="D346" t="s">
        <v>125</v>
      </c>
      <c r="E346" t="s">
        <v>102</v>
      </c>
      <c r="F346" t="s">
        <v>103</v>
      </c>
      <c r="G346" t="s">
        <v>55</v>
      </c>
      <c r="H346" t="s">
        <v>56</v>
      </c>
      <c r="I346" t="str">
        <f>LEFT(H346,FIND(" (",H346)-1)</f>
        <v>Mid</v>
      </c>
      <c r="J346" t="str">
        <f>MID(H346,FIND("(",H346)+1,FIND(")",H346)-FIND("(",H346)-1)</f>
        <v>2-5 yrs</v>
      </c>
      <c r="L346">
        <v>100673</v>
      </c>
      <c r="M346" t="s">
        <v>816</v>
      </c>
      <c r="N346" t="s">
        <v>33</v>
      </c>
      <c r="O346" t="s">
        <v>51</v>
      </c>
      <c r="P346" s="1">
        <v>45646</v>
      </c>
      <c r="Q346">
        <v>1814</v>
      </c>
      <c r="R346">
        <v>765</v>
      </c>
      <c r="S346" t="s">
        <v>34</v>
      </c>
      <c r="T346">
        <v>2</v>
      </c>
      <c r="U346" t="s">
        <v>5123</v>
      </c>
      <c r="V346" t="s">
        <v>24</v>
      </c>
      <c r="W346" t="s">
        <v>23</v>
      </c>
    </row>
    <row r="347" spans="1:23" x14ac:dyDescent="0.3">
      <c r="A347" t="s">
        <v>817</v>
      </c>
      <c r="B347" t="s">
        <v>61</v>
      </c>
      <c r="C347" t="s">
        <v>209</v>
      </c>
      <c r="D347" t="s">
        <v>15</v>
      </c>
      <c r="E347" t="s">
        <v>39</v>
      </c>
      <c r="F347" t="s">
        <v>40</v>
      </c>
      <c r="G347" t="s">
        <v>41</v>
      </c>
      <c r="H347" t="s">
        <v>66</v>
      </c>
      <c r="I347" t="str">
        <f>LEFT(H347,FIND(" (",H347)-1)</f>
        <v>Senior</v>
      </c>
      <c r="J347" t="str">
        <f>MID(H347,FIND("(",H347)+1,FIND(")",H347)-FIND("(",H347)-1)</f>
        <v>5-8 yrs</v>
      </c>
      <c r="L347">
        <v>156265</v>
      </c>
      <c r="M347" t="s">
        <v>818</v>
      </c>
      <c r="N347" t="s">
        <v>33</v>
      </c>
      <c r="O347" t="s">
        <v>79</v>
      </c>
      <c r="P347" s="1">
        <v>45375</v>
      </c>
      <c r="Q347">
        <v>2378</v>
      </c>
      <c r="R347">
        <v>1366</v>
      </c>
      <c r="S347" t="s">
        <v>23</v>
      </c>
      <c r="T347">
        <v>4</v>
      </c>
      <c r="U347" t="s">
        <v>45</v>
      </c>
      <c r="V347" t="s">
        <v>24</v>
      </c>
      <c r="W347" t="s">
        <v>34</v>
      </c>
    </row>
    <row r="348" spans="1:23" x14ac:dyDescent="0.3">
      <c r="A348" t="s">
        <v>819</v>
      </c>
      <c r="B348" t="s">
        <v>143</v>
      </c>
      <c r="C348" t="s">
        <v>101</v>
      </c>
      <c r="D348" t="s">
        <v>28</v>
      </c>
      <c r="E348" t="s">
        <v>200</v>
      </c>
      <c r="F348" t="s">
        <v>201</v>
      </c>
      <c r="G348" t="s">
        <v>41</v>
      </c>
      <c r="H348" t="s">
        <v>56</v>
      </c>
      <c r="I348" t="str">
        <f>LEFT(H348,FIND(" (",H348)-1)</f>
        <v>Mid</v>
      </c>
      <c r="J348" t="str">
        <f>MID(H348,FIND("(",H348)+1,FIND(")",H348)-FIND("(",H348)-1)</f>
        <v>2-5 yrs</v>
      </c>
      <c r="L348">
        <v>81327</v>
      </c>
      <c r="M348" t="s">
        <v>820</v>
      </c>
      <c r="N348" t="s">
        <v>94</v>
      </c>
      <c r="O348" t="s">
        <v>22</v>
      </c>
      <c r="P348" s="1">
        <v>45518</v>
      </c>
      <c r="Q348">
        <v>1202</v>
      </c>
      <c r="R348">
        <v>1836</v>
      </c>
      <c r="S348" t="s">
        <v>23</v>
      </c>
      <c r="T348">
        <v>2</v>
      </c>
      <c r="U348" t="s">
        <v>45</v>
      </c>
      <c r="V348" t="s">
        <v>24</v>
      </c>
      <c r="W348" t="s">
        <v>23</v>
      </c>
    </row>
    <row r="349" spans="1:23" x14ac:dyDescent="0.3">
      <c r="A349" t="s">
        <v>821</v>
      </c>
      <c r="B349" t="s">
        <v>143</v>
      </c>
      <c r="C349" t="s">
        <v>195</v>
      </c>
      <c r="D349" t="s">
        <v>111</v>
      </c>
      <c r="E349" t="s">
        <v>16</v>
      </c>
      <c r="F349" t="s">
        <v>17</v>
      </c>
      <c r="G349" t="s">
        <v>18</v>
      </c>
      <c r="H349" t="s">
        <v>56</v>
      </c>
      <c r="I349" t="str">
        <f>LEFT(H349,FIND(" (",H349)-1)</f>
        <v>Mid</v>
      </c>
      <c r="J349" t="str">
        <f>MID(H349,FIND("(",H349)+1,FIND(")",H349)-FIND("(",H349)-1)</f>
        <v>2-5 yrs</v>
      </c>
      <c r="L349">
        <v>82132</v>
      </c>
      <c r="M349" t="s">
        <v>822</v>
      </c>
      <c r="N349" t="s">
        <v>43</v>
      </c>
      <c r="O349" t="s">
        <v>51</v>
      </c>
      <c r="P349" s="1">
        <v>45334</v>
      </c>
      <c r="Q349">
        <v>529</v>
      </c>
      <c r="R349">
        <v>3730</v>
      </c>
      <c r="S349" t="s">
        <v>23</v>
      </c>
      <c r="T349">
        <v>2</v>
      </c>
      <c r="U349" t="s">
        <v>58</v>
      </c>
      <c r="V349" t="s">
        <v>24</v>
      </c>
      <c r="W349" t="s">
        <v>23</v>
      </c>
    </row>
    <row r="350" spans="1:23" x14ac:dyDescent="0.3">
      <c r="A350" t="s">
        <v>823</v>
      </c>
      <c r="B350" t="s">
        <v>225</v>
      </c>
      <c r="C350" t="s">
        <v>107</v>
      </c>
      <c r="D350" t="s">
        <v>147</v>
      </c>
      <c r="E350" t="s">
        <v>5141</v>
      </c>
      <c r="F350" t="s">
        <v>5133</v>
      </c>
      <c r="G350" t="s">
        <v>18</v>
      </c>
      <c r="H350" t="s">
        <v>31</v>
      </c>
      <c r="I350" t="str">
        <f>LEFT(H350,FIND(" (",H350)-1)</f>
        <v>Staff/Principal</v>
      </c>
      <c r="J350" t="str">
        <f>MID(H350,FIND("(",H350)+1,FIND(")",H350)-FIND("(",H350)-1)</f>
        <v>8+ yrs</v>
      </c>
      <c r="L350">
        <v>174136</v>
      </c>
      <c r="M350" t="s">
        <v>824</v>
      </c>
      <c r="N350" t="s">
        <v>89</v>
      </c>
      <c r="O350" t="s">
        <v>44</v>
      </c>
      <c r="P350" s="1">
        <v>45468</v>
      </c>
      <c r="Q350">
        <v>1482</v>
      </c>
      <c r="R350">
        <v>680</v>
      </c>
      <c r="S350" t="s">
        <v>23</v>
      </c>
      <c r="T350">
        <v>6</v>
      </c>
      <c r="U350" t="s">
        <v>58</v>
      </c>
      <c r="V350" t="s">
        <v>59</v>
      </c>
      <c r="W350" t="s">
        <v>34</v>
      </c>
    </row>
    <row r="351" spans="1:23" x14ac:dyDescent="0.3">
      <c r="A351" t="s">
        <v>825</v>
      </c>
      <c r="B351" t="s">
        <v>143</v>
      </c>
      <c r="C351" t="s">
        <v>14</v>
      </c>
      <c r="D351" t="s">
        <v>125</v>
      </c>
      <c r="E351" t="s">
        <v>64</v>
      </c>
      <c r="F351" t="s">
        <v>65</v>
      </c>
      <c r="G351" t="s">
        <v>18</v>
      </c>
      <c r="H351" t="s">
        <v>19</v>
      </c>
      <c r="I351" t="str">
        <f>LEFT(H351,FIND(" (",H351)-1)</f>
        <v>Entry</v>
      </c>
      <c r="J351" t="str">
        <f>MID(H351,FIND("(",H351)+1,FIND(")",H351)-FIND("(",H351)-1)</f>
        <v>0-2 yrs</v>
      </c>
      <c r="L351">
        <v>67310</v>
      </c>
      <c r="M351" t="s">
        <v>826</v>
      </c>
      <c r="N351" t="s">
        <v>120</v>
      </c>
      <c r="O351" t="s">
        <v>51</v>
      </c>
      <c r="P351" s="1">
        <v>45535</v>
      </c>
      <c r="Q351">
        <v>860</v>
      </c>
      <c r="R351">
        <v>826</v>
      </c>
      <c r="S351" t="s">
        <v>34</v>
      </c>
      <c r="T351">
        <v>0</v>
      </c>
      <c r="U351" t="s">
        <v>58</v>
      </c>
      <c r="V351" t="s">
        <v>24</v>
      </c>
      <c r="W351" t="s">
        <v>23</v>
      </c>
    </row>
    <row r="352" spans="1:23" x14ac:dyDescent="0.3">
      <c r="A352" t="s">
        <v>827</v>
      </c>
      <c r="B352" t="s">
        <v>81</v>
      </c>
      <c r="C352" t="s">
        <v>101</v>
      </c>
      <c r="D352" t="s">
        <v>28</v>
      </c>
      <c r="E352" t="s">
        <v>159</v>
      </c>
      <c r="F352" t="s">
        <v>160</v>
      </c>
      <c r="G352" t="s">
        <v>41</v>
      </c>
      <c r="H352" t="s">
        <v>66</v>
      </c>
      <c r="I352" t="str">
        <f>LEFT(H352,FIND(" (",H352)-1)</f>
        <v>Senior</v>
      </c>
      <c r="J352" t="str">
        <f>MID(H352,FIND("(",H352)+1,FIND(")",H352)-FIND("(",H352)-1)</f>
        <v>5-8 yrs</v>
      </c>
      <c r="L352">
        <v>158394</v>
      </c>
      <c r="M352" t="s">
        <v>828</v>
      </c>
      <c r="N352" t="s">
        <v>89</v>
      </c>
      <c r="O352" t="s">
        <v>51</v>
      </c>
      <c r="P352" s="1">
        <v>45529</v>
      </c>
      <c r="Q352">
        <v>2314</v>
      </c>
      <c r="R352">
        <v>3724</v>
      </c>
      <c r="S352" t="s">
        <v>23</v>
      </c>
      <c r="T352">
        <v>4</v>
      </c>
      <c r="U352" t="s">
        <v>52</v>
      </c>
      <c r="V352" t="s">
        <v>24</v>
      </c>
      <c r="W352" t="s">
        <v>23</v>
      </c>
    </row>
    <row r="353" spans="1:23" x14ac:dyDescent="0.3">
      <c r="A353" t="s">
        <v>829</v>
      </c>
      <c r="B353" t="s">
        <v>96</v>
      </c>
      <c r="C353" t="s">
        <v>116</v>
      </c>
      <c r="D353" t="s">
        <v>49</v>
      </c>
      <c r="E353" t="s">
        <v>216</v>
      </c>
      <c r="F353" t="s">
        <v>217</v>
      </c>
      <c r="G353" t="s">
        <v>41</v>
      </c>
      <c r="H353" t="s">
        <v>19</v>
      </c>
      <c r="I353" t="str">
        <f>LEFT(H353,FIND(" (",H353)-1)</f>
        <v>Entry</v>
      </c>
      <c r="J353" t="str">
        <f>MID(H353,FIND("(",H353)+1,FIND(")",H353)-FIND("(",H353)-1)</f>
        <v>0-2 yrs</v>
      </c>
      <c r="L353">
        <v>88589</v>
      </c>
      <c r="M353" t="s">
        <v>830</v>
      </c>
      <c r="N353" t="s">
        <v>33</v>
      </c>
      <c r="O353" t="s">
        <v>51</v>
      </c>
      <c r="P353" s="1">
        <v>45589</v>
      </c>
      <c r="Q353">
        <v>371</v>
      </c>
      <c r="R353">
        <v>3472</v>
      </c>
      <c r="S353" t="s">
        <v>23</v>
      </c>
      <c r="T353">
        <v>0</v>
      </c>
      <c r="U353" t="s">
        <v>83</v>
      </c>
      <c r="V353" t="s">
        <v>24</v>
      </c>
      <c r="W353" t="s">
        <v>34</v>
      </c>
    </row>
    <row r="354" spans="1:23" x14ac:dyDescent="0.3">
      <c r="A354" t="s">
        <v>831</v>
      </c>
      <c r="B354" t="s">
        <v>61</v>
      </c>
      <c r="C354" t="s">
        <v>62</v>
      </c>
      <c r="D354" t="s">
        <v>38</v>
      </c>
      <c r="E354" t="s">
        <v>102</v>
      </c>
      <c r="F354" t="s">
        <v>103</v>
      </c>
      <c r="G354" t="s">
        <v>18</v>
      </c>
      <c r="H354" t="s">
        <v>66</v>
      </c>
      <c r="I354" t="str">
        <f>LEFT(H354,FIND(" (",H354)-1)</f>
        <v>Senior</v>
      </c>
      <c r="J354" t="str">
        <f>MID(H354,FIND("(",H354)+1,FIND(")",H354)-FIND("(",H354)-1)</f>
        <v>5-8 yrs</v>
      </c>
      <c r="L354">
        <v>173156</v>
      </c>
      <c r="M354" t="s">
        <v>832</v>
      </c>
      <c r="N354" t="s">
        <v>149</v>
      </c>
      <c r="O354" t="s">
        <v>44</v>
      </c>
      <c r="P354" s="1">
        <v>45476</v>
      </c>
      <c r="Q354">
        <v>1050</v>
      </c>
      <c r="R354">
        <v>3142</v>
      </c>
      <c r="S354" t="s">
        <v>34</v>
      </c>
      <c r="T354">
        <v>4</v>
      </c>
      <c r="U354" t="s">
        <v>52</v>
      </c>
      <c r="V354" t="s">
        <v>24</v>
      </c>
      <c r="W354" t="s">
        <v>23</v>
      </c>
    </row>
    <row r="355" spans="1:23" x14ac:dyDescent="0.3">
      <c r="A355" t="s">
        <v>833</v>
      </c>
      <c r="B355" t="s">
        <v>81</v>
      </c>
      <c r="C355" t="s">
        <v>14</v>
      </c>
      <c r="D355" t="s">
        <v>174</v>
      </c>
      <c r="E355" t="s">
        <v>5141</v>
      </c>
      <c r="F355" t="s">
        <v>5133</v>
      </c>
      <c r="G355" t="s">
        <v>18</v>
      </c>
      <c r="H355" t="s">
        <v>66</v>
      </c>
      <c r="I355" t="str">
        <f>LEFT(H355,FIND(" (",H355)-1)</f>
        <v>Senior</v>
      </c>
      <c r="J355" t="str">
        <f>MID(H355,FIND("(",H355)+1,FIND(")",H355)-FIND("(",H355)-1)</f>
        <v>5-8 yrs</v>
      </c>
      <c r="L355">
        <v>145681</v>
      </c>
      <c r="M355" t="s">
        <v>834</v>
      </c>
      <c r="N355" t="s">
        <v>89</v>
      </c>
      <c r="O355" t="s">
        <v>79</v>
      </c>
      <c r="P355" s="1">
        <v>45588</v>
      </c>
      <c r="Q355">
        <v>967</v>
      </c>
      <c r="R355">
        <v>429</v>
      </c>
      <c r="S355" t="s">
        <v>34</v>
      </c>
      <c r="T355">
        <v>4</v>
      </c>
      <c r="U355" t="s">
        <v>83</v>
      </c>
      <c r="V355" t="s">
        <v>24</v>
      </c>
      <c r="W355" t="s">
        <v>34</v>
      </c>
    </row>
    <row r="356" spans="1:23" x14ac:dyDescent="0.3">
      <c r="A356" t="s">
        <v>835</v>
      </c>
      <c r="B356" t="s">
        <v>26</v>
      </c>
      <c r="C356" t="s">
        <v>182</v>
      </c>
      <c r="D356" t="s">
        <v>174</v>
      </c>
      <c r="E356" t="s">
        <v>5139</v>
      </c>
      <c r="F356" t="s">
        <v>5133</v>
      </c>
      <c r="G356" t="s">
        <v>41</v>
      </c>
      <c r="H356" t="s">
        <v>19</v>
      </c>
      <c r="I356" t="str">
        <f>LEFT(H356,FIND(" (",H356)-1)</f>
        <v>Entry</v>
      </c>
      <c r="J356" t="str">
        <f>MID(H356,FIND("(",H356)+1,FIND(")",H356)-FIND("(",H356)-1)</f>
        <v>0-2 yrs</v>
      </c>
      <c r="L356">
        <v>69760</v>
      </c>
      <c r="M356" t="s">
        <v>836</v>
      </c>
      <c r="N356" t="s">
        <v>120</v>
      </c>
      <c r="O356" t="s">
        <v>22</v>
      </c>
      <c r="P356" s="1">
        <v>45331</v>
      </c>
      <c r="Q356">
        <v>2110</v>
      </c>
      <c r="R356">
        <v>3654</v>
      </c>
      <c r="S356" t="s">
        <v>99</v>
      </c>
      <c r="T356">
        <v>0</v>
      </c>
      <c r="U356" t="s">
        <v>83</v>
      </c>
      <c r="V356" t="s">
        <v>59</v>
      </c>
      <c r="W356" t="s">
        <v>34</v>
      </c>
    </row>
    <row r="357" spans="1:23" x14ac:dyDescent="0.3">
      <c r="A357" t="s">
        <v>837</v>
      </c>
      <c r="B357" t="s">
        <v>81</v>
      </c>
      <c r="C357" t="s">
        <v>14</v>
      </c>
      <c r="D357" t="s">
        <v>49</v>
      </c>
      <c r="E357" t="s">
        <v>5137</v>
      </c>
      <c r="F357" t="s">
        <v>5138</v>
      </c>
      <c r="G357" t="s">
        <v>18</v>
      </c>
      <c r="H357" t="s">
        <v>19</v>
      </c>
      <c r="I357" t="str">
        <f>LEFT(H357,FIND(" (",H357)-1)</f>
        <v>Entry</v>
      </c>
      <c r="J357" t="str">
        <f>MID(H357,FIND("(",H357)+1,FIND(")",H357)-FIND("(",H357)-1)</f>
        <v>0-2 yrs</v>
      </c>
      <c r="L357">
        <v>57368</v>
      </c>
      <c r="M357" t="s">
        <v>838</v>
      </c>
      <c r="N357" t="s">
        <v>149</v>
      </c>
      <c r="O357" t="s">
        <v>22</v>
      </c>
      <c r="P357" s="1">
        <v>45730</v>
      </c>
      <c r="Q357">
        <v>2283</v>
      </c>
      <c r="R357">
        <v>3112</v>
      </c>
      <c r="S357" t="s">
        <v>23</v>
      </c>
      <c r="T357">
        <v>0</v>
      </c>
      <c r="U357" t="s">
        <v>52</v>
      </c>
      <c r="V357" t="s">
        <v>24</v>
      </c>
      <c r="W357" t="s">
        <v>23</v>
      </c>
    </row>
    <row r="358" spans="1:23" x14ac:dyDescent="0.3">
      <c r="A358" t="s">
        <v>839</v>
      </c>
      <c r="B358" t="s">
        <v>131</v>
      </c>
      <c r="C358" t="s">
        <v>158</v>
      </c>
      <c r="D358" t="s">
        <v>49</v>
      </c>
      <c r="E358" t="s">
        <v>159</v>
      </c>
      <c r="F358" t="s">
        <v>160</v>
      </c>
      <c r="G358" t="s">
        <v>18</v>
      </c>
      <c r="H358" t="s">
        <v>19</v>
      </c>
      <c r="I358" t="str">
        <f>LEFT(H358,FIND(" (",H358)-1)</f>
        <v>Entry</v>
      </c>
      <c r="J358" t="str">
        <f>MID(H358,FIND("(",H358)+1,FIND(")",H358)-FIND("(",H358)-1)</f>
        <v>0-2 yrs</v>
      </c>
      <c r="L358">
        <v>69766</v>
      </c>
      <c r="M358" t="s">
        <v>840</v>
      </c>
      <c r="N358" t="s">
        <v>149</v>
      </c>
      <c r="O358" t="s">
        <v>79</v>
      </c>
      <c r="P358" s="1">
        <v>45421</v>
      </c>
      <c r="Q358">
        <v>1141</v>
      </c>
      <c r="R358">
        <v>2416</v>
      </c>
      <c r="S358" t="s">
        <v>99</v>
      </c>
      <c r="T358">
        <v>0</v>
      </c>
      <c r="U358" t="s">
        <v>52</v>
      </c>
      <c r="V358" t="s">
        <v>24</v>
      </c>
      <c r="W358" t="s">
        <v>34</v>
      </c>
    </row>
    <row r="359" spans="1:23" x14ac:dyDescent="0.3">
      <c r="A359" t="s">
        <v>841</v>
      </c>
      <c r="B359" t="s">
        <v>61</v>
      </c>
      <c r="C359" t="s">
        <v>71</v>
      </c>
      <c r="D359" t="s">
        <v>15</v>
      </c>
      <c r="E359" t="s">
        <v>200</v>
      </c>
      <c r="F359" t="s">
        <v>201</v>
      </c>
      <c r="G359" t="s">
        <v>18</v>
      </c>
      <c r="H359" t="s">
        <v>66</v>
      </c>
      <c r="I359" t="str">
        <f>LEFT(H359,FIND(" (",H359)-1)</f>
        <v>Senior</v>
      </c>
      <c r="J359" t="str">
        <f>MID(H359,FIND("(",H359)+1,FIND(")",H359)-FIND("(",H359)-1)</f>
        <v>5-8 yrs</v>
      </c>
      <c r="L359">
        <v>142206</v>
      </c>
      <c r="M359" t="s">
        <v>842</v>
      </c>
      <c r="N359" t="s">
        <v>21</v>
      </c>
      <c r="O359" t="s">
        <v>51</v>
      </c>
      <c r="P359" s="1">
        <v>45374</v>
      </c>
      <c r="Q359">
        <v>1084</v>
      </c>
      <c r="R359">
        <v>3959</v>
      </c>
      <c r="S359" t="s">
        <v>23</v>
      </c>
      <c r="T359">
        <v>4</v>
      </c>
      <c r="U359" t="s">
        <v>83</v>
      </c>
      <c r="V359" t="s">
        <v>24</v>
      </c>
      <c r="W359" t="s">
        <v>23</v>
      </c>
    </row>
    <row r="360" spans="1:23" x14ac:dyDescent="0.3">
      <c r="A360" t="s">
        <v>843</v>
      </c>
      <c r="B360" t="s">
        <v>106</v>
      </c>
      <c r="C360" t="s">
        <v>14</v>
      </c>
      <c r="D360" t="s">
        <v>49</v>
      </c>
      <c r="E360" t="s">
        <v>5141</v>
      </c>
      <c r="F360" t="s">
        <v>5133</v>
      </c>
      <c r="G360" t="s">
        <v>41</v>
      </c>
      <c r="H360" t="s">
        <v>31</v>
      </c>
      <c r="I360" t="str">
        <f>LEFT(H360,FIND(" (",H360)-1)</f>
        <v>Staff/Principal</v>
      </c>
      <c r="J360" t="str">
        <f>MID(H360,FIND("(",H360)+1,FIND(")",H360)-FIND("(",H360)-1)</f>
        <v>8+ yrs</v>
      </c>
      <c r="L360">
        <v>211617</v>
      </c>
      <c r="M360" t="s">
        <v>844</v>
      </c>
      <c r="N360" t="s">
        <v>245</v>
      </c>
      <c r="O360" t="s">
        <v>44</v>
      </c>
      <c r="P360" s="1">
        <v>45386</v>
      </c>
      <c r="Q360">
        <v>1587</v>
      </c>
      <c r="R360">
        <v>516</v>
      </c>
      <c r="S360" t="s">
        <v>23</v>
      </c>
      <c r="T360">
        <v>6</v>
      </c>
      <c r="U360" t="s">
        <v>83</v>
      </c>
      <c r="V360" t="s">
        <v>24</v>
      </c>
      <c r="W360" t="s">
        <v>23</v>
      </c>
    </row>
    <row r="361" spans="1:23" x14ac:dyDescent="0.3">
      <c r="A361" t="s">
        <v>845</v>
      </c>
      <c r="B361" t="s">
        <v>81</v>
      </c>
      <c r="C361" t="s">
        <v>146</v>
      </c>
      <c r="D361" t="s">
        <v>38</v>
      </c>
      <c r="E361" t="s">
        <v>5136</v>
      </c>
      <c r="F361" t="s">
        <v>5133</v>
      </c>
      <c r="G361" t="s">
        <v>18</v>
      </c>
      <c r="H361" t="s">
        <v>19</v>
      </c>
      <c r="I361" t="str">
        <f>LEFT(H361,FIND(" (",H361)-1)</f>
        <v>Entry</v>
      </c>
      <c r="J361" t="str">
        <f>MID(H361,FIND("(",H361)+1,FIND(")",H361)-FIND("(",H361)-1)</f>
        <v>0-2 yrs</v>
      </c>
      <c r="L361">
        <v>59576</v>
      </c>
      <c r="M361" t="s">
        <v>846</v>
      </c>
      <c r="N361" t="s">
        <v>33</v>
      </c>
      <c r="O361" t="s">
        <v>51</v>
      </c>
      <c r="P361" s="1">
        <v>45351</v>
      </c>
      <c r="Q361">
        <v>1490</v>
      </c>
      <c r="R361">
        <v>3513</v>
      </c>
      <c r="S361" t="s">
        <v>23</v>
      </c>
      <c r="T361">
        <v>0</v>
      </c>
      <c r="U361" t="s">
        <v>5123</v>
      </c>
      <c r="V361" t="s">
        <v>59</v>
      </c>
      <c r="W361" t="s">
        <v>23</v>
      </c>
    </row>
    <row r="362" spans="1:23" x14ac:dyDescent="0.3">
      <c r="A362" t="s">
        <v>847</v>
      </c>
      <c r="B362" t="s">
        <v>225</v>
      </c>
      <c r="C362" t="s">
        <v>110</v>
      </c>
      <c r="D362" t="s">
        <v>49</v>
      </c>
      <c r="E362" t="s">
        <v>5140</v>
      </c>
      <c r="F362" t="s">
        <v>5133</v>
      </c>
      <c r="G362" t="s">
        <v>55</v>
      </c>
      <c r="H362" t="s">
        <v>56</v>
      </c>
      <c r="I362" t="str">
        <f>LEFT(H362,FIND(" (",H362)-1)</f>
        <v>Mid</v>
      </c>
      <c r="J362" t="str">
        <f>MID(H362,FIND("(",H362)+1,FIND(")",H362)-FIND("(",H362)-1)</f>
        <v>2-5 yrs</v>
      </c>
      <c r="L362">
        <v>120283</v>
      </c>
      <c r="M362" t="s">
        <v>848</v>
      </c>
      <c r="N362" t="s">
        <v>33</v>
      </c>
      <c r="O362" t="s">
        <v>22</v>
      </c>
      <c r="P362" s="1">
        <v>45543</v>
      </c>
      <c r="Q362">
        <v>1940</v>
      </c>
      <c r="R362">
        <v>2856</v>
      </c>
      <c r="S362" t="s">
        <v>23</v>
      </c>
      <c r="T362">
        <v>2</v>
      </c>
      <c r="U362" t="s">
        <v>5123</v>
      </c>
      <c r="V362" t="s">
        <v>59</v>
      </c>
      <c r="W362" t="s">
        <v>23</v>
      </c>
    </row>
    <row r="363" spans="1:23" x14ac:dyDescent="0.3">
      <c r="A363" t="s">
        <v>849</v>
      </c>
      <c r="B363" t="s">
        <v>222</v>
      </c>
      <c r="C363" t="s">
        <v>107</v>
      </c>
      <c r="D363" t="s">
        <v>63</v>
      </c>
      <c r="E363" t="s">
        <v>5141</v>
      </c>
      <c r="F363" t="s">
        <v>5133</v>
      </c>
      <c r="G363" t="s">
        <v>55</v>
      </c>
      <c r="H363" t="s">
        <v>19</v>
      </c>
      <c r="I363" t="str">
        <f>LEFT(H363,FIND(" (",H363)-1)</f>
        <v>Entry</v>
      </c>
      <c r="J363" t="str">
        <f>MID(H363,FIND("(",H363)+1,FIND(")",H363)-FIND("(",H363)-1)</f>
        <v>0-2 yrs</v>
      </c>
      <c r="L363">
        <v>89312</v>
      </c>
      <c r="M363" t="s">
        <v>850</v>
      </c>
      <c r="N363" t="s">
        <v>141</v>
      </c>
      <c r="O363" t="s">
        <v>22</v>
      </c>
      <c r="P363" s="1">
        <v>45465</v>
      </c>
      <c r="Q363">
        <v>1418</v>
      </c>
      <c r="R363">
        <v>3107</v>
      </c>
      <c r="S363" t="s">
        <v>23</v>
      </c>
      <c r="T363">
        <v>0</v>
      </c>
      <c r="U363" t="s">
        <v>58</v>
      </c>
      <c r="V363" t="s">
        <v>24</v>
      </c>
      <c r="W363" t="s">
        <v>23</v>
      </c>
    </row>
    <row r="364" spans="1:23" x14ac:dyDescent="0.3">
      <c r="A364" t="s">
        <v>851</v>
      </c>
      <c r="B364" t="s">
        <v>137</v>
      </c>
      <c r="C364" t="s">
        <v>124</v>
      </c>
      <c r="D364" t="s">
        <v>49</v>
      </c>
      <c r="E364" t="s">
        <v>76</v>
      </c>
      <c r="F364" t="s">
        <v>77</v>
      </c>
      <c r="G364" t="s">
        <v>18</v>
      </c>
      <c r="H364" t="s">
        <v>31</v>
      </c>
      <c r="I364" t="str">
        <f>LEFT(H364,FIND(" (",H364)-1)</f>
        <v>Staff/Principal</v>
      </c>
      <c r="J364" t="str">
        <f>MID(H364,FIND("(",H364)+1,FIND(")",H364)-FIND("(",H364)-1)</f>
        <v>8+ yrs</v>
      </c>
      <c r="L364">
        <v>196084</v>
      </c>
      <c r="M364" t="s">
        <v>852</v>
      </c>
      <c r="N364" t="s">
        <v>68</v>
      </c>
      <c r="O364" t="s">
        <v>44</v>
      </c>
      <c r="P364" s="1">
        <v>45685</v>
      </c>
      <c r="Q364">
        <v>579</v>
      </c>
      <c r="R364">
        <v>2050</v>
      </c>
      <c r="S364" t="s">
        <v>23</v>
      </c>
      <c r="T364">
        <v>6</v>
      </c>
      <c r="U364" t="s">
        <v>52</v>
      </c>
      <c r="V364" t="s">
        <v>24</v>
      </c>
      <c r="W364" t="s">
        <v>23</v>
      </c>
    </row>
    <row r="365" spans="1:23" x14ac:dyDescent="0.3">
      <c r="A365" t="s">
        <v>853</v>
      </c>
      <c r="B365" t="s">
        <v>61</v>
      </c>
      <c r="C365" t="s">
        <v>158</v>
      </c>
      <c r="D365" t="s">
        <v>63</v>
      </c>
      <c r="E365" t="s">
        <v>216</v>
      </c>
      <c r="F365" t="s">
        <v>217</v>
      </c>
      <c r="G365" t="s">
        <v>41</v>
      </c>
      <c r="H365" t="s">
        <v>66</v>
      </c>
      <c r="I365" t="str">
        <f>LEFT(H365,FIND(" (",H365)-1)</f>
        <v>Senior</v>
      </c>
      <c r="J365" t="str">
        <f>MID(H365,FIND("(",H365)+1,FIND(")",H365)-FIND("(",H365)-1)</f>
        <v>5-8 yrs</v>
      </c>
      <c r="L365">
        <v>160846</v>
      </c>
      <c r="M365" t="s">
        <v>854</v>
      </c>
      <c r="N365" t="s">
        <v>33</v>
      </c>
      <c r="O365" t="s">
        <v>22</v>
      </c>
      <c r="P365" s="1">
        <v>45681</v>
      </c>
      <c r="Q365">
        <v>2339</v>
      </c>
      <c r="R365">
        <v>2018</v>
      </c>
      <c r="S365" t="s">
        <v>23</v>
      </c>
      <c r="T365">
        <v>4</v>
      </c>
      <c r="U365" t="s">
        <v>83</v>
      </c>
      <c r="V365" t="s">
        <v>24</v>
      </c>
      <c r="W365" t="s">
        <v>23</v>
      </c>
    </row>
    <row r="366" spans="1:23" x14ac:dyDescent="0.3">
      <c r="A366" t="s">
        <v>855</v>
      </c>
      <c r="B366" t="s">
        <v>26</v>
      </c>
      <c r="C366" t="s">
        <v>146</v>
      </c>
      <c r="D366" t="s">
        <v>63</v>
      </c>
      <c r="E366" t="s">
        <v>5135</v>
      </c>
      <c r="F366" t="s">
        <v>5133</v>
      </c>
      <c r="G366" t="s">
        <v>55</v>
      </c>
      <c r="H366" t="s">
        <v>19</v>
      </c>
      <c r="I366" t="str">
        <f>LEFT(H366,FIND(" (",H366)-1)</f>
        <v>Entry</v>
      </c>
      <c r="J366" t="str">
        <f>MID(H366,FIND("(",H366)+1,FIND(")",H366)-FIND("(",H366)-1)</f>
        <v>0-2 yrs</v>
      </c>
      <c r="L366">
        <v>78695</v>
      </c>
      <c r="M366" t="s">
        <v>856</v>
      </c>
      <c r="N366" t="s">
        <v>33</v>
      </c>
      <c r="O366" t="s">
        <v>22</v>
      </c>
      <c r="P366" s="1">
        <v>45742</v>
      </c>
      <c r="Q366">
        <v>1024</v>
      </c>
      <c r="R366">
        <v>2290</v>
      </c>
      <c r="S366" t="s">
        <v>23</v>
      </c>
      <c r="T366">
        <v>0</v>
      </c>
      <c r="U366" t="s">
        <v>45</v>
      </c>
      <c r="V366" t="s">
        <v>59</v>
      </c>
      <c r="W366" t="s">
        <v>34</v>
      </c>
    </row>
    <row r="367" spans="1:23" x14ac:dyDescent="0.3">
      <c r="A367" t="s">
        <v>857</v>
      </c>
      <c r="B367" t="s">
        <v>329</v>
      </c>
      <c r="C367" t="s">
        <v>48</v>
      </c>
      <c r="D367" t="s">
        <v>75</v>
      </c>
      <c r="E367" t="s">
        <v>230</v>
      </c>
      <c r="F367" t="s">
        <v>231</v>
      </c>
      <c r="G367" t="s">
        <v>41</v>
      </c>
      <c r="H367" t="s">
        <v>56</v>
      </c>
      <c r="I367" t="str">
        <f>LEFT(H367,FIND(" (",H367)-1)</f>
        <v>Mid</v>
      </c>
      <c r="J367" t="str">
        <f>MID(H367,FIND("(",H367)+1,FIND(")",H367)-FIND("(",H367)-1)</f>
        <v>2-5 yrs</v>
      </c>
      <c r="L367">
        <v>102055</v>
      </c>
      <c r="M367" t="s">
        <v>858</v>
      </c>
      <c r="N367" t="s">
        <v>33</v>
      </c>
      <c r="O367" t="s">
        <v>51</v>
      </c>
      <c r="P367" s="1">
        <v>45541</v>
      </c>
      <c r="Q367">
        <v>2249</v>
      </c>
      <c r="R367">
        <v>2312</v>
      </c>
      <c r="S367" t="s">
        <v>99</v>
      </c>
      <c r="T367">
        <v>2</v>
      </c>
      <c r="U367" t="s">
        <v>83</v>
      </c>
      <c r="V367" t="s">
        <v>24</v>
      </c>
      <c r="W367" t="s">
        <v>34</v>
      </c>
    </row>
    <row r="368" spans="1:23" x14ac:dyDescent="0.3">
      <c r="A368" t="s">
        <v>859</v>
      </c>
      <c r="B368" t="s">
        <v>143</v>
      </c>
      <c r="C368" t="s">
        <v>226</v>
      </c>
      <c r="D368" t="s">
        <v>111</v>
      </c>
      <c r="E368" t="s">
        <v>216</v>
      </c>
      <c r="F368" t="s">
        <v>217</v>
      </c>
      <c r="G368" t="s">
        <v>41</v>
      </c>
      <c r="H368" t="s">
        <v>31</v>
      </c>
      <c r="I368" t="str">
        <f>LEFT(H368,FIND(" (",H368)-1)</f>
        <v>Staff/Principal</v>
      </c>
      <c r="J368" t="str">
        <f>MID(H368,FIND("(",H368)+1,FIND(")",H368)-FIND("(",H368)-1)</f>
        <v>8+ yrs</v>
      </c>
      <c r="L368">
        <v>208067</v>
      </c>
      <c r="M368" t="s">
        <v>860</v>
      </c>
      <c r="N368" t="s">
        <v>33</v>
      </c>
      <c r="O368" t="s">
        <v>22</v>
      </c>
      <c r="P368" s="1">
        <v>45684</v>
      </c>
      <c r="Q368">
        <v>1697</v>
      </c>
      <c r="R368">
        <v>1568</v>
      </c>
      <c r="S368" t="s">
        <v>34</v>
      </c>
      <c r="T368">
        <v>6</v>
      </c>
      <c r="U368" t="s">
        <v>45</v>
      </c>
      <c r="V368" t="s">
        <v>46</v>
      </c>
      <c r="W368" t="s">
        <v>34</v>
      </c>
    </row>
    <row r="369" spans="1:23" x14ac:dyDescent="0.3">
      <c r="A369" t="s">
        <v>861</v>
      </c>
      <c r="B369" t="s">
        <v>229</v>
      </c>
      <c r="C369" t="s">
        <v>132</v>
      </c>
      <c r="D369" t="s">
        <v>63</v>
      </c>
      <c r="E369" t="s">
        <v>29</v>
      </c>
      <c r="F369" t="s">
        <v>30</v>
      </c>
      <c r="G369" t="s">
        <v>18</v>
      </c>
      <c r="H369" t="s">
        <v>56</v>
      </c>
      <c r="I369" t="str">
        <f>LEFT(H369,FIND(" (",H369)-1)</f>
        <v>Mid</v>
      </c>
      <c r="J369" t="str">
        <f>MID(H369,FIND("(",H369)+1,FIND(")",H369)-FIND("(",H369)-1)</f>
        <v>2-5 yrs</v>
      </c>
      <c r="L369">
        <v>110249</v>
      </c>
      <c r="M369" t="s">
        <v>862</v>
      </c>
      <c r="N369" t="s">
        <v>43</v>
      </c>
      <c r="O369" t="s">
        <v>51</v>
      </c>
      <c r="P369" s="1">
        <v>45451</v>
      </c>
      <c r="Q369">
        <v>2030</v>
      </c>
      <c r="R369">
        <v>2336</v>
      </c>
      <c r="S369" t="s">
        <v>23</v>
      </c>
      <c r="T369">
        <v>2</v>
      </c>
      <c r="U369" t="s">
        <v>58</v>
      </c>
      <c r="V369" t="s">
        <v>24</v>
      </c>
      <c r="W369" t="s">
        <v>23</v>
      </c>
    </row>
    <row r="370" spans="1:23" x14ac:dyDescent="0.3">
      <c r="A370" t="s">
        <v>863</v>
      </c>
      <c r="B370" t="s">
        <v>143</v>
      </c>
      <c r="C370" t="s">
        <v>27</v>
      </c>
      <c r="D370" t="s">
        <v>63</v>
      </c>
      <c r="E370" t="s">
        <v>5132</v>
      </c>
      <c r="F370" t="s">
        <v>5133</v>
      </c>
      <c r="G370" t="s">
        <v>18</v>
      </c>
      <c r="H370" t="s">
        <v>19</v>
      </c>
      <c r="I370" t="str">
        <f>LEFT(H370,FIND(" (",H370)-1)</f>
        <v>Entry</v>
      </c>
      <c r="J370" t="str">
        <f>MID(H370,FIND("(",H370)+1,FIND(")",H370)-FIND("(",H370)-1)</f>
        <v>0-2 yrs</v>
      </c>
      <c r="L370">
        <v>71230</v>
      </c>
      <c r="M370" t="s">
        <v>864</v>
      </c>
      <c r="N370" t="s">
        <v>33</v>
      </c>
      <c r="O370" t="s">
        <v>51</v>
      </c>
      <c r="P370" s="1">
        <v>45491</v>
      </c>
      <c r="Q370">
        <v>1690</v>
      </c>
      <c r="R370">
        <v>692</v>
      </c>
      <c r="S370" t="s">
        <v>23</v>
      </c>
      <c r="T370">
        <v>0</v>
      </c>
      <c r="U370" t="s">
        <v>45</v>
      </c>
      <c r="V370" t="s">
        <v>46</v>
      </c>
      <c r="W370" t="s">
        <v>34</v>
      </c>
    </row>
    <row r="371" spans="1:23" x14ac:dyDescent="0.3">
      <c r="A371" t="s">
        <v>865</v>
      </c>
      <c r="B371" t="s">
        <v>70</v>
      </c>
      <c r="C371" t="s">
        <v>101</v>
      </c>
      <c r="D371" t="s">
        <v>111</v>
      </c>
      <c r="E371" t="s">
        <v>230</v>
      </c>
      <c r="F371" t="s">
        <v>231</v>
      </c>
      <c r="G371" t="s">
        <v>18</v>
      </c>
      <c r="H371" t="s">
        <v>56</v>
      </c>
      <c r="I371" t="str">
        <f>LEFT(H371,FIND(" (",H371)-1)</f>
        <v>Mid</v>
      </c>
      <c r="J371" t="str">
        <f>MID(H371,FIND("(",H371)+1,FIND(")",H371)-FIND("(",H371)-1)</f>
        <v>2-5 yrs</v>
      </c>
      <c r="L371">
        <v>94694</v>
      </c>
      <c r="M371" t="s">
        <v>866</v>
      </c>
      <c r="N371" t="s">
        <v>33</v>
      </c>
      <c r="O371" t="s">
        <v>51</v>
      </c>
      <c r="P371" s="1">
        <v>45444</v>
      </c>
      <c r="Q371">
        <v>575</v>
      </c>
      <c r="R371">
        <v>2330</v>
      </c>
      <c r="S371" t="s">
        <v>23</v>
      </c>
      <c r="T371">
        <v>2</v>
      </c>
      <c r="U371" t="s">
        <v>58</v>
      </c>
      <c r="V371" t="s">
        <v>24</v>
      </c>
      <c r="W371" t="s">
        <v>34</v>
      </c>
    </row>
    <row r="372" spans="1:23" x14ac:dyDescent="0.3">
      <c r="A372" t="s">
        <v>867</v>
      </c>
      <c r="B372" t="s">
        <v>70</v>
      </c>
      <c r="C372" t="s">
        <v>167</v>
      </c>
      <c r="D372" t="s">
        <v>15</v>
      </c>
      <c r="E372" t="s">
        <v>76</v>
      </c>
      <c r="F372" t="s">
        <v>77</v>
      </c>
      <c r="G372" t="s">
        <v>55</v>
      </c>
      <c r="H372" t="s">
        <v>66</v>
      </c>
      <c r="I372" t="str">
        <f>LEFT(H372,FIND(" (",H372)-1)</f>
        <v>Senior</v>
      </c>
      <c r="J372" t="str">
        <f>MID(H372,FIND("(",H372)+1,FIND(")",H372)-FIND("(",H372)-1)</f>
        <v>5-8 yrs</v>
      </c>
      <c r="L372">
        <v>150661</v>
      </c>
      <c r="M372" t="s">
        <v>868</v>
      </c>
      <c r="N372" t="s">
        <v>94</v>
      </c>
      <c r="O372" t="s">
        <v>51</v>
      </c>
      <c r="P372" s="1">
        <v>45513</v>
      </c>
      <c r="Q372">
        <v>2414</v>
      </c>
      <c r="R372">
        <v>3543</v>
      </c>
      <c r="S372" t="s">
        <v>34</v>
      </c>
      <c r="T372">
        <v>4</v>
      </c>
      <c r="U372" t="s">
        <v>58</v>
      </c>
      <c r="V372" t="s">
        <v>24</v>
      </c>
      <c r="W372" t="s">
        <v>23</v>
      </c>
    </row>
    <row r="373" spans="1:23" x14ac:dyDescent="0.3">
      <c r="A373" t="s">
        <v>869</v>
      </c>
      <c r="B373" t="s">
        <v>172</v>
      </c>
      <c r="C373" t="s">
        <v>92</v>
      </c>
      <c r="D373" t="s">
        <v>125</v>
      </c>
      <c r="E373" t="s">
        <v>133</v>
      </c>
      <c r="F373" t="s">
        <v>134</v>
      </c>
      <c r="G373" t="s">
        <v>55</v>
      </c>
      <c r="H373" t="s">
        <v>66</v>
      </c>
      <c r="I373" t="str">
        <f>LEFT(H373,FIND(" (",H373)-1)</f>
        <v>Senior</v>
      </c>
      <c r="J373" t="str">
        <f>MID(H373,FIND("(",H373)+1,FIND(")",H373)-FIND("(",H373)-1)</f>
        <v>5-8 yrs</v>
      </c>
      <c r="L373">
        <v>163445</v>
      </c>
      <c r="M373" t="s">
        <v>870</v>
      </c>
      <c r="N373" t="s">
        <v>68</v>
      </c>
      <c r="O373" t="s">
        <v>44</v>
      </c>
      <c r="P373" s="1">
        <v>45728</v>
      </c>
      <c r="Q373">
        <v>1529</v>
      </c>
      <c r="R373">
        <v>3467</v>
      </c>
      <c r="S373" t="s">
        <v>23</v>
      </c>
      <c r="T373">
        <v>4</v>
      </c>
      <c r="U373" t="s">
        <v>45</v>
      </c>
      <c r="V373" t="s">
        <v>59</v>
      </c>
      <c r="W373" t="s">
        <v>23</v>
      </c>
    </row>
    <row r="374" spans="1:23" x14ac:dyDescent="0.3">
      <c r="A374" t="s">
        <v>871</v>
      </c>
      <c r="B374" t="s">
        <v>106</v>
      </c>
      <c r="C374" t="s">
        <v>209</v>
      </c>
      <c r="D374" t="s">
        <v>38</v>
      </c>
      <c r="E374" t="s">
        <v>16</v>
      </c>
      <c r="F374" t="s">
        <v>17</v>
      </c>
      <c r="G374" t="s">
        <v>55</v>
      </c>
      <c r="H374" t="s">
        <v>31</v>
      </c>
      <c r="I374" t="str">
        <f>LEFT(H374,FIND(" (",H374)-1)</f>
        <v>Staff/Principal</v>
      </c>
      <c r="J374" t="str">
        <f>MID(H374,FIND("(",H374)+1,FIND(")",H374)-FIND("(",H374)-1)</f>
        <v>8+ yrs</v>
      </c>
      <c r="L374">
        <v>252241</v>
      </c>
      <c r="M374" t="s">
        <v>872</v>
      </c>
      <c r="N374" t="s">
        <v>149</v>
      </c>
      <c r="O374" t="s">
        <v>22</v>
      </c>
      <c r="P374" s="1">
        <v>45622</v>
      </c>
      <c r="Q374">
        <v>1571</v>
      </c>
      <c r="R374">
        <v>1911</v>
      </c>
      <c r="S374" t="s">
        <v>23</v>
      </c>
      <c r="T374">
        <v>6</v>
      </c>
      <c r="U374" t="s">
        <v>58</v>
      </c>
      <c r="V374" t="s">
        <v>24</v>
      </c>
      <c r="W374" t="s">
        <v>23</v>
      </c>
    </row>
    <row r="375" spans="1:23" x14ac:dyDescent="0.3">
      <c r="A375" t="s">
        <v>873</v>
      </c>
      <c r="B375" t="s">
        <v>106</v>
      </c>
      <c r="C375" t="s">
        <v>158</v>
      </c>
      <c r="D375" t="s">
        <v>15</v>
      </c>
      <c r="E375" t="s">
        <v>16</v>
      </c>
      <c r="F375" t="s">
        <v>17</v>
      </c>
      <c r="G375" t="s">
        <v>18</v>
      </c>
      <c r="H375" t="s">
        <v>56</v>
      </c>
      <c r="I375" t="str">
        <f>LEFT(H375,FIND(" (",H375)-1)</f>
        <v>Mid</v>
      </c>
      <c r="J375" t="str">
        <f>MID(H375,FIND("(",H375)+1,FIND(")",H375)-FIND("(",H375)-1)</f>
        <v>2-5 yrs</v>
      </c>
      <c r="L375">
        <v>128993</v>
      </c>
      <c r="M375" t="s">
        <v>874</v>
      </c>
      <c r="N375" t="s">
        <v>89</v>
      </c>
      <c r="O375" t="s">
        <v>22</v>
      </c>
      <c r="P375" s="1">
        <v>45424</v>
      </c>
      <c r="Q375">
        <v>643</v>
      </c>
      <c r="R375">
        <v>1295</v>
      </c>
      <c r="S375" t="s">
        <v>23</v>
      </c>
      <c r="T375">
        <v>2</v>
      </c>
      <c r="U375" t="s">
        <v>5123</v>
      </c>
      <c r="V375" t="s">
        <v>59</v>
      </c>
      <c r="W375" t="s">
        <v>34</v>
      </c>
    </row>
    <row r="376" spans="1:23" x14ac:dyDescent="0.3">
      <c r="A376" t="s">
        <v>875</v>
      </c>
      <c r="B376" t="s">
        <v>225</v>
      </c>
      <c r="C376" t="s">
        <v>62</v>
      </c>
      <c r="D376" t="s">
        <v>111</v>
      </c>
      <c r="E376" t="s">
        <v>5134</v>
      </c>
      <c r="F376" t="s">
        <v>5133</v>
      </c>
      <c r="G376" t="s">
        <v>55</v>
      </c>
      <c r="H376" t="s">
        <v>19</v>
      </c>
      <c r="I376" t="str">
        <f>LEFT(H376,FIND(" (",H376)-1)</f>
        <v>Entry</v>
      </c>
      <c r="J376" t="str">
        <f>MID(H376,FIND("(",H376)+1,FIND(")",H376)-FIND("(",H376)-1)</f>
        <v>0-2 yrs</v>
      </c>
      <c r="L376">
        <v>97130</v>
      </c>
      <c r="M376" t="s">
        <v>876</v>
      </c>
      <c r="N376" t="s">
        <v>149</v>
      </c>
      <c r="O376" t="s">
        <v>79</v>
      </c>
      <c r="P376" s="1">
        <v>45662</v>
      </c>
      <c r="Q376">
        <v>2451</v>
      </c>
      <c r="R376">
        <v>1041</v>
      </c>
      <c r="S376" t="s">
        <v>23</v>
      </c>
      <c r="T376">
        <v>0</v>
      </c>
      <c r="U376" t="s">
        <v>5123</v>
      </c>
      <c r="V376" t="s">
        <v>24</v>
      </c>
      <c r="W376" t="s">
        <v>34</v>
      </c>
    </row>
    <row r="377" spans="1:23" x14ac:dyDescent="0.3">
      <c r="A377" t="s">
        <v>877</v>
      </c>
      <c r="B377" t="s">
        <v>236</v>
      </c>
      <c r="C377" t="s">
        <v>146</v>
      </c>
      <c r="D377" t="s">
        <v>147</v>
      </c>
      <c r="E377" t="s">
        <v>200</v>
      </c>
      <c r="F377" t="s">
        <v>201</v>
      </c>
      <c r="G377" t="s">
        <v>41</v>
      </c>
      <c r="H377" t="s">
        <v>66</v>
      </c>
      <c r="I377" t="str">
        <f>LEFT(H377,FIND(" (",H377)-1)</f>
        <v>Senior</v>
      </c>
      <c r="J377" t="str">
        <f>MID(H377,FIND("(",H377)+1,FIND(")",H377)-FIND("(",H377)-1)</f>
        <v>5-8 yrs</v>
      </c>
      <c r="L377">
        <v>129281</v>
      </c>
      <c r="M377" t="s">
        <v>878</v>
      </c>
      <c r="N377" t="s">
        <v>120</v>
      </c>
      <c r="O377" t="s">
        <v>22</v>
      </c>
      <c r="P377" s="1">
        <v>45704</v>
      </c>
      <c r="Q377">
        <v>529</v>
      </c>
      <c r="R377">
        <v>2018</v>
      </c>
      <c r="S377" t="s">
        <v>23</v>
      </c>
      <c r="T377">
        <v>4</v>
      </c>
      <c r="U377" t="s">
        <v>5123</v>
      </c>
      <c r="V377" t="s">
        <v>24</v>
      </c>
      <c r="W377" t="s">
        <v>34</v>
      </c>
    </row>
    <row r="378" spans="1:23" x14ac:dyDescent="0.3">
      <c r="A378" t="s">
        <v>879</v>
      </c>
      <c r="B378" t="s">
        <v>91</v>
      </c>
      <c r="C378" t="s">
        <v>182</v>
      </c>
      <c r="D378" t="s">
        <v>38</v>
      </c>
      <c r="E378" t="s">
        <v>64</v>
      </c>
      <c r="F378" t="s">
        <v>65</v>
      </c>
      <c r="G378" t="s">
        <v>18</v>
      </c>
      <c r="H378" t="s">
        <v>66</v>
      </c>
      <c r="I378" t="str">
        <f>LEFT(H378,FIND(" (",H378)-1)</f>
        <v>Senior</v>
      </c>
      <c r="J378" t="str">
        <f>MID(H378,FIND("(",H378)+1,FIND(")",H378)-FIND("(",H378)-1)</f>
        <v>5-8 yrs</v>
      </c>
      <c r="L378">
        <v>173552</v>
      </c>
      <c r="M378" t="s">
        <v>880</v>
      </c>
      <c r="N378" t="s">
        <v>186</v>
      </c>
      <c r="O378" t="s">
        <v>22</v>
      </c>
      <c r="P378" s="1">
        <v>45658</v>
      </c>
      <c r="Q378">
        <v>1875</v>
      </c>
      <c r="R378">
        <v>1276</v>
      </c>
      <c r="S378" t="s">
        <v>23</v>
      </c>
      <c r="T378">
        <v>4</v>
      </c>
      <c r="U378" t="s">
        <v>45</v>
      </c>
      <c r="V378" t="s">
        <v>59</v>
      </c>
      <c r="W378" t="s">
        <v>23</v>
      </c>
    </row>
    <row r="379" spans="1:23" x14ac:dyDescent="0.3">
      <c r="A379" t="s">
        <v>881</v>
      </c>
      <c r="B379" t="s">
        <v>26</v>
      </c>
      <c r="C379" t="s">
        <v>239</v>
      </c>
      <c r="D379" t="s">
        <v>63</v>
      </c>
      <c r="E379" t="s">
        <v>39</v>
      </c>
      <c r="F379" t="s">
        <v>40</v>
      </c>
      <c r="G379" t="s">
        <v>18</v>
      </c>
      <c r="H379" t="s">
        <v>56</v>
      </c>
      <c r="I379" t="str">
        <f>LEFT(H379,FIND(" (",H379)-1)</f>
        <v>Mid</v>
      </c>
      <c r="J379" t="str">
        <f>MID(H379,FIND("(",H379)+1,FIND(")",H379)-FIND("(",H379)-1)</f>
        <v>2-5 yrs</v>
      </c>
      <c r="L379">
        <v>113630</v>
      </c>
      <c r="M379" t="s">
        <v>882</v>
      </c>
      <c r="N379" t="s">
        <v>68</v>
      </c>
      <c r="O379" t="s">
        <v>51</v>
      </c>
      <c r="P379" s="1">
        <v>45493</v>
      </c>
      <c r="Q379">
        <v>1964</v>
      </c>
      <c r="R379">
        <v>3243</v>
      </c>
      <c r="S379" t="s">
        <v>34</v>
      </c>
      <c r="T379">
        <v>2</v>
      </c>
      <c r="U379" t="s">
        <v>5123</v>
      </c>
      <c r="V379" t="s">
        <v>59</v>
      </c>
      <c r="W379" t="s">
        <v>23</v>
      </c>
    </row>
    <row r="380" spans="1:23" x14ac:dyDescent="0.3">
      <c r="A380" t="s">
        <v>883</v>
      </c>
      <c r="B380" t="s">
        <v>96</v>
      </c>
      <c r="C380" t="s">
        <v>226</v>
      </c>
      <c r="D380" t="s">
        <v>147</v>
      </c>
      <c r="E380" t="s">
        <v>5132</v>
      </c>
      <c r="F380" t="s">
        <v>5133</v>
      </c>
      <c r="G380" t="s">
        <v>41</v>
      </c>
      <c r="H380" t="s">
        <v>31</v>
      </c>
      <c r="I380" t="str">
        <f>LEFT(H380,FIND(" (",H380)-1)</f>
        <v>Staff/Principal</v>
      </c>
      <c r="J380" t="str">
        <f>MID(H380,FIND("(",H380)+1,FIND(")",H380)-FIND("(",H380)-1)</f>
        <v>8+ yrs</v>
      </c>
      <c r="L380">
        <v>278832</v>
      </c>
      <c r="M380" t="s">
        <v>884</v>
      </c>
      <c r="N380" t="s">
        <v>149</v>
      </c>
      <c r="O380" t="s">
        <v>51</v>
      </c>
      <c r="P380" s="1">
        <v>45740</v>
      </c>
      <c r="Q380">
        <v>1638</v>
      </c>
      <c r="R380">
        <v>1866</v>
      </c>
      <c r="S380" t="s">
        <v>23</v>
      </c>
      <c r="T380">
        <v>6</v>
      </c>
      <c r="U380" t="s">
        <v>5123</v>
      </c>
      <c r="V380" t="s">
        <v>24</v>
      </c>
      <c r="W380" t="s">
        <v>34</v>
      </c>
    </row>
    <row r="381" spans="1:23" x14ac:dyDescent="0.3">
      <c r="A381" t="s">
        <v>885</v>
      </c>
      <c r="B381" t="s">
        <v>172</v>
      </c>
      <c r="C381" t="s">
        <v>128</v>
      </c>
      <c r="D381" t="s">
        <v>111</v>
      </c>
      <c r="E381" t="s">
        <v>5140</v>
      </c>
      <c r="F381" t="s">
        <v>5133</v>
      </c>
      <c r="G381" t="s">
        <v>18</v>
      </c>
      <c r="H381" t="s">
        <v>56</v>
      </c>
      <c r="I381" t="str">
        <f>LEFT(H381,FIND(" (",H381)-1)</f>
        <v>Mid</v>
      </c>
      <c r="J381" t="str">
        <f>MID(H381,FIND("(",H381)+1,FIND(")",H381)-FIND("(",H381)-1)</f>
        <v>2-5 yrs</v>
      </c>
      <c r="L381">
        <v>93995</v>
      </c>
      <c r="M381" t="s">
        <v>886</v>
      </c>
      <c r="N381" t="s">
        <v>68</v>
      </c>
      <c r="O381" t="s">
        <v>51</v>
      </c>
      <c r="P381" s="1">
        <v>45613</v>
      </c>
      <c r="Q381">
        <v>1608</v>
      </c>
      <c r="R381">
        <v>1859</v>
      </c>
      <c r="S381" t="s">
        <v>23</v>
      </c>
      <c r="T381">
        <v>2</v>
      </c>
      <c r="U381" t="s">
        <v>52</v>
      </c>
      <c r="V381" t="s">
        <v>24</v>
      </c>
      <c r="W381" t="s">
        <v>23</v>
      </c>
    </row>
    <row r="382" spans="1:23" x14ac:dyDescent="0.3">
      <c r="A382" t="s">
        <v>887</v>
      </c>
      <c r="B382" t="s">
        <v>236</v>
      </c>
      <c r="C382" t="s">
        <v>239</v>
      </c>
      <c r="D382" t="s">
        <v>75</v>
      </c>
      <c r="E382" t="s">
        <v>87</v>
      </c>
      <c r="F382" t="s">
        <v>87</v>
      </c>
      <c r="G382" t="s">
        <v>18</v>
      </c>
      <c r="H382" t="s">
        <v>66</v>
      </c>
      <c r="I382" t="str">
        <f>LEFT(H382,FIND(" (",H382)-1)</f>
        <v>Senior</v>
      </c>
      <c r="J382" t="str">
        <f>MID(H382,FIND("(",H382)+1,FIND(")",H382)-FIND("(",H382)-1)</f>
        <v>5-8 yrs</v>
      </c>
      <c r="L382">
        <v>127327</v>
      </c>
      <c r="M382" t="s">
        <v>888</v>
      </c>
      <c r="N382" t="s">
        <v>186</v>
      </c>
      <c r="O382" t="s">
        <v>51</v>
      </c>
      <c r="P382" s="1">
        <v>45480</v>
      </c>
      <c r="Q382">
        <v>1236</v>
      </c>
      <c r="R382">
        <v>3724</v>
      </c>
      <c r="S382" t="s">
        <v>34</v>
      </c>
      <c r="T382">
        <v>4</v>
      </c>
      <c r="U382" t="s">
        <v>58</v>
      </c>
      <c r="V382" t="s">
        <v>24</v>
      </c>
      <c r="W382" t="s">
        <v>23</v>
      </c>
    </row>
    <row r="383" spans="1:23" x14ac:dyDescent="0.3">
      <c r="A383" t="s">
        <v>889</v>
      </c>
      <c r="B383" t="s">
        <v>222</v>
      </c>
      <c r="C383" t="s">
        <v>14</v>
      </c>
      <c r="D383" t="s">
        <v>63</v>
      </c>
      <c r="E383" t="s">
        <v>5134</v>
      </c>
      <c r="F383" t="s">
        <v>5133</v>
      </c>
      <c r="G383" t="s">
        <v>41</v>
      </c>
      <c r="H383" t="s">
        <v>19</v>
      </c>
      <c r="I383" t="str">
        <f>LEFT(H383,FIND(" (",H383)-1)</f>
        <v>Entry</v>
      </c>
      <c r="J383" t="str">
        <f>MID(H383,FIND("(",H383)+1,FIND(")",H383)-FIND("(",H383)-1)</f>
        <v>0-2 yrs</v>
      </c>
      <c r="L383">
        <v>62447</v>
      </c>
      <c r="M383" t="s">
        <v>890</v>
      </c>
      <c r="N383" t="s">
        <v>94</v>
      </c>
      <c r="O383" t="s">
        <v>44</v>
      </c>
      <c r="P383" s="1">
        <v>45599</v>
      </c>
      <c r="Q383">
        <v>2324</v>
      </c>
      <c r="R383">
        <v>495</v>
      </c>
      <c r="S383" t="s">
        <v>34</v>
      </c>
      <c r="T383">
        <v>0</v>
      </c>
      <c r="U383" t="s">
        <v>52</v>
      </c>
      <c r="V383" t="s">
        <v>24</v>
      </c>
      <c r="W383" t="s">
        <v>23</v>
      </c>
    </row>
    <row r="384" spans="1:23" x14ac:dyDescent="0.3">
      <c r="A384" t="s">
        <v>891</v>
      </c>
      <c r="B384" t="s">
        <v>36</v>
      </c>
      <c r="C384" t="s">
        <v>204</v>
      </c>
      <c r="D384" t="s">
        <v>147</v>
      </c>
      <c r="E384" t="s">
        <v>159</v>
      </c>
      <c r="F384" t="s">
        <v>160</v>
      </c>
      <c r="G384" t="s">
        <v>18</v>
      </c>
      <c r="H384" t="s">
        <v>66</v>
      </c>
      <c r="I384" t="str">
        <f>LEFT(H384,FIND(" (",H384)-1)</f>
        <v>Senior</v>
      </c>
      <c r="J384" t="str">
        <f>MID(H384,FIND("(",H384)+1,FIND(")",H384)-FIND("(",H384)-1)</f>
        <v>5-8 yrs</v>
      </c>
      <c r="L384">
        <v>92654</v>
      </c>
      <c r="M384" t="s">
        <v>892</v>
      </c>
      <c r="N384" t="s">
        <v>33</v>
      </c>
      <c r="O384" t="s">
        <v>22</v>
      </c>
      <c r="P384" s="1">
        <v>45512</v>
      </c>
      <c r="Q384">
        <v>897</v>
      </c>
      <c r="R384">
        <v>127</v>
      </c>
      <c r="S384" t="s">
        <v>23</v>
      </c>
      <c r="T384">
        <v>4</v>
      </c>
      <c r="U384" t="s">
        <v>45</v>
      </c>
      <c r="V384" t="s">
        <v>24</v>
      </c>
      <c r="W384" t="s">
        <v>23</v>
      </c>
    </row>
    <row r="385" spans="1:23" x14ac:dyDescent="0.3">
      <c r="A385" t="s">
        <v>893</v>
      </c>
      <c r="B385" t="s">
        <v>91</v>
      </c>
      <c r="C385" t="s">
        <v>182</v>
      </c>
      <c r="D385" t="s">
        <v>147</v>
      </c>
      <c r="E385" t="s">
        <v>200</v>
      </c>
      <c r="F385" t="s">
        <v>201</v>
      </c>
      <c r="G385" t="s">
        <v>41</v>
      </c>
      <c r="H385" t="s">
        <v>66</v>
      </c>
      <c r="I385" t="str">
        <f>LEFT(H385,FIND(" (",H385)-1)</f>
        <v>Senior</v>
      </c>
      <c r="J385" t="str">
        <f>MID(H385,FIND("(",H385)+1,FIND(")",H385)-FIND("(",H385)-1)</f>
        <v>5-8 yrs</v>
      </c>
      <c r="L385">
        <v>135804</v>
      </c>
      <c r="M385" t="s">
        <v>894</v>
      </c>
      <c r="N385" t="s">
        <v>33</v>
      </c>
      <c r="O385" t="s">
        <v>51</v>
      </c>
      <c r="P385" s="1">
        <v>45526</v>
      </c>
      <c r="Q385">
        <v>1870</v>
      </c>
      <c r="R385">
        <v>2911</v>
      </c>
      <c r="S385" t="s">
        <v>23</v>
      </c>
      <c r="T385">
        <v>4</v>
      </c>
      <c r="U385" t="s">
        <v>83</v>
      </c>
      <c r="V385" t="s">
        <v>24</v>
      </c>
      <c r="W385" t="s">
        <v>34</v>
      </c>
    </row>
    <row r="386" spans="1:23" x14ac:dyDescent="0.3">
      <c r="A386" t="s">
        <v>895</v>
      </c>
      <c r="B386" t="s">
        <v>229</v>
      </c>
      <c r="C386" t="s">
        <v>124</v>
      </c>
      <c r="D386" t="s">
        <v>28</v>
      </c>
      <c r="E386" t="s">
        <v>5132</v>
      </c>
      <c r="F386" t="s">
        <v>5133</v>
      </c>
      <c r="G386" t="s">
        <v>55</v>
      </c>
      <c r="H386" t="s">
        <v>19</v>
      </c>
      <c r="I386" t="str">
        <f>LEFT(H386,FIND(" (",H386)-1)</f>
        <v>Entry</v>
      </c>
      <c r="J386" t="str">
        <f>MID(H386,FIND("(",H386)+1,FIND(")",H386)-FIND("(",H386)-1)</f>
        <v>0-2 yrs</v>
      </c>
      <c r="L386">
        <v>60434</v>
      </c>
      <c r="M386" t="s">
        <v>896</v>
      </c>
      <c r="N386" t="s">
        <v>33</v>
      </c>
      <c r="O386" t="s">
        <v>51</v>
      </c>
      <c r="P386" s="1">
        <v>45533</v>
      </c>
      <c r="Q386">
        <v>1860</v>
      </c>
      <c r="R386">
        <v>1249</v>
      </c>
      <c r="S386" t="s">
        <v>99</v>
      </c>
      <c r="T386">
        <v>0</v>
      </c>
      <c r="U386" t="s">
        <v>45</v>
      </c>
      <c r="V386" t="s">
        <v>24</v>
      </c>
      <c r="W386" t="s">
        <v>23</v>
      </c>
    </row>
    <row r="387" spans="1:23" x14ac:dyDescent="0.3">
      <c r="A387" t="s">
        <v>897</v>
      </c>
      <c r="B387" t="s">
        <v>229</v>
      </c>
      <c r="C387" t="s">
        <v>14</v>
      </c>
      <c r="D387" t="s">
        <v>125</v>
      </c>
      <c r="E387" t="s">
        <v>16</v>
      </c>
      <c r="F387" t="s">
        <v>17</v>
      </c>
      <c r="G387" t="s">
        <v>18</v>
      </c>
      <c r="H387" t="s">
        <v>56</v>
      </c>
      <c r="I387" t="str">
        <f>LEFT(H387,FIND(" (",H387)-1)</f>
        <v>Mid</v>
      </c>
      <c r="J387" t="str">
        <f>MID(H387,FIND("(",H387)+1,FIND(")",H387)-FIND("(",H387)-1)</f>
        <v>2-5 yrs</v>
      </c>
      <c r="L387">
        <v>112977</v>
      </c>
      <c r="M387" t="s">
        <v>898</v>
      </c>
      <c r="N387" t="s">
        <v>33</v>
      </c>
      <c r="O387" t="s">
        <v>22</v>
      </c>
      <c r="P387" s="1">
        <v>45544</v>
      </c>
      <c r="Q387">
        <v>1583</v>
      </c>
      <c r="R387">
        <v>190</v>
      </c>
      <c r="S387" t="s">
        <v>99</v>
      </c>
      <c r="T387">
        <v>2</v>
      </c>
      <c r="U387" t="s">
        <v>58</v>
      </c>
      <c r="V387" t="s">
        <v>59</v>
      </c>
      <c r="W387" t="s">
        <v>23</v>
      </c>
    </row>
    <row r="388" spans="1:23" x14ac:dyDescent="0.3">
      <c r="A388" t="s">
        <v>899</v>
      </c>
      <c r="B388" t="s">
        <v>225</v>
      </c>
      <c r="C388" t="s">
        <v>71</v>
      </c>
      <c r="D388" t="s">
        <v>125</v>
      </c>
      <c r="E388" t="s">
        <v>230</v>
      </c>
      <c r="F388" t="s">
        <v>231</v>
      </c>
      <c r="G388" t="s">
        <v>55</v>
      </c>
      <c r="H388" t="s">
        <v>31</v>
      </c>
      <c r="I388" t="str">
        <f>LEFT(H388,FIND(" (",H388)-1)</f>
        <v>Staff/Principal</v>
      </c>
      <c r="J388" t="str">
        <f>MID(H388,FIND("(",H388)+1,FIND(")",H388)-FIND("(",H388)-1)</f>
        <v>8+ yrs</v>
      </c>
      <c r="L388">
        <v>212303</v>
      </c>
      <c r="M388" t="s">
        <v>900</v>
      </c>
      <c r="N388" t="s">
        <v>89</v>
      </c>
      <c r="O388" t="s">
        <v>51</v>
      </c>
      <c r="P388" s="1">
        <v>45426</v>
      </c>
      <c r="Q388">
        <v>2102</v>
      </c>
      <c r="R388">
        <v>227</v>
      </c>
      <c r="S388" t="s">
        <v>34</v>
      </c>
      <c r="T388">
        <v>6</v>
      </c>
      <c r="U388" t="s">
        <v>5123</v>
      </c>
      <c r="V388" t="s">
        <v>24</v>
      </c>
      <c r="W388" t="s">
        <v>34</v>
      </c>
    </row>
    <row r="389" spans="1:23" x14ac:dyDescent="0.3">
      <c r="A389" t="s">
        <v>901</v>
      </c>
      <c r="B389" t="s">
        <v>36</v>
      </c>
      <c r="C389" t="s">
        <v>192</v>
      </c>
      <c r="D389" t="s">
        <v>49</v>
      </c>
      <c r="E389" t="s">
        <v>39</v>
      </c>
      <c r="F389" t="s">
        <v>40</v>
      </c>
      <c r="G389" t="s">
        <v>18</v>
      </c>
      <c r="H389" t="s">
        <v>56</v>
      </c>
      <c r="I389" t="str">
        <f>LEFT(H389,FIND(" (",H389)-1)</f>
        <v>Mid</v>
      </c>
      <c r="J389" t="str">
        <f>MID(H389,FIND("(",H389)+1,FIND(")",H389)-FIND("(",H389)-1)</f>
        <v>2-5 yrs</v>
      </c>
      <c r="L389">
        <v>147148</v>
      </c>
      <c r="M389" t="s">
        <v>902</v>
      </c>
      <c r="N389" t="s">
        <v>89</v>
      </c>
      <c r="O389" t="s">
        <v>44</v>
      </c>
      <c r="P389" s="1">
        <v>45545</v>
      </c>
      <c r="Q389">
        <v>906</v>
      </c>
      <c r="R389">
        <v>516</v>
      </c>
      <c r="S389" t="s">
        <v>23</v>
      </c>
      <c r="T389">
        <v>2</v>
      </c>
      <c r="U389" t="s">
        <v>52</v>
      </c>
      <c r="V389" t="s">
        <v>59</v>
      </c>
      <c r="W389" t="s">
        <v>34</v>
      </c>
    </row>
    <row r="390" spans="1:23" x14ac:dyDescent="0.3">
      <c r="A390" t="s">
        <v>903</v>
      </c>
      <c r="B390" t="s">
        <v>222</v>
      </c>
      <c r="C390" t="s">
        <v>239</v>
      </c>
      <c r="D390" t="s">
        <v>49</v>
      </c>
      <c r="E390" t="s">
        <v>200</v>
      </c>
      <c r="F390" t="s">
        <v>201</v>
      </c>
      <c r="G390" t="s">
        <v>55</v>
      </c>
      <c r="H390" t="s">
        <v>66</v>
      </c>
      <c r="I390" t="str">
        <f>LEFT(H390,FIND(" (",H390)-1)</f>
        <v>Senior</v>
      </c>
      <c r="J390" t="str">
        <f>MID(H390,FIND("(",H390)+1,FIND(")",H390)-FIND("(",H390)-1)</f>
        <v>5-8 yrs</v>
      </c>
      <c r="L390">
        <v>175661</v>
      </c>
      <c r="M390" t="s">
        <v>904</v>
      </c>
      <c r="N390" t="s">
        <v>141</v>
      </c>
      <c r="O390" t="s">
        <v>22</v>
      </c>
      <c r="P390" s="1">
        <v>45591</v>
      </c>
      <c r="Q390">
        <v>2340</v>
      </c>
      <c r="R390">
        <v>2782</v>
      </c>
      <c r="S390" t="s">
        <v>34</v>
      </c>
      <c r="T390">
        <v>4</v>
      </c>
      <c r="U390" t="s">
        <v>45</v>
      </c>
      <c r="V390" t="s">
        <v>24</v>
      </c>
      <c r="W390" t="s">
        <v>23</v>
      </c>
    </row>
    <row r="391" spans="1:23" x14ac:dyDescent="0.3">
      <c r="A391" t="s">
        <v>905</v>
      </c>
      <c r="B391" t="s">
        <v>13</v>
      </c>
      <c r="C391" t="s">
        <v>192</v>
      </c>
      <c r="D391" t="s">
        <v>63</v>
      </c>
      <c r="E391" t="s">
        <v>5141</v>
      </c>
      <c r="F391" t="s">
        <v>5133</v>
      </c>
      <c r="G391" t="s">
        <v>41</v>
      </c>
      <c r="H391" t="s">
        <v>31</v>
      </c>
      <c r="I391" t="str">
        <f>LEFT(H391,FIND(" (",H391)-1)</f>
        <v>Staff/Principal</v>
      </c>
      <c r="J391" t="str">
        <f>MID(H391,FIND("(",H391)+1,FIND(")",H391)-FIND("(",H391)-1)</f>
        <v>8+ yrs</v>
      </c>
      <c r="L391">
        <v>179231</v>
      </c>
      <c r="M391" t="s">
        <v>906</v>
      </c>
      <c r="N391" t="s">
        <v>33</v>
      </c>
      <c r="O391" t="s">
        <v>51</v>
      </c>
      <c r="P391" s="1">
        <v>45346</v>
      </c>
      <c r="Q391">
        <v>1403</v>
      </c>
      <c r="R391">
        <v>2443</v>
      </c>
      <c r="S391" t="s">
        <v>23</v>
      </c>
      <c r="T391">
        <v>6</v>
      </c>
      <c r="U391" t="s">
        <v>45</v>
      </c>
      <c r="V391" t="s">
        <v>46</v>
      </c>
      <c r="W391" t="s">
        <v>23</v>
      </c>
    </row>
    <row r="392" spans="1:23" x14ac:dyDescent="0.3">
      <c r="A392" t="s">
        <v>907</v>
      </c>
      <c r="B392" t="s">
        <v>172</v>
      </c>
      <c r="C392" t="s">
        <v>107</v>
      </c>
      <c r="D392" t="s">
        <v>49</v>
      </c>
      <c r="E392" t="s">
        <v>200</v>
      </c>
      <c r="F392" t="s">
        <v>201</v>
      </c>
      <c r="G392" t="s">
        <v>18</v>
      </c>
      <c r="H392" t="s">
        <v>66</v>
      </c>
      <c r="I392" t="str">
        <f>LEFT(H392,FIND(" (",H392)-1)</f>
        <v>Senior</v>
      </c>
      <c r="J392" t="str">
        <f>MID(H392,FIND("(",H392)+1,FIND(")",H392)-FIND("(",H392)-1)</f>
        <v>5-8 yrs</v>
      </c>
      <c r="L392">
        <v>125742</v>
      </c>
      <c r="M392" t="s">
        <v>908</v>
      </c>
      <c r="N392" t="s">
        <v>186</v>
      </c>
      <c r="O392" t="s">
        <v>51</v>
      </c>
      <c r="P392" s="1">
        <v>45733</v>
      </c>
      <c r="Q392">
        <v>1862</v>
      </c>
      <c r="R392">
        <v>389</v>
      </c>
      <c r="S392" t="s">
        <v>23</v>
      </c>
      <c r="T392">
        <v>4</v>
      </c>
      <c r="U392" t="s">
        <v>52</v>
      </c>
      <c r="V392" t="s">
        <v>24</v>
      </c>
      <c r="W392" t="s">
        <v>23</v>
      </c>
    </row>
    <row r="393" spans="1:23" x14ac:dyDescent="0.3">
      <c r="A393" t="s">
        <v>909</v>
      </c>
      <c r="B393" t="s">
        <v>137</v>
      </c>
      <c r="C393" t="s">
        <v>192</v>
      </c>
      <c r="D393" t="s">
        <v>147</v>
      </c>
      <c r="E393" t="s">
        <v>5140</v>
      </c>
      <c r="F393" t="s">
        <v>5133</v>
      </c>
      <c r="G393" t="s">
        <v>55</v>
      </c>
      <c r="H393" t="s">
        <v>19</v>
      </c>
      <c r="I393" t="str">
        <f>LEFT(H393,FIND(" (",H393)-1)</f>
        <v>Entry</v>
      </c>
      <c r="J393" t="str">
        <f>MID(H393,FIND("(",H393)+1,FIND(")",H393)-FIND("(",H393)-1)</f>
        <v>0-2 yrs</v>
      </c>
      <c r="L393">
        <v>76198</v>
      </c>
      <c r="M393" t="s">
        <v>910</v>
      </c>
      <c r="N393" t="s">
        <v>120</v>
      </c>
      <c r="O393" t="s">
        <v>44</v>
      </c>
      <c r="P393" s="1">
        <v>45375</v>
      </c>
      <c r="Q393">
        <v>1570</v>
      </c>
      <c r="R393">
        <v>3711</v>
      </c>
      <c r="S393" t="s">
        <v>23</v>
      </c>
      <c r="T393">
        <v>0</v>
      </c>
      <c r="U393" t="s">
        <v>52</v>
      </c>
      <c r="V393" t="s">
        <v>24</v>
      </c>
      <c r="W393" t="s">
        <v>34</v>
      </c>
    </row>
    <row r="394" spans="1:23" x14ac:dyDescent="0.3">
      <c r="A394" t="s">
        <v>911</v>
      </c>
      <c r="B394" t="s">
        <v>225</v>
      </c>
      <c r="C394" t="s">
        <v>195</v>
      </c>
      <c r="D394" t="s">
        <v>125</v>
      </c>
      <c r="E394" t="s">
        <v>159</v>
      </c>
      <c r="F394" t="s">
        <v>160</v>
      </c>
      <c r="G394" t="s">
        <v>18</v>
      </c>
      <c r="H394" t="s">
        <v>56</v>
      </c>
      <c r="I394" t="str">
        <f>LEFT(H394,FIND(" (",H394)-1)</f>
        <v>Mid</v>
      </c>
      <c r="J394" t="str">
        <f>MID(H394,FIND("(",H394)+1,FIND(")",H394)-FIND("(",H394)-1)</f>
        <v>2-5 yrs</v>
      </c>
      <c r="L394">
        <v>83859</v>
      </c>
      <c r="M394" t="s">
        <v>912</v>
      </c>
      <c r="N394" t="s">
        <v>33</v>
      </c>
      <c r="O394" t="s">
        <v>51</v>
      </c>
      <c r="P394" s="1">
        <v>45490</v>
      </c>
      <c r="Q394">
        <v>2044</v>
      </c>
      <c r="R394">
        <v>390</v>
      </c>
      <c r="S394" t="s">
        <v>34</v>
      </c>
      <c r="T394">
        <v>2</v>
      </c>
      <c r="U394" t="s">
        <v>45</v>
      </c>
      <c r="V394" t="s">
        <v>46</v>
      </c>
      <c r="W394" t="s">
        <v>23</v>
      </c>
    </row>
    <row r="395" spans="1:23" x14ac:dyDescent="0.3">
      <c r="A395" t="s">
        <v>913</v>
      </c>
      <c r="B395" t="s">
        <v>61</v>
      </c>
      <c r="C395" t="s">
        <v>179</v>
      </c>
      <c r="D395" t="s">
        <v>125</v>
      </c>
      <c r="E395" t="s">
        <v>76</v>
      </c>
      <c r="F395" t="s">
        <v>77</v>
      </c>
      <c r="G395" t="s">
        <v>41</v>
      </c>
      <c r="H395" t="s">
        <v>31</v>
      </c>
      <c r="I395" t="str">
        <f>LEFT(H395,FIND(" (",H395)-1)</f>
        <v>Staff/Principal</v>
      </c>
      <c r="J395" t="str">
        <f>MID(H395,FIND("(",H395)+1,FIND(")",H395)-FIND("(",H395)-1)</f>
        <v>8+ yrs</v>
      </c>
      <c r="L395">
        <v>265932</v>
      </c>
      <c r="M395" t="s">
        <v>914</v>
      </c>
      <c r="N395" t="s">
        <v>89</v>
      </c>
      <c r="O395" t="s">
        <v>79</v>
      </c>
      <c r="P395" s="1">
        <v>45560</v>
      </c>
      <c r="Q395">
        <v>1530</v>
      </c>
      <c r="R395">
        <v>3456</v>
      </c>
      <c r="S395" t="s">
        <v>34</v>
      </c>
      <c r="T395">
        <v>6</v>
      </c>
      <c r="U395" t="s">
        <v>58</v>
      </c>
      <c r="V395" t="s">
        <v>24</v>
      </c>
      <c r="W395" t="s">
        <v>34</v>
      </c>
    </row>
    <row r="396" spans="1:23" x14ac:dyDescent="0.3">
      <c r="A396" t="s">
        <v>915</v>
      </c>
      <c r="B396" t="s">
        <v>70</v>
      </c>
      <c r="C396" t="s">
        <v>110</v>
      </c>
      <c r="D396" t="s">
        <v>75</v>
      </c>
      <c r="E396" t="s">
        <v>76</v>
      </c>
      <c r="F396" t="s">
        <v>77</v>
      </c>
      <c r="G396" t="s">
        <v>18</v>
      </c>
      <c r="H396" t="s">
        <v>19</v>
      </c>
      <c r="I396" t="str">
        <f>LEFT(H396,FIND(" (",H396)-1)</f>
        <v>Entry</v>
      </c>
      <c r="J396" t="str">
        <f>MID(H396,FIND("(",H396)+1,FIND(")",H396)-FIND("(",H396)-1)</f>
        <v>0-2 yrs</v>
      </c>
      <c r="L396">
        <v>84860</v>
      </c>
      <c r="M396" t="s">
        <v>916</v>
      </c>
      <c r="N396" t="s">
        <v>21</v>
      </c>
      <c r="O396" t="s">
        <v>22</v>
      </c>
      <c r="P396" s="1">
        <v>45509</v>
      </c>
      <c r="Q396">
        <v>2195</v>
      </c>
      <c r="R396">
        <v>745</v>
      </c>
      <c r="S396" t="s">
        <v>23</v>
      </c>
      <c r="T396">
        <v>0</v>
      </c>
      <c r="U396" t="s">
        <v>58</v>
      </c>
      <c r="V396" t="s">
        <v>24</v>
      </c>
      <c r="W396" t="s">
        <v>34</v>
      </c>
    </row>
    <row r="397" spans="1:23" x14ac:dyDescent="0.3">
      <c r="A397" t="s">
        <v>917</v>
      </c>
      <c r="B397" t="s">
        <v>81</v>
      </c>
      <c r="C397" t="s">
        <v>173</v>
      </c>
      <c r="D397" t="s">
        <v>49</v>
      </c>
      <c r="E397" t="s">
        <v>200</v>
      </c>
      <c r="F397" t="s">
        <v>201</v>
      </c>
      <c r="G397" t="s">
        <v>41</v>
      </c>
      <c r="H397" t="s">
        <v>66</v>
      </c>
      <c r="I397" t="str">
        <f>LEFT(H397,FIND(" (",H397)-1)</f>
        <v>Senior</v>
      </c>
      <c r="J397" t="str">
        <f>MID(H397,FIND("(",H397)+1,FIND(")",H397)-FIND("(",H397)-1)</f>
        <v>5-8 yrs</v>
      </c>
      <c r="L397">
        <v>137332</v>
      </c>
      <c r="M397" t="s">
        <v>918</v>
      </c>
      <c r="N397" t="s">
        <v>21</v>
      </c>
      <c r="O397" t="s">
        <v>51</v>
      </c>
      <c r="P397" s="1">
        <v>45679</v>
      </c>
      <c r="Q397">
        <v>373</v>
      </c>
      <c r="R397">
        <v>33</v>
      </c>
      <c r="S397" t="s">
        <v>23</v>
      </c>
      <c r="T397">
        <v>4</v>
      </c>
      <c r="U397" t="s">
        <v>5123</v>
      </c>
      <c r="V397" t="s">
        <v>24</v>
      </c>
      <c r="W397" t="s">
        <v>23</v>
      </c>
    </row>
    <row r="398" spans="1:23" x14ac:dyDescent="0.3">
      <c r="A398" t="s">
        <v>919</v>
      </c>
      <c r="B398" t="s">
        <v>137</v>
      </c>
      <c r="C398" t="s">
        <v>124</v>
      </c>
      <c r="D398" t="s">
        <v>38</v>
      </c>
      <c r="E398" t="s">
        <v>230</v>
      </c>
      <c r="F398" t="s">
        <v>231</v>
      </c>
      <c r="G398" t="s">
        <v>41</v>
      </c>
      <c r="H398" t="s">
        <v>31</v>
      </c>
      <c r="I398" t="str">
        <f>LEFT(H398,FIND(" (",H398)-1)</f>
        <v>Staff/Principal</v>
      </c>
      <c r="J398" t="str">
        <f>MID(H398,FIND("(",H398)+1,FIND(")",H398)-FIND("(",H398)-1)</f>
        <v>8+ yrs</v>
      </c>
      <c r="L398">
        <v>138327</v>
      </c>
      <c r="M398" t="s">
        <v>920</v>
      </c>
      <c r="N398" t="s">
        <v>68</v>
      </c>
      <c r="O398" t="s">
        <v>22</v>
      </c>
      <c r="P398" s="1">
        <v>45607</v>
      </c>
      <c r="Q398">
        <v>365</v>
      </c>
      <c r="R398">
        <v>2860</v>
      </c>
      <c r="S398" t="s">
        <v>99</v>
      </c>
      <c r="T398">
        <v>6</v>
      </c>
      <c r="U398" t="s">
        <v>5123</v>
      </c>
      <c r="V398" t="s">
        <v>24</v>
      </c>
      <c r="W398" t="s">
        <v>23</v>
      </c>
    </row>
    <row r="399" spans="1:23" x14ac:dyDescent="0.3">
      <c r="A399" t="s">
        <v>921</v>
      </c>
      <c r="B399" t="s">
        <v>91</v>
      </c>
      <c r="C399" t="s">
        <v>107</v>
      </c>
      <c r="D399" t="s">
        <v>63</v>
      </c>
      <c r="E399" t="s">
        <v>133</v>
      </c>
      <c r="F399" t="s">
        <v>134</v>
      </c>
      <c r="G399" t="s">
        <v>18</v>
      </c>
      <c r="H399" t="s">
        <v>31</v>
      </c>
      <c r="I399" t="str">
        <f>LEFT(H399,FIND(" (",H399)-1)</f>
        <v>Staff/Principal</v>
      </c>
      <c r="J399" t="str">
        <f>MID(H399,FIND("(",H399)+1,FIND(")",H399)-FIND("(",H399)-1)</f>
        <v>8+ yrs</v>
      </c>
      <c r="L399">
        <v>248739</v>
      </c>
      <c r="M399" t="s">
        <v>922</v>
      </c>
      <c r="N399" t="s">
        <v>33</v>
      </c>
      <c r="O399" t="s">
        <v>79</v>
      </c>
      <c r="P399" s="1">
        <v>45446</v>
      </c>
      <c r="Q399">
        <v>2231</v>
      </c>
      <c r="R399">
        <v>90</v>
      </c>
      <c r="S399" t="s">
        <v>99</v>
      </c>
      <c r="T399">
        <v>6</v>
      </c>
      <c r="U399" t="s">
        <v>83</v>
      </c>
      <c r="V399" t="s">
        <v>24</v>
      </c>
      <c r="W399" t="s">
        <v>34</v>
      </c>
    </row>
    <row r="400" spans="1:23" x14ac:dyDescent="0.3">
      <c r="A400" t="s">
        <v>923</v>
      </c>
      <c r="B400" t="s">
        <v>137</v>
      </c>
      <c r="C400" t="s">
        <v>179</v>
      </c>
      <c r="D400" t="s">
        <v>15</v>
      </c>
      <c r="E400" t="s">
        <v>5132</v>
      </c>
      <c r="F400" t="s">
        <v>5133</v>
      </c>
      <c r="G400" t="s">
        <v>18</v>
      </c>
      <c r="H400" t="s">
        <v>19</v>
      </c>
      <c r="I400" t="str">
        <f>LEFT(H400,FIND(" (",H400)-1)</f>
        <v>Entry</v>
      </c>
      <c r="J400" t="str">
        <f>MID(H400,FIND("(",H400)+1,FIND(")",H400)-FIND("(",H400)-1)</f>
        <v>0-2 yrs</v>
      </c>
      <c r="L400">
        <v>68556</v>
      </c>
      <c r="M400" t="s">
        <v>924</v>
      </c>
      <c r="N400" t="s">
        <v>33</v>
      </c>
      <c r="O400" t="s">
        <v>51</v>
      </c>
      <c r="P400" s="1">
        <v>45614</v>
      </c>
      <c r="Q400">
        <v>2291</v>
      </c>
      <c r="R400">
        <v>2112</v>
      </c>
      <c r="S400" t="s">
        <v>23</v>
      </c>
      <c r="T400">
        <v>0</v>
      </c>
      <c r="U400" t="s">
        <v>83</v>
      </c>
      <c r="V400" t="s">
        <v>46</v>
      </c>
      <c r="W400" t="s">
        <v>23</v>
      </c>
    </row>
    <row r="401" spans="1:23" x14ac:dyDescent="0.3">
      <c r="A401" t="s">
        <v>925</v>
      </c>
      <c r="B401" t="s">
        <v>96</v>
      </c>
      <c r="C401" t="s">
        <v>97</v>
      </c>
      <c r="D401" t="s">
        <v>174</v>
      </c>
      <c r="E401" t="s">
        <v>5135</v>
      </c>
      <c r="F401" t="s">
        <v>5133</v>
      </c>
      <c r="G401" t="s">
        <v>41</v>
      </c>
      <c r="H401" t="s">
        <v>56</v>
      </c>
      <c r="I401" t="str">
        <f>LEFT(H401,FIND(" (",H401)-1)</f>
        <v>Mid</v>
      </c>
      <c r="J401" t="str">
        <f>MID(H401,FIND("(",H401)+1,FIND(")",H401)-FIND("(",H401)-1)</f>
        <v>2-5 yrs</v>
      </c>
      <c r="L401">
        <v>134508</v>
      </c>
      <c r="M401" t="s">
        <v>926</v>
      </c>
      <c r="N401" t="s">
        <v>21</v>
      </c>
      <c r="O401" t="s">
        <v>51</v>
      </c>
      <c r="P401" s="1">
        <v>45508</v>
      </c>
      <c r="Q401">
        <v>2086</v>
      </c>
      <c r="R401">
        <v>95</v>
      </c>
      <c r="S401" t="s">
        <v>34</v>
      </c>
      <c r="T401">
        <v>2</v>
      </c>
      <c r="U401" t="s">
        <v>52</v>
      </c>
      <c r="V401" t="s">
        <v>24</v>
      </c>
      <c r="W401" t="s">
        <v>34</v>
      </c>
    </row>
    <row r="402" spans="1:23" x14ac:dyDescent="0.3">
      <c r="A402" t="s">
        <v>927</v>
      </c>
      <c r="B402" t="s">
        <v>131</v>
      </c>
      <c r="C402" t="s">
        <v>54</v>
      </c>
      <c r="D402" t="s">
        <v>147</v>
      </c>
      <c r="E402" t="s">
        <v>200</v>
      </c>
      <c r="F402" t="s">
        <v>201</v>
      </c>
      <c r="G402" t="s">
        <v>55</v>
      </c>
      <c r="H402" t="s">
        <v>56</v>
      </c>
      <c r="I402" t="str">
        <f>LEFT(H402,FIND(" (",H402)-1)</f>
        <v>Mid</v>
      </c>
      <c r="J402" t="str">
        <f>MID(H402,FIND("(",H402)+1,FIND(")",H402)-FIND("(",H402)-1)</f>
        <v>2-5 yrs</v>
      </c>
      <c r="L402">
        <v>78430</v>
      </c>
      <c r="M402" t="s">
        <v>928</v>
      </c>
      <c r="N402" t="s">
        <v>33</v>
      </c>
      <c r="O402" t="s">
        <v>44</v>
      </c>
      <c r="P402" s="1">
        <v>45465</v>
      </c>
      <c r="Q402">
        <v>1775</v>
      </c>
      <c r="R402">
        <v>3270</v>
      </c>
      <c r="S402" t="s">
        <v>23</v>
      </c>
      <c r="T402">
        <v>2</v>
      </c>
      <c r="U402" t="s">
        <v>52</v>
      </c>
      <c r="V402" t="s">
        <v>24</v>
      </c>
      <c r="W402" t="s">
        <v>34</v>
      </c>
    </row>
    <row r="403" spans="1:23" x14ac:dyDescent="0.3">
      <c r="A403" t="s">
        <v>929</v>
      </c>
      <c r="B403" t="s">
        <v>70</v>
      </c>
      <c r="C403" t="s">
        <v>124</v>
      </c>
      <c r="D403" t="s">
        <v>174</v>
      </c>
      <c r="E403" t="s">
        <v>64</v>
      </c>
      <c r="F403" t="s">
        <v>65</v>
      </c>
      <c r="G403" t="s">
        <v>18</v>
      </c>
      <c r="H403" t="s">
        <v>31</v>
      </c>
      <c r="I403" t="str">
        <f>LEFT(H403,FIND(" (",H403)-1)</f>
        <v>Staff/Principal</v>
      </c>
      <c r="J403" t="str">
        <f>MID(H403,FIND("(",H403)+1,FIND(")",H403)-FIND("(",H403)-1)</f>
        <v>8+ yrs</v>
      </c>
      <c r="L403">
        <v>178422</v>
      </c>
      <c r="M403" t="s">
        <v>930</v>
      </c>
      <c r="N403" t="s">
        <v>186</v>
      </c>
      <c r="O403" t="s">
        <v>44</v>
      </c>
      <c r="P403" s="1">
        <v>45372</v>
      </c>
      <c r="Q403">
        <v>1762</v>
      </c>
      <c r="R403">
        <v>2782</v>
      </c>
      <c r="S403" t="s">
        <v>34</v>
      </c>
      <c r="T403">
        <v>6</v>
      </c>
      <c r="U403" t="s">
        <v>83</v>
      </c>
      <c r="V403" t="s">
        <v>24</v>
      </c>
      <c r="W403" t="s">
        <v>34</v>
      </c>
    </row>
    <row r="404" spans="1:23" x14ac:dyDescent="0.3">
      <c r="A404" t="s">
        <v>931</v>
      </c>
      <c r="B404" t="s">
        <v>329</v>
      </c>
      <c r="C404" t="s">
        <v>71</v>
      </c>
      <c r="D404" t="s">
        <v>75</v>
      </c>
      <c r="E404" t="s">
        <v>216</v>
      </c>
      <c r="F404" t="s">
        <v>217</v>
      </c>
      <c r="G404" t="s">
        <v>18</v>
      </c>
      <c r="H404" t="s">
        <v>19</v>
      </c>
      <c r="I404" t="str">
        <f>LEFT(H404,FIND(" (",H404)-1)</f>
        <v>Entry</v>
      </c>
      <c r="J404" t="str">
        <f>MID(H404,FIND("(",H404)+1,FIND(")",H404)-FIND("(",H404)-1)</f>
        <v>0-2 yrs</v>
      </c>
      <c r="L404">
        <v>70066</v>
      </c>
      <c r="M404" t="s">
        <v>932</v>
      </c>
      <c r="N404" t="s">
        <v>186</v>
      </c>
      <c r="O404" t="s">
        <v>22</v>
      </c>
      <c r="P404" s="1">
        <v>45579</v>
      </c>
      <c r="Q404">
        <v>919</v>
      </c>
      <c r="R404">
        <v>3505</v>
      </c>
      <c r="S404" t="s">
        <v>23</v>
      </c>
      <c r="T404">
        <v>0</v>
      </c>
      <c r="U404" t="s">
        <v>83</v>
      </c>
      <c r="V404" t="s">
        <v>24</v>
      </c>
      <c r="W404" t="s">
        <v>34</v>
      </c>
    </row>
    <row r="405" spans="1:23" x14ac:dyDescent="0.3">
      <c r="A405" t="s">
        <v>933</v>
      </c>
      <c r="B405" t="s">
        <v>229</v>
      </c>
      <c r="C405" t="s">
        <v>116</v>
      </c>
      <c r="D405" t="s">
        <v>75</v>
      </c>
      <c r="E405" t="s">
        <v>39</v>
      </c>
      <c r="F405" t="s">
        <v>40</v>
      </c>
      <c r="G405" t="s">
        <v>55</v>
      </c>
      <c r="H405" t="s">
        <v>31</v>
      </c>
      <c r="I405" t="str">
        <f>LEFT(H405,FIND(" (",H405)-1)</f>
        <v>Staff/Principal</v>
      </c>
      <c r="J405" t="str">
        <f>MID(H405,FIND("(",H405)+1,FIND(")",H405)-FIND("(",H405)-1)</f>
        <v>8+ yrs</v>
      </c>
      <c r="L405">
        <v>201691</v>
      </c>
      <c r="M405" t="s">
        <v>934</v>
      </c>
      <c r="N405" t="s">
        <v>149</v>
      </c>
      <c r="O405" t="s">
        <v>22</v>
      </c>
      <c r="P405" s="1">
        <v>45678</v>
      </c>
      <c r="Q405">
        <v>731</v>
      </c>
      <c r="R405">
        <v>694</v>
      </c>
      <c r="S405" t="s">
        <v>23</v>
      </c>
      <c r="T405">
        <v>6</v>
      </c>
      <c r="U405" t="s">
        <v>52</v>
      </c>
      <c r="V405" t="s">
        <v>59</v>
      </c>
      <c r="W405" t="s">
        <v>34</v>
      </c>
    </row>
    <row r="406" spans="1:23" x14ac:dyDescent="0.3">
      <c r="A406" t="s">
        <v>935</v>
      </c>
      <c r="B406" t="s">
        <v>81</v>
      </c>
      <c r="C406" t="s">
        <v>101</v>
      </c>
      <c r="D406" t="s">
        <v>38</v>
      </c>
      <c r="E406" t="s">
        <v>76</v>
      </c>
      <c r="F406" t="s">
        <v>77</v>
      </c>
      <c r="G406" t="s">
        <v>41</v>
      </c>
      <c r="H406" t="s">
        <v>31</v>
      </c>
      <c r="I406" t="str">
        <f>LEFT(H406,FIND(" (",H406)-1)</f>
        <v>Staff/Principal</v>
      </c>
      <c r="J406" t="str">
        <f>MID(H406,FIND("(",H406)+1,FIND(")",H406)-FIND("(",H406)-1)</f>
        <v>8+ yrs</v>
      </c>
      <c r="L406">
        <v>183797</v>
      </c>
      <c r="M406" t="s">
        <v>936</v>
      </c>
      <c r="N406" t="s">
        <v>68</v>
      </c>
      <c r="O406" t="s">
        <v>51</v>
      </c>
      <c r="P406" s="1">
        <v>45737</v>
      </c>
      <c r="Q406">
        <v>2002</v>
      </c>
      <c r="R406">
        <v>3160</v>
      </c>
      <c r="S406" t="s">
        <v>23</v>
      </c>
      <c r="T406">
        <v>6</v>
      </c>
      <c r="U406" t="s">
        <v>52</v>
      </c>
      <c r="V406" t="s">
        <v>59</v>
      </c>
      <c r="W406" t="s">
        <v>23</v>
      </c>
    </row>
    <row r="407" spans="1:23" x14ac:dyDescent="0.3">
      <c r="A407" t="s">
        <v>937</v>
      </c>
      <c r="B407" t="s">
        <v>81</v>
      </c>
      <c r="C407" t="s">
        <v>209</v>
      </c>
      <c r="D407" t="s">
        <v>147</v>
      </c>
      <c r="E407" t="s">
        <v>5136</v>
      </c>
      <c r="F407" t="s">
        <v>5133</v>
      </c>
      <c r="G407" t="s">
        <v>18</v>
      </c>
      <c r="H407" t="s">
        <v>56</v>
      </c>
      <c r="I407" t="str">
        <f>LEFT(H407,FIND(" (",H407)-1)</f>
        <v>Mid</v>
      </c>
      <c r="J407" t="str">
        <f>MID(H407,FIND("(",H407)+1,FIND(")",H407)-FIND("(",H407)-1)</f>
        <v>2-5 yrs</v>
      </c>
      <c r="L407">
        <v>122332</v>
      </c>
      <c r="M407" t="s">
        <v>938</v>
      </c>
      <c r="N407" t="s">
        <v>245</v>
      </c>
      <c r="O407" t="s">
        <v>51</v>
      </c>
      <c r="P407" s="1">
        <v>45658</v>
      </c>
      <c r="Q407">
        <v>1976</v>
      </c>
      <c r="R407">
        <v>3688</v>
      </c>
      <c r="S407" t="s">
        <v>23</v>
      </c>
      <c r="T407">
        <v>2</v>
      </c>
      <c r="U407" t="s">
        <v>83</v>
      </c>
      <c r="V407" t="s">
        <v>59</v>
      </c>
      <c r="W407" t="s">
        <v>34</v>
      </c>
    </row>
    <row r="408" spans="1:23" x14ac:dyDescent="0.3">
      <c r="A408" t="s">
        <v>939</v>
      </c>
      <c r="B408" t="s">
        <v>151</v>
      </c>
      <c r="C408" t="s">
        <v>48</v>
      </c>
      <c r="D408" t="s">
        <v>125</v>
      </c>
      <c r="E408" t="s">
        <v>64</v>
      </c>
      <c r="F408" t="s">
        <v>65</v>
      </c>
      <c r="G408" t="s">
        <v>41</v>
      </c>
      <c r="H408" t="s">
        <v>31</v>
      </c>
      <c r="I408" t="str">
        <f>LEFT(H408,FIND(" (",H408)-1)</f>
        <v>Staff/Principal</v>
      </c>
      <c r="J408" t="str">
        <f>MID(H408,FIND("(",H408)+1,FIND(")",H408)-FIND("(",H408)-1)</f>
        <v>8+ yrs</v>
      </c>
      <c r="L408">
        <v>161565</v>
      </c>
      <c r="M408" t="s">
        <v>940</v>
      </c>
      <c r="N408" t="s">
        <v>186</v>
      </c>
      <c r="O408" t="s">
        <v>79</v>
      </c>
      <c r="P408" s="1">
        <v>45659</v>
      </c>
      <c r="Q408">
        <v>536</v>
      </c>
      <c r="R408">
        <v>2597</v>
      </c>
      <c r="S408" t="s">
        <v>99</v>
      </c>
      <c r="T408">
        <v>6</v>
      </c>
      <c r="U408" t="s">
        <v>83</v>
      </c>
      <c r="V408" t="s">
        <v>46</v>
      </c>
      <c r="W408" t="s">
        <v>34</v>
      </c>
    </row>
    <row r="409" spans="1:23" x14ac:dyDescent="0.3">
      <c r="A409" t="s">
        <v>941</v>
      </c>
      <c r="B409" t="s">
        <v>26</v>
      </c>
      <c r="C409" t="s">
        <v>86</v>
      </c>
      <c r="D409" t="s">
        <v>75</v>
      </c>
      <c r="E409" t="s">
        <v>5132</v>
      </c>
      <c r="F409" t="s">
        <v>5133</v>
      </c>
      <c r="G409" t="s">
        <v>55</v>
      </c>
      <c r="H409" t="s">
        <v>66</v>
      </c>
      <c r="I409" t="str">
        <f>LEFT(H409,FIND(" (",H409)-1)</f>
        <v>Senior</v>
      </c>
      <c r="J409" t="str">
        <f>MID(H409,FIND("(",H409)+1,FIND(")",H409)-FIND("(",H409)-1)</f>
        <v>5-8 yrs</v>
      </c>
      <c r="L409">
        <v>146155</v>
      </c>
      <c r="M409" t="s">
        <v>942</v>
      </c>
      <c r="N409" t="s">
        <v>245</v>
      </c>
      <c r="O409" t="s">
        <v>51</v>
      </c>
      <c r="P409" s="1">
        <v>45296</v>
      </c>
      <c r="Q409">
        <v>2111</v>
      </c>
      <c r="R409">
        <v>2866</v>
      </c>
      <c r="S409" t="s">
        <v>23</v>
      </c>
      <c r="T409">
        <v>4</v>
      </c>
      <c r="U409" t="s">
        <v>58</v>
      </c>
      <c r="V409" t="s">
        <v>59</v>
      </c>
      <c r="W409" t="s">
        <v>23</v>
      </c>
    </row>
    <row r="410" spans="1:23" x14ac:dyDescent="0.3">
      <c r="A410" t="s">
        <v>943</v>
      </c>
      <c r="B410" t="s">
        <v>70</v>
      </c>
      <c r="C410" t="s">
        <v>179</v>
      </c>
      <c r="D410" t="s">
        <v>75</v>
      </c>
      <c r="E410" t="s">
        <v>133</v>
      </c>
      <c r="F410" t="s">
        <v>134</v>
      </c>
      <c r="G410" t="s">
        <v>18</v>
      </c>
      <c r="H410" t="s">
        <v>19</v>
      </c>
      <c r="I410" t="str">
        <f>LEFT(H410,FIND(" (",H410)-1)</f>
        <v>Entry</v>
      </c>
      <c r="J410" t="str">
        <f>MID(H410,FIND("(",H410)+1,FIND(")",H410)-FIND("(",H410)-1)</f>
        <v>0-2 yrs</v>
      </c>
      <c r="L410">
        <v>71515</v>
      </c>
      <c r="M410" t="s">
        <v>944</v>
      </c>
      <c r="N410" t="s">
        <v>94</v>
      </c>
      <c r="O410" t="s">
        <v>51</v>
      </c>
      <c r="P410" s="1">
        <v>45663</v>
      </c>
      <c r="Q410">
        <v>955</v>
      </c>
      <c r="R410">
        <v>105</v>
      </c>
      <c r="S410" t="s">
        <v>34</v>
      </c>
      <c r="T410">
        <v>0</v>
      </c>
      <c r="U410" t="s">
        <v>83</v>
      </c>
      <c r="V410" t="s">
        <v>24</v>
      </c>
      <c r="W410" t="s">
        <v>34</v>
      </c>
    </row>
    <row r="411" spans="1:23" x14ac:dyDescent="0.3">
      <c r="A411" t="s">
        <v>945</v>
      </c>
      <c r="B411" t="s">
        <v>81</v>
      </c>
      <c r="C411" t="s">
        <v>146</v>
      </c>
      <c r="D411" t="s">
        <v>28</v>
      </c>
      <c r="E411" t="s">
        <v>76</v>
      </c>
      <c r="F411" t="s">
        <v>77</v>
      </c>
      <c r="G411" t="s">
        <v>18</v>
      </c>
      <c r="H411" t="s">
        <v>31</v>
      </c>
      <c r="I411" t="str">
        <f>LEFT(H411,FIND(" (",H411)-1)</f>
        <v>Staff/Principal</v>
      </c>
      <c r="J411" t="str">
        <f>MID(H411,FIND("(",H411)+1,FIND(")",H411)-FIND("(",H411)-1)</f>
        <v>8+ yrs</v>
      </c>
      <c r="L411">
        <v>218519</v>
      </c>
      <c r="M411" t="s">
        <v>946</v>
      </c>
      <c r="N411" t="s">
        <v>149</v>
      </c>
      <c r="O411" t="s">
        <v>51</v>
      </c>
      <c r="P411" s="1">
        <v>45322</v>
      </c>
      <c r="Q411">
        <v>321</v>
      </c>
      <c r="R411">
        <v>1866</v>
      </c>
      <c r="S411" t="s">
        <v>23</v>
      </c>
      <c r="T411">
        <v>6</v>
      </c>
      <c r="U411" t="s">
        <v>52</v>
      </c>
      <c r="V411" t="s">
        <v>59</v>
      </c>
      <c r="W411" t="s">
        <v>23</v>
      </c>
    </row>
    <row r="412" spans="1:23" x14ac:dyDescent="0.3">
      <c r="A412" t="s">
        <v>947</v>
      </c>
      <c r="B412" t="s">
        <v>143</v>
      </c>
      <c r="C412" t="s">
        <v>37</v>
      </c>
      <c r="D412" t="s">
        <v>38</v>
      </c>
      <c r="E412" t="s">
        <v>5141</v>
      </c>
      <c r="F412" t="s">
        <v>5133</v>
      </c>
      <c r="G412" t="s">
        <v>18</v>
      </c>
      <c r="H412" t="s">
        <v>56</v>
      </c>
      <c r="I412" t="str">
        <f>LEFT(H412,FIND(" (",H412)-1)</f>
        <v>Mid</v>
      </c>
      <c r="J412" t="str">
        <f>MID(H412,FIND("(",H412)+1,FIND(")",H412)-FIND("(",H412)-1)</f>
        <v>2-5 yrs</v>
      </c>
      <c r="L412">
        <v>124089</v>
      </c>
      <c r="M412" t="s">
        <v>948</v>
      </c>
      <c r="N412" t="s">
        <v>94</v>
      </c>
      <c r="O412" t="s">
        <v>44</v>
      </c>
      <c r="P412" s="1">
        <v>45633</v>
      </c>
      <c r="Q412">
        <v>1779</v>
      </c>
      <c r="R412">
        <v>1870</v>
      </c>
      <c r="S412" t="s">
        <v>34</v>
      </c>
      <c r="T412">
        <v>2</v>
      </c>
      <c r="U412" t="s">
        <v>58</v>
      </c>
      <c r="V412" t="s">
        <v>59</v>
      </c>
      <c r="W412" t="s">
        <v>34</v>
      </c>
    </row>
    <row r="413" spans="1:23" x14ac:dyDescent="0.3">
      <c r="A413" t="s">
        <v>949</v>
      </c>
      <c r="B413" t="s">
        <v>229</v>
      </c>
      <c r="C413" t="s">
        <v>62</v>
      </c>
      <c r="D413" t="s">
        <v>147</v>
      </c>
      <c r="E413" t="s">
        <v>64</v>
      </c>
      <c r="F413" t="s">
        <v>65</v>
      </c>
      <c r="G413" t="s">
        <v>41</v>
      </c>
      <c r="H413" t="s">
        <v>31</v>
      </c>
      <c r="I413" t="str">
        <f>LEFT(H413,FIND(" (",H413)-1)</f>
        <v>Staff/Principal</v>
      </c>
      <c r="J413" t="str">
        <f>MID(H413,FIND("(",H413)+1,FIND(")",H413)-FIND("(",H413)-1)</f>
        <v>8+ yrs</v>
      </c>
      <c r="L413">
        <v>159512</v>
      </c>
      <c r="M413" t="s">
        <v>950</v>
      </c>
      <c r="N413" t="s">
        <v>94</v>
      </c>
      <c r="O413" t="s">
        <v>44</v>
      </c>
      <c r="P413" s="1">
        <v>45520</v>
      </c>
      <c r="Q413">
        <v>2343</v>
      </c>
      <c r="R413">
        <v>2616</v>
      </c>
      <c r="S413" t="s">
        <v>23</v>
      </c>
      <c r="T413">
        <v>6</v>
      </c>
      <c r="U413" t="s">
        <v>58</v>
      </c>
      <c r="V413" t="s">
        <v>24</v>
      </c>
      <c r="W413" t="s">
        <v>23</v>
      </c>
    </row>
    <row r="414" spans="1:23" x14ac:dyDescent="0.3">
      <c r="A414" t="s">
        <v>951</v>
      </c>
      <c r="B414" t="s">
        <v>329</v>
      </c>
      <c r="C414" t="s">
        <v>132</v>
      </c>
      <c r="D414" t="s">
        <v>125</v>
      </c>
      <c r="E414" t="s">
        <v>64</v>
      </c>
      <c r="F414" t="s">
        <v>65</v>
      </c>
      <c r="G414" t="s">
        <v>41</v>
      </c>
      <c r="H414" t="s">
        <v>56</v>
      </c>
      <c r="I414" t="str">
        <f>LEFT(H414,FIND(" (",H414)-1)</f>
        <v>Mid</v>
      </c>
      <c r="J414" t="str">
        <f>MID(H414,FIND("(",H414)+1,FIND(")",H414)-FIND("(",H414)-1)</f>
        <v>2-5 yrs</v>
      </c>
      <c r="L414">
        <v>79624</v>
      </c>
      <c r="M414" t="s">
        <v>952</v>
      </c>
      <c r="N414" t="s">
        <v>89</v>
      </c>
      <c r="O414" t="s">
        <v>79</v>
      </c>
      <c r="P414" s="1">
        <v>45540</v>
      </c>
      <c r="Q414">
        <v>1812</v>
      </c>
      <c r="R414">
        <v>3785</v>
      </c>
      <c r="S414" t="s">
        <v>99</v>
      </c>
      <c r="T414">
        <v>2</v>
      </c>
      <c r="U414" t="s">
        <v>83</v>
      </c>
      <c r="V414" t="s">
        <v>59</v>
      </c>
      <c r="W414" t="s">
        <v>34</v>
      </c>
    </row>
    <row r="415" spans="1:23" x14ac:dyDescent="0.3">
      <c r="A415" t="s">
        <v>953</v>
      </c>
      <c r="B415" t="s">
        <v>225</v>
      </c>
      <c r="C415" t="s">
        <v>14</v>
      </c>
      <c r="D415" t="s">
        <v>15</v>
      </c>
      <c r="E415" t="s">
        <v>5135</v>
      </c>
      <c r="F415" t="s">
        <v>5133</v>
      </c>
      <c r="G415" t="s">
        <v>41</v>
      </c>
      <c r="H415" t="s">
        <v>66</v>
      </c>
      <c r="I415" t="str">
        <f>LEFT(H415,FIND(" (",H415)-1)</f>
        <v>Senior</v>
      </c>
      <c r="J415" t="str">
        <f>MID(H415,FIND("(",H415)+1,FIND(")",H415)-FIND("(",H415)-1)</f>
        <v>5-8 yrs</v>
      </c>
      <c r="L415">
        <v>184497</v>
      </c>
      <c r="M415" t="s">
        <v>954</v>
      </c>
      <c r="N415" t="s">
        <v>21</v>
      </c>
      <c r="O415" t="s">
        <v>79</v>
      </c>
      <c r="P415" s="1">
        <v>45352</v>
      </c>
      <c r="Q415">
        <v>1549</v>
      </c>
      <c r="R415">
        <v>3651</v>
      </c>
      <c r="S415" t="s">
        <v>23</v>
      </c>
      <c r="T415">
        <v>4</v>
      </c>
      <c r="U415" t="s">
        <v>52</v>
      </c>
      <c r="V415" t="s">
        <v>59</v>
      </c>
      <c r="W415" t="s">
        <v>23</v>
      </c>
    </row>
    <row r="416" spans="1:23" x14ac:dyDescent="0.3">
      <c r="A416" t="s">
        <v>955</v>
      </c>
      <c r="B416" t="s">
        <v>13</v>
      </c>
      <c r="C416" t="s">
        <v>209</v>
      </c>
      <c r="D416" t="s">
        <v>125</v>
      </c>
      <c r="E416" t="s">
        <v>5136</v>
      </c>
      <c r="F416" t="s">
        <v>5133</v>
      </c>
      <c r="G416" t="s">
        <v>55</v>
      </c>
      <c r="H416" t="s">
        <v>66</v>
      </c>
      <c r="I416" t="str">
        <f>LEFT(H416,FIND(" (",H416)-1)</f>
        <v>Senior</v>
      </c>
      <c r="J416" t="str">
        <f>MID(H416,FIND("(",H416)+1,FIND(")",H416)-FIND("(",H416)-1)</f>
        <v>5-8 yrs</v>
      </c>
      <c r="L416">
        <v>158972</v>
      </c>
      <c r="M416" t="s">
        <v>956</v>
      </c>
      <c r="N416" t="s">
        <v>21</v>
      </c>
      <c r="O416" t="s">
        <v>51</v>
      </c>
      <c r="P416" s="1">
        <v>45505</v>
      </c>
      <c r="Q416">
        <v>2187</v>
      </c>
      <c r="R416">
        <v>3129</v>
      </c>
      <c r="S416" t="s">
        <v>23</v>
      </c>
      <c r="T416">
        <v>4</v>
      </c>
      <c r="U416" t="s">
        <v>58</v>
      </c>
      <c r="V416" t="s">
        <v>24</v>
      </c>
      <c r="W416" t="s">
        <v>23</v>
      </c>
    </row>
    <row r="417" spans="1:23" x14ac:dyDescent="0.3">
      <c r="A417" t="s">
        <v>957</v>
      </c>
      <c r="B417" t="s">
        <v>70</v>
      </c>
      <c r="C417" t="s">
        <v>97</v>
      </c>
      <c r="D417" t="s">
        <v>49</v>
      </c>
      <c r="E417" t="s">
        <v>5134</v>
      </c>
      <c r="F417" t="s">
        <v>5133</v>
      </c>
      <c r="G417" t="s">
        <v>18</v>
      </c>
      <c r="H417" t="s">
        <v>31</v>
      </c>
      <c r="I417" t="str">
        <f>LEFT(H417,FIND(" (",H417)-1)</f>
        <v>Staff/Principal</v>
      </c>
      <c r="J417" t="str">
        <f>MID(H417,FIND("(",H417)+1,FIND(")",H417)-FIND("(",H417)-1)</f>
        <v>8+ yrs</v>
      </c>
      <c r="L417">
        <v>173054</v>
      </c>
      <c r="M417" t="s">
        <v>958</v>
      </c>
      <c r="N417" t="s">
        <v>33</v>
      </c>
      <c r="O417" t="s">
        <v>44</v>
      </c>
      <c r="P417" s="1">
        <v>45494</v>
      </c>
      <c r="Q417">
        <v>401</v>
      </c>
      <c r="R417">
        <v>2352</v>
      </c>
      <c r="S417" t="s">
        <v>23</v>
      </c>
      <c r="T417">
        <v>6</v>
      </c>
      <c r="U417" t="s">
        <v>45</v>
      </c>
      <c r="V417" t="s">
        <v>24</v>
      </c>
      <c r="W417" t="s">
        <v>34</v>
      </c>
    </row>
    <row r="418" spans="1:23" x14ac:dyDescent="0.3">
      <c r="A418" t="s">
        <v>959</v>
      </c>
      <c r="B418" t="s">
        <v>26</v>
      </c>
      <c r="C418" t="s">
        <v>101</v>
      </c>
      <c r="D418" t="s">
        <v>75</v>
      </c>
      <c r="E418" t="s">
        <v>87</v>
      </c>
      <c r="F418" t="s">
        <v>87</v>
      </c>
      <c r="G418" t="s">
        <v>55</v>
      </c>
      <c r="H418" t="s">
        <v>19</v>
      </c>
      <c r="I418" t="str">
        <f>LEFT(H418,FIND(" (",H418)-1)</f>
        <v>Entry</v>
      </c>
      <c r="J418" t="str">
        <f>MID(H418,FIND("(",H418)+1,FIND(")",H418)-FIND("(",H418)-1)</f>
        <v>0-2 yrs</v>
      </c>
      <c r="L418">
        <v>89544</v>
      </c>
      <c r="M418" t="s">
        <v>960</v>
      </c>
      <c r="N418" t="s">
        <v>33</v>
      </c>
      <c r="O418" t="s">
        <v>22</v>
      </c>
      <c r="P418" s="1">
        <v>45569</v>
      </c>
      <c r="Q418">
        <v>377</v>
      </c>
      <c r="R418">
        <v>1136</v>
      </c>
      <c r="S418" t="s">
        <v>23</v>
      </c>
      <c r="T418">
        <v>0</v>
      </c>
      <c r="U418" t="s">
        <v>52</v>
      </c>
      <c r="V418" t="s">
        <v>59</v>
      </c>
      <c r="W418" t="s">
        <v>23</v>
      </c>
    </row>
    <row r="419" spans="1:23" x14ac:dyDescent="0.3">
      <c r="A419" t="s">
        <v>961</v>
      </c>
      <c r="B419" t="s">
        <v>143</v>
      </c>
      <c r="C419" t="s">
        <v>27</v>
      </c>
      <c r="D419" t="s">
        <v>147</v>
      </c>
      <c r="E419" t="s">
        <v>5136</v>
      </c>
      <c r="F419" t="s">
        <v>5133</v>
      </c>
      <c r="G419" t="s">
        <v>55</v>
      </c>
      <c r="H419" t="s">
        <v>31</v>
      </c>
      <c r="I419" t="str">
        <f>LEFT(H419,FIND(" (",H419)-1)</f>
        <v>Staff/Principal</v>
      </c>
      <c r="J419" t="str">
        <f>MID(H419,FIND("(",H419)+1,FIND(")",H419)-FIND("(",H419)-1)</f>
        <v>8+ yrs</v>
      </c>
      <c r="L419">
        <v>204164</v>
      </c>
      <c r="M419" t="s">
        <v>962</v>
      </c>
      <c r="N419" t="s">
        <v>33</v>
      </c>
      <c r="O419" t="s">
        <v>22</v>
      </c>
      <c r="P419" s="1">
        <v>45602</v>
      </c>
      <c r="Q419">
        <v>398</v>
      </c>
      <c r="R419">
        <v>3531</v>
      </c>
      <c r="S419" t="s">
        <v>23</v>
      </c>
      <c r="T419">
        <v>6</v>
      </c>
      <c r="U419" t="s">
        <v>58</v>
      </c>
      <c r="V419" t="s">
        <v>24</v>
      </c>
      <c r="W419" t="s">
        <v>34</v>
      </c>
    </row>
    <row r="420" spans="1:23" x14ac:dyDescent="0.3">
      <c r="A420" t="s">
        <v>963</v>
      </c>
      <c r="B420" t="s">
        <v>13</v>
      </c>
      <c r="C420" t="s">
        <v>132</v>
      </c>
      <c r="D420" t="s">
        <v>111</v>
      </c>
      <c r="E420" t="s">
        <v>230</v>
      </c>
      <c r="F420" t="s">
        <v>231</v>
      </c>
      <c r="G420" t="s">
        <v>18</v>
      </c>
      <c r="H420" t="s">
        <v>56</v>
      </c>
      <c r="I420" t="str">
        <f>LEFT(H420,FIND(" (",H420)-1)</f>
        <v>Mid</v>
      </c>
      <c r="J420" t="str">
        <f>MID(H420,FIND("(",H420)+1,FIND(")",H420)-FIND("(",H420)-1)</f>
        <v>2-5 yrs</v>
      </c>
      <c r="L420">
        <v>133350</v>
      </c>
      <c r="M420" t="s">
        <v>964</v>
      </c>
      <c r="N420" t="s">
        <v>33</v>
      </c>
      <c r="O420" t="s">
        <v>79</v>
      </c>
      <c r="P420" s="1">
        <v>45422</v>
      </c>
      <c r="Q420">
        <v>1043</v>
      </c>
      <c r="R420">
        <v>121</v>
      </c>
      <c r="S420" t="s">
        <v>23</v>
      </c>
      <c r="T420">
        <v>2</v>
      </c>
      <c r="U420" t="s">
        <v>45</v>
      </c>
      <c r="V420" t="s">
        <v>24</v>
      </c>
      <c r="W420" t="s">
        <v>34</v>
      </c>
    </row>
    <row r="421" spans="1:23" x14ac:dyDescent="0.3">
      <c r="A421" t="s">
        <v>965</v>
      </c>
      <c r="B421" t="s">
        <v>329</v>
      </c>
      <c r="C421" t="s">
        <v>37</v>
      </c>
      <c r="D421" t="s">
        <v>38</v>
      </c>
      <c r="E421" t="s">
        <v>16</v>
      </c>
      <c r="F421" t="s">
        <v>17</v>
      </c>
      <c r="G421" t="s">
        <v>18</v>
      </c>
      <c r="H421" t="s">
        <v>66</v>
      </c>
      <c r="I421" t="str">
        <f>LEFT(H421,FIND(" (",H421)-1)</f>
        <v>Senior</v>
      </c>
      <c r="J421" t="str">
        <f>MID(H421,FIND("(",H421)+1,FIND(")",H421)-FIND("(",H421)-1)</f>
        <v>5-8 yrs</v>
      </c>
      <c r="L421">
        <v>151822</v>
      </c>
      <c r="M421" t="s">
        <v>966</v>
      </c>
      <c r="N421" t="s">
        <v>33</v>
      </c>
      <c r="O421" t="s">
        <v>51</v>
      </c>
      <c r="P421" s="1">
        <v>45715</v>
      </c>
      <c r="Q421">
        <v>2366</v>
      </c>
      <c r="R421">
        <v>1587</v>
      </c>
      <c r="S421" t="s">
        <v>99</v>
      </c>
      <c r="T421">
        <v>4</v>
      </c>
      <c r="U421" t="s">
        <v>45</v>
      </c>
      <c r="V421" t="s">
        <v>24</v>
      </c>
      <c r="W421" t="s">
        <v>23</v>
      </c>
    </row>
    <row r="422" spans="1:23" x14ac:dyDescent="0.3">
      <c r="A422" t="s">
        <v>967</v>
      </c>
      <c r="B422" t="s">
        <v>329</v>
      </c>
      <c r="C422" t="s">
        <v>48</v>
      </c>
      <c r="D422" t="s">
        <v>49</v>
      </c>
      <c r="E422" t="s">
        <v>159</v>
      </c>
      <c r="F422" t="s">
        <v>160</v>
      </c>
      <c r="G422" t="s">
        <v>18</v>
      </c>
      <c r="H422" t="s">
        <v>19</v>
      </c>
      <c r="I422" t="str">
        <f>LEFT(H422,FIND(" (",H422)-1)</f>
        <v>Entry</v>
      </c>
      <c r="J422" t="str">
        <f>MID(H422,FIND("(",H422)+1,FIND(")",H422)-FIND("(",H422)-1)</f>
        <v>0-2 yrs</v>
      </c>
      <c r="L422">
        <v>95965</v>
      </c>
      <c r="M422" t="s">
        <v>968</v>
      </c>
      <c r="N422" t="s">
        <v>33</v>
      </c>
      <c r="O422" t="s">
        <v>22</v>
      </c>
      <c r="P422" s="1">
        <v>45616</v>
      </c>
      <c r="Q422">
        <v>814</v>
      </c>
      <c r="R422">
        <v>1257</v>
      </c>
      <c r="S422" t="s">
        <v>23</v>
      </c>
      <c r="T422">
        <v>0</v>
      </c>
      <c r="U422" t="s">
        <v>58</v>
      </c>
      <c r="V422" t="s">
        <v>24</v>
      </c>
      <c r="W422" t="s">
        <v>23</v>
      </c>
    </row>
    <row r="423" spans="1:23" x14ac:dyDescent="0.3">
      <c r="A423" t="s">
        <v>969</v>
      </c>
      <c r="B423" t="s">
        <v>106</v>
      </c>
      <c r="C423" t="s">
        <v>116</v>
      </c>
      <c r="D423" t="s">
        <v>111</v>
      </c>
      <c r="E423" t="s">
        <v>5141</v>
      </c>
      <c r="F423" t="s">
        <v>5133</v>
      </c>
      <c r="G423" t="s">
        <v>41</v>
      </c>
      <c r="H423" t="s">
        <v>56</v>
      </c>
      <c r="I423" t="str">
        <f>LEFT(H423,FIND(" (",H423)-1)</f>
        <v>Mid</v>
      </c>
      <c r="J423" t="str">
        <f>MID(H423,FIND("(",H423)+1,FIND(")",H423)-FIND("(",H423)-1)</f>
        <v>2-5 yrs</v>
      </c>
      <c r="L423">
        <v>144755</v>
      </c>
      <c r="M423" t="s">
        <v>970</v>
      </c>
      <c r="N423" t="s">
        <v>89</v>
      </c>
      <c r="O423" t="s">
        <v>22</v>
      </c>
      <c r="P423" s="1">
        <v>45378</v>
      </c>
      <c r="Q423">
        <v>985</v>
      </c>
      <c r="R423">
        <v>12</v>
      </c>
      <c r="S423" t="s">
        <v>34</v>
      </c>
      <c r="T423">
        <v>2</v>
      </c>
      <c r="U423" t="s">
        <v>58</v>
      </c>
      <c r="V423" t="s">
        <v>24</v>
      </c>
      <c r="W423" t="s">
        <v>34</v>
      </c>
    </row>
    <row r="424" spans="1:23" x14ac:dyDescent="0.3">
      <c r="A424" t="s">
        <v>971</v>
      </c>
      <c r="B424" t="s">
        <v>137</v>
      </c>
      <c r="C424" t="s">
        <v>54</v>
      </c>
      <c r="D424" t="s">
        <v>49</v>
      </c>
      <c r="E424" t="s">
        <v>87</v>
      </c>
      <c r="F424" t="s">
        <v>87</v>
      </c>
      <c r="G424" t="s">
        <v>41</v>
      </c>
      <c r="H424" t="s">
        <v>66</v>
      </c>
      <c r="I424" t="str">
        <f>LEFT(H424,FIND(" (",H424)-1)</f>
        <v>Senior</v>
      </c>
      <c r="J424" t="str">
        <f>MID(H424,FIND("(",H424)+1,FIND(")",H424)-FIND("(",H424)-1)</f>
        <v>5-8 yrs</v>
      </c>
      <c r="L424">
        <v>143277</v>
      </c>
      <c r="M424" t="s">
        <v>972</v>
      </c>
      <c r="N424" t="s">
        <v>149</v>
      </c>
      <c r="O424" t="s">
        <v>44</v>
      </c>
      <c r="P424" s="1">
        <v>45553</v>
      </c>
      <c r="Q424">
        <v>1444</v>
      </c>
      <c r="R424">
        <v>3607</v>
      </c>
      <c r="S424" t="s">
        <v>23</v>
      </c>
      <c r="T424">
        <v>4</v>
      </c>
      <c r="U424" t="s">
        <v>83</v>
      </c>
      <c r="V424" t="s">
        <v>24</v>
      </c>
      <c r="W424" t="s">
        <v>23</v>
      </c>
    </row>
    <row r="425" spans="1:23" x14ac:dyDescent="0.3">
      <c r="A425" t="s">
        <v>973</v>
      </c>
      <c r="B425" t="s">
        <v>236</v>
      </c>
      <c r="C425" t="s">
        <v>209</v>
      </c>
      <c r="D425" t="s">
        <v>15</v>
      </c>
      <c r="E425" t="s">
        <v>39</v>
      </c>
      <c r="F425" t="s">
        <v>40</v>
      </c>
      <c r="G425" t="s">
        <v>18</v>
      </c>
      <c r="H425" t="s">
        <v>66</v>
      </c>
      <c r="I425" t="str">
        <f>LEFT(H425,FIND(" (",H425)-1)</f>
        <v>Senior</v>
      </c>
      <c r="J425" t="str">
        <f>MID(H425,FIND("(",H425)+1,FIND(")",H425)-FIND("(",H425)-1)</f>
        <v>5-8 yrs</v>
      </c>
      <c r="L425">
        <v>176232</v>
      </c>
      <c r="M425" t="s">
        <v>974</v>
      </c>
      <c r="N425" t="s">
        <v>33</v>
      </c>
      <c r="O425" t="s">
        <v>51</v>
      </c>
      <c r="P425" s="1">
        <v>45631</v>
      </c>
      <c r="Q425">
        <v>317</v>
      </c>
      <c r="R425">
        <v>3702</v>
      </c>
      <c r="S425" t="s">
        <v>34</v>
      </c>
      <c r="T425">
        <v>4</v>
      </c>
      <c r="U425" t="s">
        <v>52</v>
      </c>
      <c r="V425" t="s">
        <v>24</v>
      </c>
      <c r="W425" t="s">
        <v>23</v>
      </c>
    </row>
    <row r="426" spans="1:23" x14ac:dyDescent="0.3">
      <c r="A426" t="s">
        <v>975</v>
      </c>
      <c r="B426" t="s">
        <v>96</v>
      </c>
      <c r="C426" t="s">
        <v>48</v>
      </c>
      <c r="D426" t="s">
        <v>63</v>
      </c>
      <c r="E426" t="s">
        <v>133</v>
      </c>
      <c r="F426" t="s">
        <v>134</v>
      </c>
      <c r="G426" t="s">
        <v>18</v>
      </c>
      <c r="H426" t="s">
        <v>31</v>
      </c>
      <c r="I426" t="str">
        <f>LEFT(H426,FIND(" (",H426)-1)</f>
        <v>Staff/Principal</v>
      </c>
      <c r="J426" t="str">
        <f>MID(H426,FIND("(",H426)+1,FIND(")",H426)-FIND("(",H426)-1)</f>
        <v>8+ yrs</v>
      </c>
      <c r="L426">
        <v>223233</v>
      </c>
      <c r="M426" t="s">
        <v>976</v>
      </c>
      <c r="N426" t="s">
        <v>33</v>
      </c>
      <c r="O426" t="s">
        <v>51</v>
      </c>
      <c r="P426" s="1">
        <v>45740</v>
      </c>
      <c r="Q426">
        <v>1745</v>
      </c>
      <c r="R426">
        <v>3991</v>
      </c>
      <c r="S426" t="s">
        <v>23</v>
      </c>
      <c r="T426">
        <v>6</v>
      </c>
      <c r="U426" t="s">
        <v>83</v>
      </c>
      <c r="V426" t="s">
        <v>24</v>
      </c>
      <c r="W426" t="s">
        <v>34</v>
      </c>
    </row>
    <row r="427" spans="1:23" x14ac:dyDescent="0.3">
      <c r="A427" t="s">
        <v>977</v>
      </c>
      <c r="B427" t="s">
        <v>151</v>
      </c>
      <c r="C427" t="s">
        <v>182</v>
      </c>
      <c r="D427" t="s">
        <v>174</v>
      </c>
      <c r="E427" t="s">
        <v>39</v>
      </c>
      <c r="F427" t="s">
        <v>40</v>
      </c>
      <c r="G427" t="s">
        <v>18</v>
      </c>
      <c r="H427" t="s">
        <v>19</v>
      </c>
      <c r="I427" t="str">
        <f>LEFT(H427,FIND(" (",H427)-1)</f>
        <v>Entry</v>
      </c>
      <c r="J427" t="str">
        <f>MID(H427,FIND("(",H427)+1,FIND(")",H427)-FIND("(",H427)-1)</f>
        <v>0-2 yrs</v>
      </c>
      <c r="L427">
        <v>87244</v>
      </c>
      <c r="M427" t="s">
        <v>978</v>
      </c>
      <c r="N427" t="s">
        <v>33</v>
      </c>
      <c r="O427" t="s">
        <v>22</v>
      </c>
      <c r="P427" s="1">
        <v>45390</v>
      </c>
      <c r="Q427">
        <v>1541</v>
      </c>
      <c r="R427">
        <v>3321</v>
      </c>
      <c r="S427" t="s">
        <v>23</v>
      </c>
      <c r="T427">
        <v>0</v>
      </c>
      <c r="U427" t="s">
        <v>52</v>
      </c>
      <c r="V427" t="s">
        <v>46</v>
      </c>
      <c r="W427" t="s">
        <v>23</v>
      </c>
    </row>
    <row r="428" spans="1:23" x14ac:dyDescent="0.3">
      <c r="A428" t="s">
        <v>979</v>
      </c>
      <c r="B428" t="s">
        <v>229</v>
      </c>
      <c r="C428" t="s">
        <v>167</v>
      </c>
      <c r="D428" t="s">
        <v>75</v>
      </c>
      <c r="E428" t="s">
        <v>159</v>
      </c>
      <c r="F428" t="s">
        <v>160</v>
      </c>
      <c r="G428" t="s">
        <v>55</v>
      </c>
      <c r="H428" t="s">
        <v>66</v>
      </c>
      <c r="I428" t="str">
        <f>LEFT(H428,FIND(" (",H428)-1)</f>
        <v>Senior</v>
      </c>
      <c r="J428" t="str">
        <f>MID(H428,FIND("(",H428)+1,FIND(")",H428)-FIND("(",H428)-1)</f>
        <v>5-8 yrs</v>
      </c>
      <c r="L428">
        <v>123947</v>
      </c>
      <c r="M428" t="s">
        <v>980</v>
      </c>
      <c r="N428" t="s">
        <v>89</v>
      </c>
      <c r="O428" t="s">
        <v>22</v>
      </c>
      <c r="P428" s="1">
        <v>45653</v>
      </c>
      <c r="Q428">
        <v>1018</v>
      </c>
      <c r="R428">
        <v>277</v>
      </c>
      <c r="S428" t="s">
        <v>23</v>
      </c>
      <c r="T428">
        <v>4</v>
      </c>
      <c r="U428" t="s">
        <v>5123</v>
      </c>
      <c r="V428" t="s">
        <v>24</v>
      </c>
      <c r="W428" t="s">
        <v>23</v>
      </c>
    </row>
    <row r="429" spans="1:23" x14ac:dyDescent="0.3">
      <c r="A429" t="s">
        <v>981</v>
      </c>
      <c r="B429" t="s">
        <v>91</v>
      </c>
      <c r="C429" t="s">
        <v>128</v>
      </c>
      <c r="D429" t="s">
        <v>174</v>
      </c>
      <c r="E429" t="s">
        <v>87</v>
      </c>
      <c r="F429" t="s">
        <v>87</v>
      </c>
      <c r="G429" t="s">
        <v>55</v>
      </c>
      <c r="H429" t="s">
        <v>66</v>
      </c>
      <c r="I429" t="str">
        <f>LEFT(H429,FIND(" (",H429)-1)</f>
        <v>Senior</v>
      </c>
      <c r="J429" t="str">
        <f>MID(H429,FIND("(",H429)+1,FIND(")",H429)-FIND("(",H429)-1)</f>
        <v>5-8 yrs</v>
      </c>
      <c r="L429">
        <v>168523</v>
      </c>
      <c r="M429" t="s">
        <v>982</v>
      </c>
      <c r="N429" t="s">
        <v>186</v>
      </c>
      <c r="O429" t="s">
        <v>51</v>
      </c>
      <c r="P429" s="1">
        <v>45303</v>
      </c>
      <c r="Q429">
        <v>1966</v>
      </c>
      <c r="R429">
        <v>1132</v>
      </c>
      <c r="S429" t="s">
        <v>34</v>
      </c>
      <c r="T429">
        <v>4</v>
      </c>
      <c r="U429" t="s">
        <v>83</v>
      </c>
      <c r="V429" t="s">
        <v>24</v>
      </c>
      <c r="W429" t="s">
        <v>34</v>
      </c>
    </row>
    <row r="430" spans="1:23" x14ac:dyDescent="0.3">
      <c r="A430" t="s">
        <v>983</v>
      </c>
      <c r="B430" t="s">
        <v>229</v>
      </c>
      <c r="C430" t="s">
        <v>158</v>
      </c>
      <c r="D430" t="s">
        <v>15</v>
      </c>
      <c r="E430" t="s">
        <v>5135</v>
      </c>
      <c r="F430" t="s">
        <v>5133</v>
      </c>
      <c r="G430" t="s">
        <v>18</v>
      </c>
      <c r="H430" t="s">
        <v>56</v>
      </c>
      <c r="I430" t="str">
        <f>LEFT(H430,FIND(" (",H430)-1)</f>
        <v>Mid</v>
      </c>
      <c r="J430" t="str">
        <f>MID(H430,FIND("(",H430)+1,FIND(")",H430)-FIND("(",H430)-1)</f>
        <v>2-5 yrs</v>
      </c>
      <c r="L430">
        <v>130956</v>
      </c>
      <c r="M430" t="s">
        <v>984</v>
      </c>
      <c r="N430" t="s">
        <v>33</v>
      </c>
      <c r="O430" t="s">
        <v>79</v>
      </c>
      <c r="P430" s="1">
        <v>45507</v>
      </c>
      <c r="Q430">
        <v>1224</v>
      </c>
      <c r="R430">
        <v>2834</v>
      </c>
      <c r="S430" t="s">
        <v>23</v>
      </c>
      <c r="T430">
        <v>2</v>
      </c>
      <c r="U430" t="s">
        <v>5123</v>
      </c>
      <c r="V430" t="s">
        <v>59</v>
      </c>
      <c r="W430" t="s">
        <v>34</v>
      </c>
    </row>
    <row r="431" spans="1:23" x14ac:dyDescent="0.3">
      <c r="A431" t="s">
        <v>985</v>
      </c>
      <c r="B431" t="s">
        <v>236</v>
      </c>
      <c r="C431" t="s">
        <v>116</v>
      </c>
      <c r="D431" t="s">
        <v>28</v>
      </c>
      <c r="E431" t="s">
        <v>5136</v>
      </c>
      <c r="F431" t="s">
        <v>5133</v>
      </c>
      <c r="G431" t="s">
        <v>41</v>
      </c>
      <c r="H431" t="s">
        <v>66</v>
      </c>
      <c r="I431" t="str">
        <f>LEFT(H431,FIND(" (",H431)-1)</f>
        <v>Senior</v>
      </c>
      <c r="J431" t="str">
        <f>MID(H431,FIND("(",H431)+1,FIND(")",H431)-FIND("(",H431)-1)</f>
        <v>5-8 yrs</v>
      </c>
      <c r="L431">
        <v>102514</v>
      </c>
      <c r="M431" t="s">
        <v>986</v>
      </c>
      <c r="N431" t="s">
        <v>43</v>
      </c>
      <c r="O431" t="s">
        <v>22</v>
      </c>
      <c r="P431" s="1">
        <v>45341</v>
      </c>
      <c r="Q431">
        <v>2239</v>
      </c>
      <c r="R431">
        <v>986</v>
      </c>
      <c r="S431" t="s">
        <v>99</v>
      </c>
      <c r="T431">
        <v>4</v>
      </c>
      <c r="U431" t="s">
        <v>5123</v>
      </c>
      <c r="V431" t="s">
        <v>59</v>
      </c>
      <c r="W431" t="s">
        <v>23</v>
      </c>
    </row>
    <row r="432" spans="1:23" x14ac:dyDescent="0.3">
      <c r="A432" t="s">
        <v>987</v>
      </c>
      <c r="B432" t="s">
        <v>91</v>
      </c>
      <c r="C432" t="s">
        <v>239</v>
      </c>
      <c r="D432" t="s">
        <v>15</v>
      </c>
      <c r="E432" t="s">
        <v>216</v>
      </c>
      <c r="F432" t="s">
        <v>217</v>
      </c>
      <c r="G432" t="s">
        <v>41</v>
      </c>
      <c r="H432" t="s">
        <v>19</v>
      </c>
      <c r="I432" t="str">
        <f>LEFT(H432,FIND(" (",H432)-1)</f>
        <v>Entry</v>
      </c>
      <c r="J432" t="str">
        <f>MID(H432,FIND("(",H432)+1,FIND(")",H432)-FIND("(",H432)-1)</f>
        <v>0-2 yrs</v>
      </c>
      <c r="L432">
        <v>55090</v>
      </c>
      <c r="M432" t="s">
        <v>988</v>
      </c>
      <c r="N432" t="s">
        <v>186</v>
      </c>
      <c r="O432" t="s">
        <v>51</v>
      </c>
      <c r="P432" s="1">
        <v>45683</v>
      </c>
      <c r="Q432">
        <v>566</v>
      </c>
      <c r="R432">
        <v>3215</v>
      </c>
      <c r="S432" t="s">
        <v>34</v>
      </c>
      <c r="T432">
        <v>0</v>
      </c>
      <c r="U432" t="s">
        <v>58</v>
      </c>
      <c r="V432" t="s">
        <v>24</v>
      </c>
      <c r="W432" t="s">
        <v>23</v>
      </c>
    </row>
    <row r="433" spans="1:23" x14ac:dyDescent="0.3">
      <c r="A433" t="s">
        <v>989</v>
      </c>
      <c r="B433" t="s">
        <v>329</v>
      </c>
      <c r="C433" t="s">
        <v>71</v>
      </c>
      <c r="D433" t="s">
        <v>147</v>
      </c>
      <c r="E433" t="s">
        <v>5137</v>
      </c>
      <c r="F433" t="s">
        <v>5138</v>
      </c>
      <c r="G433" t="s">
        <v>41</v>
      </c>
      <c r="H433" t="s">
        <v>19</v>
      </c>
      <c r="I433" t="str">
        <f>LEFT(H433,FIND(" (",H433)-1)</f>
        <v>Entry</v>
      </c>
      <c r="J433" t="str">
        <f>MID(H433,FIND("(",H433)+1,FIND(")",H433)-FIND("(",H433)-1)</f>
        <v>0-2 yrs</v>
      </c>
      <c r="L433">
        <v>50000</v>
      </c>
      <c r="M433" t="s">
        <v>990</v>
      </c>
      <c r="N433" t="s">
        <v>21</v>
      </c>
      <c r="O433" t="s">
        <v>22</v>
      </c>
      <c r="P433" s="1">
        <v>45578</v>
      </c>
      <c r="Q433">
        <v>343</v>
      </c>
      <c r="R433">
        <v>1867</v>
      </c>
      <c r="S433" t="s">
        <v>23</v>
      </c>
      <c r="T433">
        <v>0</v>
      </c>
      <c r="U433" t="s">
        <v>58</v>
      </c>
      <c r="V433" t="s">
        <v>59</v>
      </c>
      <c r="W433" t="s">
        <v>23</v>
      </c>
    </row>
    <row r="434" spans="1:23" x14ac:dyDescent="0.3">
      <c r="A434" t="s">
        <v>991</v>
      </c>
      <c r="B434" t="s">
        <v>236</v>
      </c>
      <c r="C434" t="s">
        <v>86</v>
      </c>
      <c r="D434" t="s">
        <v>111</v>
      </c>
      <c r="E434" t="s">
        <v>39</v>
      </c>
      <c r="F434" t="s">
        <v>40</v>
      </c>
      <c r="G434" t="s">
        <v>41</v>
      </c>
      <c r="H434" t="s">
        <v>19</v>
      </c>
      <c r="I434" t="str">
        <f>LEFT(H434,FIND(" (",H434)-1)</f>
        <v>Entry</v>
      </c>
      <c r="J434" t="str">
        <f>MID(H434,FIND("(",H434)+1,FIND(")",H434)-FIND("(",H434)-1)</f>
        <v>0-2 yrs</v>
      </c>
      <c r="L434">
        <v>66605</v>
      </c>
      <c r="M434" t="s">
        <v>992</v>
      </c>
      <c r="N434" t="s">
        <v>245</v>
      </c>
      <c r="O434" t="s">
        <v>22</v>
      </c>
      <c r="P434" s="1">
        <v>45592</v>
      </c>
      <c r="Q434">
        <v>2384</v>
      </c>
      <c r="R434">
        <v>1059</v>
      </c>
      <c r="S434" t="s">
        <v>23</v>
      </c>
      <c r="T434">
        <v>0</v>
      </c>
      <c r="U434" t="s">
        <v>58</v>
      </c>
      <c r="V434" t="s">
        <v>59</v>
      </c>
      <c r="W434" t="s">
        <v>34</v>
      </c>
    </row>
    <row r="435" spans="1:23" x14ac:dyDescent="0.3">
      <c r="A435" t="s">
        <v>993</v>
      </c>
      <c r="B435" t="s">
        <v>91</v>
      </c>
      <c r="C435" t="s">
        <v>71</v>
      </c>
      <c r="D435" t="s">
        <v>125</v>
      </c>
      <c r="E435" t="s">
        <v>5135</v>
      </c>
      <c r="F435" t="s">
        <v>5133</v>
      </c>
      <c r="G435" t="s">
        <v>18</v>
      </c>
      <c r="H435" t="s">
        <v>56</v>
      </c>
      <c r="I435" t="str">
        <f>LEFT(H435,FIND(" (",H435)-1)</f>
        <v>Mid</v>
      </c>
      <c r="J435" t="str">
        <f>MID(H435,FIND("(",H435)+1,FIND(")",H435)-FIND("(",H435)-1)</f>
        <v>2-5 yrs</v>
      </c>
      <c r="L435">
        <v>124207</v>
      </c>
      <c r="M435" t="s">
        <v>994</v>
      </c>
      <c r="N435" t="s">
        <v>33</v>
      </c>
      <c r="O435" t="s">
        <v>22</v>
      </c>
      <c r="P435" s="1">
        <v>45451</v>
      </c>
      <c r="Q435">
        <v>1564</v>
      </c>
      <c r="R435">
        <v>2481</v>
      </c>
      <c r="S435" t="s">
        <v>23</v>
      </c>
      <c r="T435">
        <v>2</v>
      </c>
      <c r="U435" t="s">
        <v>45</v>
      </c>
      <c r="V435" t="s">
        <v>46</v>
      </c>
      <c r="W435" t="s">
        <v>23</v>
      </c>
    </row>
    <row r="436" spans="1:23" x14ac:dyDescent="0.3">
      <c r="A436" t="s">
        <v>995</v>
      </c>
      <c r="B436" t="s">
        <v>61</v>
      </c>
      <c r="C436" t="s">
        <v>158</v>
      </c>
      <c r="D436" t="s">
        <v>49</v>
      </c>
      <c r="E436" t="s">
        <v>29</v>
      </c>
      <c r="F436" t="s">
        <v>30</v>
      </c>
      <c r="G436" t="s">
        <v>41</v>
      </c>
      <c r="H436" t="s">
        <v>19</v>
      </c>
      <c r="I436" t="str">
        <f>LEFT(H436,FIND(" (",H436)-1)</f>
        <v>Entry</v>
      </c>
      <c r="J436" t="str">
        <f>MID(H436,FIND("(",H436)+1,FIND(")",H436)-FIND("(",H436)-1)</f>
        <v>0-2 yrs</v>
      </c>
      <c r="L436">
        <v>88929</v>
      </c>
      <c r="M436" t="s">
        <v>996</v>
      </c>
      <c r="N436" t="s">
        <v>33</v>
      </c>
      <c r="O436" t="s">
        <v>51</v>
      </c>
      <c r="P436" s="1">
        <v>45719</v>
      </c>
      <c r="Q436">
        <v>2248</v>
      </c>
      <c r="R436">
        <v>2855</v>
      </c>
      <c r="S436" t="s">
        <v>23</v>
      </c>
      <c r="T436">
        <v>0</v>
      </c>
      <c r="U436" t="s">
        <v>58</v>
      </c>
      <c r="V436" t="s">
        <v>24</v>
      </c>
      <c r="W436" t="s">
        <v>34</v>
      </c>
    </row>
    <row r="437" spans="1:23" x14ac:dyDescent="0.3">
      <c r="A437" t="s">
        <v>997</v>
      </c>
      <c r="B437" t="s">
        <v>143</v>
      </c>
      <c r="C437" t="s">
        <v>192</v>
      </c>
      <c r="D437" t="s">
        <v>38</v>
      </c>
      <c r="E437" t="s">
        <v>216</v>
      </c>
      <c r="F437" t="s">
        <v>217</v>
      </c>
      <c r="G437" t="s">
        <v>18</v>
      </c>
      <c r="H437" t="s">
        <v>66</v>
      </c>
      <c r="I437" t="str">
        <f>LEFT(H437,FIND(" (",H437)-1)</f>
        <v>Senior</v>
      </c>
      <c r="J437" t="str">
        <f>MID(H437,FIND("(",H437)+1,FIND(")",H437)-FIND("(",H437)-1)</f>
        <v>5-8 yrs</v>
      </c>
      <c r="L437">
        <v>152000</v>
      </c>
      <c r="M437" t="s">
        <v>998</v>
      </c>
      <c r="N437" t="s">
        <v>33</v>
      </c>
      <c r="O437" t="s">
        <v>79</v>
      </c>
      <c r="P437" s="1">
        <v>45460</v>
      </c>
      <c r="Q437">
        <v>1213</v>
      </c>
      <c r="R437">
        <v>2849</v>
      </c>
      <c r="S437" t="s">
        <v>34</v>
      </c>
      <c r="T437">
        <v>4</v>
      </c>
      <c r="U437" t="s">
        <v>83</v>
      </c>
      <c r="V437" t="s">
        <v>24</v>
      </c>
      <c r="W437" t="s">
        <v>23</v>
      </c>
    </row>
    <row r="438" spans="1:23" x14ac:dyDescent="0.3">
      <c r="A438" t="s">
        <v>999</v>
      </c>
      <c r="B438" t="s">
        <v>236</v>
      </c>
      <c r="C438" t="s">
        <v>101</v>
      </c>
      <c r="D438" t="s">
        <v>125</v>
      </c>
      <c r="E438" t="s">
        <v>87</v>
      </c>
      <c r="F438" t="s">
        <v>87</v>
      </c>
      <c r="G438" t="s">
        <v>18</v>
      </c>
      <c r="H438" t="s">
        <v>31</v>
      </c>
      <c r="I438" t="str">
        <f>LEFT(H438,FIND(" (",H438)-1)</f>
        <v>Staff/Principal</v>
      </c>
      <c r="J438" t="str">
        <f>MID(H438,FIND("(",H438)+1,FIND(")",H438)-FIND("(",H438)-1)</f>
        <v>8+ yrs</v>
      </c>
      <c r="L438">
        <v>258630</v>
      </c>
      <c r="M438" t="s">
        <v>1000</v>
      </c>
      <c r="N438" t="s">
        <v>94</v>
      </c>
      <c r="O438" t="s">
        <v>22</v>
      </c>
      <c r="P438" s="1">
        <v>45714</v>
      </c>
      <c r="Q438">
        <v>1096</v>
      </c>
      <c r="R438">
        <v>2595</v>
      </c>
      <c r="S438" t="s">
        <v>23</v>
      </c>
      <c r="T438">
        <v>6</v>
      </c>
      <c r="U438" t="s">
        <v>45</v>
      </c>
      <c r="V438" t="s">
        <v>24</v>
      </c>
      <c r="W438" t="s">
        <v>34</v>
      </c>
    </row>
    <row r="439" spans="1:23" x14ac:dyDescent="0.3">
      <c r="A439" t="s">
        <v>1001</v>
      </c>
      <c r="B439" t="s">
        <v>106</v>
      </c>
      <c r="C439" t="s">
        <v>167</v>
      </c>
      <c r="D439" t="s">
        <v>28</v>
      </c>
      <c r="E439" t="s">
        <v>102</v>
      </c>
      <c r="F439" t="s">
        <v>103</v>
      </c>
      <c r="G439" t="s">
        <v>18</v>
      </c>
      <c r="H439" t="s">
        <v>66</v>
      </c>
      <c r="I439" t="str">
        <f>LEFT(H439,FIND(" (",H439)-1)</f>
        <v>Senior</v>
      </c>
      <c r="J439" t="str">
        <f>MID(H439,FIND("(",H439)+1,FIND(")",H439)-FIND("(",H439)-1)</f>
        <v>5-8 yrs</v>
      </c>
      <c r="L439">
        <v>112737</v>
      </c>
      <c r="M439" t="s">
        <v>1002</v>
      </c>
      <c r="N439" t="s">
        <v>186</v>
      </c>
      <c r="O439" t="s">
        <v>79</v>
      </c>
      <c r="P439" s="1">
        <v>45426</v>
      </c>
      <c r="Q439">
        <v>385</v>
      </c>
      <c r="R439">
        <v>3415</v>
      </c>
      <c r="S439" t="s">
        <v>23</v>
      </c>
      <c r="T439">
        <v>4</v>
      </c>
      <c r="U439" t="s">
        <v>58</v>
      </c>
      <c r="V439" t="s">
        <v>24</v>
      </c>
      <c r="W439" t="s">
        <v>23</v>
      </c>
    </row>
    <row r="440" spans="1:23" x14ac:dyDescent="0.3">
      <c r="A440" t="s">
        <v>1003</v>
      </c>
      <c r="B440" t="s">
        <v>236</v>
      </c>
      <c r="C440" t="s">
        <v>86</v>
      </c>
      <c r="D440" t="s">
        <v>49</v>
      </c>
      <c r="E440" t="s">
        <v>230</v>
      </c>
      <c r="F440" t="s">
        <v>231</v>
      </c>
      <c r="G440" t="s">
        <v>41</v>
      </c>
      <c r="H440" t="s">
        <v>56</v>
      </c>
      <c r="I440" t="str">
        <f>LEFT(H440,FIND(" (",H440)-1)</f>
        <v>Mid</v>
      </c>
      <c r="J440" t="str">
        <f>MID(H440,FIND("(",H440)+1,FIND(")",H440)-FIND("(",H440)-1)</f>
        <v>2-5 yrs</v>
      </c>
      <c r="L440">
        <v>76273</v>
      </c>
      <c r="M440" t="s">
        <v>1004</v>
      </c>
      <c r="N440" t="s">
        <v>33</v>
      </c>
      <c r="O440" t="s">
        <v>22</v>
      </c>
      <c r="P440" s="1">
        <v>45481</v>
      </c>
      <c r="Q440">
        <v>835</v>
      </c>
      <c r="R440">
        <v>3265</v>
      </c>
      <c r="S440" t="s">
        <v>34</v>
      </c>
      <c r="T440">
        <v>2</v>
      </c>
      <c r="U440" t="s">
        <v>83</v>
      </c>
      <c r="V440" t="s">
        <v>24</v>
      </c>
      <c r="W440" t="s">
        <v>34</v>
      </c>
    </row>
    <row r="441" spans="1:23" x14ac:dyDescent="0.3">
      <c r="A441" t="s">
        <v>1005</v>
      </c>
      <c r="B441" t="s">
        <v>85</v>
      </c>
      <c r="C441" t="s">
        <v>128</v>
      </c>
      <c r="D441" t="s">
        <v>125</v>
      </c>
      <c r="E441" t="s">
        <v>29</v>
      </c>
      <c r="F441" t="s">
        <v>30</v>
      </c>
      <c r="G441" t="s">
        <v>55</v>
      </c>
      <c r="H441" t="s">
        <v>31</v>
      </c>
      <c r="I441" t="str">
        <f>LEFT(H441,FIND(" (",H441)-1)</f>
        <v>Staff/Principal</v>
      </c>
      <c r="J441" t="str">
        <f>MID(H441,FIND("(",H441)+1,FIND(")",H441)-FIND("(",H441)-1)</f>
        <v>8+ yrs</v>
      </c>
      <c r="L441">
        <v>198000</v>
      </c>
      <c r="M441" t="s">
        <v>1006</v>
      </c>
      <c r="N441" t="s">
        <v>120</v>
      </c>
      <c r="O441" t="s">
        <v>44</v>
      </c>
      <c r="P441" s="1">
        <v>45682</v>
      </c>
      <c r="Q441">
        <v>2302</v>
      </c>
      <c r="R441">
        <v>867</v>
      </c>
      <c r="S441" t="s">
        <v>23</v>
      </c>
      <c r="T441">
        <v>6</v>
      </c>
      <c r="U441" t="s">
        <v>58</v>
      </c>
      <c r="V441" t="s">
        <v>59</v>
      </c>
      <c r="W441" t="s">
        <v>23</v>
      </c>
    </row>
    <row r="442" spans="1:23" x14ac:dyDescent="0.3">
      <c r="A442" t="s">
        <v>1007</v>
      </c>
      <c r="B442" t="s">
        <v>222</v>
      </c>
      <c r="C442" t="s">
        <v>192</v>
      </c>
      <c r="D442" t="s">
        <v>28</v>
      </c>
      <c r="E442" t="s">
        <v>76</v>
      </c>
      <c r="F442" t="s">
        <v>77</v>
      </c>
      <c r="G442" t="s">
        <v>18</v>
      </c>
      <c r="H442" t="s">
        <v>31</v>
      </c>
      <c r="I442" t="str">
        <f>LEFT(H442,FIND(" (",H442)-1)</f>
        <v>Staff/Principal</v>
      </c>
      <c r="J442" t="str">
        <f>MID(H442,FIND("(",H442)+1,FIND(")",H442)-FIND("(",H442)-1)</f>
        <v>8+ yrs</v>
      </c>
      <c r="L442">
        <v>213826</v>
      </c>
      <c r="M442" t="s">
        <v>1008</v>
      </c>
      <c r="N442" t="s">
        <v>89</v>
      </c>
      <c r="O442" t="s">
        <v>51</v>
      </c>
      <c r="P442" s="1">
        <v>45557</v>
      </c>
      <c r="Q442">
        <v>449</v>
      </c>
      <c r="R442">
        <v>858</v>
      </c>
      <c r="S442" t="s">
        <v>34</v>
      </c>
      <c r="T442">
        <v>6</v>
      </c>
      <c r="U442" t="s">
        <v>52</v>
      </c>
      <c r="V442" t="s">
        <v>24</v>
      </c>
      <c r="W442" t="s">
        <v>34</v>
      </c>
    </row>
    <row r="443" spans="1:23" x14ac:dyDescent="0.3">
      <c r="A443" t="s">
        <v>1009</v>
      </c>
      <c r="B443" t="s">
        <v>106</v>
      </c>
      <c r="C443" t="s">
        <v>179</v>
      </c>
      <c r="D443" t="s">
        <v>63</v>
      </c>
      <c r="E443" t="s">
        <v>5139</v>
      </c>
      <c r="F443" t="s">
        <v>5133</v>
      </c>
      <c r="G443" t="s">
        <v>55</v>
      </c>
      <c r="H443" t="s">
        <v>66</v>
      </c>
      <c r="I443" t="str">
        <f>LEFT(H443,FIND(" (",H443)-1)</f>
        <v>Senior</v>
      </c>
      <c r="J443" t="str">
        <f>MID(H443,FIND("(",H443)+1,FIND(")",H443)-FIND("(",H443)-1)</f>
        <v>5-8 yrs</v>
      </c>
      <c r="L443">
        <v>149117</v>
      </c>
      <c r="M443" t="s">
        <v>1010</v>
      </c>
      <c r="N443" t="s">
        <v>149</v>
      </c>
      <c r="O443" t="s">
        <v>51</v>
      </c>
      <c r="P443" s="1">
        <v>45584</v>
      </c>
      <c r="Q443">
        <v>1242</v>
      </c>
      <c r="R443">
        <v>2401</v>
      </c>
      <c r="S443" t="s">
        <v>34</v>
      </c>
      <c r="T443">
        <v>4</v>
      </c>
      <c r="U443" t="s">
        <v>83</v>
      </c>
      <c r="V443" t="s">
        <v>24</v>
      </c>
      <c r="W443" t="s">
        <v>34</v>
      </c>
    </row>
    <row r="444" spans="1:23" x14ac:dyDescent="0.3">
      <c r="A444" t="s">
        <v>1011</v>
      </c>
      <c r="B444" t="s">
        <v>172</v>
      </c>
      <c r="C444" t="s">
        <v>226</v>
      </c>
      <c r="D444" t="s">
        <v>49</v>
      </c>
      <c r="E444" t="s">
        <v>5139</v>
      </c>
      <c r="F444" t="s">
        <v>5133</v>
      </c>
      <c r="G444" t="s">
        <v>18</v>
      </c>
      <c r="H444" t="s">
        <v>31</v>
      </c>
      <c r="I444" t="str">
        <f>LEFT(H444,FIND(" (",H444)-1)</f>
        <v>Staff/Principal</v>
      </c>
      <c r="J444" t="str">
        <f>MID(H444,FIND("(",H444)+1,FIND(")",H444)-FIND("(",H444)-1)</f>
        <v>8+ yrs</v>
      </c>
      <c r="L444">
        <v>125572</v>
      </c>
      <c r="M444" t="s">
        <v>1012</v>
      </c>
      <c r="N444" t="s">
        <v>149</v>
      </c>
      <c r="O444" t="s">
        <v>22</v>
      </c>
      <c r="P444" s="1">
        <v>45546</v>
      </c>
      <c r="Q444">
        <v>2355</v>
      </c>
      <c r="R444">
        <v>2110</v>
      </c>
      <c r="S444" t="s">
        <v>23</v>
      </c>
      <c r="T444">
        <v>6</v>
      </c>
      <c r="U444" t="s">
        <v>5123</v>
      </c>
      <c r="V444" t="s">
        <v>59</v>
      </c>
      <c r="W444" t="s">
        <v>23</v>
      </c>
    </row>
    <row r="445" spans="1:23" x14ac:dyDescent="0.3">
      <c r="A445" t="s">
        <v>1013</v>
      </c>
      <c r="B445" t="s">
        <v>13</v>
      </c>
      <c r="C445" t="s">
        <v>204</v>
      </c>
      <c r="D445" t="s">
        <v>111</v>
      </c>
      <c r="E445" t="s">
        <v>5136</v>
      </c>
      <c r="F445" t="s">
        <v>5133</v>
      </c>
      <c r="G445" t="s">
        <v>18</v>
      </c>
      <c r="H445" t="s">
        <v>19</v>
      </c>
      <c r="I445" t="str">
        <f>LEFT(H445,FIND(" (",H445)-1)</f>
        <v>Entry</v>
      </c>
      <c r="J445" t="str">
        <f>MID(H445,FIND("(",H445)+1,FIND(")",H445)-FIND("(",H445)-1)</f>
        <v>0-2 yrs</v>
      </c>
      <c r="L445">
        <v>68877</v>
      </c>
      <c r="M445" t="s">
        <v>1014</v>
      </c>
      <c r="N445" t="s">
        <v>120</v>
      </c>
      <c r="O445" t="s">
        <v>79</v>
      </c>
      <c r="P445" s="1">
        <v>45571</v>
      </c>
      <c r="Q445">
        <v>1369</v>
      </c>
      <c r="R445">
        <v>44</v>
      </c>
      <c r="S445" t="s">
        <v>23</v>
      </c>
      <c r="T445">
        <v>0</v>
      </c>
      <c r="U445" t="s">
        <v>45</v>
      </c>
      <c r="V445" t="s">
        <v>59</v>
      </c>
      <c r="W445" t="s">
        <v>23</v>
      </c>
    </row>
    <row r="446" spans="1:23" x14ac:dyDescent="0.3">
      <c r="A446" t="s">
        <v>1015</v>
      </c>
      <c r="B446" t="s">
        <v>137</v>
      </c>
      <c r="C446" t="s">
        <v>192</v>
      </c>
      <c r="D446" t="s">
        <v>38</v>
      </c>
      <c r="E446" t="s">
        <v>200</v>
      </c>
      <c r="F446" t="s">
        <v>201</v>
      </c>
      <c r="G446" t="s">
        <v>41</v>
      </c>
      <c r="H446" t="s">
        <v>31</v>
      </c>
      <c r="I446" t="str">
        <f>LEFT(H446,FIND(" (",H446)-1)</f>
        <v>Staff/Principal</v>
      </c>
      <c r="J446" t="str">
        <f>MID(H446,FIND("(",H446)+1,FIND(")",H446)-FIND("(",H446)-1)</f>
        <v>8+ yrs</v>
      </c>
      <c r="L446">
        <v>153039</v>
      </c>
      <c r="M446" t="s">
        <v>1016</v>
      </c>
      <c r="N446" t="s">
        <v>245</v>
      </c>
      <c r="O446" t="s">
        <v>51</v>
      </c>
      <c r="P446" s="1">
        <v>45298</v>
      </c>
      <c r="Q446">
        <v>2219</v>
      </c>
      <c r="R446">
        <v>2969</v>
      </c>
      <c r="S446" t="s">
        <v>23</v>
      </c>
      <c r="T446">
        <v>6</v>
      </c>
      <c r="U446" t="s">
        <v>45</v>
      </c>
      <c r="V446" t="s">
        <v>59</v>
      </c>
      <c r="W446" t="s">
        <v>34</v>
      </c>
    </row>
    <row r="447" spans="1:23" x14ac:dyDescent="0.3">
      <c r="A447" t="s">
        <v>1017</v>
      </c>
      <c r="B447" t="s">
        <v>106</v>
      </c>
      <c r="C447" t="s">
        <v>27</v>
      </c>
      <c r="D447" t="s">
        <v>38</v>
      </c>
      <c r="E447" t="s">
        <v>5139</v>
      </c>
      <c r="F447" t="s">
        <v>5133</v>
      </c>
      <c r="G447" t="s">
        <v>18</v>
      </c>
      <c r="H447" t="s">
        <v>31</v>
      </c>
      <c r="I447" t="str">
        <f>LEFT(H447,FIND(" (",H447)-1)</f>
        <v>Staff/Principal</v>
      </c>
      <c r="J447" t="str">
        <f>MID(H447,FIND("(",H447)+1,FIND(")",H447)-FIND("(",H447)-1)</f>
        <v>8+ yrs</v>
      </c>
      <c r="L447">
        <v>224108</v>
      </c>
      <c r="M447" t="s">
        <v>1018</v>
      </c>
      <c r="N447" t="s">
        <v>43</v>
      </c>
      <c r="O447" t="s">
        <v>51</v>
      </c>
      <c r="P447" s="1">
        <v>45522</v>
      </c>
      <c r="Q447">
        <v>1952</v>
      </c>
      <c r="R447">
        <v>3134</v>
      </c>
      <c r="S447" t="s">
        <v>23</v>
      </c>
      <c r="T447">
        <v>6</v>
      </c>
      <c r="U447" t="s">
        <v>83</v>
      </c>
      <c r="V447" t="s">
        <v>24</v>
      </c>
      <c r="W447" t="s">
        <v>23</v>
      </c>
    </row>
    <row r="448" spans="1:23" x14ac:dyDescent="0.3">
      <c r="A448" t="s">
        <v>1019</v>
      </c>
      <c r="B448" t="s">
        <v>143</v>
      </c>
      <c r="C448" t="s">
        <v>110</v>
      </c>
      <c r="D448" t="s">
        <v>75</v>
      </c>
      <c r="E448" t="s">
        <v>64</v>
      </c>
      <c r="F448" t="s">
        <v>65</v>
      </c>
      <c r="G448" t="s">
        <v>18</v>
      </c>
      <c r="H448" t="s">
        <v>19</v>
      </c>
      <c r="I448" t="str">
        <f>LEFT(H448,FIND(" (",H448)-1)</f>
        <v>Entry</v>
      </c>
      <c r="J448" t="str">
        <f>MID(H448,FIND("(",H448)+1,FIND(")",H448)-FIND("(",H448)-1)</f>
        <v>0-2 yrs</v>
      </c>
      <c r="L448">
        <v>74619</v>
      </c>
      <c r="M448" t="s">
        <v>1020</v>
      </c>
      <c r="N448" t="s">
        <v>141</v>
      </c>
      <c r="O448" t="s">
        <v>51</v>
      </c>
      <c r="P448" s="1">
        <v>45461</v>
      </c>
      <c r="Q448">
        <v>2244</v>
      </c>
      <c r="R448">
        <v>454</v>
      </c>
      <c r="S448" t="s">
        <v>23</v>
      </c>
      <c r="T448">
        <v>0</v>
      </c>
      <c r="U448" t="s">
        <v>58</v>
      </c>
      <c r="V448" t="s">
        <v>24</v>
      </c>
      <c r="W448" t="s">
        <v>34</v>
      </c>
    </row>
    <row r="449" spans="1:23" x14ac:dyDescent="0.3">
      <c r="A449" t="s">
        <v>1021</v>
      </c>
      <c r="B449" t="s">
        <v>222</v>
      </c>
      <c r="C449" t="s">
        <v>48</v>
      </c>
      <c r="D449" t="s">
        <v>75</v>
      </c>
      <c r="E449" t="s">
        <v>133</v>
      </c>
      <c r="F449" t="s">
        <v>134</v>
      </c>
      <c r="G449" t="s">
        <v>18</v>
      </c>
      <c r="H449" t="s">
        <v>19</v>
      </c>
      <c r="I449" t="str">
        <f>LEFT(H449,FIND(" (",H449)-1)</f>
        <v>Entry</v>
      </c>
      <c r="J449" t="str">
        <f>MID(H449,FIND("(",H449)+1,FIND(")",H449)-FIND("(",H449)-1)</f>
        <v>0-2 yrs</v>
      </c>
      <c r="L449">
        <v>58157</v>
      </c>
      <c r="M449" t="s">
        <v>1022</v>
      </c>
      <c r="N449" t="s">
        <v>120</v>
      </c>
      <c r="O449" t="s">
        <v>22</v>
      </c>
      <c r="P449" s="1">
        <v>45715</v>
      </c>
      <c r="Q449">
        <v>535</v>
      </c>
      <c r="R449">
        <v>1519</v>
      </c>
      <c r="S449" t="s">
        <v>23</v>
      </c>
      <c r="T449">
        <v>0</v>
      </c>
      <c r="U449" t="s">
        <v>52</v>
      </c>
      <c r="V449" t="s">
        <v>24</v>
      </c>
      <c r="W449" t="s">
        <v>23</v>
      </c>
    </row>
    <row r="450" spans="1:23" x14ac:dyDescent="0.3">
      <c r="A450" t="s">
        <v>1023</v>
      </c>
      <c r="B450" t="s">
        <v>137</v>
      </c>
      <c r="C450" t="s">
        <v>167</v>
      </c>
      <c r="D450" t="s">
        <v>111</v>
      </c>
      <c r="E450" t="s">
        <v>5137</v>
      </c>
      <c r="F450" t="s">
        <v>5138</v>
      </c>
      <c r="G450" t="s">
        <v>18</v>
      </c>
      <c r="H450" t="s">
        <v>56</v>
      </c>
      <c r="I450" t="str">
        <f>LEFT(H450,FIND(" (",H450)-1)</f>
        <v>Mid</v>
      </c>
      <c r="J450" t="str">
        <f>MID(H450,FIND("(",H450)+1,FIND(")",H450)-FIND("(",H450)-1)</f>
        <v>2-5 yrs</v>
      </c>
      <c r="L450">
        <v>99825</v>
      </c>
      <c r="M450" t="s">
        <v>1024</v>
      </c>
      <c r="N450" t="s">
        <v>89</v>
      </c>
      <c r="O450" t="s">
        <v>51</v>
      </c>
      <c r="P450" s="1">
        <v>45506</v>
      </c>
      <c r="Q450">
        <v>1571</v>
      </c>
      <c r="R450">
        <v>2416</v>
      </c>
      <c r="S450" t="s">
        <v>34</v>
      </c>
      <c r="T450">
        <v>2</v>
      </c>
      <c r="U450" t="s">
        <v>58</v>
      </c>
      <c r="V450" t="s">
        <v>24</v>
      </c>
      <c r="W450" t="s">
        <v>34</v>
      </c>
    </row>
    <row r="451" spans="1:23" x14ac:dyDescent="0.3">
      <c r="A451" t="s">
        <v>1025</v>
      </c>
      <c r="B451" t="s">
        <v>61</v>
      </c>
      <c r="C451" t="s">
        <v>37</v>
      </c>
      <c r="D451" t="s">
        <v>15</v>
      </c>
      <c r="E451" t="s">
        <v>5136</v>
      </c>
      <c r="F451" t="s">
        <v>5133</v>
      </c>
      <c r="G451" t="s">
        <v>55</v>
      </c>
      <c r="H451" t="s">
        <v>31</v>
      </c>
      <c r="I451" t="str">
        <f>LEFT(H451,FIND(" (",H451)-1)</f>
        <v>Staff/Principal</v>
      </c>
      <c r="J451" t="str">
        <f>MID(H451,FIND("(",H451)+1,FIND(")",H451)-FIND("(",H451)-1)</f>
        <v>8+ yrs</v>
      </c>
      <c r="L451">
        <v>161868</v>
      </c>
      <c r="M451" t="s">
        <v>1026</v>
      </c>
      <c r="N451" t="s">
        <v>89</v>
      </c>
      <c r="O451" t="s">
        <v>44</v>
      </c>
      <c r="P451" s="1">
        <v>45601</v>
      </c>
      <c r="Q451">
        <v>1479</v>
      </c>
      <c r="R451">
        <v>2657</v>
      </c>
      <c r="S451" t="s">
        <v>99</v>
      </c>
      <c r="T451">
        <v>6</v>
      </c>
      <c r="U451" t="s">
        <v>58</v>
      </c>
      <c r="V451" t="s">
        <v>24</v>
      </c>
      <c r="W451" t="s">
        <v>23</v>
      </c>
    </row>
    <row r="452" spans="1:23" x14ac:dyDescent="0.3">
      <c r="A452" t="s">
        <v>1027</v>
      </c>
      <c r="B452" t="s">
        <v>81</v>
      </c>
      <c r="C452" t="s">
        <v>146</v>
      </c>
      <c r="D452" t="s">
        <v>147</v>
      </c>
      <c r="E452" t="s">
        <v>216</v>
      </c>
      <c r="F452" t="s">
        <v>217</v>
      </c>
      <c r="G452" t="s">
        <v>55</v>
      </c>
      <c r="H452" t="s">
        <v>31</v>
      </c>
      <c r="I452" t="str">
        <f>LEFT(H452,FIND(" (",H452)-1)</f>
        <v>Staff/Principal</v>
      </c>
      <c r="J452" t="str">
        <f>MID(H452,FIND("(",H452)+1,FIND(")",H452)-FIND("(",H452)-1)</f>
        <v>8+ yrs</v>
      </c>
      <c r="L452">
        <v>197743</v>
      </c>
      <c r="M452" t="s">
        <v>1028</v>
      </c>
      <c r="N452" t="s">
        <v>141</v>
      </c>
      <c r="O452" t="s">
        <v>79</v>
      </c>
      <c r="P452" s="1">
        <v>45727</v>
      </c>
      <c r="Q452">
        <v>1051</v>
      </c>
      <c r="R452">
        <v>2871</v>
      </c>
      <c r="S452" t="s">
        <v>23</v>
      </c>
      <c r="T452">
        <v>6</v>
      </c>
      <c r="U452" t="s">
        <v>58</v>
      </c>
      <c r="V452" t="s">
        <v>24</v>
      </c>
      <c r="W452" t="s">
        <v>34</v>
      </c>
    </row>
    <row r="453" spans="1:23" x14ac:dyDescent="0.3">
      <c r="A453" t="s">
        <v>1029</v>
      </c>
      <c r="B453" t="s">
        <v>222</v>
      </c>
      <c r="C453" t="s">
        <v>110</v>
      </c>
      <c r="D453" t="s">
        <v>49</v>
      </c>
      <c r="E453" t="s">
        <v>133</v>
      </c>
      <c r="F453" t="s">
        <v>134</v>
      </c>
      <c r="G453" t="s">
        <v>18</v>
      </c>
      <c r="H453" t="s">
        <v>66</v>
      </c>
      <c r="I453" t="str">
        <f>LEFT(H453,FIND(" (",H453)-1)</f>
        <v>Senior</v>
      </c>
      <c r="J453" t="str">
        <f>MID(H453,FIND("(",H453)+1,FIND(")",H453)-FIND("(",H453)-1)</f>
        <v>5-8 yrs</v>
      </c>
      <c r="L453">
        <v>175788</v>
      </c>
      <c r="M453" t="s">
        <v>1030</v>
      </c>
      <c r="N453" t="s">
        <v>43</v>
      </c>
      <c r="O453" t="s">
        <v>51</v>
      </c>
      <c r="P453" s="1">
        <v>45326</v>
      </c>
      <c r="Q453">
        <v>1635</v>
      </c>
      <c r="R453">
        <v>1689</v>
      </c>
      <c r="S453" t="s">
        <v>23</v>
      </c>
      <c r="T453">
        <v>4</v>
      </c>
      <c r="U453" t="s">
        <v>45</v>
      </c>
      <c r="V453" t="s">
        <v>24</v>
      </c>
      <c r="W453" t="s">
        <v>34</v>
      </c>
    </row>
    <row r="454" spans="1:23" x14ac:dyDescent="0.3">
      <c r="A454" t="s">
        <v>1031</v>
      </c>
      <c r="B454" t="s">
        <v>151</v>
      </c>
      <c r="C454" t="s">
        <v>27</v>
      </c>
      <c r="D454" t="s">
        <v>63</v>
      </c>
      <c r="E454" t="s">
        <v>39</v>
      </c>
      <c r="F454" t="s">
        <v>40</v>
      </c>
      <c r="G454" t="s">
        <v>18</v>
      </c>
      <c r="H454" t="s">
        <v>19</v>
      </c>
      <c r="I454" t="str">
        <f>LEFT(H454,FIND(" (",H454)-1)</f>
        <v>Entry</v>
      </c>
      <c r="J454" t="str">
        <f>MID(H454,FIND("(",H454)+1,FIND(")",H454)-FIND("(",H454)-1)</f>
        <v>0-2 yrs</v>
      </c>
      <c r="L454">
        <v>57579</v>
      </c>
      <c r="M454" t="s">
        <v>1032</v>
      </c>
      <c r="N454" t="s">
        <v>68</v>
      </c>
      <c r="O454" t="s">
        <v>51</v>
      </c>
      <c r="P454" s="1">
        <v>45673</v>
      </c>
      <c r="Q454">
        <v>579</v>
      </c>
      <c r="R454">
        <v>348</v>
      </c>
      <c r="S454" t="s">
        <v>23</v>
      </c>
      <c r="T454">
        <v>0</v>
      </c>
      <c r="U454" t="s">
        <v>52</v>
      </c>
      <c r="V454" t="s">
        <v>59</v>
      </c>
      <c r="W454" t="s">
        <v>34</v>
      </c>
    </row>
    <row r="455" spans="1:23" x14ac:dyDescent="0.3">
      <c r="A455" t="s">
        <v>1033</v>
      </c>
      <c r="B455" t="s">
        <v>96</v>
      </c>
      <c r="C455" t="s">
        <v>48</v>
      </c>
      <c r="D455" t="s">
        <v>28</v>
      </c>
      <c r="E455" t="s">
        <v>102</v>
      </c>
      <c r="F455" t="s">
        <v>103</v>
      </c>
      <c r="G455" t="s">
        <v>18</v>
      </c>
      <c r="H455" t="s">
        <v>66</v>
      </c>
      <c r="I455" t="str">
        <f>LEFT(H455,FIND(" (",H455)-1)</f>
        <v>Senior</v>
      </c>
      <c r="J455" t="str">
        <f>MID(H455,FIND("(",H455)+1,FIND(")",H455)-FIND("(",H455)-1)</f>
        <v>5-8 yrs</v>
      </c>
      <c r="L455">
        <v>163609</v>
      </c>
      <c r="M455" t="s">
        <v>1034</v>
      </c>
      <c r="N455" t="s">
        <v>186</v>
      </c>
      <c r="O455" t="s">
        <v>22</v>
      </c>
      <c r="P455" s="1">
        <v>45301</v>
      </c>
      <c r="Q455">
        <v>1766</v>
      </c>
      <c r="R455">
        <v>738</v>
      </c>
      <c r="S455" t="s">
        <v>34</v>
      </c>
      <c r="T455">
        <v>4</v>
      </c>
      <c r="U455" t="s">
        <v>5123</v>
      </c>
      <c r="V455" t="s">
        <v>59</v>
      </c>
      <c r="W455" t="s">
        <v>23</v>
      </c>
    </row>
    <row r="456" spans="1:23" x14ac:dyDescent="0.3">
      <c r="A456" t="s">
        <v>1035</v>
      </c>
      <c r="B456" t="s">
        <v>172</v>
      </c>
      <c r="C456" t="s">
        <v>124</v>
      </c>
      <c r="D456" t="s">
        <v>15</v>
      </c>
      <c r="E456" t="s">
        <v>76</v>
      </c>
      <c r="F456" t="s">
        <v>77</v>
      </c>
      <c r="G456" t="s">
        <v>41</v>
      </c>
      <c r="H456" t="s">
        <v>19</v>
      </c>
      <c r="I456" t="str">
        <f>LEFT(H456,FIND(" (",H456)-1)</f>
        <v>Entry</v>
      </c>
      <c r="J456" t="str">
        <f>MID(H456,FIND("(",H456)+1,FIND(")",H456)-FIND("(",H456)-1)</f>
        <v>0-2 yrs</v>
      </c>
      <c r="L456">
        <v>63318</v>
      </c>
      <c r="M456" t="s">
        <v>1036</v>
      </c>
      <c r="N456" t="s">
        <v>21</v>
      </c>
      <c r="O456" t="s">
        <v>44</v>
      </c>
      <c r="P456" s="1">
        <v>45658</v>
      </c>
      <c r="Q456">
        <v>1126</v>
      </c>
      <c r="R456">
        <v>3814</v>
      </c>
      <c r="S456" t="s">
        <v>34</v>
      </c>
      <c r="T456">
        <v>0</v>
      </c>
      <c r="U456" t="s">
        <v>52</v>
      </c>
      <c r="V456" t="s">
        <v>24</v>
      </c>
      <c r="W456" t="s">
        <v>34</v>
      </c>
    </row>
    <row r="457" spans="1:23" x14ac:dyDescent="0.3">
      <c r="A457" t="s">
        <v>1037</v>
      </c>
      <c r="B457" t="s">
        <v>151</v>
      </c>
      <c r="C457" t="s">
        <v>116</v>
      </c>
      <c r="D457" t="s">
        <v>125</v>
      </c>
      <c r="E457" t="s">
        <v>5132</v>
      </c>
      <c r="F457" t="s">
        <v>5133</v>
      </c>
      <c r="G457" t="s">
        <v>55</v>
      </c>
      <c r="H457" t="s">
        <v>19</v>
      </c>
      <c r="I457" t="str">
        <f>LEFT(H457,FIND(" (",H457)-1)</f>
        <v>Entry</v>
      </c>
      <c r="J457" t="str">
        <f>MID(H457,FIND("(",H457)+1,FIND(")",H457)-FIND("(",H457)-1)</f>
        <v>0-2 yrs</v>
      </c>
      <c r="L457">
        <v>60009</v>
      </c>
      <c r="M457" t="s">
        <v>1038</v>
      </c>
      <c r="N457" t="s">
        <v>33</v>
      </c>
      <c r="O457" t="s">
        <v>44</v>
      </c>
      <c r="P457" s="1">
        <v>45640</v>
      </c>
      <c r="Q457">
        <v>480</v>
      </c>
      <c r="R457">
        <v>1712</v>
      </c>
      <c r="S457" t="s">
        <v>23</v>
      </c>
      <c r="T457">
        <v>0</v>
      </c>
      <c r="U457" t="s">
        <v>45</v>
      </c>
      <c r="V457" t="s">
        <v>24</v>
      </c>
      <c r="W457" t="s">
        <v>23</v>
      </c>
    </row>
    <row r="458" spans="1:23" x14ac:dyDescent="0.3">
      <c r="A458" t="s">
        <v>1039</v>
      </c>
      <c r="B458" t="s">
        <v>85</v>
      </c>
      <c r="C458" t="s">
        <v>124</v>
      </c>
      <c r="D458" t="s">
        <v>147</v>
      </c>
      <c r="E458" t="s">
        <v>133</v>
      </c>
      <c r="F458" t="s">
        <v>134</v>
      </c>
      <c r="G458" t="s">
        <v>18</v>
      </c>
      <c r="H458" t="s">
        <v>56</v>
      </c>
      <c r="I458" t="str">
        <f>LEFT(H458,FIND(" (",H458)-1)</f>
        <v>Mid</v>
      </c>
      <c r="J458" t="str">
        <f>MID(H458,FIND("(",H458)+1,FIND(")",H458)-FIND("(",H458)-1)</f>
        <v>2-5 yrs</v>
      </c>
      <c r="L458">
        <v>107880</v>
      </c>
      <c r="M458" t="s">
        <v>1040</v>
      </c>
      <c r="N458" t="s">
        <v>68</v>
      </c>
      <c r="O458" t="s">
        <v>51</v>
      </c>
      <c r="P458" s="1">
        <v>45511</v>
      </c>
      <c r="Q458">
        <v>349</v>
      </c>
      <c r="R458">
        <v>1604</v>
      </c>
      <c r="S458" t="s">
        <v>34</v>
      </c>
      <c r="T458">
        <v>2</v>
      </c>
      <c r="U458" t="s">
        <v>52</v>
      </c>
      <c r="V458" t="s">
        <v>24</v>
      </c>
      <c r="W458" t="s">
        <v>23</v>
      </c>
    </row>
    <row r="459" spans="1:23" x14ac:dyDescent="0.3">
      <c r="A459" t="s">
        <v>1041</v>
      </c>
      <c r="B459" t="s">
        <v>85</v>
      </c>
      <c r="C459" t="s">
        <v>167</v>
      </c>
      <c r="D459" t="s">
        <v>28</v>
      </c>
      <c r="E459" t="s">
        <v>5135</v>
      </c>
      <c r="F459" t="s">
        <v>5133</v>
      </c>
      <c r="G459" t="s">
        <v>18</v>
      </c>
      <c r="H459" t="s">
        <v>66</v>
      </c>
      <c r="I459" t="str">
        <f>LEFT(H459,FIND(" (",H459)-1)</f>
        <v>Senior</v>
      </c>
      <c r="J459" t="str">
        <f>MID(H459,FIND("(",H459)+1,FIND(")",H459)-FIND("(",H459)-1)</f>
        <v>5-8 yrs</v>
      </c>
      <c r="L459">
        <v>122048</v>
      </c>
      <c r="M459" t="s">
        <v>1042</v>
      </c>
      <c r="N459" t="s">
        <v>21</v>
      </c>
      <c r="O459" t="s">
        <v>79</v>
      </c>
      <c r="P459" s="1">
        <v>45403</v>
      </c>
      <c r="Q459">
        <v>1628</v>
      </c>
      <c r="R459">
        <v>2594</v>
      </c>
      <c r="S459" t="s">
        <v>23</v>
      </c>
      <c r="T459">
        <v>4</v>
      </c>
      <c r="U459" t="s">
        <v>52</v>
      </c>
      <c r="V459" t="s">
        <v>24</v>
      </c>
      <c r="W459" t="s">
        <v>23</v>
      </c>
    </row>
    <row r="460" spans="1:23" x14ac:dyDescent="0.3">
      <c r="A460" t="s">
        <v>1043</v>
      </c>
      <c r="B460" t="s">
        <v>236</v>
      </c>
      <c r="C460" t="s">
        <v>92</v>
      </c>
      <c r="D460" t="s">
        <v>15</v>
      </c>
      <c r="E460" t="s">
        <v>5136</v>
      </c>
      <c r="F460" t="s">
        <v>5133</v>
      </c>
      <c r="G460" t="s">
        <v>18</v>
      </c>
      <c r="H460" t="s">
        <v>31</v>
      </c>
      <c r="I460" t="str">
        <f>LEFT(H460,FIND(" (",H460)-1)</f>
        <v>Staff/Principal</v>
      </c>
      <c r="J460" t="str">
        <f>MID(H460,FIND("(",H460)+1,FIND(")",H460)-FIND("(",H460)-1)</f>
        <v>8+ yrs</v>
      </c>
      <c r="L460">
        <v>180068</v>
      </c>
      <c r="M460" t="s">
        <v>1044</v>
      </c>
      <c r="N460" t="s">
        <v>186</v>
      </c>
      <c r="O460" t="s">
        <v>51</v>
      </c>
      <c r="P460" s="1">
        <v>45603</v>
      </c>
      <c r="Q460">
        <v>808</v>
      </c>
      <c r="R460">
        <v>1275</v>
      </c>
      <c r="S460" t="s">
        <v>34</v>
      </c>
      <c r="T460">
        <v>6</v>
      </c>
      <c r="U460" t="s">
        <v>58</v>
      </c>
      <c r="V460" t="s">
        <v>59</v>
      </c>
      <c r="W460" t="s">
        <v>23</v>
      </c>
    </row>
    <row r="461" spans="1:23" x14ac:dyDescent="0.3">
      <c r="A461" t="s">
        <v>1045</v>
      </c>
      <c r="B461" t="s">
        <v>229</v>
      </c>
      <c r="C461" t="s">
        <v>146</v>
      </c>
      <c r="D461" t="s">
        <v>174</v>
      </c>
      <c r="E461" t="s">
        <v>5141</v>
      </c>
      <c r="F461" t="s">
        <v>5133</v>
      </c>
      <c r="G461" t="s">
        <v>41</v>
      </c>
      <c r="H461" t="s">
        <v>56</v>
      </c>
      <c r="I461" t="str">
        <f>LEFT(H461,FIND(" (",H461)-1)</f>
        <v>Mid</v>
      </c>
      <c r="J461" t="str">
        <f>MID(H461,FIND("(",H461)+1,FIND(")",H461)-FIND("(",H461)-1)</f>
        <v>2-5 yrs</v>
      </c>
      <c r="L461">
        <v>86282</v>
      </c>
      <c r="M461" t="s">
        <v>1046</v>
      </c>
      <c r="N461" t="s">
        <v>21</v>
      </c>
      <c r="O461" t="s">
        <v>22</v>
      </c>
      <c r="P461" s="1">
        <v>45395</v>
      </c>
      <c r="Q461">
        <v>1600</v>
      </c>
      <c r="R461">
        <v>2646</v>
      </c>
      <c r="S461" t="s">
        <v>23</v>
      </c>
      <c r="T461">
        <v>2</v>
      </c>
      <c r="U461" t="s">
        <v>5123</v>
      </c>
      <c r="V461" t="s">
        <v>24</v>
      </c>
      <c r="W461" t="s">
        <v>23</v>
      </c>
    </row>
    <row r="462" spans="1:23" x14ac:dyDescent="0.3">
      <c r="A462" t="s">
        <v>1047</v>
      </c>
      <c r="B462" t="s">
        <v>81</v>
      </c>
      <c r="C462" t="s">
        <v>158</v>
      </c>
      <c r="D462" t="s">
        <v>38</v>
      </c>
      <c r="E462" t="s">
        <v>29</v>
      </c>
      <c r="F462" t="s">
        <v>30</v>
      </c>
      <c r="G462" t="s">
        <v>55</v>
      </c>
      <c r="H462" t="s">
        <v>19</v>
      </c>
      <c r="I462" t="str">
        <f>LEFT(H462,FIND(" (",H462)-1)</f>
        <v>Entry</v>
      </c>
      <c r="J462" t="str">
        <f>MID(H462,FIND("(",H462)+1,FIND(")",H462)-FIND("(",H462)-1)</f>
        <v>0-2 yrs</v>
      </c>
      <c r="L462">
        <v>94755</v>
      </c>
      <c r="M462" t="s">
        <v>1048</v>
      </c>
      <c r="N462" t="s">
        <v>33</v>
      </c>
      <c r="O462" t="s">
        <v>51</v>
      </c>
      <c r="P462" s="1">
        <v>45461</v>
      </c>
      <c r="Q462">
        <v>1862</v>
      </c>
      <c r="R462">
        <v>2145</v>
      </c>
      <c r="S462" t="s">
        <v>23</v>
      </c>
      <c r="T462">
        <v>0</v>
      </c>
      <c r="U462" t="s">
        <v>58</v>
      </c>
      <c r="V462" t="s">
        <v>24</v>
      </c>
      <c r="W462" t="s">
        <v>34</v>
      </c>
    </row>
    <row r="463" spans="1:23" x14ac:dyDescent="0.3">
      <c r="A463" t="s">
        <v>1049</v>
      </c>
      <c r="B463" t="s">
        <v>96</v>
      </c>
      <c r="C463" t="s">
        <v>92</v>
      </c>
      <c r="D463" t="s">
        <v>75</v>
      </c>
      <c r="E463" t="s">
        <v>87</v>
      </c>
      <c r="F463" t="s">
        <v>87</v>
      </c>
      <c r="G463" t="s">
        <v>18</v>
      </c>
      <c r="H463" t="s">
        <v>19</v>
      </c>
      <c r="I463" t="str">
        <f>LEFT(H463,FIND(" (",H463)-1)</f>
        <v>Entry</v>
      </c>
      <c r="J463" t="str">
        <f>MID(H463,FIND("(",H463)+1,FIND(")",H463)-FIND("(",H463)-1)</f>
        <v>0-2 yrs</v>
      </c>
      <c r="L463">
        <v>70444</v>
      </c>
      <c r="M463" t="s">
        <v>1050</v>
      </c>
      <c r="N463" t="s">
        <v>245</v>
      </c>
      <c r="O463" t="s">
        <v>22</v>
      </c>
      <c r="P463" s="1">
        <v>45364</v>
      </c>
      <c r="Q463">
        <v>2213</v>
      </c>
      <c r="R463">
        <v>1285</v>
      </c>
      <c r="S463" t="s">
        <v>34</v>
      </c>
      <c r="T463">
        <v>0</v>
      </c>
      <c r="U463" t="s">
        <v>52</v>
      </c>
      <c r="V463" t="s">
        <v>24</v>
      </c>
      <c r="W463" t="s">
        <v>34</v>
      </c>
    </row>
    <row r="464" spans="1:23" x14ac:dyDescent="0.3">
      <c r="A464" t="s">
        <v>1051</v>
      </c>
      <c r="B464" t="s">
        <v>91</v>
      </c>
      <c r="C464" t="s">
        <v>54</v>
      </c>
      <c r="D464" t="s">
        <v>147</v>
      </c>
      <c r="E464" t="s">
        <v>230</v>
      </c>
      <c r="F464" t="s">
        <v>231</v>
      </c>
      <c r="G464" t="s">
        <v>41</v>
      </c>
      <c r="H464" t="s">
        <v>66</v>
      </c>
      <c r="I464" t="str">
        <f>LEFT(H464,FIND(" (",H464)-1)</f>
        <v>Senior</v>
      </c>
      <c r="J464" t="str">
        <f>MID(H464,FIND("(",H464)+1,FIND(")",H464)-FIND("(",H464)-1)</f>
        <v>5-8 yrs</v>
      </c>
      <c r="L464">
        <v>131107</v>
      </c>
      <c r="M464" t="s">
        <v>1052</v>
      </c>
      <c r="N464" t="s">
        <v>43</v>
      </c>
      <c r="O464" t="s">
        <v>22</v>
      </c>
      <c r="P464" s="1">
        <v>45617</v>
      </c>
      <c r="Q464">
        <v>2107</v>
      </c>
      <c r="R464">
        <v>1741</v>
      </c>
      <c r="S464" t="s">
        <v>23</v>
      </c>
      <c r="T464">
        <v>4</v>
      </c>
      <c r="U464" t="s">
        <v>58</v>
      </c>
      <c r="V464" t="s">
        <v>59</v>
      </c>
      <c r="W464" t="s">
        <v>23</v>
      </c>
    </row>
    <row r="465" spans="1:23" x14ac:dyDescent="0.3">
      <c r="A465" t="s">
        <v>1053</v>
      </c>
      <c r="B465" t="s">
        <v>96</v>
      </c>
      <c r="C465" t="s">
        <v>179</v>
      </c>
      <c r="D465" t="s">
        <v>63</v>
      </c>
      <c r="E465" t="s">
        <v>5134</v>
      </c>
      <c r="F465" t="s">
        <v>5133</v>
      </c>
      <c r="G465" t="s">
        <v>18</v>
      </c>
      <c r="H465" t="s">
        <v>19</v>
      </c>
      <c r="I465" t="str">
        <f>LEFT(H465,FIND(" (",H465)-1)</f>
        <v>Entry</v>
      </c>
      <c r="J465" t="str">
        <f>MID(H465,FIND("(",H465)+1,FIND(")",H465)-FIND("(",H465)-1)</f>
        <v>0-2 yrs</v>
      </c>
      <c r="L465">
        <v>72696</v>
      </c>
      <c r="M465" t="s">
        <v>1054</v>
      </c>
      <c r="N465" t="s">
        <v>89</v>
      </c>
      <c r="O465" t="s">
        <v>22</v>
      </c>
      <c r="P465" s="1">
        <v>45334</v>
      </c>
      <c r="Q465">
        <v>2269</v>
      </c>
      <c r="R465">
        <v>304</v>
      </c>
      <c r="S465" t="s">
        <v>23</v>
      </c>
      <c r="T465">
        <v>0</v>
      </c>
      <c r="U465" t="s">
        <v>58</v>
      </c>
      <c r="V465" t="s">
        <v>24</v>
      </c>
      <c r="W465" t="s">
        <v>23</v>
      </c>
    </row>
    <row r="466" spans="1:23" x14ac:dyDescent="0.3">
      <c r="A466" t="s">
        <v>1055</v>
      </c>
      <c r="B466" t="s">
        <v>151</v>
      </c>
      <c r="C466" t="s">
        <v>110</v>
      </c>
      <c r="D466" t="s">
        <v>147</v>
      </c>
      <c r="E466" t="s">
        <v>76</v>
      </c>
      <c r="F466" t="s">
        <v>77</v>
      </c>
      <c r="G466" t="s">
        <v>41</v>
      </c>
      <c r="H466" t="s">
        <v>19</v>
      </c>
      <c r="I466" t="str">
        <f>LEFT(H466,FIND(" (",H466)-1)</f>
        <v>Entry</v>
      </c>
      <c r="J466" t="str">
        <f>MID(H466,FIND("(",H466)+1,FIND(")",H466)-FIND("(",H466)-1)</f>
        <v>0-2 yrs</v>
      </c>
      <c r="L466">
        <v>68584</v>
      </c>
      <c r="M466" t="s">
        <v>1056</v>
      </c>
      <c r="N466" t="s">
        <v>21</v>
      </c>
      <c r="O466" t="s">
        <v>44</v>
      </c>
      <c r="P466" s="1">
        <v>45483</v>
      </c>
      <c r="Q466">
        <v>809</v>
      </c>
      <c r="R466">
        <v>1586</v>
      </c>
      <c r="S466" t="s">
        <v>99</v>
      </c>
      <c r="T466">
        <v>0</v>
      </c>
      <c r="U466" t="s">
        <v>52</v>
      </c>
      <c r="V466" t="s">
        <v>24</v>
      </c>
      <c r="W466" t="s">
        <v>34</v>
      </c>
    </row>
    <row r="467" spans="1:23" x14ac:dyDescent="0.3">
      <c r="A467" t="s">
        <v>1057</v>
      </c>
      <c r="B467" t="s">
        <v>36</v>
      </c>
      <c r="C467" t="s">
        <v>92</v>
      </c>
      <c r="D467" t="s">
        <v>63</v>
      </c>
      <c r="E467" t="s">
        <v>76</v>
      </c>
      <c r="F467" t="s">
        <v>77</v>
      </c>
      <c r="G467" t="s">
        <v>41</v>
      </c>
      <c r="H467" t="s">
        <v>66</v>
      </c>
      <c r="I467" t="str">
        <f>LEFT(H467,FIND(" (",H467)-1)</f>
        <v>Senior</v>
      </c>
      <c r="J467" t="str">
        <f>MID(H467,FIND("(",H467)+1,FIND(")",H467)-FIND("(",H467)-1)</f>
        <v>5-8 yrs</v>
      </c>
      <c r="L467">
        <v>144033</v>
      </c>
      <c r="M467" t="s">
        <v>1058</v>
      </c>
      <c r="N467" t="s">
        <v>33</v>
      </c>
      <c r="O467" t="s">
        <v>22</v>
      </c>
      <c r="P467" s="1">
        <v>45617</v>
      </c>
      <c r="Q467">
        <v>1780</v>
      </c>
      <c r="R467">
        <v>2594</v>
      </c>
      <c r="S467" t="s">
        <v>23</v>
      </c>
      <c r="T467">
        <v>4</v>
      </c>
      <c r="U467" t="s">
        <v>5123</v>
      </c>
      <c r="V467" t="s">
        <v>24</v>
      </c>
      <c r="W467" t="s">
        <v>23</v>
      </c>
    </row>
    <row r="468" spans="1:23" x14ac:dyDescent="0.3">
      <c r="A468" t="s">
        <v>1059</v>
      </c>
      <c r="B468" t="s">
        <v>36</v>
      </c>
      <c r="C468" t="s">
        <v>54</v>
      </c>
      <c r="D468" t="s">
        <v>147</v>
      </c>
      <c r="E468" t="s">
        <v>64</v>
      </c>
      <c r="F468" t="s">
        <v>65</v>
      </c>
      <c r="G468" t="s">
        <v>18</v>
      </c>
      <c r="H468" t="s">
        <v>31</v>
      </c>
      <c r="I468" t="str">
        <f>LEFT(H468,FIND(" (",H468)-1)</f>
        <v>Staff/Principal</v>
      </c>
      <c r="J468" t="str">
        <f>MID(H468,FIND("(",H468)+1,FIND(")",H468)-FIND("(",H468)-1)</f>
        <v>8+ yrs</v>
      </c>
      <c r="L468">
        <v>222110</v>
      </c>
      <c r="M468" t="s">
        <v>1060</v>
      </c>
      <c r="N468" t="s">
        <v>33</v>
      </c>
      <c r="O468" t="s">
        <v>44</v>
      </c>
      <c r="P468" s="1">
        <v>45600</v>
      </c>
      <c r="Q468">
        <v>629</v>
      </c>
      <c r="R468">
        <v>2133</v>
      </c>
      <c r="S468" t="s">
        <v>99</v>
      </c>
      <c r="T468">
        <v>6</v>
      </c>
      <c r="U468" t="s">
        <v>58</v>
      </c>
      <c r="V468" t="s">
        <v>24</v>
      </c>
      <c r="W468" t="s">
        <v>34</v>
      </c>
    </row>
    <row r="469" spans="1:23" x14ac:dyDescent="0.3">
      <c r="A469" t="s">
        <v>1061</v>
      </c>
      <c r="B469" t="s">
        <v>81</v>
      </c>
      <c r="C469" t="s">
        <v>226</v>
      </c>
      <c r="D469" t="s">
        <v>125</v>
      </c>
      <c r="E469" t="s">
        <v>200</v>
      </c>
      <c r="F469" t="s">
        <v>201</v>
      </c>
      <c r="G469" t="s">
        <v>18</v>
      </c>
      <c r="H469" t="s">
        <v>31</v>
      </c>
      <c r="I469" t="str">
        <f>LEFT(H469,FIND(" (",H469)-1)</f>
        <v>Staff/Principal</v>
      </c>
      <c r="J469" t="str">
        <f>MID(H469,FIND("(",H469)+1,FIND(")",H469)-FIND("(",H469)-1)</f>
        <v>8+ yrs</v>
      </c>
      <c r="L469">
        <v>227270</v>
      </c>
      <c r="M469" t="s">
        <v>1062</v>
      </c>
      <c r="N469" t="s">
        <v>33</v>
      </c>
      <c r="O469" t="s">
        <v>22</v>
      </c>
      <c r="P469" s="1">
        <v>45502</v>
      </c>
      <c r="Q469">
        <v>1158</v>
      </c>
      <c r="R469">
        <v>3819</v>
      </c>
      <c r="S469" t="s">
        <v>23</v>
      </c>
      <c r="T469">
        <v>6</v>
      </c>
      <c r="U469" t="s">
        <v>45</v>
      </c>
      <c r="V469" t="s">
        <v>24</v>
      </c>
      <c r="W469" t="s">
        <v>34</v>
      </c>
    </row>
    <row r="470" spans="1:23" x14ac:dyDescent="0.3">
      <c r="A470" t="s">
        <v>1063</v>
      </c>
      <c r="B470" t="s">
        <v>96</v>
      </c>
      <c r="C470" t="s">
        <v>167</v>
      </c>
      <c r="D470" t="s">
        <v>125</v>
      </c>
      <c r="E470" t="s">
        <v>5137</v>
      </c>
      <c r="F470" t="s">
        <v>5138</v>
      </c>
      <c r="G470" t="s">
        <v>18</v>
      </c>
      <c r="H470" t="s">
        <v>19</v>
      </c>
      <c r="I470" t="str">
        <f>LEFT(H470,FIND(" (",H470)-1)</f>
        <v>Entry</v>
      </c>
      <c r="J470" t="str">
        <f>MID(H470,FIND("(",H470)+1,FIND(")",H470)-FIND("(",H470)-1)</f>
        <v>0-2 yrs</v>
      </c>
      <c r="L470">
        <v>63315</v>
      </c>
      <c r="M470" t="s">
        <v>1064</v>
      </c>
      <c r="N470" t="s">
        <v>43</v>
      </c>
      <c r="O470" t="s">
        <v>22</v>
      </c>
      <c r="P470" s="1">
        <v>45648</v>
      </c>
      <c r="Q470">
        <v>1045</v>
      </c>
      <c r="R470">
        <v>2068</v>
      </c>
      <c r="S470" t="s">
        <v>99</v>
      </c>
      <c r="T470">
        <v>0</v>
      </c>
      <c r="U470" t="s">
        <v>58</v>
      </c>
      <c r="V470" t="s">
        <v>24</v>
      </c>
      <c r="W470" t="s">
        <v>34</v>
      </c>
    </row>
    <row r="471" spans="1:23" x14ac:dyDescent="0.3">
      <c r="A471" t="s">
        <v>1065</v>
      </c>
      <c r="B471" t="s">
        <v>106</v>
      </c>
      <c r="C471" t="s">
        <v>101</v>
      </c>
      <c r="D471" t="s">
        <v>125</v>
      </c>
      <c r="E471" t="s">
        <v>102</v>
      </c>
      <c r="F471" t="s">
        <v>103</v>
      </c>
      <c r="G471" t="s">
        <v>55</v>
      </c>
      <c r="H471" t="s">
        <v>19</v>
      </c>
      <c r="I471" t="str">
        <f>LEFT(H471,FIND(" (",H471)-1)</f>
        <v>Entry</v>
      </c>
      <c r="J471" t="str">
        <f>MID(H471,FIND("(",H471)+1,FIND(")",H471)-FIND("(",H471)-1)</f>
        <v>0-2 yrs</v>
      </c>
      <c r="L471">
        <v>62744</v>
      </c>
      <c r="M471" t="s">
        <v>1066</v>
      </c>
      <c r="N471" t="s">
        <v>33</v>
      </c>
      <c r="O471" t="s">
        <v>22</v>
      </c>
      <c r="P471" s="1">
        <v>45390</v>
      </c>
      <c r="Q471">
        <v>651</v>
      </c>
      <c r="R471">
        <v>1557</v>
      </c>
      <c r="S471" t="s">
        <v>34</v>
      </c>
      <c r="T471">
        <v>0</v>
      </c>
      <c r="U471" t="s">
        <v>5123</v>
      </c>
      <c r="V471" t="s">
        <v>24</v>
      </c>
      <c r="W471" t="s">
        <v>23</v>
      </c>
    </row>
    <row r="472" spans="1:23" x14ac:dyDescent="0.3">
      <c r="A472" t="s">
        <v>1067</v>
      </c>
      <c r="B472" t="s">
        <v>96</v>
      </c>
      <c r="C472" t="s">
        <v>101</v>
      </c>
      <c r="D472" t="s">
        <v>38</v>
      </c>
      <c r="E472" t="s">
        <v>5137</v>
      </c>
      <c r="F472" t="s">
        <v>5138</v>
      </c>
      <c r="G472" t="s">
        <v>18</v>
      </c>
      <c r="H472" t="s">
        <v>31</v>
      </c>
      <c r="I472" t="str">
        <f>LEFT(H472,FIND(" (",H472)-1)</f>
        <v>Staff/Principal</v>
      </c>
      <c r="J472" t="str">
        <f>MID(H472,FIND("(",H472)+1,FIND(")",H472)-FIND("(",H472)-1)</f>
        <v>8+ yrs</v>
      </c>
      <c r="L472">
        <v>190098</v>
      </c>
      <c r="M472" t="s">
        <v>1068</v>
      </c>
      <c r="N472" t="s">
        <v>33</v>
      </c>
      <c r="O472" t="s">
        <v>51</v>
      </c>
      <c r="P472" s="1">
        <v>45428</v>
      </c>
      <c r="Q472">
        <v>329</v>
      </c>
      <c r="R472">
        <v>1548</v>
      </c>
      <c r="S472" t="s">
        <v>23</v>
      </c>
      <c r="T472">
        <v>6</v>
      </c>
      <c r="U472" t="s">
        <v>45</v>
      </c>
      <c r="V472" t="s">
        <v>46</v>
      </c>
      <c r="W472" t="s">
        <v>23</v>
      </c>
    </row>
    <row r="473" spans="1:23" x14ac:dyDescent="0.3">
      <c r="A473" t="s">
        <v>1069</v>
      </c>
      <c r="B473" t="s">
        <v>236</v>
      </c>
      <c r="C473" t="s">
        <v>132</v>
      </c>
      <c r="D473" t="s">
        <v>174</v>
      </c>
      <c r="E473" t="s">
        <v>5132</v>
      </c>
      <c r="F473" t="s">
        <v>5133</v>
      </c>
      <c r="G473" t="s">
        <v>18</v>
      </c>
      <c r="H473" t="s">
        <v>31</v>
      </c>
      <c r="I473" t="str">
        <f>LEFT(H473,FIND(" (",H473)-1)</f>
        <v>Staff/Principal</v>
      </c>
      <c r="J473" t="str">
        <f>MID(H473,FIND("(",H473)+1,FIND(")",H473)-FIND("(",H473)-1)</f>
        <v>8+ yrs</v>
      </c>
      <c r="L473">
        <v>117130</v>
      </c>
      <c r="M473" t="s">
        <v>1070</v>
      </c>
      <c r="N473" t="s">
        <v>21</v>
      </c>
      <c r="O473" t="s">
        <v>44</v>
      </c>
      <c r="P473" s="1">
        <v>45747</v>
      </c>
      <c r="Q473">
        <v>710</v>
      </c>
      <c r="R473">
        <v>22</v>
      </c>
      <c r="S473" t="s">
        <v>23</v>
      </c>
      <c r="T473">
        <v>6</v>
      </c>
      <c r="U473" t="s">
        <v>58</v>
      </c>
      <c r="V473" t="s">
        <v>59</v>
      </c>
      <c r="W473" t="s">
        <v>23</v>
      </c>
    </row>
    <row r="474" spans="1:23" x14ac:dyDescent="0.3">
      <c r="A474" t="s">
        <v>1071</v>
      </c>
      <c r="B474" t="s">
        <v>61</v>
      </c>
      <c r="C474" t="s">
        <v>62</v>
      </c>
      <c r="D474" t="s">
        <v>147</v>
      </c>
      <c r="E474" t="s">
        <v>216</v>
      </c>
      <c r="F474" t="s">
        <v>217</v>
      </c>
      <c r="G474" t="s">
        <v>18</v>
      </c>
      <c r="H474" t="s">
        <v>19</v>
      </c>
      <c r="I474" t="str">
        <f>LEFT(H474,FIND(" (",H474)-1)</f>
        <v>Entry</v>
      </c>
      <c r="J474" t="str">
        <f>MID(H474,FIND("(",H474)+1,FIND(")",H474)-FIND("(",H474)-1)</f>
        <v>0-2 yrs</v>
      </c>
      <c r="L474">
        <v>50908</v>
      </c>
      <c r="M474" t="s">
        <v>1072</v>
      </c>
      <c r="N474" t="s">
        <v>89</v>
      </c>
      <c r="O474" t="s">
        <v>51</v>
      </c>
      <c r="P474" s="1">
        <v>45563</v>
      </c>
      <c r="Q474">
        <v>312</v>
      </c>
      <c r="R474">
        <v>2623</v>
      </c>
      <c r="S474" t="s">
        <v>99</v>
      </c>
      <c r="T474">
        <v>0</v>
      </c>
      <c r="U474" t="s">
        <v>45</v>
      </c>
      <c r="V474" t="s">
        <v>24</v>
      </c>
      <c r="W474" t="s">
        <v>34</v>
      </c>
    </row>
    <row r="475" spans="1:23" x14ac:dyDescent="0.3">
      <c r="A475" t="s">
        <v>1073</v>
      </c>
      <c r="B475" t="s">
        <v>229</v>
      </c>
      <c r="C475" t="s">
        <v>239</v>
      </c>
      <c r="D475" t="s">
        <v>63</v>
      </c>
      <c r="E475" t="s">
        <v>39</v>
      </c>
      <c r="F475" t="s">
        <v>40</v>
      </c>
      <c r="G475" t="s">
        <v>18</v>
      </c>
      <c r="H475" t="s">
        <v>66</v>
      </c>
      <c r="I475" t="str">
        <f>LEFT(H475,FIND(" (",H475)-1)</f>
        <v>Senior</v>
      </c>
      <c r="J475" t="str">
        <f>MID(H475,FIND("(",H475)+1,FIND(")",H475)-FIND("(",H475)-1)</f>
        <v>5-8 yrs</v>
      </c>
      <c r="L475">
        <v>186905</v>
      </c>
      <c r="M475" t="s">
        <v>1074</v>
      </c>
      <c r="N475" t="s">
        <v>33</v>
      </c>
      <c r="O475" t="s">
        <v>79</v>
      </c>
      <c r="P475" s="1">
        <v>45540</v>
      </c>
      <c r="Q475">
        <v>711</v>
      </c>
      <c r="R475">
        <v>3017</v>
      </c>
      <c r="S475" t="s">
        <v>23</v>
      </c>
      <c r="T475">
        <v>4</v>
      </c>
      <c r="U475" t="s">
        <v>83</v>
      </c>
      <c r="V475" t="s">
        <v>24</v>
      </c>
      <c r="W475" t="s">
        <v>34</v>
      </c>
    </row>
    <row r="476" spans="1:23" x14ac:dyDescent="0.3">
      <c r="A476" t="s">
        <v>1075</v>
      </c>
      <c r="B476" t="s">
        <v>131</v>
      </c>
      <c r="C476" t="s">
        <v>101</v>
      </c>
      <c r="D476" t="s">
        <v>63</v>
      </c>
      <c r="E476" t="s">
        <v>64</v>
      </c>
      <c r="F476" t="s">
        <v>65</v>
      </c>
      <c r="G476" t="s">
        <v>41</v>
      </c>
      <c r="H476" t="s">
        <v>19</v>
      </c>
      <c r="I476" t="str">
        <f>LEFT(H476,FIND(" (",H476)-1)</f>
        <v>Entry</v>
      </c>
      <c r="J476" t="str">
        <f>MID(H476,FIND("(",H476)+1,FIND(")",H476)-FIND("(",H476)-1)</f>
        <v>0-2 yrs</v>
      </c>
      <c r="L476">
        <v>90726</v>
      </c>
      <c r="M476" t="s">
        <v>1076</v>
      </c>
      <c r="N476" t="s">
        <v>89</v>
      </c>
      <c r="O476" t="s">
        <v>51</v>
      </c>
      <c r="P476" s="1">
        <v>45336</v>
      </c>
      <c r="Q476">
        <v>1286</v>
      </c>
      <c r="R476">
        <v>1006</v>
      </c>
      <c r="S476" t="s">
        <v>34</v>
      </c>
      <c r="T476">
        <v>0</v>
      </c>
      <c r="U476" t="s">
        <v>5123</v>
      </c>
      <c r="V476" t="s">
        <v>24</v>
      </c>
      <c r="W476" t="s">
        <v>23</v>
      </c>
    </row>
    <row r="477" spans="1:23" x14ac:dyDescent="0.3">
      <c r="A477" t="s">
        <v>1077</v>
      </c>
      <c r="B477" t="s">
        <v>151</v>
      </c>
      <c r="C477" t="s">
        <v>48</v>
      </c>
      <c r="D477" t="s">
        <v>49</v>
      </c>
      <c r="E477" t="s">
        <v>5132</v>
      </c>
      <c r="F477" t="s">
        <v>5133</v>
      </c>
      <c r="G477" t="s">
        <v>55</v>
      </c>
      <c r="H477" t="s">
        <v>56</v>
      </c>
      <c r="I477" t="str">
        <f>LEFT(H477,FIND(" (",H477)-1)</f>
        <v>Mid</v>
      </c>
      <c r="J477" t="str">
        <f>MID(H477,FIND("(",H477)+1,FIND(")",H477)-FIND("(",H477)-1)</f>
        <v>2-5 yrs</v>
      </c>
      <c r="L477">
        <v>105069</v>
      </c>
      <c r="M477" t="s">
        <v>1078</v>
      </c>
      <c r="N477" t="s">
        <v>33</v>
      </c>
      <c r="O477" t="s">
        <v>51</v>
      </c>
      <c r="P477" s="1">
        <v>45684</v>
      </c>
      <c r="Q477">
        <v>2489</v>
      </c>
      <c r="R477">
        <v>2605</v>
      </c>
      <c r="S477" t="s">
        <v>23</v>
      </c>
      <c r="T477">
        <v>2</v>
      </c>
      <c r="U477" t="s">
        <v>5123</v>
      </c>
      <c r="V477" t="s">
        <v>59</v>
      </c>
      <c r="W477" t="s">
        <v>34</v>
      </c>
    </row>
    <row r="478" spans="1:23" x14ac:dyDescent="0.3">
      <c r="A478" t="s">
        <v>1079</v>
      </c>
      <c r="B478" t="s">
        <v>91</v>
      </c>
      <c r="C478" t="s">
        <v>179</v>
      </c>
      <c r="D478" t="s">
        <v>49</v>
      </c>
      <c r="E478" t="s">
        <v>5132</v>
      </c>
      <c r="F478" t="s">
        <v>5133</v>
      </c>
      <c r="G478" t="s">
        <v>18</v>
      </c>
      <c r="H478" t="s">
        <v>19</v>
      </c>
      <c r="I478" t="str">
        <f>LEFT(H478,FIND(" (",H478)-1)</f>
        <v>Entry</v>
      </c>
      <c r="J478" t="str">
        <f>MID(H478,FIND("(",H478)+1,FIND(")",H478)-FIND("(",H478)-1)</f>
        <v>0-2 yrs</v>
      </c>
      <c r="L478">
        <v>77264</v>
      </c>
      <c r="M478" t="s">
        <v>1080</v>
      </c>
      <c r="N478" t="s">
        <v>149</v>
      </c>
      <c r="O478" t="s">
        <v>22</v>
      </c>
      <c r="P478" s="1">
        <v>45659</v>
      </c>
      <c r="Q478">
        <v>1693</v>
      </c>
      <c r="R478">
        <v>3043</v>
      </c>
      <c r="S478" t="s">
        <v>23</v>
      </c>
      <c r="T478">
        <v>0</v>
      </c>
      <c r="U478" t="s">
        <v>52</v>
      </c>
      <c r="V478" t="s">
        <v>59</v>
      </c>
      <c r="W478" t="s">
        <v>34</v>
      </c>
    </row>
    <row r="479" spans="1:23" x14ac:dyDescent="0.3">
      <c r="A479" t="s">
        <v>1081</v>
      </c>
      <c r="B479" t="s">
        <v>225</v>
      </c>
      <c r="C479" t="s">
        <v>14</v>
      </c>
      <c r="D479" t="s">
        <v>174</v>
      </c>
      <c r="E479" t="s">
        <v>5132</v>
      </c>
      <c r="F479" t="s">
        <v>5133</v>
      </c>
      <c r="G479" t="s">
        <v>55</v>
      </c>
      <c r="H479" t="s">
        <v>56</v>
      </c>
      <c r="I479" t="str">
        <f>LEFT(H479,FIND(" (",H479)-1)</f>
        <v>Mid</v>
      </c>
      <c r="J479" t="str">
        <f>MID(H479,FIND("(",H479)+1,FIND(")",H479)-FIND("(",H479)-1)</f>
        <v>2-5 yrs</v>
      </c>
      <c r="L479">
        <v>116162</v>
      </c>
      <c r="M479" t="s">
        <v>1082</v>
      </c>
      <c r="N479" t="s">
        <v>141</v>
      </c>
      <c r="O479" t="s">
        <v>44</v>
      </c>
      <c r="P479" s="1">
        <v>45587</v>
      </c>
      <c r="Q479">
        <v>817</v>
      </c>
      <c r="R479">
        <v>2138</v>
      </c>
      <c r="S479" t="s">
        <v>23</v>
      </c>
      <c r="T479">
        <v>2</v>
      </c>
      <c r="U479" t="s">
        <v>83</v>
      </c>
      <c r="V479" t="s">
        <v>24</v>
      </c>
      <c r="W479" t="s">
        <v>34</v>
      </c>
    </row>
    <row r="480" spans="1:23" x14ac:dyDescent="0.3">
      <c r="A480" t="s">
        <v>1083</v>
      </c>
      <c r="B480" t="s">
        <v>26</v>
      </c>
      <c r="C480" t="s">
        <v>107</v>
      </c>
      <c r="D480" t="s">
        <v>15</v>
      </c>
      <c r="E480" t="s">
        <v>5132</v>
      </c>
      <c r="F480" t="s">
        <v>5133</v>
      </c>
      <c r="G480" t="s">
        <v>18</v>
      </c>
      <c r="H480" t="s">
        <v>31</v>
      </c>
      <c r="I480" t="str">
        <f>LEFT(H480,FIND(" (",H480)-1)</f>
        <v>Staff/Principal</v>
      </c>
      <c r="J480" t="str">
        <f>MID(H480,FIND("(",H480)+1,FIND(")",H480)-FIND("(",H480)-1)</f>
        <v>8+ yrs</v>
      </c>
      <c r="L480">
        <v>310839</v>
      </c>
      <c r="M480" t="s">
        <v>1084</v>
      </c>
      <c r="N480" t="s">
        <v>68</v>
      </c>
      <c r="O480" t="s">
        <v>51</v>
      </c>
      <c r="P480" s="1">
        <v>45443</v>
      </c>
      <c r="Q480">
        <v>1565</v>
      </c>
      <c r="R480">
        <v>2067</v>
      </c>
      <c r="S480" t="s">
        <v>99</v>
      </c>
      <c r="T480">
        <v>6</v>
      </c>
      <c r="U480" t="s">
        <v>5123</v>
      </c>
      <c r="V480" t="s">
        <v>24</v>
      </c>
      <c r="W480" t="s">
        <v>23</v>
      </c>
    </row>
    <row r="481" spans="1:23" x14ac:dyDescent="0.3">
      <c r="A481" t="s">
        <v>1085</v>
      </c>
      <c r="B481" t="s">
        <v>143</v>
      </c>
      <c r="C481" t="s">
        <v>239</v>
      </c>
      <c r="D481" t="s">
        <v>38</v>
      </c>
      <c r="E481" t="s">
        <v>87</v>
      </c>
      <c r="F481" t="s">
        <v>87</v>
      </c>
      <c r="G481" t="s">
        <v>41</v>
      </c>
      <c r="H481" t="s">
        <v>31</v>
      </c>
      <c r="I481" t="str">
        <f>LEFT(H481,FIND(" (",H481)-1)</f>
        <v>Staff/Principal</v>
      </c>
      <c r="J481" t="str">
        <f>MID(H481,FIND("(",H481)+1,FIND(")",H481)-FIND("(",H481)-1)</f>
        <v>8+ yrs</v>
      </c>
      <c r="L481">
        <v>240304</v>
      </c>
      <c r="M481" t="s">
        <v>1086</v>
      </c>
      <c r="N481" t="s">
        <v>33</v>
      </c>
      <c r="O481" t="s">
        <v>44</v>
      </c>
      <c r="P481" s="1">
        <v>45652</v>
      </c>
      <c r="Q481">
        <v>515</v>
      </c>
      <c r="R481">
        <v>3791</v>
      </c>
      <c r="S481" t="s">
        <v>99</v>
      </c>
      <c r="T481">
        <v>6</v>
      </c>
      <c r="U481" t="s">
        <v>52</v>
      </c>
      <c r="V481" t="s">
        <v>59</v>
      </c>
      <c r="W481" t="s">
        <v>23</v>
      </c>
    </row>
    <row r="482" spans="1:23" x14ac:dyDescent="0.3">
      <c r="A482" t="s">
        <v>1087</v>
      </c>
      <c r="B482" t="s">
        <v>81</v>
      </c>
      <c r="C482" t="s">
        <v>179</v>
      </c>
      <c r="D482" t="s">
        <v>38</v>
      </c>
      <c r="E482" t="s">
        <v>5140</v>
      </c>
      <c r="F482" t="s">
        <v>5133</v>
      </c>
      <c r="G482" t="s">
        <v>41</v>
      </c>
      <c r="H482" t="s">
        <v>56</v>
      </c>
      <c r="I482" t="str">
        <f>LEFT(H482,FIND(" (",H482)-1)</f>
        <v>Mid</v>
      </c>
      <c r="J482" t="str">
        <f>MID(H482,FIND("(",H482)+1,FIND(")",H482)-FIND("(",H482)-1)</f>
        <v>2-5 yrs</v>
      </c>
      <c r="L482">
        <v>107467</v>
      </c>
      <c r="M482" t="s">
        <v>1088</v>
      </c>
      <c r="N482" t="s">
        <v>120</v>
      </c>
      <c r="O482" t="s">
        <v>44</v>
      </c>
      <c r="P482" s="1">
        <v>45464</v>
      </c>
      <c r="Q482">
        <v>1912</v>
      </c>
      <c r="R482">
        <v>408</v>
      </c>
      <c r="S482" t="s">
        <v>34</v>
      </c>
      <c r="T482">
        <v>2</v>
      </c>
      <c r="U482" t="s">
        <v>83</v>
      </c>
      <c r="V482" t="s">
        <v>59</v>
      </c>
      <c r="W482" t="s">
        <v>34</v>
      </c>
    </row>
    <row r="483" spans="1:23" x14ac:dyDescent="0.3">
      <c r="A483" t="s">
        <v>1089</v>
      </c>
      <c r="B483" t="s">
        <v>81</v>
      </c>
      <c r="C483" t="s">
        <v>124</v>
      </c>
      <c r="D483" t="s">
        <v>174</v>
      </c>
      <c r="E483" t="s">
        <v>102</v>
      </c>
      <c r="F483" t="s">
        <v>103</v>
      </c>
      <c r="G483" t="s">
        <v>41</v>
      </c>
      <c r="H483" t="s">
        <v>31</v>
      </c>
      <c r="I483" t="str">
        <f>LEFT(H483,FIND(" (",H483)-1)</f>
        <v>Staff/Principal</v>
      </c>
      <c r="J483" t="str">
        <f>MID(H483,FIND("(",H483)+1,FIND(")",H483)-FIND("(",H483)-1)</f>
        <v>8+ yrs</v>
      </c>
      <c r="L483">
        <v>165600</v>
      </c>
      <c r="M483" t="s">
        <v>1090</v>
      </c>
      <c r="N483" t="s">
        <v>33</v>
      </c>
      <c r="O483" t="s">
        <v>44</v>
      </c>
      <c r="P483" s="1">
        <v>45518</v>
      </c>
      <c r="Q483">
        <v>717</v>
      </c>
      <c r="R483">
        <v>2788</v>
      </c>
      <c r="S483" t="s">
        <v>23</v>
      </c>
      <c r="T483">
        <v>6</v>
      </c>
      <c r="U483" t="s">
        <v>52</v>
      </c>
      <c r="V483" t="s">
        <v>24</v>
      </c>
      <c r="W483" t="s">
        <v>23</v>
      </c>
    </row>
    <row r="484" spans="1:23" x14ac:dyDescent="0.3">
      <c r="A484" t="s">
        <v>1091</v>
      </c>
      <c r="B484" t="s">
        <v>222</v>
      </c>
      <c r="C484" t="s">
        <v>209</v>
      </c>
      <c r="D484" t="s">
        <v>147</v>
      </c>
      <c r="E484" t="s">
        <v>5137</v>
      </c>
      <c r="F484" t="s">
        <v>5138</v>
      </c>
      <c r="G484" t="s">
        <v>18</v>
      </c>
      <c r="H484" t="s">
        <v>19</v>
      </c>
      <c r="I484" t="str">
        <f>LEFT(H484,FIND(" (",H484)-1)</f>
        <v>Entry</v>
      </c>
      <c r="J484" t="str">
        <f>MID(H484,FIND("(",H484)+1,FIND(")",H484)-FIND("(",H484)-1)</f>
        <v>0-2 yrs</v>
      </c>
      <c r="L484">
        <v>50000</v>
      </c>
      <c r="M484" t="s">
        <v>1092</v>
      </c>
      <c r="N484" t="s">
        <v>141</v>
      </c>
      <c r="O484" t="s">
        <v>22</v>
      </c>
      <c r="P484" s="1">
        <v>45534</v>
      </c>
      <c r="Q484">
        <v>786</v>
      </c>
      <c r="R484">
        <v>996</v>
      </c>
      <c r="S484" t="s">
        <v>23</v>
      </c>
      <c r="T484">
        <v>0</v>
      </c>
      <c r="U484" t="s">
        <v>45</v>
      </c>
      <c r="V484" t="s">
        <v>24</v>
      </c>
      <c r="W484" t="s">
        <v>23</v>
      </c>
    </row>
    <row r="485" spans="1:23" x14ac:dyDescent="0.3">
      <c r="A485" t="s">
        <v>1093</v>
      </c>
      <c r="B485" t="s">
        <v>137</v>
      </c>
      <c r="C485" t="s">
        <v>101</v>
      </c>
      <c r="D485" t="s">
        <v>63</v>
      </c>
      <c r="E485" t="s">
        <v>39</v>
      </c>
      <c r="F485" t="s">
        <v>40</v>
      </c>
      <c r="G485" t="s">
        <v>55</v>
      </c>
      <c r="H485" t="s">
        <v>19</v>
      </c>
      <c r="I485" t="str">
        <f>LEFT(H485,FIND(" (",H485)-1)</f>
        <v>Entry</v>
      </c>
      <c r="J485" t="str">
        <f>MID(H485,FIND("(",H485)+1,FIND(")",H485)-FIND("(",H485)-1)</f>
        <v>0-2 yrs</v>
      </c>
      <c r="L485">
        <v>72563</v>
      </c>
      <c r="M485" t="s">
        <v>1094</v>
      </c>
      <c r="N485" t="s">
        <v>149</v>
      </c>
      <c r="O485" t="s">
        <v>51</v>
      </c>
      <c r="P485" s="1">
        <v>45624</v>
      </c>
      <c r="Q485">
        <v>2387</v>
      </c>
      <c r="R485">
        <v>931</v>
      </c>
      <c r="S485" t="s">
        <v>34</v>
      </c>
      <c r="T485">
        <v>0</v>
      </c>
      <c r="U485" t="s">
        <v>83</v>
      </c>
      <c r="V485" t="s">
        <v>46</v>
      </c>
      <c r="W485" t="s">
        <v>23</v>
      </c>
    </row>
    <row r="486" spans="1:23" x14ac:dyDescent="0.3">
      <c r="A486" t="s">
        <v>1095</v>
      </c>
      <c r="B486" t="s">
        <v>13</v>
      </c>
      <c r="C486" t="s">
        <v>128</v>
      </c>
      <c r="D486" t="s">
        <v>75</v>
      </c>
      <c r="E486" t="s">
        <v>5134</v>
      </c>
      <c r="F486" t="s">
        <v>5133</v>
      </c>
      <c r="G486" t="s">
        <v>41</v>
      </c>
      <c r="H486" t="s">
        <v>56</v>
      </c>
      <c r="I486" t="str">
        <f>LEFT(H486,FIND(" (",H486)-1)</f>
        <v>Mid</v>
      </c>
      <c r="J486" t="str">
        <f>MID(H486,FIND("(",H486)+1,FIND(")",H486)-FIND("(",H486)-1)</f>
        <v>2-5 yrs</v>
      </c>
      <c r="L486">
        <v>95024</v>
      </c>
      <c r="M486" t="s">
        <v>1096</v>
      </c>
      <c r="N486" t="s">
        <v>33</v>
      </c>
      <c r="O486" t="s">
        <v>22</v>
      </c>
      <c r="P486" s="1">
        <v>45622</v>
      </c>
      <c r="Q486">
        <v>380</v>
      </c>
      <c r="R486">
        <v>1622</v>
      </c>
      <c r="S486" t="s">
        <v>23</v>
      </c>
      <c r="T486">
        <v>2</v>
      </c>
      <c r="U486" t="s">
        <v>83</v>
      </c>
      <c r="V486" t="s">
        <v>59</v>
      </c>
      <c r="W486" t="s">
        <v>23</v>
      </c>
    </row>
    <row r="487" spans="1:23" x14ac:dyDescent="0.3">
      <c r="A487" t="s">
        <v>1097</v>
      </c>
      <c r="B487" t="s">
        <v>70</v>
      </c>
      <c r="C487" t="s">
        <v>158</v>
      </c>
      <c r="D487" t="s">
        <v>174</v>
      </c>
      <c r="E487" t="s">
        <v>87</v>
      </c>
      <c r="F487" t="s">
        <v>87</v>
      </c>
      <c r="G487" t="s">
        <v>55</v>
      </c>
      <c r="H487" t="s">
        <v>19</v>
      </c>
      <c r="I487" t="str">
        <f>LEFT(H487,FIND(" (",H487)-1)</f>
        <v>Entry</v>
      </c>
      <c r="J487" t="str">
        <f>MID(H487,FIND("(",H487)+1,FIND(")",H487)-FIND("(",H487)-1)</f>
        <v>0-2 yrs</v>
      </c>
      <c r="L487">
        <v>52079</v>
      </c>
      <c r="M487" t="s">
        <v>1098</v>
      </c>
      <c r="N487" t="s">
        <v>89</v>
      </c>
      <c r="O487" t="s">
        <v>22</v>
      </c>
      <c r="P487" s="1">
        <v>45352</v>
      </c>
      <c r="Q487">
        <v>827</v>
      </c>
      <c r="R487">
        <v>2365</v>
      </c>
      <c r="S487" t="s">
        <v>34</v>
      </c>
      <c r="T487">
        <v>0</v>
      </c>
      <c r="U487" t="s">
        <v>52</v>
      </c>
      <c r="V487" t="s">
        <v>24</v>
      </c>
      <c r="W487" t="s">
        <v>34</v>
      </c>
    </row>
    <row r="488" spans="1:23" x14ac:dyDescent="0.3">
      <c r="A488" t="s">
        <v>1099</v>
      </c>
      <c r="B488" t="s">
        <v>229</v>
      </c>
      <c r="C488" t="s">
        <v>62</v>
      </c>
      <c r="D488" t="s">
        <v>28</v>
      </c>
      <c r="E488" t="s">
        <v>5137</v>
      </c>
      <c r="F488" t="s">
        <v>5138</v>
      </c>
      <c r="G488" t="s">
        <v>41</v>
      </c>
      <c r="H488" t="s">
        <v>19</v>
      </c>
      <c r="I488" t="str">
        <f>LEFT(H488,FIND(" (",H488)-1)</f>
        <v>Entry</v>
      </c>
      <c r="J488" t="str">
        <f>MID(H488,FIND("(",H488)+1,FIND(")",H488)-FIND("(",H488)-1)</f>
        <v>0-2 yrs</v>
      </c>
      <c r="L488">
        <v>61853</v>
      </c>
      <c r="M488" t="s">
        <v>1100</v>
      </c>
      <c r="N488" t="s">
        <v>33</v>
      </c>
      <c r="O488" t="s">
        <v>51</v>
      </c>
      <c r="P488" s="1">
        <v>45478</v>
      </c>
      <c r="Q488">
        <v>2122</v>
      </c>
      <c r="R488">
        <v>582</v>
      </c>
      <c r="S488" t="s">
        <v>23</v>
      </c>
      <c r="T488">
        <v>0</v>
      </c>
      <c r="U488" t="s">
        <v>45</v>
      </c>
      <c r="V488" t="s">
        <v>24</v>
      </c>
      <c r="W488" t="s">
        <v>23</v>
      </c>
    </row>
    <row r="489" spans="1:23" x14ac:dyDescent="0.3">
      <c r="A489" t="s">
        <v>1101</v>
      </c>
      <c r="B489" t="s">
        <v>225</v>
      </c>
      <c r="C489" t="s">
        <v>204</v>
      </c>
      <c r="D489" t="s">
        <v>125</v>
      </c>
      <c r="E489" t="s">
        <v>5137</v>
      </c>
      <c r="F489" t="s">
        <v>5138</v>
      </c>
      <c r="G489" t="s">
        <v>41</v>
      </c>
      <c r="H489" t="s">
        <v>56</v>
      </c>
      <c r="I489" t="str">
        <f>LEFT(H489,FIND(" (",H489)-1)</f>
        <v>Mid</v>
      </c>
      <c r="J489" t="str">
        <f>MID(H489,FIND("(",H489)+1,FIND(")",H489)-FIND("(",H489)-1)</f>
        <v>2-5 yrs</v>
      </c>
      <c r="L489">
        <v>88585</v>
      </c>
      <c r="M489" t="s">
        <v>1102</v>
      </c>
      <c r="N489" t="s">
        <v>33</v>
      </c>
      <c r="O489" t="s">
        <v>51</v>
      </c>
      <c r="P489" s="1">
        <v>45314</v>
      </c>
      <c r="Q489">
        <v>1184</v>
      </c>
      <c r="R489">
        <v>2433</v>
      </c>
      <c r="S489" t="s">
        <v>23</v>
      </c>
      <c r="T489">
        <v>2</v>
      </c>
      <c r="U489" t="s">
        <v>52</v>
      </c>
      <c r="V489" t="s">
        <v>59</v>
      </c>
      <c r="W489" t="s">
        <v>34</v>
      </c>
    </row>
    <row r="490" spans="1:23" x14ac:dyDescent="0.3">
      <c r="A490" t="s">
        <v>1103</v>
      </c>
      <c r="B490" t="s">
        <v>26</v>
      </c>
      <c r="C490" t="s">
        <v>110</v>
      </c>
      <c r="D490" t="s">
        <v>28</v>
      </c>
      <c r="E490" t="s">
        <v>16</v>
      </c>
      <c r="F490" t="s">
        <v>17</v>
      </c>
      <c r="G490" t="s">
        <v>18</v>
      </c>
      <c r="H490" t="s">
        <v>66</v>
      </c>
      <c r="I490" t="str">
        <f>LEFT(H490,FIND(" (",H490)-1)</f>
        <v>Senior</v>
      </c>
      <c r="J490" t="str">
        <f>MID(H490,FIND("(",H490)+1,FIND(")",H490)-FIND("(",H490)-1)</f>
        <v>5-8 yrs</v>
      </c>
      <c r="L490">
        <v>195552</v>
      </c>
      <c r="M490" t="s">
        <v>1104</v>
      </c>
      <c r="N490" t="s">
        <v>245</v>
      </c>
      <c r="O490" t="s">
        <v>79</v>
      </c>
      <c r="P490" s="1">
        <v>45375</v>
      </c>
      <c r="Q490">
        <v>1089</v>
      </c>
      <c r="R490">
        <v>2936</v>
      </c>
      <c r="S490" t="s">
        <v>23</v>
      </c>
      <c r="T490">
        <v>4</v>
      </c>
      <c r="U490" t="s">
        <v>83</v>
      </c>
      <c r="V490" t="s">
        <v>24</v>
      </c>
      <c r="W490" t="s">
        <v>34</v>
      </c>
    </row>
    <row r="491" spans="1:23" x14ac:dyDescent="0.3">
      <c r="A491" t="s">
        <v>1105</v>
      </c>
      <c r="B491" t="s">
        <v>61</v>
      </c>
      <c r="C491" t="s">
        <v>14</v>
      </c>
      <c r="D491" t="s">
        <v>49</v>
      </c>
      <c r="E491" t="s">
        <v>5139</v>
      </c>
      <c r="F491" t="s">
        <v>5133</v>
      </c>
      <c r="G491" t="s">
        <v>18</v>
      </c>
      <c r="H491" t="s">
        <v>66</v>
      </c>
      <c r="I491" t="str">
        <f>LEFT(H491,FIND(" (",H491)-1)</f>
        <v>Senior</v>
      </c>
      <c r="J491" t="str">
        <f>MID(H491,FIND("(",H491)+1,FIND(")",H491)-FIND("(",H491)-1)</f>
        <v>5-8 yrs</v>
      </c>
      <c r="L491">
        <v>173804</v>
      </c>
      <c r="M491" t="s">
        <v>1106</v>
      </c>
      <c r="N491" t="s">
        <v>94</v>
      </c>
      <c r="O491" t="s">
        <v>51</v>
      </c>
      <c r="P491" s="1">
        <v>45601</v>
      </c>
      <c r="Q491">
        <v>664</v>
      </c>
      <c r="R491">
        <v>1496</v>
      </c>
      <c r="S491" t="s">
        <v>99</v>
      </c>
      <c r="T491">
        <v>4</v>
      </c>
      <c r="U491" t="s">
        <v>45</v>
      </c>
      <c r="V491" t="s">
        <v>24</v>
      </c>
      <c r="W491" t="s">
        <v>23</v>
      </c>
    </row>
    <row r="492" spans="1:23" x14ac:dyDescent="0.3">
      <c r="A492" t="s">
        <v>1107</v>
      </c>
      <c r="B492" t="s">
        <v>36</v>
      </c>
      <c r="C492" t="s">
        <v>37</v>
      </c>
      <c r="D492" t="s">
        <v>63</v>
      </c>
      <c r="E492" t="s">
        <v>5137</v>
      </c>
      <c r="F492" t="s">
        <v>5138</v>
      </c>
      <c r="G492" t="s">
        <v>18</v>
      </c>
      <c r="H492" t="s">
        <v>19</v>
      </c>
      <c r="I492" t="str">
        <f>LEFT(H492,FIND(" (",H492)-1)</f>
        <v>Entry</v>
      </c>
      <c r="J492" t="str">
        <f>MID(H492,FIND("(",H492)+1,FIND(")",H492)-FIND("(",H492)-1)</f>
        <v>0-2 yrs</v>
      </c>
      <c r="L492">
        <v>69899</v>
      </c>
      <c r="M492" t="s">
        <v>1108</v>
      </c>
      <c r="N492" t="s">
        <v>33</v>
      </c>
      <c r="O492" t="s">
        <v>22</v>
      </c>
      <c r="P492" s="1">
        <v>45405</v>
      </c>
      <c r="Q492">
        <v>1729</v>
      </c>
      <c r="R492">
        <v>2879</v>
      </c>
      <c r="S492" t="s">
        <v>23</v>
      </c>
      <c r="T492">
        <v>0</v>
      </c>
      <c r="U492" t="s">
        <v>45</v>
      </c>
      <c r="V492" t="s">
        <v>24</v>
      </c>
      <c r="W492" t="s">
        <v>23</v>
      </c>
    </row>
    <row r="493" spans="1:23" x14ac:dyDescent="0.3">
      <c r="A493" t="s">
        <v>1109</v>
      </c>
      <c r="B493" t="s">
        <v>229</v>
      </c>
      <c r="C493" t="s">
        <v>74</v>
      </c>
      <c r="D493" t="s">
        <v>75</v>
      </c>
      <c r="E493" t="s">
        <v>5132</v>
      </c>
      <c r="F493" t="s">
        <v>5133</v>
      </c>
      <c r="G493" t="s">
        <v>55</v>
      </c>
      <c r="H493" t="s">
        <v>56</v>
      </c>
      <c r="I493" t="str">
        <f>LEFT(H493,FIND(" (",H493)-1)</f>
        <v>Mid</v>
      </c>
      <c r="J493" t="str">
        <f>MID(H493,FIND("(",H493)+1,FIND(")",H493)-FIND("(",H493)-1)</f>
        <v>2-5 yrs</v>
      </c>
      <c r="L493">
        <v>139302</v>
      </c>
      <c r="M493" t="s">
        <v>1110</v>
      </c>
      <c r="N493" t="s">
        <v>33</v>
      </c>
      <c r="O493" t="s">
        <v>51</v>
      </c>
      <c r="P493" s="1">
        <v>45491</v>
      </c>
      <c r="Q493">
        <v>1949</v>
      </c>
      <c r="R493">
        <v>1963</v>
      </c>
      <c r="S493" t="s">
        <v>23</v>
      </c>
      <c r="T493">
        <v>2</v>
      </c>
      <c r="U493" t="s">
        <v>45</v>
      </c>
      <c r="V493" t="s">
        <v>24</v>
      </c>
      <c r="W493" t="s">
        <v>23</v>
      </c>
    </row>
    <row r="494" spans="1:23" x14ac:dyDescent="0.3">
      <c r="A494" t="s">
        <v>1111</v>
      </c>
      <c r="B494" t="s">
        <v>61</v>
      </c>
      <c r="C494" t="s">
        <v>48</v>
      </c>
      <c r="D494" t="s">
        <v>111</v>
      </c>
      <c r="E494" t="s">
        <v>64</v>
      </c>
      <c r="F494" t="s">
        <v>65</v>
      </c>
      <c r="G494" t="s">
        <v>18</v>
      </c>
      <c r="H494" t="s">
        <v>56</v>
      </c>
      <c r="I494" t="str">
        <f>LEFT(H494,FIND(" (",H494)-1)</f>
        <v>Mid</v>
      </c>
      <c r="J494" t="str">
        <f>MID(H494,FIND("(",H494)+1,FIND(")",H494)-FIND("(",H494)-1)</f>
        <v>2-5 yrs</v>
      </c>
      <c r="L494">
        <v>111531</v>
      </c>
      <c r="M494" t="s">
        <v>1112</v>
      </c>
      <c r="N494" t="s">
        <v>33</v>
      </c>
      <c r="O494" t="s">
        <v>51</v>
      </c>
      <c r="P494" s="1">
        <v>45668</v>
      </c>
      <c r="Q494">
        <v>2175</v>
      </c>
      <c r="R494">
        <v>759</v>
      </c>
      <c r="S494" t="s">
        <v>23</v>
      </c>
      <c r="T494">
        <v>2</v>
      </c>
      <c r="U494" t="s">
        <v>45</v>
      </c>
      <c r="V494" t="s">
        <v>59</v>
      </c>
      <c r="W494" t="s">
        <v>23</v>
      </c>
    </row>
    <row r="495" spans="1:23" x14ac:dyDescent="0.3">
      <c r="A495" t="s">
        <v>1113</v>
      </c>
      <c r="B495" t="s">
        <v>36</v>
      </c>
      <c r="C495" t="s">
        <v>14</v>
      </c>
      <c r="D495" t="s">
        <v>174</v>
      </c>
      <c r="E495" t="s">
        <v>76</v>
      </c>
      <c r="F495" t="s">
        <v>77</v>
      </c>
      <c r="G495" t="s">
        <v>55</v>
      </c>
      <c r="H495" t="s">
        <v>31</v>
      </c>
      <c r="I495" t="str">
        <f>LEFT(H495,FIND(" (",H495)-1)</f>
        <v>Staff/Principal</v>
      </c>
      <c r="J495" t="str">
        <f>MID(H495,FIND("(",H495)+1,FIND(")",H495)-FIND("(",H495)-1)</f>
        <v>8+ yrs</v>
      </c>
      <c r="L495">
        <v>168993</v>
      </c>
      <c r="M495" t="s">
        <v>1114</v>
      </c>
      <c r="N495" t="s">
        <v>33</v>
      </c>
      <c r="O495" t="s">
        <v>44</v>
      </c>
      <c r="P495" s="1">
        <v>45743</v>
      </c>
      <c r="Q495">
        <v>625</v>
      </c>
      <c r="R495">
        <v>324</v>
      </c>
      <c r="S495" t="s">
        <v>23</v>
      </c>
      <c r="T495">
        <v>6</v>
      </c>
      <c r="U495" t="s">
        <v>5123</v>
      </c>
      <c r="V495" t="s">
        <v>24</v>
      </c>
      <c r="W495" t="s">
        <v>34</v>
      </c>
    </row>
    <row r="496" spans="1:23" x14ac:dyDescent="0.3">
      <c r="A496" t="s">
        <v>1115</v>
      </c>
      <c r="B496" t="s">
        <v>81</v>
      </c>
      <c r="C496" t="s">
        <v>182</v>
      </c>
      <c r="D496" t="s">
        <v>49</v>
      </c>
      <c r="E496" t="s">
        <v>5140</v>
      </c>
      <c r="F496" t="s">
        <v>5133</v>
      </c>
      <c r="G496" t="s">
        <v>55</v>
      </c>
      <c r="H496" t="s">
        <v>31</v>
      </c>
      <c r="I496" t="str">
        <f>LEFT(H496,FIND(" (",H496)-1)</f>
        <v>Staff/Principal</v>
      </c>
      <c r="J496" t="str">
        <f>MID(H496,FIND("(",H496)+1,FIND(")",H496)-FIND("(",H496)-1)</f>
        <v>8+ yrs</v>
      </c>
      <c r="L496">
        <v>254832</v>
      </c>
      <c r="M496" t="s">
        <v>1116</v>
      </c>
      <c r="N496" t="s">
        <v>33</v>
      </c>
      <c r="O496" t="s">
        <v>51</v>
      </c>
      <c r="P496" s="1">
        <v>45509</v>
      </c>
      <c r="Q496">
        <v>1078</v>
      </c>
      <c r="R496">
        <v>3740</v>
      </c>
      <c r="S496" t="s">
        <v>23</v>
      </c>
      <c r="T496">
        <v>6</v>
      </c>
      <c r="U496" t="s">
        <v>5123</v>
      </c>
      <c r="V496" t="s">
        <v>59</v>
      </c>
      <c r="W496" t="s">
        <v>23</v>
      </c>
    </row>
    <row r="497" spans="1:23" x14ac:dyDescent="0.3">
      <c r="A497" t="s">
        <v>1117</v>
      </c>
      <c r="B497" t="s">
        <v>225</v>
      </c>
      <c r="C497" t="s">
        <v>62</v>
      </c>
      <c r="D497" t="s">
        <v>174</v>
      </c>
      <c r="E497" t="s">
        <v>76</v>
      </c>
      <c r="F497" t="s">
        <v>77</v>
      </c>
      <c r="G497" t="s">
        <v>41</v>
      </c>
      <c r="H497" t="s">
        <v>56</v>
      </c>
      <c r="I497" t="str">
        <f>LEFT(H497,FIND(" (",H497)-1)</f>
        <v>Mid</v>
      </c>
      <c r="J497" t="str">
        <f>MID(H497,FIND("(",H497)+1,FIND(")",H497)-FIND("(",H497)-1)</f>
        <v>2-5 yrs</v>
      </c>
      <c r="L497">
        <v>120670</v>
      </c>
      <c r="M497" t="s">
        <v>1118</v>
      </c>
      <c r="N497" t="s">
        <v>68</v>
      </c>
      <c r="O497" t="s">
        <v>79</v>
      </c>
      <c r="P497" s="1">
        <v>45313</v>
      </c>
      <c r="Q497">
        <v>2031</v>
      </c>
      <c r="R497">
        <v>2039</v>
      </c>
      <c r="S497" t="s">
        <v>23</v>
      </c>
      <c r="T497">
        <v>2</v>
      </c>
      <c r="U497" t="s">
        <v>45</v>
      </c>
      <c r="V497" t="s">
        <v>46</v>
      </c>
      <c r="W497" t="s">
        <v>34</v>
      </c>
    </row>
    <row r="498" spans="1:23" x14ac:dyDescent="0.3">
      <c r="A498" t="s">
        <v>1119</v>
      </c>
      <c r="B498" t="s">
        <v>91</v>
      </c>
      <c r="C498" t="s">
        <v>239</v>
      </c>
      <c r="D498" t="s">
        <v>75</v>
      </c>
      <c r="E498" t="s">
        <v>230</v>
      </c>
      <c r="F498" t="s">
        <v>231</v>
      </c>
      <c r="G498" t="s">
        <v>18</v>
      </c>
      <c r="H498" t="s">
        <v>19</v>
      </c>
      <c r="I498" t="str">
        <f>LEFT(H498,FIND(" (",H498)-1)</f>
        <v>Entry</v>
      </c>
      <c r="J498" t="str">
        <f>MID(H498,FIND("(",H498)+1,FIND(")",H498)-FIND("(",H498)-1)</f>
        <v>0-2 yrs</v>
      </c>
      <c r="L498">
        <v>56930</v>
      </c>
      <c r="M498" t="s">
        <v>1120</v>
      </c>
      <c r="N498" t="s">
        <v>120</v>
      </c>
      <c r="O498" t="s">
        <v>44</v>
      </c>
      <c r="P498" s="1">
        <v>45442</v>
      </c>
      <c r="Q498">
        <v>445</v>
      </c>
      <c r="R498">
        <v>3841</v>
      </c>
      <c r="S498" t="s">
        <v>23</v>
      </c>
      <c r="T498">
        <v>0</v>
      </c>
      <c r="U498" t="s">
        <v>83</v>
      </c>
      <c r="V498" t="s">
        <v>59</v>
      </c>
      <c r="W498" t="s">
        <v>34</v>
      </c>
    </row>
    <row r="499" spans="1:23" x14ac:dyDescent="0.3">
      <c r="A499" t="s">
        <v>1121</v>
      </c>
      <c r="B499" t="s">
        <v>151</v>
      </c>
      <c r="C499" t="s">
        <v>124</v>
      </c>
      <c r="D499" t="s">
        <v>49</v>
      </c>
      <c r="E499" t="s">
        <v>5132</v>
      </c>
      <c r="F499" t="s">
        <v>5133</v>
      </c>
      <c r="G499" t="s">
        <v>18</v>
      </c>
      <c r="H499" t="s">
        <v>31</v>
      </c>
      <c r="I499" t="str">
        <f>LEFT(H499,FIND(" (",H499)-1)</f>
        <v>Staff/Principal</v>
      </c>
      <c r="J499" t="str">
        <f>MID(H499,FIND("(",H499)+1,FIND(")",H499)-FIND("(",H499)-1)</f>
        <v>8+ yrs</v>
      </c>
      <c r="L499">
        <v>193147</v>
      </c>
      <c r="M499" t="s">
        <v>1122</v>
      </c>
      <c r="N499" t="s">
        <v>43</v>
      </c>
      <c r="O499" t="s">
        <v>51</v>
      </c>
      <c r="P499" s="1">
        <v>45346</v>
      </c>
      <c r="Q499">
        <v>1109</v>
      </c>
      <c r="R499">
        <v>357</v>
      </c>
      <c r="S499" t="s">
        <v>23</v>
      </c>
      <c r="T499">
        <v>6</v>
      </c>
      <c r="U499" t="s">
        <v>52</v>
      </c>
      <c r="V499" t="s">
        <v>24</v>
      </c>
      <c r="W499" t="s">
        <v>23</v>
      </c>
    </row>
    <row r="500" spans="1:23" x14ac:dyDescent="0.3">
      <c r="A500" t="s">
        <v>1123</v>
      </c>
      <c r="B500" t="s">
        <v>151</v>
      </c>
      <c r="C500" t="s">
        <v>101</v>
      </c>
      <c r="D500" t="s">
        <v>63</v>
      </c>
      <c r="E500" t="s">
        <v>16</v>
      </c>
      <c r="F500" t="s">
        <v>17</v>
      </c>
      <c r="G500" t="s">
        <v>18</v>
      </c>
      <c r="H500" t="s">
        <v>56</v>
      </c>
      <c r="I500" t="str">
        <f>LEFT(H500,FIND(" (",H500)-1)</f>
        <v>Mid</v>
      </c>
      <c r="J500" t="str">
        <f>MID(H500,FIND("(",H500)+1,FIND(")",H500)-FIND("(",H500)-1)</f>
        <v>2-5 yrs</v>
      </c>
      <c r="L500">
        <v>92662</v>
      </c>
      <c r="M500" t="s">
        <v>1124</v>
      </c>
      <c r="N500" t="s">
        <v>120</v>
      </c>
      <c r="O500" t="s">
        <v>51</v>
      </c>
      <c r="P500" s="1">
        <v>45494</v>
      </c>
      <c r="Q500">
        <v>2099</v>
      </c>
      <c r="R500">
        <v>672</v>
      </c>
      <c r="S500" t="s">
        <v>34</v>
      </c>
      <c r="T500">
        <v>2</v>
      </c>
      <c r="U500" t="s">
        <v>58</v>
      </c>
      <c r="V500" t="s">
        <v>24</v>
      </c>
      <c r="W500" t="s">
        <v>23</v>
      </c>
    </row>
    <row r="501" spans="1:23" x14ac:dyDescent="0.3">
      <c r="A501" t="s">
        <v>1125</v>
      </c>
      <c r="B501" t="s">
        <v>106</v>
      </c>
      <c r="C501" t="s">
        <v>48</v>
      </c>
      <c r="D501" t="s">
        <v>28</v>
      </c>
      <c r="E501" t="s">
        <v>87</v>
      </c>
      <c r="F501" t="s">
        <v>87</v>
      </c>
      <c r="G501" t="s">
        <v>18</v>
      </c>
      <c r="H501" t="s">
        <v>19</v>
      </c>
      <c r="I501" t="str">
        <f>LEFT(H501,FIND(" (",H501)-1)</f>
        <v>Entry</v>
      </c>
      <c r="J501" t="str">
        <f>MID(H501,FIND("(",H501)+1,FIND(")",H501)-FIND("(",H501)-1)</f>
        <v>0-2 yrs</v>
      </c>
      <c r="L501">
        <v>52576</v>
      </c>
      <c r="M501" t="s">
        <v>1126</v>
      </c>
      <c r="N501" t="s">
        <v>89</v>
      </c>
      <c r="O501" t="s">
        <v>22</v>
      </c>
      <c r="P501" s="1">
        <v>45360</v>
      </c>
      <c r="Q501">
        <v>2303</v>
      </c>
      <c r="R501">
        <v>2263</v>
      </c>
      <c r="S501" t="s">
        <v>23</v>
      </c>
      <c r="T501">
        <v>0</v>
      </c>
      <c r="U501" t="s">
        <v>52</v>
      </c>
      <c r="V501" t="s">
        <v>24</v>
      </c>
      <c r="W501" t="s">
        <v>23</v>
      </c>
    </row>
    <row r="502" spans="1:23" x14ac:dyDescent="0.3">
      <c r="A502" t="s">
        <v>1127</v>
      </c>
      <c r="B502" t="s">
        <v>137</v>
      </c>
      <c r="C502" t="s">
        <v>132</v>
      </c>
      <c r="D502" t="s">
        <v>174</v>
      </c>
      <c r="E502" t="s">
        <v>64</v>
      </c>
      <c r="F502" t="s">
        <v>65</v>
      </c>
      <c r="G502" t="s">
        <v>18</v>
      </c>
      <c r="H502" t="s">
        <v>31</v>
      </c>
      <c r="I502" t="str">
        <f>LEFT(H502,FIND(" (",H502)-1)</f>
        <v>Staff/Principal</v>
      </c>
      <c r="J502" t="str">
        <f>MID(H502,FIND("(",H502)+1,FIND(")",H502)-FIND("(",H502)-1)</f>
        <v>8+ yrs</v>
      </c>
      <c r="L502">
        <v>233342</v>
      </c>
      <c r="M502" t="s">
        <v>1128</v>
      </c>
      <c r="N502" t="s">
        <v>245</v>
      </c>
      <c r="O502" t="s">
        <v>51</v>
      </c>
      <c r="P502" s="1">
        <v>45347</v>
      </c>
      <c r="Q502">
        <v>332</v>
      </c>
      <c r="R502">
        <v>1789</v>
      </c>
      <c r="S502" t="s">
        <v>23</v>
      </c>
      <c r="T502">
        <v>6</v>
      </c>
      <c r="U502" t="s">
        <v>45</v>
      </c>
      <c r="V502" t="s">
        <v>24</v>
      </c>
      <c r="W502" t="s">
        <v>23</v>
      </c>
    </row>
    <row r="503" spans="1:23" x14ac:dyDescent="0.3">
      <c r="A503" t="s">
        <v>1129</v>
      </c>
      <c r="B503" t="s">
        <v>91</v>
      </c>
      <c r="C503" t="s">
        <v>204</v>
      </c>
      <c r="D503" t="s">
        <v>63</v>
      </c>
      <c r="E503" t="s">
        <v>76</v>
      </c>
      <c r="F503" t="s">
        <v>77</v>
      </c>
      <c r="G503" t="s">
        <v>18</v>
      </c>
      <c r="H503" t="s">
        <v>56</v>
      </c>
      <c r="I503" t="str">
        <f>LEFT(H503,FIND(" (",H503)-1)</f>
        <v>Mid</v>
      </c>
      <c r="J503" t="str">
        <f>MID(H503,FIND("(",H503)+1,FIND(")",H503)-FIND("(",H503)-1)</f>
        <v>2-5 yrs</v>
      </c>
      <c r="L503">
        <v>147806</v>
      </c>
      <c r="M503" t="s">
        <v>1130</v>
      </c>
      <c r="N503" t="s">
        <v>141</v>
      </c>
      <c r="O503" t="s">
        <v>44</v>
      </c>
      <c r="P503" s="1">
        <v>45435</v>
      </c>
      <c r="Q503">
        <v>722</v>
      </c>
      <c r="R503">
        <v>2881</v>
      </c>
      <c r="S503" t="s">
        <v>23</v>
      </c>
      <c r="T503">
        <v>2</v>
      </c>
      <c r="U503" t="s">
        <v>83</v>
      </c>
      <c r="V503" t="s">
        <v>24</v>
      </c>
      <c r="W503" t="s">
        <v>23</v>
      </c>
    </row>
    <row r="504" spans="1:23" x14ac:dyDescent="0.3">
      <c r="A504" t="s">
        <v>1131</v>
      </c>
      <c r="B504" t="s">
        <v>143</v>
      </c>
      <c r="C504" t="s">
        <v>204</v>
      </c>
      <c r="D504" t="s">
        <v>49</v>
      </c>
      <c r="E504" t="s">
        <v>29</v>
      </c>
      <c r="F504" t="s">
        <v>30</v>
      </c>
      <c r="G504" t="s">
        <v>18</v>
      </c>
      <c r="H504" t="s">
        <v>56</v>
      </c>
      <c r="I504" t="str">
        <f>LEFT(H504,FIND(" (",H504)-1)</f>
        <v>Mid</v>
      </c>
      <c r="J504" t="str">
        <f>MID(H504,FIND("(",H504)+1,FIND(")",H504)-FIND("(",H504)-1)</f>
        <v>2-5 yrs</v>
      </c>
      <c r="L504">
        <v>82308</v>
      </c>
      <c r="M504" t="s">
        <v>1132</v>
      </c>
      <c r="N504" t="s">
        <v>21</v>
      </c>
      <c r="O504" t="s">
        <v>44</v>
      </c>
      <c r="P504" s="1">
        <v>45497</v>
      </c>
      <c r="Q504">
        <v>1857</v>
      </c>
      <c r="R504">
        <v>1678</v>
      </c>
      <c r="S504" t="s">
        <v>23</v>
      </c>
      <c r="T504">
        <v>2</v>
      </c>
      <c r="U504" t="s">
        <v>52</v>
      </c>
      <c r="V504" t="s">
        <v>24</v>
      </c>
      <c r="W504" t="s">
        <v>34</v>
      </c>
    </row>
    <row r="505" spans="1:23" x14ac:dyDescent="0.3">
      <c r="A505" t="s">
        <v>1133</v>
      </c>
      <c r="B505" t="s">
        <v>229</v>
      </c>
      <c r="C505" t="s">
        <v>167</v>
      </c>
      <c r="D505" t="s">
        <v>15</v>
      </c>
      <c r="E505" t="s">
        <v>5135</v>
      </c>
      <c r="F505" t="s">
        <v>5133</v>
      </c>
      <c r="G505" t="s">
        <v>18</v>
      </c>
      <c r="H505" t="s">
        <v>31</v>
      </c>
      <c r="I505" t="str">
        <f>LEFT(H505,FIND(" (",H505)-1)</f>
        <v>Staff/Principal</v>
      </c>
      <c r="J505" t="str">
        <f>MID(H505,FIND("(",H505)+1,FIND(")",H505)-FIND("(",H505)-1)</f>
        <v>8+ yrs</v>
      </c>
      <c r="L505">
        <v>220266</v>
      </c>
      <c r="M505" t="s">
        <v>1134</v>
      </c>
      <c r="N505" t="s">
        <v>186</v>
      </c>
      <c r="O505" t="s">
        <v>22</v>
      </c>
      <c r="P505" s="1">
        <v>45429</v>
      </c>
      <c r="Q505">
        <v>1617</v>
      </c>
      <c r="R505">
        <v>878</v>
      </c>
      <c r="S505" t="s">
        <v>23</v>
      </c>
      <c r="T505">
        <v>6</v>
      </c>
      <c r="U505" t="s">
        <v>45</v>
      </c>
      <c r="V505" t="s">
        <v>59</v>
      </c>
      <c r="W505" t="s">
        <v>34</v>
      </c>
    </row>
    <row r="506" spans="1:23" x14ac:dyDescent="0.3">
      <c r="A506" t="s">
        <v>1135</v>
      </c>
      <c r="B506" t="s">
        <v>222</v>
      </c>
      <c r="C506" t="s">
        <v>71</v>
      </c>
      <c r="D506" t="s">
        <v>125</v>
      </c>
      <c r="E506" t="s">
        <v>159</v>
      </c>
      <c r="F506" t="s">
        <v>160</v>
      </c>
      <c r="G506" t="s">
        <v>18</v>
      </c>
      <c r="H506" t="s">
        <v>66</v>
      </c>
      <c r="I506" t="str">
        <f>LEFT(H506,FIND(" (",H506)-1)</f>
        <v>Senior</v>
      </c>
      <c r="J506" t="str">
        <f>MID(H506,FIND("(",H506)+1,FIND(")",H506)-FIND("(",H506)-1)</f>
        <v>5-8 yrs</v>
      </c>
      <c r="L506">
        <v>132432</v>
      </c>
      <c r="M506" t="s">
        <v>1136</v>
      </c>
      <c r="N506" t="s">
        <v>33</v>
      </c>
      <c r="O506" t="s">
        <v>51</v>
      </c>
      <c r="P506" s="1">
        <v>45447</v>
      </c>
      <c r="Q506">
        <v>1780</v>
      </c>
      <c r="R506">
        <v>3053</v>
      </c>
      <c r="S506" t="s">
        <v>23</v>
      </c>
      <c r="T506">
        <v>4</v>
      </c>
      <c r="U506" t="s">
        <v>83</v>
      </c>
      <c r="V506" t="s">
        <v>24</v>
      </c>
      <c r="W506" t="s">
        <v>34</v>
      </c>
    </row>
    <row r="507" spans="1:23" x14ac:dyDescent="0.3">
      <c r="A507" t="s">
        <v>1137</v>
      </c>
      <c r="B507" t="s">
        <v>36</v>
      </c>
      <c r="C507" t="s">
        <v>37</v>
      </c>
      <c r="D507" t="s">
        <v>38</v>
      </c>
      <c r="E507" t="s">
        <v>200</v>
      </c>
      <c r="F507" t="s">
        <v>201</v>
      </c>
      <c r="G507" t="s">
        <v>18</v>
      </c>
      <c r="H507" t="s">
        <v>56</v>
      </c>
      <c r="I507" t="str">
        <f>LEFT(H507,FIND(" (",H507)-1)</f>
        <v>Mid</v>
      </c>
      <c r="J507" t="str">
        <f>MID(H507,FIND("(",H507)+1,FIND(")",H507)-FIND("(",H507)-1)</f>
        <v>2-5 yrs</v>
      </c>
      <c r="L507">
        <v>100354</v>
      </c>
      <c r="M507" t="s">
        <v>1138</v>
      </c>
      <c r="N507" t="s">
        <v>186</v>
      </c>
      <c r="O507" t="s">
        <v>22</v>
      </c>
      <c r="P507" s="1">
        <v>45746</v>
      </c>
      <c r="Q507">
        <v>2125</v>
      </c>
      <c r="R507">
        <v>3800</v>
      </c>
      <c r="S507" t="s">
        <v>34</v>
      </c>
      <c r="T507">
        <v>2</v>
      </c>
      <c r="U507" t="s">
        <v>83</v>
      </c>
      <c r="V507" t="s">
        <v>24</v>
      </c>
      <c r="W507" t="s">
        <v>34</v>
      </c>
    </row>
    <row r="508" spans="1:23" x14ac:dyDescent="0.3">
      <c r="A508" t="s">
        <v>1139</v>
      </c>
      <c r="B508" t="s">
        <v>96</v>
      </c>
      <c r="C508" t="s">
        <v>226</v>
      </c>
      <c r="D508" t="s">
        <v>174</v>
      </c>
      <c r="E508" t="s">
        <v>133</v>
      </c>
      <c r="F508" t="s">
        <v>134</v>
      </c>
      <c r="G508" t="s">
        <v>41</v>
      </c>
      <c r="H508" t="s">
        <v>56</v>
      </c>
      <c r="I508" t="str">
        <f>LEFT(H508,FIND(" (",H508)-1)</f>
        <v>Mid</v>
      </c>
      <c r="J508" t="str">
        <f>MID(H508,FIND("(",H508)+1,FIND(")",H508)-FIND("(",H508)-1)</f>
        <v>2-5 yrs</v>
      </c>
      <c r="L508">
        <v>98270</v>
      </c>
      <c r="M508" t="s">
        <v>1140</v>
      </c>
      <c r="N508" t="s">
        <v>94</v>
      </c>
      <c r="O508" t="s">
        <v>51</v>
      </c>
      <c r="P508" s="1">
        <v>45314</v>
      </c>
      <c r="Q508">
        <v>780</v>
      </c>
      <c r="R508">
        <v>3740</v>
      </c>
      <c r="S508" t="s">
        <v>23</v>
      </c>
      <c r="T508">
        <v>2</v>
      </c>
      <c r="U508" t="s">
        <v>58</v>
      </c>
      <c r="V508" t="s">
        <v>24</v>
      </c>
      <c r="W508" t="s">
        <v>23</v>
      </c>
    </row>
    <row r="509" spans="1:23" x14ac:dyDescent="0.3">
      <c r="A509" t="s">
        <v>1141</v>
      </c>
      <c r="B509" t="s">
        <v>131</v>
      </c>
      <c r="C509" t="s">
        <v>204</v>
      </c>
      <c r="D509" t="s">
        <v>147</v>
      </c>
      <c r="E509" t="s">
        <v>102</v>
      </c>
      <c r="F509" t="s">
        <v>103</v>
      </c>
      <c r="G509" t="s">
        <v>41</v>
      </c>
      <c r="H509" t="s">
        <v>19</v>
      </c>
      <c r="I509" t="str">
        <f>LEFT(H509,FIND(" (",H509)-1)</f>
        <v>Entry</v>
      </c>
      <c r="J509" t="str">
        <f>MID(H509,FIND("(",H509)+1,FIND(")",H509)-FIND("(",H509)-1)</f>
        <v>0-2 yrs</v>
      </c>
      <c r="L509">
        <v>59113</v>
      </c>
      <c r="M509" t="s">
        <v>1142</v>
      </c>
      <c r="N509" t="s">
        <v>33</v>
      </c>
      <c r="O509" t="s">
        <v>51</v>
      </c>
      <c r="P509" s="1">
        <v>45648</v>
      </c>
      <c r="Q509">
        <v>2480</v>
      </c>
      <c r="R509">
        <v>3574</v>
      </c>
      <c r="S509" t="s">
        <v>23</v>
      </c>
      <c r="T509">
        <v>0</v>
      </c>
      <c r="U509" t="s">
        <v>5123</v>
      </c>
      <c r="V509" t="s">
        <v>24</v>
      </c>
      <c r="W509" t="s">
        <v>23</v>
      </c>
    </row>
    <row r="510" spans="1:23" x14ac:dyDescent="0.3">
      <c r="A510" t="s">
        <v>1143</v>
      </c>
      <c r="B510" t="s">
        <v>137</v>
      </c>
      <c r="C510" t="s">
        <v>86</v>
      </c>
      <c r="D510" t="s">
        <v>75</v>
      </c>
      <c r="E510" t="s">
        <v>5134</v>
      </c>
      <c r="F510" t="s">
        <v>5133</v>
      </c>
      <c r="G510" t="s">
        <v>41</v>
      </c>
      <c r="H510" t="s">
        <v>31</v>
      </c>
      <c r="I510" t="str">
        <f>LEFT(H510,FIND(" (",H510)-1)</f>
        <v>Staff/Principal</v>
      </c>
      <c r="J510" t="str">
        <f>MID(H510,FIND("(",H510)+1,FIND(")",H510)-FIND("(",H510)-1)</f>
        <v>8+ yrs</v>
      </c>
      <c r="L510">
        <v>201746</v>
      </c>
      <c r="M510" t="s">
        <v>1144</v>
      </c>
      <c r="N510" t="s">
        <v>186</v>
      </c>
      <c r="O510" t="s">
        <v>51</v>
      </c>
      <c r="P510" s="1">
        <v>45397</v>
      </c>
      <c r="Q510">
        <v>2450</v>
      </c>
      <c r="R510">
        <v>1070</v>
      </c>
      <c r="S510" t="s">
        <v>23</v>
      </c>
      <c r="T510">
        <v>6</v>
      </c>
      <c r="U510" t="s">
        <v>52</v>
      </c>
      <c r="V510" t="s">
        <v>24</v>
      </c>
      <c r="W510" t="s">
        <v>34</v>
      </c>
    </row>
    <row r="511" spans="1:23" x14ac:dyDescent="0.3">
      <c r="A511" t="s">
        <v>1145</v>
      </c>
      <c r="B511" t="s">
        <v>13</v>
      </c>
      <c r="C511" t="s">
        <v>173</v>
      </c>
      <c r="D511" t="s">
        <v>15</v>
      </c>
      <c r="E511" t="s">
        <v>29</v>
      </c>
      <c r="F511" t="s">
        <v>30</v>
      </c>
      <c r="G511" t="s">
        <v>18</v>
      </c>
      <c r="H511" t="s">
        <v>56</v>
      </c>
      <c r="I511" t="str">
        <f>LEFT(H511,FIND(" (",H511)-1)</f>
        <v>Mid</v>
      </c>
      <c r="J511" t="str">
        <f>MID(H511,FIND("(",H511)+1,FIND(")",H511)-FIND("(",H511)-1)</f>
        <v>2-5 yrs</v>
      </c>
      <c r="L511">
        <v>93547</v>
      </c>
      <c r="M511" t="s">
        <v>1146</v>
      </c>
      <c r="N511" t="s">
        <v>33</v>
      </c>
      <c r="O511" t="s">
        <v>51</v>
      </c>
      <c r="P511" s="1">
        <v>45413</v>
      </c>
      <c r="Q511">
        <v>1319</v>
      </c>
      <c r="R511">
        <v>3382</v>
      </c>
      <c r="S511" t="s">
        <v>34</v>
      </c>
      <c r="T511">
        <v>2</v>
      </c>
      <c r="U511" t="s">
        <v>5123</v>
      </c>
      <c r="V511" t="s">
        <v>24</v>
      </c>
      <c r="W511" t="s">
        <v>34</v>
      </c>
    </row>
    <row r="512" spans="1:23" x14ac:dyDescent="0.3">
      <c r="A512" t="s">
        <v>1147</v>
      </c>
      <c r="B512" t="s">
        <v>85</v>
      </c>
      <c r="C512" t="s">
        <v>97</v>
      </c>
      <c r="D512" t="s">
        <v>15</v>
      </c>
      <c r="E512" t="s">
        <v>5132</v>
      </c>
      <c r="F512" t="s">
        <v>5133</v>
      </c>
      <c r="G512" t="s">
        <v>18</v>
      </c>
      <c r="H512" t="s">
        <v>66</v>
      </c>
      <c r="I512" t="str">
        <f>LEFT(H512,FIND(" (",H512)-1)</f>
        <v>Senior</v>
      </c>
      <c r="J512" t="str">
        <f>MID(H512,FIND("(",H512)+1,FIND(")",H512)-FIND("(",H512)-1)</f>
        <v>5-8 yrs</v>
      </c>
      <c r="L512">
        <v>157302</v>
      </c>
      <c r="M512" t="s">
        <v>1148</v>
      </c>
      <c r="N512" t="s">
        <v>33</v>
      </c>
      <c r="O512" t="s">
        <v>44</v>
      </c>
      <c r="P512" s="1">
        <v>45653</v>
      </c>
      <c r="Q512">
        <v>1198</v>
      </c>
      <c r="R512">
        <v>3002</v>
      </c>
      <c r="S512" t="s">
        <v>99</v>
      </c>
      <c r="T512">
        <v>4</v>
      </c>
      <c r="U512" t="s">
        <v>52</v>
      </c>
      <c r="V512" t="s">
        <v>24</v>
      </c>
      <c r="W512" t="s">
        <v>34</v>
      </c>
    </row>
    <row r="513" spans="1:23" x14ac:dyDescent="0.3">
      <c r="A513" t="s">
        <v>1149</v>
      </c>
      <c r="B513" t="s">
        <v>143</v>
      </c>
      <c r="C513" t="s">
        <v>209</v>
      </c>
      <c r="D513" t="s">
        <v>63</v>
      </c>
      <c r="E513" t="s">
        <v>5134</v>
      </c>
      <c r="F513" t="s">
        <v>5133</v>
      </c>
      <c r="G513" t="s">
        <v>55</v>
      </c>
      <c r="H513" t="s">
        <v>19</v>
      </c>
      <c r="I513" t="str">
        <f>LEFT(H513,FIND(" (",H513)-1)</f>
        <v>Entry</v>
      </c>
      <c r="J513" t="str">
        <f>MID(H513,FIND("(",H513)+1,FIND(")",H513)-FIND("(",H513)-1)</f>
        <v>0-2 yrs</v>
      </c>
      <c r="L513">
        <v>69366</v>
      </c>
      <c r="M513" t="s">
        <v>1150</v>
      </c>
      <c r="N513" t="s">
        <v>141</v>
      </c>
      <c r="O513" t="s">
        <v>22</v>
      </c>
      <c r="P513" s="1">
        <v>45423</v>
      </c>
      <c r="Q513">
        <v>2077</v>
      </c>
      <c r="R513">
        <v>1519</v>
      </c>
      <c r="S513" t="s">
        <v>34</v>
      </c>
      <c r="T513">
        <v>0</v>
      </c>
      <c r="U513" t="s">
        <v>58</v>
      </c>
      <c r="V513" t="s">
        <v>24</v>
      </c>
      <c r="W513" t="s">
        <v>34</v>
      </c>
    </row>
    <row r="514" spans="1:23" x14ac:dyDescent="0.3">
      <c r="A514" t="s">
        <v>1151</v>
      </c>
      <c r="B514" t="s">
        <v>222</v>
      </c>
      <c r="C514" t="s">
        <v>116</v>
      </c>
      <c r="D514" t="s">
        <v>147</v>
      </c>
      <c r="E514" t="s">
        <v>87</v>
      </c>
      <c r="F514" t="s">
        <v>87</v>
      </c>
      <c r="G514" t="s">
        <v>41</v>
      </c>
      <c r="H514" t="s">
        <v>56</v>
      </c>
      <c r="I514" t="str">
        <f>LEFT(H514,FIND(" (",H514)-1)</f>
        <v>Mid</v>
      </c>
      <c r="J514" t="str">
        <f>MID(H514,FIND("(",H514)+1,FIND(")",H514)-FIND("(",H514)-1)</f>
        <v>2-5 yrs</v>
      </c>
      <c r="L514">
        <v>105268</v>
      </c>
      <c r="M514" t="s">
        <v>1152</v>
      </c>
      <c r="N514" t="s">
        <v>33</v>
      </c>
      <c r="O514" t="s">
        <v>51</v>
      </c>
      <c r="P514" s="1">
        <v>45665</v>
      </c>
      <c r="Q514">
        <v>1069</v>
      </c>
      <c r="R514">
        <v>294</v>
      </c>
      <c r="S514" t="s">
        <v>34</v>
      </c>
      <c r="T514">
        <v>2</v>
      </c>
      <c r="U514" t="s">
        <v>58</v>
      </c>
      <c r="V514" t="s">
        <v>24</v>
      </c>
      <c r="W514" t="s">
        <v>23</v>
      </c>
    </row>
    <row r="515" spans="1:23" x14ac:dyDescent="0.3">
      <c r="A515" t="s">
        <v>1153</v>
      </c>
      <c r="B515" t="s">
        <v>137</v>
      </c>
      <c r="C515" t="s">
        <v>116</v>
      </c>
      <c r="D515" t="s">
        <v>15</v>
      </c>
      <c r="E515" t="s">
        <v>76</v>
      </c>
      <c r="F515" t="s">
        <v>77</v>
      </c>
      <c r="G515" t="s">
        <v>18</v>
      </c>
      <c r="H515" t="s">
        <v>19</v>
      </c>
      <c r="I515" t="str">
        <f>LEFT(H515,FIND(" (",H515)-1)</f>
        <v>Entry</v>
      </c>
      <c r="J515" t="str">
        <f>MID(H515,FIND("(",H515)+1,FIND(")",H515)-FIND("(",H515)-1)</f>
        <v>0-2 yrs</v>
      </c>
      <c r="L515">
        <v>58564</v>
      </c>
      <c r="M515" t="s">
        <v>1154</v>
      </c>
      <c r="N515" t="s">
        <v>149</v>
      </c>
      <c r="O515" t="s">
        <v>44</v>
      </c>
      <c r="P515" s="1">
        <v>45676</v>
      </c>
      <c r="Q515">
        <v>479</v>
      </c>
      <c r="R515">
        <v>551</v>
      </c>
      <c r="S515" t="s">
        <v>34</v>
      </c>
      <c r="T515">
        <v>0</v>
      </c>
      <c r="U515" t="s">
        <v>5123</v>
      </c>
      <c r="V515" t="s">
        <v>24</v>
      </c>
      <c r="W515" t="s">
        <v>23</v>
      </c>
    </row>
    <row r="516" spans="1:23" x14ac:dyDescent="0.3">
      <c r="A516" t="s">
        <v>1155</v>
      </c>
      <c r="B516" t="s">
        <v>85</v>
      </c>
      <c r="C516" t="s">
        <v>86</v>
      </c>
      <c r="D516" t="s">
        <v>63</v>
      </c>
      <c r="E516" t="s">
        <v>5140</v>
      </c>
      <c r="F516" t="s">
        <v>5133</v>
      </c>
      <c r="G516" t="s">
        <v>55</v>
      </c>
      <c r="H516" t="s">
        <v>19</v>
      </c>
      <c r="I516" t="str">
        <f>LEFT(H516,FIND(" (",H516)-1)</f>
        <v>Entry</v>
      </c>
      <c r="J516" t="str">
        <f>MID(H516,FIND("(",H516)+1,FIND(")",H516)-FIND("(",H516)-1)</f>
        <v>0-2 yrs</v>
      </c>
      <c r="L516">
        <v>62732</v>
      </c>
      <c r="M516" t="s">
        <v>1156</v>
      </c>
      <c r="N516" t="s">
        <v>21</v>
      </c>
      <c r="O516" t="s">
        <v>44</v>
      </c>
      <c r="P516" s="1">
        <v>45346</v>
      </c>
      <c r="Q516">
        <v>1559</v>
      </c>
      <c r="R516">
        <v>1368</v>
      </c>
      <c r="S516" t="s">
        <v>23</v>
      </c>
      <c r="T516">
        <v>0</v>
      </c>
      <c r="U516" t="s">
        <v>52</v>
      </c>
      <c r="V516" t="s">
        <v>24</v>
      </c>
      <c r="W516" t="s">
        <v>23</v>
      </c>
    </row>
    <row r="517" spans="1:23" x14ac:dyDescent="0.3">
      <c r="A517" t="s">
        <v>1157</v>
      </c>
      <c r="B517" t="s">
        <v>26</v>
      </c>
      <c r="C517" t="s">
        <v>54</v>
      </c>
      <c r="D517" t="s">
        <v>125</v>
      </c>
      <c r="E517" t="s">
        <v>5140</v>
      </c>
      <c r="F517" t="s">
        <v>5133</v>
      </c>
      <c r="G517" t="s">
        <v>55</v>
      </c>
      <c r="H517" t="s">
        <v>19</v>
      </c>
      <c r="I517" t="str">
        <f>LEFT(H517,FIND(" (",H517)-1)</f>
        <v>Entry</v>
      </c>
      <c r="J517" t="str">
        <f>MID(H517,FIND("(",H517)+1,FIND(")",H517)-FIND("(",H517)-1)</f>
        <v>0-2 yrs</v>
      </c>
      <c r="L517">
        <v>79517</v>
      </c>
      <c r="M517" t="s">
        <v>1158</v>
      </c>
      <c r="N517" t="s">
        <v>141</v>
      </c>
      <c r="O517" t="s">
        <v>51</v>
      </c>
      <c r="P517" s="1">
        <v>45344</v>
      </c>
      <c r="Q517">
        <v>1474</v>
      </c>
      <c r="R517">
        <v>935</v>
      </c>
      <c r="S517" t="s">
        <v>99</v>
      </c>
      <c r="T517">
        <v>0</v>
      </c>
      <c r="U517" t="s">
        <v>58</v>
      </c>
      <c r="V517" t="s">
        <v>24</v>
      </c>
      <c r="W517" t="s">
        <v>23</v>
      </c>
    </row>
    <row r="518" spans="1:23" x14ac:dyDescent="0.3">
      <c r="A518" t="s">
        <v>1159</v>
      </c>
      <c r="B518" t="s">
        <v>13</v>
      </c>
      <c r="C518" t="s">
        <v>226</v>
      </c>
      <c r="D518" t="s">
        <v>49</v>
      </c>
      <c r="E518" t="s">
        <v>102</v>
      </c>
      <c r="F518" t="s">
        <v>103</v>
      </c>
      <c r="G518" t="s">
        <v>55</v>
      </c>
      <c r="H518" t="s">
        <v>31</v>
      </c>
      <c r="I518" t="str">
        <f>LEFT(H518,FIND(" (",H518)-1)</f>
        <v>Staff/Principal</v>
      </c>
      <c r="J518" t="str">
        <f>MID(H518,FIND("(",H518)+1,FIND(")",H518)-FIND("(",H518)-1)</f>
        <v>8+ yrs</v>
      </c>
      <c r="L518">
        <v>218033</v>
      </c>
      <c r="M518" t="s">
        <v>1160</v>
      </c>
      <c r="N518" t="s">
        <v>149</v>
      </c>
      <c r="O518" t="s">
        <v>44</v>
      </c>
      <c r="P518" s="1">
        <v>45406</v>
      </c>
      <c r="Q518">
        <v>918</v>
      </c>
      <c r="R518">
        <v>739</v>
      </c>
      <c r="S518" t="s">
        <v>23</v>
      </c>
      <c r="T518">
        <v>6</v>
      </c>
      <c r="U518" t="s">
        <v>45</v>
      </c>
      <c r="V518" t="s">
        <v>24</v>
      </c>
      <c r="W518" t="s">
        <v>23</v>
      </c>
    </row>
    <row r="519" spans="1:23" x14ac:dyDescent="0.3">
      <c r="A519" t="s">
        <v>1161</v>
      </c>
      <c r="B519" t="s">
        <v>61</v>
      </c>
      <c r="C519" t="s">
        <v>158</v>
      </c>
      <c r="D519" t="s">
        <v>49</v>
      </c>
      <c r="E519" t="s">
        <v>216</v>
      </c>
      <c r="F519" t="s">
        <v>217</v>
      </c>
      <c r="G519" t="s">
        <v>55</v>
      </c>
      <c r="H519" t="s">
        <v>66</v>
      </c>
      <c r="I519" t="str">
        <f>LEFT(H519,FIND(" (",H519)-1)</f>
        <v>Senior</v>
      </c>
      <c r="J519" t="str">
        <f>MID(H519,FIND("(",H519)+1,FIND(")",H519)-FIND("(",H519)-1)</f>
        <v>5-8 yrs</v>
      </c>
      <c r="L519">
        <v>123606</v>
      </c>
      <c r="M519" t="s">
        <v>1162</v>
      </c>
      <c r="N519" t="s">
        <v>120</v>
      </c>
      <c r="O519" t="s">
        <v>44</v>
      </c>
      <c r="P519" s="1">
        <v>45470</v>
      </c>
      <c r="Q519">
        <v>908</v>
      </c>
      <c r="R519">
        <v>3195</v>
      </c>
      <c r="S519" t="s">
        <v>23</v>
      </c>
      <c r="T519">
        <v>4</v>
      </c>
      <c r="U519" t="s">
        <v>45</v>
      </c>
      <c r="V519" t="s">
        <v>24</v>
      </c>
      <c r="W519" t="s">
        <v>34</v>
      </c>
    </row>
    <row r="520" spans="1:23" x14ac:dyDescent="0.3">
      <c r="A520" t="s">
        <v>1163</v>
      </c>
      <c r="B520" t="s">
        <v>96</v>
      </c>
      <c r="C520" t="s">
        <v>192</v>
      </c>
      <c r="D520" t="s">
        <v>147</v>
      </c>
      <c r="E520" t="s">
        <v>5137</v>
      </c>
      <c r="F520" t="s">
        <v>5138</v>
      </c>
      <c r="G520" t="s">
        <v>41</v>
      </c>
      <c r="H520" t="s">
        <v>19</v>
      </c>
      <c r="I520" t="str">
        <f>LEFT(H520,FIND(" (",H520)-1)</f>
        <v>Entry</v>
      </c>
      <c r="J520" t="str">
        <f>MID(H520,FIND("(",H520)+1,FIND(")",H520)-FIND("(",H520)-1)</f>
        <v>0-2 yrs</v>
      </c>
      <c r="L520">
        <v>71251</v>
      </c>
      <c r="M520" t="s">
        <v>1164</v>
      </c>
      <c r="N520" t="s">
        <v>43</v>
      </c>
      <c r="O520" t="s">
        <v>51</v>
      </c>
      <c r="P520" s="1">
        <v>45664</v>
      </c>
      <c r="Q520">
        <v>1995</v>
      </c>
      <c r="R520">
        <v>2474</v>
      </c>
      <c r="S520" t="s">
        <v>23</v>
      </c>
      <c r="T520">
        <v>0</v>
      </c>
      <c r="U520" t="s">
        <v>45</v>
      </c>
      <c r="V520" t="s">
        <v>24</v>
      </c>
      <c r="W520" t="s">
        <v>23</v>
      </c>
    </row>
    <row r="521" spans="1:23" x14ac:dyDescent="0.3">
      <c r="A521" t="s">
        <v>1165</v>
      </c>
      <c r="B521" t="s">
        <v>91</v>
      </c>
      <c r="C521" t="s">
        <v>62</v>
      </c>
      <c r="D521" t="s">
        <v>111</v>
      </c>
      <c r="E521" t="s">
        <v>5139</v>
      </c>
      <c r="F521" t="s">
        <v>5133</v>
      </c>
      <c r="G521" t="s">
        <v>41</v>
      </c>
      <c r="H521" t="s">
        <v>31</v>
      </c>
      <c r="I521" t="str">
        <f>LEFT(H521,FIND(" (",H521)-1)</f>
        <v>Staff/Principal</v>
      </c>
      <c r="J521" t="str">
        <f>MID(H521,FIND("(",H521)+1,FIND(")",H521)-FIND("(",H521)-1)</f>
        <v>8+ yrs</v>
      </c>
      <c r="L521">
        <v>227049</v>
      </c>
      <c r="M521" t="s">
        <v>1166</v>
      </c>
      <c r="N521" t="s">
        <v>33</v>
      </c>
      <c r="O521" t="s">
        <v>44</v>
      </c>
      <c r="P521" s="1">
        <v>45567</v>
      </c>
      <c r="Q521">
        <v>1198</v>
      </c>
      <c r="R521">
        <v>2889</v>
      </c>
      <c r="S521" t="s">
        <v>34</v>
      </c>
      <c r="T521">
        <v>6</v>
      </c>
      <c r="U521" t="s">
        <v>45</v>
      </c>
      <c r="V521" t="s">
        <v>24</v>
      </c>
      <c r="W521" t="s">
        <v>23</v>
      </c>
    </row>
    <row r="522" spans="1:23" x14ac:dyDescent="0.3">
      <c r="A522" t="s">
        <v>1167</v>
      </c>
      <c r="B522" t="s">
        <v>151</v>
      </c>
      <c r="C522" t="s">
        <v>71</v>
      </c>
      <c r="D522" t="s">
        <v>125</v>
      </c>
      <c r="E522" t="s">
        <v>133</v>
      </c>
      <c r="F522" t="s">
        <v>134</v>
      </c>
      <c r="G522" t="s">
        <v>41</v>
      </c>
      <c r="H522" t="s">
        <v>66</v>
      </c>
      <c r="I522" t="str">
        <f>LEFT(H522,FIND(" (",H522)-1)</f>
        <v>Senior</v>
      </c>
      <c r="J522" t="str">
        <f>MID(H522,FIND("(",H522)+1,FIND(")",H522)-FIND("(",H522)-1)</f>
        <v>5-8 yrs</v>
      </c>
      <c r="L522">
        <v>104926</v>
      </c>
      <c r="M522" t="s">
        <v>1168</v>
      </c>
      <c r="N522" t="s">
        <v>33</v>
      </c>
      <c r="O522" t="s">
        <v>22</v>
      </c>
      <c r="P522" s="1">
        <v>45360</v>
      </c>
      <c r="Q522">
        <v>890</v>
      </c>
      <c r="R522">
        <v>3431</v>
      </c>
      <c r="S522" t="s">
        <v>99</v>
      </c>
      <c r="T522">
        <v>4</v>
      </c>
      <c r="U522" t="s">
        <v>58</v>
      </c>
      <c r="V522" t="s">
        <v>24</v>
      </c>
      <c r="W522" t="s">
        <v>23</v>
      </c>
    </row>
    <row r="523" spans="1:23" x14ac:dyDescent="0.3">
      <c r="A523" t="s">
        <v>1169</v>
      </c>
      <c r="B523" t="s">
        <v>229</v>
      </c>
      <c r="C523" t="s">
        <v>226</v>
      </c>
      <c r="D523" t="s">
        <v>15</v>
      </c>
      <c r="E523" t="s">
        <v>5137</v>
      </c>
      <c r="F523" t="s">
        <v>5138</v>
      </c>
      <c r="G523" t="s">
        <v>55</v>
      </c>
      <c r="H523" t="s">
        <v>56</v>
      </c>
      <c r="I523" t="str">
        <f>LEFT(H523,FIND(" (",H523)-1)</f>
        <v>Mid</v>
      </c>
      <c r="J523" t="str">
        <f>MID(H523,FIND("(",H523)+1,FIND(")",H523)-FIND("(",H523)-1)</f>
        <v>2-5 yrs</v>
      </c>
      <c r="L523">
        <v>120758</v>
      </c>
      <c r="M523" t="s">
        <v>1170</v>
      </c>
      <c r="N523" t="s">
        <v>33</v>
      </c>
      <c r="O523" t="s">
        <v>44</v>
      </c>
      <c r="P523" s="1">
        <v>45652</v>
      </c>
      <c r="Q523">
        <v>602</v>
      </c>
      <c r="R523">
        <v>1963</v>
      </c>
      <c r="S523" t="s">
        <v>23</v>
      </c>
      <c r="T523">
        <v>2</v>
      </c>
      <c r="U523" t="s">
        <v>52</v>
      </c>
      <c r="V523" t="s">
        <v>24</v>
      </c>
      <c r="W523" t="s">
        <v>34</v>
      </c>
    </row>
    <row r="524" spans="1:23" x14ac:dyDescent="0.3">
      <c r="A524" t="s">
        <v>1171</v>
      </c>
      <c r="B524" t="s">
        <v>70</v>
      </c>
      <c r="C524" t="s">
        <v>182</v>
      </c>
      <c r="D524" t="s">
        <v>28</v>
      </c>
      <c r="E524" t="s">
        <v>5136</v>
      </c>
      <c r="F524" t="s">
        <v>5133</v>
      </c>
      <c r="G524" t="s">
        <v>18</v>
      </c>
      <c r="H524" t="s">
        <v>56</v>
      </c>
      <c r="I524" t="str">
        <f>LEFT(H524,FIND(" (",H524)-1)</f>
        <v>Mid</v>
      </c>
      <c r="J524" t="str">
        <f>MID(H524,FIND("(",H524)+1,FIND(")",H524)-FIND("(",H524)-1)</f>
        <v>2-5 yrs</v>
      </c>
      <c r="L524">
        <v>96880</v>
      </c>
      <c r="M524" t="s">
        <v>1172</v>
      </c>
      <c r="N524" t="s">
        <v>33</v>
      </c>
      <c r="O524" t="s">
        <v>51</v>
      </c>
      <c r="P524" s="1">
        <v>45717</v>
      </c>
      <c r="Q524">
        <v>1681</v>
      </c>
      <c r="R524">
        <v>1828</v>
      </c>
      <c r="S524" t="s">
        <v>23</v>
      </c>
      <c r="T524">
        <v>2</v>
      </c>
      <c r="U524" t="s">
        <v>5123</v>
      </c>
      <c r="V524" t="s">
        <v>24</v>
      </c>
      <c r="W524" t="s">
        <v>34</v>
      </c>
    </row>
    <row r="525" spans="1:23" x14ac:dyDescent="0.3">
      <c r="A525" t="s">
        <v>1173</v>
      </c>
      <c r="B525" t="s">
        <v>229</v>
      </c>
      <c r="C525" t="s">
        <v>14</v>
      </c>
      <c r="D525" t="s">
        <v>125</v>
      </c>
      <c r="E525" t="s">
        <v>76</v>
      </c>
      <c r="F525" t="s">
        <v>77</v>
      </c>
      <c r="G525" t="s">
        <v>18</v>
      </c>
      <c r="H525" t="s">
        <v>56</v>
      </c>
      <c r="I525" t="str">
        <f>LEFT(H525,FIND(" (",H525)-1)</f>
        <v>Mid</v>
      </c>
      <c r="J525" t="str">
        <f>MID(H525,FIND("(",H525)+1,FIND(")",H525)-FIND("(",H525)-1)</f>
        <v>2-5 yrs</v>
      </c>
      <c r="L525">
        <v>121297</v>
      </c>
      <c r="M525" t="s">
        <v>1174</v>
      </c>
      <c r="N525" t="s">
        <v>245</v>
      </c>
      <c r="O525" t="s">
        <v>22</v>
      </c>
      <c r="P525" s="1">
        <v>45494</v>
      </c>
      <c r="Q525">
        <v>676</v>
      </c>
      <c r="R525">
        <v>2146</v>
      </c>
      <c r="S525" t="s">
        <v>23</v>
      </c>
      <c r="T525">
        <v>2</v>
      </c>
      <c r="U525" t="s">
        <v>52</v>
      </c>
      <c r="V525" t="s">
        <v>59</v>
      </c>
      <c r="W525" t="s">
        <v>34</v>
      </c>
    </row>
    <row r="526" spans="1:23" x14ac:dyDescent="0.3">
      <c r="A526" t="s">
        <v>1175</v>
      </c>
      <c r="B526" t="s">
        <v>229</v>
      </c>
      <c r="C526" t="s">
        <v>54</v>
      </c>
      <c r="D526" t="s">
        <v>147</v>
      </c>
      <c r="E526" t="s">
        <v>5134</v>
      </c>
      <c r="F526" t="s">
        <v>5133</v>
      </c>
      <c r="G526" t="s">
        <v>18</v>
      </c>
      <c r="H526" t="s">
        <v>56</v>
      </c>
      <c r="I526" t="str">
        <f>LEFT(H526,FIND(" (",H526)-1)</f>
        <v>Mid</v>
      </c>
      <c r="J526" t="str">
        <f>MID(H526,FIND("(",H526)+1,FIND(")",H526)-FIND("(",H526)-1)</f>
        <v>2-5 yrs</v>
      </c>
      <c r="L526">
        <v>94887</v>
      </c>
      <c r="M526" t="s">
        <v>1176</v>
      </c>
      <c r="N526" t="s">
        <v>33</v>
      </c>
      <c r="O526" t="s">
        <v>22</v>
      </c>
      <c r="P526" s="1">
        <v>45673</v>
      </c>
      <c r="Q526">
        <v>1821</v>
      </c>
      <c r="R526">
        <v>2658</v>
      </c>
      <c r="S526" t="s">
        <v>23</v>
      </c>
      <c r="T526">
        <v>2</v>
      </c>
      <c r="U526" t="s">
        <v>45</v>
      </c>
      <c r="V526" t="s">
        <v>24</v>
      </c>
      <c r="W526" t="s">
        <v>34</v>
      </c>
    </row>
    <row r="527" spans="1:23" x14ac:dyDescent="0.3">
      <c r="A527" t="s">
        <v>1177</v>
      </c>
      <c r="B527" t="s">
        <v>85</v>
      </c>
      <c r="C527" t="s">
        <v>92</v>
      </c>
      <c r="D527" t="s">
        <v>28</v>
      </c>
      <c r="E527" t="s">
        <v>5140</v>
      </c>
      <c r="F527" t="s">
        <v>5133</v>
      </c>
      <c r="G527" t="s">
        <v>18</v>
      </c>
      <c r="H527" t="s">
        <v>66</v>
      </c>
      <c r="I527" t="str">
        <f>LEFT(H527,FIND(" (",H527)-1)</f>
        <v>Senior</v>
      </c>
      <c r="J527" t="str">
        <f>MID(H527,FIND("(",H527)+1,FIND(")",H527)-FIND("(",H527)-1)</f>
        <v>5-8 yrs</v>
      </c>
      <c r="L527">
        <v>101268</v>
      </c>
      <c r="M527" t="s">
        <v>1178</v>
      </c>
      <c r="N527" t="s">
        <v>186</v>
      </c>
      <c r="O527" t="s">
        <v>22</v>
      </c>
      <c r="P527" s="1">
        <v>45375</v>
      </c>
      <c r="Q527">
        <v>483</v>
      </c>
      <c r="R527">
        <v>2319</v>
      </c>
      <c r="S527" t="s">
        <v>99</v>
      </c>
      <c r="T527">
        <v>4</v>
      </c>
      <c r="U527" t="s">
        <v>58</v>
      </c>
      <c r="V527" t="s">
        <v>24</v>
      </c>
      <c r="W527" t="s">
        <v>34</v>
      </c>
    </row>
    <row r="528" spans="1:23" x14ac:dyDescent="0.3">
      <c r="A528" t="s">
        <v>1179</v>
      </c>
      <c r="B528" t="s">
        <v>81</v>
      </c>
      <c r="C528" t="s">
        <v>101</v>
      </c>
      <c r="D528" t="s">
        <v>174</v>
      </c>
      <c r="E528" t="s">
        <v>5141</v>
      </c>
      <c r="F528" t="s">
        <v>5133</v>
      </c>
      <c r="G528" t="s">
        <v>41</v>
      </c>
      <c r="H528" t="s">
        <v>19</v>
      </c>
      <c r="I528" t="str">
        <f>LEFT(H528,FIND(" (",H528)-1)</f>
        <v>Entry</v>
      </c>
      <c r="J528" t="str">
        <f>MID(H528,FIND("(",H528)+1,FIND(")",H528)-FIND("(",H528)-1)</f>
        <v>0-2 yrs</v>
      </c>
      <c r="L528">
        <v>50000</v>
      </c>
      <c r="M528" t="s">
        <v>1180</v>
      </c>
      <c r="N528" t="s">
        <v>33</v>
      </c>
      <c r="O528" t="s">
        <v>51</v>
      </c>
      <c r="P528" s="1">
        <v>45495</v>
      </c>
      <c r="Q528">
        <v>2362</v>
      </c>
      <c r="R528">
        <v>423</v>
      </c>
      <c r="S528" t="s">
        <v>23</v>
      </c>
      <c r="T528">
        <v>0</v>
      </c>
      <c r="U528" t="s">
        <v>52</v>
      </c>
      <c r="V528" t="s">
        <v>24</v>
      </c>
      <c r="W528" t="s">
        <v>23</v>
      </c>
    </row>
    <row r="529" spans="1:23" x14ac:dyDescent="0.3">
      <c r="A529" t="s">
        <v>1181</v>
      </c>
      <c r="B529" t="s">
        <v>96</v>
      </c>
      <c r="C529" t="s">
        <v>97</v>
      </c>
      <c r="D529" t="s">
        <v>125</v>
      </c>
      <c r="E529" t="s">
        <v>230</v>
      </c>
      <c r="F529" t="s">
        <v>231</v>
      </c>
      <c r="G529" t="s">
        <v>18</v>
      </c>
      <c r="H529" t="s">
        <v>19</v>
      </c>
      <c r="I529" t="str">
        <f>LEFT(H529,FIND(" (",H529)-1)</f>
        <v>Entry</v>
      </c>
      <c r="J529" t="str">
        <f>MID(H529,FIND("(",H529)+1,FIND(")",H529)-FIND("(",H529)-1)</f>
        <v>0-2 yrs</v>
      </c>
      <c r="L529">
        <v>70605</v>
      </c>
      <c r="M529" t="s">
        <v>1182</v>
      </c>
      <c r="N529" t="s">
        <v>33</v>
      </c>
      <c r="O529" t="s">
        <v>44</v>
      </c>
      <c r="P529" s="1">
        <v>45641</v>
      </c>
      <c r="Q529">
        <v>959</v>
      </c>
      <c r="R529">
        <v>3957</v>
      </c>
      <c r="S529" t="s">
        <v>23</v>
      </c>
      <c r="T529">
        <v>0</v>
      </c>
      <c r="U529" t="s">
        <v>83</v>
      </c>
      <c r="V529" t="s">
        <v>24</v>
      </c>
      <c r="W529" t="s">
        <v>23</v>
      </c>
    </row>
    <row r="530" spans="1:23" x14ac:dyDescent="0.3">
      <c r="A530" t="s">
        <v>1183</v>
      </c>
      <c r="B530" t="s">
        <v>236</v>
      </c>
      <c r="C530" t="s">
        <v>195</v>
      </c>
      <c r="D530" t="s">
        <v>49</v>
      </c>
      <c r="E530" t="s">
        <v>64</v>
      </c>
      <c r="F530" t="s">
        <v>65</v>
      </c>
      <c r="G530" t="s">
        <v>18</v>
      </c>
      <c r="H530" t="s">
        <v>31</v>
      </c>
      <c r="I530" t="str">
        <f>LEFT(H530,FIND(" (",H530)-1)</f>
        <v>Staff/Principal</v>
      </c>
      <c r="J530" t="str">
        <f>MID(H530,FIND("(",H530)+1,FIND(")",H530)-FIND("(",H530)-1)</f>
        <v>8+ yrs</v>
      </c>
      <c r="L530">
        <v>209350</v>
      </c>
      <c r="M530" t="s">
        <v>1184</v>
      </c>
      <c r="N530" t="s">
        <v>21</v>
      </c>
      <c r="O530" t="s">
        <v>79</v>
      </c>
      <c r="P530" s="1">
        <v>45476</v>
      </c>
      <c r="Q530">
        <v>2337</v>
      </c>
      <c r="R530">
        <v>408</v>
      </c>
      <c r="S530" t="s">
        <v>23</v>
      </c>
      <c r="T530">
        <v>6</v>
      </c>
      <c r="U530" t="s">
        <v>52</v>
      </c>
      <c r="V530" t="s">
        <v>59</v>
      </c>
      <c r="W530" t="s">
        <v>34</v>
      </c>
    </row>
    <row r="531" spans="1:23" x14ac:dyDescent="0.3">
      <c r="A531" t="s">
        <v>1185</v>
      </c>
      <c r="B531" t="s">
        <v>70</v>
      </c>
      <c r="C531" t="s">
        <v>167</v>
      </c>
      <c r="D531" t="s">
        <v>63</v>
      </c>
      <c r="E531" t="s">
        <v>5137</v>
      </c>
      <c r="F531" t="s">
        <v>5138</v>
      </c>
      <c r="G531" t="s">
        <v>41</v>
      </c>
      <c r="H531" t="s">
        <v>31</v>
      </c>
      <c r="I531" t="str">
        <f>LEFT(H531,FIND(" (",H531)-1)</f>
        <v>Staff/Principal</v>
      </c>
      <c r="J531" t="str">
        <f>MID(H531,FIND("(",H531)+1,FIND(")",H531)-FIND("(",H531)-1)</f>
        <v>8+ yrs</v>
      </c>
      <c r="L531">
        <v>167444</v>
      </c>
      <c r="M531" t="s">
        <v>1186</v>
      </c>
      <c r="N531" t="s">
        <v>149</v>
      </c>
      <c r="O531" t="s">
        <v>22</v>
      </c>
      <c r="P531" s="1">
        <v>45378</v>
      </c>
      <c r="Q531">
        <v>2238</v>
      </c>
      <c r="R531">
        <v>1058</v>
      </c>
      <c r="S531" t="s">
        <v>23</v>
      </c>
      <c r="T531">
        <v>6</v>
      </c>
      <c r="U531" t="s">
        <v>58</v>
      </c>
      <c r="V531" t="s">
        <v>24</v>
      </c>
      <c r="W531" t="s">
        <v>34</v>
      </c>
    </row>
    <row r="532" spans="1:23" x14ac:dyDescent="0.3">
      <c r="A532" t="s">
        <v>1187</v>
      </c>
      <c r="B532" t="s">
        <v>13</v>
      </c>
      <c r="C532" t="s">
        <v>27</v>
      </c>
      <c r="D532" t="s">
        <v>174</v>
      </c>
      <c r="E532" t="s">
        <v>5135</v>
      </c>
      <c r="F532" t="s">
        <v>5133</v>
      </c>
      <c r="G532" t="s">
        <v>18</v>
      </c>
      <c r="H532" t="s">
        <v>31</v>
      </c>
      <c r="I532" t="str">
        <f>LEFT(H532,FIND(" (",H532)-1)</f>
        <v>Staff/Principal</v>
      </c>
      <c r="J532" t="str">
        <f>MID(H532,FIND("(",H532)+1,FIND(")",H532)-FIND("(",H532)-1)</f>
        <v>8+ yrs</v>
      </c>
      <c r="L532">
        <v>222989</v>
      </c>
      <c r="M532" t="s">
        <v>1188</v>
      </c>
      <c r="N532" t="s">
        <v>21</v>
      </c>
      <c r="O532" t="s">
        <v>22</v>
      </c>
      <c r="P532" s="1">
        <v>45438</v>
      </c>
      <c r="Q532">
        <v>1992</v>
      </c>
      <c r="R532">
        <v>2082</v>
      </c>
      <c r="S532" t="s">
        <v>23</v>
      </c>
      <c r="T532">
        <v>6</v>
      </c>
      <c r="U532" t="s">
        <v>5123</v>
      </c>
      <c r="V532" t="s">
        <v>24</v>
      </c>
      <c r="W532" t="s">
        <v>23</v>
      </c>
    </row>
    <row r="533" spans="1:23" x14ac:dyDescent="0.3">
      <c r="A533" t="s">
        <v>1189</v>
      </c>
      <c r="B533" t="s">
        <v>91</v>
      </c>
      <c r="C533" t="s">
        <v>48</v>
      </c>
      <c r="D533" t="s">
        <v>49</v>
      </c>
      <c r="E533" t="s">
        <v>64</v>
      </c>
      <c r="F533" t="s">
        <v>65</v>
      </c>
      <c r="G533" t="s">
        <v>55</v>
      </c>
      <c r="H533" t="s">
        <v>19</v>
      </c>
      <c r="I533" t="str">
        <f>LEFT(H533,FIND(" (",H533)-1)</f>
        <v>Entry</v>
      </c>
      <c r="J533" t="str">
        <f>MID(H533,FIND("(",H533)+1,FIND(")",H533)-FIND("(",H533)-1)</f>
        <v>0-2 yrs</v>
      </c>
      <c r="L533">
        <v>50000</v>
      </c>
      <c r="M533" t="s">
        <v>1190</v>
      </c>
      <c r="N533" t="s">
        <v>33</v>
      </c>
      <c r="O533" t="s">
        <v>51</v>
      </c>
      <c r="P533" s="1">
        <v>45440</v>
      </c>
      <c r="Q533">
        <v>2218</v>
      </c>
      <c r="R533">
        <v>2641</v>
      </c>
      <c r="S533" t="s">
        <v>23</v>
      </c>
      <c r="T533">
        <v>0</v>
      </c>
      <c r="U533" t="s">
        <v>58</v>
      </c>
      <c r="V533" t="s">
        <v>24</v>
      </c>
      <c r="W533" t="s">
        <v>34</v>
      </c>
    </row>
    <row r="534" spans="1:23" x14ac:dyDescent="0.3">
      <c r="A534" t="s">
        <v>1191</v>
      </c>
      <c r="B534" t="s">
        <v>13</v>
      </c>
      <c r="C534" t="s">
        <v>101</v>
      </c>
      <c r="D534" t="s">
        <v>28</v>
      </c>
      <c r="E534" t="s">
        <v>5139</v>
      </c>
      <c r="F534" t="s">
        <v>5133</v>
      </c>
      <c r="G534" t="s">
        <v>18</v>
      </c>
      <c r="H534" t="s">
        <v>31</v>
      </c>
      <c r="I534" t="str">
        <f>LEFT(H534,FIND(" (",H534)-1)</f>
        <v>Staff/Principal</v>
      </c>
      <c r="J534" t="str">
        <f>MID(H534,FIND("(",H534)+1,FIND(")",H534)-FIND("(",H534)-1)</f>
        <v>8+ yrs</v>
      </c>
      <c r="L534">
        <v>197621</v>
      </c>
      <c r="M534" t="s">
        <v>1192</v>
      </c>
      <c r="N534" t="s">
        <v>89</v>
      </c>
      <c r="O534" t="s">
        <v>51</v>
      </c>
      <c r="P534" s="1">
        <v>45460</v>
      </c>
      <c r="Q534">
        <v>937</v>
      </c>
      <c r="R534">
        <v>3895</v>
      </c>
      <c r="S534" t="s">
        <v>23</v>
      </c>
      <c r="T534">
        <v>6</v>
      </c>
      <c r="U534" t="s">
        <v>52</v>
      </c>
      <c r="V534" t="s">
        <v>24</v>
      </c>
      <c r="W534" t="s">
        <v>34</v>
      </c>
    </row>
    <row r="535" spans="1:23" x14ac:dyDescent="0.3">
      <c r="A535" t="s">
        <v>1193</v>
      </c>
      <c r="B535" t="s">
        <v>85</v>
      </c>
      <c r="C535" t="s">
        <v>97</v>
      </c>
      <c r="D535" t="s">
        <v>125</v>
      </c>
      <c r="E535" t="s">
        <v>5135</v>
      </c>
      <c r="F535" t="s">
        <v>5133</v>
      </c>
      <c r="G535" t="s">
        <v>55</v>
      </c>
      <c r="H535" t="s">
        <v>31</v>
      </c>
      <c r="I535" t="str">
        <f>LEFT(H535,FIND(" (",H535)-1)</f>
        <v>Staff/Principal</v>
      </c>
      <c r="J535" t="str">
        <f>MID(H535,FIND("(",H535)+1,FIND(")",H535)-FIND("(",H535)-1)</f>
        <v>8+ yrs</v>
      </c>
      <c r="L535">
        <v>156403</v>
      </c>
      <c r="M535" t="s">
        <v>1194</v>
      </c>
      <c r="N535" t="s">
        <v>120</v>
      </c>
      <c r="O535" t="s">
        <v>22</v>
      </c>
      <c r="P535" s="1">
        <v>45477</v>
      </c>
      <c r="Q535">
        <v>583</v>
      </c>
      <c r="R535">
        <v>1131</v>
      </c>
      <c r="S535" t="s">
        <v>23</v>
      </c>
      <c r="T535">
        <v>6</v>
      </c>
      <c r="U535" t="s">
        <v>45</v>
      </c>
      <c r="V535" t="s">
        <v>59</v>
      </c>
      <c r="W535" t="s">
        <v>23</v>
      </c>
    </row>
    <row r="536" spans="1:23" x14ac:dyDescent="0.3">
      <c r="A536" t="s">
        <v>1195</v>
      </c>
      <c r="B536" t="s">
        <v>329</v>
      </c>
      <c r="C536" t="s">
        <v>179</v>
      </c>
      <c r="D536" t="s">
        <v>125</v>
      </c>
      <c r="E536" t="s">
        <v>16</v>
      </c>
      <c r="F536" t="s">
        <v>17</v>
      </c>
      <c r="G536" t="s">
        <v>18</v>
      </c>
      <c r="H536" t="s">
        <v>56</v>
      </c>
      <c r="I536" t="str">
        <f>LEFT(H536,FIND(" (",H536)-1)</f>
        <v>Mid</v>
      </c>
      <c r="J536" t="str">
        <f>MID(H536,FIND("(",H536)+1,FIND(")",H536)-FIND("(",H536)-1)</f>
        <v>2-5 yrs</v>
      </c>
      <c r="L536">
        <v>97093</v>
      </c>
      <c r="M536" t="s">
        <v>1196</v>
      </c>
      <c r="N536" t="s">
        <v>33</v>
      </c>
      <c r="O536" t="s">
        <v>22</v>
      </c>
      <c r="P536" s="1">
        <v>45319</v>
      </c>
      <c r="Q536">
        <v>2016</v>
      </c>
      <c r="R536">
        <v>1982</v>
      </c>
      <c r="S536" t="s">
        <v>23</v>
      </c>
      <c r="T536">
        <v>2</v>
      </c>
      <c r="U536" t="s">
        <v>52</v>
      </c>
      <c r="V536" t="s">
        <v>46</v>
      </c>
      <c r="W536" t="s">
        <v>34</v>
      </c>
    </row>
    <row r="537" spans="1:23" x14ac:dyDescent="0.3">
      <c r="A537" t="s">
        <v>1197</v>
      </c>
      <c r="B537" t="s">
        <v>143</v>
      </c>
      <c r="C537" t="s">
        <v>48</v>
      </c>
      <c r="D537" t="s">
        <v>174</v>
      </c>
      <c r="E537" t="s">
        <v>5140</v>
      </c>
      <c r="F537" t="s">
        <v>5133</v>
      </c>
      <c r="G537" t="s">
        <v>41</v>
      </c>
      <c r="H537" t="s">
        <v>31</v>
      </c>
      <c r="I537" t="str">
        <f>LEFT(H537,FIND(" (",H537)-1)</f>
        <v>Staff/Principal</v>
      </c>
      <c r="J537" t="str">
        <f>MID(H537,FIND("(",H537)+1,FIND(")",H537)-FIND("(",H537)-1)</f>
        <v>8+ yrs</v>
      </c>
      <c r="L537">
        <v>201706</v>
      </c>
      <c r="M537" t="s">
        <v>1198</v>
      </c>
      <c r="N537" t="s">
        <v>43</v>
      </c>
      <c r="O537" t="s">
        <v>22</v>
      </c>
      <c r="P537" s="1">
        <v>45597</v>
      </c>
      <c r="Q537">
        <v>2178</v>
      </c>
      <c r="R537">
        <v>3834</v>
      </c>
      <c r="S537" t="s">
        <v>34</v>
      </c>
      <c r="T537">
        <v>6</v>
      </c>
      <c r="U537" t="s">
        <v>45</v>
      </c>
      <c r="V537" t="s">
        <v>24</v>
      </c>
      <c r="W537" t="s">
        <v>23</v>
      </c>
    </row>
    <row r="538" spans="1:23" x14ac:dyDescent="0.3">
      <c r="A538" t="s">
        <v>1199</v>
      </c>
      <c r="B538" t="s">
        <v>329</v>
      </c>
      <c r="C538" t="s">
        <v>14</v>
      </c>
      <c r="D538" t="s">
        <v>75</v>
      </c>
      <c r="E538" t="s">
        <v>76</v>
      </c>
      <c r="F538" t="s">
        <v>77</v>
      </c>
      <c r="G538" t="s">
        <v>41</v>
      </c>
      <c r="H538" t="s">
        <v>66</v>
      </c>
      <c r="I538" t="str">
        <f>LEFT(H538,FIND(" (",H538)-1)</f>
        <v>Senior</v>
      </c>
      <c r="J538" t="str">
        <f>MID(H538,FIND("(",H538)+1,FIND(")",H538)-FIND("(",H538)-1)</f>
        <v>5-8 yrs</v>
      </c>
      <c r="L538">
        <v>126768</v>
      </c>
      <c r="M538" t="s">
        <v>1200</v>
      </c>
      <c r="N538" t="s">
        <v>245</v>
      </c>
      <c r="O538" t="s">
        <v>44</v>
      </c>
      <c r="P538" s="1">
        <v>45522</v>
      </c>
      <c r="Q538">
        <v>1846</v>
      </c>
      <c r="R538">
        <v>895</v>
      </c>
      <c r="S538" t="s">
        <v>23</v>
      </c>
      <c r="T538">
        <v>4</v>
      </c>
      <c r="U538" t="s">
        <v>52</v>
      </c>
      <c r="V538" t="s">
        <v>46</v>
      </c>
      <c r="W538" t="s">
        <v>23</v>
      </c>
    </row>
    <row r="539" spans="1:23" x14ac:dyDescent="0.3">
      <c r="A539" t="s">
        <v>1201</v>
      </c>
      <c r="B539" t="s">
        <v>151</v>
      </c>
      <c r="C539" t="s">
        <v>226</v>
      </c>
      <c r="D539" t="s">
        <v>75</v>
      </c>
      <c r="E539" t="s">
        <v>5141</v>
      </c>
      <c r="F539" t="s">
        <v>5133</v>
      </c>
      <c r="G539" t="s">
        <v>18</v>
      </c>
      <c r="H539" t="s">
        <v>66</v>
      </c>
      <c r="I539" t="str">
        <f>LEFT(H539,FIND(" (",H539)-1)</f>
        <v>Senior</v>
      </c>
      <c r="J539" t="str">
        <f>MID(H539,FIND("(",H539)+1,FIND(")",H539)-FIND("(",H539)-1)</f>
        <v>5-8 yrs</v>
      </c>
      <c r="L539">
        <v>139617</v>
      </c>
      <c r="M539" t="s">
        <v>1202</v>
      </c>
      <c r="N539" t="s">
        <v>43</v>
      </c>
      <c r="O539" t="s">
        <v>51</v>
      </c>
      <c r="P539" s="1">
        <v>45449</v>
      </c>
      <c r="Q539">
        <v>1675</v>
      </c>
      <c r="R539">
        <v>474</v>
      </c>
      <c r="S539" t="s">
        <v>99</v>
      </c>
      <c r="T539">
        <v>4</v>
      </c>
      <c r="U539" t="s">
        <v>58</v>
      </c>
      <c r="V539" t="s">
        <v>24</v>
      </c>
      <c r="W539" t="s">
        <v>34</v>
      </c>
    </row>
    <row r="540" spans="1:23" x14ac:dyDescent="0.3">
      <c r="A540" t="s">
        <v>1203</v>
      </c>
      <c r="B540" t="s">
        <v>85</v>
      </c>
      <c r="C540" t="s">
        <v>101</v>
      </c>
      <c r="D540" t="s">
        <v>49</v>
      </c>
      <c r="E540" t="s">
        <v>133</v>
      </c>
      <c r="F540" t="s">
        <v>134</v>
      </c>
      <c r="G540" t="s">
        <v>18</v>
      </c>
      <c r="H540" t="s">
        <v>56</v>
      </c>
      <c r="I540" t="str">
        <f>LEFT(H540,FIND(" (",H540)-1)</f>
        <v>Mid</v>
      </c>
      <c r="J540" t="str">
        <f>MID(H540,FIND("(",H540)+1,FIND(")",H540)-FIND("(",H540)-1)</f>
        <v>2-5 yrs</v>
      </c>
      <c r="L540">
        <v>129924</v>
      </c>
      <c r="M540" t="s">
        <v>1204</v>
      </c>
      <c r="N540" t="s">
        <v>33</v>
      </c>
      <c r="O540" t="s">
        <v>51</v>
      </c>
      <c r="P540" s="1">
        <v>45437</v>
      </c>
      <c r="Q540">
        <v>1984</v>
      </c>
      <c r="R540">
        <v>434</v>
      </c>
      <c r="S540" t="s">
        <v>23</v>
      </c>
      <c r="T540">
        <v>2</v>
      </c>
      <c r="U540" t="s">
        <v>83</v>
      </c>
      <c r="V540" t="s">
        <v>46</v>
      </c>
      <c r="W540" t="s">
        <v>34</v>
      </c>
    </row>
    <row r="541" spans="1:23" x14ac:dyDescent="0.3">
      <c r="A541" t="s">
        <v>1205</v>
      </c>
      <c r="B541" t="s">
        <v>172</v>
      </c>
      <c r="C541" t="s">
        <v>101</v>
      </c>
      <c r="D541" t="s">
        <v>174</v>
      </c>
      <c r="E541" t="s">
        <v>230</v>
      </c>
      <c r="F541" t="s">
        <v>231</v>
      </c>
      <c r="G541" t="s">
        <v>55</v>
      </c>
      <c r="H541" t="s">
        <v>19</v>
      </c>
      <c r="I541" t="str">
        <f>LEFT(H541,FIND(" (",H541)-1)</f>
        <v>Entry</v>
      </c>
      <c r="J541" t="str">
        <f>MID(H541,FIND("(",H541)+1,FIND(")",H541)-FIND("(",H541)-1)</f>
        <v>0-2 yrs</v>
      </c>
      <c r="L541">
        <v>62731</v>
      </c>
      <c r="M541" t="s">
        <v>1206</v>
      </c>
      <c r="N541" t="s">
        <v>89</v>
      </c>
      <c r="O541" t="s">
        <v>79</v>
      </c>
      <c r="P541" s="1">
        <v>45400</v>
      </c>
      <c r="Q541">
        <v>2200</v>
      </c>
      <c r="R541">
        <v>1701</v>
      </c>
      <c r="S541" t="s">
        <v>99</v>
      </c>
      <c r="T541">
        <v>0</v>
      </c>
      <c r="U541" t="s">
        <v>58</v>
      </c>
      <c r="V541" t="s">
        <v>24</v>
      </c>
      <c r="W541" t="s">
        <v>34</v>
      </c>
    </row>
    <row r="542" spans="1:23" x14ac:dyDescent="0.3">
      <c r="A542" t="s">
        <v>1207</v>
      </c>
      <c r="B542" t="s">
        <v>91</v>
      </c>
      <c r="C542" t="s">
        <v>132</v>
      </c>
      <c r="D542" t="s">
        <v>15</v>
      </c>
      <c r="E542" t="s">
        <v>16</v>
      </c>
      <c r="F542" t="s">
        <v>17</v>
      </c>
      <c r="G542" t="s">
        <v>55</v>
      </c>
      <c r="H542" t="s">
        <v>66</v>
      </c>
      <c r="I542" t="str">
        <f>LEFT(H542,FIND(" (",H542)-1)</f>
        <v>Senior</v>
      </c>
      <c r="J542" t="str">
        <f>MID(H542,FIND("(",H542)+1,FIND(")",H542)-FIND("(",H542)-1)</f>
        <v>5-8 yrs</v>
      </c>
      <c r="L542">
        <v>172563</v>
      </c>
      <c r="M542" t="s">
        <v>1208</v>
      </c>
      <c r="N542" t="s">
        <v>141</v>
      </c>
      <c r="O542" t="s">
        <v>22</v>
      </c>
      <c r="P542" s="1">
        <v>45427</v>
      </c>
      <c r="Q542">
        <v>1833</v>
      </c>
      <c r="R542">
        <v>3453</v>
      </c>
      <c r="S542" t="s">
        <v>23</v>
      </c>
      <c r="T542">
        <v>4</v>
      </c>
      <c r="U542" t="s">
        <v>83</v>
      </c>
      <c r="V542" t="s">
        <v>24</v>
      </c>
      <c r="W542" t="s">
        <v>34</v>
      </c>
    </row>
    <row r="543" spans="1:23" x14ac:dyDescent="0.3">
      <c r="A543" t="s">
        <v>1209</v>
      </c>
      <c r="B543" t="s">
        <v>143</v>
      </c>
      <c r="C543" t="s">
        <v>14</v>
      </c>
      <c r="D543" t="s">
        <v>125</v>
      </c>
      <c r="E543" t="s">
        <v>29</v>
      </c>
      <c r="F543" t="s">
        <v>30</v>
      </c>
      <c r="G543" t="s">
        <v>41</v>
      </c>
      <c r="H543" t="s">
        <v>31</v>
      </c>
      <c r="I543" t="str">
        <f>LEFT(H543,FIND(" (",H543)-1)</f>
        <v>Staff/Principal</v>
      </c>
      <c r="J543" t="str">
        <f>MID(H543,FIND("(",H543)+1,FIND(")",H543)-FIND("(",H543)-1)</f>
        <v>8+ yrs</v>
      </c>
      <c r="L543">
        <v>159330</v>
      </c>
      <c r="M543" t="s">
        <v>1210</v>
      </c>
      <c r="N543" t="s">
        <v>21</v>
      </c>
      <c r="O543" t="s">
        <v>79</v>
      </c>
      <c r="P543" s="1">
        <v>45492</v>
      </c>
      <c r="Q543">
        <v>1899</v>
      </c>
      <c r="R543">
        <v>2992</v>
      </c>
      <c r="S543" t="s">
        <v>34</v>
      </c>
      <c r="T543">
        <v>6</v>
      </c>
      <c r="U543" t="s">
        <v>45</v>
      </c>
      <c r="V543" t="s">
        <v>24</v>
      </c>
      <c r="W543" t="s">
        <v>34</v>
      </c>
    </row>
    <row r="544" spans="1:23" x14ac:dyDescent="0.3">
      <c r="A544" t="s">
        <v>1211</v>
      </c>
      <c r="B544" t="s">
        <v>13</v>
      </c>
      <c r="C544" t="s">
        <v>204</v>
      </c>
      <c r="D544" t="s">
        <v>49</v>
      </c>
      <c r="E544" t="s">
        <v>76</v>
      </c>
      <c r="F544" t="s">
        <v>77</v>
      </c>
      <c r="G544" t="s">
        <v>18</v>
      </c>
      <c r="H544" t="s">
        <v>56</v>
      </c>
      <c r="I544" t="str">
        <f>LEFT(H544,FIND(" (",H544)-1)</f>
        <v>Mid</v>
      </c>
      <c r="J544" t="str">
        <f>MID(H544,FIND("(",H544)+1,FIND(")",H544)-FIND("(",H544)-1)</f>
        <v>2-5 yrs</v>
      </c>
      <c r="L544">
        <v>120490</v>
      </c>
      <c r="M544" t="s">
        <v>1212</v>
      </c>
      <c r="N544" t="s">
        <v>33</v>
      </c>
      <c r="O544" t="s">
        <v>22</v>
      </c>
      <c r="P544" s="1">
        <v>45587</v>
      </c>
      <c r="Q544">
        <v>2091</v>
      </c>
      <c r="R544">
        <v>57</v>
      </c>
      <c r="S544" t="s">
        <v>23</v>
      </c>
      <c r="T544">
        <v>2</v>
      </c>
      <c r="U544" t="s">
        <v>83</v>
      </c>
      <c r="V544" t="s">
        <v>24</v>
      </c>
      <c r="W544" t="s">
        <v>23</v>
      </c>
    </row>
    <row r="545" spans="1:23" x14ac:dyDescent="0.3">
      <c r="A545" t="s">
        <v>1213</v>
      </c>
      <c r="B545" t="s">
        <v>26</v>
      </c>
      <c r="C545" t="s">
        <v>179</v>
      </c>
      <c r="D545" t="s">
        <v>38</v>
      </c>
      <c r="E545" t="s">
        <v>200</v>
      </c>
      <c r="F545" t="s">
        <v>201</v>
      </c>
      <c r="G545" t="s">
        <v>18</v>
      </c>
      <c r="H545" t="s">
        <v>19</v>
      </c>
      <c r="I545" t="str">
        <f>LEFT(H545,FIND(" (",H545)-1)</f>
        <v>Entry</v>
      </c>
      <c r="J545" t="str">
        <f>MID(H545,FIND("(",H545)+1,FIND(")",H545)-FIND("(",H545)-1)</f>
        <v>0-2 yrs</v>
      </c>
      <c r="L545">
        <v>88163</v>
      </c>
      <c r="M545" t="s">
        <v>1214</v>
      </c>
      <c r="N545" t="s">
        <v>245</v>
      </c>
      <c r="O545" t="s">
        <v>51</v>
      </c>
      <c r="P545" s="1">
        <v>45672</v>
      </c>
      <c r="Q545">
        <v>1304</v>
      </c>
      <c r="R545">
        <v>2984</v>
      </c>
      <c r="S545" t="s">
        <v>23</v>
      </c>
      <c r="T545">
        <v>0</v>
      </c>
      <c r="U545" t="s">
        <v>58</v>
      </c>
      <c r="V545" t="s">
        <v>59</v>
      </c>
      <c r="W545" t="s">
        <v>23</v>
      </c>
    </row>
    <row r="546" spans="1:23" x14ac:dyDescent="0.3">
      <c r="A546" t="s">
        <v>1215</v>
      </c>
      <c r="B546" t="s">
        <v>36</v>
      </c>
      <c r="C546" t="s">
        <v>86</v>
      </c>
      <c r="D546" t="s">
        <v>125</v>
      </c>
      <c r="E546" t="s">
        <v>64</v>
      </c>
      <c r="F546" t="s">
        <v>65</v>
      </c>
      <c r="G546" t="s">
        <v>41</v>
      </c>
      <c r="H546" t="s">
        <v>19</v>
      </c>
      <c r="I546" t="str">
        <f>LEFT(H546,FIND(" (",H546)-1)</f>
        <v>Entry</v>
      </c>
      <c r="J546" t="str">
        <f>MID(H546,FIND("(",H546)+1,FIND(")",H546)-FIND("(",H546)-1)</f>
        <v>0-2 yrs</v>
      </c>
      <c r="L546">
        <v>50000</v>
      </c>
      <c r="M546" t="s">
        <v>1216</v>
      </c>
      <c r="N546" t="s">
        <v>120</v>
      </c>
      <c r="O546" t="s">
        <v>22</v>
      </c>
      <c r="P546" s="1">
        <v>45618</v>
      </c>
      <c r="Q546">
        <v>2324</v>
      </c>
      <c r="R546">
        <v>3469</v>
      </c>
      <c r="S546" t="s">
        <v>23</v>
      </c>
      <c r="T546">
        <v>0</v>
      </c>
      <c r="U546" t="s">
        <v>52</v>
      </c>
      <c r="V546" t="s">
        <v>24</v>
      </c>
      <c r="W546" t="s">
        <v>23</v>
      </c>
    </row>
    <row r="547" spans="1:23" x14ac:dyDescent="0.3">
      <c r="A547" t="s">
        <v>1217</v>
      </c>
      <c r="B547" t="s">
        <v>151</v>
      </c>
      <c r="C547" t="s">
        <v>97</v>
      </c>
      <c r="D547" t="s">
        <v>63</v>
      </c>
      <c r="E547" t="s">
        <v>5136</v>
      </c>
      <c r="F547" t="s">
        <v>5133</v>
      </c>
      <c r="G547" t="s">
        <v>41</v>
      </c>
      <c r="H547" t="s">
        <v>31</v>
      </c>
      <c r="I547" t="str">
        <f>LEFT(H547,FIND(" (",H547)-1)</f>
        <v>Staff/Principal</v>
      </c>
      <c r="J547" t="str">
        <f>MID(H547,FIND("(",H547)+1,FIND(")",H547)-FIND("(",H547)-1)</f>
        <v>8+ yrs</v>
      </c>
      <c r="L547">
        <v>171311</v>
      </c>
      <c r="M547" t="s">
        <v>1218</v>
      </c>
      <c r="N547" t="s">
        <v>43</v>
      </c>
      <c r="O547" t="s">
        <v>44</v>
      </c>
      <c r="P547" s="1">
        <v>45612</v>
      </c>
      <c r="Q547">
        <v>1036</v>
      </c>
      <c r="R547">
        <v>1233</v>
      </c>
      <c r="S547" t="s">
        <v>34</v>
      </c>
      <c r="T547">
        <v>6</v>
      </c>
      <c r="U547" t="s">
        <v>52</v>
      </c>
      <c r="V547" t="s">
        <v>24</v>
      </c>
      <c r="W547" t="s">
        <v>23</v>
      </c>
    </row>
    <row r="548" spans="1:23" x14ac:dyDescent="0.3">
      <c r="A548" t="s">
        <v>1219</v>
      </c>
      <c r="B548" t="s">
        <v>229</v>
      </c>
      <c r="C548" t="s">
        <v>204</v>
      </c>
      <c r="D548" t="s">
        <v>111</v>
      </c>
      <c r="E548" t="s">
        <v>5132</v>
      </c>
      <c r="F548" t="s">
        <v>5133</v>
      </c>
      <c r="G548" t="s">
        <v>55</v>
      </c>
      <c r="H548" t="s">
        <v>19</v>
      </c>
      <c r="I548" t="str">
        <f>LEFT(H548,FIND(" (",H548)-1)</f>
        <v>Entry</v>
      </c>
      <c r="J548" t="str">
        <f>MID(H548,FIND("(",H548)+1,FIND(")",H548)-FIND("(",H548)-1)</f>
        <v>0-2 yrs</v>
      </c>
      <c r="L548">
        <v>77271</v>
      </c>
      <c r="M548" t="s">
        <v>1220</v>
      </c>
      <c r="N548" t="s">
        <v>33</v>
      </c>
      <c r="O548" t="s">
        <v>22</v>
      </c>
      <c r="P548" s="1">
        <v>45539</v>
      </c>
      <c r="Q548">
        <v>394</v>
      </c>
      <c r="R548">
        <v>2131</v>
      </c>
      <c r="S548" t="s">
        <v>23</v>
      </c>
      <c r="T548">
        <v>0</v>
      </c>
      <c r="U548" t="s">
        <v>52</v>
      </c>
      <c r="V548" t="s">
        <v>24</v>
      </c>
      <c r="W548" t="s">
        <v>34</v>
      </c>
    </row>
    <row r="549" spans="1:23" x14ac:dyDescent="0.3">
      <c r="A549" t="s">
        <v>1221</v>
      </c>
      <c r="B549" t="s">
        <v>106</v>
      </c>
      <c r="C549" t="s">
        <v>97</v>
      </c>
      <c r="D549" t="s">
        <v>28</v>
      </c>
      <c r="E549" t="s">
        <v>5132</v>
      </c>
      <c r="F549" t="s">
        <v>5133</v>
      </c>
      <c r="G549" t="s">
        <v>18</v>
      </c>
      <c r="H549" t="s">
        <v>19</v>
      </c>
      <c r="I549" t="str">
        <f>LEFT(H549,FIND(" (",H549)-1)</f>
        <v>Entry</v>
      </c>
      <c r="J549" t="str">
        <f>MID(H549,FIND("(",H549)+1,FIND(")",H549)-FIND("(",H549)-1)</f>
        <v>0-2 yrs</v>
      </c>
      <c r="L549">
        <v>67441</v>
      </c>
      <c r="M549" t="s">
        <v>1222</v>
      </c>
      <c r="N549" t="s">
        <v>94</v>
      </c>
      <c r="O549" t="s">
        <v>51</v>
      </c>
      <c r="P549" s="1">
        <v>45334</v>
      </c>
      <c r="Q549">
        <v>2330</v>
      </c>
      <c r="R549">
        <v>1796</v>
      </c>
      <c r="S549" t="s">
        <v>23</v>
      </c>
      <c r="T549">
        <v>0</v>
      </c>
      <c r="U549" t="s">
        <v>58</v>
      </c>
      <c r="V549" t="s">
        <v>46</v>
      </c>
      <c r="W549" t="s">
        <v>34</v>
      </c>
    </row>
    <row r="550" spans="1:23" x14ac:dyDescent="0.3">
      <c r="A550" t="s">
        <v>1223</v>
      </c>
      <c r="B550" t="s">
        <v>106</v>
      </c>
      <c r="C550" t="s">
        <v>14</v>
      </c>
      <c r="D550" t="s">
        <v>111</v>
      </c>
      <c r="E550" t="s">
        <v>5134</v>
      </c>
      <c r="F550" t="s">
        <v>5133</v>
      </c>
      <c r="G550" t="s">
        <v>18</v>
      </c>
      <c r="H550" t="s">
        <v>66</v>
      </c>
      <c r="I550" t="str">
        <f>LEFT(H550,FIND(" (",H550)-1)</f>
        <v>Senior</v>
      </c>
      <c r="J550" t="str">
        <f>MID(H550,FIND("(",H550)+1,FIND(")",H550)-FIND("(",H550)-1)</f>
        <v>5-8 yrs</v>
      </c>
      <c r="L550">
        <v>160020</v>
      </c>
      <c r="M550" t="s">
        <v>1224</v>
      </c>
      <c r="N550" t="s">
        <v>33</v>
      </c>
      <c r="O550" t="s">
        <v>44</v>
      </c>
      <c r="P550" s="1">
        <v>45698</v>
      </c>
      <c r="Q550">
        <v>1605</v>
      </c>
      <c r="R550">
        <v>2561</v>
      </c>
      <c r="S550" t="s">
        <v>34</v>
      </c>
      <c r="T550">
        <v>4</v>
      </c>
      <c r="U550" t="s">
        <v>58</v>
      </c>
      <c r="V550" t="s">
        <v>24</v>
      </c>
      <c r="W550" t="s">
        <v>23</v>
      </c>
    </row>
    <row r="551" spans="1:23" x14ac:dyDescent="0.3">
      <c r="A551" t="s">
        <v>1225</v>
      </c>
      <c r="B551" t="s">
        <v>225</v>
      </c>
      <c r="C551" t="s">
        <v>101</v>
      </c>
      <c r="D551" t="s">
        <v>125</v>
      </c>
      <c r="E551" t="s">
        <v>39</v>
      </c>
      <c r="F551" t="s">
        <v>40</v>
      </c>
      <c r="G551" t="s">
        <v>18</v>
      </c>
      <c r="H551" t="s">
        <v>19</v>
      </c>
      <c r="I551" t="str">
        <f>LEFT(H551,FIND(" (",H551)-1)</f>
        <v>Entry</v>
      </c>
      <c r="J551" t="str">
        <f>MID(H551,FIND("(",H551)+1,FIND(")",H551)-FIND("(",H551)-1)</f>
        <v>0-2 yrs</v>
      </c>
      <c r="L551">
        <v>62389</v>
      </c>
      <c r="M551" t="s">
        <v>1226</v>
      </c>
      <c r="N551" t="s">
        <v>186</v>
      </c>
      <c r="O551" t="s">
        <v>44</v>
      </c>
      <c r="P551" s="1">
        <v>45309</v>
      </c>
      <c r="Q551">
        <v>2058</v>
      </c>
      <c r="R551">
        <v>3249</v>
      </c>
      <c r="S551" t="s">
        <v>34</v>
      </c>
      <c r="T551">
        <v>0</v>
      </c>
      <c r="U551" t="s">
        <v>52</v>
      </c>
      <c r="V551" t="s">
        <v>24</v>
      </c>
      <c r="W551" t="s">
        <v>23</v>
      </c>
    </row>
    <row r="552" spans="1:23" x14ac:dyDescent="0.3">
      <c r="A552" t="s">
        <v>1227</v>
      </c>
      <c r="B552" t="s">
        <v>225</v>
      </c>
      <c r="C552" t="s">
        <v>86</v>
      </c>
      <c r="D552" t="s">
        <v>38</v>
      </c>
      <c r="E552" t="s">
        <v>5132</v>
      </c>
      <c r="F552" t="s">
        <v>5133</v>
      </c>
      <c r="G552" t="s">
        <v>18</v>
      </c>
      <c r="H552" t="s">
        <v>56</v>
      </c>
      <c r="I552" t="str">
        <f>LEFT(H552,FIND(" (",H552)-1)</f>
        <v>Mid</v>
      </c>
      <c r="J552" t="str">
        <f>MID(H552,FIND("(",H552)+1,FIND(")",H552)-FIND("(",H552)-1)</f>
        <v>2-5 yrs</v>
      </c>
      <c r="L552">
        <v>111714</v>
      </c>
      <c r="M552" t="s">
        <v>1228</v>
      </c>
      <c r="N552" t="s">
        <v>43</v>
      </c>
      <c r="O552" t="s">
        <v>51</v>
      </c>
      <c r="P552" s="1">
        <v>45455</v>
      </c>
      <c r="Q552">
        <v>1879</v>
      </c>
      <c r="R552">
        <v>1171</v>
      </c>
      <c r="S552" t="s">
        <v>23</v>
      </c>
      <c r="T552">
        <v>2</v>
      </c>
      <c r="U552" t="s">
        <v>83</v>
      </c>
      <c r="V552" t="s">
        <v>24</v>
      </c>
      <c r="W552" t="s">
        <v>23</v>
      </c>
    </row>
    <row r="553" spans="1:23" x14ac:dyDescent="0.3">
      <c r="A553" t="s">
        <v>1229</v>
      </c>
      <c r="B553" t="s">
        <v>85</v>
      </c>
      <c r="C553" t="s">
        <v>192</v>
      </c>
      <c r="D553" t="s">
        <v>15</v>
      </c>
      <c r="E553" t="s">
        <v>200</v>
      </c>
      <c r="F553" t="s">
        <v>201</v>
      </c>
      <c r="G553" t="s">
        <v>55</v>
      </c>
      <c r="H553" t="s">
        <v>19</v>
      </c>
      <c r="I553" t="str">
        <f>LEFT(H553,FIND(" (",H553)-1)</f>
        <v>Entry</v>
      </c>
      <c r="J553" t="str">
        <f>MID(H553,FIND("(",H553)+1,FIND(")",H553)-FIND("(",H553)-1)</f>
        <v>0-2 yrs</v>
      </c>
      <c r="L553">
        <v>68038</v>
      </c>
      <c r="M553" t="s">
        <v>1230</v>
      </c>
      <c r="N553" t="s">
        <v>33</v>
      </c>
      <c r="O553" t="s">
        <v>79</v>
      </c>
      <c r="P553" s="1">
        <v>45507</v>
      </c>
      <c r="Q553">
        <v>2025</v>
      </c>
      <c r="R553">
        <v>498</v>
      </c>
      <c r="S553" t="s">
        <v>34</v>
      </c>
      <c r="T553">
        <v>0</v>
      </c>
      <c r="U553" t="s">
        <v>52</v>
      </c>
      <c r="V553" t="s">
        <v>24</v>
      </c>
      <c r="W553" t="s">
        <v>23</v>
      </c>
    </row>
    <row r="554" spans="1:23" x14ac:dyDescent="0.3">
      <c r="A554" t="s">
        <v>1231</v>
      </c>
      <c r="B554" t="s">
        <v>91</v>
      </c>
      <c r="C554" t="s">
        <v>132</v>
      </c>
      <c r="D554" t="s">
        <v>174</v>
      </c>
      <c r="E554" t="s">
        <v>230</v>
      </c>
      <c r="F554" t="s">
        <v>231</v>
      </c>
      <c r="G554" t="s">
        <v>18</v>
      </c>
      <c r="H554" t="s">
        <v>19</v>
      </c>
      <c r="I554" t="str">
        <f>LEFT(H554,FIND(" (",H554)-1)</f>
        <v>Entry</v>
      </c>
      <c r="J554" t="str">
        <f>MID(H554,FIND("(",H554)+1,FIND(")",H554)-FIND("(",H554)-1)</f>
        <v>0-2 yrs</v>
      </c>
      <c r="L554">
        <v>84714</v>
      </c>
      <c r="M554" t="s">
        <v>1232</v>
      </c>
      <c r="N554" t="s">
        <v>33</v>
      </c>
      <c r="O554" t="s">
        <v>51</v>
      </c>
      <c r="P554" s="1">
        <v>45693</v>
      </c>
      <c r="Q554">
        <v>584</v>
      </c>
      <c r="R554">
        <v>1934</v>
      </c>
      <c r="S554" t="s">
        <v>34</v>
      </c>
      <c r="T554">
        <v>0</v>
      </c>
      <c r="U554" t="s">
        <v>58</v>
      </c>
      <c r="V554" t="s">
        <v>59</v>
      </c>
      <c r="W554" t="s">
        <v>34</v>
      </c>
    </row>
    <row r="555" spans="1:23" x14ac:dyDescent="0.3">
      <c r="A555" t="s">
        <v>1233</v>
      </c>
      <c r="B555" t="s">
        <v>225</v>
      </c>
      <c r="C555" t="s">
        <v>116</v>
      </c>
      <c r="D555" t="s">
        <v>174</v>
      </c>
      <c r="E555" t="s">
        <v>5136</v>
      </c>
      <c r="F555" t="s">
        <v>5133</v>
      </c>
      <c r="G555" t="s">
        <v>41</v>
      </c>
      <c r="H555" t="s">
        <v>31</v>
      </c>
      <c r="I555" t="str">
        <f>LEFT(H555,FIND(" (",H555)-1)</f>
        <v>Staff/Principal</v>
      </c>
      <c r="J555" t="str">
        <f>MID(H555,FIND("(",H555)+1,FIND(")",H555)-FIND("(",H555)-1)</f>
        <v>8+ yrs</v>
      </c>
      <c r="L555">
        <v>209159</v>
      </c>
      <c r="M555" t="s">
        <v>1234</v>
      </c>
      <c r="N555" t="s">
        <v>149</v>
      </c>
      <c r="O555" t="s">
        <v>79</v>
      </c>
      <c r="P555" s="1">
        <v>45452</v>
      </c>
      <c r="Q555">
        <v>720</v>
      </c>
      <c r="R555">
        <v>129</v>
      </c>
      <c r="S555" t="s">
        <v>34</v>
      </c>
      <c r="T555">
        <v>6</v>
      </c>
      <c r="U555" t="s">
        <v>5123</v>
      </c>
      <c r="V555" t="s">
        <v>24</v>
      </c>
      <c r="W555" t="s">
        <v>23</v>
      </c>
    </row>
    <row r="556" spans="1:23" x14ac:dyDescent="0.3">
      <c r="A556" t="s">
        <v>1235</v>
      </c>
      <c r="B556" t="s">
        <v>329</v>
      </c>
      <c r="C556" t="s">
        <v>173</v>
      </c>
      <c r="D556" t="s">
        <v>15</v>
      </c>
      <c r="E556" t="s">
        <v>102</v>
      </c>
      <c r="F556" t="s">
        <v>103</v>
      </c>
      <c r="G556" t="s">
        <v>18</v>
      </c>
      <c r="H556" t="s">
        <v>56</v>
      </c>
      <c r="I556" t="str">
        <f>LEFT(H556,FIND(" (",H556)-1)</f>
        <v>Mid</v>
      </c>
      <c r="J556" t="str">
        <f>MID(H556,FIND("(",H556)+1,FIND(")",H556)-FIND("(",H556)-1)</f>
        <v>2-5 yrs</v>
      </c>
      <c r="L556">
        <v>116684</v>
      </c>
      <c r="M556" t="s">
        <v>1236</v>
      </c>
      <c r="N556" t="s">
        <v>33</v>
      </c>
      <c r="O556" t="s">
        <v>22</v>
      </c>
      <c r="P556" s="1">
        <v>45662</v>
      </c>
      <c r="Q556">
        <v>1546</v>
      </c>
      <c r="R556">
        <v>317</v>
      </c>
      <c r="S556" t="s">
        <v>23</v>
      </c>
      <c r="T556">
        <v>2</v>
      </c>
      <c r="U556" t="s">
        <v>83</v>
      </c>
      <c r="V556" t="s">
        <v>59</v>
      </c>
      <c r="W556" t="s">
        <v>34</v>
      </c>
    </row>
    <row r="557" spans="1:23" x14ac:dyDescent="0.3">
      <c r="A557" t="s">
        <v>1237</v>
      </c>
      <c r="B557" t="s">
        <v>222</v>
      </c>
      <c r="C557" t="s">
        <v>86</v>
      </c>
      <c r="D557" t="s">
        <v>147</v>
      </c>
      <c r="E557" t="s">
        <v>200</v>
      </c>
      <c r="F557" t="s">
        <v>201</v>
      </c>
      <c r="G557" t="s">
        <v>41</v>
      </c>
      <c r="H557" t="s">
        <v>56</v>
      </c>
      <c r="I557" t="str">
        <f>LEFT(H557,FIND(" (",H557)-1)</f>
        <v>Mid</v>
      </c>
      <c r="J557" t="str">
        <f>MID(H557,FIND("(",H557)+1,FIND(")",H557)-FIND("(",H557)-1)</f>
        <v>2-5 yrs</v>
      </c>
      <c r="L557">
        <v>101844</v>
      </c>
      <c r="M557" t="s">
        <v>1238</v>
      </c>
      <c r="N557" t="s">
        <v>33</v>
      </c>
      <c r="O557" t="s">
        <v>51</v>
      </c>
      <c r="P557" s="1">
        <v>45356</v>
      </c>
      <c r="Q557">
        <v>801</v>
      </c>
      <c r="R557">
        <v>2147</v>
      </c>
      <c r="S557" t="s">
        <v>23</v>
      </c>
      <c r="T557">
        <v>2</v>
      </c>
      <c r="U557" t="s">
        <v>83</v>
      </c>
      <c r="V557" t="s">
        <v>24</v>
      </c>
      <c r="W557" t="s">
        <v>23</v>
      </c>
    </row>
    <row r="558" spans="1:23" x14ac:dyDescent="0.3">
      <c r="A558" t="s">
        <v>1239</v>
      </c>
      <c r="B558" t="s">
        <v>36</v>
      </c>
      <c r="C558" t="s">
        <v>48</v>
      </c>
      <c r="D558" t="s">
        <v>38</v>
      </c>
      <c r="E558" t="s">
        <v>159</v>
      </c>
      <c r="F558" t="s">
        <v>160</v>
      </c>
      <c r="G558" t="s">
        <v>18</v>
      </c>
      <c r="H558" t="s">
        <v>66</v>
      </c>
      <c r="I558" t="str">
        <f>LEFT(H558,FIND(" (",H558)-1)</f>
        <v>Senior</v>
      </c>
      <c r="J558" t="str">
        <f>MID(H558,FIND("(",H558)+1,FIND(")",H558)-FIND("(",H558)-1)</f>
        <v>5-8 yrs</v>
      </c>
      <c r="L558">
        <v>136834</v>
      </c>
      <c r="M558" t="s">
        <v>1240</v>
      </c>
      <c r="N558" t="s">
        <v>33</v>
      </c>
      <c r="O558" t="s">
        <v>51</v>
      </c>
      <c r="P558" s="1">
        <v>45427</v>
      </c>
      <c r="Q558">
        <v>607</v>
      </c>
      <c r="R558">
        <v>3990</v>
      </c>
      <c r="S558" t="s">
        <v>23</v>
      </c>
      <c r="T558">
        <v>4</v>
      </c>
      <c r="U558" t="s">
        <v>52</v>
      </c>
      <c r="V558" t="s">
        <v>24</v>
      </c>
      <c r="W558" t="s">
        <v>34</v>
      </c>
    </row>
    <row r="559" spans="1:23" x14ac:dyDescent="0.3">
      <c r="A559" t="s">
        <v>1241</v>
      </c>
      <c r="B559" t="s">
        <v>137</v>
      </c>
      <c r="C559" t="s">
        <v>128</v>
      </c>
      <c r="D559" t="s">
        <v>75</v>
      </c>
      <c r="E559" t="s">
        <v>159</v>
      </c>
      <c r="F559" t="s">
        <v>160</v>
      </c>
      <c r="G559" t="s">
        <v>18</v>
      </c>
      <c r="H559" t="s">
        <v>56</v>
      </c>
      <c r="I559" t="str">
        <f>LEFT(H559,FIND(" (",H559)-1)</f>
        <v>Mid</v>
      </c>
      <c r="J559" t="str">
        <f>MID(H559,FIND("(",H559)+1,FIND(")",H559)-FIND("(",H559)-1)</f>
        <v>2-5 yrs</v>
      </c>
      <c r="L559">
        <v>101435</v>
      </c>
      <c r="M559" t="s">
        <v>1242</v>
      </c>
      <c r="N559" t="s">
        <v>68</v>
      </c>
      <c r="O559" t="s">
        <v>22</v>
      </c>
      <c r="P559" s="1">
        <v>45398</v>
      </c>
      <c r="Q559">
        <v>832</v>
      </c>
      <c r="R559">
        <v>906</v>
      </c>
      <c r="S559" t="s">
        <v>99</v>
      </c>
      <c r="T559">
        <v>2</v>
      </c>
      <c r="U559" t="s">
        <v>58</v>
      </c>
      <c r="V559" t="s">
        <v>46</v>
      </c>
      <c r="W559" t="s">
        <v>23</v>
      </c>
    </row>
    <row r="560" spans="1:23" x14ac:dyDescent="0.3">
      <c r="A560" t="s">
        <v>1243</v>
      </c>
      <c r="B560" t="s">
        <v>131</v>
      </c>
      <c r="C560" t="s">
        <v>107</v>
      </c>
      <c r="D560" t="s">
        <v>49</v>
      </c>
      <c r="E560" t="s">
        <v>5134</v>
      </c>
      <c r="F560" t="s">
        <v>5133</v>
      </c>
      <c r="G560" t="s">
        <v>18</v>
      </c>
      <c r="H560" t="s">
        <v>56</v>
      </c>
      <c r="I560" t="str">
        <f>LEFT(H560,FIND(" (",H560)-1)</f>
        <v>Mid</v>
      </c>
      <c r="J560" t="str">
        <f>MID(H560,FIND("(",H560)+1,FIND(")",H560)-FIND("(",H560)-1)</f>
        <v>2-5 yrs</v>
      </c>
      <c r="L560">
        <v>117810</v>
      </c>
      <c r="M560" t="s">
        <v>1244</v>
      </c>
      <c r="N560" t="s">
        <v>149</v>
      </c>
      <c r="O560" t="s">
        <v>22</v>
      </c>
      <c r="P560" s="1">
        <v>45434</v>
      </c>
      <c r="Q560">
        <v>2187</v>
      </c>
      <c r="R560">
        <v>776</v>
      </c>
      <c r="S560" t="s">
        <v>23</v>
      </c>
      <c r="T560">
        <v>2</v>
      </c>
      <c r="U560" t="s">
        <v>58</v>
      </c>
      <c r="V560" t="s">
        <v>24</v>
      </c>
      <c r="W560" t="s">
        <v>23</v>
      </c>
    </row>
    <row r="561" spans="1:23" x14ac:dyDescent="0.3">
      <c r="A561" t="s">
        <v>1245</v>
      </c>
      <c r="B561" t="s">
        <v>36</v>
      </c>
      <c r="C561" t="s">
        <v>146</v>
      </c>
      <c r="D561" t="s">
        <v>28</v>
      </c>
      <c r="E561" t="s">
        <v>133</v>
      </c>
      <c r="F561" t="s">
        <v>134</v>
      </c>
      <c r="G561" t="s">
        <v>18</v>
      </c>
      <c r="H561" t="s">
        <v>19</v>
      </c>
      <c r="I561" t="str">
        <f>LEFT(H561,FIND(" (",H561)-1)</f>
        <v>Entry</v>
      </c>
      <c r="J561" t="str">
        <f>MID(H561,FIND("(",H561)+1,FIND(")",H561)-FIND("(",H561)-1)</f>
        <v>0-2 yrs</v>
      </c>
      <c r="L561">
        <v>64695</v>
      </c>
      <c r="M561" t="s">
        <v>1246</v>
      </c>
      <c r="N561" t="s">
        <v>186</v>
      </c>
      <c r="O561" t="s">
        <v>51</v>
      </c>
      <c r="P561" s="1">
        <v>45512</v>
      </c>
      <c r="Q561">
        <v>501</v>
      </c>
      <c r="R561">
        <v>2666</v>
      </c>
      <c r="S561" t="s">
        <v>23</v>
      </c>
      <c r="T561">
        <v>0</v>
      </c>
      <c r="U561" t="s">
        <v>58</v>
      </c>
      <c r="V561" t="s">
        <v>24</v>
      </c>
      <c r="W561" t="s">
        <v>34</v>
      </c>
    </row>
    <row r="562" spans="1:23" x14ac:dyDescent="0.3">
      <c r="A562" t="s">
        <v>1247</v>
      </c>
      <c r="B562" t="s">
        <v>222</v>
      </c>
      <c r="C562" t="s">
        <v>86</v>
      </c>
      <c r="D562" t="s">
        <v>15</v>
      </c>
      <c r="E562" t="s">
        <v>76</v>
      </c>
      <c r="F562" t="s">
        <v>77</v>
      </c>
      <c r="G562" t="s">
        <v>41</v>
      </c>
      <c r="H562" t="s">
        <v>66</v>
      </c>
      <c r="I562" t="str">
        <f>LEFT(H562,FIND(" (",H562)-1)</f>
        <v>Senior</v>
      </c>
      <c r="J562" t="str">
        <f>MID(H562,FIND("(",H562)+1,FIND(")",H562)-FIND("(",H562)-1)</f>
        <v>5-8 yrs</v>
      </c>
      <c r="L562">
        <v>157823</v>
      </c>
      <c r="M562" t="s">
        <v>1248</v>
      </c>
      <c r="N562" t="s">
        <v>186</v>
      </c>
      <c r="O562" t="s">
        <v>51</v>
      </c>
      <c r="P562" s="1">
        <v>45557</v>
      </c>
      <c r="Q562">
        <v>1277</v>
      </c>
      <c r="R562">
        <v>279</v>
      </c>
      <c r="S562" t="s">
        <v>23</v>
      </c>
      <c r="T562">
        <v>4</v>
      </c>
      <c r="U562" t="s">
        <v>45</v>
      </c>
      <c r="V562" t="s">
        <v>24</v>
      </c>
      <c r="W562" t="s">
        <v>23</v>
      </c>
    </row>
    <row r="563" spans="1:23" x14ac:dyDescent="0.3">
      <c r="A563" t="s">
        <v>1249</v>
      </c>
      <c r="B563" t="s">
        <v>137</v>
      </c>
      <c r="C563" t="s">
        <v>179</v>
      </c>
      <c r="D563" t="s">
        <v>15</v>
      </c>
      <c r="E563" t="s">
        <v>5134</v>
      </c>
      <c r="F563" t="s">
        <v>5133</v>
      </c>
      <c r="G563" t="s">
        <v>18</v>
      </c>
      <c r="H563" t="s">
        <v>31</v>
      </c>
      <c r="I563" t="str">
        <f>LEFT(H563,FIND(" (",H563)-1)</f>
        <v>Staff/Principal</v>
      </c>
      <c r="J563" t="str">
        <f>MID(H563,FIND("(",H563)+1,FIND(")",H563)-FIND("(",H563)-1)</f>
        <v>8+ yrs</v>
      </c>
      <c r="L563">
        <v>274714</v>
      </c>
      <c r="M563" t="s">
        <v>1250</v>
      </c>
      <c r="N563" t="s">
        <v>21</v>
      </c>
      <c r="O563" t="s">
        <v>22</v>
      </c>
      <c r="P563" s="1">
        <v>45667</v>
      </c>
      <c r="Q563">
        <v>2361</v>
      </c>
      <c r="R563">
        <v>3728</v>
      </c>
      <c r="S563" t="s">
        <v>23</v>
      </c>
      <c r="T563">
        <v>6</v>
      </c>
      <c r="U563" t="s">
        <v>58</v>
      </c>
      <c r="V563" t="s">
        <v>59</v>
      </c>
      <c r="W563" t="s">
        <v>23</v>
      </c>
    </row>
    <row r="564" spans="1:23" x14ac:dyDescent="0.3">
      <c r="A564" t="s">
        <v>1251</v>
      </c>
      <c r="B564" t="s">
        <v>91</v>
      </c>
      <c r="C564" t="s">
        <v>48</v>
      </c>
      <c r="D564" t="s">
        <v>63</v>
      </c>
      <c r="E564" t="s">
        <v>5132</v>
      </c>
      <c r="F564" t="s">
        <v>5133</v>
      </c>
      <c r="G564" t="s">
        <v>41</v>
      </c>
      <c r="H564" t="s">
        <v>56</v>
      </c>
      <c r="I564" t="str">
        <f>LEFT(H564,FIND(" (",H564)-1)</f>
        <v>Mid</v>
      </c>
      <c r="J564" t="str">
        <f>MID(H564,FIND("(",H564)+1,FIND(")",H564)-FIND("(",H564)-1)</f>
        <v>2-5 yrs</v>
      </c>
      <c r="L564">
        <v>127248</v>
      </c>
      <c r="M564" t="s">
        <v>1252</v>
      </c>
      <c r="N564" t="s">
        <v>33</v>
      </c>
      <c r="O564" t="s">
        <v>51</v>
      </c>
      <c r="P564" s="1">
        <v>45377</v>
      </c>
      <c r="Q564">
        <v>385</v>
      </c>
      <c r="R564">
        <v>737</v>
      </c>
      <c r="S564" t="s">
        <v>99</v>
      </c>
      <c r="T564">
        <v>2</v>
      </c>
      <c r="U564" t="s">
        <v>5123</v>
      </c>
      <c r="V564" t="s">
        <v>24</v>
      </c>
      <c r="W564" t="s">
        <v>23</v>
      </c>
    </row>
    <row r="565" spans="1:23" x14ac:dyDescent="0.3">
      <c r="A565" t="s">
        <v>1253</v>
      </c>
      <c r="B565" t="s">
        <v>151</v>
      </c>
      <c r="C565" t="s">
        <v>116</v>
      </c>
      <c r="D565" t="s">
        <v>38</v>
      </c>
      <c r="E565" t="s">
        <v>159</v>
      </c>
      <c r="F565" t="s">
        <v>160</v>
      </c>
      <c r="G565" t="s">
        <v>41</v>
      </c>
      <c r="H565" t="s">
        <v>66</v>
      </c>
      <c r="I565" t="str">
        <f>LEFT(H565,FIND(" (",H565)-1)</f>
        <v>Senior</v>
      </c>
      <c r="J565" t="str">
        <f>MID(H565,FIND("(",H565)+1,FIND(")",H565)-FIND("(",H565)-1)</f>
        <v>5-8 yrs</v>
      </c>
      <c r="L565">
        <v>141197</v>
      </c>
      <c r="M565" t="s">
        <v>1254</v>
      </c>
      <c r="N565" t="s">
        <v>120</v>
      </c>
      <c r="O565" t="s">
        <v>51</v>
      </c>
      <c r="P565" s="1">
        <v>45542</v>
      </c>
      <c r="Q565">
        <v>985</v>
      </c>
      <c r="R565">
        <v>3102</v>
      </c>
      <c r="S565" t="s">
        <v>34</v>
      </c>
      <c r="T565">
        <v>4</v>
      </c>
      <c r="U565" t="s">
        <v>5123</v>
      </c>
      <c r="V565" t="s">
        <v>24</v>
      </c>
      <c r="W565" t="s">
        <v>23</v>
      </c>
    </row>
    <row r="566" spans="1:23" x14ac:dyDescent="0.3">
      <c r="A566" t="s">
        <v>1255</v>
      </c>
      <c r="B566" t="s">
        <v>236</v>
      </c>
      <c r="C566" t="s">
        <v>179</v>
      </c>
      <c r="D566" t="s">
        <v>174</v>
      </c>
      <c r="E566" t="s">
        <v>159</v>
      </c>
      <c r="F566" t="s">
        <v>160</v>
      </c>
      <c r="G566" t="s">
        <v>41</v>
      </c>
      <c r="H566" t="s">
        <v>31</v>
      </c>
      <c r="I566" t="str">
        <f>LEFT(H566,FIND(" (",H566)-1)</f>
        <v>Staff/Principal</v>
      </c>
      <c r="J566" t="str">
        <f>MID(H566,FIND("(",H566)+1,FIND(")",H566)-FIND("(",H566)-1)</f>
        <v>8+ yrs</v>
      </c>
      <c r="L566">
        <v>243243</v>
      </c>
      <c r="M566" t="s">
        <v>1256</v>
      </c>
      <c r="N566" t="s">
        <v>43</v>
      </c>
      <c r="O566" t="s">
        <v>44</v>
      </c>
      <c r="P566" s="1">
        <v>45571</v>
      </c>
      <c r="Q566">
        <v>2283</v>
      </c>
      <c r="R566">
        <v>471</v>
      </c>
      <c r="S566" t="s">
        <v>23</v>
      </c>
      <c r="T566">
        <v>6</v>
      </c>
      <c r="U566" t="s">
        <v>83</v>
      </c>
      <c r="V566" t="s">
        <v>59</v>
      </c>
      <c r="W566" t="s">
        <v>34</v>
      </c>
    </row>
    <row r="567" spans="1:23" x14ac:dyDescent="0.3">
      <c r="A567" t="s">
        <v>1257</v>
      </c>
      <c r="B567" t="s">
        <v>329</v>
      </c>
      <c r="C567" t="s">
        <v>204</v>
      </c>
      <c r="D567" t="s">
        <v>147</v>
      </c>
      <c r="E567" t="s">
        <v>64</v>
      </c>
      <c r="F567" t="s">
        <v>65</v>
      </c>
      <c r="G567" t="s">
        <v>18</v>
      </c>
      <c r="H567" t="s">
        <v>56</v>
      </c>
      <c r="I567" t="str">
        <f>LEFT(H567,FIND(" (",H567)-1)</f>
        <v>Mid</v>
      </c>
      <c r="J567" t="str">
        <f>MID(H567,FIND("(",H567)+1,FIND(")",H567)-FIND("(",H567)-1)</f>
        <v>2-5 yrs</v>
      </c>
      <c r="L567">
        <v>101920</v>
      </c>
      <c r="M567" t="s">
        <v>1258</v>
      </c>
      <c r="N567" t="s">
        <v>149</v>
      </c>
      <c r="O567" t="s">
        <v>51</v>
      </c>
      <c r="P567" s="1">
        <v>45307</v>
      </c>
      <c r="Q567">
        <v>1421</v>
      </c>
      <c r="R567">
        <v>3602</v>
      </c>
      <c r="S567" t="s">
        <v>23</v>
      </c>
      <c r="T567">
        <v>2</v>
      </c>
      <c r="U567" t="s">
        <v>83</v>
      </c>
      <c r="V567" t="s">
        <v>59</v>
      </c>
      <c r="W567" t="s">
        <v>34</v>
      </c>
    </row>
    <row r="568" spans="1:23" x14ac:dyDescent="0.3">
      <c r="A568" t="s">
        <v>1259</v>
      </c>
      <c r="B568" t="s">
        <v>131</v>
      </c>
      <c r="C568" t="s">
        <v>62</v>
      </c>
      <c r="D568" t="s">
        <v>174</v>
      </c>
      <c r="E568" t="s">
        <v>16</v>
      </c>
      <c r="F568" t="s">
        <v>17</v>
      </c>
      <c r="G568" t="s">
        <v>55</v>
      </c>
      <c r="H568" t="s">
        <v>56</v>
      </c>
      <c r="I568" t="str">
        <f>LEFT(H568,FIND(" (",H568)-1)</f>
        <v>Mid</v>
      </c>
      <c r="J568" t="str">
        <f>MID(H568,FIND("(",H568)+1,FIND(")",H568)-FIND("(",H568)-1)</f>
        <v>2-5 yrs</v>
      </c>
      <c r="L568">
        <v>69645</v>
      </c>
      <c r="M568" t="s">
        <v>1260</v>
      </c>
      <c r="N568" t="s">
        <v>21</v>
      </c>
      <c r="O568" t="s">
        <v>44</v>
      </c>
      <c r="P568" s="1">
        <v>45470</v>
      </c>
      <c r="Q568">
        <v>803</v>
      </c>
      <c r="R568">
        <v>1785</v>
      </c>
      <c r="S568" t="s">
        <v>23</v>
      </c>
      <c r="T568">
        <v>2</v>
      </c>
      <c r="U568" t="s">
        <v>83</v>
      </c>
      <c r="V568" t="s">
        <v>46</v>
      </c>
      <c r="W568" t="s">
        <v>23</v>
      </c>
    </row>
    <row r="569" spans="1:23" x14ac:dyDescent="0.3">
      <c r="A569" t="s">
        <v>1261</v>
      </c>
      <c r="B569" t="s">
        <v>81</v>
      </c>
      <c r="C569" t="s">
        <v>195</v>
      </c>
      <c r="D569" t="s">
        <v>75</v>
      </c>
      <c r="E569" t="s">
        <v>5140</v>
      </c>
      <c r="F569" t="s">
        <v>5133</v>
      </c>
      <c r="G569" t="s">
        <v>41</v>
      </c>
      <c r="H569" t="s">
        <v>19</v>
      </c>
      <c r="I569" t="str">
        <f>LEFT(H569,FIND(" (",H569)-1)</f>
        <v>Entry</v>
      </c>
      <c r="J569" t="str">
        <f>MID(H569,FIND("(",H569)+1,FIND(")",H569)-FIND("(",H569)-1)</f>
        <v>0-2 yrs</v>
      </c>
      <c r="L569">
        <v>57298</v>
      </c>
      <c r="M569" t="s">
        <v>1262</v>
      </c>
      <c r="N569" t="s">
        <v>33</v>
      </c>
      <c r="O569" t="s">
        <v>51</v>
      </c>
      <c r="P569" s="1">
        <v>45642</v>
      </c>
      <c r="Q569">
        <v>1543</v>
      </c>
      <c r="R569">
        <v>2004</v>
      </c>
      <c r="S569" t="s">
        <v>23</v>
      </c>
      <c r="T569">
        <v>0</v>
      </c>
      <c r="U569" t="s">
        <v>45</v>
      </c>
      <c r="V569" t="s">
        <v>24</v>
      </c>
      <c r="W569" t="s">
        <v>34</v>
      </c>
    </row>
    <row r="570" spans="1:23" x14ac:dyDescent="0.3">
      <c r="A570" t="s">
        <v>1263</v>
      </c>
      <c r="B570" t="s">
        <v>81</v>
      </c>
      <c r="C570" t="s">
        <v>158</v>
      </c>
      <c r="D570" t="s">
        <v>75</v>
      </c>
      <c r="E570" t="s">
        <v>5135</v>
      </c>
      <c r="F570" t="s">
        <v>5133</v>
      </c>
      <c r="G570" t="s">
        <v>41</v>
      </c>
      <c r="H570" t="s">
        <v>19</v>
      </c>
      <c r="I570" t="str">
        <f>LEFT(H570,FIND(" (",H570)-1)</f>
        <v>Entry</v>
      </c>
      <c r="J570" t="str">
        <f>MID(H570,FIND("(",H570)+1,FIND(")",H570)-FIND("(",H570)-1)</f>
        <v>0-2 yrs</v>
      </c>
      <c r="L570">
        <v>50000</v>
      </c>
      <c r="M570" t="s">
        <v>1264</v>
      </c>
      <c r="N570" t="s">
        <v>120</v>
      </c>
      <c r="O570" t="s">
        <v>51</v>
      </c>
      <c r="P570" s="1">
        <v>45294</v>
      </c>
      <c r="Q570">
        <v>935</v>
      </c>
      <c r="R570">
        <v>3916</v>
      </c>
      <c r="S570" t="s">
        <v>34</v>
      </c>
      <c r="T570">
        <v>0</v>
      </c>
      <c r="U570" t="s">
        <v>45</v>
      </c>
      <c r="V570" t="s">
        <v>24</v>
      </c>
      <c r="W570" t="s">
        <v>23</v>
      </c>
    </row>
    <row r="571" spans="1:23" x14ac:dyDescent="0.3">
      <c r="A571" t="s">
        <v>1265</v>
      </c>
      <c r="B571" t="s">
        <v>329</v>
      </c>
      <c r="C571" t="s">
        <v>86</v>
      </c>
      <c r="D571" t="s">
        <v>28</v>
      </c>
      <c r="E571" t="s">
        <v>230</v>
      </c>
      <c r="F571" t="s">
        <v>231</v>
      </c>
      <c r="G571" t="s">
        <v>18</v>
      </c>
      <c r="H571" t="s">
        <v>19</v>
      </c>
      <c r="I571" t="str">
        <f>LEFT(H571,FIND(" (",H571)-1)</f>
        <v>Entry</v>
      </c>
      <c r="J571" t="str">
        <f>MID(H571,FIND("(",H571)+1,FIND(")",H571)-FIND("(",H571)-1)</f>
        <v>0-2 yrs</v>
      </c>
      <c r="L571">
        <v>65570</v>
      </c>
      <c r="M571" t="s">
        <v>1266</v>
      </c>
      <c r="N571" t="s">
        <v>149</v>
      </c>
      <c r="O571" t="s">
        <v>79</v>
      </c>
      <c r="P571" s="1">
        <v>45534</v>
      </c>
      <c r="Q571">
        <v>1572</v>
      </c>
      <c r="R571">
        <v>719</v>
      </c>
      <c r="S571" t="s">
        <v>23</v>
      </c>
      <c r="T571">
        <v>0</v>
      </c>
      <c r="U571" t="s">
        <v>45</v>
      </c>
      <c r="V571" t="s">
        <v>59</v>
      </c>
      <c r="W571" t="s">
        <v>34</v>
      </c>
    </row>
    <row r="572" spans="1:23" x14ac:dyDescent="0.3">
      <c r="A572" t="s">
        <v>1267</v>
      </c>
      <c r="B572" t="s">
        <v>106</v>
      </c>
      <c r="C572" t="s">
        <v>158</v>
      </c>
      <c r="D572" t="s">
        <v>147</v>
      </c>
      <c r="E572" t="s">
        <v>64</v>
      </c>
      <c r="F572" t="s">
        <v>65</v>
      </c>
      <c r="G572" t="s">
        <v>18</v>
      </c>
      <c r="H572" t="s">
        <v>66</v>
      </c>
      <c r="I572" t="str">
        <f>LEFT(H572,FIND(" (",H572)-1)</f>
        <v>Senior</v>
      </c>
      <c r="J572" t="str">
        <f>MID(H572,FIND("(",H572)+1,FIND(")",H572)-FIND("(",H572)-1)</f>
        <v>5-8 yrs</v>
      </c>
      <c r="L572">
        <v>150497</v>
      </c>
      <c r="M572" t="s">
        <v>1268</v>
      </c>
      <c r="N572" t="s">
        <v>141</v>
      </c>
      <c r="O572" t="s">
        <v>22</v>
      </c>
      <c r="P572" s="1">
        <v>45394</v>
      </c>
      <c r="Q572">
        <v>2456</v>
      </c>
      <c r="R572">
        <v>1820</v>
      </c>
      <c r="S572" t="s">
        <v>23</v>
      </c>
      <c r="T572">
        <v>4</v>
      </c>
      <c r="U572" t="s">
        <v>83</v>
      </c>
      <c r="V572" t="s">
        <v>46</v>
      </c>
      <c r="W572" t="s">
        <v>23</v>
      </c>
    </row>
    <row r="573" spans="1:23" x14ac:dyDescent="0.3">
      <c r="A573" t="s">
        <v>1269</v>
      </c>
      <c r="B573" t="s">
        <v>172</v>
      </c>
      <c r="C573" t="s">
        <v>195</v>
      </c>
      <c r="D573" t="s">
        <v>28</v>
      </c>
      <c r="E573" t="s">
        <v>5139</v>
      </c>
      <c r="F573" t="s">
        <v>5133</v>
      </c>
      <c r="G573" t="s">
        <v>41</v>
      </c>
      <c r="H573" t="s">
        <v>66</v>
      </c>
      <c r="I573" t="str">
        <f>LEFT(H573,FIND(" (",H573)-1)</f>
        <v>Senior</v>
      </c>
      <c r="J573" t="str">
        <f>MID(H573,FIND("(",H573)+1,FIND(")",H573)-FIND("(",H573)-1)</f>
        <v>5-8 yrs</v>
      </c>
      <c r="L573">
        <v>195263</v>
      </c>
      <c r="M573" t="s">
        <v>1270</v>
      </c>
      <c r="N573" t="s">
        <v>33</v>
      </c>
      <c r="O573" t="s">
        <v>44</v>
      </c>
      <c r="P573" s="1">
        <v>45502</v>
      </c>
      <c r="Q573">
        <v>2397</v>
      </c>
      <c r="R573">
        <v>1538</v>
      </c>
      <c r="S573" t="s">
        <v>34</v>
      </c>
      <c r="T573">
        <v>4</v>
      </c>
      <c r="U573" t="s">
        <v>83</v>
      </c>
      <c r="V573" t="s">
        <v>59</v>
      </c>
      <c r="W573" t="s">
        <v>23</v>
      </c>
    </row>
    <row r="574" spans="1:23" x14ac:dyDescent="0.3">
      <c r="A574" t="s">
        <v>1271</v>
      </c>
      <c r="B574" t="s">
        <v>229</v>
      </c>
      <c r="C574" t="s">
        <v>27</v>
      </c>
      <c r="D574" t="s">
        <v>111</v>
      </c>
      <c r="E574" t="s">
        <v>64</v>
      </c>
      <c r="F574" t="s">
        <v>65</v>
      </c>
      <c r="G574" t="s">
        <v>18</v>
      </c>
      <c r="H574" t="s">
        <v>31</v>
      </c>
      <c r="I574" t="str">
        <f>LEFT(H574,FIND(" (",H574)-1)</f>
        <v>Staff/Principal</v>
      </c>
      <c r="J574" t="str">
        <f>MID(H574,FIND("(",H574)+1,FIND(")",H574)-FIND("(",H574)-1)</f>
        <v>8+ yrs</v>
      </c>
      <c r="L574">
        <v>211769</v>
      </c>
      <c r="M574" t="s">
        <v>1272</v>
      </c>
      <c r="N574" t="s">
        <v>149</v>
      </c>
      <c r="O574" t="s">
        <v>22</v>
      </c>
      <c r="P574" s="1">
        <v>45295</v>
      </c>
      <c r="Q574">
        <v>1490</v>
      </c>
      <c r="R574">
        <v>2326</v>
      </c>
      <c r="S574" t="s">
        <v>23</v>
      </c>
      <c r="T574">
        <v>6</v>
      </c>
      <c r="U574" t="s">
        <v>45</v>
      </c>
      <c r="V574" t="s">
        <v>59</v>
      </c>
      <c r="W574" t="s">
        <v>34</v>
      </c>
    </row>
    <row r="575" spans="1:23" x14ac:dyDescent="0.3">
      <c r="A575" t="s">
        <v>1273</v>
      </c>
      <c r="B575" t="s">
        <v>143</v>
      </c>
      <c r="C575" t="s">
        <v>158</v>
      </c>
      <c r="D575" t="s">
        <v>63</v>
      </c>
      <c r="E575" t="s">
        <v>87</v>
      </c>
      <c r="F575" t="s">
        <v>87</v>
      </c>
      <c r="G575" t="s">
        <v>41</v>
      </c>
      <c r="H575" t="s">
        <v>19</v>
      </c>
      <c r="I575" t="str">
        <f>LEFT(H575,FIND(" (",H575)-1)</f>
        <v>Entry</v>
      </c>
      <c r="J575" t="str">
        <f>MID(H575,FIND("(",H575)+1,FIND(")",H575)-FIND("(",H575)-1)</f>
        <v>0-2 yrs</v>
      </c>
      <c r="L575">
        <v>67239</v>
      </c>
      <c r="M575" t="s">
        <v>1274</v>
      </c>
      <c r="N575" t="s">
        <v>186</v>
      </c>
      <c r="O575" t="s">
        <v>51</v>
      </c>
      <c r="P575" s="1">
        <v>45579</v>
      </c>
      <c r="Q575">
        <v>1122</v>
      </c>
      <c r="R575">
        <v>479</v>
      </c>
      <c r="S575" t="s">
        <v>34</v>
      </c>
      <c r="T575">
        <v>0</v>
      </c>
      <c r="U575" t="s">
        <v>52</v>
      </c>
      <c r="V575" t="s">
        <v>24</v>
      </c>
      <c r="W575" t="s">
        <v>34</v>
      </c>
    </row>
    <row r="576" spans="1:23" x14ac:dyDescent="0.3">
      <c r="A576" t="s">
        <v>1275</v>
      </c>
      <c r="B576" t="s">
        <v>13</v>
      </c>
      <c r="C576" t="s">
        <v>116</v>
      </c>
      <c r="D576" t="s">
        <v>38</v>
      </c>
      <c r="E576" t="s">
        <v>87</v>
      </c>
      <c r="F576" t="s">
        <v>87</v>
      </c>
      <c r="G576" t="s">
        <v>18</v>
      </c>
      <c r="H576" t="s">
        <v>56</v>
      </c>
      <c r="I576" t="str">
        <f>LEFT(H576,FIND(" (",H576)-1)</f>
        <v>Mid</v>
      </c>
      <c r="J576" t="str">
        <f>MID(H576,FIND("(",H576)+1,FIND(")",H576)-FIND("(",H576)-1)</f>
        <v>2-5 yrs</v>
      </c>
      <c r="L576">
        <v>126422</v>
      </c>
      <c r="M576" t="s">
        <v>1276</v>
      </c>
      <c r="N576" t="s">
        <v>33</v>
      </c>
      <c r="O576" t="s">
        <v>44</v>
      </c>
      <c r="P576" s="1">
        <v>45304</v>
      </c>
      <c r="Q576">
        <v>1366</v>
      </c>
      <c r="R576">
        <v>3375</v>
      </c>
      <c r="S576" t="s">
        <v>23</v>
      </c>
      <c r="T576">
        <v>2</v>
      </c>
      <c r="U576" t="s">
        <v>58</v>
      </c>
      <c r="V576" t="s">
        <v>59</v>
      </c>
      <c r="W576" t="s">
        <v>23</v>
      </c>
    </row>
    <row r="577" spans="1:23" x14ac:dyDescent="0.3">
      <c r="A577" t="s">
        <v>1277</v>
      </c>
      <c r="B577" t="s">
        <v>329</v>
      </c>
      <c r="C577" t="s">
        <v>192</v>
      </c>
      <c r="D577" t="s">
        <v>28</v>
      </c>
      <c r="E577" t="s">
        <v>5140</v>
      </c>
      <c r="F577" t="s">
        <v>5133</v>
      </c>
      <c r="G577" t="s">
        <v>18</v>
      </c>
      <c r="H577" t="s">
        <v>56</v>
      </c>
      <c r="I577" t="str">
        <f>LEFT(H577,FIND(" (",H577)-1)</f>
        <v>Mid</v>
      </c>
      <c r="J577" t="str">
        <f>MID(H577,FIND("(",H577)+1,FIND(")",H577)-FIND("(",H577)-1)</f>
        <v>2-5 yrs</v>
      </c>
      <c r="L577">
        <v>66219</v>
      </c>
      <c r="M577" t="s">
        <v>1278</v>
      </c>
      <c r="N577" t="s">
        <v>89</v>
      </c>
      <c r="O577" t="s">
        <v>22</v>
      </c>
      <c r="P577" s="1">
        <v>45711</v>
      </c>
      <c r="Q577">
        <v>709</v>
      </c>
      <c r="R577">
        <v>3938</v>
      </c>
      <c r="S577" t="s">
        <v>23</v>
      </c>
      <c r="T577">
        <v>2</v>
      </c>
      <c r="U577" t="s">
        <v>45</v>
      </c>
      <c r="V577" t="s">
        <v>24</v>
      </c>
      <c r="W577" t="s">
        <v>34</v>
      </c>
    </row>
    <row r="578" spans="1:23" x14ac:dyDescent="0.3">
      <c r="A578" t="s">
        <v>1279</v>
      </c>
      <c r="B578" t="s">
        <v>13</v>
      </c>
      <c r="C578" t="s">
        <v>37</v>
      </c>
      <c r="D578" t="s">
        <v>28</v>
      </c>
      <c r="E578" t="s">
        <v>5139</v>
      </c>
      <c r="F578" t="s">
        <v>5133</v>
      </c>
      <c r="G578" t="s">
        <v>55</v>
      </c>
      <c r="H578" t="s">
        <v>31</v>
      </c>
      <c r="I578" t="str">
        <f>LEFT(H578,FIND(" (",H578)-1)</f>
        <v>Staff/Principal</v>
      </c>
      <c r="J578" t="str">
        <f>MID(H578,FIND("(",H578)+1,FIND(")",H578)-FIND("(",H578)-1)</f>
        <v>8+ yrs</v>
      </c>
      <c r="L578">
        <v>208482</v>
      </c>
      <c r="M578" t="s">
        <v>1280</v>
      </c>
      <c r="N578" t="s">
        <v>186</v>
      </c>
      <c r="O578" t="s">
        <v>22</v>
      </c>
      <c r="P578" s="1">
        <v>45367</v>
      </c>
      <c r="Q578">
        <v>2120</v>
      </c>
      <c r="R578">
        <v>184</v>
      </c>
      <c r="S578" t="s">
        <v>99</v>
      </c>
      <c r="T578">
        <v>6</v>
      </c>
      <c r="U578" t="s">
        <v>45</v>
      </c>
      <c r="V578" t="s">
        <v>46</v>
      </c>
      <c r="W578" t="s">
        <v>23</v>
      </c>
    </row>
    <row r="579" spans="1:23" x14ac:dyDescent="0.3">
      <c r="A579" t="s">
        <v>1281</v>
      </c>
      <c r="B579" t="s">
        <v>172</v>
      </c>
      <c r="C579" t="s">
        <v>167</v>
      </c>
      <c r="D579" t="s">
        <v>125</v>
      </c>
      <c r="E579" t="s">
        <v>5140</v>
      </c>
      <c r="F579" t="s">
        <v>5133</v>
      </c>
      <c r="G579" t="s">
        <v>55</v>
      </c>
      <c r="H579" t="s">
        <v>66</v>
      </c>
      <c r="I579" t="str">
        <f>LEFT(H579,FIND(" (",H579)-1)</f>
        <v>Senior</v>
      </c>
      <c r="J579" t="str">
        <f>MID(H579,FIND("(",H579)+1,FIND(")",H579)-FIND("(",H579)-1)</f>
        <v>5-8 yrs</v>
      </c>
      <c r="L579">
        <v>170813</v>
      </c>
      <c r="M579" t="s">
        <v>1282</v>
      </c>
      <c r="N579" t="s">
        <v>149</v>
      </c>
      <c r="O579" t="s">
        <v>51</v>
      </c>
      <c r="P579" s="1">
        <v>45475</v>
      </c>
      <c r="Q579">
        <v>1689</v>
      </c>
      <c r="R579">
        <v>1892</v>
      </c>
      <c r="S579" t="s">
        <v>23</v>
      </c>
      <c r="T579">
        <v>4</v>
      </c>
      <c r="U579" t="s">
        <v>52</v>
      </c>
      <c r="V579" t="s">
        <v>24</v>
      </c>
      <c r="W579" t="s">
        <v>23</v>
      </c>
    </row>
    <row r="580" spans="1:23" x14ac:dyDescent="0.3">
      <c r="A580" t="s">
        <v>1283</v>
      </c>
      <c r="B580" t="s">
        <v>81</v>
      </c>
      <c r="C580" t="s">
        <v>62</v>
      </c>
      <c r="D580" t="s">
        <v>75</v>
      </c>
      <c r="E580" t="s">
        <v>5136</v>
      </c>
      <c r="F580" t="s">
        <v>5133</v>
      </c>
      <c r="G580" t="s">
        <v>55</v>
      </c>
      <c r="H580" t="s">
        <v>31</v>
      </c>
      <c r="I580" t="str">
        <f>LEFT(H580,FIND(" (",H580)-1)</f>
        <v>Staff/Principal</v>
      </c>
      <c r="J580" t="str">
        <f>MID(H580,FIND("(",H580)+1,FIND(")",H580)-FIND("(",H580)-1)</f>
        <v>8+ yrs</v>
      </c>
      <c r="L580">
        <v>146770</v>
      </c>
      <c r="M580" t="s">
        <v>1284</v>
      </c>
      <c r="N580" t="s">
        <v>33</v>
      </c>
      <c r="O580" t="s">
        <v>22</v>
      </c>
      <c r="P580" s="1">
        <v>45622</v>
      </c>
      <c r="Q580">
        <v>1627</v>
      </c>
      <c r="R580">
        <v>2421</v>
      </c>
      <c r="S580" t="s">
        <v>99</v>
      </c>
      <c r="T580">
        <v>6</v>
      </c>
      <c r="U580" t="s">
        <v>45</v>
      </c>
      <c r="V580" t="s">
        <v>24</v>
      </c>
      <c r="W580" t="s">
        <v>23</v>
      </c>
    </row>
    <row r="581" spans="1:23" x14ac:dyDescent="0.3">
      <c r="A581" t="s">
        <v>1285</v>
      </c>
      <c r="B581" t="s">
        <v>70</v>
      </c>
      <c r="C581" t="s">
        <v>71</v>
      </c>
      <c r="D581" t="s">
        <v>38</v>
      </c>
      <c r="E581" t="s">
        <v>5140</v>
      </c>
      <c r="F581" t="s">
        <v>5133</v>
      </c>
      <c r="G581" t="s">
        <v>55</v>
      </c>
      <c r="H581" t="s">
        <v>19</v>
      </c>
      <c r="I581" t="str">
        <f>LEFT(H581,FIND(" (",H581)-1)</f>
        <v>Entry</v>
      </c>
      <c r="J581" t="str">
        <f>MID(H581,FIND("(",H581)+1,FIND(")",H581)-FIND("(",H581)-1)</f>
        <v>0-2 yrs</v>
      </c>
      <c r="L581">
        <v>84411</v>
      </c>
      <c r="M581" t="s">
        <v>1286</v>
      </c>
      <c r="N581" t="s">
        <v>33</v>
      </c>
      <c r="O581" t="s">
        <v>22</v>
      </c>
      <c r="P581" s="1">
        <v>45373</v>
      </c>
      <c r="Q581">
        <v>1012</v>
      </c>
      <c r="R581">
        <v>2992</v>
      </c>
      <c r="S581" t="s">
        <v>99</v>
      </c>
      <c r="T581">
        <v>0</v>
      </c>
      <c r="U581" t="s">
        <v>58</v>
      </c>
      <c r="V581" t="s">
        <v>46</v>
      </c>
      <c r="W581" t="s">
        <v>34</v>
      </c>
    </row>
    <row r="582" spans="1:23" x14ac:dyDescent="0.3">
      <c r="A582" t="s">
        <v>1287</v>
      </c>
      <c r="B582" t="s">
        <v>36</v>
      </c>
      <c r="C582" t="s">
        <v>54</v>
      </c>
      <c r="D582" t="s">
        <v>125</v>
      </c>
      <c r="E582" t="s">
        <v>5135</v>
      </c>
      <c r="F582" t="s">
        <v>5133</v>
      </c>
      <c r="G582" t="s">
        <v>55</v>
      </c>
      <c r="H582" t="s">
        <v>19</v>
      </c>
      <c r="I582" t="str">
        <f>LEFT(H582,FIND(" (",H582)-1)</f>
        <v>Entry</v>
      </c>
      <c r="J582" t="str">
        <f>MID(H582,FIND("(",H582)+1,FIND(")",H582)-FIND("(",H582)-1)</f>
        <v>0-2 yrs</v>
      </c>
      <c r="L582">
        <v>74265</v>
      </c>
      <c r="M582" t="s">
        <v>1288</v>
      </c>
      <c r="N582" t="s">
        <v>89</v>
      </c>
      <c r="O582" t="s">
        <v>79</v>
      </c>
      <c r="P582" s="1">
        <v>45329</v>
      </c>
      <c r="Q582">
        <v>1118</v>
      </c>
      <c r="R582">
        <v>811</v>
      </c>
      <c r="S582" t="s">
        <v>23</v>
      </c>
      <c r="T582">
        <v>0</v>
      </c>
      <c r="U582" t="s">
        <v>58</v>
      </c>
      <c r="V582" t="s">
        <v>24</v>
      </c>
      <c r="W582" t="s">
        <v>34</v>
      </c>
    </row>
    <row r="583" spans="1:23" x14ac:dyDescent="0.3">
      <c r="A583" t="s">
        <v>1289</v>
      </c>
      <c r="B583" t="s">
        <v>222</v>
      </c>
      <c r="C583" t="s">
        <v>101</v>
      </c>
      <c r="D583" t="s">
        <v>38</v>
      </c>
      <c r="E583" t="s">
        <v>76</v>
      </c>
      <c r="F583" t="s">
        <v>77</v>
      </c>
      <c r="G583" t="s">
        <v>55</v>
      </c>
      <c r="H583" t="s">
        <v>31</v>
      </c>
      <c r="I583" t="str">
        <f>LEFT(H583,FIND(" (",H583)-1)</f>
        <v>Staff/Principal</v>
      </c>
      <c r="J583" t="str">
        <f>MID(H583,FIND("(",H583)+1,FIND(")",H583)-FIND("(",H583)-1)</f>
        <v>8+ yrs</v>
      </c>
      <c r="L583">
        <v>185049</v>
      </c>
      <c r="M583" t="s">
        <v>1290</v>
      </c>
      <c r="N583" t="s">
        <v>33</v>
      </c>
      <c r="O583" t="s">
        <v>22</v>
      </c>
      <c r="P583" s="1">
        <v>45390</v>
      </c>
      <c r="Q583">
        <v>875</v>
      </c>
      <c r="R583">
        <v>3668</v>
      </c>
      <c r="S583" t="s">
        <v>34</v>
      </c>
      <c r="T583">
        <v>6</v>
      </c>
      <c r="U583" t="s">
        <v>58</v>
      </c>
      <c r="V583" t="s">
        <v>24</v>
      </c>
      <c r="W583" t="s">
        <v>23</v>
      </c>
    </row>
    <row r="584" spans="1:23" x14ac:dyDescent="0.3">
      <c r="A584" t="s">
        <v>1291</v>
      </c>
      <c r="B584" t="s">
        <v>236</v>
      </c>
      <c r="C584" t="s">
        <v>86</v>
      </c>
      <c r="D584" t="s">
        <v>75</v>
      </c>
      <c r="E584" t="s">
        <v>76</v>
      </c>
      <c r="F584" t="s">
        <v>77</v>
      </c>
      <c r="G584" t="s">
        <v>41</v>
      </c>
      <c r="H584" t="s">
        <v>56</v>
      </c>
      <c r="I584" t="str">
        <f>LEFT(H584,FIND(" (",H584)-1)</f>
        <v>Mid</v>
      </c>
      <c r="J584" t="str">
        <f>MID(H584,FIND("(",H584)+1,FIND(")",H584)-FIND("(",H584)-1)</f>
        <v>2-5 yrs</v>
      </c>
      <c r="L584">
        <v>122529</v>
      </c>
      <c r="M584" t="s">
        <v>1292</v>
      </c>
      <c r="N584" t="s">
        <v>21</v>
      </c>
      <c r="O584" t="s">
        <v>44</v>
      </c>
      <c r="P584" s="1">
        <v>45718</v>
      </c>
      <c r="Q584">
        <v>575</v>
      </c>
      <c r="R584">
        <v>1807</v>
      </c>
      <c r="S584" t="s">
        <v>23</v>
      </c>
      <c r="T584">
        <v>2</v>
      </c>
      <c r="U584" t="s">
        <v>58</v>
      </c>
      <c r="V584" t="s">
        <v>59</v>
      </c>
      <c r="W584" t="s">
        <v>23</v>
      </c>
    </row>
    <row r="585" spans="1:23" x14ac:dyDescent="0.3">
      <c r="A585" t="s">
        <v>1293</v>
      </c>
      <c r="B585" t="s">
        <v>61</v>
      </c>
      <c r="C585" t="s">
        <v>239</v>
      </c>
      <c r="D585" t="s">
        <v>28</v>
      </c>
      <c r="E585" t="s">
        <v>5137</v>
      </c>
      <c r="F585" t="s">
        <v>5138</v>
      </c>
      <c r="G585" t="s">
        <v>18</v>
      </c>
      <c r="H585" t="s">
        <v>66</v>
      </c>
      <c r="I585" t="str">
        <f>LEFT(H585,FIND(" (",H585)-1)</f>
        <v>Senior</v>
      </c>
      <c r="J585" t="str">
        <f>MID(H585,FIND("(",H585)+1,FIND(")",H585)-FIND("(",H585)-1)</f>
        <v>5-8 yrs</v>
      </c>
      <c r="L585">
        <v>211308</v>
      </c>
      <c r="M585" t="s">
        <v>1294</v>
      </c>
      <c r="N585" t="s">
        <v>120</v>
      </c>
      <c r="O585" t="s">
        <v>51</v>
      </c>
      <c r="P585" s="1">
        <v>45410</v>
      </c>
      <c r="Q585">
        <v>1765</v>
      </c>
      <c r="R585">
        <v>288</v>
      </c>
      <c r="S585" t="s">
        <v>99</v>
      </c>
      <c r="T585">
        <v>4</v>
      </c>
      <c r="U585" t="s">
        <v>52</v>
      </c>
      <c r="V585" t="s">
        <v>46</v>
      </c>
      <c r="W585" t="s">
        <v>34</v>
      </c>
    </row>
    <row r="586" spans="1:23" x14ac:dyDescent="0.3">
      <c r="A586" t="s">
        <v>1295</v>
      </c>
      <c r="B586" t="s">
        <v>143</v>
      </c>
      <c r="C586" t="s">
        <v>37</v>
      </c>
      <c r="D586" t="s">
        <v>63</v>
      </c>
      <c r="E586" t="s">
        <v>76</v>
      </c>
      <c r="F586" t="s">
        <v>77</v>
      </c>
      <c r="G586" t="s">
        <v>55</v>
      </c>
      <c r="H586" t="s">
        <v>56</v>
      </c>
      <c r="I586" t="str">
        <f>LEFT(H586,FIND(" (",H586)-1)</f>
        <v>Mid</v>
      </c>
      <c r="J586" t="str">
        <f>MID(H586,FIND("(",H586)+1,FIND(")",H586)-FIND("(",H586)-1)</f>
        <v>2-5 yrs</v>
      </c>
      <c r="L586">
        <v>113600</v>
      </c>
      <c r="M586" t="s">
        <v>1296</v>
      </c>
      <c r="N586" t="s">
        <v>33</v>
      </c>
      <c r="O586" t="s">
        <v>79</v>
      </c>
      <c r="P586" s="1">
        <v>45548</v>
      </c>
      <c r="Q586">
        <v>1377</v>
      </c>
      <c r="R586">
        <v>2685</v>
      </c>
      <c r="S586" t="s">
        <v>34</v>
      </c>
      <c r="T586">
        <v>2</v>
      </c>
      <c r="U586" t="s">
        <v>45</v>
      </c>
      <c r="V586" t="s">
        <v>24</v>
      </c>
      <c r="W586" t="s">
        <v>34</v>
      </c>
    </row>
    <row r="587" spans="1:23" x14ac:dyDescent="0.3">
      <c r="A587" t="s">
        <v>1297</v>
      </c>
      <c r="B587" t="s">
        <v>229</v>
      </c>
      <c r="C587" t="s">
        <v>86</v>
      </c>
      <c r="D587" t="s">
        <v>111</v>
      </c>
      <c r="E587" t="s">
        <v>87</v>
      </c>
      <c r="F587" t="s">
        <v>87</v>
      </c>
      <c r="G587" t="s">
        <v>41</v>
      </c>
      <c r="H587" t="s">
        <v>56</v>
      </c>
      <c r="I587" t="str">
        <f>LEFT(H587,FIND(" (",H587)-1)</f>
        <v>Mid</v>
      </c>
      <c r="J587" t="str">
        <f>MID(H587,FIND("(",H587)+1,FIND(")",H587)-FIND("(",H587)-1)</f>
        <v>2-5 yrs</v>
      </c>
      <c r="L587">
        <v>114914</v>
      </c>
      <c r="M587" t="s">
        <v>1298</v>
      </c>
      <c r="N587" t="s">
        <v>21</v>
      </c>
      <c r="O587" t="s">
        <v>44</v>
      </c>
      <c r="P587" s="1">
        <v>45667</v>
      </c>
      <c r="Q587">
        <v>444</v>
      </c>
      <c r="R587">
        <v>1426</v>
      </c>
      <c r="S587" t="s">
        <v>99</v>
      </c>
      <c r="T587">
        <v>2</v>
      </c>
      <c r="U587" t="s">
        <v>58</v>
      </c>
      <c r="V587" t="s">
        <v>24</v>
      </c>
      <c r="W587" t="s">
        <v>23</v>
      </c>
    </row>
    <row r="588" spans="1:23" x14ac:dyDescent="0.3">
      <c r="A588" t="s">
        <v>1299</v>
      </c>
      <c r="B588" t="s">
        <v>70</v>
      </c>
      <c r="C588" t="s">
        <v>14</v>
      </c>
      <c r="D588" t="s">
        <v>63</v>
      </c>
      <c r="E588" t="s">
        <v>64</v>
      </c>
      <c r="F588" t="s">
        <v>65</v>
      </c>
      <c r="G588" t="s">
        <v>18</v>
      </c>
      <c r="H588" t="s">
        <v>31</v>
      </c>
      <c r="I588" t="str">
        <f>LEFT(H588,FIND(" (",H588)-1)</f>
        <v>Staff/Principal</v>
      </c>
      <c r="J588" t="str">
        <f>MID(H588,FIND("(",H588)+1,FIND(")",H588)-FIND("(",H588)-1)</f>
        <v>8+ yrs</v>
      </c>
      <c r="L588">
        <v>183463</v>
      </c>
      <c r="M588" t="s">
        <v>1300</v>
      </c>
      <c r="N588" t="s">
        <v>43</v>
      </c>
      <c r="O588" t="s">
        <v>51</v>
      </c>
      <c r="P588" s="1">
        <v>45313</v>
      </c>
      <c r="Q588">
        <v>1232</v>
      </c>
      <c r="R588">
        <v>97</v>
      </c>
      <c r="S588" t="s">
        <v>99</v>
      </c>
      <c r="T588">
        <v>6</v>
      </c>
      <c r="U588" t="s">
        <v>5123</v>
      </c>
      <c r="V588" t="s">
        <v>59</v>
      </c>
      <c r="W588" t="s">
        <v>23</v>
      </c>
    </row>
    <row r="589" spans="1:23" x14ac:dyDescent="0.3">
      <c r="A589" t="s">
        <v>1301</v>
      </c>
      <c r="B589" t="s">
        <v>26</v>
      </c>
      <c r="C589" t="s">
        <v>101</v>
      </c>
      <c r="D589" t="s">
        <v>63</v>
      </c>
      <c r="E589" t="s">
        <v>5140</v>
      </c>
      <c r="F589" t="s">
        <v>5133</v>
      </c>
      <c r="G589" t="s">
        <v>41</v>
      </c>
      <c r="H589" t="s">
        <v>31</v>
      </c>
      <c r="I589" t="str">
        <f>LEFT(H589,FIND(" (",H589)-1)</f>
        <v>Staff/Principal</v>
      </c>
      <c r="J589" t="str">
        <f>MID(H589,FIND("(",H589)+1,FIND(")",H589)-FIND("(",H589)-1)</f>
        <v>8+ yrs</v>
      </c>
      <c r="L589">
        <v>169405</v>
      </c>
      <c r="M589" t="s">
        <v>1302</v>
      </c>
      <c r="N589" t="s">
        <v>68</v>
      </c>
      <c r="O589" t="s">
        <v>22</v>
      </c>
      <c r="P589" s="1">
        <v>45318</v>
      </c>
      <c r="Q589">
        <v>1806</v>
      </c>
      <c r="R589">
        <v>1450</v>
      </c>
      <c r="S589" t="s">
        <v>34</v>
      </c>
      <c r="T589">
        <v>6</v>
      </c>
      <c r="U589" t="s">
        <v>58</v>
      </c>
      <c r="V589" t="s">
        <v>59</v>
      </c>
      <c r="W589" t="s">
        <v>34</v>
      </c>
    </row>
    <row r="590" spans="1:23" x14ac:dyDescent="0.3">
      <c r="A590" t="s">
        <v>1303</v>
      </c>
      <c r="B590" t="s">
        <v>70</v>
      </c>
      <c r="C590" t="s">
        <v>146</v>
      </c>
      <c r="D590" t="s">
        <v>125</v>
      </c>
      <c r="E590" t="s">
        <v>29</v>
      </c>
      <c r="F590" t="s">
        <v>30</v>
      </c>
      <c r="G590" t="s">
        <v>18</v>
      </c>
      <c r="H590" t="s">
        <v>19</v>
      </c>
      <c r="I590" t="str">
        <f>LEFT(H590,FIND(" (",H590)-1)</f>
        <v>Entry</v>
      </c>
      <c r="J590" t="str">
        <f>MID(H590,FIND("(",H590)+1,FIND(")",H590)-FIND("(",H590)-1)</f>
        <v>0-2 yrs</v>
      </c>
      <c r="L590">
        <v>80462</v>
      </c>
      <c r="M590" t="s">
        <v>1304</v>
      </c>
      <c r="N590" t="s">
        <v>68</v>
      </c>
      <c r="O590" t="s">
        <v>22</v>
      </c>
      <c r="P590" s="1">
        <v>45677</v>
      </c>
      <c r="Q590">
        <v>1586</v>
      </c>
      <c r="R590">
        <v>1442</v>
      </c>
      <c r="S590" t="s">
        <v>23</v>
      </c>
      <c r="T590">
        <v>0</v>
      </c>
      <c r="U590" t="s">
        <v>52</v>
      </c>
      <c r="V590" t="s">
        <v>46</v>
      </c>
      <c r="W590" t="s">
        <v>34</v>
      </c>
    </row>
    <row r="591" spans="1:23" x14ac:dyDescent="0.3">
      <c r="A591" t="s">
        <v>1305</v>
      </c>
      <c r="B591" t="s">
        <v>137</v>
      </c>
      <c r="C591" t="s">
        <v>86</v>
      </c>
      <c r="D591" t="s">
        <v>38</v>
      </c>
      <c r="E591" t="s">
        <v>5137</v>
      </c>
      <c r="F591" t="s">
        <v>5138</v>
      </c>
      <c r="G591" t="s">
        <v>41</v>
      </c>
      <c r="H591" t="s">
        <v>31</v>
      </c>
      <c r="I591" t="str">
        <f>LEFT(H591,FIND(" (",H591)-1)</f>
        <v>Staff/Principal</v>
      </c>
      <c r="J591" t="str">
        <f>MID(H591,FIND("(",H591)+1,FIND(")",H591)-FIND("(",H591)-1)</f>
        <v>8+ yrs</v>
      </c>
      <c r="L591">
        <v>169180</v>
      </c>
      <c r="M591" t="s">
        <v>1306</v>
      </c>
      <c r="N591" t="s">
        <v>33</v>
      </c>
      <c r="O591" t="s">
        <v>51</v>
      </c>
      <c r="P591" s="1">
        <v>45331</v>
      </c>
      <c r="Q591">
        <v>1539</v>
      </c>
      <c r="R591">
        <v>3866</v>
      </c>
      <c r="S591" t="s">
        <v>23</v>
      </c>
      <c r="T591">
        <v>6</v>
      </c>
      <c r="U591" t="s">
        <v>83</v>
      </c>
      <c r="V591" t="s">
        <v>24</v>
      </c>
      <c r="W591" t="s">
        <v>23</v>
      </c>
    </row>
    <row r="592" spans="1:23" x14ac:dyDescent="0.3">
      <c r="A592" t="s">
        <v>1307</v>
      </c>
      <c r="B592" t="s">
        <v>131</v>
      </c>
      <c r="C592" t="s">
        <v>192</v>
      </c>
      <c r="D592" t="s">
        <v>28</v>
      </c>
      <c r="E592" t="s">
        <v>5132</v>
      </c>
      <c r="F592" t="s">
        <v>5133</v>
      </c>
      <c r="G592" t="s">
        <v>41</v>
      </c>
      <c r="H592" t="s">
        <v>66</v>
      </c>
      <c r="I592" t="str">
        <f>LEFT(H592,FIND(" (",H592)-1)</f>
        <v>Senior</v>
      </c>
      <c r="J592" t="str">
        <f>MID(H592,FIND("(",H592)+1,FIND(")",H592)-FIND("(",H592)-1)</f>
        <v>5-8 yrs</v>
      </c>
      <c r="L592">
        <v>151932</v>
      </c>
      <c r="M592" t="s">
        <v>1308</v>
      </c>
      <c r="N592" t="s">
        <v>21</v>
      </c>
      <c r="O592" t="s">
        <v>22</v>
      </c>
      <c r="P592" s="1">
        <v>45549</v>
      </c>
      <c r="Q592">
        <v>861</v>
      </c>
      <c r="R592">
        <v>3456</v>
      </c>
      <c r="S592" t="s">
        <v>99</v>
      </c>
      <c r="T592">
        <v>4</v>
      </c>
      <c r="U592" t="s">
        <v>52</v>
      </c>
      <c r="V592" t="s">
        <v>24</v>
      </c>
      <c r="W592" t="s">
        <v>23</v>
      </c>
    </row>
    <row r="593" spans="1:23" x14ac:dyDescent="0.3">
      <c r="A593" t="s">
        <v>1309</v>
      </c>
      <c r="B593" t="s">
        <v>13</v>
      </c>
      <c r="C593" t="s">
        <v>173</v>
      </c>
      <c r="D593" t="s">
        <v>28</v>
      </c>
      <c r="E593" t="s">
        <v>64</v>
      </c>
      <c r="F593" t="s">
        <v>65</v>
      </c>
      <c r="G593" t="s">
        <v>18</v>
      </c>
      <c r="H593" t="s">
        <v>66</v>
      </c>
      <c r="I593" t="str">
        <f>LEFT(H593,FIND(" (",H593)-1)</f>
        <v>Senior</v>
      </c>
      <c r="J593" t="str">
        <f>MID(H593,FIND("(",H593)+1,FIND(")",H593)-FIND("(",H593)-1)</f>
        <v>5-8 yrs</v>
      </c>
      <c r="L593">
        <v>137103</v>
      </c>
      <c r="M593" t="s">
        <v>1310</v>
      </c>
      <c r="N593" t="s">
        <v>33</v>
      </c>
      <c r="O593" t="s">
        <v>51</v>
      </c>
      <c r="P593" s="1">
        <v>45412</v>
      </c>
      <c r="Q593">
        <v>1530</v>
      </c>
      <c r="R593">
        <v>3398</v>
      </c>
      <c r="S593" t="s">
        <v>99</v>
      </c>
      <c r="T593">
        <v>4</v>
      </c>
      <c r="U593" t="s">
        <v>5123</v>
      </c>
      <c r="V593" t="s">
        <v>24</v>
      </c>
      <c r="W593" t="s">
        <v>23</v>
      </c>
    </row>
    <row r="594" spans="1:23" x14ac:dyDescent="0.3">
      <c r="A594" t="s">
        <v>1311</v>
      </c>
      <c r="B594" t="s">
        <v>96</v>
      </c>
      <c r="C594" t="s">
        <v>48</v>
      </c>
      <c r="D594" t="s">
        <v>28</v>
      </c>
      <c r="E594" t="s">
        <v>5134</v>
      </c>
      <c r="F594" t="s">
        <v>5133</v>
      </c>
      <c r="G594" t="s">
        <v>18</v>
      </c>
      <c r="H594" t="s">
        <v>19</v>
      </c>
      <c r="I594" t="str">
        <f>LEFT(H594,FIND(" (",H594)-1)</f>
        <v>Entry</v>
      </c>
      <c r="J594" t="str">
        <f>MID(H594,FIND("(",H594)+1,FIND(")",H594)-FIND("(",H594)-1)</f>
        <v>0-2 yrs</v>
      </c>
      <c r="L594">
        <v>76035</v>
      </c>
      <c r="M594" t="s">
        <v>1312</v>
      </c>
      <c r="N594" t="s">
        <v>186</v>
      </c>
      <c r="O594" t="s">
        <v>22</v>
      </c>
      <c r="P594" s="1">
        <v>45314</v>
      </c>
      <c r="Q594">
        <v>1724</v>
      </c>
      <c r="R594">
        <v>3848</v>
      </c>
      <c r="S594" t="s">
        <v>34</v>
      </c>
      <c r="T594">
        <v>0</v>
      </c>
      <c r="U594" t="s">
        <v>83</v>
      </c>
      <c r="V594" t="s">
        <v>59</v>
      </c>
      <c r="W594" t="s">
        <v>34</v>
      </c>
    </row>
    <row r="595" spans="1:23" x14ac:dyDescent="0.3">
      <c r="A595" t="s">
        <v>1313</v>
      </c>
      <c r="B595" t="s">
        <v>36</v>
      </c>
      <c r="C595" t="s">
        <v>74</v>
      </c>
      <c r="D595" t="s">
        <v>147</v>
      </c>
      <c r="E595" t="s">
        <v>5140</v>
      </c>
      <c r="F595" t="s">
        <v>5133</v>
      </c>
      <c r="G595" t="s">
        <v>18</v>
      </c>
      <c r="H595" t="s">
        <v>56</v>
      </c>
      <c r="I595" t="str">
        <f>LEFT(H595,FIND(" (",H595)-1)</f>
        <v>Mid</v>
      </c>
      <c r="J595" t="str">
        <f>MID(H595,FIND("(",H595)+1,FIND(")",H595)-FIND("(",H595)-1)</f>
        <v>2-5 yrs</v>
      </c>
      <c r="L595">
        <v>116606</v>
      </c>
      <c r="M595" t="s">
        <v>1314</v>
      </c>
      <c r="N595" t="s">
        <v>33</v>
      </c>
      <c r="O595" t="s">
        <v>79</v>
      </c>
      <c r="P595" s="1">
        <v>45716</v>
      </c>
      <c r="Q595">
        <v>1477</v>
      </c>
      <c r="R595">
        <v>3526</v>
      </c>
      <c r="S595" t="s">
        <v>99</v>
      </c>
      <c r="T595">
        <v>2</v>
      </c>
      <c r="U595" t="s">
        <v>83</v>
      </c>
      <c r="V595" t="s">
        <v>24</v>
      </c>
      <c r="W595" t="s">
        <v>23</v>
      </c>
    </row>
    <row r="596" spans="1:23" x14ac:dyDescent="0.3">
      <c r="A596" t="s">
        <v>1315</v>
      </c>
      <c r="B596" t="s">
        <v>143</v>
      </c>
      <c r="C596" t="s">
        <v>173</v>
      </c>
      <c r="D596" t="s">
        <v>49</v>
      </c>
      <c r="E596" t="s">
        <v>102</v>
      </c>
      <c r="F596" t="s">
        <v>103</v>
      </c>
      <c r="G596" t="s">
        <v>55</v>
      </c>
      <c r="H596" t="s">
        <v>66</v>
      </c>
      <c r="I596" t="str">
        <f>LEFT(H596,FIND(" (",H596)-1)</f>
        <v>Senior</v>
      </c>
      <c r="J596" t="str">
        <f>MID(H596,FIND("(",H596)+1,FIND(")",H596)-FIND("(",H596)-1)</f>
        <v>5-8 yrs</v>
      </c>
      <c r="L596">
        <v>178013</v>
      </c>
      <c r="M596" t="s">
        <v>1316</v>
      </c>
      <c r="N596" t="s">
        <v>33</v>
      </c>
      <c r="O596" t="s">
        <v>79</v>
      </c>
      <c r="P596" s="1">
        <v>45531</v>
      </c>
      <c r="Q596">
        <v>1511</v>
      </c>
      <c r="R596">
        <v>1392</v>
      </c>
      <c r="S596" t="s">
        <v>23</v>
      </c>
      <c r="T596">
        <v>4</v>
      </c>
      <c r="U596" t="s">
        <v>5123</v>
      </c>
      <c r="V596" t="s">
        <v>24</v>
      </c>
      <c r="W596" t="s">
        <v>34</v>
      </c>
    </row>
    <row r="597" spans="1:23" x14ac:dyDescent="0.3">
      <c r="A597" t="s">
        <v>1317</v>
      </c>
      <c r="B597" t="s">
        <v>36</v>
      </c>
      <c r="C597" t="s">
        <v>124</v>
      </c>
      <c r="D597" t="s">
        <v>63</v>
      </c>
      <c r="E597" t="s">
        <v>5137</v>
      </c>
      <c r="F597" t="s">
        <v>5138</v>
      </c>
      <c r="G597" t="s">
        <v>18</v>
      </c>
      <c r="H597" t="s">
        <v>19</v>
      </c>
      <c r="I597" t="str">
        <f>LEFT(H597,FIND(" (",H597)-1)</f>
        <v>Entry</v>
      </c>
      <c r="J597" t="str">
        <f>MID(H597,FIND("(",H597)+1,FIND(")",H597)-FIND("(",H597)-1)</f>
        <v>0-2 yrs</v>
      </c>
      <c r="L597">
        <v>63573</v>
      </c>
      <c r="M597" t="s">
        <v>1318</v>
      </c>
      <c r="N597" t="s">
        <v>89</v>
      </c>
      <c r="O597" t="s">
        <v>22</v>
      </c>
      <c r="P597" s="1">
        <v>45630</v>
      </c>
      <c r="Q597">
        <v>1769</v>
      </c>
      <c r="R597">
        <v>1976</v>
      </c>
      <c r="S597" t="s">
        <v>23</v>
      </c>
      <c r="T597">
        <v>0</v>
      </c>
      <c r="U597" t="s">
        <v>83</v>
      </c>
      <c r="V597" t="s">
        <v>24</v>
      </c>
      <c r="W597" t="s">
        <v>34</v>
      </c>
    </row>
    <row r="598" spans="1:23" x14ac:dyDescent="0.3">
      <c r="A598" t="s">
        <v>1319</v>
      </c>
      <c r="B598" t="s">
        <v>70</v>
      </c>
      <c r="C598" t="s">
        <v>209</v>
      </c>
      <c r="D598" t="s">
        <v>38</v>
      </c>
      <c r="E598" t="s">
        <v>216</v>
      </c>
      <c r="F598" t="s">
        <v>217</v>
      </c>
      <c r="G598" t="s">
        <v>41</v>
      </c>
      <c r="H598" t="s">
        <v>66</v>
      </c>
      <c r="I598" t="str">
        <f>LEFT(H598,FIND(" (",H598)-1)</f>
        <v>Senior</v>
      </c>
      <c r="J598" t="str">
        <f>MID(H598,FIND("(",H598)+1,FIND(")",H598)-FIND("(",H598)-1)</f>
        <v>5-8 yrs</v>
      </c>
      <c r="L598">
        <v>142713</v>
      </c>
      <c r="M598" t="s">
        <v>1320</v>
      </c>
      <c r="N598" t="s">
        <v>33</v>
      </c>
      <c r="O598" t="s">
        <v>51</v>
      </c>
      <c r="P598" s="1">
        <v>45324</v>
      </c>
      <c r="Q598">
        <v>901</v>
      </c>
      <c r="R598">
        <v>3578</v>
      </c>
      <c r="S598" t="s">
        <v>23</v>
      </c>
      <c r="T598">
        <v>4</v>
      </c>
      <c r="U598" t="s">
        <v>5123</v>
      </c>
      <c r="V598" t="s">
        <v>24</v>
      </c>
      <c r="W598" t="s">
        <v>23</v>
      </c>
    </row>
    <row r="599" spans="1:23" x14ac:dyDescent="0.3">
      <c r="A599" t="s">
        <v>1321</v>
      </c>
      <c r="B599" t="s">
        <v>222</v>
      </c>
      <c r="C599" t="s">
        <v>128</v>
      </c>
      <c r="D599" t="s">
        <v>174</v>
      </c>
      <c r="E599" t="s">
        <v>200</v>
      </c>
      <c r="F599" t="s">
        <v>201</v>
      </c>
      <c r="G599" t="s">
        <v>18</v>
      </c>
      <c r="H599" t="s">
        <v>31</v>
      </c>
      <c r="I599" t="str">
        <f>LEFT(H599,FIND(" (",H599)-1)</f>
        <v>Staff/Principal</v>
      </c>
      <c r="J599" t="str">
        <f>MID(H599,FIND("(",H599)+1,FIND(")",H599)-FIND("(",H599)-1)</f>
        <v>8+ yrs</v>
      </c>
      <c r="L599">
        <v>164764</v>
      </c>
      <c r="M599" t="s">
        <v>1322</v>
      </c>
      <c r="N599" t="s">
        <v>33</v>
      </c>
      <c r="O599" t="s">
        <v>51</v>
      </c>
      <c r="P599" s="1">
        <v>45575</v>
      </c>
      <c r="Q599">
        <v>483</v>
      </c>
      <c r="R599">
        <v>2469</v>
      </c>
      <c r="S599" t="s">
        <v>34</v>
      </c>
      <c r="T599">
        <v>6</v>
      </c>
      <c r="U599" t="s">
        <v>5123</v>
      </c>
      <c r="V599" t="s">
        <v>24</v>
      </c>
      <c r="W599" t="s">
        <v>34</v>
      </c>
    </row>
    <row r="600" spans="1:23" x14ac:dyDescent="0.3">
      <c r="A600" t="s">
        <v>1323</v>
      </c>
      <c r="B600" t="s">
        <v>131</v>
      </c>
      <c r="C600" t="s">
        <v>209</v>
      </c>
      <c r="D600" t="s">
        <v>15</v>
      </c>
      <c r="E600" t="s">
        <v>29</v>
      </c>
      <c r="F600" t="s">
        <v>30</v>
      </c>
      <c r="G600" t="s">
        <v>18</v>
      </c>
      <c r="H600" t="s">
        <v>19</v>
      </c>
      <c r="I600" t="str">
        <f>LEFT(H600,FIND(" (",H600)-1)</f>
        <v>Entry</v>
      </c>
      <c r="J600" t="str">
        <f>MID(H600,FIND("(",H600)+1,FIND(")",H600)-FIND("(",H600)-1)</f>
        <v>0-2 yrs</v>
      </c>
      <c r="L600">
        <v>64401</v>
      </c>
      <c r="M600" t="s">
        <v>1324</v>
      </c>
      <c r="N600" t="s">
        <v>120</v>
      </c>
      <c r="O600" t="s">
        <v>51</v>
      </c>
      <c r="P600" s="1">
        <v>45584</v>
      </c>
      <c r="Q600">
        <v>1775</v>
      </c>
      <c r="R600">
        <v>1382</v>
      </c>
      <c r="S600" t="s">
        <v>99</v>
      </c>
      <c r="T600">
        <v>0</v>
      </c>
      <c r="U600" t="s">
        <v>45</v>
      </c>
      <c r="V600" t="s">
        <v>24</v>
      </c>
      <c r="W600" t="s">
        <v>23</v>
      </c>
    </row>
    <row r="601" spans="1:23" x14ac:dyDescent="0.3">
      <c r="A601" t="s">
        <v>1325</v>
      </c>
      <c r="B601" t="s">
        <v>85</v>
      </c>
      <c r="C601" t="s">
        <v>62</v>
      </c>
      <c r="D601" t="s">
        <v>75</v>
      </c>
      <c r="E601" t="s">
        <v>102</v>
      </c>
      <c r="F601" t="s">
        <v>103</v>
      </c>
      <c r="G601" t="s">
        <v>18</v>
      </c>
      <c r="H601" t="s">
        <v>19</v>
      </c>
      <c r="I601" t="str">
        <f>LEFT(H601,FIND(" (",H601)-1)</f>
        <v>Entry</v>
      </c>
      <c r="J601" t="str">
        <f>MID(H601,FIND("(",H601)+1,FIND(")",H601)-FIND("(",H601)-1)</f>
        <v>0-2 yrs</v>
      </c>
      <c r="L601">
        <v>74753</v>
      </c>
      <c r="M601" t="s">
        <v>1326</v>
      </c>
      <c r="N601" t="s">
        <v>43</v>
      </c>
      <c r="O601" t="s">
        <v>44</v>
      </c>
      <c r="P601" s="1">
        <v>45440</v>
      </c>
      <c r="Q601">
        <v>1709</v>
      </c>
      <c r="R601">
        <v>3859</v>
      </c>
      <c r="S601" t="s">
        <v>34</v>
      </c>
      <c r="T601">
        <v>0</v>
      </c>
      <c r="U601" t="s">
        <v>83</v>
      </c>
      <c r="V601" t="s">
        <v>24</v>
      </c>
      <c r="W601" t="s">
        <v>23</v>
      </c>
    </row>
    <row r="602" spans="1:23" x14ac:dyDescent="0.3">
      <c r="A602" t="s">
        <v>1327</v>
      </c>
      <c r="B602" t="s">
        <v>137</v>
      </c>
      <c r="C602" t="s">
        <v>128</v>
      </c>
      <c r="D602" t="s">
        <v>75</v>
      </c>
      <c r="E602" t="s">
        <v>5136</v>
      </c>
      <c r="F602" t="s">
        <v>5133</v>
      </c>
      <c r="G602" t="s">
        <v>55</v>
      </c>
      <c r="H602" t="s">
        <v>19</v>
      </c>
      <c r="I602" t="str">
        <f>LEFT(H602,FIND(" (",H602)-1)</f>
        <v>Entry</v>
      </c>
      <c r="J602" t="str">
        <f>MID(H602,FIND("(",H602)+1,FIND(")",H602)-FIND("(",H602)-1)</f>
        <v>0-2 yrs</v>
      </c>
      <c r="L602">
        <v>79538</v>
      </c>
      <c r="M602" t="s">
        <v>1328</v>
      </c>
      <c r="N602" t="s">
        <v>33</v>
      </c>
      <c r="O602" t="s">
        <v>44</v>
      </c>
      <c r="P602" s="1">
        <v>45406</v>
      </c>
      <c r="Q602">
        <v>2234</v>
      </c>
      <c r="R602">
        <v>2710</v>
      </c>
      <c r="S602" t="s">
        <v>23</v>
      </c>
      <c r="T602">
        <v>0</v>
      </c>
      <c r="U602" t="s">
        <v>58</v>
      </c>
      <c r="V602" t="s">
        <v>24</v>
      </c>
      <c r="W602" t="s">
        <v>34</v>
      </c>
    </row>
    <row r="603" spans="1:23" x14ac:dyDescent="0.3">
      <c r="A603" t="s">
        <v>1329</v>
      </c>
      <c r="B603" t="s">
        <v>143</v>
      </c>
      <c r="C603" t="s">
        <v>146</v>
      </c>
      <c r="D603" t="s">
        <v>147</v>
      </c>
      <c r="E603" t="s">
        <v>29</v>
      </c>
      <c r="F603" t="s">
        <v>30</v>
      </c>
      <c r="G603" t="s">
        <v>18</v>
      </c>
      <c r="H603" t="s">
        <v>66</v>
      </c>
      <c r="I603" t="str">
        <f>LEFT(H603,FIND(" (",H603)-1)</f>
        <v>Senior</v>
      </c>
      <c r="J603" t="str">
        <f>MID(H603,FIND("(",H603)+1,FIND(")",H603)-FIND("(",H603)-1)</f>
        <v>5-8 yrs</v>
      </c>
      <c r="L603">
        <v>125101</v>
      </c>
      <c r="M603" t="s">
        <v>1330</v>
      </c>
      <c r="N603" t="s">
        <v>33</v>
      </c>
      <c r="O603" t="s">
        <v>51</v>
      </c>
      <c r="P603" s="1">
        <v>45701</v>
      </c>
      <c r="Q603">
        <v>1741</v>
      </c>
      <c r="R603">
        <v>2305</v>
      </c>
      <c r="S603" t="s">
        <v>23</v>
      </c>
      <c r="T603">
        <v>4</v>
      </c>
      <c r="U603" t="s">
        <v>45</v>
      </c>
      <c r="V603" t="s">
        <v>24</v>
      </c>
      <c r="W603" t="s">
        <v>23</v>
      </c>
    </row>
    <row r="604" spans="1:23" x14ac:dyDescent="0.3">
      <c r="A604" t="s">
        <v>1331</v>
      </c>
      <c r="B604" t="s">
        <v>172</v>
      </c>
      <c r="C604" t="s">
        <v>48</v>
      </c>
      <c r="D604" t="s">
        <v>125</v>
      </c>
      <c r="E604" t="s">
        <v>29</v>
      </c>
      <c r="F604" t="s">
        <v>30</v>
      </c>
      <c r="G604" t="s">
        <v>41</v>
      </c>
      <c r="H604" t="s">
        <v>31</v>
      </c>
      <c r="I604" t="str">
        <f>LEFT(H604,FIND(" (",H604)-1)</f>
        <v>Staff/Principal</v>
      </c>
      <c r="J604" t="str">
        <f>MID(H604,FIND("(",H604)+1,FIND(")",H604)-FIND("(",H604)-1)</f>
        <v>8+ yrs</v>
      </c>
      <c r="L604">
        <v>231305</v>
      </c>
      <c r="M604" t="s">
        <v>1332</v>
      </c>
      <c r="N604" t="s">
        <v>33</v>
      </c>
      <c r="O604" t="s">
        <v>51</v>
      </c>
      <c r="P604" s="1">
        <v>45715</v>
      </c>
      <c r="Q604">
        <v>1475</v>
      </c>
      <c r="R604">
        <v>1409</v>
      </c>
      <c r="S604" t="s">
        <v>23</v>
      </c>
      <c r="T604">
        <v>6</v>
      </c>
      <c r="U604" t="s">
        <v>5123</v>
      </c>
      <c r="V604" t="s">
        <v>24</v>
      </c>
      <c r="W604" t="s">
        <v>23</v>
      </c>
    </row>
    <row r="605" spans="1:23" x14ac:dyDescent="0.3">
      <c r="A605" t="s">
        <v>1333</v>
      </c>
      <c r="B605" t="s">
        <v>61</v>
      </c>
      <c r="C605" t="s">
        <v>192</v>
      </c>
      <c r="D605" t="s">
        <v>49</v>
      </c>
      <c r="E605" t="s">
        <v>87</v>
      </c>
      <c r="F605" t="s">
        <v>87</v>
      </c>
      <c r="G605" t="s">
        <v>55</v>
      </c>
      <c r="H605" t="s">
        <v>31</v>
      </c>
      <c r="I605" t="str">
        <f>LEFT(H605,FIND(" (",H605)-1)</f>
        <v>Staff/Principal</v>
      </c>
      <c r="J605" t="str">
        <f>MID(H605,FIND("(",H605)+1,FIND(")",H605)-FIND("(",H605)-1)</f>
        <v>8+ yrs</v>
      </c>
      <c r="L605">
        <v>248802</v>
      </c>
      <c r="M605" t="s">
        <v>1334</v>
      </c>
      <c r="N605" t="s">
        <v>33</v>
      </c>
      <c r="O605" t="s">
        <v>22</v>
      </c>
      <c r="P605" s="1">
        <v>45740</v>
      </c>
      <c r="Q605">
        <v>439</v>
      </c>
      <c r="R605">
        <v>3425</v>
      </c>
      <c r="S605" t="s">
        <v>23</v>
      </c>
      <c r="T605">
        <v>6</v>
      </c>
      <c r="U605" t="s">
        <v>52</v>
      </c>
      <c r="V605" t="s">
        <v>46</v>
      </c>
      <c r="W605" t="s">
        <v>34</v>
      </c>
    </row>
    <row r="606" spans="1:23" x14ac:dyDescent="0.3">
      <c r="A606" t="s">
        <v>1335</v>
      </c>
      <c r="B606" t="s">
        <v>131</v>
      </c>
      <c r="C606" t="s">
        <v>107</v>
      </c>
      <c r="D606" t="s">
        <v>15</v>
      </c>
      <c r="E606" t="s">
        <v>5139</v>
      </c>
      <c r="F606" t="s">
        <v>5133</v>
      </c>
      <c r="G606" t="s">
        <v>18</v>
      </c>
      <c r="H606" t="s">
        <v>31</v>
      </c>
      <c r="I606" t="str">
        <f>LEFT(H606,FIND(" (",H606)-1)</f>
        <v>Staff/Principal</v>
      </c>
      <c r="J606" t="str">
        <f>MID(H606,FIND("(",H606)+1,FIND(")",H606)-FIND("(",H606)-1)</f>
        <v>8+ yrs</v>
      </c>
      <c r="L606">
        <v>214883</v>
      </c>
      <c r="M606" t="s">
        <v>1336</v>
      </c>
      <c r="N606" t="s">
        <v>149</v>
      </c>
      <c r="O606" t="s">
        <v>22</v>
      </c>
      <c r="P606" s="1">
        <v>45497</v>
      </c>
      <c r="Q606">
        <v>1753</v>
      </c>
      <c r="R606">
        <v>3900</v>
      </c>
      <c r="S606" t="s">
        <v>23</v>
      </c>
      <c r="T606">
        <v>6</v>
      </c>
      <c r="U606" t="s">
        <v>58</v>
      </c>
      <c r="V606" t="s">
        <v>24</v>
      </c>
      <c r="W606" t="s">
        <v>23</v>
      </c>
    </row>
    <row r="607" spans="1:23" x14ac:dyDescent="0.3">
      <c r="A607" t="s">
        <v>1337</v>
      </c>
      <c r="B607" t="s">
        <v>329</v>
      </c>
      <c r="C607" t="s">
        <v>110</v>
      </c>
      <c r="D607" t="s">
        <v>125</v>
      </c>
      <c r="E607" t="s">
        <v>159</v>
      </c>
      <c r="F607" t="s">
        <v>160</v>
      </c>
      <c r="G607" t="s">
        <v>41</v>
      </c>
      <c r="H607" t="s">
        <v>66</v>
      </c>
      <c r="I607" t="str">
        <f>LEFT(H607,FIND(" (",H607)-1)</f>
        <v>Senior</v>
      </c>
      <c r="J607" t="str">
        <f>MID(H607,FIND("(",H607)+1,FIND(")",H607)-FIND("(",H607)-1)</f>
        <v>5-8 yrs</v>
      </c>
      <c r="L607">
        <v>200673</v>
      </c>
      <c r="M607" t="s">
        <v>1338</v>
      </c>
      <c r="N607" t="s">
        <v>33</v>
      </c>
      <c r="O607" t="s">
        <v>44</v>
      </c>
      <c r="P607" s="1">
        <v>45667</v>
      </c>
      <c r="Q607">
        <v>1815</v>
      </c>
      <c r="R607">
        <v>2770</v>
      </c>
      <c r="S607" t="s">
        <v>23</v>
      </c>
      <c r="T607">
        <v>4</v>
      </c>
      <c r="U607" t="s">
        <v>58</v>
      </c>
      <c r="V607" t="s">
        <v>24</v>
      </c>
      <c r="W607" t="s">
        <v>34</v>
      </c>
    </row>
    <row r="608" spans="1:23" x14ac:dyDescent="0.3">
      <c r="A608" t="s">
        <v>1339</v>
      </c>
      <c r="B608" t="s">
        <v>143</v>
      </c>
      <c r="C608" t="s">
        <v>179</v>
      </c>
      <c r="D608" t="s">
        <v>174</v>
      </c>
      <c r="E608" t="s">
        <v>5137</v>
      </c>
      <c r="F608" t="s">
        <v>5138</v>
      </c>
      <c r="G608" t="s">
        <v>18</v>
      </c>
      <c r="H608" t="s">
        <v>66</v>
      </c>
      <c r="I608" t="str">
        <f>LEFT(H608,FIND(" (",H608)-1)</f>
        <v>Senior</v>
      </c>
      <c r="J608" t="str">
        <f>MID(H608,FIND("(",H608)+1,FIND(")",H608)-FIND("(",H608)-1)</f>
        <v>5-8 yrs</v>
      </c>
      <c r="L608">
        <v>129107</v>
      </c>
      <c r="M608" t="s">
        <v>1340</v>
      </c>
      <c r="N608" t="s">
        <v>33</v>
      </c>
      <c r="O608" t="s">
        <v>51</v>
      </c>
      <c r="P608" s="1">
        <v>45544</v>
      </c>
      <c r="Q608">
        <v>1030</v>
      </c>
      <c r="R608">
        <v>3915</v>
      </c>
      <c r="S608" t="s">
        <v>34</v>
      </c>
      <c r="T608">
        <v>4</v>
      </c>
      <c r="U608" t="s">
        <v>52</v>
      </c>
      <c r="V608" t="s">
        <v>24</v>
      </c>
      <c r="W608" t="s">
        <v>34</v>
      </c>
    </row>
    <row r="609" spans="1:23" x14ac:dyDescent="0.3">
      <c r="A609" t="s">
        <v>1341</v>
      </c>
      <c r="B609" t="s">
        <v>85</v>
      </c>
      <c r="C609" t="s">
        <v>179</v>
      </c>
      <c r="D609" t="s">
        <v>28</v>
      </c>
      <c r="E609" t="s">
        <v>5137</v>
      </c>
      <c r="F609" t="s">
        <v>5138</v>
      </c>
      <c r="G609" t="s">
        <v>18</v>
      </c>
      <c r="H609" t="s">
        <v>66</v>
      </c>
      <c r="I609" t="str">
        <f>LEFT(H609,FIND(" (",H609)-1)</f>
        <v>Senior</v>
      </c>
      <c r="J609" t="str">
        <f>MID(H609,FIND("(",H609)+1,FIND(")",H609)-FIND("(",H609)-1)</f>
        <v>5-8 yrs</v>
      </c>
      <c r="L609">
        <v>116394</v>
      </c>
      <c r="M609" t="s">
        <v>1342</v>
      </c>
      <c r="N609" t="s">
        <v>68</v>
      </c>
      <c r="O609" t="s">
        <v>79</v>
      </c>
      <c r="P609" s="1">
        <v>45376</v>
      </c>
      <c r="Q609">
        <v>734</v>
      </c>
      <c r="R609">
        <v>3796</v>
      </c>
      <c r="S609" t="s">
        <v>34</v>
      </c>
      <c r="T609">
        <v>4</v>
      </c>
      <c r="U609" t="s">
        <v>45</v>
      </c>
      <c r="V609" t="s">
        <v>24</v>
      </c>
      <c r="W609" t="s">
        <v>34</v>
      </c>
    </row>
    <row r="610" spans="1:23" x14ac:dyDescent="0.3">
      <c r="A610" t="s">
        <v>1343</v>
      </c>
      <c r="B610" t="s">
        <v>131</v>
      </c>
      <c r="C610" t="s">
        <v>14</v>
      </c>
      <c r="D610" t="s">
        <v>63</v>
      </c>
      <c r="E610" t="s">
        <v>5140</v>
      </c>
      <c r="F610" t="s">
        <v>5133</v>
      </c>
      <c r="G610" t="s">
        <v>41</v>
      </c>
      <c r="H610" t="s">
        <v>56</v>
      </c>
      <c r="I610" t="str">
        <f>LEFT(H610,FIND(" (",H610)-1)</f>
        <v>Mid</v>
      </c>
      <c r="J610" t="str">
        <f>MID(H610,FIND("(",H610)+1,FIND(")",H610)-FIND("(",H610)-1)</f>
        <v>2-5 yrs</v>
      </c>
      <c r="L610">
        <v>74781</v>
      </c>
      <c r="M610" t="s">
        <v>1344</v>
      </c>
      <c r="N610" t="s">
        <v>21</v>
      </c>
      <c r="O610" t="s">
        <v>51</v>
      </c>
      <c r="P610" s="1">
        <v>45312</v>
      </c>
      <c r="Q610">
        <v>2158</v>
      </c>
      <c r="R610">
        <v>1218</v>
      </c>
      <c r="S610" t="s">
        <v>99</v>
      </c>
      <c r="T610">
        <v>2</v>
      </c>
      <c r="U610" t="s">
        <v>5123</v>
      </c>
      <c r="V610" t="s">
        <v>24</v>
      </c>
      <c r="W610" t="s">
        <v>34</v>
      </c>
    </row>
    <row r="611" spans="1:23" x14ac:dyDescent="0.3">
      <c r="A611" t="s">
        <v>1345</v>
      </c>
      <c r="B611" t="s">
        <v>36</v>
      </c>
      <c r="C611" t="s">
        <v>92</v>
      </c>
      <c r="D611" t="s">
        <v>49</v>
      </c>
      <c r="E611" t="s">
        <v>64</v>
      </c>
      <c r="F611" t="s">
        <v>65</v>
      </c>
      <c r="G611" t="s">
        <v>55</v>
      </c>
      <c r="H611" t="s">
        <v>19</v>
      </c>
      <c r="I611" t="str">
        <f>LEFT(H611,FIND(" (",H611)-1)</f>
        <v>Entry</v>
      </c>
      <c r="J611" t="str">
        <f>MID(H611,FIND("(",H611)+1,FIND(")",H611)-FIND("(",H611)-1)</f>
        <v>0-2 yrs</v>
      </c>
      <c r="L611">
        <v>88850</v>
      </c>
      <c r="M611" t="s">
        <v>1346</v>
      </c>
      <c r="N611" t="s">
        <v>33</v>
      </c>
      <c r="O611" t="s">
        <v>51</v>
      </c>
      <c r="P611" s="1">
        <v>45666</v>
      </c>
      <c r="Q611">
        <v>2376</v>
      </c>
      <c r="R611">
        <v>1383</v>
      </c>
      <c r="S611" t="s">
        <v>23</v>
      </c>
      <c r="T611">
        <v>0</v>
      </c>
      <c r="U611" t="s">
        <v>83</v>
      </c>
      <c r="V611" t="s">
        <v>24</v>
      </c>
      <c r="W611" t="s">
        <v>34</v>
      </c>
    </row>
    <row r="612" spans="1:23" x14ac:dyDescent="0.3">
      <c r="A612" t="s">
        <v>1347</v>
      </c>
      <c r="B612" t="s">
        <v>236</v>
      </c>
      <c r="C612" t="s">
        <v>97</v>
      </c>
      <c r="D612" t="s">
        <v>15</v>
      </c>
      <c r="E612" t="s">
        <v>5139</v>
      </c>
      <c r="F612" t="s">
        <v>5133</v>
      </c>
      <c r="G612" t="s">
        <v>18</v>
      </c>
      <c r="H612" t="s">
        <v>19</v>
      </c>
      <c r="I612" t="str">
        <f>LEFT(H612,FIND(" (",H612)-1)</f>
        <v>Entry</v>
      </c>
      <c r="J612" t="str">
        <f>MID(H612,FIND("(",H612)+1,FIND(")",H612)-FIND("(",H612)-1)</f>
        <v>0-2 yrs</v>
      </c>
      <c r="L612">
        <v>78245</v>
      </c>
      <c r="M612" t="s">
        <v>1348</v>
      </c>
      <c r="N612" t="s">
        <v>33</v>
      </c>
      <c r="O612" t="s">
        <v>22</v>
      </c>
      <c r="P612" s="1">
        <v>45653</v>
      </c>
      <c r="Q612">
        <v>1840</v>
      </c>
      <c r="R612">
        <v>3582</v>
      </c>
      <c r="S612" t="s">
        <v>99</v>
      </c>
      <c r="T612">
        <v>0</v>
      </c>
      <c r="U612" t="s">
        <v>52</v>
      </c>
      <c r="V612" t="s">
        <v>24</v>
      </c>
      <c r="W612" t="s">
        <v>34</v>
      </c>
    </row>
    <row r="613" spans="1:23" x14ac:dyDescent="0.3">
      <c r="A613" t="s">
        <v>1349</v>
      </c>
      <c r="B613" t="s">
        <v>222</v>
      </c>
      <c r="C613" t="s">
        <v>124</v>
      </c>
      <c r="D613" t="s">
        <v>147</v>
      </c>
      <c r="E613" t="s">
        <v>230</v>
      </c>
      <c r="F613" t="s">
        <v>231</v>
      </c>
      <c r="G613" t="s">
        <v>18</v>
      </c>
      <c r="H613" t="s">
        <v>31</v>
      </c>
      <c r="I613" t="str">
        <f>LEFT(H613,FIND(" (",H613)-1)</f>
        <v>Staff/Principal</v>
      </c>
      <c r="J613" t="str">
        <f>MID(H613,FIND("(",H613)+1,FIND(")",H613)-FIND("(",H613)-1)</f>
        <v>8+ yrs</v>
      </c>
      <c r="L613">
        <v>197998</v>
      </c>
      <c r="M613" t="s">
        <v>1350</v>
      </c>
      <c r="N613" t="s">
        <v>33</v>
      </c>
      <c r="O613" t="s">
        <v>22</v>
      </c>
      <c r="P613" s="1">
        <v>45617</v>
      </c>
      <c r="Q613">
        <v>1154</v>
      </c>
      <c r="R613">
        <v>2918</v>
      </c>
      <c r="S613" t="s">
        <v>34</v>
      </c>
      <c r="T613">
        <v>6</v>
      </c>
      <c r="U613" t="s">
        <v>58</v>
      </c>
      <c r="V613" t="s">
        <v>24</v>
      </c>
      <c r="W613" t="s">
        <v>23</v>
      </c>
    </row>
    <row r="614" spans="1:23" x14ac:dyDescent="0.3">
      <c r="A614" t="s">
        <v>1351</v>
      </c>
      <c r="B614" t="s">
        <v>143</v>
      </c>
      <c r="C614" t="s">
        <v>48</v>
      </c>
      <c r="D614" t="s">
        <v>63</v>
      </c>
      <c r="E614" t="s">
        <v>5141</v>
      </c>
      <c r="F614" t="s">
        <v>5133</v>
      </c>
      <c r="G614" t="s">
        <v>41</v>
      </c>
      <c r="H614" t="s">
        <v>56</v>
      </c>
      <c r="I614" t="str">
        <f>LEFT(H614,FIND(" (",H614)-1)</f>
        <v>Mid</v>
      </c>
      <c r="J614" t="str">
        <f>MID(H614,FIND("(",H614)+1,FIND(")",H614)-FIND("(",H614)-1)</f>
        <v>2-5 yrs</v>
      </c>
      <c r="L614">
        <v>115543</v>
      </c>
      <c r="M614" t="s">
        <v>1352</v>
      </c>
      <c r="N614" t="s">
        <v>33</v>
      </c>
      <c r="O614" t="s">
        <v>51</v>
      </c>
      <c r="P614" s="1">
        <v>45628</v>
      </c>
      <c r="Q614">
        <v>1906</v>
      </c>
      <c r="R614">
        <v>2458</v>
      </c>
      <c r="S614" t="s">
        <v>23</v>
      </c>
      <c r="T614">
        <v>2</v>
      </c>
      <c r="U614" t="s">
        <v>58</v>
      </c>
      <c r="V614" t="s">
        <v>24</v>
      </c>
      <c r="W614" t="s">
        <v>34</v>
      </c>
    </row>
    <row r="615" spans="1:23" x14ac:dyDescent="0.3">
      <c r="A615" t="s">
        <v>1353</v>
      </c>
      <c r="B615" t="s">
        <v>81</v>
      </c>
      <c r="C615" t="s">
        <v>182</v>
      </c>
      <c r="D615" t="s">
        <v>125</v>
      </c>
      <c r="E615" t="s">
        <v>39</v>
      </c>
      <c r="F615" t="s">
        <v>40</v>
      </c>
      <c r="G615" t="s">
        <v>18</v>
      </c>
      <c r="H615" t="s">
        <v>31</v>
      </c>
      <c r="I615" t="str">
        <f>LEFT(H615,FIND(" (",H615)-1)</f>
        <v>Staff/Principal</v>
      </c>
      <c r="J615" t="str">
        <f>MID(H615,FIND("(",H615)+1,FIND(")",H615)-FIND("(",H615)-1)</f>
        <v>8+ yrs</v>
      </c>
      <c r="L615">
        <v>159482</v>
      </c>
      <c r="M615" t="s">
        <v>1354</v>
      </c>
      <c r="N615" t="s">
        <v>141</v>
      </c>
      <c r="O615" t="s">
        <v>44</v>
      </c>
      <c r="P615" s="1">
        <v>45631</v>
      </c>
      <c r="Q615">
        <v>2281</v>
      </c>
      <c r="R615">
        <v>3451</v>
      </c>
      <c r="S615" t="s">
        <v>23</v>
      </c>
      <c r="T615">
        <v>6</v>
      </c>
      <c r="U615" t="s">
        <v>58</v>
      </c>
      <c r="V615" t="s">
        <v>24</v>
      </c>
      <c r="W615" t="s">
        <v>23</v>
      </c>
    </row>
    <row r="616" spans="1:23" x14ac:dyDescent="0.3">
      <c r="A616" t="s">
        <v>1355</v>
      </c>
      <c r="B616" t="s">
        <v>151</v>
      </c>
      <c r="C616" t="s">
        <v>158</v>
      </c>
      <c r="D616" t="s">
        <v>63</v>
      </c>
      <c r="E616" t="s">
        <v>16</v>
      </c>
      <c r="F616" t="s">
        <v>17</v>
      </c>
      <c r="G616" t="s">
        <v>41</v>
      </c>
      <c r="H616" t="s">
        <v>66</v>
      </c>
      <c r="I616" t="str">
        <f>LEFT(H616,FIND(" (",H616)-1)</f>
        <v>Senior</v>
      </c>
      <c r="J616" t="str">
        <f>MID(H616,FIND("(",H616)+1,FIND(")",H616)-FIND("(",H616)-1)</f>
        <v>5-8 yrs</v>
      </c>
      <c r="L616">
        <v>216035</v>
      </c>
      <c r="M616" t="s">
        <v>1356</v>
      </c>
      <c r="N616" t="s">
        <v>141</v>
      </c>
      <c r="O616" t="s">
        <v>51</v>
      </c>
      <c r="P616" s="1">
        <v>45747</v>
      </c>
      <c r="Q616">
        <v>1367</v>
      </c>
      <c r="R616">
        <v>3747</v>
      </c>
      <c r="S616" t="s">
        <v>34</v>
      </c>
      <c r="T616">
        <v>4</v>
      </c>
      <c r="U616" t="s">
        <v>58</v>
      </c>
      <c r="V616" t="s">
        <v>59</v>
      </c>
      <c r="W616" t="s">
        <v>34</v>
      </c>
    </row>
    <row r="617" spans="1:23" x14ac:dyDescent="0.3">
      <c r="A617" t="s">
        <v>1357</v>
      </c>
      <c r="B617" t="s">
        <v>229</v>
      </c>
      <c r="C617" t="s">
        <v>195</v>
      </c>
      <c r="D617" t="s">
        <v>174</v>
      </c>
      <c r="E617" t="s">
        <v>39</v>
      </c>
      <c r="F617" t="s">
        <v>40</v>
      </c>
      <c r="G617" t="s">
        <v>18</v>
      </c>
      <c r="H617" t="s">
        <v>66</v>
      </c>
      <c r="I617" t="str">
        <f>LEFT(H617,FIND(" (",H617)-1)</f>
        <v>Senior</v>
      </c>
      <c r="J617" t="str">
        <f>MID(H617,FIND("(",H617)+1,FIND(")",H617)-FIND("(",H617)-1)</f>
        <v>5-8 yrs</v>
      </c>
      <c r="L617">
        <v>153488</v>
      </c>
      <c r="M617" t="s">
        <v>1358</v>
      </c>
      <c r="N617" t="s">
        <v>21</v>
      </c>
      <c r="O617" t="s">
        <v>22</v>
      </c>
      <c r="P617" s="1">
        <v>45585</v>
      </c>
      <c r="Q617">
        <v>381</v>
      </c>
      <c r="R617">
        <v>3902</v>
      </c>
      <c r="S617" t="s">
        <v>23</v>
      </c>
      <c r="T617">
        <v>4</v>
      </c>
      <c r="U617" t="s">
        <v>58</v>
      </c>
      <c r="V617" t="s">
        <v>24</v>
      </c>
      <c r="W617" t="s">
        <v>23</v>
      </c>
    </row>
    <row r="618" spans="1:23" x14ac:dyDescent="0.3">
      <c r="A618" t="s">
        <v>1359</v>
      </c>
      <c r="B618" t="s">
        <v>225</v>
      </c>
      <c r="C618" t="s">
        <v>239</v>
      </c>
      <c r="D618" t="s">
        <v>174</v>
      </c>
      <c r="E618" t="s">
        <v>5135</v>
      </c>
      <c r="F618" t="s">
        <v>5133</v>
      </c>
      <c r="G618" t="s">
        <v>41</v>
      </c>
      <c r="H618" t="s">
        <v>19</v>
      </c>
      <c r="I618" t="str">
        <f>LEFT(H618,FIND(" (",H618)-1)</f>
        <v>Entry</v>
      </c>
      <c r="J618" t="str">
        <f>MID(H618,FIND("(",H618)+1,FIND(")",H618)-FIND("(",H618)-1)</f>
        <v>0-2 yrs</v>
      </c>
      <c r="L618">
        <v>71378</v>
      </c>
      <c r="M618" t="s">
        <v>1360</v>
      </c>
      <c r="N618" t="s">
        <v>68</v>
      </c>
      <c r="O618" t="s">
        <v>51</v>
      </c>
      <c r="P618" s="1">
        <v>45477</v>
      </c>
      <c r="Q618">
        <v>1183</v>
      </c>
      <c r="R618">
        <v>2274</v>
      </c>
      <c r="S618" t="s">
        <v>23</v>
      </c>
      <c r="T618">
        <v>0</v>
      </c>
      <c r="U618" t="s">
        <v>5123</v>
      </c>
      <c r="V618" t="s">
        <v>24</v>
      </c>
      <c r="W618" t="s">
        <v>34</v>
      </c>
    </row>
    <row r="619" spans="1:23" x14ac:dyDescent="0.3">
      <c r="A619" t="s">
        <v>1361</v>
      </c>
      <c r="B619" t="s">
        <v>131</v>
      </c>
      <c r="C619" t="s">
        <v>132</v>
      </c>
      <c r="D619" t="s">
        <v>28</v>
      </c>
      <c r="E619" t="s">
        <v>76</v>
      </c>
      <c r="F619" t="s">
        <v>77</v>
      </c>
      <c r="G619" t="s">
        <v>18</v>
      </c>
      <c r="H619" t="s">
        <v>19</v>
      </c>
      <c r="I619" t="str">
        <f>LEFT(H619,FIND(" (",H619)-1)</f>
        <v>Entry</v>
      </c>
      <c r="J619" t="str">
        <f>MID(H619,FIND("(",H619)+1,FIND(")",H619)-FIND("(",H619)-1)</f>
        <v>0-2 yrs</v>
      </c>
      <c r="L619">
        <v>79144</v>
      </c>
      <c r="M619" t="s">
        <v>1362</v>
      </c>
      <c r="N619" t="s">
        <v>245</v>
      </c>
      <c r="O619" t="s">
        <v>44</v>
      </c>
      <c r="P619" s="1">
        <v>45540</v>
      </c>
      <c r="Q619">
        <v>1847</v>
      </c>
      <c r="R619">
        <v>2694</v>
      </c>
      <c r="S619" t="s">
        <v>23</v>
      </c>
      <c r="T619">
        <v>0</v>
      </c>
      <c r="U619" t="s">
        <v>45</v>
      </c>
      <c r="V619" t="s">
        <v>59</v>
      </c>
      <c r="W619" t="s">
        <v>34</v>
      </c>
    </row>
    <row r="620" spans="1:23" x14ac:dyDescent="0.3">
      <c r="A620" t="s">
        <v>1363</v>
      </c>
      <c r="B620" t="s">
        <v>131</v>
      </c>
      <c r="C620" t="s">
        <v>128</v>
      </c>
      <c r="D620" t="s">
        <v>28</v>
      </c>
      <c r="E620" t="s">
        <v>5140</v>
      </c>
      <c r="F620" t="s">
        <v>5133</v>
      </c>
      <c r="G620" t="s">
        <v>18</v>
      </c>
      <c r="H620" t="s">
        <v>31</v>
      </c>
      <c r="I620" t="str">
        <f>LEFT(H620,FIND(" (",H620)-1)</f>
        <v>Staff/Principal</v>
      </c>
      <c r="J620" t="str">
        <f>MID(H620,FIND("(",H620)+1,FIND(")",H620)-FIND("(",H620)-1)</f>
        <v>8+ yrs</v>
      </c>
      <c r="L620">
        <v>217316</v>
      </c>
      <c r="M620" t="s">
        <v>1364</v>
      </c>
      <c r="N620" t="s">
        <v>33</v>
      </c>
      <c r="O620" t="s">
        <v>44</v>
      </c>
      <c r="P620" s="1">
        <v>45717</v>
      </c>
      <c r="Q620">
        <v>2041</v>
      </c>
      <c r="R620">
        <v>2108</v>
      </c>
      <c r="S620" t="s">
        <v>23</v>
      </c>
      <c r="T620">
        <v>6</v>
      </c>
      <c r="U620" t="s">
        <v>45</v>
      </c>
      <c r="V620" t="s">
        <v>24</v>
      </c>
      <c r="W620" t="s">
        <v>34</v>
      </c>
    </row>
    <row r="621" spans="1:23" x14ac:dyDescent="0.3">
      <c r="A621" t="s">
        <v>1365</v>
      </c>
      <c r="B621" t="s">
        <v>36</v>
      </c>
      <c r="C621" t="s">
        <v>62</v>
      </c>
      <c r="D621" t="s">
        <v>38</v>
      </c>
      <c r="E621" t="s">
        <v>5134</v>
      </c>
      <c r="F621" t="s">
        <v>5133</v>
      </c>
      <c r="G621" t="s">
        <v>18</v>
      </c>
      <c r="H621" t="s">
        <v>31</v>
      </c>
      <c r="I621" t="str">
        <f>LEFT(H621,FIND(" (",H621)-1)</f>
        <v>Staff/Principal</v>
      </c>
      <c r="J621" t="str">
        <f>MID(H621,FIND("(",H621)+1,FIND(")",H621)-FIND("(",H621)-1)</f>
        <v>8+ yrs</v>
      </c>
      <c r="L621">
        <v>208059</v>
      </c>
      <c r="M621" t="s">
        <v>1366</v>
      </c>
      <c r="N621" t="s">
        <v>94</v>
      </c>
      <c r="O621" t="s">
        <v>51</v>
      </c>
      <c r="P621" s="1">
        <v>45339</v>
      </c>
      <c r="Q621">
        <v>2335</v>
      </c>
      <c r="R621">
        <v>2990</v>
      </c>
      <c r="S621" t="s">
        <v>23</v>
      </c>
      <c r="T621">
        <v>6</v>
      </c>
      <c r="U621" t="s">
        <v>45</v>
      </c>
      <c r="V621" t="s">
        <v>59</v>
      </c>
      <c r="W621" t="s">
        <v>23</v>
      </c>
    </row>
    <row r="622" spans="1:23" x14ac:dyDescent="0.3">
      <c r="A622" t="s">
        <v>1367</v>
      </c>
      <c r="B622" t="s">
        <v>172</v>
      </c>
      <c r="C622" t="s">
        <v>27</v>
      </c>
      <c r="D622" t="s">
        <v>125</v>
      </c>
      <c r="E622" t="s">
        <v>200</v>
      </c>
      <c r="F622" t="s">
        <v>201</v>
      </c>
      <c r="G622" t="s">
        <v>55</v>
      </c>
      <c r="H622" t="s">
        <v>56</v>
      </c>
      <c r="I622" t="str">
        <f>LEFT(H622,FIND(" (",H622)-1)</f>
        <v>Mid</v>
      </c>
      <c r="J622" t="str">
        <f>MID(H622,FIND("(",H622)+1,FIND(")",H622)-FIND("(",H622)-1)</f>
        <v>2-5 yrs</v>
      </c>
      <c r="L622">
        <v>94348</v>
      </c>
      <c r="M622" t="s">
        <v>1368</v>
      </c>
      <c r="N622" t="s">
        <v>120</v>
      </c>
      <c r="O622" t="s">
        <v>44</v>
      </c>
      <c r="P622" s="1">
        <v>45495</v>
      </c>
      <c r="Q622">
        <v>642</v>
      </c>
      <c r="R622">
        <v>400</v>
      </c>
      <c r="S622" t="s">
        <v>23</v>
      </c>
      <c r="T622">
        <v>2</v>
      </c>
      <c r="U622" t="s">
        <v>52</v>
      </c>
      <c r="V622" t="s">
        <v>59</v>
      </c>
      <c r="W622" t="s">
        <v>23</v>
      </c>
    </row>
    <row r="623" spans="1:23" x14ac:dyDescent="0.3">
      <c r="A623" t="s">
        <v>1369</v>
      </c>
      <c r="B623" t="s">
        <v>91</v>
      </c>
      <c r="C623" t="s">
        <v>173</v>
      </c>
      <c r="D623" t="s">
        <v>147</v>
      </c>
      <c r="E623" t="s">
        <v>64</v>
      </c>
      <c r="F623" t="s">
        <v>65</v>
      </c>
      <c r="G623" t="s">
        <v>18</v>
      </c>
      <c r="H623" t="s">
        <v>19</v>
      </c>
      <c r="I623" t="str">
        <f>LEFT(H623,FIND(" (",H623)-1)</f>
        <v>Entry</v>
      </c>
      <c r="J623" t="str">
        <f>MID(H623,FIND("(",H623)+1,FIND(")",H623)-FIND("(",H623)-1)</f>
        <v>0-2 yrs</v>
      </c>
      <c r="L623">
        <v>75940</v>
      </c>
      <c r="M623" t="s">
        <v>1370</v>
      </c>
      <c r="N623" t="s">
        <v>89</v>
      </c>
      <c r="O623" t="s">
        <v>51</v>
      </c>
      <c r="P623" s="1">
        <v>45721</v>
      </c>
      <c r="Q623">
        <v>1683</v>
      </c>
      <c r="R623">
        <v>3427</v>
      </c>
      <c r="S623" t="s">
        <v>34</v>
      </c>
      <c r="T623">
        <v>0</v>
      </c>
      <c r="U623" t="s">
        <v>45</v>
      </c>
      <c r="V623" t="s">
        <v>24</v>
      </c>
      <c r="W623" t="s">
        <v>23</v>
      </c>
    </row>
    <row r="624" spans="1:23" x14ac:dyDescent="0.3">
      <c r="A624" t="s">
        <v>1371</v>
      </c>
      <c r="B624" t="s">
        <v>151</v>
      </c>
      <c r="C624" t="s">
        <v>62</v>
      </c>
      <c r="D624" t="s">
        <v>75</v>
      </c>
      <c r="E624" t="s">
        <v>87</v>
      </c>
      <c r="F624" t="s">
        <v>87</v>
      </c>
      <c r="G624" t="s">
        <v>41</v>
      </c>
      <c r="H624" t="s">
        <v>66</v>
      </c>
      <c r="I624" t="str">
        <f>LEFT(H624,FIND(" (",H624)-1)</f>
        <v>Senior</v>
      </c>
      <c r="J624" t="str">
        <f>MID(H624,FIND("(",H624)+1,FIND(")",H624)-FIND("(",H624)-1)</f>
        <v>5-8 yrs</v>
      </c>
      <c r="L624">
        <v>200814</v>
      </c>
      <c r="M624" t="s">
        <v>1372</v>
      </c>
      <c r="N624" t="s">
        <v>89</v>
      </c>
      <c r="O624" t="s">
        <v>44</v>
      </c>
      <c r="P624" s="1">
        <v>45698</v>
      </c>
      <c r="Q624">
        <v>633</v>
      </c>
      <c r="R624">
        <v>3783</v>
      </c>
      <c r="S624" t="s">
        <v>34</v>
      </c>
      <c r="T624">
        <v>4</v>
      </c>
      <c r="U624" t="s">
        <v>5123</v>
      </c>
      <c r="V624" t="s">
        <v>24</v>
      </c>
      <c r="W624" t="s">
        <v>23</v>
      </c>
    </row>
    <row r="625" spans="1:23" x14ac:dyDescent="0.3">
      <c r="A625" t="s">
        <v>1373</v>
      </c>
      <c r="B625" t="s">
        <v>222</v>
      </c>
      <c r="C625" t="s">
        <v>192</v>
      </c>
      <c r="D625" t="s">
        <v>125</v>
      </c>
      <c r="E625" t="s">
        <v>102</v>
      </c>
      <c r="F625" t="s">
        <v>103</v>
      </c>
      <c r="G625" t="s">
        <v>18</v>
      </c>
      <c r="H625" t="s">
        <v>19</v>
      </c>
      <c r="I625" t="str">
        <f>LEFT(H625,FIND(" (",H625)-1)</f>
        <v>Entry</v>
      </c>
      <c r="J625" t="str">
        <f>MID(H625,FIND("(",H625)+1,FIND(")",H625)-FIND("(",H625)-1)</f>
        <v>0-2 yrs</v>
      </c>
      <c r="L625">
        <v>86952</v>
      </c>
      <c r="M625" t="s">
        <v>1374</v>
      </c>
      <c r="N625" t="s">
        <v>94</v>
      </c>
      <c r="O625" t="s">
        <v>44</v>
      </c>
      <c r="P625" s="1">
        <v>45737</v>
      </c>
      <c r="Q625">
        <v>2012</v>
      </c>
      <c r="R625">
        <v>1645</v>
      </c>
      <c r="S625" t="s">
        <v>34</v>
      </c>
      <c r="T625">
        <v>0</v>
      </c>
      <c r="U625" t="s">
        <v>5123</v>
      </c>
      <c r="V625" t="s">
        <v>24</v>
      </c>
      <c r="W625" t="s">
        <v>34</v>
      </c>
    </row>
    <row r="626" spans="1:23" x14ac:dyDescent="0.3">
      <c r="A626" t="s">
        <v>1375</v>
      </c>
      <c r="B626" t="s">
        <v>36</v>
      </c>
      <c r="C626" t="s">
        <v>182</v>
      </c>
      <c r="D626" t="s">
        <v>174</v>
      </c>
      <c r="E626" t="s">
        <v>216</v>
      </c>
      <c r="F626" t="s">
        <v>217</v>
      </c>
      <c r="G626" t="s">
        <v>55</v>
      </c>
      <c r="H626" t="s">
        <v>66</v>
      </c>
      <c r="I626" t="str">
        <f>LEFT(H626,FIND(" (",H626)-1)</f>
        <v>Senior</v>
      </c>
      <c r="J626" t="str">
        <f>MID(H626,FIND("(",H626)+1,FIND(")",H626)-FIND("(",H626)-1)</f>
        <v>5-8 yrs</v>
      </c>
      <c r="L626">
        <v>193016</v>
      </c>
      <c r="M626" t="s">
        <v>1376</v>
      </c>
      <c r="N626" t="s">
        <v>21</v>
      </c>
      <c r="O626" t="s">
        <v>51</v>
      </c>
      <c r="P626" s="1">
        <v>45580</v>
      </c>
      <c r="Q626">
        <v>1329</v>
      </c>
      <c r="R626">
        <v>1943</v>
      </c>
      <c r="S626" t="s">
        <v>23</v>
      </c>
      <c r="T626">
        <v>4</v>
      </c>
      <c r="U626" t="s">
        <v>45</v>
      </c>
      <c r="V626" t="s">
        <v>46</v>
      </c>
      <c r="W626" t="s">
        <v>23</v>
      </c>
    </row>
    <row r="627" spans="1:23" x14ac:dyDescent="0.3">
      <c r="A627" t="s">
        <v>1377</v>
      </c>
      <c r="B627" t="s">
        <v>61</v>
      </c>
      <c r="C627" t="s">
        <v>124</v>
      </c>
      <c r="D627" t="s">
        <v>28</v>
      </c>
      <c r="E627" t="s">
        <v>76</v>
      </c>
      <c r="F627" t="s">
        <v>77</v>
      </c>
      <c r="G627" t="s">
        <v>41</v>
      </c>
      <c r="H627" t="s">
        <v>56</v>
      </c>
      <c r="I627" t="str">
        <f>LEFT(H627,FIND(" (",H627)-1)</f>
        <v>Mid</v>
      </c>
      <c r="J627" t="str">
        <f>MID(H627,FIND("(",H627)+1,FIND(")",H627)-FIND("(",H627)-1)</f>
        <v>2-5 yrs</v>
      </c>
      <c r="L627">
        <v>99877</v>
      </c>
      <c r="M627" t="s">
        <v>1378</v>
      </c>
      <c r="N627" t="s">
        <v>149</v>
      </c>
      <c r="O627" t="s">
        <v>44</v>
      </c>
      <c r="P627" s="1">
        <v>45534</v>
      </c>
      <c r="Q627">
        <v>1116</v>
      </c>
      <c r="R627">
        <v>2852</v>
      </c>
      <c r="S627" t="s">
        <v>34</v>
      </c>
      <c r="T627">
        <v>2</v>
      </c>
      <c r="U627" t="s">
        <v>58</v>
      </c>
      <c r="V627" t="s">
        <v>24</v>
      </c>
      <c r="W627" t="s">
        <v>34</v>
      </c>
    </row>
    <row r="628" spans="1:23" x14ac:dyDescent="0.3">
      <c r="A628" t="s">
        <v>1379</v>
      </c>
      <c r="B628" t="s">
        <v>172</v>
      </c>
      <c r="C628" t="s">
        <v>37</v>
      </c>
      <c r="D628" t="s">
        <v>28</v>
      </c>
      <c r="E628" t="s">
        <v>5136</v>
      </c>
      <c r="F628" t="s">
        <v>5133</v>
      </c>
      <c r="G628" t="s">
        <v>18</v>
      </c>
      <c r="H628" t="s">
        <v>56</v>
      </c>
      <c r="I628" t="str">
        <f>LEFT(H628,FIND(" (",H628)-1)</f>
        <v>Mid</v>
      </c>
      <c r="J628" t="str">
        <f>MID(H628,FIND("(",H628)+1,FIND(")",H628)-FIND("(",H628)-1)</f>
        <v>2-5 yrs</v>
      </c>
      <c r="L628">
        <v>90405</v>
      </c>
      <c r="M628" t="s">
        <v>1380</v>
      </c>
      <c r="N628" t="s">
        <v>141</v>
      </c>
      <c r="O628" t="s">
        <v>51</v>
      </c>
      <c r="P628" s="1">
        <v>45578</v>
      </c>
      <c r="Q628">
        <v>1951</v>
      </c>
      <c r="R628">
        <v>3836</v>
      </c>
      <c r="S628" t="s">
        <v>23</v>
      </c>
      <c r="T628">
        <v>2</v>
      </c>
      <c r="U628" t="s">
        <v>83</v>
      </c>
      <c r="V628" t="s">
        <v>24</v>
      </c>
      <c r="W628" t="s">
        <v>34</v>
      </c>
    </row>
    <row r="629" spans="1:23" x14ac:dyDescent="0.3">
      <c r="A629" t="s">
        <v>1381</v>
      </c>
      <c r="B629" t="s">
        <v>143</v>
      </c>
      <c r="C629" t="s">
        <v>37</v>
      </c>
      <c r="D629" t="s">
        <v>147</v>
      </c>
      <c r="E629" t="s">
        <v>5137</v>
      </c>
      <c r="F629" t="s">
        <v>5138</v>
      </c>
      <c r="G629" t="s">
        <v>41</v>
      </c>
      <c r="H629" t="s">
        <v>56</v>
      </c>
      <c r="I629" t="str">
        <f>LEFT(H629,FIND(" (",H629)-1)</f>
        <v>Mid</v>
      </c>
      <c r="J629" t="str">
        <f>MID(H629,FIND("(",H629)+1,FIND(")",H629)-FIND("(",H629)-1)</f>
        <v>2-5 yrs</v>
      </c>
      <c r="L629">
        <v>107509</v>
      </c>
      <c r="M629" t="s">
        <v>1382</v>
      </c>
      <c r="N629" t="s">
        <v>33</v>
      </c>
      <c r="O629" t="s">
        <v>51</v>
      </c>
      <c r="P629" s="1">
        <v>45435</v>
      </c>
      <c r="Q629">
        <v>1435</v>
      </c>
      <c r="R629">
        <v>3969</v>
      </c>
      <c r="S629" t="s">
        <v>23</v>
      </c>
      <c r="T629">
        <v>2</v>
      </c>
      <c r="U629" t="s">
        <v>83</v>
      </c>
      <c r="V629" t="s">
        <v>24</v>
      </c>
      <c r="W629" t="s">
        <v>23</v>
      </c>
    </row>
    <row r="630" spans="1:23" x14ac:dyDescent="0.3">
      <c r="A630" t="s">
        <v>1383</v>
      </c>
      <c r="B630" t="s">
        <v>222</v>
      </c>
      <c r="C630" t="s">
        <v>132</v>
      </c>
      <c r="D630" t="s">
        <v>125</v>
      </c>
      <c r="E630" t="s">
        <v>29</v>
      </c>
      <c r="F630" t="s">
        <v>30</v>
      </c>
      <c r="G630" t="s">
        <v>55</v>
      </c>
      <c r="H630" t="s">
        <v>19</v>
      </c>
      <c r="I630" t="str">
        <f>LEFT(H630,FIND(" (",H630)-1)</f>
        <v>Entry</v>
      </c>
      <c r="J630" t="str">
        <f>MID(H630,FIND("(",H630)+1,FIND(")",H630)-FIND("(",H630)-1)</f>
        <v>0-2 yrs</v>
      </c>
      <c r="L630">
        <v>70702</v>
      </c>
      <c r="M630" t="s">
        <v>1384</v>
      </c>
      <c r="N630" t="s">
        <v>33</v>
      </c>
      <c r="O630" t="s">
        <v>51</v>
      </c>
      <c r="P630" s="1">
        <v>45338</v>
      </c>
      <c r="Q630">
        <v>2100</v>
      </c>
      <c r="R630">
        <v>1752</v>
      </c>
      <c r="S630" t="s">
        <v>23</v>
      </c>
      <c r="T630">
        <v>0</v>
      </c>
      <c r="U630" t="s">
        <v>45</v>
      </c>
      <c r="V630" t="s">
        <v>24</v>
      </c>
      <c r="W630" t="s">
        <v>23</v>
      </c>
    </row>
    <row r="631" spans="1:23" x14ac:dyDescent="0.3">
      <c r="A631" t="s">
        <v>1385</v>
      </c>
      <c r="B631" t="s">
        <v>91</v>
      </c>
      <c r="C631" t="s">
        <v>116</v>
      </c>
      <c r="D631" t="s">
        <v>38</v>
      </c>
      <c r="E631" t="s">
        <v>5134</v>
      </c>
      <c r="F631" t="s">
        <v>5133</v>
      </c>
      <c r="G631" t="s">
        <v>41</v>
      </c>
      <c r="H631" t="s">
        <v>31</v>
      </c>
      <c r="I631" t="str">
        <f>LEFT(H631,FIND(" (",H631)-1)</f>
        <v>Staff/Principal</v>
      </c>
      <c r="J631" t="str">
        <f>MID(H631,FIND("(",H631)+1,FIND(")",H631)-FIND("(",H631)-1)</f>
        <v>8+ yrs</v>
      </c>
      <c r="L631">
        <v>239390</v>
      </c>
      <c r="M631" t="s">
        <v>1386</v>
      </c>
      <c r="N631" t="s">
        <v>21</v>
      </c>
      <c r="O631" t="s">
        <v>79</v>
      </c>
      <c r="P631" s="1">
        <v>45653</v>
      </c>
      <c r="Q631">
        <v>1437</v>
      </c>
      <c r="R631">
        <v>2923</v>
      </c>
      <c r="S631" t="s">
        <v>34</v>
      </c>
      <c r="T631">
        <v>6</v>
      </c>
      <c r="U631" t="s">
        <v>58</v>
      </c>
      <c r="V631" t="s">
        <v>24</v>
      </c>
      <c r="W631" t="s">
        <v>23</v>
      </c>
    </row>
    <row r="632" spans="1:23" x14ac:dyDescent="0.3">
      <c r="A632" t="s">
        <v>1387</v>
      </c>
      <c r="B632" t="s">
        <v>36</v>
      </c>
      <c r="C632" t="s">
        <v>226</v>
      </c>
      <c r="D632" t="s">
        <v>147</v>
      </c>
      <c r="E632" t="s">
        <v>133</v>
      </c>
      <c r="F632" t="s">
        <v>134</v>
      </c>
      <c r="G632" t="s">
        <v>55</v>
      </c>
      <c r="H632" t="s">
        <v>19</v>
      </c>
      <c r="I632" t="str">
        <f>LEFT(H632,FIND(" (",H632)-1)</f>
        <v>Entry</v>
      </c>
      <c r="J632" t="str">
        <f>MID(H632,FIND("(",H632)+1,FIND(")",H632)-FIND("(",H632)-1)</f>
        <v>0-2 yrs</v>
      </c>
      <c r="L632">
        <v>50000</v>
      </c>
      <c r="M632" t="s">
        <v>1388</v>
      </c>
      <c r="N632" t="s">
        <v>33</v>
      </c>
      <c r="O632" t="s">
        <v>22</v>
      </c>
      <c r="P632" s="1">
        <v>45625</v>
      </c>
      <c r="Q632">
        <v>1082</v>
      </c>
      <c r="R632">
        <v>1576</v>
      </c>
      <c r="S632" t="s">
        <v>23</v>
      </c>
      <c r="T632">
        <v>0</v>
      </c>
      <c r="U632" t="s">
        <v>5123</v>
      </c>
      <c r="V632" t="s">
        <v>24</v>
      </c>
      <c r="W632" t="s">
        <v>34</v>
      </c>
    </row>
    <row r="633" spans="1:23" x14ac:dyDescent="0.3">
      <c r="A633" t="s">
        <v>1389</v>
      </c>
      <c r="B633" t="s">
        <v>106</v>
      </c>
      <c r="C633" t="s">
        <v>54</v>
      </c>
      <c r="D633" t="s">
        <v>15</v>
      </c>
      <c r="E633" t="s">
        <v>200</v>
      </c>
      <c r="F633" t="s">
        <v>201</v>
      </c>
      <c r="G633" t="s">
        <v>18</v>
      </c>
      <c r="H633" t="s">
        <v>19</v>
      </c>
      <c r="I633" t="str">
        <f>LEFT(H633,FIND(" (",H633)-1)</f>
        <v>Entry</v>
      </c>
      <c r="J633" t="str">
        <f>MID(H633,FIND("(",H633)+1,FIND(")",H633)-FIND("(",H633)-1)</f>
        <v>0-2 yrs</v>
      </c>
      <c r="L633">
        <v>89272</v>
      </c>
      <c r="M633" t="s">
        <v>1390</v>
      </c>
      <c r="N633" t="s">
        <v>89</v>
      </c>
      <c r="O633" t="s">
        <v>79</v>
      </c>
      <c r="P633" s="1">
        <v>45340</v>
      </c>
      <c r="Q633">
        <v>1336</v>
      </c>
      <c r="R633">
        <v>1133</v>
      </c>
      <c r="S633" t="s">
        <v>23</v>
      </c>
      <c r="T633">
        <v>0</v>
      </c>
      <c r="U633" t="s">
        <v>83</v>
      </c>
      <c r="V633" t="s">
        <v>59</v>
      </c>
      <c r="W633" t="s">
        <v>23</v>
      </c>
    </row>
    <row r="634" spans="1:23" x14ac:dyDescent="0.3">
      <c r="A634" t="s">
        <v>1391</v>
      </c>
      <c r="B634" t="s">
        <v>96</v>
      </c>
      <c r="C634" t="s">
        <v>128</v>
      </c>
      <c r="D634" t="s">
        <v>125</v>
      </c>
      <c r="E634" t="s">
        <v>159</v>
      </c>
      <c r="F634" t="s">
        <v>160</v>
      </c>
      <c r="G634" t="s">
        <v>18</v>
      </c>
      <c r="H634" t="s">
        <v>31</v>
      </c>
      <c r="I634" t="str">
        <f>LEFT(H634,FIND(" (",H634)-1)</f>
        <v>Staff/Principal</v>
      </c>
      <c r="J634" t="str">
        <f>MID(H634,FIND("(",H634)+1,FIND(")",H634)-FIND("(",H634)-1)</f>
        <v>8+ yrs</v>
      </c>
      <c r="L634">
        <v>194311</v>
      </c>
      <c r="M634" t="s">
        <v>1392</v>
      </c>
      <c r="N634" t="s">
        <v>68</v>
      </c>
      <c r="O634" t="s">
        <v>22</v>
      </c>
      <c r="P634" s="1">
        <v>45675</v>
      </c>
      <c r="Q634">
        <v>789</v>
      </c>
      <c r="R634">
        <v>239</v>
      </c>
      <c r="S634" t="s">
        <v>23</v>
      </c>
      <c r="T634">
        <v>6</v>
      </c>
      <c r="U634" t="s">
        <v>5123</v>
      </c>
      <c r="V634" t="s">
        <v>24</v>
      </c>
      <c r="W634" t="s">
        <v>23</v>
      </c>
    </row>
    <row r="635" spans="1:23" x14ac:dyDescent="0.3">
      <c r="A635" t="s">
        <v>1393</v>
      </c>
      <c r="B635" t="s">
        <v>36</v>
      </c>
      <c r="C635" t="s">
        <v>62</v>
      </c>
      <c r="D635" t="s">
        <v>15</v>
      </c>
      <c r="E635" t="s">
        <v>216</v>
      </c>
      <c r="F635" t="s">
        <v>217</v>
      </c>
      <c r="G635" t="s">
        <v>41</v>
      </c>
      <c r="H635" t="s">
        <v>56</v>
      </c>
      <c r="I635" t="str">
        <f>LEFT(H635,FIND(" (",H635)-1)</f>
        <v>Mid</v>
      </c>
      <c r="J635" t="str">
        <f>MID(H635,FIND("(",H635)+1,FIND(")",H635)-FIND("(",H635)-1)</f>
        <v>2-5 yrs</v>
      </c>
      <c r="L635">
        <v>101547</v>
      </c>
      <c r="M635" t="s">
        <v>1394</v>
      </c>
      <c r="N635" t="s">
        <v>33</v>
      </c>
      <c r="O635" t="s">
        <v>79</v>
      </c>
      <c r="P635" s="1">
        <v>45462</v>
      </c>
      <c r="Q635">
        <v>1951</v>
      </c>
      <c r="R635">
        <v>1715</v>
      </c>
      <c r="S635" t="s">
        <v>23</v>
      </c>
      <c r="T635">
        <v>2</v>
      </c>
      <c r="U635" t="s">
        <v>5123</v>
      </c>
      <c r="V635" t="s">
        <v>24</v>
      </c>
      <c r="W635" t="s">
        <v>23</v>
      </c>
    </row>
    <row r="636" spans="1:23" x14ac:dyDescent="0.3">
      <c r="A636" t="s">
        <v>1395</v>
      </c>
      <c r="B636" t="s">
        <v>131</v>
      </c>
      <c r="C636" t="s">
        <v>14</v>
      </c>
      <c r="D636" t="s">
        <v>125</v>
      </c>
      <c r="E636" t="s">
        <v>16</v>
      </c>
      <c r="F636" t="s">
        <v>17</v>
      </c>
      <c r="G636" t="s">
        <v>18</v>
      </c>
      <c r="H636" t="s">
        <v>56</v>
      </c>
      <c r="I636" t="str">
        <f>LEFT(H636,FIND(" (",H636)-1)</f>
        <v>Mid</v>
      </c>
      <c r="J636" t="str">
        <f>MID(H636,FIND("(",H636)+1,FIND(")",H636)-FIND("(",H636)-1)</f>
        <v>2-5 yrs</v>
      </c>
      <c r="L636">
        <v>89960</v>
      </c>
      <c r="M636" t="s">
        <v>1396</v>
      </c>
      <c r="N636" t="s">
        <v>33</v>
      </c>
      <c r="O636" t="s">
        <v>51</v>
      </c>
      <c r="P636" s="1">
        <v>45519</v>
      </c>
      <c r="Q636">
        <v>313</v>
      </c>
      <c r="R636">
        <v>1284</v>
      </c>
      <c r="S636" t="s">
        <v>23</v>
      </c>
      <c r="T636">
        <v>2</v>
      </c>
      <c r="U636" t="s">
        <v>45</v>
      </c>
      <c r="V636" t="s">
        <v>24</v>
      </c>
      <c r="W636" t="s">
        <v>23</v>
      </c>
    </row>
    <row r="637" spans="1:23" x14ac:dyDescent="0.3">
      <c r="A637" t="s">
        <v>1397</v>
      </c>
      <c r="B637" t="s">
        <v>70</v>
      </c>
      <c r="C637" t="s">
        <v>71</v>
      </c>
      <c r="D637" t="s">
        <v>125</v>
      </c>
      <c r="E637" t="s">
        <v>5136</v>
      </c>
      <c r="F637" t="s">
        <v>5133</v>
      </c>
      <c r="G637" t="s">
        <v>18</v>
      </c>
      <c r="H637" t="s">
        <v>31</v>
      </c>
      <c r="I637" t="str">
        <f>LEFT(H637,FIND(" (",H637)-1)</f>
        <v>Staff/Principal</v>
      </c>
      <c r="J637" t="str">
        <f>MID(H637,FIND("(",H637)+1,FIND(")",H637)-FIND("(",H637)-1)</f>
        <v>8+ yrs</v>
      </c>
      <c r="L637">
        <v>140425</v>
      </c>
      <c r="M637" t="s">
        <v>1398</v>
      </c>
      <c r="N637" t="s">
        <v>186</v>
      </c>
      <c r="O637" t="s">
        <v>44</v>
      </c>
      <c r="P637" s="1">
        <v>45338</v>
      </c>
      <c r="Q637">
        <v>1190</v>
      </c>
      <c r="R637">
        <v>2623</v>
      </c>
      <c r="S637" t="s">
        <v>23</v>
      </c>
      <c r="T637">
        <v>6</v>
      </c>
      <c r="U637" t="s">
        <v>5123</v>
      </c>
      <c r="V637" t="s">
        <v>59</v>
      </c>
      <c r="W637" t="s">
        <v>23</v>
      </c>
    </row>
    <row r="638" spans="1:23" x14ac:dyDescent="0.3">
      <c r="A638" t="s">
        <v>1399</v>
      </c>
      <c r="B638" t="s">
        <v>81</v>
      </c>
      <c r="C638" t="s">
        <v>173</v>
      </c>
      <c r="D638" t="s">
        <v>38</v>
      </c>
      <c r="E638" t="s">
        <v>64</v>
      </c>
      <c r="F638" t="s">
        <v>65</v>
      </c>
      <c r="G638" t="s">
        <v>18</v>
      </c>
      <c r="H638" t="s">
        <v>56</v>
      </c>
      <c r="I638" t="str">
        <f>LEFT(H638,FIND(" (",H638)-1)</f>
        <v>Mid</v>
      </c>
      <c r="J638" t="str">
        <f>MID(H638,FIND("(",H638)+1,FIND(")",H638)-FIND("(",H638)-1)</f>
        <v>2-5 yrs</v>
      </c>
      <c r="L638">
        <v>126298</v>
      </c>
      <c r="M638" t="s">
        <v>1400</v>
      </c>
      <c r="N638" t="s">
        <v>245</v>
      </c>
      <c r="O638" t="s">
        <v>22</v>
      </c>
      <c r="P638" s="1">
        <v>45486</v>
      </c>
      <c r="Q638">
        <v>1508</v>
      </c>
      <c r="R638">
        <v>1072</v>
      </c>
      <c r="S638" t="s">
        <v>23</v>
      </c>
      <c r="T638">
        <v>2</v>
      </c>
      <c r="U638" t="s">
        <v>45</v>
      </c>
      <c r="V638" t="s">
        <v>24</v>
      </c>
      <c r="W638" t="s">
        <v>34</v>
      </c>
    </row>
    <row r="639" spans="1:23" x14ac:dyDescent="0.3">
      <c r="A639" t="s">
        <v>1401</v>
      </c>
      <c r="B639" t="s">
        <v>225</v>
      </c>
      <c r="C639" t="s">
        <v>204</v>
      </c>
      <c r="D639" t="s">
        <v>147</v>
      </c>
      <c r="E639" t="s">
        <v>76</v>
      </c>
      <c r="F639" t="s">
        <v>77</v>
      </c>
      <c r="G639" t="s">
        <v>18</v>
      </c>
      <c r="H639" t="s">
        <v>66</v>
      </c>
      <c r="I639" t="str">
        <f>LEFT(H639,FIND(" (",H639)-1)</f>
        <v>Senior</v>
      </c>
      <c r="J639" t="str">
        <f>MID(H639,FIND("(",H639)+1,FIND(")",H639)-FIND("(",H639)-1)</f>
        <v>5-8 yrs</v>
      </c>
      <c r="L639">
        <v>151979</v>
      </c>
      <c r="M639" t="s">
        <v>1402</v>
      </c>
      <c r="N639" t="s">
        <v>21</v>
      </c>
      <c r="O639" t="s">
        <v>51</v>
      </c>
      <c r="P639" s="1">
        <v>45615</v>
      </c>
      <c r="Q639">
        <v>1482</v>
      </c>
      <c r="R639">
        <v>859</v>
      </c>
      <c r="S639" t="s">
        <v>23</v>
      </c>
      <c r="T639">
        <v>4</v>
      </c>
      <c r="U639" t="s">
        <v>83</v>
      </c>
      <c r="V639" t="s">
        <v>24</v>
      </c>
      <c r="W639" t="s">
        <v>23</v>
      </c>
    </row>
    <row r="640" spans="1:23" x14ac:dyDescent="0.3">
      <c r="A640" t="s">
        <v>1403</v>
      </c>
      <c r="B640" t="s">
        <v>36</v>
      </c>
      <c r="C640" t="s">
        <v>192</v>
      </c>
      <c r="D640" t="s">
        <v>125</v>
      </c>
      <c r="E640" t="s">
        <v>76</v>
      </c>
      <c r="F640" t="s">
        <v>77</v>
      </c>
      <c r="G640" t="s">
        <v>41</v>
      </c>
      <c r="H640" t="s">
        <v>19</v>
      </c>
      <c r="I640" t="str">
        <f>LEFT(H640,FIND(" (",H640)-1)</f>
        <v>Entry</v>
      </c>
      <c r="J640" t="str">
        <f>MID(H640,FIND("(",H640)+1,FIND(")",H640)-FIND("(",H640)-1)</f>
        <v>0-2 yrs</v>
      </c>
      <c r="L640">
        <v>53746</v>
      </c>
      <c r="M640" t="s">
        <v>1404</v>
      </c>
      <c r="N640" t="s">
        <v>68</v>
      </c>
      <c r="O640" t="s">
        <v>51</v>
      </c>
      <c r="P640" s="1">
        <v>45424</v>
      </c>
      <c r="Q640">
        <v>1622</v>
      </c>
      <c r="R640">
        <v>1534</v>
      </c>
      <c r="S640" t="s">
        <v>23</v>
      </c>
      <c r="T640">
        <v>0</v>
      </c>
      <c r="U640" t="s">
        <v>83</v>
      </c>
      <c r="V640" t="s">
        <v>59</v>
      </c>
      <c r="W640" t="s">
        <v>34</v>
      </c>
    </row>
    <row r="641" spans="1:23" x14ac:dyDescent="0.3">
      <c r="A641" t="s">
        <v>1405</v>
      </c>
      <c r="B641" t="s">
        <v>13</v>
      </c>
      <c r="C641" t="s">
        <v>179</v>
      </c>
      <c r="D641" t="s">
        <v>125</v>
      </c>
      <c r="E641" t="s">
        <v>5140</v>
      </c>
      <c r="F641" t="s">
        <v>5133</v>
      </c>
      <c r="G641" t="s">
        <v>18</v>
      </c>
      <c r="H641" t="s">
        <v>66</v>
      </c>
      <c r="I641" t="str">
        <f>LEFT(H641,FIND(" (",H641)-1)</f>
        <v>Senior</v>
      </c>
      <c r="J641" t="str">
        <f>MID(H641,FIND("(",H641)+1,FIND(")",H641)-FIND("(",H641)-1)</f>
        <v>5-8 yrs</v>
      </c>
      <c r="L641">
        <v>115032</v>
      </c>
      <c r="M641" t="s">
        <v>1406</v>
      </c>
      <c r="N641" t="s">
        <v>33</v>
      </c>
      <c r="O641" t="s">
        <v>51</v>
      </c>
      <c r="P641" s="1">
        <v>45535</v>
      </c>
      <c r="Q641">
        <v>1062</v>
      </c>
      <c r="R641">
        <v>3090</v>
      </c>
      <c r="S641" t="s">
        <v>34</v>
      </c>
      <c r="T641">
        <v>4</v>
      </c>
      <c r="U641" t="s">
        <v>83</v>
      </c>
      <c r="V641" t="s">
        <v>24</v>
      </c>
      <c r="W641" t="s">
        <v>23</v>
      </c>
    </row>
    <row r="642" spans="1:23" x14ac:dyDescent="0.3">
      <c r="A642" t="s">
        <v>1407</v>
      </c>
      <c r="B642" t="s">
        <v>329</v>
      </c>
      <c r="C642" t="s">
        <v>71</v>
      </c>
      <c r="D642" t="s">
        <v>75</v>
      </c>
      <c r="E642" t="s">
        <v>159</v>
      </c>
      <c r="F642" t="s">
        <v>160</v>
      </c>
      <c r="G642" t="s">
        <v>55</v>
      </c>
      <c r="H642" t="s">
        <v>31</v>
      </c>
      <c r="I642" t="str">
        <f>LEFT(H642,FIND(" (",H642)-1)</f>
        <v>Staff/Principal</v>
      </c>
      <c r="J642" t="str">
        <f>MID(H642,FIND("(",H642)+1,FIND(")",H642)-FIND("(",H642)-1)</f>
        <v>8+ yrs</v>
      </c>
      <c r="L642">
        <v>187911</v>
      </c>
      <c r="M642" t="s">
        <v>1408</v>
      </c>
      <c r="N642" t="s">
        <v>245</v>
      </c>
      <c r="O642" t="s">
        <v>22</v>
      </c>
      <c r="P642" s="1">
        <v>45421</v>
      </c>
      <c r="Q642">
        <v>2044</v>
      </c>
      <c r="R642">
        <v>3180</v>
      </c>
      <c r="S642" t="s">
        <v>23</v>
      </c>
      <c r="T642">
        <v>6</v>
      </c>
      <c r="U642" t="s">
        <v>83</v>
      </c>
      <c r="V642" t="s">
        <v>24</v>
      </c>
      <c r="W642" t="s">
        <v>34</v>
      </c>
    </row>
    <row r="643" spans="1:23" x14ac:dyDescent="0.3">
      <c r="A643" t="s">
        <v>1409</v>
      </c>
      <c r="B643" t="s">
        <v>131</v>
      </c>
      <c r="C643" t="s">
        <v>132</v>
      </c>
      <c r="D643" t="s">
        <v>49</v>
      </c>
      <c r="E643" t="s">
        <v>230</v>
      </c>
      <c r="F643" t="s">
        <v>231</v>
      </c>
      <c r="G643" t="s">
        <v>55</v>
      </c>
      <c r="H643" t="s">
        <v>56</v>
      </c>
      <c r="I643" t="str">
        <f>LEFT(H643,FIND(" (",H643)-1)</f>
        <v>Mid</v>
      </c>
      <c r="J643" t="str">
        <f>MID(H643,FIND("(",H643)+1,FIND(")",H643)-FIND("(",H643)-1)</f>
        <v>2-5 yrs</v>
      </c>
      <c r="L643">
        <v>143046</v>
      </c>
      <c r="M643" t="s">
        <v>1410</v>
      </c>
      <c r="N643" t="s">
        <v>33</v>
      </c>
      <c r="O643" t="s">
        <v>51</v>
      </c>
      <c r="P643" s="1">
        <v>45649</v>
      </c>
      <c r="Q643">
        <v>879</v>
      </c>
      <c r="R643">
        <v>3292</v>
      </c>
      <c r="S643" t="s">
        <v>23</v>
      </c>
      <c r="T643">
        <v>2</v>
      </c>
      <c r="U643" t="s">
        <v>58</v>
      </c>
      <c r="V643" t="s">
        <v>24</v>
      </c>
      <c r="W643" t="s">
        <v>34</v>
      </c>
    </row>
    <row r="644" spans="1:23" x14ac:dyDescent="0.3">
      <c r="A644" t="s">
        <v>1411</v>
      </c>
      <c r="B644" t="s">
        <v>61</v>
      </c>
      <c r="C644" t="s">
        <v>209</v>
      </c>
      <c r="D644" t="s">
        <v>75</v>
      </c>
      <c r="E644" t="s">
        <v>102</v>
      </c>
      <c r="F644" t="s">
        <v>103</v>
      </c>
      <c r="G644" t="s">
        <v>18</v>
      </c>
      <c r="H644" t="s">
        <v>56</v>
      </c>
      <c r="I644" t="str">
        <f>LEFT(H644,FIND(" (",H644)-1)</f>
        <v>Mid</v>
      </c>
      <c r="J644" t="str">
        <f>MID(H644,FIND("(",H644)+1,FIND(")",H644)-FIND("(",H644)-1)</f>
        <v>2-5 yrs</v>
      </c>
      <c r="L644">
        <v>104860</v>
      </c>
      <c r="M644" t="s">
        <v>1412</v>
      </c>
      <c r="N644" t="s">
        <v>245</v>
      </c>
      <c r="O644" t="s">
        <v>44</v>
      </c>
      <c r="P644" s="1">
        <v>45333</v>
      </c>
      <c r="Q644">
        <v>1832</v>
      </c>
      <c r="R644">
        <v>30</v>
      </c>
      <c r="S644" t="s">
        <v>23</v>
      </c>
      <c r="T644">
        <v>2</v>
      </c>
      <c r="U644" t="s">
        <v>45</v>
      </c>
      <c r="V644" t="s">
        <v>24</v>
      </c>
      <c r="W644" t="s">
        <v>23</v>
      </c>
    </row>
    <row r="645" spans="1:23" x14ac:dyDescent="0.3">
      <c r="A645" t="s">
        <v>1413</v>
      </c>
      <c r="B645" t="s">
        <v>137</v>
      </c>
      <c r="C645" t="s">
        <v>54</v>
      </c>
      <c r="D645" t="s">
        <v>174</v>
      </c>
      <c r="E645" t="s">
        <v>159</v>
      </c>
      <c r="F645" t="s">
        <v>160</v>
      </c>
      <c r="G645" t="s">
        <v>41</v>
      </c>
      <c r="H645" t="s">
        <v>56</v>
      </c>
      <c r="I645" t="str">
        <f>LEFT(H645,FIND(" (",H645)-1)</f>
        <v>Mid</v>
      </c>
      <c r="J645" t="str">
        <f>MID(H645,FIND("(",H645)+1,FIND(")",H645)-FIND("(",H645)-1)</f>
        <v>2-5 yrs</v>
      </c>
      <c r="L645">
        <v>80237</v>
      </c>
      <c r="M645" t="s">
        <v>1414</v>
      </c>
      <c r="N645" t="s">
        <v>68</v>
      </c>
      <c r="O645" t="s">
        <v>44</v>
      </c>
      <c r="P645" s="1">
        <v>45717</v>
      </c>
      <c r="Q645">
        <v>2039</v>
      </c>
      <c r="R645">
        <v>2455</v>
      </c>
      <c r="S645" t="s">
        <v>23</v>
      </c>
      <c r="T645">
        <v>2</v>
      </c>
      <c r="U645" t="s">
        <v>5123</v>
      </c>
      <c r="V645" t="s">
        <v>24</v>
      </c>
      <c r="W645" t="s">
        <v>23</v>
      </c>
    </row>
    <row r="646" spans="1:23" x14ac:dyDescent="0.3">
      <c r="A646" t="s">
        <v>1415</v>
      </c>
      <c r="B646" t="s">
        <v>143</v>
      </c>
      <c r="C646" t="s">
        <v>71</v>
      </c>
      <c r="D646" t="s">
        <v>147</v>
      </c>
      <c r="E646" t="s">
        <v>29</v>
      </c>
      <c r="F646" t="s">
        <v>30</v>
      </c>
      <c r="G646" t="s">
        <v>55</v>
      </c>
      <c r="H646" t="s">
        <v>19</v>
      </c>
      <c r="I646" t="str">
        <f>LEFT(H646,FIND(" (",H646)-1)</f>
        <v>Entry</v>
      </c>
      <c r="J646" t="str">
        <f>MID(H646,FIND("(",H646)+1,FIND(")",H646)-FIND("(",H646)-1)</f>
        <v>0-2 yrs</v>
      </c>
      <c r="L646">
        <v>66903</v>
      </c>
      <c r="M646" t="s">
        <v>1416</v>
      </c>
      <c r="N646" t="s">
        <v>21</v>
      </c>
      <c r="O646" t="s">
        <v>79</v>
      </c>
      <c r="P646" s="1">
        <v>45383</v>
      </c>
      <c r="Q646">
        <v>1242</v>
      </c>
      <c r="R646">
        <v>575</v>
      </c>
      <c r="S646" t="s">
        <v>23</v>
      </c>
      <c r="T646">
        <v>0</v>
      </c>
      <c r="U646" t="s">
        <v>5123</v>
      </c>
      <c r="V646" t="s">
        <v>24</v>
      </c>
      <c r="W646" t="s">
        <v>34</v>
      </c>
    </row>
    <row r="647" spans="1:23" x14ac:dyDescent="0.3">
      <c r="A647" t="s">
        <v>1417</v>
      </c>
      <c r="B647" t="s">
        <v>236</v>
      </c>
      <c r="C647" t="s">
        <v>167</v>
      </c>
      <c r="D647" t="s">
        <v>125</v>
      </c>
      <c r="E647" t="s">
        <v>102</v>
      </c>
      <c r="F647" t="s">
        <v>103</v>
      </c>
      <c r="G647" t="s">
        <v>18</v>
      </c>
      <c r="H647" t="s">
        <v>31</v>
      </c>
      <c r="I647" t="str">
        <f>LEFT(H647,FIND(" (",H647)-1)</f>
        <v>Staff/Principal</v>
      </c>
      <c r="J647" t="str">
        <f>MID(H647,FIND("(",H647)+1,FIND(")",H647)-FIND("(",H647)-1)</f>
        <v>8+ yrs</v>
      </c>
      <c r="L647">
        <v>190181</v>
      </c>
      <c r="M647" t="s">
        <v>1418</v>
      </c>
      <c r="N647" t="s">
        <v>141</v>
      </c>
      <c r="O647" t="s">
        <v>51</v>
      </c>
      <c r="P647" s="1">
        <v>45437</v>
      </c>
      <c r="Q647">
        <v>2419</v>
      </c>
      <c r="R647">
        <v>3427</v>
      </c>
      <c r="S647" t="s">
        <v>34</v>
      </c>
      <c r="T647">
        <v>6</v>
      </c>
      <c r="U647" t="s">
        <v>5123</v>
      </c>
      <c r="V647" t="s">
        <v>24</v>
      </c>
      <c r="W647" t="s">
        <v>23</v>
      </c>
    </row>
    <row r="648" spans="1:23" x14ac:dyDescent="0.3">
      <c r="A648" t="s">
        <v>1419</v>
      </c>
      <c r="B648" t="s">
        <v>137</v>
      </c>
      <c r="C648" t="s">
        <v>179</v>
      </c>
      <c r="D648" t="s">
        <v>147</v>
      </c>
      <c r="E648" t="s">
        <v>102</v>
      </c>
      <c r="F648" t="s">
        <v>103</v>
      </c>
      <c r="G648" t="s">
        <v>18</v>
      </c>
      <c r="H648" t="s">
        <v>19</v>
      </c>
      <c r="I648" t="str">
        <f>LEFT(H648,FIND(" (",H648)-1)</f>
        <v>Entry</v>
      </c>
      <c r="J648" t="str">
        <f>MID(H648,FIND("(",H648)+1,FIND(")",H648)-FIND("(",H648)-1)</f>
        <v>0-2 yrs</v>
      </c>
      <c r="L648">
        <v>50000</v>
      </c>
      <c r="M648" t="s">
        <v>1420</v>
      </c>
      <c r="N648" t="s">
        <v>186</v>
      </c>
      <c r="O648" t="s">
        <v>22</v>
      </c>
      <c r="P648" s="1">
        <v>45586</v>
      </c>
      <c r="Q648">
        <v>774</v>
      </c>
      <c r="R648">
        <v>2482</v>
      </c>
      <c r="S648" t="s">
        <v>23</v>
      </c>
      <c r="T648">
        <v>0</v>
      </c>
      <c r="U648" t="s">
        <v>58</v>
      </c>
      <c r="V648" t="s">
        <v>24</v>
      </c>
      <c r="W648" t="s">
        <v>23</v>
      </c>
    </row>
    <row r="649" spans="1:23" x14ac:dyDescent="0.3">
      <c r="A649" t="s">
        <v>1421</v>
      </c>
      <c r="B649" t="s">
        <v>236</v>
      </c>
      <c r="C649" t="s">
        <v>182</v>
      </c>
      <c r="D649" t="s">
        <v>111</v>
      </c>
      <c r="E649" t="s">
        <v>5137</v>
      </c>
      <c r="F649" t="s">
        <v>5138</v>
      </c>
      <c r="G649" t="s">
        <v>41</v>
      </c>
      <c r="H649" t="s">
        <v>66</v>
      </c>
      <c r="I649" t="str">
        <f>LEFT(H649,FIND(" (",H649)-1)</f>
        <v>Senior</v>
      </c>
      <c r="J649" t="str">
        <f>MID(H649,FIND("(",H649)+1,FIND(")",H649)-FIND("(",H649)-1)</f>
        <v>5-8 yrs</v>
      </c>
      <c r="L649">
        <v>148534</v>
      </c>
      <c r="M649" t="s">
        <v>1422</v>
      </c>
      <c r="N649" t="s">
        <v>33</v>
      </c>
      <c r="O649" t="s">
        <v>22</v>
      </c>
      <c r="P649" s="1">
        <v>45509</v>
      </c>
      <c r="Q649">
        <v>2409</v>
      </c>
      <c r="R649">
        <v>3339</v>
      </c>
      <c r="S649" t="s">
        <v>23</v>
      </c>
      <c r="T649">
        <v>4</v>
      </c>
      <c r="U649" t="s">
        <v>58</v>
      </c>
      <c r="V649" t="s">
        <v>24</v>
      </c>
      <c r="W649" t="s">
        <v>23</v>
      </c>
    </row>
    <row r="650" spans="1:23" x14ac:dyDescent="0.3">
      <c r="A650" t="s">
        <v>1423</v>
      </c>
      <c r="B650" t="s">
        <v>229</v>
      </c>
      <c r="C650" t="s">
        <v>124</v>
      </c>
      <c r="D650" t="s">
        <v>75</v>
      </c>
      <c r="E650" t="s">
        <v>159</v>
      </c>
      <c r="F650" t="s">
        <v>160</v>
      </c>
      <c r="G650" t="s">
        <v>41</v>
      </c>
      <c r="H650" t="s">
        <v>19</v>
      </c>
      <c r="I650" t="str">
        <f>LEFT(H650,FIND(" (",H650)-1)</f>
        <v>Entry</v>
      </c>
      <c r="J650" t="str">
        <f>MID(H650,FIND("(",H650)+1,FIND(")",H650)-FIND("(",H650)-1)</f>
        <v>0-2 yrs</v>
      </c>
      <c r="L650">
        <v>67090</v>
      </c>
      <c r="M650" t="s">
        <v>1424</v>
      </c>
      <c r="N650" t="s">
        <v>33</v>
      </c>
      <c r="O650" t="s">
        <v>22</v>
      </c>
      <c r="P650" s="1">
        <v>45317</v>
      </c>
      <c r="Q650">
        <v>1501</v>
      </c>
      <c r="R650">
        <v>1471</v>
      </c>
      <c r="S650" t="s">
        <v>23</v>
      </c>
      <c r="T650">
        <v>0</v>
      </c>
      <c r="U650" t="s">
        <v>58</v>
      </c>
      <c r="V650" t="s">
        <v>24</v>
      </c>
      <c r="W650" t="s">
        <v>23</v>
      </c>
    </row>
    <row r="651" spans="1:23" x14ac:dyDescent="0.3">
      <c r="A651" t="s">
        <v>1425</v>
      </c>
      <c r="B651" t="s">
        <v>85</v>
      </c>
      <c r="C651" t="s">
        <v>97</v>
      </c>
      <c r="D651" t="s">
        <v>63</v>
      </c>
      <c r="E651" t="s">
        <v>5141</v>
      </c>
      <c r="F651" t="s">
        <v>5133</v>
      </c>
      <c r="G651" t="s">
        <v>41</v>
      </c>
      <c r="H651" t="s">
        <v>19</v>
      </c>
      <c r="I651" t="str">
        <f>LEFT(H651,FIND(" (",H651)-1)</f>
        <v>Entry</v>
      </c>
      <c r="J651" t="str">
        <f>MID(H651,FIND("(",H651)+1,FIND(")",H651)-FIND("(",H651)-1)</f>
        <v>0-2 yrs</v>
      </c>
      <c r="L651">
        <v>78772</v>
      </c>
      <c r="M651" t="s">
        <v>1426</v>
      </c>
      <c r="N651" t="s">
        <v>33</v>
      </c>
      <c r="O651" t="s">
        <v>51</v>
      </c>
      <c r="P651" s="1">
        <v>45564</v>
      </c>
      <c r="Q651">
        <v>1425</v>
      </c>
      <c r="R651">
        <v>1424</v>
      </c>
      <c r="S651" t="s">
        <v>99</v>
      </c>
      <c r="T651">
        <v>0</v>
      </c>
      <c r="U651" t="s">
        <v>83</v>
      </c>
      <c r="V651" t="s">
        <v>24</v>
      </c>
      <c r="W651" t="s">
        <v>23</v>
      </c>
    </row>
    <row r="652" spans="1:23" x14ac:dyDescent="0.3">
      <c r="A652" t="s">
        <v>1427</v>
      </c>
      <c r="B652" t="s">
        <v>131</v>
      </c>
      <c r="C652" t="s">
        <v>54</v>
      </c>
      <c r="D652" t="s">
        <v>75</v>
      </c>
      <c r="E652" t="s">
        <v>5135</v>
      </c>
      <c r="F652" t="s">
        <v>5133</v>
      </c>
      <c r="G652" t="s">
        <v>18</v>
      </c>
      <c r="H652" t="s">
        <v>31</v>
      </c>
      <c r="I652" t="str">
        <f>LEFT(H652,FIND(" (",H652)-1)</f>
        <v>Staff/Principal</v>
      </c>
      <c r="J652" t="str">
        <f>MID(H652,FIND("(",H652)+1,FIND(")",H652)-FIND("(",H652)-1)</f>
        <v>8+ yrs</v>
      </c>
      <c r="L652">
        <v>266562</v>
      </c>
      <c r="M652" t="s">
        <v>1428</v>
      </c>
      <c r="N652" t="s">
        <v>149</v>
      </c>
      <c r="O652" t="s">
        <v>79</v>
      </c>
      <c r="P652" s="1">
        <v>45482</v>
      </c>
      <c r="Q652">
        <v>622</v>
      </c>
      <c r="R652">
        <v>1393</v>
      </c>
      <c r="S652" t="s">
        <v>99</v>
      </c>
      <c r="T652">
        <v>6</v>
      </c>
      <c r="U652" t="s">
        <v>45</v>
      </c>
      <c r="V652" t="s">
        <v>24</v>
      </c>
      <c r="W652" t="s">
        <v>34</v>
      </c>
    </row>
    <row r="653" spans="1:23" x14ac:dyDescent="0.3">
      <c r="A653" t="s">
        <v>1429</v>
      </c>
      <c r="B653" t="s">
        <v>36</v>
      </c>
      <c r="C653" t="s">
        <v>182</v>
      </c>
      <c r="D653" t="s">
        <v>15</v>
      </c>
      <c r="E653" t="s">
        <v>5139</v>
      </c>
      <c r="F653" t="s">
        <v>5133</v>
      </c>
      <c r="G653" t="s">
        <v>55</v>
      </c>
      <c r="H653" t="s">
        <v>19</v>
      </c>
      <c r="I653" t="str">
        <f>LEFT(H653,FIND(" (",H653)-1)</f>
        <v>Entry</v>
      </c>
      <c r="J653" t="str">
        <f>MID(H653,FIND("(",H653)+1,FIND(")",H653)-FIND("(",H653)-1)</f>
        <v>0-2 yrs</v>
      </c>
      <c r="L653">
        <v>84194</v>
      </c>
      <c r="M653" t="s">
        <v>1430</v>
      </c>
      <c r="N653" t="s">
        <v>245</v>
      </c>
      <c r="O653" t="s">
        <v>51</v>
      </c>
      <c r="P653" s="1">
        <v>45698</v>
      </c>
      <c r="Q653">
        <v>2237</v>
      </c>
      <c r="R653">
        <v>891</v>
      </c>
      <c r="S653" t="s">
        <v>23</v>
      </c>
      <c r="T653">
        <v>0</v>
      </c>
      <c r="U653" t="s">
        <v>58</v>
      </c>
      <c r="V653" t="s">
        <v>24</v>
      </c>
      <c r="W653" t="s">
        <v>23</v>
      </c>
    </row>
    <row r="654" spans="1:23" x14ac:dyDescent="0.3">
      <c r="A654" t="s">
        <v>1431</v>
      </c>
      <c r="B654" t="s">
        <v>222</v>
      </c>
      <c r="C654" t="s">
        <v>48</v>
      </c>
      <c r="D654" t="s">
        <v>125</v>
      </c>
      <c r="E654" t="s">
        <v>76</v>
      </c>
      <c r="F654" t="s">
        <v>77</v>
      </c>
      <c r="G654" t="s">
        <v>41</v>
      </c>
      <c r="H654" t="s">
        <v>66</v>
      </c>
      <c r="I654" t="str">
        <f>LEFT(H654,FIND(" (",H654)-1)</f>
        <v>Senior</v>
      </c>
      <c r="J654" t="str">
        <f>MID(H654,FIND("(",H654)+1,FIND(")",H654)-FIND("(",H654)-1)</f>
        <v>5-8 yrs</v>
      </c>
      <c r="L654">
        <v>142740</v>
      </c>
      <c r="M654" t="s">
        <v>1432</v>
      </c>
      <c r="N654" t="s">
        <v>141</v>
      </c>
      <c r="O654" t="s">
        <v>22</v>
      </c>
      <c r="P654" s="1">
        <v>45601</v>
      </c>
      <c r="Q654">
        <v>2194</v>
      </c>
      <c r="R654">
        <v>2463</v>
      </c>
      <c r="S654" t="s">
        <v>23</v>
      </c>
      <c r="T654">
        <v>4</v>
      </c>
      <c r="U654" t="s">
        <v>45</v>
      </c>
      <c r="V654" t="s">
        <v>24</v>
      </c>
      <c r="W654" t="s">
        <v>34</v>
      </c>
    </row>
    <row r="655" spans="1:23" x14ac:dyDescent="0.3">
      <c r="A655" t="s">
        <v>1433</v>
      </c>
      <c r="B655" t="s">
        <v>236</v>
      </c>
      <c r="C655" t="s">
        <v>239</v>
      </c>
      <c r="D655" t="s">
        <v>75</v>
      </c>
      <c r="E655" t="s">
        <v>5136</v>
      </c>
      <c r="F655" t="s">
        <v>5133</v>
      </c>
      <c r="G655" t="s">
        <v>41</v>
      </c>
      <c r="H655" t="s">
        <v>56</v>
      </c>
      <c r="I655" t="str">
        <f>LEFT(H655,FIND(" (",H655)-1)</f>
        <v>Mid</v>
      </c>
      <c r="J655" t="str">
        <f>MID(H655,FIND("(",H655)+1,FIND(")",H655)-FIND("(",H655)-1)</f>
        <v>2-5 yrs</v>
      </c>
      <c r="L655">
        <v>88090</v>
      </c>
      <c r="M655" t="s">
        <v>1434</v>
      </c>
      <c r="N655" t="s">
        <v>89</v>
      </c>
      <c r="O655" t="s">
        <v>22</v>
      </c>
      <c r="P655" s="1">
        <v>45664</v>
      </c>
      <c r="Q655">
        <v>1695</v>
      </c>
      <c r="R655">
        <v>1319</v>
      </c>
      <c r="S655" t="s">
        <v>23</v>
      </c>
      <c r="T655">
        <v>2</v>
      </c>
      <c r="U655" t="s">
        <v>58</v>
      </c>
      <c r="V655" t="s">
        <v>24</v>
      </c>
      <c r="W655" t="s">
        <v>23</v>
      </c>
    </row>
    <row r="656" spans="1:23" x14ac:dyDescent="0.3">
      <c r="A656" t="s">
        <v>1435</v>
      </c>
      <c r="B656" t="s">
        <v>96</v>
      </c>
      <c r="C656" t="s">
        <v>226</v>
      </c>
      <c r="D656" t="s">
        <v>49</v>
      </c>
      <c r="E656" t="s">
        <v>133</v>
      </c>
      <c r="F656" t="s">
        <v>134</v>
      </c>
      <c r="G656" t="s">
        <v>41</v>
      </c>
      <c r="H656" t="s">
        <v>56</v>
      </c>
      <c r="I656" t="str">
        <f>LEFT(H656,FIND(" (",H656)-1)</f>
        <v>Mid</v>
      </c>
      <c r="J656" t="str">
        <f>MID(H656,FIND("(",H656)+1,FIND(")",H656)-FIND("(",H656)-1)</f>
        <v>2-5 yrs</v>
      </c>
      <c r="L656">
        <v>160952</v>
      </c>
      <c r="M656" t="s">
        <v>1436</v>
      </c>
      <c r="N656" t="s">
        <v>94</v>
      </c>
      <c r="O656" t="s">
        <v>22</v>
      </c>
      <c r="P656" s="1">
        <v>45636</v>
      </c>
      <c r="Q656">
        <v>2469</v>
      </c>
      <c r="R656">
        <v>1522</v>
      </c>
      <c r="S656" t="s">
        <v>23</v>
      </c>
      <c r="T656">
        <v>2</v>
      </c>
      <c r="U656" t="s">
        <v>45</v>
      </c>
      <c r="V656" t="s">
        <v>24</v>
      </c>
      <c r="W656" t="s">
        <v>23</v>
      </c>
    </row>
    <row r="657" spans="1:23" x14ac:dyDescent="0.3">
      <c r="A657" t="s">
        <v>1437</v>
      </c>
      <c r="B657" t="s">
        <v>61</v>
      </c>
      <c r="C657" t="s">
        <v>54</v>
      </c>
      <c r="D657" t="s">
        <v>75</v>
      </c>
      <c r="E657" t="s">
        <v>216</v>
      </c>
      <c r="F657" t="s">
        <v>217</v>
      </c>
      <c r="G657" t="s">
        <v>18</v>
      </c>
      <c r="H657" t="s">
        <v>56</v>
      </c>
      <c r="I657" t="str">
        <f>LEFT(H657,FIND(" (",H657)-1)</f>
        <v>Mid</v>
      </c>
      <c r="J657" t="str">
        <f>MID(H657,FIND("(",H657)+1,FIND(")",H657)-FIND("(",H657)-1)</f>
        <v>2-5 yrs</v>
      </c>
      <c r="L657">
        <v>111172</v>
      </c>
      <c r="M657" t="s">
        <v>1438</v>
      </c>
      <c r="N657" t="s">
        <v>245</v>
      </c>
      <c r="O657" t="s">
        <v>22</v>
      </c>
      <c r="P657" s="1">
        <v>45512</v>
      </c>
      <c r="Q657">
        <v>805</v>
      </c>
      <c r="R657">
        <v>407</v>
      </c>
      <c r="S657" t="s">
        <v>23</v>
      </c>
      <c r="T657">
        <v>2</v>
      </c>
      <c r="U657" t="s">
        <v>52</v>
      </c>
      <c r="V657" t="s">
        <v>46</v>
      </c>
      <c r="W657" t="s">
        <v>23</v>
      </c>
    </row>
    <row r="658" spans="1:23" x14ac:dyDescent="0.3">
      <c r="A658" t="s">
        <v>1439</v>
      </c>
      <c r="B658" t="s">
        <v>222</v>
      </c>
      <c r="C658" t="s">
        <v>97</v>
      </c>
      <c r="D658" t="s">
        <v>49</v>
      </c>
      <c r="E658" t="s">
        <v>5134</v>
      </c>
      <c r="F658" t="s">
        <v>5133</v>
      </c>
      <c r="G658" t="s">
        <v>41</v>
      </c>
      <c r="H658" t="s">
        <v>56</v>
      </c>
      <c r="I658" t="str">
        <f>LEFT(H658,FIND(" (",H658)-1)</f>
        <v>Mid</v>
      </c>
      <c r="J658" t="str">
        <f>MID(H658,FIND("(",H658)+1,FIND(")",H658)-FIND("(",H658)-1)</f>
        <v>2-5 yrs</v>
      </c>
      <c r="L658">
        <v>110275</v>
      </c>
      <c r="M658" t="s">
        <v>1440</v>
      </c>
      <c r="N658" t="s">
        <v>43</v>
      </c>
      <c r="O658" t="s">
        <v>51</v>
      </c>
      <c r="P658" s="1">
        <v>45472</v>
      </c>
      <c r="Q658">
        <v>1601</v>
      </c>
      <c r="R658">
        <v>2067</v>
      </c>
      <c r="S658" t="s">
        <v>23</v>
      </c>
      <c r="T658">
        <v>2</v>
      </c>
      <c r="U658" t="s">
        <v>58</v>
      </c>
      <c r="V658" t="s">
        <v>24</v>
      </c>
      <c r="W658" t="s">
        <v>34</v>
      </c>
    </row>
    <row r="659" spans="1:23" x14ac:dyDescent="0.3">
      <c r="A659" t="s">
        <v>1441</v>
      </c>
      <c r="B659" t="s">
        <v>172</v>
      </c>
      <c r="C659" t="s">
        <v>71</v>
      </c>
      <c r="D659" t="s">
        <v>63</v>
      </c>
      <c r="E659" t="s">
        <v>39</v>
      </c>
      <c r="F659" t="s">
        <v>40</v>
      </c>
      <c r="G659" t="s">
        <v>18</v>
      </c>
      <c r="H659" t="s">
        <v>66</v>
      </c>
      <c r="I659" t="str">
        <f>LEFT(H659,FIND(" (",H659)-1)</f>
        <v>Senior</v>
      </c>
      <c r="J659" t="str">
        <f>MID(H659,FIND("(",H659)+1,FIND(")",H659)-FIND("(",H659)-1)</f>
        <v>5-8 yrs</v>
      </c>
      <c r="L659">
        <v>149348</v>
      </c>
      <c r="M659" t="s">
        <v>1442</v>
      </c>
      <c r="N659" t="s">
        <v>33</v>
      </c>
      <c r="O659" t="s">
        <v>51</v>
      </c>
      <c r="P659" s="1">
        <v>45739</v>
      </c>
      <c r="Q659">
        <v>702</v>
      </c>
      <c r="R659">
        <v>1580</v>
      </c>
      <c r="S659" t="s">
        <v>23</v>
      </c>
      <c r="T659">
        <v>4</v>
      </c>
      <c r="U659" t="s">
        <v>58</v>
      </c>
      <c r="V659" t="s">
        <v>46</v>
      </c>
      <c r="W659" t="s">
        <v>34</v>
      </c>
    </row>
    <row r="660" spans="1:23" x14ac:dyDescent="0.3">
      <c r="A660" t="s">
        <v>1443</v>
      </c>
      <c r="B660" t="s">
        <v>151</v>
      </c>
      <c r="C660" t="s">
        <v>27</v>
      </c>
      <c r="D660" t="s">
        <v>111</v>
      </c>
      <c r="E660" t="s">
        <v>64</v>
      </c>
      <c r="F660" t="s">
        <v>65</v>
      </c>
      <c r="G660" t="s">
        <v>41</v>
      </c>
      <c r="H660" t="s">
        <v>56</v>
      </c>
      <c r="I660" t="str">
        <f>LEFT(H660,FIND(" (",H660)-1)</f>
        <v>Mid</v>
      </c>
      <c r="J660" t="str">
        <f>MID(H660,FIND("(",H660)+1,FIND(")",H660)-FIND("(",H660)-1)</f>
        <v>2-5 yrs</v>
      </c>
      <c r="L660">
        <v>113922</v>
      </c>
      <c r="M660" t="s">
        <v>1444</v>
      </c>
      <c r="N660" t="s">
        <v>186</v>
      </c>
      <c r="O660" t="s">
        <v>22</v>
      </c>
      <c r="P660" s="1">
        <v>45549</v>
      </c>
      <c r="Q660">
        <v>2232</v>
      </c>
      <c r="R660">
        <v>2813</v>
      </c>
      <c r="S660" t="s">
        <v>34</v>
      </c>
      <c r="T660">
        <v>2</v>
      </c>
      <c r="U660" t="s">
        <v>45</v>
      </c>
      <c r="V660" t="s">
        <v>24</v>
      </c>
      <c r="W660" t="s">
        <v>23</v>
      </c>
    </row>
    <row r="661" spans="1:23" x14ac:dyDescent="0.3">
      <c r="A661" t="s">
        <v>1445</v>
      </c>
      <c r="B661" t="s">
        <v>137</v>
      </c>
      <c r="C661" t="s">
        <v>110</v>
      </c>
      <c r="D661" t="s">
        <v>15</v>
      </c>
      <c r="E661" t="s">
        <v>102</v>
      </c>
      <c r="F661" t="s">
        <v>103</v>
      </c>
      <c r="G661" t="s">
        <v>41</v>
      </c>
      <c r="H661" t="s">
        <v>56</v>
      </c>
      <c r="I661" t="str">
        <f>LEFT(H661,FIND(" (",H661)-1)</f>
        <v>Mid</v>
      </c>
      <c r="J661" t="str">
        <f>MID(H661,FIND("(",H661)+1,FIND(")",H661)-FIND("(",H661)-1)</f>
        <v>2-5 yrs</v>
      </c>
      <c r="L661">
        <v>107141</v>
      </c>
      <c r="M661" t="s">
        <v>1446</v>
      </c>
      <c r="N661" t="s">
        <v>120</v>
      </c>
      <c r="O661" t="s">
        <v>22</v>
      </c>
      <c r="P661" s="1">
        <v>45662</v>
      </c>
      <c r="Q661">
        <v>2188</v>
      </c>
      <c r="R661">
        <v>1890</v>
      </c>
      <c r="S661" t="s">
        <v>34</v>
      </c>
      <c r="T661">
        <v>2</v>
      </c>
      <c r="U661" t="s">
        <v>83</v>
      </c>
      <c r="V661" t="s">
        <v>24</v>
      </c>
      <c r="W661" t="s">
        <v>34</v>
      </c>
    </row>
    <row r="662" spans="1:23" x14ac:dyDescent="0.3">
      <c r="A662" t="s">
        <v>1447</v>
      </c>
      <c r="B662" t="s">
        <v>222</v>
      </c>
      <c r="C662" t="s">
        <v>48</v>
      </c>
      <c r="D662" t="s">
        <v>147</v>
      </c>
      <c r="E662" t="s">
        <v>76</v>
      </c>
      <c r="F662" t="s">
        <v>77</v>
      </c>
      <c r="G662" t="s">
        <v>41</v>
      </c>
      <c r="H662" t="s">
        <v>31</v>
      </c>
      <c r="I662" t="str">
        <f>LEFT(H662,FIND(" (",H662)-1)</f>
        <v>Staff/Principal</v>
      </c>
      <c r="J662" t="str">
        <f>MID(H662,FIND("(",H662)+1,FIND(")",H662)-FIND("(",H662)-1)</f>
        <v>8+ yrs</v>
      </c>
      <c r="L662">
        <v>179348</v>
      </c>
      <c r="M662" t="s">
        <v>1448</v>
      </c>
      <c r="N662" t="s">
        <v>186</v>
      </c>
      <c r="O662" t="s">
        <v>44</v>
      </c>
      <c r="P662" s="1">
        <v>45703</v>
      </c>
      <c r="Q662">
        <v>2225</v>
      </c>
      <c r="R662">
        <v>3541</v>
      </c>
      <c r="S662" t="s">
        <v>23</v>
      </c>
      <c r="T662">
        <v>6</v>
      </c>
      <c r="U662" t="s">
        <v>58</v>
      </c>
      <c r="V662" t="s">
        <v>46</v>
      </c>
      <c r="W662" t="s">
        <v>23</v>
      </c>
    </row>
    <row r="663" spans="1:23" x14ac:dyDescent="0.3">
      <c r="A663" t="s">
        <v>1449</v>
      </c>
      <c r="B663" t="s">
        <v>26</v>
      </c>
      <c r="C663" t="s">
        <v>179</v>
      </c>
      <c r="D663" t="s">
        <v>147</v>
      </c>
      <c r="E663" t="s">
        <v>216</v>
      </c>
      <c r="F663" t="s">
        <v>217</v>
      </c>
      <c r="G663" t="s">
        <v>41</v>
      </c>
      <c r="H663" t="s">
        <v>19</v>
      </c>
      <c r="I663" t="str">
        <f>LEFT(H663,FIND(" (",H663)-1)</f>
        <v>Entry</v>
      </c>
      <c r="J663" t="str">
        <f>MID(H663,FIND("(",H663)+1,FIND(")",H663)-FIND("(",H663)-1)</f>
        <v>0-2 yrs</v>
      </c>
      <c r="L663">
        <v>63109</v>
      </c>
      <c r="M663" t="s">
        <v>1450</v>
      </c>
      <c r="N663" t="s">
        <v>33</v>
      </c>
      <c r="O663" t="s">
        <v>44</v>
      </c>
      <c r="P663" s="1">
        <v>45565</v>
      </c>
      <c r="Q663">
        <v>463</v>
      </c>
      <c r="R663">
        <v>1498</v>
      </c>
      <c r="S663" t="s">
        <v>23</v>
      </c>
      <c r="T663">
        <v>0</v>
      </c>
      <c r="U663" t="s">
        <v>83</v>
      </c>
      <c r="V663" t="s">
        <v>24</v>
      </c>
      <c r="W663" t="s">
        <v>34</v>
      </c>
    </row>
    <row r="664" spans="1:23" x14ac:dyDescent="0.3">
      <c r="A664" t="s">
        <v>1451</v>
      </c>
      <c r="B664" t="s">
        <v>13</v>
      </c>
      <c r="C664" t="s">
        <v>209</v>
      </c>
      <c r="D664" t="s">
        <v>38</v>
      </c>
      <c r="E664" t="s">
        <v>64</v>
      </c>
      <c r="F664" t="s">
        <v>65</v>
      </c>
      <c r="G664" t="s">
        <v>55</v>
      </c>
      <c r="H664" t="s">
        <v>19</v>
      </c>
      <c r="I664" t="str">
        <f>LEFT(H664,FIND(" (",H664)-1)</f>
        <v>Entry</v>
      </c>
      <c r="J664" t="str">
        <f>MID(H664,FIND("(",H664)+1,FIND(")",H664)-FIND("(",H664)-1)</f>
        <v>0-2 yrs</v>
      </c>
      <c r="L664">
        <v>69587</v>
      </c>
      <c r="M664" t="s">
        <v>1452</v>
      </c>
      <c r="N664" t="s">
        <v>33</v>
      </c>
      <c r="O664" t="s">
        <v>44</v>
      </c>
      <c r="P664" s="1">
        <v>45680</v>
      </c>
      <c r="Q664">
        <v>1160</v>
      </c>
      <c r="R664">
        <v>1093</v>
      </c>
      <c r="S664" t="s">
        <v>34</v>
      </c>
      <c r="T664">
        <v>0</v>
      </c>
      <c r="U664" t="s">
        <v>5123</v>
      </c>
      <c r="V664" t="s">
        <v>24</v>
      </c>
      <c r="W664" t="s">
        <v>23</v>
      </c>
    </row>
    <row r="665" spans="1:23" x14ac:dyDescent="0.3">
      <c r="A665" t="s">
        <v>1453</v>
      </c>
      <c r="B665" t="s">
        <v>91</v>
      </c>
      <c r="C665" t="s">
        <v>71</v>
      </c>
      <c r="D665" t="s">
        <v>125</v>
      </c>
      <c r="E665" t="s">
        <v>5132</v>
      </c>
      <c r="F665" t="s">
        <v>5133</v>
      </c>
      <c r="G665" t="s">
        <v>18</v>
      </c>
      <c r="H665" t="s">
        <v>66</v>
      </c>
      <c r="I665" t="str">
        <f>LEFT(H665,FIND(" (",H665)-1)</f>
        <v>Senior</v>
      </c>
      <c r="J665" t="str">
        <f>MID(H665,FIND("(",H665)+1,FIND(")",H665)-FIND("(",H665)-1)</f>
        <v>5-8 yrs</v>
      </c>
      <c r="L665">
        <v>135327</v>
      </c>
      <c r="M665" t="s">
        <v>1454</v>
      </c>
      <c r="N665" t="s">
        <v>186</v>
      </c>
      <c r="O665" t="s">
        <v>22</v>
      </c>
      <c r="P665" s="1">
        <v>45519</v>
      </c>
      <c r="Q665">
        <v>1481</v>
      </c>
      <c r="R665">
        <v>116</v>
      </c>
      <c r="S665" t="s">
        <v>34</v>
      </c>
      <c r="T665">
        <v>4</v>
      </c>
      <c r="U665" t="s">
        <v>45</v>
      </c>
      <c r="V665" t="s">
        <v>24</v>
      </c>
      <c r="W665" t="s">
        <v>23</v>
      </c>
    </row>
    <row r="666" spans="1:23" x14ac:dyDescent="0.3">
      <c r="A666" t="s">
        <v>1455</v>
      </c>
      <c r="B666" t="s">
        <v>81</v>
      </c>
      <c r="C666" t="s">
        <v>128</v>
      </c>
      <c r="D666" t="s">
        <v>147</v>
      </c>
      <c r="E666" t="s">
        <v>200</v>
      </c>
      <c r="F666" t="s">
        <v>201</v>
      </c>
      <c r="G666" t="s">
        <v>41</v>
      </c>
      <c r="H666" t="s">
        <v>56</v>
      </c>
      <c r="I666" t="str">
        <f>LEFT(H666,FIND(" (",H666)-1)</f>
        <v>Mid</v>
      </c>
      <c r="J666" t="str">
        <f>MID(H666,FIND("(",H666)+1,FIND(")",H666)-FIND("(",H666)-1)</f>
        <v>2-5 yrs</v>
      </c>
      <c r="L666">
        <v>95885</v>
      </c>
      <c r="M666" t="s">
        <v>1456</v>
      </c>
      <c r="N666" t="s">
        <v>120</v>
      </c>
      <c r="O666" t="s">
        <v>22</v>
      </c>
      <c r="P666" s="1">
        <v>45535</v>
      </c>
      <c r="Q666">
        <v>1233</v>
      </c>
      <c r="R666">
        <v>124</v>
      </c>
      <c r="S666" t="s">
        <v>99</v>
      </c>
      <c r="T666">
        <v>2</v>
      </c>
      <c r="U666" t="s">
        <v>83</v>
      </c>
      <c r="V666" t="s">
        <v>24</v>
      </c>
      <c r="W666" t="s">
        <v>23</v>
      </c>
    </row>
    <row r="667" spans="1:23" x14ac:dyDescent="0.3">
      <c r="A667" t="s">
        <v>1457</v>
      </c>
      <c r="B667" t="s">
        <v>36</v>
      </c>
      <c r="C667" t="s">
        <v>27</v>
      </c>
      <c r="D667" t="s">
        <v>75</v>
      </c>
      <c r="E667" t="s">
        <v>76</v>
      </c>
      <c r="F667" t="s">
        <v>77</v>
      </c>
      <c r="G667" t="s">
        <v>41</v>
      </c>
      <c r="H667" t="s">
        <v>66</v>
      </c>
      <c r="I667" t="str">
        <f>LEFT(H667,FIND(" (",H667)-1)</f>
        <v>Senior</v>
      </c>
      <c r="J667" t="str">
        <f>MID(H667,FIND("(",H667)+1,FIND(")",H667)-FIND("(",H667)-1)</f>
        <v>5-8 yrs</v>
      </c>
      <c r="L667">
        <v>152873</v>
      </c>
      <c r="M667" t="s">
        <v>1458</v>
      </c>
      <c r="N667" t="s">
        <v>94</v>
      </c>
      <c r="O667" t="s">
        <v>51</v>
      </c>
      <c r="P667" s="1">
        <v>45556</v>
      </c>
      <c r="Q667">
        <v>2287</v>
      </c>
      <c r="R667">
        <v>2665</v>
      </c>
      <c r="S667" t="s">
        <v>34</v>
      </c>
      <c r="T667">
        <v>4</v>
      </c>
      <c r="U667" t="s">
        <v>83</v>
      </c>
      <c r="V667" t="s">
        <v>24</v>
      </c>
      <c r="W667" t="s">
        <v>23</v>
      </c>
    </row>
    <row r="668" spans="1:23" x14ac:dyDescent="0.3">
      <c r="A668" t="s">
        <v>1459</v>
      </c>
      <c r="B668" t="s">
        <v>137</v>
      </c>
      <c r="C668" t="s">
        <v>158</v>
      </c>
      <c r="D668" t="s">
        <v>49</v>
      </c>
      <c r="E668" t="s">
        <v>5136</v>
      </c>
      <c r="F668" t="s">
        <v>5133</v>
      </c>
      <c r="G668" t="s">
        <v>18</v>
      </c>
      <c r="H668" t="s">
        <v>19</v>
      </c>
      <c r="I668" t="str">
        <f>LEFT(H668,FIND(" (",H668)-1)</f>
        <v>Entry</v>
      </c>
      <c r="J668" t="str">
        <f>MID(H668,FIND("(",H668)+1,FIND(")",H668)-FIND("(",H668)-1)</f>
        <v>0-2 yrs</v>
      </c>
      <c r="L668">
        <v>66787</v>
      </c>
      <c r="M668" t="s">
        <v>1460</v>
      </c>
      <c r="N668" t="s">
        <v>33</v>
      </c>
      <c r="O668" t="s">
        <v>51</v>
      </c>
      <c r="P668" s="1">
        <v>45450</v>
      </c>
      <c r="Q668">
        <v>1760</v>
      </c>
      <c r="R668">
        <v>2053</v>
      </c>
      <c r="S668" t="s">
        <v>23</v>
      </c>
      <c r="T668">
        <v>0</v>
      </c>
      <c r="U668" t="s">
        <v>5123</v>
      </c>
      <c r="V668" t="s">
        <v>59</v>
      </c>
      <c r="W668" t="s">
        <v>23</v>
      </c>
    </row>
    <row r="669" spans="1:23" x14ac:dyDescent="0.3">
      <c r="A669" t="s">
        <v>1461</v>
      </c>
      <c r="B669" t="s">
        <v>131</v>
      </c>
      <c r="C669" t="s">
        <v>128</v>
      </c>
      <c r="D669" t="s">
        <v>75</v>
      </c>
      <c r="E669" t="s">
        <v>87</v>
      </c>
      <c r="F669" t="s">
        <v>87</v>
      </c>
      <c r="G669" t="s">
        <v>18</v>
      </c>
      <c r="H669" t="s">
        <v>56</v>
      </c>
      <c r="I669" t="str">
        <f>LEFT(H669,FIND(" (",H669)-1)</f>
        <v>Mid</v>
      </c>
      <c r="J669" t="str">
        <f>MID(H669,FIND("(",H669)+1,FIND(")",H669)-FIND("(",H669)-1)</f>
        <v>2-5 yrs</v>
      </c>
      <c r="L669">
        <v>139779</v>
      </c>
      <c r="M669" t="s">
        <v>1462</v>
      </c>
      <c r="N669" t="s">
        <v>94</v>
      </c>
      <c r="O669" t="s">
        <v>44</v>
      </c>
      <c r="P669" s="1">
        <v>45308</v>
      </c>
      <c r="Q669">
        <v>529</v>
      </c>
      <c r="R669">
        <v>1839</v>
      </c>
      <c r="S669" t="s">
        <v>23</v>
      </c>
      <c r="T669">
        <v>2</v>
      </c>
      <c r="U669" t="s">
        <v>52</v>
      </c>
      <c r="V669" t="s">
        <v>24</v>
      </c>
      <c r="W669" t="s">
        <v>23</v>
      </c>
    </row>
    <row r="670" spans="1:23" x14ac:dyDescent="0.3">
      <c r="A670" t="s">
        <v>1463</v>
      </c>
      <c r="B670" t="s">
        <v>222</v>
      </c>
      <c r="C670" t="s">
        <v>107</v>
      </c>
      <c r="D670" t="s">
        <v>49</v>
      </c>
      <c r="E670" t="s">
        <v>29</v>
      </c>
      <c r="F670" t="s">
        <v>30</v>
      </c>
      <c r="G670" t="s">
        <v>41</v>
      </c>
      <c r="H670" t="s">
        <v>56</v>
      </c>
      <c r="I670" t="str">
        <f>LEFT(H670,FIND(" (",H670)-1)</f>
        <v>Mid</v>
      </c>
      <c r="J670" t="str">
        <f>MID(H670,FIND("(",H670)+1,FIND(")",H670)-FIND("(",H670)-1)</f>
        <v>2-5 yrs</v>
      </c>
      <c r="L670">
        <v>57510</v>
      </c>
      <c r="M670" t="s">
        <v>1464</v>
      </c>
      <c r="N670" t="s">
        <v>245</v>
      </c>
      <c r="O670" t="s">
        <v>79</v>
      </c>
      <c r="P670" s="1">
        <v>45525</v>
      </c>
      <c r="Q670">
        <v>842</v>
      </c>
      <c r="R670">
        <v>2150</v>
      </c>
      <c r="S670" t="s">
        <v>23</v>
      </c>
      <c r="T670">
        <v>2</v>
      </c>
      <c r="U670" t="s">
        <v>52</v>
      </c>
      <c r="V670" t="s">
        <v>24</v>
      </c>
      <c r="W670" t="s">
        <v>23</v>
      </c>
    </row>
    <row r="671" spans="1:23" x14ac:dyDescent="0.3">
      <c r="A671" t="s">
        <v>1465</v>
      </c>
      <c r="B671" t="s">
        <v>143</v>
      </c>
      <c r="C671" t="s">
        <v>101</v>
      </c>
      <c r="D671" t="s">
        <v>63</v>
      </c>
      <c r="E671" t="s">
        <v>39</v>
      </c>
      <c r="F671" t="s">
        <v>40</v>
      </c>
      <c r="G671" t="s">
        <v>18</v>
      </c>
      <c r="H671" t="s">
        <v>31</v>
      </c>
      <c r="I671" t="str">
        <f>LEFT(H671,FIND(" (",H671)-1)</f>
        <v>Staff/Principal</v>
      </c>
      <c r="J671" t="str">
        <f>MID(H671,FIND("(",H671)+1,FIND(")",H671)-FIND("(",H671)-1)</f>
        <v>8+ yrs</v>
      </c>
      <c r="L671">
        <v>239294</v>
      </c>
      <c r="M671" t="s">
        <v>1466</v>
      </c>
      <c r="N671" t="s">
        <v>89</v>
      </c>
      <c r="O671" t="s">
        <v>22</v>
      </c>
      <c r="P671" s="1">
        <v>45743</v>
      </c>
      <c r="Q671">
        <v>1108</v>
      </c>
      <c r="R671">
        <v>419</v>
      </c>
      <c r="S671" t="s">
        <v>23</v>
      </c>
      <c r="T671">
        <v>6</v>
      </c>
      <c r="U671" t="s">
        <v>52</v>
      </c>
      <c r="V671" t="s">
        <v>24</v>
      </c>
      <c r="W671" t="s">
        <v>34</v>
      </c>
    </row>
    <row r="672" spans="1:23" x14ac:dyDescent="0.3">
      <c r="A672" t="s">
        <v>1467</v>
      </c>
      <c r="B672" t="s">
        <v>151</v>
      </c>
      <c r="C672" t="s">
        <v>124</v>
      </c>
      <c r="D672" t="s">
        <v>28</v>
      </c>
      <c r="E672" t="s">
        <v>5137</v>
      </c>
      <c r="F672" t="s">
        <v>5138</v>
      </c>
      <c r="G672" t="s">
        <v>41</v>
      </c>
      <c r="H672" t="s">
        <v>31</v>
      </c>
      <c r="I672" t="str">
        <f>LEFT(H672,FIND(" (",H672)-1)</f>
        <v>Staff/Principal</v>
      </c>
      <c r="J672" t="str">
        <f>MID(H672,FIND("(",H672)+1,FIND(")",H672)-FIND("(",H672)-1)</f>
        <v>8+ yrs</v>
      </c>
      <c r="L672">
        <v>244859</v>
      </c>
      <c r="M672" t="s">
        <v>1468</v>
      </c>
      <c r="N672" t="s">
        <v>33</v>
      </c>
      <c r="O672" t="s">
        <v>44</v>
      </c>
      <c r="P672" s="1">
        <v>45518</v>
      </c>
      <c r="Q672">
        <v>1408</v>
      </c>
      <c r="R672">
        <v>2027</v>
      </c>
      <c r="S672" t="s">
        <v>23</v>
      </c>
      <c r="T672">
        <v>6</v>
      </c>
      <c r="U672" t="s">
        <v>45</v>
      </c>
      <c r="V672" t="s">
        <v>24</v>
      </c>
      <c r="W672" t="s">
        <v>23</v>
      </c>
    </row>
    <row r="673" spans="1:23" x14ac:dyDescent="0.3">
      <c r="A673" t="s">
        <v>1469</v>
      </c>
      <c r="B673" t="s">
        <v>81</v>
      </c>
      <c r="C673" t="s">
        <v>192</v>
      </c>
      <c r="D673" t="s">
        <v>63</v>
      </c>
      <c r="E673" t="s">
        <v>133</v>
      </c>
      <c r="F673" t="s">
        <v>134</v>
      </c>
      <c r="G673" t="s">
        <v>18</v>
      </c>
      <c r="H673" t="s">
        <v>66</v>
      </c>
      <c r="I673" t="str">
        <f>LEFT(H673,FIND(" (",H673)-1)</f>
        <v>Senior</v>
      </c>
      <c r="J673" t="str">
        <f>MID(H673,FIND("(",H673)+1,FIND(")",H673)-FIND("(",H673)-1)</f>
        <v>5-8 yrs</v>
      </c>
      <c r="L673">
        <v>94018</v>
      </c>
      <c r="M673" t="s">
        <v>1470</v>
      </c>
      <c r="N673" t="s">
        <v>94</v>
      </c>
      <c r="O673" t="s">
        <v>22</v>
      </c>
      <c r="P673" s="1">
        <v>45432</v>
      </c>
      <c r="Q673">
        <v>568</v>
      </c>
      <c r="R673">
        <v>3124</v>
      </c>
      <c r="S673" t="s">
        <v>23</v>
      </c>
      <c r="T673">
        <v>4</v>
      </c>
      <c r="U673" t="s">
        <v>45</v>
      </c>
      <c r="V673" t="s">
        <v>24</v>
      </c>
      <c r="W673" t="s">
        <v>23</v>
      </c>
    </row>
    <row r="674" spans="1:23" x14ac:dyDescent="0.3">
      <c r="A674" t="s">
        <v>1471</v>
      </c>
      <c r="B674" t="s">
        <v>236</v>
      </c>
      <c r="C674" t="s">
        <v>192</v>
      </c>
      <c r="D674" t="s">
        <v>49</v>
      </c>
      <c r="E674" t="s">
        <v>87</v>
      </c>
      <c r="F674" t="s">
        <v>87</v>
      </c>
      <c r="G674" t="s">
        <v>41</v>
      </c>
      <c r="H674" t="s">
        <v>56</v>
      </c>
      <c r="I674" t="str">
        <f>LEFT(H674,FIND(" (",H674)-1)</f>
        <v>Mid</v>
      </c>
      <c r="J674" t="str">
        <f>MID(H674,FIND("(",H674)+1,FIND(")",H674)-FIND("(",H674)-1)</f>
        <v>2-5 yrs</v>
      </c>
      <c r="L674">
        <v>103214</v>
      </c>
      <c r="M674" t="s">
        <v>1472</v>
      </c>
      <c r="N674" t="s">
        <v>33</v>
      </c>
      <c r="O674" t="s">
        <v>51</v>
      </c>
      <c r="P674" s="1">
        <v>45682</v>
      </c>
      <c r="Q674">
        <v>1161</v>
      </c>
      <c r="R674">
        <v>2348</v>
      </c>
      <c r="S674" t="s">
        <v>23</v>
      </c>
      <c r="T674">
        <v>2</v>
      </c>
      <c r="U674" t="s">
        <v>45</v>
      </c>
      <c r="V674" t="s">
        <v>24</v>
      </c>
      <c r="W674" t="s">
        <v>23</v>
      </c>
    </row>
    <row r="675" spans="1:23" x14ac:dyDescent="0.3">
      <c r="A675" t="s">
        <v>1473</v>
      </c>
      <c r="B675" t="s">
        <v>222</v>
      </c>
      <c r="C675" t="s">
        <v>192</v>
      </c>
      <c r="D675" t="s">
        <v>28</v>
      </c>
      <c r="E675" t="s">
        <v>216</v>
      </c>
      <c r="F675" t="s">
        <v>217</v>
      </c>
      <c r="G675" t="s">
        <v>41</v>
      </c>
      <c r="H675" t="s">
        <v>56</v>
      </c>
      <c r="I675" t="str">
        <f>LEFT(H675,FIND(" (",H675)-1)</f>
        <v>Mid</v>
      </c>
      <c r="J675" t="str">
        <f>MID(H675,FIND("(",H675)+1,FIND(")",H675)-FIND("(",H675)-1)</f>
        <v>2-5 yrs</v>
      </c>
      <c r="L675">
        <v>102645</v>
      </c>
      <c r="M675" t="s">
        <v>1474</v>
      </c>
      <c r="N675" t="s">
        <v>120</v>
      </c>
      <c r="O675" t="s">
        <v>51</v>
      </c>
      <c r="P675" s="1">
        <v>45458</v>
      </c>
      <c r="Q675">
        <v>1554</v>
      </c>
      <c r="R675">
        <v>1376</v>
      </c>
      <c r="S675" t="s">
        <v>23</v>
      </c>
      <c r="T675">
        <v>2</v>
      </c>
      <c r="U675" t="s">
        <v>45</v>
      </c>
      <c r="V675" t="s">
        <v>24</v>
      </c>
      <c r="W675" t="s">
        <v>34</v>
      </c>
    </row>
    <row r="676" spans="1:23" x14ac:dyDescent="0.3">
      <c r="A676" t="s">
        <v>1475</v>
      </c>
      <c r="B676" t="s">
        <v>137</v>
      </c>
      <c r="C676" t="s">
        <v>146</v>
      </c>
      <c r="D676" t="s">
        <v>28</v>
      </c>
      <c r="E676" t="s">
        <v>5140</v>
      </c>
      <c r="F676" t="s">
        <v>5133</v>
      </c>
      <c r="G676" t="s">
        <v>41</v>
      </c>
      <c r="H676" t="s">
        <v>31</v>
      </c>
      <c r="I676" t="str">
        <f>LEFT(H676,FIND(" (",H676)-1)</f>
        <v>Staff/Principal</v>
      </c>
      <c r="J676" t="str">
        <f>MID(H676,FIND("(",H676)+1,FIND(")",H676)-FIND("(",H676)-1)</f>
        <v>8+ yrs</v>
      </c>
      <c r="L676">
        <v>149329</v>
      </c>
      <c r="M676" t="s">
        <v>1476</v>
      </c>
      <c r="N676" t="s">
        <v>33</v>
      </c>
      <c r="O676" t="s">
        <v>22</v>
      </c>
      <c r="P676" s="1">
        <v>45498</v>
      </c>
      <c r="Q676">
        <v>1128</v>
      </c>
      <c r="R676">
        <v>864</v>
      </c>
      <c r="S676" t="s">
        <v>23</v>
      </c>
      <c r="T676">
        <v>6</v>
      </c>
      <c r="U676" t="s">
        <v>45</v>
      </c>
      <c r="V676" t="s">
        <v>24</v>
      </c>
      <c r="W676" t="s">
        <v>34</v>
      </c>
    </row>
    <row r="677" spans="1:23" x14ac:dyDescent="0.3">
      <c r="A677" t="s">
        <v>1477</v>
      </c>
      <c r="B677" t="s">
        <v>236</v>
      </c>
      <c r="C677" t="s">
        <v>101</v>
      </c>
      <c r="D677" t="s">
        <v>49</v>
      </c>
      <c r="E677" t="s">
        <v>5134</v>
      </c>
      <c r="F677" t="s">
        <v>5133</v>
      </c>
      <c r="G677" t="s">
        <v>18</v>
      </c>
      <c r="H677" t="s">
        <v>31</v>
      </c>
      <c r="I677" t="str">
        <f>LEFT(H677,FIND(" (",H677)-1)</f>
        <v>Staff/Principal</v>
      </c>
      <c r="J677" t="str">
        <f>MID(H677,FIND("(",H677)+1,FIND(")",H677)-FIND("(",H677)-1)</f>
        <v>8+ yrs</v>
      </c>
      <c r="L677">
        <v>171998</v>
      </c>
      <c r="M677" t="s">
        <v>1478</v>
      </c>
      <c r="N677" t="s">
        <v>120</v>
      </c>
      <c r="O677" t="s">
        <v>22</v>
      </c>
      <c r="P677" s="1">
        <v>45578</v>
      </c>
      <c r="Q677">
        <v>1633</v>
      </c>
      <c r="R677">
        <v>2970</v>
      </c>
      <c r="S677" t="s">
        <v>23</v>
      </c>
      <c r="T677">
        <v>6</v>
      </c>
      <c r="U677" t="s">
        <v>83</v>
      </c>
      <c r="V677" t="s">
        <v>24</v>
      </c>
      <c r="W677" t="s">
        <v>23</v>
      </c>
    </row>
    <row r="678" spans="1:23" x14ac:dyDescent="0.3">
      <c r="A678" t="s">
        <v>1479</v>
      </c>
      <c r="B678" t="s">
        <v>229</v>
      </c>
      <c r="C678" t="s">
        <v>239</v>
      </c>
      <c r="D678" t="s">
        <v>28</v>
      </c>
      <c r="E678" t="s">
        <v>159</v>
      </c>
      <c r="F678" t="s">
        <v>160</v>
      </c>
      <c r="G678" t="s">
        <v>18</v>
      </c>
      <c r="H678" t="s">
        <v>31</v>
      </c>
      <c r="I678" t="str">
        <f>LEFT(H678,FIND(" (",H678)-1)</f>
        <v>Staff/Principal</v>
      </c>
      <c r="J678" t="str">
        <f>MID(H678,FIND("(",H678)+1,FIND(")",H678)-FIND("(",H678)-1)</f>
        <v>8+ yrs</v>
      </c>
      <c r="L678">
        <v>160019</v>
      </c>
      <c r="M678" t="s">
        <v>1480</v>
      </c>
      <c r="N678" t="s">
        <v>89</v>
      </c>
      <c r="O678" t="s">
        <v>22</v>
      </c>
      <c r="P678" s="1">
        <v>45602</v>
      </c>
      <c r="Q678">
        <v>850</v>
      </c>
      <c r="R678">
        <v>3617</v>
      </c>
      <c r="S678" t="s">
        <v>23</v>
      </c>
      <c r="T678">
        <v>6</v>
      </c>
      <c r="U678" t="s">
        <v>45</v>
      </c>
      <c r="V678" t="s">
        <v>46</v>
      </c>
      <c r="W678" t="s">
        <v>23</v>
      </c>
    </row>
    <row r="679" spans="1:23" x14ac:dyDescent="0.3">
      <c r="A679" t="s">
        <v>1481</v>
      </c>
      <c r="B679" t="s">
        <v>61</v>
      </c>
      <c r="C679" t="s">
        <v>116</v>
      </c>
      <c r="D679" t="s">
        <v>28</v>
      </c>
      <c r="E679" t="s">
        <v>200</v>
      </c>
      <c r="F679" t="s">
        <v>201</v>
      </c>
      <c r="G679" t="s">
        <v>18</v>
      </c>
      <c r="H679" t="s">
        <v>56</v>
      </c>
      <c r="I679" t="str">
        <f>LEFT(H679,FIND(" (",H679)-1)</f>
        <v>Mid</v>
      </c>
      <c r="J679" t="str">
        <f>MID(H679,FIND("(",H679)+1,FIND(")",H679)-FIND("(",H679)-1)</f>
        <v>2-5 yrs</v>
      </c>
      <c r="L679">
        <v>144694</v>
      </c>
      <c r="M679" t="s">
        <v>1482</v>
      </c>
      <c r="N679" t="s">
        <v>94</v>
      </c>
      <c r="O679" t="s">
        <v>51</v>
      </c>
      <c r="P679" s="1">
        <v>45394</v>
      </c>
      <c r="Q679">
        <v>875</v>
      </c>
      <c r="R679">
        <v>3172</v>
      </c>
      <c r="S679" t="s">
        <v>23</v>
      </c>
      <c r="T679">
        <v>2</v>
      </c>
      <c r="U679" t="s">
        <v>45</v>
      </c>
      <c r="V679" t="s">
        <v>46</v>
      </c>
      <c r="W679" t="s">
        <v>34</v>
      </c>
    </row>
    <row r="680" spans="1:23" x14ac:dyDescent="0.3">
      <c r="A680" t="s">
        <v>1483</v>
      </c>
      <c r="B680" t="s">
        <v>172</v>
      </c>
      <c r="C680" t="s">
        <v>209</v>
      </c>
      <c r="D680" t="s">
        <v>49</v>
      </c>
      <c r="E680" t="s">
        <v>102</v>
      </c>
      <c r="F680" t="s">
        <v>103</v>
      </c>
      <c r="G680" t="s">
        <v>18</v>
      </c>
      <c r="H680" t="s">
        <v>56</v>
      </c>
      <c r="I680" t="str">
        <f>LEFT(H680,FIND(" (",H680)-1)</f>
        <v>Mid</v>
      </c>
      <c r="J680" t="str">
        <f>MID(H680,FIND("(",H680)+1,FIND(")",H680)-FIND("(",H680)-1)</f>
        <v>2-5 yrs</v>
      </c>
      <c r="L680">
        <v>128526</v>
      </c>
      <c r="M680" t="s">
        <v>1484</v>
      </c>
      <c r="N680" t="s">
        <v>186</v>
      </c>
      <c r="O680" t="s">
        <v>51</v>
      </c>
      <c r="P680" s="1">
        <v>45408</v>
      </c>
      <c r="Q680">
        <v>2050</v>
      </c>
      <c r="R680">
        <v>1633</v>
      </c>
      <c r="S680" t="s">
        <v>23</v>
      </c>
      <c r="T680">
        <v>2</v>
      </c>
      <c r="U680" t="s">
        <v>5123</v>
      </c>
      <c r="V680" t="s">
        <v>59</v>
      </c>
      <c r="W680" t="s">
        <v>34</v>
      </c>
    </row>
    <row r="681" spans="1:23" x14ac:dyDescent="0.3">
      <c r="A681" t="s">
        <v>1485</v>
      </c>
      <c r="B681" t="s">
        <v>131</v>
      </c>
      <c r="C681" t="s">
        <v>107</v>
      </c>
      <c r="D681" t="s">
        <v>49</v>
      </c>
      <c r="E681" t="s">
        <v>5140</v>
      </c>
      <c r="F681" t="s">
        <v>5133</v>
      </c>
      <c r="G681" t="s">
        <v>41</v>
      </c>
      <c r="H681" t="s">
        <v>66</v>
      </c>
      <c r="I681" t="str">
        <f>LEFT(H681,FIND(" (",H681)-1)</f>
        <v>Senior</v>
      </c>
      <c r="J681" t="str">
        <f>MID(H681,FIND("(",H681)+1,FIND(")",H681)-FIND("(",H681)-1)</f>
        <v>5-8 yrs</v>
      </c>
      <c r="L681">
        <v>184331</v>
      </c>
      <c r="M681" t="s">
        <v>1486</v>
      </c>
      <c r="N681" t="s">
        <v>149</v>
      </c>
      <c r="O681" t="s">
        <v>51</v>
      </c>
      <c r="P681" s="1">
        <v>45308</v>
      </c>
      <c r="Q681">
        <v>760</v>
      </c>
      <c r="R681">
        <v>2188</v>
      </c>
      <c r="S681" t="s">
        <v>34</v>
      </c>
      <c r="T681">
        <v>4</v>
      </c>
      <c r="U681" t="s">
        <v>83</v>
      </c>
      <c r="V681" t="s">
        <v>59</v>
      </c>
      <c r="W681" t="s">
        <v>34</v>
      </c>
    </row>
    <row r="682" spans="1:23" x14ac:dyDescent="0.3">
      <c r="A682" t="s">
        <v>1487</v>
      </c>
      <c r="B682" t="s">
        <v>172</v>
      </c>
      <c r="C682" t="s">
        <v>97</v>
      </c>
      <c r="D682" t="s">
        <v>111</v>
      </c>
      <c r="E682" t="s">
        <v>5136</v>
      </c>
      <c r="F682" t="s">
        <v>5133</v>
      </c>
      <c r="G682" t="s">
        <v>41</v>
      </c>
      <c r="H682" t="s">
        <v>56</v>
      </c>
      <c r="I682" t="str">
        <f>LEFT(H682,FIND(" (",H682)-1)</f>
        <v>Mid</v>
      </c>
      <c r="J682" t="str">
        <f>MID(H682,FIND("(",H682)+1,FIND(")",H682)-FIND("(",H682)-1)</f>
        <v>2-5 yrs</v>
      </c>
      <c r="L682">
        <v>124289</v>
      </c>
      <c r="M682" t="s">
        <v>1488</v>
      </c>
      <c r="N682" t="s">
        <v>68</v>
      </c>
      <c r="O682" t="s">
        <v>51</v>
      </c>
      <c r="P682" s="1">
        <v>45512</v>
      </c>
      <c r="Q682">
        <v>2461</v>
      </c>
      <c r="R682">
        <v>3209</v>
      </c>
      <c r="S682" t="s">
        <v>23</v>
      </c>
      <c r="T682">
        <v>2</v>
      </c>
      <c r="U682" t="s">
        <v>58</v>
      </c>
      <c r="V682" t="s">
        <v>59</v>
      </c>
      <c r="W682" t="s">
        <v>34</v>
      </c>
    </row>
    <row r="683" spans="1:23" x14ac:dyDescent="0.3">
      <c r="A683" t="s">
        <v>1489</v>
      </c>
      <c r="B683" t="s">
        <v>81</v>
      </c>
      <c r="C683" t="s">
        <v>37</v>
      </c>
      <c r="D683" t="s">
        <v>174</v>
      </c>
      <c r="E683" t="s">
        <v>216</v>
      </c>
      <c r="F683" t="s">
        <v>217</v>
      </c>
      <c r="G683" t="s">
        <v>55</v>
      </c>
      <c r="H683" t="s">
        <v>19</v>
      </c>
      <c r="I683" t="str">
        <f>LEFT(H683,FIND(" (",H683)-1)</f>
        <v>Entry</v>
      </c>
      <c r="J683" t="str">
        <f>MID(H683,FIND("(",H683)+1,FIND(")",H683)-FIND("(",H683)-1)</f>
        <v>0-2 yrs</v>
      </c>
      <c r="L683">
        <v>55773</v>
      </c>
      <c r="M683" t="s">
        <v>1490</v>
      </c>
      <c r="N683" t="s">
        <v>245</v>
      </c>
      <c r="O683" t="s">
        <v>51</v>
      </c>
      <c r="P683" s="1">
        <v>45301</v>
      </c>
      <c r="Q683">
        <v>1120</v>
      </c>
      <c r="R683">
        <v>3163</v>
      </c>
      <c r="S683" t="s">
        <v>23</v>
      </c>
      <c r="T683">
        <v>0</v>
      </c>
      <c r="U683" t="s">
        <v>45</v>
      </c>
      <c r="V683" t="s">
        <v>59</v>
      </c>
      <c r="W683" t="s">
        <v>23</v>
      </c>
    </row>
    <row r="684" spans="1:23" x14ac:dyDescent="0.3">
      <c r="A684" t="s">
        <v>1491</v>
      </c>
      <c r="B684" t="s">
        <v>143</v>
      </c>
      <c r="C684" t="s">
        <v>132</v>
      </c>
      <c r="D684" t="s">
        <v>125</v>
      </c>
      <c r="E684" t="s">
        <v>87</v>
      </c>
      <c r="F684" t="s">
        <v>87</v>
      </c>
      <c r="G684" t="s">
        <v>41</v>
      </c>
      <c r="H684" t="s">
        <v>56</v>
      </c>
      <c r="I684" t="str">
        <f>LEFT(H684,FIND(" (",H684)-1)</f>
        <v>Mid</v>
      </c>
      <c r="J684" t="str">
        <f>MID(H684,FIND("(",H684)+1,FIND(")",H684)-FIND("(",H684)-1)</f>
        <v>2-5 yrs</v>
      </c>
      <c r="L684">
        <v>99614</v>
      </c>
      <c r="M684" t="s">
        <v>1492</v>
      </c>
      <c r="N684" t="s">
        <v>33</v>
      </c>
      <c r="O684" t="s">
        <v>51</v>
      </c>
      <c r="P684" s="1">
        <v>45397</v>
      </c>
      <c r="Q684">
        <v>583</v>
      </c>
      <c r="R684">
        <v>1351</v>
      </c>
      <c r="S684" t="s">
        <v>99</v>
      </c>
      <c r="T684">
        <v>2</v>
      </c>
      <c r="U684" t="s">
        <v>52</v>
      </c>
      <c r="V684" t="s">
        <v>24</v>
      </c>
      <c r="W684" t="s">
        <v>34</v>
      </c>
    </row>
    <row r="685" spans="1:23" x14ac:dyDescent="0.3">
      <c r="A685" t="s">
        <v>1493</v>
      </c>
      <c r="B685" t="s">
        <v>222</v>
      </c>
      <c r="C685" t="s">
        <v>54</v>
      </c>
      <c r="D685" t="s">
        <v>15</v>
      </c>
      <c r="E685" t="s">
        <v>16</v>
      </c>
      <c r="F685" t="s">
        <v>17</v>
      </c>
      <c r="G685" t="s">
        <v>18</v>
      </c>
      <c r="H685" t="s">
        <v>31</v>
      </c>
      <c r="I685" t="str">
        <f>LEFT(H685,FIND(" (",H685)-1)</f>
        <v>Staff/Principal</v>
      </c>
      <c r="J685" t="str">
        <f>MID(H685,FIND("(",H685)+1,FIND(")",H685)-FIND("(",H685)-1)</f>
        <v>8+ yrs</v>
      </c>
      <c r="L685">
        <v>217617</v>
      </c>
      <c r="M685" t="s">
        <v>1494</v>
      </c>
      <c r="N685" t="s">
        <v>33</v>
      </c>
      <c r="O685" t="s">
        <v>51</v>
      </c>
      <c r="P685" s="1">
        <v>45403</v>
      </c>
      <c r="Q685">
        <v>1154</v>
      </c>
      <c r="R685">
        <v>1568</v>
      </c>
      <c r="S685" t="s">
        <v>34</v>
      </c>
      <c r="T685">
        <v>6</v>
      </c>
      <c r="U685" t="s">
        <v>58</v>
      </c>
      <c r="V685" t="s">
        <v>24</v>
      </c>
      <c r="W685" t="s">
        <v>34</v>
      </c>
    </row>
    <row r="686" spans="1:23" x14ac:dyDescent="0.3">
      <c r="A686" t="s">
        <v>1495</v>
      </c>
      <c r="B686" t="s">
        <v>137</v>
      </c>
      <c r="C686" t="s">
        <v>107</v>
      </c>
      <c r="D686" t="s">
        <v>111</v>
      </c>
      <c r="E686" t="s">
        <v>5136</v>
      </c>
      <c r="F686" t="s">
        <v>5133</v>
      </c>
      <c r="G686" t="s">
        <v>55</v>
      </c>
      <c r="H686" t="s">
        <v>19</v>
      </c>
      <c r="I686" t="str">
        <f>LEFT(H686,FIND(" (",H686)-1)</f>
        <v>Entry</v>
      </c>
      <c r="J686" t="str">
        <f>MID(H686,FIND("(",H686)+1,FIND(")",H686)-FIND("(",H686)-1)</f>
        <v>0-2 yrs</v>
      </c>
      <c r="L686">
        <v>54601</v>
      </c>
      <c r="M686" t="s">
        <v>1496</v>
      </c>
      <c r="N686" t="s">
        <v>33</v>
      </c>
      <c r="O686" t="s">
        <v>51</v>
      </c>
      <c r="P686" s="1">
        <v>45551</v>
      </c>
      <c r="Q686">
        <v>1597</v>
      </c>
      <c r="R686">
        <v>1710</v>
      </c>
      <c r="S686" t="s">
        <v>34</v>
      </c>
      <c r="T686">
        <v>0</v>
      </c>
      <c r="U686" t="s">
        <v>5123</v>
      </c>
      <c r="V686" t="s">
        <v>59</v>
      </c>
      <c r="W686" t="s">
        <v>34</v>
      </c>
    </row>
    <row r="687" spans="1:23" x14ac:dyDescent="0.3">
      <c r="A687" t="s">
        <v>1497</v>
      </c>
      <c r="B687" t="s">
        <v>36</v>
      </c>
      <c r="C687" t="s">
        <v>14</v>
      </c>
      <c r="D687" t="s">
        <v>28</v>
      </c>
      <c r="E687" t="s">
        <v>39</v>
      </c>
      <c r="F687" t="s">
        <v>40</v>
      </c>
      <c r="G687" t="s">
        <v>18</v>
      </c>
      <c r="H687" t="s">
        <v>19</v>
      </c>
      <c r="I687" t="str">
        <f>LEFT(H687,FIND(" (",H687)-1)</f>
        <v>Entry</v>
      </c>
      <c r="J687" t="str">
        <f>MID(H687,FIND("(",H687)+1,FIND(")",H687)-FIND("(",H687)-1)</f>
        <v>0-2 yrs</v>
      </c>
      <c r="L687">
        <v>78983</v>
      </c>
      <c r="M687" t="s">
        <v>1498</v>
      </c>
      <c r="N687" t="s">
        <v>33</v>
      </c>
      <c r="O687" t="s">
        <v>22</v>
      </c>
      <c r="P687" s="1">
        <v>45486</v>
      </c>
      <c r="Q687">
        <v>645</v>
      </c>
      <c r="R687">
        <v>2674</v>
      </c>
      <c r="S687" t="s">
        <v>23</v>
      </c>
      <c r="T687">
        <v>0</v>
      </c>
      <c r="U687" t="s">
        <v>58</v>
      </c>
      <c r="V687" t="s">
        <v>59</v>
      </c>
      <c r="W687" t="s">
        <v>34</v>
      </c>
    </row>
    <row r="688" spans="1:23" x14ac:dyDescent="0.3">
      <c r="A688" t="s">
        <v>1499</v>
      </c>
      <c r="B688" t="s">
        <v>36</v>
      </c>
      <c r="C688" t="s">
        <v>71</v>
      </c>
      <c r="D688" t="s">
        <v>15</v>
      </c>
      <c r="E688" t="s">
        <v>5135</v>
      </c>
      <c r="F688" t="s">
        <v>5133</v>
      </c>
      <c r="G688" t="s">
        <v>18</v>
      </c>
      <c r="H688" t="s">
        <v>66</v>
      </c>
      <c r="I688" t="str">
        <f>LEFT(H688,FIND(" (",H688)-1)</f>
        <v>Senior</v>
      </c>
      <c r="J688" t="str">
        <f>MID(H688,FIND("(",H688)+1,FIND(")",H688)-FIND("(",H688)-1)</f>
        <v>5-8 yrs</v>
      </c>
      <c r="L688">
        <v>143511</v>
      </c>
      <c r="M688" t="s">
        <v>1500</v>
      </c>
      <c r="N688" t="s">
        <v>89</v>
      </c>
      <c r="O688" t="s">
        <v>22</v>
      </c>
      <c r="P688" s="1">
        <v>45419</v>
      </c>
      <c r="Q688">
        <v>1159</v>
      </c>
      <c r="R688">
        <v>3558</v>
      </c>
      <c r="S688" t="s">
        <v>23</v>
      </c>
      <c r="T688">
        <v>4</v>
      </c>
      <c r="U688" t="s">
        <v>45</v>
      </c>
      <c r="V688" t="s">
        <v>24</v>
      </c>
      <c r="W688" t="s">
        <v>34</v>
      </c>
    </row>
    <row r="689" spans="1:23" x14ac:dyDescent="0.3">
      <c r="A689" t="s">
        <v>1501</v>
      </c>
      <c r="B689" t="s">
        <v>222</v>
      </c>
      <c r="C689" t="s">
        <v>158</v>
      </c>
      <c r="D689" t="s">
        <v>125</v>
      </c>
      <c r="E689" t="s">
        <v>102</v>
      </c>
      <c r="F689" t="s">
        <v>103</v>
      </c>
      <c r="G689" t="s">
        <v>18</v>
      </c>
      <c r="H689" t="s">
        <v>31</v>
      </c>
      <c r="I689" t="str">
        <f>LEFT(H689,FIND(" (",H689)-1)</f>
        <v>Staff/Principal</v>
      </c>
      <c r="J689" t="str">
        <f>MID(H689,FIND("(",H689)+1,FIND(")",H689)-FIND("(",H689)-1)</f>
        <v>8+ yrs</v>
      </c>
      <c r="L689">
        <v>186506</v>
      </c>
      <c r="M689" t="s">
        <v>1502</v>
      </c>
      <c r="N689" t="s">
        <v>149</v>
      </c>
      <c r="O689" t="s">
        <v>22</v>
      </c>
      <c r="P689" s="1">
        <v>45557</v>
      </c>
      <c r="Q689">
        <v>1135</v>
      </c>
      <c r="R689">
        <v>1263</v>
      </c>
      <c r="S689" t="s">
        <v>23</v>
      </c>
      <c r="T689">
        <v>6</v>
      </c>
      <c r="U689" t="s">
        <v>45</v>
      </c>
      <c r="V689" t="s">
        <v>59</v>
      </c>
      <c r="W689" t="s">
        <v>34</v>
      </c>
    </row>
    <row r="690" spans="1:23" x14ac:dyDescent="0.3">
      <c r="A690" t="s">
        <v>1503</v>
      </c>
      <c r="B690" t="s">
        <v>236</v>
      </c>
      <c r="C690" t="s">
        <v>107</v>
      </c>
      <c r="D690" t="s">
        <v>75</v>
      </c>
      <c r="E690" t="s">
        <v>5140</v>
      </c>
      <c r="F690" t="s">
        <v>5133</v>
      </c>
      <c r="G690" t="s">
        <v>18</v>
      </c>
      <c r="H690" t="s">
        <v>19</v>
      </c>
      <c r="I690" t="str">
        <f>LEFT(H690,FIND(" (",H690)-1)</f>
        <v>Entry</v>
      </c>
      <c r="J690" t="str">
        <f>MID(H690,FIND("(",H690)+1,FIND(")",H690)-FIND("(",H690)-1)</f>
        <v>0-2 yrs</v>
      </c>
      <c r="L690">
        <v>78958</v>
      </c>
      <c r="M690" t="s">
        <v>1504</v>
      </c>
      <c r="N690" t="s">
        <v>21</v>
      </c>
      <c r="O690" t="s">
        <v>22</v>
      </c>
      <c r="P690" s="1">
        <v>45747</v>
      </c>
      <c r="Q690">
        <v>710</v>
      </c>
      <c r="R690">
        <v>71</v>
      </c>
      <c r="S690" t="s">
        <v>23</v>
      </c>
      <c r="T690">
        <v>0</v>
      </c>
      <c r="U690" t="s">
        <v>52</v>
      </c>
      <c r="V690" t="s">
        <v>24</v>
      </c>
      <c r="W690" t="s">
        <v>23</v>
      </c>
    </row>
    <row r="691" spans="1:23" x14ac:dyDescent="0.3">
      <c r="A691" t="s">
        <v>1505</v>
      </c>
      <c r="B691" t="s">
        <v>13</v>
      </c>
      <c r="C691" t="s">
        <v>209</v>
      </c>
      <c r="D691" t="s">
        <v>174</v>
      </c>
      <c r="E691" t="s">
        <v>39</v>
      </c>
      <c r="F691" t="s">
        <v>40</v>
      </c>
      <c r="G691" t="s">
        <v>55</v>
      </c>
      <c r="H691" t="s">
        <v>31</v>
      </c>
      <c r="I691" t="str">
        <f>LEFT(H691,FIND(" (",H691)-1)</f>
        <v>Staff/Principal</v>
      </c>
      <c r="J691" t="str">
        <f>MID(H691,FIND("(",H691)+1,FIND(")",H691)-FIND("(",H691)-1)</f>
        <v>8+ yrs</v>
      </c>
      <c r="L691">
        <v>215993</v>
      </c>
      <c r="M691" t="s">
        <v>1506</v>
      </c>
      <c r="N691" t="s">
        <v>120</v>
      </c>
      <c r="O691" t="s">
        <v>51</v>
      </c>
      <c r="P691" s="1">
        <v>45730</v>
      </c>
      <c r="Q691">
        <v>1797</v>
      </c>
      <c r="R691">
        <v>3929</v>
      </c>
      <c r="S691" t="s">
        <v>23</v>
      </c>
      <c r="T691">
        <v>6</v>
      </c>
      <c r="U691" t="s">
        <v>5123</v>
      </c>
      <c r="V691" t="s">
        <v>24</v>
      </c>
      <c r="W691" t="s">
        <v>23</v>
      </c>
    </row>
    <row r="692" spans="1:23" x14ac:dyDescent="0.3">
      <c r="A692" t="s">
        <v>1507</v>
      </c>
      <c r="B692" t="s">
        <v>143</v>
      </c>
      <c r="C692" t="s">
        <v>179</v>
      </c>
      <c r="D692" t="s">
        <v>111</v>
      </c>
      <c r="E692" t="s">
        <v>64</v>
      </c>
      <c r="F692" t="s">
        <v>65</v>
      </c>
      <c r="G692" t="s">
        <v>18</v>
      </c>
      <c r="H692" t="s">
        <v>56</v>
      </c>
      <c r="I692" t="str">
        <f>LEFT(H692,FIND(" (",H692)-1)</f>
        <v>Mid</v>
      </c>
      <c r="J692" t="str">
        <f>MID(H692,FIND("(",H692)+1,FIND(")",H692)-FIND("(",H692)-1)</f>
        <v>2-5 yrs</v>
      </c>
      <c r="L692">
        <v>102852</v>
      </c>
      <c r="M692" t="s">
        <v>1508</v>
      </c>
      <c r="N692" t="s">
        <v>141</v>
      </c>
      <c r="O692" t="s">
        <v>22</v>
      </c>
      <c r="P692" s="1">
        <v>45358</v>
      </c>
      <c r="Q692">
        <v>1226</v>
      </c>
      <c r="R692">
        <v>1036</v>
      </c>
      <c r="S692" t="s">
        <v>34</v>
      </c>
      <c r="T692">
        <v>2</v>
      </c>
      <c r="U692" t="s">
        <v>45</v>
      </c>
      <c r="V692" t="s">
        <v>24</v>
      </c>
      <c r="W692" t="s">
        <v>23</v>
      </c>
    </row>
    <row r="693" spans="1:23" x14ac:dyDescent="0.3">
      <c r="A693" t="s">
        <v>1509</v>
      </c>
      <c r="B693" t="s">
        <v>143</v>
      </c>
      <c r="C693" t="s">
        <v>158</v>
      </c>
      <c r="D693" t="s">
        <v>147</v>
      </c>
      <c r="E693" t="s">
        <v>64</v>
      </c>
      <c r="F693" t="s">
        <v>65</v>
      </c>
      <c r="G693" t="s">
        <v>18</v>
      </c>
      <c r="H693" t="s">
        <v>66</v>
      </c>
      <c r="I693" t="str">
        <f>LEFT(H693,FIND(" (",H693)-1)</f>
        <v>Senior</v>
      </c>
      <c r="J693" t="str">
        <f>MID(H693,FIND("(",H693)+1,FIND(")",H693)-FIND("(",H693)-1)</f>
        <v>5-8 yrs</v>
      </c>
      <c r="L693">
        <v>181301</v>
      </c>
      <c r="M693" t="s">
        <v>1510</v>
      </c>
      <c r="N693" t="s">
        <v>33</v>
      </c>
      <c r="O693" t="s">
        <v>51</v>
      </c>
      <c r="P693" s="1">
        <v>45483</v>
      </c>
      <c r="Q693">
        <v>1110</v>
      </c>
      <c r="R693">
        <v>756</v>
      </c>
      <c r="S693" t="s">
        <v>34</v>
      </c>
      <c r="T693">
        <v>4</v>
      </c>
      <c r="U693" t="s">
        <v>5123</v>
      </c>
      <c r="V693" t="s">
        <v>59</v>
      </c>
      <c r="W693" t="s">
        <v>34</v>
      </c>
    </row>
    <row r="694" spans="1:23" x14ac:dyDescent="0.3">
      <c r="A694" t="s">
        <v>1511</v>
      </c>
      <c r="B694" t="s">
        <v>137</v>
      </c>
      <c r="C694" t="s">
        <v>146</v>
      </c>
      <c r="D694" t="s">
        <v>111</v>
      </c>
      <c r="E694" t="s">
        <v>5140</v>
      </c>
      <c r="F694" t="s">
        <v>5133</v>
      </c>
      <c r="G694" t="s">
        <v>41</v>
      </c>
      <c r="H694" t="s">
        <v>66</v>
      </c>
      <c r="I694" t="str">
        <f>LEFT(H694,FIND(" (",H694)-1)</f>
        <v>Senior</v>
      </c>
      <c r="J694" t="str">
        <f>MID(H694,FIND("(",H694)+1,FIND(")",H694)-FIND("(",H694)-1)</f>
        <v>5-8 yrs</v>
      </c>
      <c r="L694">
        <v>120811</v>
      </c>
      <c r="M694" t="s">
        <v>1512</v>
      </c>
      <c r="N694" t="s">
        <v>245</v>
      </c>
      <c r="O694" t="s">
        <v>22</v>
      </c>
      <c r="P694" s="1">
        <v>45539</v>
      </c>
      <c r="Q694">
        <v>2101</v>
      </c>
      <c r="R694">
        <v>492</v>
      </c>
      <c r="S694" t="s">
        <v>23</v>
      </c>
      <c r="T694">
        <v>4</v>
      </c>
      <c r="U694" t="s">
        <v>83</v>
      </c>
      <c r="V694" t="s">
        <v>46</v>
      </c>
      <c r="W694" t="s">
        <v>34</v>
      </c>
    </row>
    <row r="695" spans="1:23" x14ac:dyDescent="0.3">
      <c r="A695" t="s">
        <v>1513</v>
      </c>
      <c r="B695" t="s">
        <v>222</v>
      </c>
      <c r="C695" t="s">
        <v>14</v>
      </c>
      <c r="D695" t="s">
        <v>15</v>
      </c>
      <c r="E695" t="s">
        <v>5132</v>
      </c>
      <c r="F695" t="s">
        <v>5133</v>
      </c>
      <c r="G695" t="s">
        <v>55</v>
      </c>
      <c r="H695" t="s">
        <v>66</v>
      </c>
      <c r="I695" t="str">
        <f>LEFT(H695,FIND(" (",H695)-1)</f>
        <v>Senior</v>
      </c>
      <c r="J695" t="str">
        <f>MID(H695,FIND("(",H695)+1,FIND(")",H695)-FIND("(",H695)-1)</f>
        <v>5-8 yrs</v>
      </c>
      <c r="L695">
        <v>166630</v>
      </c>
      <c r="M695" t="s">
        <v>1514</v>
      </c>
      <c r="N695" t="s">
        <v>43</v>
      </c>
      <c r="O695" t="s">
        <v>79</v>
      </c>
      <c r="P695" s="1">
        <v>45541</v>
      </c>
      <c r="Q695">
        <v>817</v>
      </c>
      <c r="R695">
        <v>397</v>
      </c>
      <c r="S695" t="s">
        <v>34</v>
      </c>
      <c r="T695">
        <v>4</v>
      </c>
      <c r="U695" t="s">
        <v>58</v>
      </c>
      <c r="V695" t="s">
        <v>59</v>
      </c>
      <c r="W695" t="s">
        <v>34</v>
      </c>
    </row>
    <row r="696" spans="1:23" x14ac:dyDescent="0.3">
      <c r="A696" t="s">
        <v>1515</v>
      </c>
      <c r="B696" t="s">
        <v>81</v>
      </c>
      <c r="C696" t="s">
        <v>71</v>
      </c>
      <c r="D696" t="s">
        <v>15</v>
      </c>
      <c r="E696" t="s">
        <v>5141</v>
      </c>
      <c r="F696" t="s">
        <v>5133</v>
      </c>
      <c r="G696" t="s">
        <v>18</v>
      </c>
      <c r="H696" t="s">
        <v>56</v>
      </c>
      <c r="I696" t="str">
        <f>LEFT(H696,FIND(" (",H696)-1)</f>
        <v>Mid</v>
      </c>
      <c r="J696" t="str">
        <f>MID(H696,FIND("(",H696)+1,FIND(")",H696)-FIND("(",H696)-1)</f>
        <v>2-5 yrs</v>
      </c>
      <c r="L696">
        <v>121743</v>
      </c>
      <c r="M696" t="s">
        <v>1516</v>
      </c>
      <c r="N696" t="s">
        <v>245</v>
      </c>
      <c r="O696" t="s">
        <v>22</v>
      </c>
      <c r="P696" s="1">
        <v>45515</v>
      </c>
      <c r="Q696">
        <v>1749</v>
      </c>
      <c r="R696">
        <v>2162</v>
      </c>
      <c r="S696" t="s">
        <v>23</v>
      </c>
      <c r="T696">
        <v>2</v>
      </c>
      <c r="U696" t="s">
        <v>52</v>
      </c>
      <c r="V696" t="s">
        <v>24</v>
      </c>
      <c r="W696" t="s">
        <v>23</v>
      </c>
    </row>
    <row r="697" spans="1:23" x14ac:dyDescent="0.3">
      <c r="A697" t="s">
        <v>1517</v>
      </c>
      <c r="B697" t="s">
        <v>229</v>
      </c>
      <c r="C697" t="s">
        <v>92</v>
      </c>
      <c r="D697" t="s">
        <v>125</v>
      </c>
      <c r="E697" t="s">
        <v>133</v>
      </c>
      <c r="F697" t="s">
        <v>134</v>
      </c>
      <c r="G697" t="s">
        <v>18</v>
      </c>
      <c r="H697" t="s">
        <v>66</v>
      </c>
      <c r="I697" t="str">
        <f>LEFT(H697,FIND(" (",H697)-1)</f>
        <v>Senior</v>
      </c>
      <c r="J697" t="str">
        <f>MID(H697,FIND("(",H697)+1,FIND(")",H697)-FIND("(",H697)-1)</f>
        <v>5-8 yrs</v>
      </c>
      <c r="L697">
        <v>141642</v>
      </c>
      <c r="M697" t="s">
        <v>1518</v>
      </c>
      <c r="N697" t="s">
        <v>21</v>
      </c>
      <c r="O697" t="s">
        <v>51</v>
      </c>
      <c r="P697" s="1">
        <v>45563</v>
      </c>
      <c r="Q697">
        <v>2036</v>
      </c>
      <c r="R697">
        <v>3525</v>
      </c>
      <c r="S697" t="s">
        <v>34</v>
      </c>
      <c r="T697">
        <v>4</v>
      </c>
      <c r="U697" t="s">
        <v>5123</v>
      </c>
      <c r="V697" t="s">
        <v>46</v>
      </c>
      <c r="W697" t="s">
        <v>23</v>
      </c>
    </row>
    <row r="698" spans="1:23" x14ac:dyDescent="0.3">
      <c r="A698" t="s">
        <v>1519</v>
      </c>
      <c r="B698" t="s">
        <v>81</v>
      </c>
      <c r="C698" t="s">
        <v>48</v>
      </c>
      <c r="D698" t="s">
        <v>28</v>
      </c>
      <c r="E698" t="s">
        <v>76</v>
      </c>
      <c r="F698" t="s">
        <v>77</v>
      </c>
      <c r="G698" t="s">
        <v>55</v>
      </c>
      <c r="H698" t="s">
        <v>31</v>
      </c>
      <c r="I698" t="str">
        <f>LEFT(H698,FIND(" (",H698)-1)</f>
        <v>Staff/Principal</v>
      </c>
      <c r="J698" t="str">
        <f>MID(H698,FIND("(",H698)+1,FIND(")",H698)-FIND("(",H698)-1)</f>
        <v>8+ yrs</v>
      </c>
      <c r="L698">
        <v>211740</v>
      </c>
      <c r="M698" t="s">
        <v>1520</v>
      </c>
      <c r="N698" t="s">
        <v>94</v>
      </c>
      <c r="O698" t="s">
        <v>22</v>
      </c>
      <c r="P698" s="1">
        <v>45535</v>
      </c>
      <c r="Q698">
        <v>573</v>
      </c>
      <c r="R698">
        <v>252</v>
      </c>
      <c r="S698" t="s">
        <v>23</v>
      </c>
      <c r="T698">
        <v>6</v>
      </c>
      <c r="U698" t="s">
        <v>52</v>
      </c>
      <c r="V698" t="s">
        <v>24</v>
      </c>
      <c r="W698" t="s">
        <v>23</v>
      </c>
    </row>
    <row r="699" spans="1:23" x14ac:dyDescent="0.3">
      <c r="A699" t="s">
        <v>1521</v>
      </c>
      <c r="B699" t="s">
        <v>91</v>
      </c>
      <c r="C699" t="s">
        <v>101</v>
      </c>
      <c r="D699" t="s">
        <v>111</v>
      </c>
      <c r="E699" t="s">
        <v>102</v>
      </c>
      <c r="F699" t="s">
        <v>103</v>
      </c>
      <c r="G699" t="s">
        <v>41</v>
      </c>
      <c r="H699" t="s">
        <v>31</v>
      </c>
      <c r="I699" t="str">
        <f>LEFT(H699,FIND(" (",H699)-1)</f>
        <v>Staff/Principal</v>
      </c>
      <c r="J699" t="str">
        <f>MID(H699,FIND("(",H699)+1,FIND(")",H699)-FIND("(",H699)-1)</f>
        <v>8+ yrs</v>
      </c>
      <c r="L699">
        <v>154959</v>
      </c>
      <c r="M699" t="s">
        <v>1522</v>
      </c>
      <c r="N699" t="s">
        <v>141</v>
      </c>
      <c r="O699" t="s">
        <v>79</v>
      </c>
      <c r="P699" s="1">
        <v>45492</v>
      </c>
      <c r="Q699">
        <v>921</v>
      </c>
      <c r="R699">
        <v>853</v>
      </c>
      <c r="S699" t="s">
        <v>23</v>
      </c>
      <c r="T699">
        <v>6</v>
      </c>
      <c r="U699" t="s">
        <v>45</v>
      </c>
      <c r="V699" t="s">
        <v>59</v>
      </c>
      <c r="W699" t="s">
        <v>34</v>
      </c>
    </row>
    <row r="700" spans="1:23" x14ac:dyDescent="0.3">
      <c r="A700" t="s">
        <v>1523</v>
      </c>
      <c r="B700" t="s">
        <v>13</v>
      </c>
      <c r="C700" t="s">
        <v>146</v>
      </c>
      <c r="D700" t="s">
        <v>125</v>
      </c>
      <c r="E700" t="s">
        <v>76</v>
      </c>
      <c r="F700" t="s">
        <v>77</v>
      </c>
      <c r="G700" t="s">
        <v>18</v>
      </c>
      <c r="H700" t="s">
        <v>66</v>
      </c>
      <c r="I700" t="str">
        <f>LEFT(H700,FIND(" (",H700)-1)</f>
        <v>Senior</v>
      </c>
      <c r="J700" t="str">
        <f>MID(H700,FIND("(",H700)+1,FIND(")",H700)-FIND("(",H700)-1)</f>
        <v>5-8 yrs</v>
      </c>
      <c r="L700">
        <v>174948</v>
      </c>
      <c r="M700" t="s">
        <v>1524</v>
      </c>
      <c r="N700" t="s">
        <v>33</v>
      </c>
      <c r="O700" t="s">
        <v>22</v>
      </c>
      <c r="P700" s="1">
        <v>45613</v>
      </c>
      <c r="Q700">
        <v>1698</v>
      </c>
      <c r="R700">
        <v>3594</v>
      </c>
      <c r="S700" t="s">
        <v>23</v>
      </c>
      <c r="T700">
        <v>4</v>
      </c>
      <c r="U700" t="s">
        <v>5123</v>
      </c>
      <c r="V700" t="s">
        <v>24</v>
      </c>
      <c r="W700" t="s">
        <v>23</v>
      </c>
    </row>
    <row r="701" spans="1:23" x14ac:dyDescent="0.3">
      <c r="A701" t="s">
        <v>1525</v>
      </c>
      <c r="B701" t="s">
        <v>13</v>
      </c>
      <c r="C701" t="s">
        <v>195</v>
      </c>
      <c r="D701" t="s">
        <v>111</v>
      </c>
      <c r="E701" t="s">
        <v>5139</v>
      </c>
      <c r="F701" t="s">
        <v>5133</v>
      </c>
      <c r="G701" t="s">
        <v>41</v>
      </c>
      <c r="H701" t="s">
        <v>31</v>
      </c>
      <c r="I701" t="str">
        <f>LEFT(H701,FIND(" (",H701)-1)</f>
        <v>Staff/Principal</v>
      </c>
      <c r="J701" t="str">
        <f>MID(H701,FIND("(",H701)+1,FIND(")",H701)-FIND("(",H701)-1)</f>
        <v>8+ yrs</v>
      </c>
      <c r="L701">
        <v>193343</v>
      </c>
      <c r="M701" t="s">
        <v>1526</v>
      </c>
      <c r="N701" t="s">
        <v>33</v>
      </c>
      <c r="O701" t="s">
        <v>44</v>
      </c>
      <c r="P701" s="1">
        <v>45740</v>
      </c>
      <c r="Q701">
        <v>1288</v>
      </c>
      <c r="R701">
        <v>3570</v>
      </c>
      <c r="S701" t="s">
        <v>23</v>
      </c>
      <c r="T701">
        <v>6</v>
      </c>
      <c r="U701" t="s">
        <v>58</v>
      </c>
      <c r="V701" t="s">
        <v>59</v>
      </c>
      <c r="W701" t="s">
        <v>23</v>
      </c>
    </row>
    <row r="702" spans="1:23" x14ac:dyDescent="0.3">
      <c r="A702" t="s">
        <v>1527</v>
      </c>
      <c r="B702" t="s">
        <v>329</v>
      </c>
      <c r="C702" t="s">
        <v>226</v>
      </c>
      <c r="D702" t="s">
        <v>49</v>
      </c>
      <c r="E702" t="s">
        <v>5137</v>
      </c>
      <c r="F702" t="s">
        <v>5138</v>
      </c>
      <c r="G702" t="s">
        <v>55</v>
      </c>
      <c r="H702" t="s">
        <v>19</v>
      </c>
      <c r="I702" t="str">
        <f>LEFT(H702,FIND(" (",H702)-1)</f>
        <v>Entry</v>
      </c>
      <c r="J702" t="str">
        <f>MID(H702,FIND("(",H702)+1,FIND(")",H702)-FIND("(",H702)-1)</f>
        <v>0-2 yrs</v>
      </c>
      <c r="L702">
        <v>63413</v>
      </c>
      <c r="M702" t="s">
        <v>1528</v>
      </c>
      <c r="N702" t="s">
        <v>120</v>
      </c>
      <c r="O702" t="s">
        <v>22</v>
      </c>
      <c r="P702" s="1">
        <v>45435</v>
      </c>
      <c r="Q702">
        <v>2288</v>
      </c>
      <c r="R702">
        <v>1004</v>
      </c>
      <c r="S702" t="s">
        <v>23</v>
      </c>
      <c r="T702">
        <v>0</v>
      </c>
      <c r="U702" t="s">
        <v>52</v>
      </c>
      <c r="V702" t="s">
        <v>24</v>
      </c>
      <c r="W702" t="s">
        <v>23</v>
      </c>
    </row>
    <row r="703" spans="1:23" x14ac:dyDescent="0.3">
      <c r="A703" t="s">
        <v>1529</v>
      </c>
      <c r="B703" t="s">
        <v>13</v>
      </c>
      <c r="C703" t="s">
        <v>37</v>
      </c>
      <c r="D703" t="s">
        <v>49</v>
      </c>
      <c r="E703" t="s">
        <v>133</v>
      </c>
      <c r="F703" t="s">
        <v>134</v>
      </c>
      <c r="G703" t="s">
        <v>41</v>
      </c>
      <c r="H703" t="s">
        <v>31</v>
      </c>
      <c r="I703" t="str">
        <f>LEFT(H703,FIND(" (",H703)-1)</f>
        <v>Staff/Principal</v>
      </c>
      <c r="J703" t="str">
        <f>MID(H703,FIND("(",H703)+1,FIND(")",H703)-FIND("(",H703)-1)</f>
        <v>8+ yrs</v>
      </c>
      <c r="L703">
        <v>237764</v>
      </c>
      <c r="M703" t="s">
        <v>1530</v>
      </c>
      <c r="N703" t="s">
        <v>149</v>
      </c>
      <c r="O703" t="s">
        <v>22</v>
      </c>
      <c r="P703" s="1">
        <v>45581</v>
      </c>
      <c r="Q703">
        <v>1277</v>
      </c>
      <c r="R703">
        <v>1487</v>
      </c>
      <c r="S703" t="s">
        <v>23</v>
      </c>
      <c r="T703">
        <v>6</v>
      </c>
      <c r="U703" t="s">
        <v>83</v>
      </c>
      <c r="V703" t="s">
        <v>24</v>
      </c>
      <c r="W703" t="s">
        <v>34</v>
      </c>
    </row>
    <row r="704" spans="1:23" x14ac:dyDescent="0.3">
      <c r="A704" t="s">
        <v>1531</v>
      </c>
      <c r="B704" t="s">
        <v>229</v>
      </c>
      <c r="C704" t="s">
        <v>124</v>
      </c>
      <c r="D704" t="s">
        <v>38</v>
      </c>
      <c r="E704" t="s">
        <v>39</v>
      </c>
      <c r="F704" t="s">
        <v>40</v>
      </c>
      <c r="G704" t="s">
        <v>55</v>
      </c>
      <c r="H704" t="s">
        <v>66</v>
      </c>
      <c r="I704" t="str">
        <f>LEFT(H704,FIND(" (",H704)-1)</f>
        <v>Senior</v>
      </c>
      <c r="J704" t="str">
        <f>MID(H704,FIND("(",H704)+1,FIND(")",H704)-FIND("(",H704)-1)</f>
        <v>5-8 yrs</v>
      </c>
      <c r="L704">
        <v>130982</v>
      </c>
      <c r="M704" t="s">
        <v>1532</v>
      </c>
      <c r="N704" t="s">
        <v>33</v>
      </c>
      <c r="O704" t="s">
        <v>51</v>
      </c>
      <c r="P704" s="1">
        <v>45585</v>
      </c>
      <c r="Q704">
        <v>398</v>
      </c>
      <c r="R704">
        <v>2592</v>
      </c>
      <c r="S704" t="s">
        <v>99</v>
      </c>
      <c r="T704">
        <v>4</v>
      </c>
      <c r="U704" t="s">
        <v>5123</v>
      </c>
      <c r="V704" t="s">
        <v>24</v>
      </c>
      <c r="W704" t="s">
        <v>34</v>
      </c>
    </row>
    <row r="705" spans="1:23" x14ac:dyDescent="0.3">
      <c r="A705" t="s">
        <v>1533</v>
      </c>
      <c r="B705" t="s">
        <v>151</v>
      </c>
      <c r="C705" t="s">
        <v>182</v>
      </c>
      <c r="D705" t="s">
        <v>28</v>
      </c>
      <c r="E705" t="s">
        <v>16</v>
      </c>
      <c r="F705" t="s">
        <v>17</v>
      </c>
      <c r="G705" t="s">
        <v>18</v>
      </c>
      <c r="H705" t="s">
        <v>31</v>
      </c>
      <c r="I705" t="str">
        <f>LEFT(H705,FIND(" (",H705)-1)</f>
        <v>Staff/Principal</v>
      </c>
      <c r="J705" t="str">
        <f>MID(H705,FIND("(",H705)+1,FIND(")",H705)-FIND("(",H705)-1)</f>
        <v>8+ yrs</v>
      </c>
      <c r="L705">
        <v>149295</v>
      </c>
      <c r="M705" t="s">
        <v>1534</v>
      </c>
      <c r="N705" t="s">
        <v>89</v>
      </c>
      <c r="O705" t="s">
        <v>44</v>
      </c>
      <c r="P705" s="1">
        <v>45641</v>
      </c>
      <c r="Q705">
        <v>957</v>
      </c>
      <c r="R705">
        <v>867</v>
      </c>
      <c r="S705" t="s">
        <v>23</v>
      </c>
      <c r="T705">
        <v>6</v>
      </c>
      <c r="U705" t="s">
        <v>83</v>
      </c>
      <c r="V705" t="s">
        <v>24</v>
      </c>
      <c r="W705" t="s">
        <v>23</v>
      </c>
    </row>
    <row r="706" spans="1:23" x14ac:dyDescent="0.3">
      <c r="A706" t="s">
        <v>1535</v>
      </c>
      <c r="B706" t="s">
        <v>225</v>
      </c>
      <c r="C706" t="s">
        <v>27</v>
      </c>
      <c r="D706" t="s">
        <v>28</v>
      </c>
      <c r="E706" t="s">
        <v>159</v>
      </c>
      <c r="F706" t="s">
        <v>160</v>
      </c>
      <c r="G706" t="s">
        <v>55</v>
      </c>
      <c r="H706" t="s">
        <v>56</v>
      </c>
      <c r="I706" t="str">
        <f>LEFT(H706,FIND(" (",H706)-1)</f>
        <v>Mid</v>
      </c>
      <c r="J706" t="str">
        <f>MID(H706,FIND("(",H706)+1,FIND(")",H706)-FIND("(",H706)-1)</f>
        <v>2-5 yrs</v>
      </c>
      <c r="L706">
        <v>79178</v>
      </c>
      <c r="M706" t="s">
        <v>1536</v>
      </c>
      <c r="N706" t="s">
        <v>33</v>
      </c>
      <c r="O706" t="s">
        <v>22</v>
      </c>
      <c r="P706" s="1">
        <v>45462</v>
      </c>
      <c r="Q706">
        <v>670</v>
      </c>
      <c r="R706">
        <v>2629</v>
      </c>
      <c r="S706" t="s">
        <v>23</v>
      </c>
      <c r="T706">
        <v>2</v>
      </c>
      <c r="U706" t="s">
        <v>83</v>
      </c>
      <c r="V706" t="s">
        <v>24</v>
      </c>
      <c r="W706" t="s">
        <v>34</v>
      </c>
    </row>
    <row r="707" spans="1:23" x14ac:dyDescent="0.3">
      <c r="A707" t="s">
        <v>1537</v>
      </c>
      <c r="B707" t="s">
        <v>137</v>
      </c>
      <c r="C707" t="s">
        <v>167</v>
      </c>
      <c r="D707" t="s">
        <v>174</v>
      </c>
      <c r="E707" t="s">
        <v>16</v>
      </c>
      <c r="F707" t="s">
        <v>17</v>
      </c>
      <c r="G707" t="s">
        <v>55</v>
      </c>
      <c r="H707" t="s">
        <v>56</v>
      </c>
      <c r="I707" t="str">
        <f>LEFT(H707,FIND(" (",H707)-1)</f>
        <v>Mid</v>
      </c>
      <c r="J707" t="str">
        <f>MID(H707,FIND("(",H707)+1,FIND(")",H707)-FIND("(",H707)-1)</f>
        <v>2-5 yrs</v>
      </c>
      <c r="L707">
        <v>121998</v>
      </c>
      <c r="M707" t="s">
        <v>1538</v>
      </c>
      <c r="N707" t="s">
        <v>33</v>
      </c>
      <c r="O707" t="s">
        <v>22</v>
      </c>
      <c r="P707" s="1">
        <v>45540</v>
      </c>
      <c r="Q707">
        <v>1077</v>
      </c>
      <c r="R707">
        <v>2393</v>
      </c>
      <c r="S707" t="s">
        <v>23</v>
      </c>
      <c r="T707">
        <v>2</v>
      </c>
      <c r="U707" t="s">
        <v>83</v>
      </c>
      <c r="V707" t="s">
        <v>59</v>
      </c>
      <c r="W707" t="s">
        <v>23</v>
      </c>
    </row>
    <row r="708" spans="1:23" x14ac:dyDescent="0.3">
      <c r="A708" t="s">
        <v>1539</v>
      </c>
      <c r="B708" t="s">
        <v>26</v>
      </c>
      <c r="C708" t="s">
        <v>128</v>
      </c>
      <c r="D708" t="s">
        <v>28</v>
      </c>
      <c r="E708" t="s">
        <v>5134</v>
      </c>
      <c r="F708" t="s">
        <v>5133</v>
      </c>
      <c r="G708" t="s">
        <v>41</v>
      </c>
      <c r="H708" t="s">
        <v>56</v>
      </c>
      <c r="I708" t="str">
        <f>LEFT(H708,FIND(" (",H708)-1)</f>
        <v>Mid</v>
      </c>
      <c r="J708" t="str">
        <f>MID(H708,FIND("(",H708)+1,FIND(")",H708)-FIND("(",H708)-1)</f>
        <v>2-5 yrs</v>
      </c>
      <c r="L708">
        <v>84647</v>
      </c>
      <c r="M708" t="s">
        <v>1540</v>
      </c>
      <c r="N708" t="s">
        <v>33</v>
      </c>
      <c r="O708" t="s">
        <v>22</v>
      </c>
      <c r="P708" s="1">
        <v>45330</v>
      </c>
      <c r="Q708">
        <v>1693</v>
      </c>
      <c r="R708">
        <v>2192</v>
      </c>
      <c r="S708" t="s">
        <v>23</v>
      </c>
      <c r="T708">
        <v>2</v>
      </c>
      <c r="U708" t="s">
        <v>52</v>
      </c>
      <c r="V708" t="s">
        <v>46</v>
      </c>
      <c r="W708" t="s">
        <v>34</v>
      </c>
    </row>
    <row r="709" spans="1:23" x14ac:dyDescent="0.3">
      <c r="A709" t="s">
        <v>1541</v>
      </c>
      <c r="B709" t="s">
        <v>81</v>
      </c>
      <c r="C709" t="s">
        <v>173</v>
      </c>
      <c r="D709" t="s">
        <v>15</v>
      </c>
      <c r="E709" t="s">
        <v>5132</v>
      </c>
      <c r="F709" t="s">
        <v>5133</v>
      </c>
      <c r="G709" t="s">
        <v>55</v>
      </c>
      <c r="H709" t="s">
        <v>19</v>
      </c>
      <c r="I709" t="str">
        <f>LEFT(H709,FIND(" (",H709)-1)</f>
        <v>Entry</v>
      </c>
      <c r="J709" t="str">
        <f>MID(H709,FIND("(",H709)+1,FIND(")",H709)-FIND("(",H709)-1)</f>
        <v>0-2 yrs</v>
      </c>
      <c r="L709">
        <v>92110</v>
      </c>
      <c r="M709" t="s">
        <v>1542</v>
      </c>
      <c r="N709" t="s">
        <v>33</v>
      </c>
      <c r="O709" t="s">
        <v>51</v>
      </c>
      <c r="P709" s="1">
        <v>45518</v>
      </c>
      <c r="Q709">
        <v>1196</v>
      </c>
      <c r="R709">
        <v>1014</v>
      </c>
      <c r="S709" t="s">
        <v>99</v>
      </c>
      <c r="T709">
        <v>0</v>
      </c>
      <c r="U709" t="s">
        <v>58</v>
      </c>
      <c r="V709" t="s">
        <v>24</v>
      </c>
      <c r="W709" t="s">
        <v>34</v>
      </c>
    </row>
    <row r="710" spans="1:23" x14ac:dyDescent="0.3">
      <c r="A710" t="s">
        <v>1543</v>
      </c>
      <c r="B710" t="s">
        <v>151</v>
      </c>
      <c r="C710" t="s">
        <v>128</v>
      </c>
      <c r="D710" t="s">
        <v>75</v>
      </c>
      <c r="E710" t="s">
        <v>29</v>
      </c>
      <c r="F710" t="s">
        <v>30</v>
      </c>
      <c r="G710" t="s">
        <v>55</v>
      </c>
      <c r="H710" t="s">
        <v>66</v>
      </c>
      <c r="I710" t="str">
        <f>LEFT(H710,FIND(" (",H710)-1)</f>
        <v>Senior</v>
      </c>
      <c r="J710" t="str">
        <f>MID(H710,FIND("(",H710)+1,FIND(")",H710)-FIND("(",H710)-1)</f>
        <v>5-8 yrs</v>
      </c>
      <c r="L710">
        <v>93787</v>
      </c>
      <c r="M710" t="s">
        <v>1544</v>
      </c>
      <c r="N710" t="s">
        <v>68</v>
      </c>
      <c r="O710" t="s">
        <v>51</v>
      </c>
      <c r="P710" s="1">
        <v>45731</v>
      </c>
      <c r="Q710">
        <v>1885</v>
      </c>
      <c r="R710">
        <v>3068</v>
      </c>
      <c r="S710" t="s">
        <v>23</v>
      </c>
      <c r="T710">
        <v>4</v>
      </c>
      <c r="U710" t="s">
        <v>45</v>
      </c>
      <c r="V710" t="s">
        <v>59</v>
      </c>
      <c r="W710" t="s">
        <v>34</v>
      </c>
    </row>
    <row r="711" spans="1:23" x14ac:dyDescent="0.3">
      <c r="A711" t="s">
        <v>1545</v>
      </c>
      <c r="B711" t="s">
        <v>225</v>
      </c>
      <c r="C711" t="s">
        <v>182</v>
      </c>
      <c r="D711" t="s">
        <v>38</v>
      </c>
      <c r="E711" t="s">
        <v>29</v>
      </c>
      <c r="F711" t="s">
        <v>30</v>
      </c>
      <c r="G711" t="s">
        <v>18</v>
      </c>
      <c r="H711" t="s">
        <v>66</v>
      </c>
      <c r="I711" t="str">
        <f>LEFT(H711,FIND(" (",H711)-1)</f>
        <v>Senior</v>
      </c>
      <c r="J711" t="str">
        <f>MID(H711,FIND("(",H711)+1,FIND(")",H711)-FIND("(",H711)-1)</f>
        <v>5-8 yrs</v>
      </c>
      <c r="L711">
        <v>195804</v>
      </c>
      <c r="M711" t="s">
        <v>1546</v>
      </c>
      <c r="N711" t="s">
        <v>33</v>
      </c>
      <c r="O711" t="s">
        <v>44</v>
      </c>
      <c r="P711" s="1">
        <v>45474</v>
      </c>
      <c r="Q711">
        <v>827</v>
      </c>
      <c r="R711">
        <v>405</v>
      </c>
      <c r="S711" t="s">
        <v>99</v>
      </c>
      <c r="T711">
        <v>4</v>
      </c>
      <c r="U711" t="s">
        <v>83</v>
      </c>
      <c r="V711" t="s">
        <v>59</v>
      </c>
      <c r="W711" t="s">
        <v>23</v>
      </c>
    </row>
    <row r="712" spans="1:23" x14ac:dyDescent="0.3">
      <c r="A712" t="s">
        <v>1547</v>
      </c>
      <c r="B712" t="s">
        <v>13</v>
      </c>
      <c r="C712" t="s">
        <v>37</v>
      </c>
      <c r="D712" t="s">
        <v>147</v>
      </c>
      <c r="E712" t="s">
        <v>5141</v>
      </c>
      <c r="F712" t="s">
        <v>5133</v>
      </c>
      <c r="G712" t="s">
        <v>41</v>
      </c>
      <c r="H712" t="s">
        <v>56</v>
      </c>
      <c r="I712" t="str">
        <f>LEFT(H712,FIND(" (",H712)-1)</f>
        <v>Mid</v>
      </c>
      <c r="J712" t="str">
        <f>MID(H712,FIND("(",H712)+1,FIND(")",H712)-FIND("(",H712)-1)</f>
        <v>2-5 yrs</v>
      </c>
      <c r="L712">
        <v>114178</v>
      </c>
      <c r="M712" t="s">
        <v>1548</v>
      </c>
      <c r="N712" t="s">
        <v>89</v>
      </c>
      <c r="O712" t="s">
        <v>22</v>
      </c>
      <c r="P712" s="1">
        <v>45622</v>
      </c>
      <c r="Q712">
        <v>1001</v>
      </c>
      <c r="R712">
        <v>100</v>
      </c>
      <c r="S712" t="s">
        <v>23</v>
      </c>
      <c r="T712">
        <v>2</v>
      </c>
      <c r="U712" t="s">
        <v>83</v>
      </c>
      <c r="V712" t="s">
        <v>24</v>
      </c>
      <c r="W712" t="s">
        <v>23</v>
      </c>
    </row>
    <row r="713" spans="1:23" x14ac:dyDescent="0.3">
      <c r="A713" t="s">
        <v>1549</v>
      </c>
      <c r="B713" t="s">
        <v>96</v>
      </c>
      <c r="C713" t="s">
        <v>192</v>
      </c>
      <c r="D713" t="s">
        <v>147</v>
      </c>
      <c r="E713" t="s">
        <v>5136</v>
      </c>
      <c r="F713" t="s">
        <v>5133</v>
      </c>
      <c r="G713" t="s">
        <v>41</v>
      </c>
      <c r="H713" t="s">
        <v>56</v>
      </c>
      <c r="I713" t="str">
        <f>LEFT(H713,FIND(" (",H713)-1)</f>
        <v>Mid</v>
      </c>
      <c r="J713" t="str">
        <f>MID(H713,FIND("(",H713)+1,FIND(")",H713)-FIND("(",H713)-1)</f>
        <v>2-5 yrs</v>
      </c>
      <c r="L713">
        <v>108085</v>
      </c>
      <c r="M713" t="s">
        <v>1550</v>
      </c>
      <c r="N713" t="s">
        <v>33</v>
      </c>
      <c r="O713" t="s">
        <v>44</v>
      </c>
      <c r="P713" s="1">
        <v>45325</v>
      </c>
      <c r="Q713">
        <v>846</v>
      </c>
      <c r="R713">
        <v>1633</v>
      </c>
      <c r="S713" t="s">
        <v>34</v>
      </c>
      <c r="T713">
        <v>2</v>
      </c>
      <c r="U713" t="s">
        <v>58</v>
      </c>
      <c r="V713" t="s">
        <v>24</v>
      </c>
      <c r="W713" t="s">
        <v>23</v>
      </c>
    </row>
    <row r="714" spans="1:23" x14ac:dyDescent="0.3">
      <c r="A714" t="s">
        <v>1551</v>
      </c>
      <c r="B714" t="s">
        <v>81</v>
      </c>
      <c r="C714" t="s">
        <v>195</v>
      </c>
      <c r="D714" t="s">
        <v>15</v>
      </c>
      <c r="E714" t="s">
        <v>29</v>
      </c>
      <c r="F714" t="s">
        <v>30</v>
      </c>
      <c r="G714" t="s">
        <v>41</v>
      </c>
      <c r="H714" t="s">
        <v>66</v>
      </c>
      <c r="I714" t="str">
        <f>LEFT(H714,FIND(" (",H714)-1)</f>
        <v>Senior</v>
      </c>
      <c r="J714" t="str">
        <f>MID(H714,FIND("(",H714)+1,FIND(")",H714)-FIND("(",H714)-1)</f>
        <v>5-8 yrs</v>
      </c>
      <c r="L714">
        <v>135287</v>
      </c>
      <c r="M714" t="s">
        <v>1552</v>
      </c>
      <c r="N714" t="s">
        <v>33</v>
      </c>
      <c r="O714" t="s">
        <v>44</v>
      </c>
      <c r="P714" s="1">
        <v>45740</v>
      </c>
      <c r="Q714">
        <v>1767</v>
      </c>
      <c r="R714">
        <v>2416</v>
      </c>
      <c r="S714" t="s">
        <v>34</v>
      </c>
      <c r="T714">
        <v>4</v>
      </c>
      <c r="U714" t="s">
        <v>5123</v>
      </c>
      <c r="V714" t="s">
        <v>24</v>
      </c>
      <c r="W714" t="s">
        <v>23</v>
      </c>
    </row>
    <row r="715" spans="1:23" x14ac:dyDescent="0.3">
      <c r="A715" t="s">
        <v>1553</v>
      </c>
      <c r="B715" t="s">
        <v>222</v>
      </c>
      <c r="C715" t="s">
        <v>107</v>
      </c>
      <c r="D715" t="s">
        <v>49</v>
      </c>
      <c r="E715" t="s">
        <v>29</v>
      </c>
      <c r="F715" t="s">
        <v>30</v>
      </c>
      <c r="G715" t="s">
        <v>55</v>
      </c>
      <c r="H715" t="s">
        <v>56</v>
      </c>
      <c r="I715" t="str">
        <f>LEFT(H715,FIND(" (",H715)-1)</f>
        <v>Mid</v>
      </c>
      <c r="J715" t="str">
        <f>MID(H715,FIND("(",H715)+1,FIND(")",H715)-FIND("(",H715)-1)</f>
        <v>2-5 yrs</v>
      </c>
      <c r="L715">
        <v>117902</v>
      </c>
      <c r="M715" t="s">
        <v>1554</v>
      </c>
      <c r="N715" t="s">
        <v>33</v>
      </c>
      <c r="O715" t="s">
        <v>51</v>
      </c>
      <c r="P715" s="1">
        <v>45688</v>
      </c>
      <c r="Q715">
        <v>685</v>
      </c>
      <c r="R715">
        <v>3885</v>
      </c>
      <c r="S715" t="s">
        <v>23</v>
      </c>
      <c r="T715">
        <v>2</v>
      </c>
      <c r="U715" t="s">
        <v>58</v>
      </c>
      <c r="V715" t="s">
        <v>59</v>
      </c>
      <c r="W715" t="s">
        <v>34</v>
      </c>
    </row>
    <row r="716" spans="1:23" x14ac:dyDescent="0.3">
      <c r="A716" t="s">
        <v>1555</v>
      </c>
      <c r="B716" t="s">
        <v>96</v>
      </c>
      <c r="C716" t="s">
        <v>173</v>
      </c>
      <c r="D716" t="s">
        <v>147</v>
      </c>
      <c r="E716" t="s">
        <v>5132</v>
      </c>
      <c r="F716" t="s">
        <v>5133</v>
      </c>
      <c r="G716" t="s">
        <v>18</v>
      </c>
      <c r="H716" t="s">
        <v>56</v>
      </c>
      <c r="I716" t="str">
        <f>LEFT(H716,FIND(" (",H716)-1)</f>
        <v>Mid</v>
      </c>
      <c r="J716" t="str">
        <f>MID(H716,FIND("(",H716)+1,FIND(")",H716)-FIND("(",H716)-1)</f>
        <v>2-5 yrs</v>
      </c>
      <c r="L716">
        <v>109254</v>
      </c>
      <c r="M716" t="s">
        <v>1556</v>
      </c>
      <c r="N716" t="s">
        <v>68</v>
      </c>
      <c r="O716" t="s">
        <v>22</v>
      </c>
      <c r="P716" s="1">
        <v>45451</v>
      </c>
      <c r="Q716">
        <v>1738</v>
      </c>
      <c r="R716">
        <v>2661</v>
      </c>
      <c r="S716" t="s">
        <v>23</v>
      </c>
      <c r="T716">
        <v>2</v>
      </c>
      <c r="U716" t="s">
        <v>45</v>
      </c>
      <c r="V716" t="s">
        <v>24</v>
      </c>
      <c r="W716" t="s">
        <v>34</v>
      </c>
    </row>
    <row r="717" spans="1:23" x14ac:dyDescent="0.3">
      <c r="A717" t="s">
        <v>1557</v>
      </c>
      <c r="B717" t="s">
        <v>36</v>
      </c>
      <c r="C717" t="s">
        <v>124</v>
      </c>
      <c r="D717" t="s">
        <v>15</v>
      </c>
      <c r="E717" t="s">
        <v>216</v>
      </c>
      <c r="F717" t="s">
        <v>217</v>
      </c>
      <c r="G717" t="s">
        <v>18</v>
      </c>
      <c r="H717" t="s">
        <v>19</v>
      </c>
      <c r="I717" t="str">
        <f>LEFT(H717,FIND(" (",H717)-1)</f>
        <v>Entry</v>
      </c>
      <c r="J717" t="str">
        <f>MID(H717,FIND("(",H717)+1,FIND(")",H717)-FIND("(",H717)-1)</f>
        <v>0-2 yrs</v>
      </c>
      <c r="L717">
        <v>83901</v>
      </c>
      <c r="M717" t="s">
        <v>1558</v>
      </c>
      <c r="N717" t="s">
        <v>94</v>
      </c>
      <c r="O717" t="s">
        <v>51</v>
      </c>
      <c r="P717" s="1">
        <v>45577</v>
      </c>
      <c r="Q717">
        <v>1554</v>
      </c>
      <c r="R717">
        <v>123</v>
      </c>
      <c r="S717" t="s">
        <v>23</v>
      </c>
      <c r="T717">
        <v>0</v>
      </c>
      <c r="U717" t="s">
        <v>83</v>
      </c>
      <c r="V717" t="s">
        <v>24</v>
      </c>
      <c r="W717" t="s">
        <v>23</v>
      </c>
    </row>
    <row r="718" spans="1:23" x14ac:dyDescent="0.3">
      <c r="A718" t="s">
        <v>1559</v>
      </c>
      <c r="B718" t="s">
        <v>222</v>
      </c>
      <c r="C718" t="s">
        <v>195</v>
      </c>
      <c r="D718" t="s">
        <v>174</v>
      </c>
      <c r="E718" t="s">
        <v>216</v>
      </c>
      <c r="F718" t="s">
        <v>217</v>
      </c>
      <c r="G718" t="s">
        <v>41</v>
      </c>
      <c r="H718" t="s">
        <v>56</v>
      </c>
      <c r="I718" t="str">
        <f>LEFT(H718,FIND(" (",H718)-1)</f>
        <v>Mid</v>
      </c>
      <c r="J718" t="str">
        <f>MID(H718,FIND("(",H718)+1,FIND(")",H718)-FIND("(",H718)-1)</f>
        <v>2-5 yrs</v>
      </c>
      <c r="L718">
        <v>112261</v>
      </c>
      <c r="M718" t="s">
        <v>1560</v>
      </c>
      <c r="N718" t="s">
        <v>33</v>
      </c>
      <c r="O718" t="s">
        <v>51</v>
      </c>
      <c r="P718" s="1">
        <v>45566</v>
      </c>
      <c r="Q718">
        <v>2105</v>
      </c>
      <c r="R718">
        <v>2903</v>
      </c>
      <c r="S718" t="s">
        <v>23</v>
      </c>
      <c r="T718">
        <v>2</v>
      </c>
      <c r="U718" t="s">
        <v>52</v>
      </c>
      <c r="V718" t="s">
        <v>24</v>
      </c>
      <c r="W718" t="s">
        <v>23</v>
      </c>
    </row>
    <row r="719" spans="1:23" x14ac:dyDescent="0.3">
      <c r="A719" t="s">
        <v>1561</v>
      </c>
      <c r="B719" t="s">
        <v>172</v>
      </c>
      <c r="C719" t="s">
        <v>37</v>
      </c>
      <c r="D719" t="s">
        <v>75</v>
      </c>
      <c r="E719" t="s">
        <v>216</v>
      </c>
      <c r="F719" t="s">
        <v>217</v>
      </c>
      <c r="G719" t="s">
        <v>18</v>
      </c>
      <c r="H719" t="s">
        <v>19</v>
      </c>
      <c r="I719" t="str">
        <f>LEFT(H719,FIND(" (",H719)-1)</f>
        <v>Entry</v>
      </c>
      <c r="J719" t="str">
        <f>MID(H719,FIND("(",H719)+1,FIND(")",H719)-FIND("(",H719)-1)</f>
        <v>0-2 yrs</v>
      </c>
      <c r="L719">
        <v>71893</v>
      </c>
      <c r="M719" t="s">
        <v>1562</v>
      </c>
      <c r="N719" t="s">
        <v>68</v>
      </c>
      <c r="O719" t="s">
        <v>22</v>
      </c>
      <c r="P719" s="1">
        <v>45567</v>
      </c>
      <c r="Q719">
        <v>708</v>
      </c>
      <c r="R719">
        <v>2048</v>
      </c>
      <c r="S719" t="s">
        <v>34</v>
      </c>
      <c r="T719">
        <v>0</v>
      </c>
      <c r="U719" t="s">
        <v>52</v>
      </c>
      <c r="V719" t="s">
        <v>46</v>
      </c>
      <c r="W719" t="s">
        <v>23</v>
      </c>
    </row>
    <row r="720" spans="1:23" x14ac:dyDescent="0.3">
      <c r="A720" t="s">
        <v>1563</v>
      </c>
      <c r="B720" t="s">
        <v>172</v>
      </c>
      <c r="C720" t="s">
        <v>132</v>
      </c>
      <c r="D720" t="s">
        <v>174</v>
      </c>
      <c r="E720" t="s">
        <v>39</v>
      </c>
      <c r="F720" t="s">
        <v>40</v>
      </c>
      <c r="G720" t="s">
        <v>55</v>
      </c>
      <c r="H720" t="s">
        <v>31</v>
      </c>
      <c r="I720" t="str">
        <f>LEFT(H720,FIND(" (",H720)-1)</f>
        <v>Staff/Principal</v>
      </c>
      <c r="J720" t="str">
        <f>MID(H720,FIND("(",H720)+1,FIND(")",H720)-FIND("(",H720)-1)</f>
        <v>8+ yrs</v>
      </c>
      <c r="L720">
        <v>186909</v>
      </c>
      <c r="M720" t="s">
        <v>1564</v>
      </c>
      <c r="N720" t="s">
        <v>141</v>
      </c>
      <c r="O720" t="s">
        <v>22</v>
      </c>
      <c r="P720" s="1">
        <v>45634</v>
      </c>
      <c r="Q720">
        <v>2267</v>
      </c>
      <c r="R720">
        <v>3331</v>
      </c>
      <c r="S720" t="s">
        <v>23</v>
      </c>
      <c r="T720">
        <v>6</v>
      </c>
      <c r="U720" t="s">
        <v>83</v>
      </c>
      <c r="V720" t="s">
        <v>24</v>
      </c>
      <c r="W720" t="s">
        <v>23</v>
      </c>
    </row>
    <row r="721" spans="1:23" x14ac:dyDescent="0.3">
      <c r="A721" t="s">
        <v>1565</v>
      </c>
      <c r="B721" t="s">
        <v>236</v>
      </c>
      <c r="C721" t="s">
        <v>14</v>
      </c>
      <c r="D721" t="s">
        <v>147</v>
      </c>
      <c r="E721" t="s">
        <v>133</v>
      </c>
      <c r="F721" t="s">
        <v>134</v>
      </c>
      <c r="G721" t="s">
        <v>41</v>
      </c>
      <c r="H721" t="s">
        <v>31</v>
      </c>
      <c r="I721" t="str">
        <f>LEFT(H721,FIND(" (",H721)-1)</f>
        <v>Staff/Principal</v>
      </c>
      <c r="J721" t="str">
        <f>MID(H721,FIND("(",H721)+1,FIND(")",H721)-FIND("(",H721)-1)</f>
        <v>8+ yrs</v>
      </c>
      <c r="L721">
        <v>197949</v>
      </c>
      <c r="M721" t="s">
        <v>1566</v>
      </c>
      <c r="N721" t="s">
        <v>33</v>
      </c>
      <c r="O721" t="s">
        <v>51</v>
      </c>
      <c r="P721" s="1">
        <v>45436</v>
      </c>
      <c r="Q721">
        <v>637</v>
      </c>
      <c r="R721">
        <v>2018</v>
      </c>
      <c r="S721" t="s">
        <v>34</v>
      </c>
      <c r="T721">
        <v>6</v>
      </c>
      <c r="U721" t="s">
        <v>5123</v>
      </c>
      <c r="V721" t="s">
        <v>24</v>
      </c>
      <c r="W721" t="s">
        <v>23</v>
      </c>
    </row>
    <row r="722" spans="1:23" x14ac:dyDescent="0.3">
      <c r="A722" t="s">
        <v>1567</v>
      </c>
      <c r="B722" t="s">
        <v>137</v>
      </c>
      <c r="C722" t="s">
        <v>204</v>
      </c>
      <c r="D722" t="s">
        <v>49</v>
      </c>
      <c r="E722" t="s">
        <v>159</v>
      </c>
      <c r="F722" t="s">
        <v>160</v>
      </c>
      <c r="G722" t="s">
        <v>55</v>
      </c>
      <c r="H722" t="s">
        <v>66</v>
      </c>
      <c r="I722" t="str">
        <f>LEFT(H722,FIND(" (",H722)-1)</f>
        <v>Senior</v>
      </c>
      <c r="J722" t="str">
        <f>MID(H722,FIND("(",H722)+1,FIND(")",H722)-FIND("(",H722)-1)</f>
        <v>5-8 yrs</v>
      </c>
      <c r="L722">
        <v>158310</v>
      </c>
      <c r="M722" t="s">
        <v>1568</v>
      </c>
      <c r="N722" t="s">
        <v>33</v>
      </c>
      <c r="O722" t="s">
        <v>51</v>
      </c>
      <c r="P722" s="1">
        <v>45686</v>
      </c>
      <c r="Q722">
        <v>1010</v>
      </c>
      <c r="R722">
        <v>2635</v>
      </c>
      <c r="S722" t="s">
        <v>23</v>
      </c>
      <c r="T722">
        <v>4</v>
      </c>
      <c r="U722" t="s">
        <v>5123</v>
      </c>
      <c r="V722" t="s">
        <v>24</v>
      </c>
      <c r="W722" t="s">
        <v>34</v>
      </c>
    </row>
    <row r="723" spans="1:23" x14ac:dyDescent="0.3">
      <c r="A723" t="s">
        <v>1569</v>
      </c>
      <c r="B723" t="s">
        <v>81</v>
      </c>
      <c r="C723" t="s">
        <v>62</v>
      </c>
      <c r="D723" t="s">
        <v>125</v>
      </c>
      <c r="E723" t="s">
        <v>87</v>
      </c>
      <c r="F723" t="s">
        <v>87</v>
      </c>
      <c r="G723" t="s">
        <v>18</v>
      </c>
      <c r="H723" t="s">
        <v>31</v>
      </c>
      <c r="I723" t="str">
        <f>LEFT(H723,FIND(" (",H723)-1)</f>
        <v>Staff/Principal</v>
      </c>
      <c r="J723" t="str">
        <f>MID(H723,FIND("(",H723)+1,FIND(")",H723)-FIND("(",H723)-1)</f>
        <v>8+ yrs</v>
      </c>
      <c r="L723">
        <v>138433</v>
      </c>
      <c r="M723" t="s">
        <v>1570</v>
      </c>
      <c r="N723" t="s">
        <v>94</v>
      </c>
      <c r="O723" t="s">
        <v>51</v>
      </c>
      <c r="P723" s="1">
        <v>45567</v>
      </c>
      <c r="Q723">
        <v>483</v>
      </c>
      <c r="R723">
        <v>3740</v>
      </c>
      <c r="S723" t="s">
        <v>34</v>
      </c>
      <c r="T723">
        <v>6</v>
      </c>
      <c r="U723" t="s">
        <v>58</v>
      </c>
      <c r="V723" t="s">
        <v>46</v>
      </c>
      <c r="W723" t="s">
        <v>23</v>
      </c>
    </row>
    <row r="724" spans="1:23" x14ac:dyDescent="0.3">
      <c r="A724" t="s">
        <v>1571</v>
      </c>
      <c r="B724" t="s">
        <v>236</v>
      </c>
      <c r="C724" t="s">
        <v>48</v>
      </c>
      <c r="D724" t="s">
        <v>174</v>
      </c>
      <c r="E724" t="s">
        <v>87</v>
      </c>
      <c r="F724" t="s">
        <v>87</v>
      </c>
      <c r="G724" t="s">
        <v>41</v>
      </c>
      <c r="H724" t="s">
        <v>19</v>
      </c>
      <c r="I724" t="str">
        <f>LEFT(H724,FIND(" (",H724)-1)</f>
        <v>Entry</v>
      </c>
      <c r="J724" t="str">
        <f>MID(H724,FIND("(",H724)+1,FIND(")",H724)-FIND("(",H724)-1)</f>
        <v>0-2 yrs</v>
      </c>
      <c r="L724">
        <v>53012</v>
      </c>
      <c r="M724" t="s">
        <v>1572</v>
      </c>
      <c r="N724" t="s">
        <v>245</v>
      </c>
      <c r="O724" t="s">
        <v>79</v>
      </c>
      <c r="P724" s="1">
        <v>45584</v>
      </c>
      <c r="Q724">
        <v>1897</v>
      </c>
      <c r="R724">
        <v>3395</v>
      </c>
      <c r="S724" t="s">
        <v>34</v>
      </c>
      <c r="T724">
        <v>0</v>
      </c>
      <c r="U724" t="s">
        <v>58</v>
      </c>
      <c r="V724" t="s">
        <v>24</v>
      </c>
      <c r="W724" t="s">
        <v>34</v>
      </c>
    </row>
    <row r="725" spans="1:23" x14ac:dyDescent="0.3">
      <c r="A725" t="s">
        <v>1573</v>
      </c>
      <c r="B725" t="s">
        <v>91</v>
      </c>
      <c r="C725" t="s">
        <v>14</v>
      </c>
      <c r="D725" t="s">
        <v>147</v>
      </c>
      <c r="E725" t="s">
        <v>5139</v>
      </c>
      <c r="F725" t="s">
        <v>5133</v>
      </c>
      <c r="G725" t="s">
        <v>41</v>
      </c>
      <c r="H725" t="s">
        <v>66</v>
      </c>
      <c r="I725" t="str">
        <f>LEFT(H725,FIND(" (",H725)-1)</f>
        <v>Senior</v>
      </c>
      <c r="J725" t="str">
        <f>MID(H725,FIND("(",H725)+1,FIND(")",H725)-FIND("(",H725)-1)</f>
        <v>5-8 yrs</v>
      </c>
      <c r="L725">
        <v>170068</v>
      </c>
      <c r="M725" t="s">
        <v>1574</v>
      </c>
      <c r="N725" t="s">
        <v>186</v>
      </c>
      <c r="O725" t="s">
        <v>51</v>
      </c>
      <c r="P725" s="1">
        <v>45655</v>
      </c>
      <c r="Q725">
        <v>1076</v>
      </c>
      <c r="R725">
        <v>3355</v>
      </c>
      <c r="S725" t="s">
        <v>23</v>
      </c>
      <c r="T725">
        <v>4</v>
      </c>
      <c r="U725" t="s">
        <v>45</v>
      </c>
      <c r="V725" t="s">
        <v>24</v>
      </c>
      <c r="W725" t="s">
        <v>23</v>
      </c>
    </row>
    <row r="726" spans="1:23" x14ac:dyDescent="0.3">
      <c r="A726" t="s">
        <v>1575</v>
      </c>
      <c r="B726" t="s">
        <v>137</v>
      </c>
      <c r="C726" t="s">
        <v>192</v>
      </c>
      <c r="D726" t="s">
        <v>49</v>
      </c>
      <c r="E726" t="s">
        <v>39</v>
      </c>
      <c r="F726" t="s">
        <v>40</v>
      </c>
      <c r="G726" t="s">
        <v>18</v>
      </c>
      <c r="H726" t="s">
        <v>19</v>
      </c>
      <c r="I726" t="str">
        <f>LEFT(H726,FIND(" (",H726)-1)</f>
        <v>Entry</v>
      </c>
      <c r="J726" t="str">
        <f>MID(H726,FIND("(",H726)+1,FIND(")",H726)-FIND("(",H726)-1)</f>
        <v>0-2 yrs</v>
      </c>
      <c r="L726">
        <v>72152</v>
      </c>
      <c r="M726" t="s">
        <v>1576</v>
      </c>
      <c r="N726" t="s">
        <v>33</v>
      </c>
      <c r="O726" t="s">
        <v>22</v>
      </c>
      <c r="P726" s="1">
        <v>45645</v>
      </c>
      <c r="Q726">
        <v>1640</v>
      </c>
      <c r="R726">
        <v>695</v>
      </c>
      <c r="S726" t="s">
        <v>99</v>
      </c>
      <c r="T726">
        <v>0</v>
      </c>
      <c r="U726" t="s">
        <v>45</v>
      </c>
      <c r="V726" t="s">
        <v>46</v>
      </c>
      <c r="W726" t="s">
        <v>23</v>
      </c>
    </row>
    <row r="727" spans="1:23" x14ac:dyDescent="0.3">
      <c r="A727" t="s">
        <v>1577</v>
      </c>
      <c r="B727" t="s">
        <v>137</v>
      </c>
      <c r="C727" t="s">
        <v>204</v>
      </c>
      <c r="D727" t="s">
        <v>125</v>
      </c>
      <c r="E727" t="s">
        <v>133</v>
      </c>
      <c r="F727" t="s">
        <v>134</v>
      </c>
      <c r="G727" t="s">
        <v>18</v>
      </c>
      <c r="H727" t="s">
        <v>66</v>
      </c>
      <c r="I727" t="str">
        <f>LEFT(H727,FIND(" (",H727)-1)</f>
        <v>Senior</v>
      </c>
      <c r="J727" t="str">
        <f>MID(H727,FIND("(",H727)+1,FIND(")",H727)-FIND("(",H727)-1)</f>
        <v>5-8 yrs</v>
      </c>
      <c r="L727">
        <v>145032</v>
      </c>
      <c r="M727" t="s">
        <v>1578</v>
      </c>
      <c r="N727" t="s">
        <v>89</v>
      </c>
      <c r="O727" t="s">
        <v>51</v>
      </c>
      <c r="P727" s="1">
        <v>45730</v>
      </c>
      <c r="Q727">
        <v>446</v>
      </c>
      <c r="R727">
        <v>1930</v>
      </c>
      <c r="S727" t="s">
        <v>23</v>
      </c>
      <c r="T727">
        <v>4</v>
      </c>
      <c r="U727" t="s">
        <v>5123</v>
      </c>
      <c r="V727" t="s">
        <v>24</v>
      </c>
      <c r="W727" t="s">
        <v>23</v>
      </c>
    </row>
    <row r="728" spans="1:23" x14ac:dyDescent="0.3">
      <c r="A728" t="s">
        <v>1579</v>
      </c>
      <c r="B728" t="s">
        <v>222</v>
      </c>
      <c r="C728" t="s">
        <v>71</v>
      </c>
      <c r="D728" t="s">
        <v>38</v>
      </c>
      <c r="E728" t="s">
        <v>5136</v>
      </c>
      <c r="F728" t="s">
        <v>5133</v>
      </c>
      <c r="G728" t="s">
        <v>18</v>
      </c>
      <c r="H728" t="s">
        <v>19</v>
      </c>
      <c r="I728" t="str">
        <f>LEFT(H728,FIND(" (",H728)-1)</f>
        <v>Entry</v>
      </c>
      <c r="J728" t="str">
        <f>MID(H728,FIND("(",H728)+1,FIND(")",H728)-FIND("(",H728)-1)</f>
        <v>0-2 yrs</v>
      </c>
      <c r="L728">
        <v>70232</v>
      </c>
      <c r="M728" t="s">
        <v>1580</v>
      </c>
      <c r="N728" t="s">
        <v>94</v>
      </c>
      <c r="O728" t="s">
        <v>44</v>
      </c>
      <c r="P728" s="1">
        <v>45607</v>
      </c>
      <c r="Q728">
        <v>1602</v>
      </c>
      <c r="R728">
        <v>189</v>
      </c>
      <c r="S728" t="s">
        <v>23</v>
      </c>
      <c r="T728">
        <v>0</v>
      </c>
      <c r="U728" t="s">
        <v>52</v>
      </c>
      <c r="V728" t="s">
        <v>24</v>
      </c>
      <c r="W728" t="s">
        <v>23</v>
      </c>
    </row>
    <row r="729" spans="1:23" x14ac:dyDescent="0.3">
      <c r="A729" t="s">
        <v>1581</v>
      </c>
      <c r="B729" t="s">
        <v>222</v>
      </c>
      <c r="C729" t="s">
        <v>167</v>
      </c>
      <c r="D729" t="s">
        <v>38</v>
      </c>
      <c r="E729" t="s">
        <v>39</v>
      </c>
      <c r="F729" t="s">
        <v>40</v>
      </c>
      <c r="G729" t="s">
        <v>18</v>
      </c>
      <c r="H729" t="s">
        <v>66</v>
      </c>
      <c r="I729" t="str">
        <f>LEFT(H729,FIND(" (",H729)-1)</f>
        <v>Senior</v>
      </c>
      <c r="J729" t="str">
        <f>MID(H729,FIND("(",H729)+1,FIND(")",H729)-FIND("(",H729)-1)</f>
        <v>5-8 yrs</v>
      </c>
      <c r="L729">
        <v>159384</v>
      </c>
      <c r="M729" t="s">
        <v>1582</v>
      </c>
      <c r="N729" t="s">
        <v>245</v>
      </c>
      <c r="O729" t="s">
        <v>51</v>
      </c>
      <c r="P729" s="1">
        <v>45621</v>
      </c>
      <c r="Q729">
        <v>2097</v>
      </c>
      <c r="R729">
        <v>113</v>
      </c>
      <c r="S729" t="s">
        <v>99</v>
      </c>
      <c r="T729">
        <v>4</v>
      </c>
      <c r="U729" t="s">
        <v>5123</v>
      </c>
      <c r="V729" t="s">
        <v>59</v>
      </c>
      <c r="W729" t="s">
        <v>23</v>
      </c>
    </row>
    <row r="730" spans="1:23" x14ac:dyDescent="0.3">
      <c r="A730" t="s">
        <v>1583</v>
      </c>
      <c r="B730" t="s">
        <v>81</v>
      </c>
      <c r="C730" t="s">
        <v>124</v>
      </c>
      <c r="D730" t="s">
        <v>111</v>
      </c>
      <c r="E730" t="s">
        <v>64</v>
      </c>
      <c r="F730" t="s">
        <v>65</v>
      </c>
      <c r="G730" t="s">
        <v>41</v>
      </c>
      <c r="H730" t="s">
        <v>56</v>
      </c>
      <c r="I730" t="str">
        <f>LEFT(H730,FIND(" (",H730)-1)</f>
        <v>Mid</v>
      </c>
      <c r="J730" t="str">
        <f>MID(H730,FIND("(",H730)+1,FIND(")",H730)-FIND("(",H730)-1)</f>
        <v>2-5 yrs</v>
      </c>
      <c r="L730">
        <v>99312</v>
      </c>
      <c r="M730" t="s">
        <v>1584</v>
      </c>
      <c r="N730" t="s">
        <v>94</v>
      </c>
      <c r="O730" t="s">
        <v>44</v>
      </c>
      <c r="P730" s="1">
        <v>45454</v>
      </c>
      <c r="Q730">
        <v>1617</v>
      </c>
      <c r="R730">
        <v>1527</v>
      </c>
      <c r="S730" t="s">
        <v>34</v>
      </c>
      <c r="T730">
        <v>2</v>
      </c>
      <c r="U730" t="s">
        <v>5123</v>
      </c>
      <c r="V730" t="s">
        <v>24</v>
      </c>
      <c r="W730" t="s">
        <v>34</v>
      </c>
    </row>
    <row r="731" spans="1:23" x14ac:dyDescent="0.3">
      <c r="A731" t="s">
        <v>1585</v>
      </c>
      <c r="B731" t="s">
        <v>151</v>
      </c>
      <c r="C731" t="s">
        <v>97</v>
      </c>
      <c r="D731" t="s">
        <v>63</v>
      </c>
      <c r="E731" t="s">
        <v>5134</v>
      </c>
      <c r="F731" t="s">
        <v>5133</v>
      </c>
      <c r="G731" t="s">
        <v>41</v>
      </c>
      <c r="H731" t="s">
        <v>19</v>
      </c>
      <c r="I731" t="str">
        <f>LEFT(H731,FIND(" (",H731)-1)</f>
        <v>Entry</v>
      </c>
      <c r="J731" t="str">
        <f>MID(H731,FIND("(",H731)+1,FIND(")",H731)-FIND("(",H731)-1)</f>
        <v>0-2 yrs</v>
      </c>
      <c r="L731">
        <v>60193</v>
      </c>
      <c r="M731" t="s">
        <v>1586</v>
      </c>
      <c r="N731" t="s">
        <v>186</v>
      </c>
      <c r="O731" t="s">
        <v>79</v>
      </c>
      <c r="P731" s="1">
        <v>45353</v>
      </c>
      <c r="Q731">
        <v>1881</v>
      </c>
      <c r="R731">
        <v>1166</v>
      </c>
      <c r="S731" t="s">
        <v>23</v>
      </c>
      <c r="T731">
        <v>0</v>
      </c>
      <c r="U731" t="s">
        <v>58</v>
      </c>
      <c r="V731" t="s">
        <v>24</v>
      </c>
      <c r="W731" t="s">
        <v>23</v>
      </c>
    </row>
    <row r="732" spans="1:23" x14ac:dyDescent="0.3">
      <c r="A732" t="s">
        <v>1587</v>
      </c>
      <c r="B732" t="s">
        <v>96</v>
      </c>
      <c r="C732" t="s">
        <v>54</v>
      </c>
      <c r="D732" t="s">
        <v>28</v>
      </c>
      <c r="E732" t="s">
        <v>5141</v>
      </c>
      <c r="F732" t="s">
        <v>5133</v>
      </c>
      <c r="G732" t="s">
        <v>55</v>
      </c>
      <c r="H732" t="s">
        <v>66</v>
      </c>
      <c r="I732" t="str">
        <f>LEFT(H732,FIND(" (",H732)-1)</f>
        <v>Senior</v>
      </c>
      <c r="J732" t="str">
        <f>MID(H732,FIND("(",H732)+1,FIND(")",H732)-FIND("(",H732)-1)</f>
        <v>5-8 yrs</v>
      </c>
      <c r="L732">
        <v>155287</v>
      </c>
      <c r="M732" t="s">
        <v>1588</v>
      </c>
      <c r="N732" t="s">
        <v>68</v>
      </c>
      <c r="O732" t="s">
        <v>44</v>
      </c>
      <c r="P732" s="1">
        <v>45617</v>
      </c>
      <c r="Q732">
        <v>1807</v>
      </c>
      <c r="R732">
        <v>3041</v>
      </c>
      <c r="S732" t="s">
        <v>34</v>
      </c>
      <c r="T732">
        <v>4</v>
      </c>
      <c r="U732" t="s">
        <v>45</v>
      </c>
      <c r="V732" t="s">
        <v>24</v>
      </c>
      <c r="W732" t="s">
        <v>23</v>
      </c>
    </row>
    <row r="733" spans="1:23" x14ac:dyDescent="0.3">
      <c r="A733" t="s">
        <v>1589</v>
      </c>
      <c r="B733" t="s">
        <v>26</v>
      </c>
      <c r="C733" t="s">
        <v>146</v>
      </c>
      <c r="D733" t="s">
        <v>147</v>
      </c>
      <c r="E733" t="s">
        <v>5134</v>
      </c>
      <c r="F733" t="s">
        <v>5133</v>
      </c>
      <c r="G733" t="s">
        <v>18</v>
      </c>
      <c r="H733" t="s">
        <v>56</v>
      </c>
      <c r="I733" t="str">
        <f>LEFT(H733,FIND(" (",H733)-1)</f>
        <v>Mid</v>
      </c>
      <c r="J733" t="str">
        <f>MID(H733,FIND("(",H733)+1,FIND(")",H733)-FIND("(",H733)-1)</f>
        <v>2-5 yrs</v>
      </c>
      <c r="L733">
        <v>90628</v>
      </c>
      <c r="M733" t="s">
        <v>1590</v>
      </c>
      <c r="N733" t="s">
        <v>33</v>
      </c>
      <c r="O733" t="s">
        <v>51</v>
      </c>
      <c r="P733" s="1">
        <v>45612</v>
      </c>
      <c r="Q733">
        <v>1683</v>
      </c>
      <c r="R733">
        <v>1345</v>
      </c>
      <c r="S733" t="s">
        <v>23</v>
      </c>
      <c r="T733">
        <v>2</v>
      </c>
      <c r="U733" t="s">
        <v>52</v>
      </c>
      <c r="V733" t="s">
        <v>59</v>
      </c>
      <c r="W733" t="s">
        <v>34</v>
      </c>
    </row>
    <row r="734" spans="1:23" x14ac:dyDescent="0.3">
      <c r="A734" t="s">
        <v>1591</v>
      </c>
      <c r="B734" t="s">
        <v>106</v>
      </c>
      <c r="C734" t="s">
        <v>209</v>
      </c>
      <c r="D734" t="s">
        <v>63</v>
      </c>
      <c r="E734" t="s">
        <v>200</v>
      </c>
      <c r="F734" t="s">
        <v>201</v>
      </c>
      <c r="G734" t="s">
        <v>18</v>
      </c>
      <c r="H734" t="s">
        <v>56</v>
      </c>
      <c r="I734" t="str">
        <f>LEFT(H734,FIND(" (",H734)-1)</f>
        <v>Mid</v>
      </c>
      <c r="J734" t="str">
        <f>MID(H734,FIND("(",H734)+1,FIND(")",H734)-FIND("(",H734)-1)</f>
        <v>2-5 yrs</v>
      </c>
      <c r="L734">
        <v>118083</v>
      </c>
      <c r="M734" t="s">
        <v>1592</v>
      </c>
      <c r="N734" t="s">
        <v>141</v>
      </c>
      <c r="O734" t="s">
        <v>22</v>
      </c>
      <c r="P734" s="1">
        <v>45739</v>
      </c>
      <c r="Q734">
        <v>2152</v>
      </c>
      <c r="R734">
        <v>1240</v>
      </c>
      <c r="S734" t="s">
        <v>99</v>
      </c>
      <c r="T734">
        <v>2</v>
      </c>
      <c r="U734" t="s">
        <v>83</v>
      </c>
      <c r="V734" t="s">
        <v>24</v>
      </c>
      <c r="W734" t="s">
        <v>34</v>
      </c>
    </row>
    <row r="735" spans="1:23" x14ac:dyDescent="0.3">
      <c r="A735" t="s">
        <v>1593</v>
      </c>
      <c r="B735" t="s">
        <v>236</v>
      </c>
      <c r="C735" t="s">
        <v>173</v>
      </c>
      <c r="D735" t="s">
        <v>111</v>
      </c>
      <c r="E735" t="s">
        <v>5134</v>
      </c>
      <c r="F735" t="s">
        <v>5133</v>
      </c>
      <c r="G735" t="s">
        <v>55</v>
      </c>
      <c r="H735" t="s">
        <v>56</v>
      </c>
      <c r="I735" t="str">
        <f>LEFT(H735,FIND(" (",H735)-1)</f>
        <v>Mid</v>
      </c>
      <c r="J735" t="str">
        <f>MID(H735,FIND("(",H735)+1,FIND(")",H735)-FIND("(",H735)-1)</f>
        <v>2-5 yrs</v>
      </c>
      <c r="L735">
        <v>76288</v>
      </c>
      <c r="M735" t="s">
        <v>1594</v>
      </c>
      <c r="N735" t="s">
        <v>68</v>
      </c>
      <c r="O735" t="s">
        <v>44</v>
      </c>
      <c r="P735" s="1">
        <v>45513</v>
      </c>
      <c r="Q735">
        <v>1946</v>
      </c>
      <c r="R735">
        <v>2365</v>
      </c>
      <c r="S735" t="s">
        <v>23</v>
      </c>
      <c r="T735">
        <v>2</v>
      </c>
      <c r="U735" t="s">
        <v>52</v>
      </c>
      <c r="V735" t="s">
        <v>24</v>
      </c>
      <c r="W735" t="s">
        <v>34</v>
      </c>
    </row>
    <row r="736" spans="1:23" x14ac:dyDescent="0.3">
      <c r="A736" t="s">
        <v>1595</v>
      </c>
      <c r="B736" t="s">
        <v>91</v>
      </c>
      <c r="C736" t="s">
        <v>239</v>
      </c>
      <c r="D736" t="s">
        <v>15</v>
      </c>
      <c r="E736" t="s">
        <v>159</v>
      </c>
      <c r="F736" t="s">
        <v>160</v>
      </c>
      <c r="G736" t="s">
        <v>18</v>
      </c>
      <c r="H736" t="s">
        <v>56</v>
      </c>
      <c r="I736" t="str">
        <f>LEFT(H736,FIND(" (",H736)-1)</f>
        <v>Mid</v>
      </c>
      <c r="J736" t="str">
        <f>MID(H736,FIND("(",H736)+1,FIND(")",H736)-FIND("(",H736)-1)</f>
        <v>2-5 yrs</v>
      </c>
      <c r="L736">
        <v>130377</v>
      </c>
      <c r="M736" t="s">
        <v>1596</v>
      </c>
      <c r="N736" t="s">
        <v>186</v>
      </c>
      <c r="O736" t="s">
        <v>51</v>
      </c>
      <c r="P736" s="1">
        <v>45682</v>
      </c>
      <c r="Q736">
        <v>668</v>
      </c>
      <c r="R736">
        <v>1293</v>
      </c>
      <c r="S736" t="s">
        <v>99</v>
      </c>
      <c r="T736">
        <v>2</v>
      </c>
      <c r="U736" t="s">
        <v>45</v>
      </c>
      <c r="V736" t="s">
        <v>24</v>
      </c>
      <c r="W736" t="s">
        <v>34</v>
      </c>
    </row>
    <row r="737" spans="1:23" x14ac:dyDescent="0.3">
      <c r="A737" t="s">
        <v>1597</v>
      </c>
      <c r="B737" t="s">
        <v>106</v>
      </c>
      <c r="C737" t="s">
        <v>158</v>
      </c>
      <c r="D737" t="s">
        <v>75</v>
      </c>
      <c r="E737" t="s">
        <v>5136</v>
      </c>
      <c r="F737" t="s">
        <v>5133</v>
      </c>
      <c r="G737" t="s">
        <v>18</v>
      </c>
      <c r="H737" t="s">
        <v>66</v>
      </c>
      <c r="I737" t="str">
        <f>LEFT(H737,FIND(" (",H737)-1)</f>
        <v>Senior</v>
      </c>
      <c r="J737" t="str">
        <f>MID(H737,FIND("(",H737)+1,FIND(")",H737)-FIND("(",H737)-1)</f>
        <v>5-8 yrs</v>
      </c>
      <c r="L737">
        <v>162760</v>
      </c>
      <c r="M737" t="s">
        <v>1598</v>
      </c>
      <c r="N737" t="s">
        <v>149</v>
      </c>
      <c r="O737" t="s">
        <v>22</v>
      </c>
      <c r="P737" s="1">
        <v>45453</v>
      </c>
      <c r="Q737">
        <v>922</v>
      </c>
      <c r="R737">
        <v>678</v>
      </c>
      <c r="S737" t="s">
        <v>23</v>
      </c>
      <c r="T737">
        <v>4</v>
      </c>
      <c r="U737" t="s">
        <v>83</v>
      </c>
      <c r="V737" t="s">
        <v>59</v>
      </c>
      <c r="W737" t="s">
        <v>34</v>
      </c>
    </row>
    <row r="738" spans="1:23" x14ac:dyDescent="0.3">
      <c r="A738" t="s">
        <v>1599</v>
      </c>
      <c r="B738" t="s">
        <v>26</v>
      </c>
      <c r="C738" t="s">
        <v>209</v>
      </c>
      <c r="D738" t="s">
        <v>147</v>
      </c>
      <c r="E738" t="s">
        <v>16</v>
      </c>
      <c r="F738" t="s">
        <v>17</v>
      </c>
      <c r="G738" t="s">
        <v>41</v>
      </c>
      <c r="H738" t="s">
        <v>31</v>
      </c>
      <c r="I738" t="str">
        <f>LEFT(H738,FIND(" (",H738)-1)</f>
        <v>Staff/Principal</v>
      </c>
      <c r="J738" t="str">
        <f>MID(H738,FIND("(",H738)+1,FIND(")",H738)-FIND("(",H738)-1)</f>
        <v>8+ yrs</v>
      </c>
      <c r="L738">
        <v>209217</v>
      </c>
      <c r="M738" t="s">
        <v>1600</v>
      </c>
      <c r="N738" t="s">
        <v>186</v>
      </c>
      <c r="O738" t="s">
        <v>51</v>
      </c>
      <c r="P738" s="1">
        <v>45419</v>
      </c>
      <c r="Q738">
        <v>2253</v>
      </c>
      <c r="R738">
        <v>708</v>
      </c>
      <c r="S738" t="s">
        <v>23</v>
      </c>
      <c r="T738">
        <v>6</v>
      </c>
      <c r="U738" t="s">
        <v>83</v>
      </c>
      <c r="V738" t="s">
        <v>24</v>
      </c>
      <c r="W738" t="s">
        <v>23</v>
      </c>
    </row>
    <row r="739" spans="1:23" x14ac:dyDescent="0.3">
      <c r="A739" t="s">
        <v>1601</v>
      </c>
      <c r="B739" t="s">
        <v>172</v>
      </c>
      <c r="C739" t="s">
        <v>239</v>
      </c>
      <c r="D739" t="s">
        <v>125</v>
      </c>
      <c r="E739" t="s">
        <v>39</v>
      </c>
      <c r="F739" t="s">
        <v>40</v>
      </c>
      <c r="G739" t="s">
        <v>55</v>
      </c>
      <c r="H739" t="s">
        <v>56</v>
      </c>
      <c r="I739" t="str">
        <f>LEFT(H739,FIND(" (",H739)-1)</f>
        <v>Mid</v>
      </c>
      <c r="J739" t="str">
        <f>MID(H739,FIND("(",H739)+1,FIND(")",H739)-FIND("(",H739)-1)</f>
        <v>2-5 yrs</v>
      </c>
      <c r="L739">
        <v>129457</v>
      </c>
      <c r="M739" t="s">
        <v>1602</v>
      </c>
      <c r="N739" t="s">
        <v>141</v>
      </c>
      <c r="O739" t="s">
        <v>22</v>
      </c>
      <c r="P739" s="1">
        <v>45543</v>
      </c>
      <c r="Q739">
        <v>1107</v>
      </c>
      <c r="R739">
        <v>3948</v>
      </c>
      <c r="S739" t="s">
        <v>23</v>
      </c>
      <c r="T739">
        <v>2</v>
      </c>
      <c r="U739" t="s">
        <v>45</v>
      </c>
      <c r="V739" t="s">
        <v>59</v>
      </c>
      <c r="W739" t="s">
        <v>23</v>
      </c>
    </row>
    <row r="740" spans="1:23" x14ac:dyDescent="0.3">
      <c r="A740" t="s">
        <v>1603</v>
      </c>
      <c r="B740" t="s">
        <v>70</v>
      </c>
      <c r="C740" t="s">
        <v>226</v>
      </c>
      <c r="D740" t="s">
        <v>28</v>
      </c>
      <c r="E740" t="s">
        <v>216</v>
      </c>
      <c r="F740" t="s">
        <v>217</v>
      </c>
      <c r="G740" t="s">
        <v>55</v>
      </c>
      <c r="H740" t="s">
        <v>66</v>
      </c>
      <c r="I740" t="str">
        <f>LEFT(H740,FIND(" (",H740)-1)</f>
        <v>Senior</v>
      </c>
      <c r="J740" t="str">
        <f>MID(H740,FIND("(",H740)+1,FIND(")",H740)-FIND("(",H740)-1)</f>
        <v>5-8 yrs</v>
      </c>
      <c r="L740">
        <v>194967</v>
      </c>
      <c r="M740" t="s">
        <v>1604</v>
      </c>
      <c r="N740" t="s">
        <v>68</v>
      </c>
      <c r="O740" t="s">
        <v>22</v>
      </c>
      <c r="P740" s="1">
        <v>45545</v>
      </c>
      <c r="Q740">
        <v>1447</v>
      </c>
      <c r="R740">
        <v>2141</v>
      </c>
      <c r="S740" t="s">
        <v>99</v>
      </c>
      <c r="T740">
        <v>4</v>
      </c>
      <c r="U740" t="s">
        <v>5123</v>
      </c>
      <c r="V740" t="s">
        <v>24</v>
      </c>
      <c r="W740" t="s">
        <v>23</v>
      </c>
    </row>
    <row r="741" spans="1:23" x14ac:dyDescent="0.3">
      <c r="A741" t="s">
        <v>1605</v>
      </c>
      <c r="B741" t="s">
        <v>229</v>
      </c>
      <c r="C741" t="s">
        <v>27</v>
      </c>
      <c r="D741" t="s">
        <v>75</v>
      </c>
      <c r="E741" t="s">
        <v>230</v>
      </c>
      <c r="F741" t="s">
        <v>231</v>
      </c>
      <c r="G741" t="s">
        <v>18</v>
      </c>
      <c r="H741" t="s">
        <v>56</v>
      </c>
      <c r="I741" t="str">
        <f>LEFT(H741,FIND(" (",H741)-1)</f>
        <v>Mid</v>
      </c>
      <c r="J741" t="str">
        <f>MID(H741,FIND("(",H741)+1,FIND(")",H741)-FIND("(",H741)-1)</f>
        <v>2-5 yrs</v>
      </c>
      <c r="L741">
        <v>130084</v>
      </c>
      <c r="M741" t="s">
        <v>1606</v>
      </c>
      <c r="N741" t="s">
        <v>149</v>
      </c>
      <c r="O741" t="s">
        <v>22</v>
      </c>
      <c r="P741" s="1">
        <v>45513</v>
      </c>
      <c r="Q741">
        <v>343</v>
      </c>
      <c r="R741">
        <v>3019</v>
      </c>
      <c r="S741" t="s">
        <v>23</v>
      </c>
      <c r="T741">
        <v>2</v>
      </c>
      <c r="U741" t="s">
        <v>45</v>
      </c>
      <c r="V741" t="s">
        <v>24</v>
      </c>
      <c r="W741" t="s">
        <v>23</v>
      </c>
    </row>
    <row r="742" spans="1:23" x14ac:dyDescent="0.3">
      <c r="A742" t="s">
        <v>1607</v>
      </c>
      <c r="B742" t="s">
        <v>137</v>
      </c>
      <c r="C742" t="s">
        <v>209</v>
      </c>
      <c r="D742" t="s">
        <v>174</v>
      </c>
      <c r="E742" t="s">
        <v>5135</v>
      </c>
      <c r="F742" t="s">
        <v>5133</v>
      </c>
      <c r="G742" t="s">
        <v>41</v>
      </c>
      <c r="H742" t="s">
        <v>31</v>
      </c>
      <c r="I742" t="str">
        <f>LEFT(H742,FIND(" (",H742)-1)</f>
        <v>Staff/Principal</v>
      </c>
      <c r="J742" t="str">
        <f>MID(H742,FIND("(",H742)+1,FIND(")",H742)-FIND("(",H742)-1)</f>
        <v>8+ yrs</v>
      </c>
      <c r="L742">
        <v>133728</v>
      </c>
      <c r="M742" t="s">
        <v>1608</v>
      </c>
      <c r="N742" t="s">
        <v>33</v>
      </c>
      <c r="O742" t="s">
        <v>44</v>
      </c>
      <c r="P742" s="1">
        <v>45430</v>
      </c>
      <c r="Q742">
        <v>1090</v>
      </c>
      <c r="R742">
        <v>2012</v>
      </c>
      <c r="S742" t="s">
        <v>23</v>
      </c>
      <c r="T742">
        <v>6</v>
      </c>
      <c r="U742" t="s">
        <v>5123</v>
      </c>
      <c r="V742" t="s">
        <v>59</v>
      </c>
      <c r="W742" t="s">
        <v>23</v>
      </c>
    </row>
    <row r="743" spans="1:23" x14ac:dyDescent="0.3">
      <c r="A743" t="s">
        <v>1609</v>
      </c>
      <c r="B743" t="s">
        <v>70</v>
      </c>
      <c r="C743" t="s">
        <v>110</v>
      </c>
      <c r="D743" t="s">
        <v>125</v>
      </c>
      <c r="E743" t="s">
        <v>76</v>
      </c>
      <c r="F743" t="s">
        <v>77</v>
      </c>
      <c r="G743" t="s">
        <v>55</v>
      </c>
      <c r="H743" t="s">
        <v>66</v>
      </c>
      <c r="I743" t="str">
        <f>LEFT(H743,FIND(" (",H743)-1)</f>
        <v>Senior</v>
      </c>
      <c r="J743" t="str">
        <f>MID(H743,FIND("(",H743)+1,FIND(")",H743)-FIND("(",H743)-1)</f>
        <v>5-8 yrs</v>
      </c>
      <c r="L743">
        <v>115451</v>
      </c>
      <c r="M743" t="s">
        <v>1610</v>
      </c>
      <c r="N743" t="s">
        <v>43</v>
      </c>
      <c r="O743" t="s">
        <v>51</v>
      </c>
      <c r="P743" s="1">
        <v>45303</v>
      </c>
      <c r="Q743">
        <v>1270</v>
      </c>
      <c r="R743">
        <v>3200</v>
      </c>
      <c r="S743" t="s">
        <v>34</v>
      </c>
      <c r="T743">
        <v>4</v>
      </c>
      <c r="U743" t="s">
        <v>5123</v>
      </c>
      <c r="V743" t="s">
        <v>24</v>
      </c>
      <c r="W743" t="s">
        <v>34</v>
      </c>
    </row>
    <row r="744" spans="1:23" x14ac:dyDescent="0.3">
      <c r="A744" t="s">
        <v>1611</v>
      </c>
      <c r="B744" t="s">
        <v>236</v>
      </c>
      <c r="C744" t="s">
        <v>182</v>
      </c>
      <c r="D744" t="s">
        <v>125</v>
      </c>
      <c r="E744" t="s">
        <v>64</v>
      </c>
      <c r="F744" t="s">
        <v>65</v>
      </c>
      <c r="G744" t="s">
        <v>41</v>
      </c>
      <c r="H744" t="s">
        <v>19</v>
      </c>
      <c r="I744" t="str">
        <f>LEFT(H744,FIND(" (",H744)-1)</f>
        <v>Entry</v>
      </c>
      <c r="J744" t="str">
        <f>MID(H744,FIND("(",H744)+1,FIND(")",H744)-FIND("(",H744)-1)</f>
        <v>0-2 yrs</v>
      </c>
      <c r="L744">
        <v>62127</v>
      </c>
      <c r="M744" t="s">
        <v>1612</v>
      </c>
      <c r="N744" t="s">
        <v>186</v>
      </c>
      <c r="O744" t="s">
        <v>22</v>
      </c>
      <c r="P744" s="1">
        <v>45738</v>
      </c>
      <c r="Q744">
        <v>632</v>
      </c>
      <c r="R744">
        <v>770</v>
      </c>
      <c r="S744" t="s">
        <v>34</v>
      </c>
      <c r="T744">
        <v>0</v>
      </c>
      <c r="U744" t="s">
        <v>5123</v>
      </c>
      <c r="V744" t="s">
        <v>24</v>
      </c>
      <c r="W744" t="s">
        <v>23</v>
      </c>
    </row>
    <row r="745" spans="1:23" x14ac:dyDescent="0.3">
      <c r="A745" t="s">
        <v>1613</v>
      </c>
      <c r="B745" t="s">
        <v>91</v>
      </c>
      <c r="C745" t="s">
        <v>195</v>
      </c>
      <c r="D745" t="s">
        <v>125</v>
      </c>
      <c r="E745" t="s">
        <v>5135</v>
      </c>
      <c r="F745" t="s">
        <v>5133</v>
      </c>
      <c r="G745" t="s">
        <v>41</v>
      </c>
      <c r="H745" t="s">
        <v>56</v>
      </c>
      <c r="I745" t="str">
        <f>LEFT(H745,FIND(" (",H745)-1)</f>
        <v>Mid</v>
      </c>
      <c r="J745" t="str">
        <f>MID(H745,FIND("(",H745)+1,FIND(")",H745)-FIND("(",H745)-1)</f>
        <v>2-5 yrs</v>
      </c>
      <c r="L745">
        <v>110516</v>
      </c>
      <c r="M745" t="s">
        <v>1614</v>
      </c>
      <c r="N745" t="s">
        <v>89</v>
      </c>
      <c r="O745" t="s">
        <v>51</v>
      </c>
      <c r="P745" s="1">
        <v>45490</v>
      </c>
      <c r="Q745">
        <v>550</v>
      </c>
      <c r="R745">
        <v>1822</v>
      </c>
      <c r="S745" t="s">
        <v>34</v>
      </c>
      <c r="T745">
        <v>2</v>
      </c>
      <c r="U745" t="s">
        <v>5123</v>
      </c>
      <c r="V745" t="s">
        <v>24</v>
      </c>
      <c r="W745" t="s">
        <v>23</v>
      </c>
    </row>
    <row r="746" spans="1:23" x14ac:dyDescent="0.3">
      <c r="A746" t="s">
        <v>1615</v>
      </c>
      <c r="B746" t="s">
        <v>36</v>
      </c>
      <c r="C746" t="s">
        <v>71</v>
      </c>
      <c r="D746" t="s">
        <v>38</v>
      </c>
      <c r="E746" t="s">
        <v>133</v>
      </c>
      <c r="F746" t="s">
        <v>134</v>
      </c>
      <c r="G746" t="s">
        <v>41</v>
      </c>
      <c r="H746" t="s">
        <v>56</v>
      </c>
      <c r="I746" t="str">
        <f>LEFT(H746,FIND(" (",H746)-1)</f>
        <v>Mid</v>
      </c>
      <c r="J746" t="str">
        <f>MID(H746,FIND("(",H746)+1,FIND(")",H746)-FIND("(",H746)-1)</f>
        <v>2-5 yrs</v>
      </c>
      <c r="L746">
        <v>120249</v>
      </c>
      <c r="M746" t="s">
        <v>1616</v>
      </c>
      <c r="N746" t="s">
        <v>43</v>
      </c>
      <c r="O746" t="s">
        <v>22</v>
      </c>
      <c r="P746" s="1">
        <v>45388</v>
      </c>
      <c r="Q746">
        <v>1515</v>
      </c>
      <c r="R746">
        <v>2473</v>
      </c>
      <c r="S746" t="s">
        <v>23</v>
      </c>
      <c r="T746">
        <v>2</v>
      </c>
      <c r="U746" t="s">
        <v>45</v>
      </c>
      <c r="V746" t="s">
        <v>24</v>
      </c>
      <c r="W746" t="s">
        <v>34</v>
      </c>
    </row>
    <row r="747" spans="1:23" x14ac:dyDescent="0.3">
      <c r="A747" t="s">
        <v>1617</v>
      </c>
      <c r="B747" t="s">
        <v>225</v>
      </c>
      <c r="C747" t="s">
        <v>86</v>
      </c>
      <c r="D747" t="s">
        <v>15</v>
      </c>
      <c r="E747" t="s">
        <v>76</v>
      </c>
      <c r="F747" t="s">
        <v>77</v>
      </c>
      <c r="G747" t="s">
        <v>18</v>
      </c>
      <c r="H747" t="s">
        <v>56</v>
      </c>
      <c r="I747" t="str">
        <f>LEFT(H747,FIND(" (",H747)-1)</f>
        <v>Mid</v>
      </c>
      <c r="J747" t="str">
        <f>MID(H747,FIND("(",H747)+1,FIND(")",H747)-FIND("(",H747)-1)</f>
        <v>2-5 yrs</v>
      </c>
      <c r="L747">
        <v>95630</v>
      </c>
      <c r="M747" t="s">
        <v>1618</v>
      </c>
      <c r="N747" t="s">
        <v>43</v>
      </c>
      <c r="O747" t="s">
        <v>51</v>
      </c>
      <c r="P747" s="1">
        <v>45747</v>
      </c>
      <c r="Q747">
        <v>2061</v>
      </c>
      <c r="R747">
        <v>337</v>
      </c>
      <c r="S747" t="s">
        <v>23</v>
      </c>
      <c r="T747">
        <v>2</v>
      </c>
      <c r="U747" t="s">
        <v>58</v>
      </c>
      <c r="V747" t="s">
        <v>24</v>
      </c>
      <c r="W747" t="s">
        <v>23</v>
      </c>
    </row>
    <row r="748" spans="1:23" x14ac:dyDescent="0.3">
      <c r="A748" t="s">
        <v>1619</v>
      </c>
      <c r="B748" t="s">
        <v>70</v>
      </c>
      <c r="C748" t="s">
        <v>226</v>
      </c>
      <c r="D748" t="s">
        <v>63</v>
      </c>
      <c r="E748" t="s">
        <v>200</v>
      </c>
      <c r="F748" t="s">
        <v>201</v>
      </c>
      <c r="G748" t="s">
        <v>41</v>
      </c>
      <c r="H748" t="s">
        <v>66</v>
      </c>
      <c r="I748" t="str">
        <f>LEFT(H748,FIND(" (",H748)-1)</f>
        <v>Senior</v>
      </c>
      <c r="J748" t="str">
        <f>MID(H748,FIND("(",H748)+1,FIND(")",H748)-FIND("(",H748)-1)</f>
        <v>5-8 yrs</v>
      </c>
      <c r="L748">
        <v>155042</v>
      </c>
      <c r="M748" t="s">
        <v>1620</v>
      </c>
      <c r="N748" t="s">
        <v>89</v>
      </c>
      <c r="O748" t="s">
        <v>51</v>
      </c>
      <c r="P748" s="1">
        <v>45477</v>
      </c>
      <c r="Q748">
        <v>2303</v>
      </c>
      <c r="R748">
        <v>1293</v>
      </c>
      <c r="S748" t="s">
        <v>23</v>
      </c>
      <c r="T748">
        <v>4</v>
      </c>
      <c r="U748" t="s">
        <v>52</v>
      </c>
      <c r="V748" t="s">
        <v>24</v>
      </c>
      <c r="W748" t="s">
        <v>34</v>
      </c>
    </row>
    <row r="749" spans="1:23" x14ac:dyDescent="0.3">
      <c r="A749" t="s">
        <v>1621</v>
      </c>
      <c r="B749" t="s">
        <v>225</v>
      </c>
      <c r="C749" t="s">
        <v>54</v>
      </c>
      <c r="D749" t="s">
        <v>147</v>
      </c>
      <c r="E749" t="s">
        <v>39</v>
      </c>
      <c r="F749" t="s">
        <v>40</v>
      </c>
      <c r="G749" t="s">
        <v>55</v>
      </c>
      <c r="H749" t="s">
        <v>31</v>
      </c>
      <c r="I749" t="str">
        <f>LEFT(H749,FIND(" (",H749)-1)</f>
        <v>Staff/Principal</v>
      </c>
      <c r="J749" t="str">
        <f>MID(H749,FIND("(",H749)+1,FIND(")",H749)-FIND("(",H749)-1)</f>
        <v>8+ yrs</v>
      </c>
      <c r="L749">
        <v>172806</v>
      </c>
      <c r="M749" t="s">
        <v>1622</v>
      </c>
      <c r="N749" t="s">
        <v>33</v>
      </c>
      <c r="O749" t="s">
        <v>79</v>
      </c>
      <c r="P749" s="1">
        <v>45458</v>
      </c>
      <c r="Q749">
        <v>871</v>
      </c>
      <c r="R749">
        <v>3238</v>
      </c>
      <c r="S749" t="s">
        <v>23</v>
      </c>
      <c r="T749">
        <v>6</v>
      </c>
      <c r="U749" t="s">
        <v>52</v>
      </c>
      <c r="V749" t="s">
        <v>24</v>
      </c>
      <c r="W749" t="s">
        <v>34</v>
      </c>
    </row>
    <row r="750" spans="1:23" x14ac:dyDescent="0.3">
      <c r="A750" t="s">
        <v>1623</v>
      </c>
      <c r="B750" t="s">
        <v>222</v>
      </c>
      <c r="C750" t="s">
        <v>204</v>
      </c>
      <c r="D750" t="s">
        <v>15</v>
      </c>
      <c r="E750" t="s">
        <v>200</v>
      </c>
      <c r="F750" t="s">
        <v>201</v>
      </c>
      <c r="G750" t="s">
        <v>55</v>
      </c>
      <c r="H750" t="s">
        <v>56</v>
      </c>
      <c r="I750" t="str">
        <f>LEFT(H750,FIND(" (",H750)-1)</f>
        <v>Mid</v>
      </c>
      <c r="J750" t="str">
        <f>MID(H750,FIND("(",H750)+1,FIND(")",H750)-FIND("(",H750)-1)</f>
        <v>2-5 yrs</v>
      </c>
      <c r="L750">
        <v>97891</v>
      </c>
      <c r="M750" t="s">
        <v>1624</v>
      </c>
      <c r="N750" t="s">
        <v>43</v>
      </c>
      <c r="O750" t="s">
        <v>51</v>
      </c>
      <c r="P750" s="1">
        <v>45403</v>
      </c>
      <c r="Q750">
        <v>948</v>
      </c>
      <c r="R750">
        <v>1253</v>
      </c>
      <c r="S750" t="s">
        <v>23</v>
      </c>
      <c r="T750">
        <v>2</v>
      </c>
      <c r="U750" t="s">
        <v>83</v>
      </c>
      <c r="V750" t="s">
        <v>24</v>
      </c>
      <c r="W750" t="s">
        <v>34</v>
      </c>
    </row>
    <row r="751" spans="1:23" x14ac:dyDescent="0.3">
      <c r="A751" t="s">
        <v>1625</v>
      </c>
      <c r="B751" t="s">
        <v>85</v>
      </c>
      <c r="C751" t="s">
        <v>110</v>
      </c>
      <c r="D751" t="s">
        <v>174</v>
      </c>
      <c r="E751" t="s">
        <v>5139</v>
      </c>
      <c r="F751" t="s">
        <v>5133</v>
      </c>
      <c r="G751" t="s">
        <v>18</v>
      </c>
      <c r="H751" t="s">
        <v>31</v>
      </c>
      <c r="I751" t="str">
        <f>LEFT(H751,FIND(" (",H751)-1)</f>
        <v>Staff/Principal</v>
      </c>
      <c r="J751" t="str">
        <f>MID(H751,FIND("(",H751)+1,FIND(")",H751)-FIND("(",H751)-1)</f>
        <v>8+ yrs</v>
      </c>
      <c r="L751">
        <v>149360</v>
      </c>
      <c r="M751" t="s">
        <v>1626</v>
      </c>
      <c r="N751" t="s">
        <v>33</v>
      </c>
      <c r="O751" t="s">
        <v>44</v>
      </c>
      <c r="P751" s="1">
        <v>45728</v>
      </c>
      <c r="Q751">
        <v>1485</v>
      </c>
      <c r="R751">
        <v>589</v>
      </c>
      <c r="S751" t="s">
        <v>34</v>
      </c>
      <c r="T751">
        <v>6</v>
      </c>
      <c r="U751" t="s">
        <v>58</v>
      </c>
      <c r="V751" t="s">
        <v>59</v>
      </c>
      <c r="W751" t="s">
        <v>34</v>
      </c>
    </row>
    <row r="752" spans="1:23" x14ac:dyDescent="0.3">
      <c r="A752" t="s">
        <v>1627</v>
      </c>
      <c r="B752" t="s">
        <v>151</v>
      </c>
      <c r="C752" t="s">
        <v>158</v>
      </c>
      <c r="D752" t="s">
        <v>125</v>
      </c>
      <c r="E752" t="s">
        <v>102</v>
      </c>
      <c r="F752" t="s">
        <v>103</v>
      </c>
      <c r="G752" t="s">
        <v>18</v>
      </c>
      <c r="H752" t="s">
        <v>66</v>
      </c>
      <c r="I752" t="str">
        <f>LEFT(H752,FIND(" (",H752)-1)</f>
        <v>Senior</v>
      </c>
      <c r="J752" t="str">
        <f>MID(H752,FIND("(",H752)+1,FIND(")",H752)-FIND("(",H752)-1)</f>
        <v>5-8 yrs</v>
      </c>
      <c r="L752">
        <v>125072</v>
      </c>
      <c r="M752" t="s">
        <v>1628</v>
      </c>
      <c r="N752" t="s">
        <v>43</v>
      </c>
      <c r="O752" t="s">
        <v>51</v>
      </c>
      <c r="P752" s="1">
        <v>45451</v>
      </c>
      <c r="Q752">
        <v>2239</v>
      </c>
      <c r="R752">
        <v>268</v>
      </c>
      <c r="S752" t="s">
        <v>34</v>
      </c>
      <c r="T752">
        <v>4</v>
      </c>
      <c r="U752" t="s">
        <v>45</v>
      </c>
      <c r="V752" t="s">
        <v>24</v>
      </c>
      <c r="W752" t="s">
        <v>34</v>
      </c>
    </row>
    <row r="753" spans="1:23" x14ac:dyDescent="0.3">
      <c r="A753" t="s">
        <v>1629</v>
      </c>
      <c r="B753" t="s">
        <v>236</v>
      </c>
      <c r="C753" t="s">
        <v>27</v>
      </c>
      <c r="D753" t="s">
        <v>111</v>
      </c>
      <c r="E753" t="s">
        <v>5132</v>
      </c>
      <c r="F753" t="s">
        <v>5133</v>
      </c>
      <c r="G753" t="s">
        <v>41</v>
      </c>
      <c r="H753" t="s">
        <v>56</v>
      </c>
      <c r="I753" t="str">
        <f>LEFT(H753,FIND(" (",H753)-1)</f>
        <v>Mid</v>
      </c>
      <c r="J753" t="str">
        <f>MID(H753,FIND("(",H753)+1,FIND(")",H753)-FIND("(",H753)-1)</f>
        <v>2-5 yrs</v>
      </c>
      <c r="L753">
        <v>83236</v>
      </c>
      <c r="M753" t="s">
        <v>1630</v>
      </c>
      <c r="N753" t="s">
        <v>68</v>
      </c>
      <c r="O753" t="s">
        <v>79</v>
      </c>
      <c r="P753" s="1">
        <v>45535</v>
      </c>
      <c r="Q753">
        <v>1237</v>
      </c>
      <c r="R753">
        <v>2910</v>
      </c>
      <c r="S753" t="s">
        <v>23</v>
      </c>
      <c r="T753">
        <v>2</v>
      </c>
      <c r="U753" t="s">
        <v>52</v>
      </c>
      <c r="V753" t="s">
        <v>59</v>
      </c>
      <c r="W753" t="s">
        <v>34</v>
      </c>
    </row>
    <row r="754" spans="1:23" x14ac:dyDescent="0.3">
      <c r="A754" t="s">
        <v>1631</v>
      </c>
      <c r="B754" t="s">
        <v>143</v>
      </c>
      <c r="C754" t="s">
        <v>62</v>
      </c>
      <c r="D754" t="s">
        <v>63</v>
      </c>
      <c r="E754" t="s">
        <v>5140</v>
      </c>
      <c r="F754" t="s">
        <v>5133</v>
      </c>
      <c r="G754" t="s">
        <v>18</v>
      </c>
      <c r="H754" t="s">
        <v>31</v>
      </c>
      <c r="I754" t="str">
        <f>LEFT(H754,FIND(" (",H754)-1)</f>
        <v>Staff/Principal</v>
      </c>
      <c r="J754" t="str">
        <f>MID(H754,FIND("(",H754)+1,FIND(")",H754)-FIND("(",H754)-1)</f>
        <v>8+ yrs</v>
      </c>
      <c r="L754">
        <v>164868</v>
      </c>
      <c r="M754" t="s">
        <v>1632</v>
      </c>
      <c r="N754" t="s">
        <v>149</v>
      </c>
      <c r="O754" t="s">
        <v>51</v>
      </c>
      <c r="P754" s="1">
        <v>45742</v>
      </c>
      <c r="Q754">
        <v>1389</v>
      </c>
      <c r="R754">
        <v>284</v>
      </c>
      <c r="S754" t="s">
        <v>23</v>
      </c>
      <c r="T754">
        <v>6</v>
      </c>
      <c r="U754" t="s">
        <v>52</v>
      </c>
      <c r="V754" t="s">
        <v>59</v>
      </c>
      <c r="W754" t="s">
        <v>34</v>
      </c>
    </row>
    <row r="755" spans="1:23" x14ac:dyDescent="0.3">
      <c r="A755" t="s">
        <v>1633</v>
      </c>
      <c r="B755" t="s">
        <v>61</v>
      </c>
      <c r="C755" t="s">
        <v>209</v>
      </c>
      <c r="D755" t="s">
        <v>28</v>
      </c>
      <c r="E755" t="s">
        <v>5135</v>
      </c>
      <c r="F755" t="s">
        <v>5133</v>
      </c>
      <c r="G755" t="s">
        <v>41</v>
      </c>
      <c r="H755" t="s">
        <v>66</v>
      </c>
      <c r="I755" t="str">
        <f>LEFT(H755,FIND(" (",H755)-1)</f>
        <v>Senior</v>
      </c>
      <c r="J755" t="str">
        <f>MID(H755,FIND("(",H755)+1,FIND(")",H755)-FIND("(",H755)-1)</f>
        <v>5-8 yrs</v>
      </c>
      <c r="L755">
        <v>178448</v>
      </c>
      <c r="M755" t="s">
        <v>1634</v>
      </c>
      <c r="N755" t="s">
        <v>94</v>
      </c>
      <c r="O755" t="s">
        <v>79</v>
      </c>
      <c r="P755" s="1">
        <v>45406</v>
      </c>
      <c r="Q755">
        <v>2285</v>
      </c>
      <c r="R755">
        <v>1296</v>
      </c>
      <c r="S755" t="s">
        <v>23</v>
      </c>
      <c r="T755">
        <v>4</v>
      </c>
      <c r="U755" t="s">
        <v>83</v>
      </c>
      <c r="V755" t="s">
        <v>24</v>
      </c>
      <c r="W755" t="s">
        <v>23</v>
      </c>
    </row>
    <row r="756" spans="1:23" x14ac:dyDescent="0.3">
      <c r="A756" t="s">
        <v>1635</v>
      </c>
      <c r="B756" t="s">
        <v>106</v>
      </c>
      <c r="C756" t="s">
        <v>14</v>
      </c>
      <c r="D756" t="s">
        <v>15</v>
      </c>
      <c r="E756" t="s">
        <v>230</v>
      </c>
      <c r="F756" t="s">
        <v>231</v>
      </c>
      <c r="G756" t="s">
        <v>41</v>
      </c>
      <c r="H756" t="s">
        <v>19</v>
      </c>
      <c r="I756" t="str">
        <f>LEFT(H756,FIND(" (",H756)-1)</f>
        <v>Entry</v>
      </c>
      <c r="J756" t="str">
        <f>MID(H756,FIND("(",H756)+1,FIND(")",H756)-FIND("(",H756)-1)</f>
        <v>0-2 yrs</v>
      </c>
      <c r="L756">
        <v>58037</v>
      </c>
      <c r="M756" t="s">
        <v>1636</v>
      </c>
      <c r="N756" t="s">
        <v>33</v>
      </c>
      <c r="O756" t="s">
        <v>22</v>
      </c>
      <c r="P756" s="1">
        <v>45668</v>
      </c>
      <c r="Q756">
        <v>1136</v>
      </c>
      <c r="R756">
        <v>600</v>
      </c>
      <c r="S756" t="s">
        <v>23</v>
      </c>
      <c r="T756">
        <v>0</v>
      </c>
      <c r="U756" t="s">
        <v>5123</v>
      </c>
      <c r="V756" t="s">
        <v>24</v>
      </c>
      <c r="W756" t="s">
        <v>23</v>
      </c>
    </row>
    <row r="757" spans="1:23" x14ac:dyDescent="0.3">
      <c r="A757" t="s">
        <v>1637</v>
      </c>
      <c r="B757" t="s">
        <v>70</v>
      </c>
      <c r="C757" t="s">
        <v>101</v>
      </c>
      <c r="D757" t="s">
        <v>28</v>
      </c>
      <c r="E757" t="s">
        <v>39</v>
      </c>
      <c r="F757" t="s">
        <v>40</v>
      </c>
      <c r="G757" t="s">
        <v>41</v>
      </c>
      <c r="H757" t="s">
        <v>66</v>
      </c>
      <c r="I757" t="str">
        <f>LEFT(H757,FIND(" (",H757)-1)</f>
        <v>Senior</v>
      </c>
      <c r="J757" t="str">
        <f>MID(H757,FIND("(",H757)+1,FIND(")",H757)-FIND("(",H757)-1)</f>
        <v>5-8 yrs</v>
      </c>
      <c r="L757">
        <v>221074</v>
      </c>
      <c r="M757" t="s">
        <v>1638</v>
      </c>
      <c r="N757" t="s">
        <v>33</v>
      </c>
      <c r="O757" t="s">
        <v>51</v>
      </c>
      <c r="P757" s="1">
        <v>45367</v>
      </c>
      <c r="Q757">
        <v>1110</v>
      </c>
      <c r="R757">
        <v>2902</v>
      </c>
      <c r="S757" t="s">
        <v>23</v>
      </c>
      <c r="T757">
        <v>4</v>
      </c>
      <c r="U757" t="s">
        <v>45</v>
      </c>
      <c r="V757" t="s">
        <v>24</v>
      </c>
      <c r="W757" t="s">
        <v>34</v>
      </c>
    </row>
    <row r="758" spans="1:23" x14ac:dyDescent="0.3">
      <c r="A758" t="s">
        <v>1639</v>
      </c>
      <c r="B758" t="s">
        <v>151</v>
      </c>
      <c r="C758" t="s">
        <v>97</v>
      </c>
      <c r="D758" t="s">
        <v>174</v>
      </c>
      <c r="E758" t="s">
        <v>5135</v>
      </c>
      <c r="F758" t="s">
        <v>5133</v>
      </c>
      <c r="G758" t="s">
        <v>55</v>
      </c>
      <c r="H758" t="s">
        <v>19</v>
      </c>
      <c r="I758" t="str">
        <f>LEFT(H758,FIND(" (",H758)-1)</f>
        <v>Entry</v>
      </c>
      <c r="J758" t="str">
        <f>MID(H758,FIND("(",H758)+1,FIND(")",H758)-FIND("(",H758)-1)</f>
        <v>0-2 yrs</v>
      </c>
      <c r="L758">
        <v>76215</v>
      </c>
      <c r="M758" t="s">
        <v>1640</v>
      </c>
      <c r="N758" t="s">
        <v>141</v>
      </c>
      <c r="O758" t="s">
        <v>51</v>
      </c>
      <c r="P758" s="1">
        <v>45574</v>
      </c>
      <c r="Q758">
        <v>1637</v>
      </c>
      <c r="R758">
        <v>2521</v>
      </c>
      <c r="S758" t="s">
        <v>23</v>
      </c>
      <c r="T758">
        <v>0</v>
      </c>
      <c r="U758" t="s">
        <v>5123</v>
      </c>
      <c r="V758" t="s">
        <v>24</v>
      </c>
      <c r="W758" t="s">
        <v>34</v>
      </c>
    </row>
    <row r="759" spans="1:23" x14ac:dyDescent="0.3">
      <c r="A759" t="s">
        <v>1641</v>
      </c>
      <c r="B759" t="s">
        <v>143</v>
      </c>
      <c r="C759" t="s">
        <v>110</v>
      </c>
      <c r="D759" t="s">
        <v>174</v>
      </c>
      <c r="E759" t="s">
        <v>76</v>
      </c>
      <c r="F759" t="s">
        <v>77</v>
      </c>
      <c r="G759" t="s">
        <v>18</v>
      </c>
      <c r="H759" t="s">
        <v>19</v>
      </c>
      <c r="I759" t="str">
        <f>LEFT(H759,FIND(" (",H759)-1)</f>
        <v>Entry</v>
      </c>
      <c r="J759" t="str">
        <f>MID(H759,FIND("(",H759)+1,FIND(")",H759)-FIND("(",H759)-1)</f>
        <v>0-2 yrs</v>
      </c>
      <c r="L759">
        <v>72328</v>
      </c>
      <c r="M759" t="s">
        <v>1642</v>
      </c>
      <c r="N759" t="s">
        <v>245</v>
      </c>
      <c r="O759" t="s">
        <v>79</v>
      </c>
      <c r="P759" s="1">
        <v>45659</v>
      </c>
      <c r="Q759">
        <v>1685</v>
      </c>
      <c r="R759">
        <v>342</v>
      </c>
      <c r="S759" t="s">
        <v>23</v>
      </c>
      <c r="T759">
        <v>0</v>
      </c>
      <c r="U759" t="s">
        <v>5123</v>
      </c>
      <c r="V759" t="s">
        <v>24</v>
      </c>
      <c r="W759" t="s">
        <v>23</v>
      </c>
    </row>
    <row r="760" spans="1:23" x14ac:dyDescent="0.3">
      <c r="A760" t="s">
        <v>1643</v>
      </c>
      <c r="B760" t="s">
        <v>131</v>
      </c>
      <c r="C760" t="s">
        <v>92</v>
      </c>
      <c r="D760" t="s">
        <v>38</v>
      </c>
      <c r="E760" t="s">
        <v>5134</v>
      </c>
      <c r="F760" t="s">
        <v>5133</v>
      </c>
      <c r="G760" t="s">
        <v>41</v>
      </c>
      <c r="H760" t="s">
        <v>31</v>
      </c>
      <c r="I760" t="str">
        <f>LEFT(H760,FIND(" (",H760)-1)</f>
        <v>Staff/Principal</v>
      </c>
      <c r="J760" t="str">
        <f>MID(H760,FIND("(",H760)+1,FIND(")",H760)-FIND("(",H760)-1)</f>
        <v>8+ yrs</v>
      </c>
      <c r="L760">
        <v>169099</v>
      </c>
      <c r="M760" t="s">
        <v>1644</v>
      </c>
      <c r="N760" t="s">
        <v>120</v>
      </c>
      <c r="O760" t="s">
        <v>22</v>
      </c>
      <c r="P760" s="1">
        <v>45572</v>
      </c>
      <c r="Q760">
        <v>399</v>
      </c>
      <c r="R760">
        <v>224</v>
      </c>
      <c r="S760" t="s">
        <v>23</v>
      </c>
      <c r="T760">
        <v>6</v>
      </c>
      <c r="U760" t="s">
        <v>52</v>
      </c>
      <c r="V760" t="s">
        <v>24</v>
      </c>
      <c r="W760" t="s">
        <v>34</v>
      </c>
    </row>
    <row r="761" spans="1:23" x14ac:dyDescent="0.3">
      <c r="A761" t="s">
        <v>1645</v>
      </c>
      <c r="B761" t="s">
        <v>91</v>
      </c>
      <c r="C761" t="s">
        <v>192</v>
      </c>
      <c r="D761" t="s">
        <v>15</v>
      </c>
      <c r="E761" t="s">
        <v>64</v>
      </c>
      <c r="F761" t="s">
        <v>65</v>
      </c>
      <c r="G761" t="s">
        <v>41</v>
      </c>
      <c r="H761" t="s">
        <v>56</v>
      </c>
      <c r="I761" t="str">
        <f>LEFT(H761,FIND(" (",H761)-1)</f>
        <v>Mid</v>
      </c>
      <c r="J761" t="str">
        <f>MID(H761,FIND("(",H761)+1,FIND(")",H761)-FIND("(",H761)-1)</f>
        <v>2-5 yrs</v>
      </c>
      <c r="L761">
        <v>123866</v>
      </c>
      <c r="M761" t="s">
        <v>1646</v>
      </c>
      <c r="N761" t="s">
        <v>33</v>
      </c>
      <c r="O761" t="s">
        <v>51</v>
      </c>
      <c r="P761" s="1">
        <v>45457</v>
      </c>
      <c r="Q761">
        <v>1999</v>
      </c>
      <c r="R761">
        <v>2262</v>
      </c>
      <c r="S761" t="s">
        <v>34</v>
      </c>
      <c r="T761">
        <v>2</v>
      </c>
      <c r="U761" t="s">
        <v>52</v>
      </c>
      <c r="V761" t="s">
        <v>24</v>
      </c>
      <c r="W761" t="s">
        <v>34</v>
      </c>
    </row>
    <row r="762" spans="1:23" x14ac:dyDescent="0.3">
      <c r="A762" t="s">
        <v>1647</v>
      </c>
      <c r="B762" t="s">
        <v>143</v>
      </c>
      <c r="C762" t="s">
        <v>179</v>
      </c>
      <c r="D762" t="s">
        <v>28</v>
      </c>
      <c r="E762" t="s">
        <v>5140</v>
      </c>
      <c r="F762" t="s">
        <v>5133</v>
      </c>
      <c r="G762" t="s">
        <v>18</v>
      </c>
      <c r="H762" t="s">
        <v>31</v>
      </c>
      <c r="I762" t="str">
        <f>LEFT(H762,FIND(" (",H762)-1)</f>
        <v>Staff/Principal</v>
      </c>
      <c r="J762" t="str">
        <f>MID(H762,FIND("(",H762)+1,FIND(")",H762)-FIND("(",H762)-1)</f>
        <v>8+ yrs</v>
      </c>
      <c r="L762">
        <v>179277</v>
      </c>
      <c r="M762" t="s">
        <v>1648</v>
      </c>
      <c r="N762" t="s">
        <v>21</v>
      </c>
      <c r="O762" t="s">
        <v>51</v>
      </c>
      <c r="P762" s="1">
        <v>45333</v>
      </c>
      <c r="Q762">
        <v>2392</v>
      </c>
      <c r="R762">
        <v>1600</v>
      </c>
      <c r="S762" t="s">
        <v>34</v>
      </c>
      <c r="T762">
        <v>6</v>
      </c>
      <c r="U762" t="s">
        <v>52</v>
      </c>
      <c r="V762" t="s">
        <v>59</v>
      </c>
      <c r="W762" t="s">
        <v>34</v>
      </c>
    </row>
    <row r="763" spans="1:23" x14ac:dyDescent="0.3">
      <c r="A763" t="s">
        <v>1649</v>
      </c>
      <c r="B763" t="s">
        <v>106</v>
      </c>
      <c r="C763" t="s">
        <v>204</v>
      </c>
      <c r="D763" t="s">
        <v>125</v>
      </c>
      <c r="E763" t="s">
        <v>16</v>
      </c>
      <c r="F763" t="s">
        <v>17</v>
      </c>
      <c r="G763" t="s">
        <v>18</v>
      </c>
      <c r="H763" t="s">
        <v>66</v>
      </c>
      <c r="I763" t="str">
        <f>LEFT(H763,FIND(" (",H763)-1)</f>
        <v>Senior</v>
      </c>
      <c r="J763" t="str">
        <f>MID(H763,FIND("(",H763)+1,FIND(")",H763)-FIND("(",H763)-1)</f>
        <v>5-8 yrs</v>
      </c>
      <c r="L763">
        <v>153294</v>
      </c>
      <c r="M763" t="s">
        <v>1650</v>
      </c>
      <c r="N763" t="s">
        <v>141</v>
      </c>
      <c r="O763" t="s">
        <v>22</v>
      </c>
      <c r="P763" s="1">
        <v>45625</v>
      </c>
      <c r="Q763">
        <v>1887</v>
      </c>
      <c r="R763">
        <v>3305</v>
      </c>
      <c r="S763" t="s">
        <v>34</v>
      </c>
      <c r="T763">
        <v>4</v>
      </c>
      <c r="U763" t="s">
        <v>52</v>
      </c>
      <c r="V763" t="s">
        <v>24</v>
      </c>
      <c r="W763" t="s">
        <v>23</v>
      </c>
    </row>
    <row r="764" spans="1:23" x14ac:dyDescent="0.3">
      <c r="A764" t="s">
        <v>1651</v>
      </c>
      <c r="B764" t="s">
        <v>81</v>
      </c>
      <c r="C764" t="s">
        <v>179</v>
      </c>
      <c r="D764" t="s">
        <v>15</v>
      </c>
      <c r="E764" t="s">
        <v>200</v>
      </c>
      <c r="F764" t="s">
        <v>201</v>
      </c>
      <c r="G764" t="s">
        <v>55</v>
      </c>
      <c r="H764" t="s">
        <v>56</v>
      </c>
      <c r="I764" t="str">
        <f>LEFT(H764,FIND(" (",H764)-1)</f>
        <v>Mid</v>
      </c>
      <c r="J764" t="str">
        <f>MID(H764,FIND("(",H764)+1,FIND(")",H764)-FIND("(",H764)-1)</f>
        <v>2-5 yrs</v>
      </c>
      <c r="L764">
        <v>160689</v>
      </c>
      <c r="M764" t="s">
        <v>1652</v>
      </c>
      <c r="N764" t="s">
        <v>186</v>
      </c>
      <c r="O764" t="s">
        <v>22</v>
      </c>
      <c r="P764" s="1">
        <v>45476</v>
      </c>
      <c r="Q764">
        <v>1041</v>
      </c>
      <c r="R764">
        <v>3534</v>
      </c>
      <c r="S764" t="s">
        <v>23</v>
      </c>
      <c r="T764">
        <v>2</v>
      </c>
      <c r="U764" t="s">
        <v>58</v>
      </c>
      <c r="V764" t="s">
        <v>46</v>
      </c>
      <c r="W764" t="s">
        <v>34</v>
      </c>
    </row>
    <row r="765" spans="1:23" x14ac:dyDescent="0.3">
      <c r="A765" t="s">
        <v>1653</v>
      </c>
      <c r="B765" t="s">
        <v>236</v>
      </c>
      <c r="C765" t="s">
        <v>86</v>
      </c>
      <c r="D765" t="s">
        <v>15</v>
      </c>
      <c r="E765" t="s">
        <v>5134</v>
      </c>
      <c r="F765" t="s">
        <v>5133</v>
      </c>
      <c r="G765" t="s">
        <v>41</v>
      </c>
      <c r="H765" t="s">
        <v>31</v>
      </c>
      <c r="I765" t="str">
        <f>LEFT(H765,FIND(" (",H765)-1)</f>
        <v>Staff/Principal</v>
      </c>
      <c r="J765" t="str">
        <f>MID(H765,FIND("(",H765)+1,FIND(")",H765)-FIND("(",H765)-1)</f>
        <v>8+ yrs</v>
      </c>
      <c r="L765">
        <v>196541</v>
      </c>
      <c r="M765" t="s">
        <v>1654</v>
      </c>
      <c r="N765" t="s">
        <v>149</v>
      </c>
      <c r="O765" t="s">
        <v>44</v>
      </c>
      <c r="P765" s="1">
        <v>45376</v>
      </c>
      <c r="Q765">
        <v>504</v>
      </c>
      <c r="R765">
        <v>3520</v>
      </c>
      <c r="S765" t="s">
        <v>34</v>
      </c>
      <c r="T765">
        <v>6</v>
      </c>
      <c r="U765" t="s">
        <v>45</v>
      </c>
      <c r="V765" t="s">
        <v>46</v>
      </c>
      <c r="W765" t="s">
        <v>34</v>
      </c>
    </row>
    <row r="766" spans="1:23" x14ac:dyDescent="0.3">
      <c r="A766" t="s">
        <v>1655</v>
      </c>
      <c r="B766" t="s">
        <v>137</v>
      </c>
      <c r="C766" t="s">
        <v>97</v>
      </c>
      <c r="D766" t="s">
        <v>15</v>
      </c>
      <c r="E766" t="s">
        <v>5137</v>
      </c>
      <c r="F766" t="s">
        <v>5138</v>
      </c>
      <c r="G766" t="s">
        <v>18</v>
      </c>
      <c r="H766" t="s">
        <v>56</v>
      </c>
      <c r="I766" t="str">
        <f>LEFT(H766,FIND(" (",H766)-1)</f>
        <v>Mid</v>
      </c>
      <c r="J766" t="str">
        <f>MID(H766,FIND("(",H766)+1,FIND(")",H766)-FIND("(",H766)-1)</f>
        <v>2-5 yrs</v>
      </c>
      <c r="L766">
        <v>132755</v>
      </c>
      <c r="M766" t="s">
        <v>1656</v>
      </c>
      <c r="N766" t="s">
        <v>141</v>
      </c>
      <c r="O766" t="s">
        <v>22</v>
      </c>
      <c r="P766" s="1">
        <v>45402</v>
      </c>
      <c r="Q766">
        <v>443</v>
      </c>
      <c r="R766">
        <v>3690</v>
      </c>
      <c r="S766" t="s">
        <v>34</v>
      </c>
      <c r="T766">
        <v>2</v>
      </c>
      <c r="U766" t="s">
        <v>52</v>
      </c>
      <c r="V766" t="s">
        <v>24</v>
      </c>
      <c r="W766" t="s">
        <v>23</v>
      </c>
    </row>
    <row r="767" spans="1:23" x14ac:dyDescent="0.3">
      <c r="A767" t="s">
        <v>1657</v>
      </c>
      <c r="B767" t="s">
        <v>106</v>
      </c>
      <c r="C767" t="s">
        <v>182</v>
      </c>
      <c r="D767" t="s">
        <v>75</v>
      </c>
      <c r="E767" t="s">
        <v>5140</v>
      </c>
      <c r="F767" t="s">
        <v>5133</v>
      </c>
      <c r="G767" t="s">
        <v>55</v>
      </c>
      <c r="H767" t="s">
        <v>19</v>
      </c>
      <c r="I767" t="str">
        <f>LEFT(H767,FIND(" (",H767)-1)</f>
        <v>Entry</v>
      </c>
      <c r="J767" t="str">
        <f>MID(H767,FIND("(",H767)+1,FIND(")",H767)-FIND("(",H767)-1)</f>
        <v>0-2 yrs</v>
      </c>
      <c r="L767">
        <v>61139</v>
      </c>
      <c r="M767" t="s">
        <v>1658</v>
      </c>
      <c r="N767" t="s">
        <v>21</v>
      </c>
      <c r="O767" t="s">
        <v>22</v>
      </c>
      <c r="P767" s="1">
        <v>45535</v>
      </c>
      <c r="Q767">
        <v>392</v>
      </c>
      <c r="R767">
        <v>2888</v>
      </c>
      <c r="S767" t="s">
        <v>23</v>
      </c>
      <c r="T767">
        <v>0</v>
      </c>
      <c r="U767" t="s">
        <v>5123</v>
      </c>
      <c r="V767" t="s">
        <v>59</v>
      </c>
      <c r="W767" t="s">
        <v>34</v>
      </c>
    </row>
    <row r="768" spans="1:23" x14ac:dyDescent="0.3">
      <c r="A768" t="s">
        <v>1659</v>
      </c>
      <c r="B768" t="s">
        <v>70</v>
      </c>
      <c r="C768" t="s">
        <v>48</v>
      </c>
      <c r="D768" t="s">
        <v>49</v>
      </c>
      <c r="E768" t="s">
        <v>5134</v>
      </c>
      <c r="F768" t="s">
        <v>5133</v>
      </c>
      <c r="G768" t="s">
        <v>18</v>
      </c>
      <c r="H768" t="s">
        <v>31</v>
      </c>
      <c r="I768" t="str">
        <f>LEFT(H768,FIND(" (",H768)-1)</f>
        <v>Staff/Principal</v>
      </c>
      <c r="J768" t="str">
        <f>MID(H768,FIND("(",H768)+1,FIND(")",H768)-FIND("(",H768)-1)</f>
        <v>8+ yrs</v>
      </c>
      <c r="L768">
        <v>198740</v>
      </c>
      <c r="M768" t="s">
        <v>1660</v>
      </c>
      <c r="N768" t="s">
        <v>33</v>
      </c>
      <c r="O768" t="s">
        <v>79</v>
      </c>
      <c r="P768" s="1">
        <v>45546</v>
      </c>
      <c r="Q768">
        <v>1450</v>
      </c>
      <c r="R768">
        <v>2917</v>
      </c>
      <c r="S768" t="s">
        <v>23</v>
      </c>
      <c r="T768">
        <v>6</v>
      </c>
      <c r="U768" t="s">
        <v>58</v>
      </c>
      <c r="V768" t="s">
        <v>24</v>
      </c>
      <c r="W768" t="s">
        <v>34</v>
      </c>
    </row>
    <row r="769" spans="1:23" x14ac:dyDescent="0.3">
      <c r="A769" t="s">
        <v>1661</v>
      </c>
      <c r="B769" t="s">
        <v>36</v>
      </c>
      <c r="C769" t="s">
        <v>74</v>
      </c>
      <c r="D769" t="s">
        <v>63</v>
      </c>
      <c r="E769" t="s">
        <v>29</v>
      </c>
      <c r="F769" t="s">
        <v>30</v>
      </c>
      <c r="G769" t="s">
        <v>41</v>
      </c>
      <c r="H769" t="s">
        <v>56</v>
      </c>
      <c r="I769" t="str">
        <f>LEFT(H769,FIND(" (",H769)-1)</f>
        <v>Mid</v>
      </c>
      <c r="J769" t="str">
        <f>MID(H769,FIND("(",H769)+1,FIND(")",H769)-FIND("(",H769)-1)</f>
        <v>2-5 yrs</v>
      </c>
      <c r="L769">
        <v>145061</v>
      </c>
      <c r="M769" t="s">
        <v>1662</v>
      </c>
      <c r="N769" t="s">
        <v>141</v>
      </c>
      <c r="O769" t="s">
        <v>44</v>
      </c>
      <c r="P769" s="1">
        <v>45706</v>
      </c>
      <c r="Q769">
        <v>493</v>
      </c>
      <c r="R769">
        <v>1183</v>
      </c>
      <c r="S769" t="s">
        <v>23</v>
      </c>
      <c r="T769">
        <v>2</v>
      </c>
      <c r="U769" t="s">
        <v>83</v>
      </c>
      <c r="V769" t="s">
        <v>24</v>
      </c>
      <c r="W769" t="s">
        <v>23</v>
      </c>
    </row>
    <row r="770" spans="1:23" x14ac:dyDescent="0.3">
      <c r="A770" t="s">
        <v>1663</v>
      </c>
      <c r="B770" t="s">
        <v>26</v>
      </c>
      <c r="C770" t="s">
        <v>226</v>
      </c>
      <c r="D770" t="s">
        <v>63</v>
      </c>
      <c r="E770" t="s">
        <v>5141</v>
      </c>
      <c r="F770" t="s">
        <v>5133</v>
      </c>
      <c r="G770" t="s">
        <v>41</v>
      </c>
      <c r="H770" t="s">
        <v>56</v>
      </c>
      <c r="I770" t="str">
        <f>LEFT(H770,FIND(" (",H770)-1)</f>
        <v>Mid</v>
      </c>
      <c r="J770" t="str">
        <f>MID(H770,FIND("(",H770)+1,FIND(")",H770)-FIND("(",H770)-1)</f>
        <v>2-5 yrs</v>
      </c>
      <c r="L770">
        <v>97586</v>
      </c>
      <c r="M770" t="s">
        <v>1664</v>
      </c>
      <c r="N770" t="s">
        <v>141</v>
      </c>
      <c r="O770" t="s">
        <v>79</v>
      </c>
      <c r="P770" s="1">
        <v>45482</v>
      </c>
      <c r="Q770">
        <v>1497</v>
      </c>
      <c r="R770">
        <v>614</v>
      </c>
      <c r="S770" t="s">
        <v>23</v>
      </c>
      <c r="T770">
        <v>2</v>
      </c>
      <c r="U770" t="s">
        <v>58</v>
      </c>
      <c r="V770" t="s">
        <v>24</v>
      </c>
      <c r="W770" t="s">
        <v>34</v>
      </c>
    </row>
    <row r="771" spans="1:23" x14ac:dyDescent="0.3">
      <c r="A771" t="s">
        <v>1665</v>
      </c>
      <c r="B771" t="s">
        <v>329</v>
      </c>
      <c r="C771" t="s">
        <v>167</v>
      </c>
      <c r="D771" t="s">
        <v>15</v>
      </c>
      <c r="E771" t="s">
        <v>216</v>
      </c>
      <c r="F771" t="s">
        <v>217</v>
      </c>
      <c r="G771" t="s">
        <v>18</v>
      </c>
      <c r="H771" t="s">
        <v>19</v>
      </c>
      <c r="I771" t="str">
        <f>LEFT(H771,FIND(" (",H771)-1)</f>
        <v>Entry</v>
      </c>
      <c r="J771" t="str">
        <f>MID(H771,FIND("(",H771)+1,FIND(")",H771)-FIND("(",H771)-1)</f>
        <v>0-2 yrs</v>
      </c>
      <c r="L771">
        <v>92836</v>
      </c>
      <c r="M771" t="s">
        <v>1666</v>
      </c>
      <c r="N771" t="s">
        <v>33</v>
      </c>
      <c r="O771" t="s">
        <v>51</v>
      </c>
      <c r="P771" s="1">
        <v>45362</v>
      </c>
      <c r="Q771">
        <v>894</v>
      </c>
      <c r="R771">
        <v>2462</v>
      </c>
      <c r="S771" t="s">
        <v>23</v>
      </c>
      <c r="T771">
        <v>0</v>
      </c>
      <c r="U771" t="s">
        <v>52</v>
      </c>
      <c r="V771" t="s">
        <v>59</v>
      </c>
      <c r="W771" t="s">
        <v>23</v>
      </c>
    </row>
    <row r="772" spans="1:23" x14ac:dyDescent="0.3">
      <c r="A772" t="s">
        <v>1667</v>
      </c>
      <c r="B772" t="s">
        <v>106</v>
      </c>
      <c r="C772" t="s">
        <v>124</v>
      </c>
      <c r="D772" t="s">
        <v>28</v>
      </c>
      <c r="E772" t="s">
        <v>5136</v>
      </c>
      <c r="F772" t="s">
        <v>5133</v>
      </c>
      <c r="G772" t="s">
        <v>55</v>
      </c>
      <c r="H772" t="s">
        <v>31</v>
      </c>
      <c r="I772" t="str">
        <f>LEFT(H772,FIND(" (",H772)-1)</f>
        <v>Staff/Principal</v>
      </c>
      <c r="J772" t="str">
        <f>MID(H772,FIND("(",H772)+1,FIND(")",H772)-FIND("(",H772)-1)</f>
        <v>8+ yrs</v>
      </c>
      <c r="L772">
        <v>225479</v>
      </c>
      <c r="M772" t="s">
        <v>1668</v>
      </c>
      <c r="N772" t="s">
        <v>21</v>
      </c>
      <c r="O772" t="s">
        <v>79</v>
      </c>
      <c r="P772" s="1">
        <v>45742</v>
      </c>
      <c r="Q772">
        <v>974</v>
      </c>
      <c r="R772">
        <v>3039</v>
      </c>
      <c r="S772" t="s">
        <v>34</v>
      </c>
      <c r="T772">
        <v>6</v>
      </c>
      <c r="U772" t="s">
        <v>45</v>
      </c>
      <c r="V772" t="s">
        <v>24</v>
      </c>
      <c r="W772" t="s">
        <v>34</v>
      </c>
    </row>
    <row r="773" spans="1:23" x14ac:dyDescent="0.3">
      <c r="A773" t="s">
        <v>1669</v>
      </c>
      <c r="B773" t="s">
        <v>225</v>
      </c>
      <c r="C773" t="s">
        <v>101</v>
      </c>
      <c r="D773" t="s">
        <v>38</v>
      </c>
      <c r="E773" t="s">
        <v>76</v>
      </c>
      <c r="F773" t="s">
        <v>77</v>
      </c>
      <c r="G773" t="s">
        <v>41</v>
      </c>
      <c r="H773" t="s">
        <v>31</v>
      </c>
      <c r="I773" t="str">
        <f>LEFT(H773,FIND(" (",H773)-1)</f>
        <v>Staff/Principal</v>
      </c>
      <c r="J773" t="str">
        <f>MID(H773,FIND("(",H773)+1,FIND(")",H773)-FIND("(",H773)-1)</f>
        <v>8+ yrs</v>
      </c>
      <c r="L773">
        <v>179751</v>
      </c>
      <c r="M773" t="s">
        <v>1670</v>
      </c>
      <c r="N773" t="s">
        <v>33</v>
      </c>
      <c r="O773" t="s">
        <v>51</v>
      </c>
      <c r="P773" s="1">
        <v>45493</v>
      </c>
      <c r="Q773">
        <v>2158</v>
      </c>
      <c r="R773">
        <v>647</v>
      </c>
      <c r="S773" t="s">
        <v>23</v>
      </c>
      <c r="T773">
        <v>6</v>
      </c>
      <c r="U773" t="s">
        <v>52</v>
      </c>
      <c r="V773" t="s">
        <v>59</v>
      </c>
      <c r="W773" t="s">
        <v>23</v>
      </c>
    </row>
    <row r="774" spans="1:23" x14ac:dyDescent="0.3">
      <c r="A774" t="s">
        <v>1671</v>
      </c>
      <c r="B774" t="s">
        <v>131</v>
      </c>
      <c r="C774" t="s">
        <v>116</v>
      </c>
      <c r="D774" t="s">
        <v>38</v>
      </c>
      <c r="E774" t="s">
        <v>159</v>
      </c>
      <c r="F774" t="s">
        <v>160</v>
      </c>
      <c r="G774" t="s">
        <v>18</v>
      </c>
      <c r="H774" t="s">
        <v>19</v>
      </c>
      <c r="I774" t="str">
        <f>LEFT(H774,FIND(" (",H774)-1)</f>
        <v>Entry</v>
      </c>
      <c r="J774" t="str">
        <f>MID(H774,FIND("(",H774)+1,FIND(")",H774)-FIND("(",H774)-1)</f>
        <v>0-2 yrs</v>
      </c>
      <c r="L774">
        <v>77968</v>
      </c>
      <c r="M774" t="s">
        <v>1672</v>
      </c>
      <c r="N774" t="s">
        <v>149</v>
      </c>
      <c r="O774" t="s">
        <v>22</v>
      </c>
      <c r="P774" s="1">
        <v>45328</v>
      </c>
      <c r="Q774">
        <v>427</v>
      </c>
      <c r="R774">
        <v>1221</v>
      </c>
      <c r="S774" t="s">
        <v>34</v>
      </c>
      <c r="T774">
        <v>0</v>
      </c>
      <c r="U774" t="s">
        <v>52</v>
      </c>
      <c r="V774" t="s">
        <v>59</v>
      </c>
      <c r="W774" t="s">
        <v>23</v>
      </c>
    </row>
    <row r="775" spans="1:23" x14ac:dyDescent="0.3">
      <c r="A775" t="s">
        <v>1673</v>
      </c>
      <c r="B775" t="s">
        <v>70</v>
      </c>
      <c r="C775" t="s">
        <v>226</v>
      </c>
      <c r="D775" t="s">
        <v>38</v>
      </c>
      <c r="E775" t="s">
        <v>39</v>
      </c>
      <c r="F775" t="s">
        <v>40</v>
      </c>
      <c r="G775" t="s">
        <v>55</v>
      </c>
      <c r="H775" t="s">
        <v>66</v>
      </c>
      <c r="I775" t="str">
        <f>LEFT(H775,FIND(" (",H775)-1)</f>
        <v>Senior</v>
      </c>
      <c r="J775" t="str">
        <f>MID(H775,FIND("(",H775)+1,FIND(")",H775)-FIND("(",H775)-1)</f>
        <v>5-8 yrs</v>
      </c>
      <c r="L775">
        <v>176258</v>
      </c>
      <c r="M775" t="s">
        <v>1674</v>
      </c>
      <c r="N775" t="s">
        <v>141</v>
      </c>
      <c r="O775" t="s">
        <v>51</v>
      </c>
      <c r="P775" s="1">
        <v>45508</v>
      </c>
      <c r="Q775">
        <v>2259</v>
      </c>
      <c r="R775">
        <v>2611</v>
      </c>
      <c r="S775" t="s">
        <v>23</v>
      </c>
      <c r="T775">
        <v>4</v>
      </c>
      <c r="U775" t="s">
        <v>5123</v>
      </c>
      <c r="V775" t="s">
        <v>24</v>
      </c>
      <c r="W775" t="s">
        <v>23</v>
      </c>
    </row>
    <row r="776" spans="1:23" x14ac:dyDescent="0.3">
      <c r="A776" t="s">
        <v>1675</v>
      </c>
      <c r="B776" t="s">
        <v>96</v>
      </c>
      <c r="C776" t="s">
        <v>195</v>
      </c>
      <c r="D776" t="s">
        <v>174</v>
      </c>
      <c r="E776" t="s">
        <v>5141</v>
      </c>
      <c r="F776" t="s">
        <v>5133</v>
      </c>
      <c r="G776" t="s">
        <v>18</v>
      </c>
      <c r="H776" t="s">
        <v>66</v>
      </c>
      <c r="I776" t="str">
        <f>LEFT(H776,FIND(" (",H776)-1)</f>
        <v>Senior</v>
      </c>
      <c r="J776" t="str">
        <f>MID(H776,FIND("(",H776)+1,FIND(")",H776)-FIND("(",H776)-1)</f>
        <v>5-8 yrs</v>
      </c>
      <c r="L776">
        <v>166788</v>
      </c>
      <c r="M776" t="s">
        <v>1676</v>
      </c>
      <c r="N776" t="s">
        <v>21</v>
      </c>
      <c r="O776" t="s">
        <v>79</v>
      </c>
      <c r="P776" s="1">
        <v>45650</v>
      </c>
      <c r="Q776">
        <v>2308</v>
      </c>
      <c r="R776">
        <v>121</v>
      </c>
      <c r="S776" t="s">
        <v>23</v>
      </c>
      <c r="T776">
        <v>4</v>
      </c>
      <c r="U776" t="s">
        <v>58</v>
      </c>
      <c r="V776" t="s">
        <v>59</v>
      </c>
      <c r="W776" t="s">
        <v>34</v>
      </c>
    </row>
    <row r="777" spans="1:23" x14ac:dyDescent="0.3">
      <c r="A777" t="s">
        <v>1677</v>
      </c>
      <c r="B777" t="s">
        <v>36</v>
      </c>
      <c r="C777" t="s">
        <v>192</v>
      </c>
      <c r="D777" t="s">
        <v>15</v>
      </c>
      <c r="E777" t="s">
        <v>5136</v>
      </c>
      <c r="F777" t="s">
        <v>5133</v>
      </c>
      <c r="G777" t="s">
        <v>18</v>
      </c>
      <c r="H777" t="s">
        <v>19</v>
      </c>
      <c r="I777" t="str">
        <f>LEFT(H777,FIND(" (",H777)-1)</f>
        <v>Entry</v>
      </c>
      <c r="J777" t="str">
        <f>MID(H777,FIND("(",H777)+1,FIND(")",H777)-FIND("(",H777)-1)</f>
        <v>0-2 yrs</v>
      </c>
      <c r="L777">
        <v>50215</v>
      </c>
      <c r="M777" t="s">
        <v>1678</v>
      </c>
      <c r="N777" t="s">
        <v>21</v>
      </c>
      <c r="O777" t="s">
        <v>51</v>
      </c>
      <c r="P777" s="1">
        <v>45717</v>
      </c>
      <c r="Q777">
        <v>2148</v>
      </c>
      <c r="R777">
        <v>897</v>
      </c>
      <c r="S777" t="s">
        <v>23</v>
      </c>
      <c r="T777">
        <v>0</v>
      </c>
      <c r="U777" t="s">
        <v>5123</v>
      </c>
      <c r="V777" t="s">
        <v>24</v>
      </c>
      <c r="W777" t="s">
        <v>34</v>
      </c>
    </row>
    <row r="778" spans="1:23" x14ac:dyDescent="0.3">
      <c r="A778" t="s">
        <v>1679</v>
      </c>
      <c r="B778" t="s">
        <v>151</v>
      </c>
      <c r="C778" t="s">
        <v>132</v>
      </c>
      <c r="D778" t="s">
        <v>28</v>
      </c>
      <c r="E778" t="s">
        <v>5136</v>
      </c>
      <c r="F778" t="s">
        <v>5133</v>
      </c>
      <c r="G778" t="s">
        <v>41</v>
      </c>
      <c r="H778" t="s">
        <v>31</v>
      </c>
      <c r="I778" t="str">
        <f>LEFT(H778,FIND(" (",H778)-1)</f>
        <v>Staff/Principal</v>
      </c>
      <c r="J778" t="str">
        <f>MID(H778,FIND("(",H778)+1,FIND(")",H778)-FIND("(",H778)-1)</f>
        <v>8+ yrs</v>
      </c>
      <c r="L778">
        <v>173823</v>
      </c>
      <c r="M778" t="s">
        <v>1680</v>
      </c>
      <c r="N778" t="s">
        <v>33</v>
      </c>
      <c r="O778" t="s">
        <v>51</v>
      </c>
      <c r="P778" s="1">
        <v>45529</v>
      </c>
      <c r="Q778">
        <v>2416</v>
      </c>
      <c r="R778">
        <v>2021</v>
      </c>
      <c r="S778" t="s">
        <v>34</v>
      </c>
      <c r="T778">
        <v>6</v>
      </c>
      <c r="U778" t="s">
        <v>58</v>
      </c>
      <c r="V778" t="s">
        <v>24</v>
      </c>
      <c r="W778" t="s">
        <v>34</v>
      </c>
    </row>
    <row r="779" spans="1:23" x14ac:dyDescent="0.3">
      <c r="A779" t="s">
        <v>1681</v>
      </c>
      <c r="B779" t="s">
        <v>81</v>
      </c>
      <c r="C779" t="s">
        <v>71</v>
      </c>
      <c r="D779" t="s">
        <v>147</v>
      </c>
      <c r="E779" t="s">
        <v>5139</v>
      </c>
      <c r="F779" t="s">
        <v>5133</v>
      </c>
      <c r="G779" t="s">
        <v>18</v>
      </c>
      <c r="H779" t="s">
        <v>66</v>
      </c>
      <c r="I779" t="str">
        <f>LEFT(H779,FIND(" (",H779)-1)</f>
        <v>Senior</v>
      </c>
      <c r="J779" t="str">
        <f>MID(H779,FIND("(",H779)+1,FIND(")",H779)-FIND("(",H779)-1)</f>
        <v>5-8 yrs</v>
      </c>
      <c r="L779">
        <v>143316</v>
      </c>
      <c r="M779" t="s">
        <v>1682</v>
      </c>
      <c r="N779" t="s">
        <v>68</v>
      </c>
      <c r="O779" t="s">
        <v>22</v>
      </c>
      <c r="P779" s="1">
        <v>45371</v>
      </c>
      <c r="Q779">
        <v>1048</v>
      </c>
      <c r="R779">
        <v>925</v>
      </c>
      <c r="S779" t="s">
        <v>23</v>
      </c>
      <c r="T779">
        <v>4</v>
      </c>
      <c r="U779" t="s">
        <v>83</v>
      </c>
      <c r="V779" t="s">
        <v>59</v>
      </c>
      <c r="W779" t="s">
        <v>34</v>
      </c>
    </row>
    <row r="780" spans="1:23" x14ac:dyDescent="0.3">
      <c r="A780" t="s">
        <v>1683</v>
      </c>
      <c r="B780" t="s">
        <v>172</v>
      </c>
      <c r="C780" t="s">
        <v>86</v>
      </c>
      <c r="D780" t="s">
        <v>174</v>
      </c>
      <c r="E780" t="s">
        <v>5137</v>
      </c>
      <c r="F780" t="s">
        <v>5138</v>
      </c>
      <c r="G780" t="s">
        <v>18</v>
      </c>
      <c r="H780" t="s">
        <v>19</v>
      </c>
      <c r="I780" t="str">
        <f>LEFT(H780,FIND(" (",H780)-1)</f>
        <v>Entry</v>
      </c>
      <c r="J780" t="str">
        <f>MID(H780,FIND("(",H780)+1,FIND(")",H780)-FIND("(",H780)-1)</f>
        <v>0-2 yrs</v>
      </c>
      <c r="L780">
        <v>69062</v>
      </c>
      <c r="M780" t="s">
        <v>1684</v>
      </c>
      <c r="N780" t="s">
        <v>94</v>
      </c>
      <c r="O780" t="s">
        <v>51</v>
      </c>
      <c r="P780" s="1">
        <v>45359</v>
      </c>
      <c r="Q780">
        <v>735</v>
      </c>
      <c r="R780">
        <v>1724</v>
      </c>
      <c r="S780" t="s">
        <v>23</v>
      </c>
      <c r="T780">
        <v>0</v>
      </c>
      <c r="U780" t="s">
        <v>45</v>
      </c>
      <c r="V780" t="s">
        <v>24</v>
      </c>
      <c r="W780" t="s">
        <v>23</v>
      </c>
    </row>
    <row r="781" spans="1:23" x14ac:dyDescent="0.3">
      <c r="A781" t="s">
        <v>1685</v>
      </c>
      <c r="B781" t="s">
        <v>70</v>
      </c>
      <c r="C781" t="s">
        <v>167</v>
      </c>
      <c r="D781" t="s">
        <v>49</v>
      </c>
      <c r="E781" t="s">
        <v>5136</v>
      </c>
      <c r="F781" t="s">
        <v>5133</v>
      </c>
      <c r="G781" t="s">
        <v>18</v>
      </c>
      <c r="H781" t="s">
        <v>19</v>
      </c>
      <c r="I781" t="str">
        <f>LEFT(H781,FIND(" (",H781)-1)</f>
        <v>Entry</v>
      </c>
      <c r="J781" t="str">
        <f>MID(H781,FIND("(",H781)+1,FIND(")",H781)-FIND("(",H781)-1)</f>
        <v>0-2 yrs</v>
      </c>
      <c r="L781">
        <v>77820</v>
      </c>
      <c r="M781" t="s">
        <v>1686</v>
      </c>
      <c r="N781" t="s">
        <v>186</v>
      </c>
      <c r="O781" t="s">
        <v>51</v>
      </c>
      <c r="P781" s="1">
        <v>45632</v>
      </c>
      <c r="Q781">
        <v>1104</v>
      </c>
      <c r="R781">
        <v>1837</v>
      </c>
      <c r="S781" t="s">
        <v>23</v>
      </c>
      <c r="T781">
        <v>0</v>
      </c>
      <c r="U781" t="s">
        <v>83</v>
      </c>
      <c r="V781" t="s">
        <v>24</v>
      </c>
      <c r="W781" t="s">
        <v>34</v>
      </c>
    </row>
    <row r="782" spans="1:23" x14ac:dyDescent="0.3">
      <c r="A782" t="s">
        <v>1687</v>
      </c>
      <c r="B782" t="s">
        <v>70</v>
      </c>
      <c r="C782" t="s">
        <v>124</v>
      </c>
      <c r="D782" t="s">
        <v>174</v>
      </c>
      <c r="E782" t="s">
        <v>200</v>
      </c>
      <c r="F782" t="s">
        <v>201</v>
      </c>
      <c r="G782" t="s">
        <v>18</v>
      </c>
      <c r="H782" t="s">
        <v>56</v>
      </c>
      <c r="I782" t="str">
        <f>LEFT(H782,FIND(" (",H782)-1)</f>
        <v>Mid</v>
      </c>
      <c r="J782" t="str">
        <f>MID(H782,FIND("(",H782)+1,FIND(")",H782)-FIND("(",H782)-1)</f>
        <v>2-5 yrs</v>
      </c>
      <c r="L782">
        <v>113518</v>
      </c>
      <c r="M782" t="s">
        <v>1688</v>
      </c>
      <c r="N782" t="s">
        <v>141</v>
      </c>
      <c r="O782" t="s">
        <v>22</v>
      </c>
      <c r="P782" s="1">
        <v>45578</v>
      </c>
      <c r="Q782">
        <v>349</v>
      </c>
      <c r="R782">
        <v>471</v>
      </c>
      <c r="S782" t="s">
        <v>23</v>
      </c>
      <c r="T782">
        <v>2</v>
      </c>
      <c r="U782" t="s">
        <v>45</v>
      </c>
      <c r="V782" t="s">
        <v>24</v>
      </c>
      <c r="W782" t="s">
        <v>34</v>
      </c>
    </row>
    <row r="783" spans="1:23" x14ac:dyDescent="0.3">
      <c r="A783" t="s">
        <v>1689</v>
      </c>
      <c r="B783" t="s">
        <v>61</v>
      </c>
      <c r="C783" t="s">
        <v>97</v>
      </c>
      <c r="D783" t="s">
        <v>75</v>
      </c>
      <c r="E783" t="s">
        <v>29</v>
      </c>
      <c r="F783" t="s">
        <v>30</v>
      </c>
      <c r="G783" t="s">
        <v>55</v>
      </c>
      <c r="H783" t="s">
        <v>66</v>
      </c>
      <c r="I783" t="str">
        <f>LEFT(H783,FIND(" (",H783)-1)</f>
        <v>Senior</v>
      </c>
      <c r="J783" t="str">
        <f>MID(H783,FIND("(",H783)+1,FIND(")",H783)-FIND("(",H783)-1)</f>
        <v>5-8 yrs</v>
      </c>
      <c r="L783">
        <v>113945</v>
      </c>
      <c r="M783" t="s">
        <v>1690</v>
      </c>
      <c r="N783" t="s">
        <v>94</v>
      </c>
      <c r="O783" t="s">
        <v>44</v>
      </c>
      <c r="P783" s="1">
        <v>45702</v>
      </c>
      <c r="Q783">
        <v>590</v>
      </c>
      <c r="R783">
        <v>608</v>
      </c>
      <c r="S783" t="s">
        <v>23</v>
      </c>
      <c r="T783">
        <v>4</v>
      </c>
      <c r="U783" t="s">
        <v>83</v>
      </c>
      <c r="V783" t="s">
        <v>24</v>
      </c>
      <c r="W783" t="s">
        <v>23</v>
      </c>
    </row>
    <row r="784" spans="1:23" x14ac:dyDescent="0.3">
      <c r="A784" t="s">
        <v>1691</v>
      </c>
      <c r="B784" t="s">
        <v>96</v>
      </c>
      <c r="C784" t="s">
        <v>132</v>
      </c>
      <c r="D784" t="s">
        <v>174</v>
      </c>
      <c r="E784" t="s">
        <v>200</v>
      </c>
      <c r="F784" t="s">
        <v>201</v>
      </c>
      <c r="G784" t="s">
        <v>18</v>
      </c>
      <c r="H784" t="s">
        <v>19</v>
      </c>
      <c r="I784" t="str">
        <f>LEFT(H784,FIND(" (",H784)-1)</f>
        <v>Entry</v>
      </c>
      <c r="J784" t="str">
        <f>MID(H784,FIND("(",H784)+1,FIND(")",H784)-FIND("(",H784)-1)</f>
        <v>0-2 yrs</v>
      </c>
      <c r="L784">
        <v>74790</v>
      </c>
      <c r="M784" t="s">
        <v>1692</v>
      </c>
      <c r="N784" t="s">
        <v>141</v>
      </c>
      <c r="O784" t="s">
        <v>44</v>
      </c>
      <c r="P784" s="1">
        <v>45612</v>
      </c>
      <c r="Q784">
        <v>413</v>
      </c>
      <c r="R784">
        <v>798</v>
      </c>
      <c r="S784" t="s">
        <v>23</v>
      </c>
      <c r="T784">
        <v>0</v>
      </c>
      <c r="U784" t="s">
        <v>45</v>
      </c>
      <c r="V784" t="s">
        <v>24</v>
      </c>
      <c r="W784" t="s">
        <v>23</v>
      </c>
    </row>
    <row r="785" spans="1:23" x14ac:dyDescent="0.3">
      <c r="A785" t="s">
        <v>1693</v>
      </c>
      <c r="B785" t="s">
        <v>91</v>
      </c>
      <c r="C785" t="s">
        <v>192</v>
      </c>
      <c r="D785" t="s">
        <v>49</v>
      </c>
      <c r="E785" t="s">
        <v>159</v>
      </c>
      <c r="F785" t="s">
        <v>160</v>
      </c>
      <c r="G785" t="s">
        <v>41</v>
      </c>
      <c r="H785" t="s">
        <v>56</v>
      </c>
      <c r="I785" t="str">
        <f>LEFT(H785,FIND(" (",H785)-1)</f>
        <v>Mid</v>
      </c>
      <c r="J785" t="str">
        <f>MID(H785,FIND("(",H785)+1,FIND(")",H785)-FIND("(",H785)-1)</f>
        <v>2-5 yrs</v>
      </c>
      <c r="L785">
        <v>122089</v>
      </c>
      <c r="M785" t="s">
        <v>1694</v>
      </c>
      <c r="N785" t="s">
        <v>120</v>
      </c>
      <c r="O785" t="s">
        <v>51</v>
      </c>
      <c r="P785" s="1">
        <v>45696</v>
      </c>
      <c r="Q785">
        <v>426</v>
      </c>
      <c r="R785">
        <v>1719</v>
      </c>
      <c r="S785" t="s">
        <v>34</v>
      </c>
      <c r="T785">
        <v>2</v>
      </c>
      <c r="U785" t="s">
        <v>5123</v>
      </c>
      <c r="V785" t="s">
        <v>59</v>
      </c>
      <c r="W785" t="s">
        <v>23</v>
      </c>
    </row>
    <row r="786" spans="1:23" x14ac:dyDescent="0.3">
      <c r="A786" t="s">
        <v>1695</v>
      </c>
      <c r="B786" t="s">
        <v>229</v>
      </c>
      <c r="C786" t="s">
        <v>128</v>
      </c>
      <c r="D786" t="s">
        <v>63</v>
      </c>
      <c r="E786" t="s">
        <v>16</v>
      </c>
      <c r="F786" t="s">
        <v>17</v>
      </c>
      <c r="G786" t="s">
        <v>18</v>
      </c>
      <c r="H786" t="s">
        <v>66</v>
      </c>
      <c r="I786" t="str">
        <f>LEFT(H786,FIND(" (",H786)-1)</f>
        <v>Senior</v>
      </c>
      <c r="J786" t="str">
        <f>MID(H786,FIND("(",H786)+1,FIND(")",H786)-FIND("(",H786)-1)</f>
        <v>5-8 yrs</v>
      </c>
      <c r="L786">
        <v>165114</v>
      </c>
      <c r="M786" t="s">
        <v>1696</v>
      </c>
      <c r="N786" t="s">
        <v>33</v>
      </c>
      <c r="O786" t="s">
        <v>51</v>
      </c>
      <c r="P786" s="1">
        <v>45529</v>
      </c>
      <c r="Q786">
        <v>1881</v>
      </c>
      <c r="R786">
        <v>3112</v>
      </c>
      <c r="S786" t="s">
        <v>99</v>
      </c>
      <c r="T786">
        <v>4</v>
      </c>
      <c r="U786" t="s">
        <v>83</v>
      </c>
      <c r="V786" t="s">
        <v>24</v>
      </c>
      <c r="W786" t="s">
        <v>23</v>
      </c>
    </row>
    <row r="787" spans="1:23" x14ac:dyDescent="0.3">
      <c r="A787" t="s">
        <v>1697</v>
      </c>
      <c r="B787" t="s">
        <v>85</v>
      </c>
      <c r="C787" t="s">
        <v>239</v>
      </c>
      <c r="D787" t="s">
        <v>28</v>
      </c>
      <c r="E787" t="s">
        <v>159</v>
      </c>
      <c r="F787" t="s">
        <v>160</v>
      </c>
      <c r="G787" t="s">
        <v>18</v>
      </c>
      <c r="H787" t="s">
        <v>56</v>
      </c>
      <c r="I787" t="str">
        <f>LEFT(H787,FIND(" (",H787)-1)</f>
        <v>Mid</v>
      </c>
      <c r="J787" t="str">
        <f>MID(H787,FIND("(",H787)+1,FIND(")",H787)-FIND("(",H787)-1)</f>
        <v>2-5 yrs</v>
      </c>
      <c r="L787">
        <v>131399</v>
      </c>
      <c r="M787" t="s">
        <v>1698</v>
      </c>
      <c r="N787" t="s">
        <v>120</v>
      </c>
      <c r="O787" t="s">
        <v>44</v>
      </c>
      <c r="P787" s="1">
        <v>45646</v>
      </c>
      <c r="Q787">
        <v>2403</v>
      </c>
      <c r="R787">
        <v>943</v>
      </c>
      <c r="S787" t="s">
        <v>23</v>
      </c>
      <c r="T787">
        <v>2</v>
      </c>
      <c r="U787" t="s">
        <v>45</v>
      </c>
      <c r="V787" t="s">
        <v>59</v>
      </c>
      <c r="W787" t="s">
        <v>23</v>
      </c>
    </row>
    <row r="788" spans="1:23" x14ac:dyDescent="0.3">
      <c r="A788" t="s">
        <v>1699</v>
      </c>
      <c r="B788" t="s">
        <v>225</v>
      </c>
      <c r="C788" t="s">
        <v>86</v>
      </c>
      <c r="D788" t="s">
        <v>125</v>
      </c>
      <c r="E788" t="s">
        <v>87</v>
      </c>
      <c r="F788" t="s">
        <v>87</v>
      </c>
      <c r="G788" t="s">
        <v>55</v>
      </c>
      <c r="H788" t="s">
        <v>66</v>
      </c>
      <c r="I788" t="str">
        <f>LEFT(H788,FIND(" (",H788)-1)</f>
        <v>Senior</v>
      </c>
      <c r="J788" t="str">
        <f>MID(H788,FIND("(",H788)+1,FIND(")",H788)-FIND("(",H788)-1)</f>
        <v>5-8 yrs</v>
      </c>
      <c r="L788">
        <v>172515</v>
      </c>
      <c r="M788" t="s">
        <v>1700</v>
      </c>
      <c r="N788" t="s">
        <v>21</v>
      </c>
      <c r="O788" t="s">
        <v>44</v>
      </c>
      <c r="P788" s="1">
        <v>45557</v>
      </c>
      <c r="Q788">
        <v>1508</v>
      </c>
      <c r="R788">
        <v>788</v>
      </c>
      <c r="S788" t="s">
        <v>23</v>
      </c>
      <c r="T788">
        <v>4</v>
      </c>
      <c r="U788" t="s">
        <v>45</v>
      </c>
      <c r="V788" t="s">
        <v>59</v>
      </c>
      <c r="W788" t="s">
        <v>23</v>
      </c>
    </row>
    <row r="789" spans="1:23" x14ac:dyDescent="0.3">
      <c r="A789" t="s">
        <v>1701</v>
      </c>
      <c r="B789" t="s">
        <v>106</v>
      </c>
      <c r="C789" t="s">
        <v>167</v>
      </c>
      <c r="D789" t="s">
        <v>63</v>
      </c>
      <c r="E789" t="s">
        <v>200</v>
      </c>
      <c r="F789" t="s">
        <v>201</v>
      </c>
      <c r="G789" t="s">
        <v>41</v>
      </c>
      <c r="H789" t="s">
        <v>31</v>
      </c>
      <c r="I789" t="str">
        <f>LEFT(H789,FIND(" (",H789)-1)</f>
        <v>Staff/Principal</v>
      </c>
      <c r="J789" t="str">
        <f>MID(H789,FIND("(",H789)+1,FIND(")",H789)-FIND("(",H789)-1)</f>
        <v>8+ yrs</v>
      </c>
      <c r="L789">
        <v>216530</v>
      </c>
      <c r="M789" t="s">
        <v>1702</v>
      </c>
      <c r="N789" t="s">
        <v>43</v>
      </c>
      <c r="O789" t="s">
        <v>51</v>
      </c>
      <c r="P789" s="1">
        <v>45352</v>
      </c>
      <c r="Q789">
        <v>1904</v>
      </c>
      <c r="R789">
        <v>1993</v>
      </c>
      <c r="S789" t="s">
        <v>23</v>
      </c>
      <c r="T789">
        <v>6</v>
      </c>
      <c r="U789" t="s">
        <v>83</v>
      </c>
      <c r="V789" t="s">
        <v>24</v>
      </c>
      <c r="W789" t="s">
        <v>34</v>
      </c>
    </row>
    <row r="790" spans="1:23" x14ac:dyDescent="0.3">
      <c r="A790" t="s">
        <v>1703</v>
      </c>
      <c r="B790" t="s">
        <v>36</v>
      </c>
      <c r="C790" t="s">
        <v>74</v>
      </c>
      <c r="D790" t="s">
        <v>111</v>
      </c>
      <c r="E790" t="s">
        <v>16</v>
      </c>
      <c r="F790" t="s">
        <v>17</v>
      </c>
      <c r="G790" t="s">
        <v>18</v>
      </c>
      <c r="H790" t="s">
        <v>19</v>
      </c>
      <c r="I790" t="str">
        <f>LEFT(H790,FIND(" (",H790)-1)</f>
        <v>Entry</v>
      </c>
      <c r="J790" t="str">
        <f>MID(H790,FIND("(",H790)+1,FIND(")",H790)-FIND("(",H790)-1)</f>
        <v>0-2 yrs</v>
      </c>
      <c r="L790">
        <v>69115</v>
      </c>
      <c r="M790" t="s">
        <v>1704</v>
      </c>
      <c r="N790" t="s">
        <v>33</v>
      </c>
      <c r="O790" t="s">
        <v>44</v>
      </c>
      <c r="P790" s="1">
        <v>45484</v>
      </c>
      <c r="Q790">
        <v>2393</v>
      </c>
      <c r="R790">
        <v>2334</v>
      </c>
      <c r="S790" t="s">
        <v>23</v>
      </c>
      <c r="T790">
        <v>0</v>
      </c>
      <c r="U790" t="s">
        <v>45</v>
      </c>
      <c r="V790" t="s">
        <v>24</v>
      </c>
      <c r="W790" t="s">
        <v>34</v>
      </c>
    </row>
    <row r="791" spans="1:23" x14ac:dyDescent="0.3">
      <c r="A791" t="s">
        <v>1705</v>
      </c>
      <c r="B791" t="s">
        <v>96</v>
      </c>
      <c r="C791" t="s">
        <v>132</v>
      </c>
      <c r="D791" t="s">
        <v>49</v>
      </c>
      <c r="E791" t="s">
        <v>159</v>
      </c>
      <c r="F791" t="s">
        <v>160</v>
      </c>
      <c r="G791" t="s">
        <v>18</v>
      </c>
      <c r="H791" t="s">
        <v>19</v>
      </c>
      <c r="I791" t="str">
        <f>LEFT(H791,FIND(" (",H791)-1)</f>
        <v>Entry</v>
      </c>
      <c r="J791" t="str">
        <f>MID(H791,FIND("(",H791)+1,FIND(")",H791)-FIND("(",H791)-1)</f>
        <v>0-2 yrs</v>
      </c>
      <c r="L791">
        <v>50000</v>
      </c>
      <c r="M791" t="s">
        <v>1706</v>
      </c>
      <c r="N791" t="s">
        <v>186</v>
      </c>
      <c r="O791" t="s">
        <v>22</v>
      </c>
      <c r="P791" s="1">
        <v>45452</v>
      </c>
      <c r="Q791">
        <v>2492</v>
      </c>
      <c r="R791">
        <v>1109</v>
      </c>
      <c r="S791" t="s">
        <v>34</v>
      </c>
      <c r="T791">
        <v>0</v>
      </c>
      <c r="U791" t="s">
        <v>5123</v>
      </c>
      <c r="V791" t="s">
        <v>46</v>
      </c>
      <c r="W791" t="s">
        <v>23</v>
      </c>
    </row>
    <row r="792" spans="1:23" x14ac:dyDescent="0.3">
      <c r="A792" t="s">
        <v>1707</v>
      </c>
      <c r="B792" t="s">
        <v>106</v>
      </c>
      <c r="C792" t="s">
        <v>195</v>
      </c>
      <c r="D792" t="s">
        <v>111</v>
      </c>
      <c r="E792" t="s">
        <v>200</v>
      </c>
      <c r="F792" t="s">
        <v>201</v>
      </c>
      <c r="G792" t="s">
        <v>18</v>
      </c>
      <c r="H792" t="s">
        <v>19</v>
      </c>
      <c r="I792" t="str">
        <f>LEFT(H792,FIND(" (",H792)-1)</f>
        <v>Entry</v>
      </c>
      <c r="J792" t="str">
        <f>MID(H792,FIND("(",H792)+1,FIND(")",H792)-FIND("(",H792)-1)</f>
        <v>0-2 yrs</v>
      </c>
      <c r="L792">
        <v>75413</v>
      </c>
      <c r="M792" t="s">
        <v>1708</v>
      </c>
      <c r="N792" t="s">
        <v>245</v>
      </c>
      <c r="O792" t="s">
        <v>51</v>
      </c>
      <c r="P792" s="1">
        <v>45349</v>
      </c>
      <c r="Q792">
        <v>1392</v>
      </c>
      <c r="R792">
        <v>3810</v>
      </c>
      <c r="S792" t="s">
        <v>23</v>
      </c>
      <c r="T792">
        <v>0</v>
      </c>
      <c r="U792" t="s">
        <v>52</v>
      </c>
      <c r="V792" t="s">
        <v>24</v>
      </c>
      <c r="W792" t="s">
        <v>23</v>
      </c>
    </row>
    <row r="793" spans="1:23" x14ac:dyDescent="0.3">
      <c r="A793" t="s">
        <v>1709</v>
      </c>
      <c r="B793" t="s">
        <v>236</v>
      </c>
      <c r="C793" t="s">
        <v>173</v>
      </c>
      <c r="D793" t="s">
        <v>63</v>
      </c>
      <c r="E793" t="s">
        <v>102</v>
      </c>
      <c r="F793" t="s">
        <v>103</v>
      </c>
      <c r="G793" t="s">
        <v>55</v>
      </c>
      <c r="H793" t="s">
        <v>56</v>
      </c>
      <c r="I793" t="str">
        <f>LEFT(H793,FIND(" (",H793)-1)</f>
        <v>Mid</v>
      </c>
      <c r="J793" t="str">
        <f>MID(H793,FIND("(",H793)+1,FIND(")",H793)-FIND("(",H793)-1)</f>
        <v>2-5 yrs</v>
      </c>
      <c r="L793">
        <v>114112</v>
      </c>
      <c r="M793" t="s">
        <v>1710</v>
      </c>
      <c r="N793" t="s">
        <v>21</v>
      </c>
      <c r="O793" t="s">
        <v>22</v>
      </c>
      <c r="P793" s="1">
        <v>45714</v>
      </c>
      <c r="Q793">
        <v>1308</v>
      </c>
      <c r="R793">
        <v>3472</v>
      </c>
      <c r="S793" t="s">
        <v>23</v>
      </c>
      <c r="T793">
        <v>2</v>
      </c>
      <c r="U793" t="s">
        <v>52</v>
      </c>
      <c r="V793" t="s">
        <v>24</v>
      </c>
      <c r="W793" t="s">
        <v>34</v>
      </c>
    </row>
    <row r="794" spans="1:23" x14ac:dyDescent="0.3">
      <c r="A794" t="s">
        <v>1711</v>
      </c>
      <c r="B794" t="s">
        <v>222</v>
      </c>
      <c r="C794" t="s">
        <v>101</v>
      </c>
      <c r="D794" t="s">
        <v>49</v>
      </c>
      <c r="E794" t="s">
        <v>16</v>
      </c>
      <c r="F794" t="s">
        <v>17</v>
      </c>
      <c r="G794" t="s">
        <v>18</v>
      </c>
      <c r="H794" t="s">
        <v>56</v>
      </c>
      <c r="I794" t="str">
        <f>LEFT(H794,FIND(" (",H794)-1)</f>
        <v>Mid</v>
      </c>
      <c r="J794" t="str">
        <f>MID(H794,FIND("(",H794)+1,FIND(")",H794)-FIND("(",H794)-1)</f>
        <v>2-5 yrs</v>
      </c>
      <c r="L794">
        <v>115377</v>
      </c>
      <c r="M794" t="s">
        <v>1712</v>
      </c>
      <c r="N794" t="s">
        <v>245</v>
      </c>
      <c r="O794" t="s">
        <v>51</v>
      </c>
      <c r="P794" s="1">
        <v>45414</v>
      </c>
      <c r="Q794">
        <v>2119</v>
      </c>
      <c r="R794">
        <v>1822</v>
      </c>
      <c r="S794" t="s">
        <v>34</v>
      </c>
      <c r="T794">
        <v>2</v>
      </c>
      <c r="U794" t="s">
        <v>58</v>
      </c>
      <c r="V794" t="s">
        <v>59</v>
      </c>
      <c r="W794" t="s">
        <v>23</v>
      </c>
    </row>
    <row r="795" spans="1:23" x14ac:dyDescent="0.3">
      <c r="A795" t="s">
        <v>1713</v>
      </c>
      <c r="B795" t="s">
        <v>151</v>
      </c>
      <c r="C795" t="s">
        <v>116</v>
      </c>
      <c r="D795" t="s">
        <v>63</v>
      </c>
      <c r="E795" t="s">
        <v>87</v>
      </c>
      <c r="F795" t="s">
        <v>87</v>
      </c>
      <c r="G795" t="s">
        <v>55</v>
      </c>
      <c r="H795" t="s">
        <v>66</v>
      </c>
      <c r="I795" t="str">
        <f>LEFT(H795,FIND(" (",H795)-1)</f>
        <v>Senior</v>
      </c>
      <c r="J795" t="str">
        <f>MID(H795,FIND("(",H795)+1,FIND(")",H795)-FIND("(",H795)-1)</f>
        <v>5-8 yrs</v>
      </c>
      <c r="L795">
        <v>115527</v>
      </c>
      <c r="M795" t="s">
        <v>1714</v>
      </c>
      <c r="N795" t="s">
        <v>141</v>
      </c>
      <c r="O795" t="s">
        <v>51</v>
      </c>
      <c r="P795" s="1">
        <v>45543</v>
      </c>
      <c r="Q795">
        <v>1827</v>
      </c>
      <c r="R795">
        <v>601</v>
      </c>
      <c r="S795" t="s">
        <v>23</v>
      </c>
      <c r="T795">
        <v>4</v>
      </c>
      <c r="U795" t="s">
        <v>83</v>
      </c>
      <c r="V795" t="s">
        <v>59</v>
      </c>
      <c r="W795" t="s">
        <v>23</v>
      </c>
    </row>
    <row r="796" spans="1:23" x14ac:dyDescent="0.3">
      <c r="A796" t="s">
        <v>1715</v>
      </c>
      <c r="B796" t="s">
        <v>222</v>
      </c>
      <c r="C796" t="s">
        <v>124</v>
      </c>
      <c r="D796" t="s">
        <v>111</v>
      </c>
      <c r="E796" t="s">
        <v>87</v>
      </c>
      <c r="F796" t="s">
        <v>87</v>
      </c>
      <c r="G796" t="s">
        <v>18</v>
      </c>
      <c r="H796" t="s">
        <v>31</v>
      </c>
      <c r="I796" t="str">
        <f>LEFT(H796,FIND(" (",H796)-1)</f>
        <v>Staff/Principal</v>
      </c>
      <c r="J796" t="str">
        <f>MID(H796,FIND("(",H796)+1,FIND(")",H796)-FIND("(",H796)-1)</f>
        <v>8+ yrs</v>
      </c>
      <c r="L796">
        <v>161081</v>
      </c>
      <c r="M796" t="s">
        <v>1716</v>
      </c>
      <c r="N796" t="s">
        <v>89</v>
      </c>
      <c r="O796" t="s">
        <v>22</v>
      </c>
      <c r="P796" s="1">
        <v>45472</v>
      </c>
      <c r="Q796">
        <v>564</v>
      </c>
      <c r="R796">
        <v>1862</v>
      </c>
      <c r="S796" t="s">
        <v>23</v>
      </c>
      <c r="T796">
        <v>6</v>
      </c>
      <c r="U796" t="s">
        <v>5123</v>
      </c>
      <c r="V796" t="s">
        <v>24</v>
      </c>
      <c r="W796" t="s">
        <v>34</v>
      </c>
    </row>
    <row r="797" spans="1:23" x14ac:dyDescent="0.3">
      <c r="A797" t="s">
        <v>1717</v>
      </c>
      <c r="B797" t="s">
        <v>137</v>
      </c>
      <c r="C797" t="s">
        <v>192</v>
      </c>
      <c r="D797" t="s">
        <v>125</v>
      </c>
      <c r="E797" t="s">
        <v>159</v>
      </c>
      <c r="F797" t="s">
        <v>160</v>
      </c>
      <c r="G797" t="s">
        <v>18</v>
      </c>
      <c r="H797" t="s">
        <v>19</v>
      </c>
      <c r="I797" t="str">
        <f>LEFT(H797,FIND(" (",H797)-1)</f>
        <v>Entry</v>
      </c>
      <c r="J797" t="str">
        <f>MID(H797,FIND("(",H797)+1,FIND(")",H797)-FIND("(",H797)-1)</f>
        <v>0-2 yrs</v>
      </c>
      <c r="L797">
        <v>83269</v>
      </c>
      <c r="M797" t="s">
        <v>1718</v>
      </c>
      <c r="N797" t="s">
        <v>120</v>
      </c>
      <c r="O797" t="s">
        <v>22</v>
      </c>
      <c r="P797" s="1">
        <v>45520</v>
      </c>
      <c r="Q797">
        <v>2418</v>
      </c>
      <c r="R797">
        <v>2463</v>
      </c>
      <c r="S797" t="s">
        <v>23</v>
      </c>
      <c r="T797">
        <v>0</v>
      </c>
      <c r="U797" t="s">
        <v>52</v>
      </c>
      <c r="V797" t="s">
        <v>59</v>
      </c>
      <c r="W797" t="s">
        <v>23</v>
      </c>
    </row>
    <row r="798" spans="1:23" x14ac:dyDescent="0.3">
      <c r="A798" t="s">
        <v>1719</v>
      </c>
      <c r="B798" t="s">
        <v>225</v>
      </c>
      <c r="C798" t="s">
        <v>62</v>
      </c>
      <c r="D798" t="s">
        <v>28</v>
      </c>
      <c r="E798" t="s">
        <v>29</v>
      </c>
      <c r="F798" t="s">
        <v>30</v>
      </c>
      <c r="G798" t="s">
        <v>18</v>
      </c>
      <c r="H798" t="s">
        <v>19</v>
      </c>
      <c r="I798" t="str">
        <f>LEFT(H798,FIND(" (",H798)-1)</f>
        <v>Entry</v>
      </c>
      <c r="J798" t="str">
        <f>MID(H798,FIND("(",H798)+1,FIND(")",H798)-FIND("(",H798)-1)</f>
        <v>0-2 yrs</v>
      </c>
      <c r="L798">
        <v>69501</v>
      </c>
      <c r="M798" t="s">
        <v>1720</v>
      </c>
      <c r="N798" t="s">
        <v>149</v>
      </c>
      <c r="O798" t="s">
        <v>51</v>
      </c>
      <c r="P798" s="1">
        <v>45373</v>
      </c>
      <c r="Q798">
        <v>1500</v>
      </c>
      <c r="R798">
        <v>590</v>
      </c>
      <c r="S798" t="s">
        <v>99</v>
      </c>
      <c r="T798">
        <v>0</v>
      </c>
      <c r="U798" t="s">
        <v>45</v>
      </c>
      <c r="V798" t="s">
        <v>59</v>
      </c>
      <c r="W798" t="s">
        <v>34</v>
      </c>
    </row>
    <row r="799" spans="1:23" x14ac:dyDescent="0.3">
      <c r="A799" t="s">
        <v>1721</v>
      </c>
      <c r="B799" t="s">
        <v>329</v>
      </c>
      <c r="C799" t="s">
        <v>158</v>
      </c>
      <c r="D799" t="s">
        <v>125</v>
      </c>
      <c r="E799" t="s">
        <v>102</v>
      </c>
      <c r="F799" t="s">
        <v>103</v>
      </c>
      <c r="G799" t="s">
        <v>41</v>
      </c>
      <c r="H799" t="s">
        <v>66</v>
      </c>
      <c r="I799" t="str">
        <f>LEFT(H799,FIND(" (",H799)-1)</f>
        <v>Senior</v>
      </c>
      <c r="J799" t="str">
        <f>MID(H799,FIND("(",H799)+1,FIND(")",H799)-FIND("(",H799)-1)</f>
        <v>5-8 yrs</v>
      </c>
      <c r="L799">
        <v>168400</v>
      </c>
      <c r="M799" t="s">
        <v>1722</v>
      </c>
      <c r="N799" t="s">
        <v>33</v>
      </c>
      <c r="O799" t="s">
        <v>22</v>
      </c>
      <c r="P799" s="1">
        <v>45410</v>
      </c>
      <c r="Q799">
        <v>2226</v>
      </c>
      <c r="R799">
        <v>3868</v>
      </c>
      <c r="S799" t="s">
        <v>23</v>
      </c>
      <c r="T799">
        <v>4</v>
      </c>
      <c r="U799" t="s">
        <v>52</v>
      </c>
      <c r="V799" t="s">
        <v>24</v>
      </c>
      <c r="W799" t="s">
        <v>23</v>
      </c>
    </row>
    <row r="800" spans="1:23" x14ac:dyDescent="0.3">
      <c r="A800" t="s">
        <v>1723</v>
      </c>
      <c r="B800" t="s">
        <v>106</v>
      </c>
      <c r="C800" t="s">
        <v>107</v>
      </c>
      <c r="D800" t="s">
        <v>125</v>
      </c>
      <c r="E800" t="s">
        <v>5136</v>
      </c>
      <c r="F800" t="s">
        <v>5133</v>
      </c>
      <c r="G800" t="s">
        <v>41</v>
      </c>
      <c r="H800" t="s">
        <v>19</v>
      </c>
      <c r="I800" t="str">
        <f>LEFT(H800,FIND(" (",H800)-1)</f>
        <v>Entry</v>
      </c>
      <c r="J800" t="str">
        <f>MID(H800,FIND("(",H800)+1,FIND(")",H800)-FIND("(",H800)-1)</f>
        <v>0-2 yrs</v>
      </c>
      <c r="L800">
        <v>70356</v>
      </c>
      <c r="M800" t="s">
        <v>1724</v>
      </c>
      <c r="N800" t="s">
        <v>43</v>
      </c>
      <c r="O800" t="s">
        <v>22</v>
      </c>
      <c r="P800" s="1">
        <v>45429</v>
      </c>
      <c r="Q800">
        <v>1065</v>
      </c>
      <c r="R800">
        <v>1016</v>
      </c>
      <c r="S800" t="s">
        <v>23</v>
      </c>
      <c r="T800">
        <v>0</v>
      </c>
      <c r="U800" t="s">
        <v>45</v>
      </c>
      <c r="V800" t="s">
        <v>59</v>
      </c>
      <c r="W800" t="s">
        <v>23</v>
      </c>
    </row>
    <row r="801" spans="1:23" x14ac:dyDescent="0.3">
      <c r="A801" t="s">
        <v>1725</v>
      </c>
      <c r="B801" t="s">
        <v>131</v>
      </c>
      <c r="C801" t="s">
        <v>116</v>
      </c>
      <c r="D801" t="s">
        <v>174</v>
      </c>
      <c r="E801" t="s">
        <v>76</v>
      </c>
      <c r="F801" t="s">
        <v>77</v>
      </c>
      <c r="G801" t="s">
        <v>41</v>
      </c>
      <c r="H801" t="s">
        <v>19</v>
      </c>
      <c r="I801" t="str">
        <f>LEFT(H801,FIND(" (",H801)-1)</f>
        <v>Entry</v>
      </c>
      <c r="J801" t="str">
        <f>MID(H801,FIND("(",H801)+1,FIND(")",H801)-FIND("(",H801)-1)</f>
        <v>0-2 yrs</v>
      </c>
      <c r="L801">
        <v>70374</v>
      </c>
      <c r="M801" t="s">
        <v>1726</v>
      </c>
      <c r="N801" t="s">
        <v>21</v>
      </c>
      <c r="O801" t="s">
        <v>51</v>
      </c>
      <c r="P801" s="1">
        <v>45321</v>
      </c>
      <c r="Q801">
        <v>1443</v>
      </c>
      <c r="R801">
        <v>1904</v>
      </c>
      <c r="S801" t="s">
        <v>34</v>
      </c>
      <c r="T801">
        <v>0</v>
      </c>
      <c r="U801" t="s">
        <v>52</v>
      </c>
      <c r="V801" t="s">
        <v>59</v>
      </c>
      <c r="W801" t="s">
        <v>23</v>
      </c>
    </row>
    <row r="802" spans="1:23" x14ac:dyDescent="0.3">
      <c r="A802" t="s">
        <v>1727</v>
      </c>
      <c r="B802" t="s">
        <v>222</v>
      </c>
      <c r="C802" t="s">
        <v>48</v>
      </c>
      <c r="D802" t="s">
        <v>147</v>
      </c>
      <c r="E802" t="s">
        <v>5136</v>
      </c>
      <c r="F802" t="s">
        <v>5133</v>
      </c>
      <c r="G802" t="s">
        <v>55</v>
      </c>
      <c r="H802" t="s">
        <v>19</v>
      </c>
      <c r="I802" t="str">
        <f>LEFT(H802,FIND(" (",H802)-1)</f>
        <v>Entry</v>
      </c>
      <c r="J802" t="str">
        <f>MID(H802,FIND("(",H802)+1,FIND(")",H802)-FIND("(",H802)-1)</f>
        <v>0-2 yrs</v>
      </c>
      <c r="L802">
        <v>81822</v>
      </c>
      <c r="M802" t="s">
        <v>1728</v>
      </c>
      <c r="N802" t="s">
        <v>33</v>
      </c>
      <c r="O802" t="s">
        <v>51</v>
      </c>
      <c r="P802" s="1">
        <v>45361</v>
      </c>
      <c r="Q802">
        <v>1954</v>
      </c>
      <c r="R802">
        <v>3650</v>
      </c>
      <c r="S802" t="s">
        <v>23</v>
      </c>
      <c r="T802">
        <v>0</v>
      </c>
      <c r="U802" t="s">
        <v>83</v>
      </c>
      <c r="V802" t="s">
        <v>24</v>
      </c>
      <c r="W802" t="s">
        <v>23</v>
      </c>
    </row>
    <row r="803" spans="1:23" x14ac:dyDescent="0.3">
      <c r="A803" t="s">
        <v>1729</v>
      </c>
      <c r="B803" t="s">
        <v>137</v>
      </c>
      <c r="C803" t="s">
        <v>116</v>
      </c>
      <c r="D803" t="s">
        <v>28</v>
      </c>
      <c r="E803" t="s">
        <v>76</v>
      </c>
      <c r="F803" t="s">
        <v>77</v>
      </c>
      <c r="G803" t="s">
        <v>55</v>
      </c>
      <c r="H803" t="s">
        <v>66</v>
      </c>
      <c r="I803" t="str">
        <f>LEFT(H803,FIND(" (",H803)-1)</f>
        <v>Senior</v>
      </c>
      <c r="J803" t="str">
        <f>MID(H803,FIND("(",H803)+1,FIND(")",H803)-FIND("(",H803)-1)</f>
        <v>5-8 yrs</v>
      </c>
      <c r="L803">
        <v>136066</v>
      </c>
      <c r="M803" t="s">
        <v>1730</v>
      </c>
      <c r="N803" t="s">
        <v>43</v>
      </c>
      <c r="O803" t="s">
        <v>22</v>
      </c>
      <c r="P803" s="1">
        <v>45377</v>
      </c>
      <c r="Q803">
        <v>1989</v>
      </c>
      <c r="R803">
        <v>1577</v>
      </c>
      <c r="S803" t="s">
        <v>23</v>
      </c>
      <c r="T803">
        <v>4</v>
      </c>
      <c r="U803" t="s">
        <v>45</v>
      </c>
      <c r="V803" t="s">
        <v>24</v>
      </c>
      <c r="W803" t="s">
        <v>23</v>
      </c>
    </row>
    <row r="804" spans="1:23" x14ac:dyDescent="0.3">
      <c r="A804" t="s">
        <v>1731</v>
      </c>
      <c r="B804" t="s">
        <v>151</v>
      </c>
      <c r="C804" t="s">
        <v>209</v>
      </c>
      <c r="D804" t="s">
        <v>28</v>
      </c>
      <c r="E804" t="s">
        <v>5139</v>
      </c>
      <c r="F804" t="s">
        <v>5133</v>
      </c>
      <c r="G804" t="s">
        <v>41</v>
      </c>
      <c r="H804" t="s">
        <v>56</v>
      </c>
      <c r="I804" t="str">
        <f>LEFT(H804,FIND(" (",H804)-1)</f>
        <v>Mid</v>
      </c>
      <c r="J804" t="str">
        <f>MID(H804,FIND("(",H804)+1,FIND(")",H804)-FIND("(",H804)-1)</f>
        <v>2-5 yrs</v>
      </c>
      <c r="L804">
        <v>111903</v>
      </c>
      <c r="M804" t="s">
        <v>1732</v>
      </c>
      <c r="N804" t="s">
        <v>33</v>
      </c>
      <c r="O804" t="s">
        <v>51</v>
      </c>
      <c r="P804" s="1">
        <v>45676</v>
      </c>
      <c r="Q804">
        <v>882</v>
      </c>
      <c r="R804">
        <v>77</v>
      </c>
      <c r="S804" t="s">
        <v>99</v>
      </c>
      <c r="T804">
        <v>2</v>
      </c>
      <c r="U804" t="s">
        <v>58</v>
      </c>
      <c r="V804" t="s">
        <v>24</v>
      </c>
      <c r="W804" t="s">
        <v>34</v>
      </c>
    </row>
    <row r="805" spans="1:23" x14ac:dyDescent="0.3">
      <c r="A805" t="s">
        <v>1733</v>
      </c>
      <c r="B805" t="s">
        <v>172</v>
      </c>
      <c r="C805" t="s">
        <v>179</v>
      </c>
      <c r="D805" t="s">
        <v>174</v>
      </c>
      <c r="E805" t="s">
        <v>87</v>
      </c>
      <c r="F805" t="s">
        <v>87</v>
      </c>
      <c r="G805" t="s">
        <v>41</v>
      </c>
      <c r="H805" t="s">
        <v>66</v>
      </c>
      <c r="I805" t="str">
        <f>LEFT(H805,FIND(" (",H805)-1)</f>
        <v>Senior</v>
      </c>
      <c r="J805" t="str">
        <f>MID(H805,FIND("(",H805)+1,FIND(")",H805)-FIND("(",H805)-1)</f>
        <v>5-8 yrs</v>
      </c>
      <c r="L805">
        <v>137518</v>
      </c>
      <c r="M805" t="s">
        <v>1734</v>
      </c>
      <c r="N805" t="s">
        <v>149</v>
      </c>
      <c r="O805" t="s">
        <v>22</v>
      </c>
      <c r="P805" s="1">
        <v>45504</v>
      </c>
      <c r="Q805">
        <v>2205</v>
      </c>
      <c r="R805">
        <v>3734</v>
      </c>
      <c r="S805" t="s">
        <v>23</v>
      </c>
      <c r="T805">
        <v>4</v>
      </c>
      <c r="U805" t="s">
        <v>58</v>
      </c>
      <c r="V805" t="s">
        <v>24</v>
      </c>
      <c r="W805" t="s">
        <v>34</v>
      </c>
    </row>
    <row r="806" spans="1:23" x14ac:dyDescent="0.3">
      <c r="A806" t="s">
        <v>1735</v>
      </c>
      <c r="B806" t="s">
        <v>131</v>
      </c>
      <c r="C806" t="s">
        <v>209</v>
      </c>
      <c r="D806" t="s">
        <v>75</v>
      </c>
      <c r="E806" t="s">
        <v>5135</v>
      </c>
      <c r="F806" t="s">
        <v>5133</v>
      </c>
      <c r="G806" t="s">
        <v>55</v>
      </c>
      <c r="H806" t="s">
        <v>31</v>
      </c>
      <c r="I806" t="str">
        <f>LEFT(H806,FIND(" (",H806)-1)</f>
        <v>Staff/Principal</v>
      </c>
      <c r="J806" t="str">
        <f>MID(H806,FIND("(",H806)+1,FIND(")",H806)-FIND("(",H806)-1)</f>
        <v>8+ yrs</v>
      </c>
      <c r="L806">
        <v>184358</v>
      </c>
      <c r="M806" t="s">
        <v>1736</v>
      </c>
      <c r="N806" t="s">
        <v>149</v>
      </c>
      <c r="O806" t="s">
        <v>22</v>
      </c>
      <c r="P806" s="1">
        <v>45736</v>
      </c>
      <c r="Q806">
        <v>401</v>
      </c>
      <c r="R806">
        <v>2096</v>
      </c>
      <c r="S806" t="s">
        <v>34</v>
      </c>
      <c r="T806">
        <v>6</v>
      </c>
      <c r="U806" t="s">
        <v>83</v>
      </c>
      <c r="V806" t="s">
        <v>24</v>
      </c>
      <c r="W806" t="s">
        <v>34</v>
      </c>
    </row>
    <row r="807" spans="1:23" x14ac:dyDescent="0.3">
      <c r="A807" t="s">
        <v>1737</v>
      </c>
      <c r="B807" t="s">
        <v>236</v>
      </c>
      <c r="C807" t="s">
        <v>71</v>
      </c>
      <c r="D807" t="s">
        <v>63</v>
      </c>
      <c r="E807" t="s">
        <v>5141</v>
      </c>
      <c r="F807" t="s">
        <v>5133</v>
      </c>
      <c r="G807" t="s">
        <v>41</v>
      </c>
      <c r="H807" t="s">
        <v>31</v>
      </c>
      <c r="I807" t="str">
        <f>LEFT(H807,FIND(" (",H807)-1)</f>
        <v>Staff/Principal</v>
      </c>
      <c r="J807" t="str">
        <f>MID(H807,FIND("(",H807)+1,FIND(")",H807)-FIND("(",H807)-1)</f>
        <v>8+ yrs</v>
      </c>
      <c r="L807">
        <v>188869</v>
      </c>
      <c r="M807" t="s">
        <v>1738</v>
      </c>
      <c r="N807" t="s">
        <v>33</v>
      </c>
      <c r="O807" t="s">
        <v>51</v>
      </c>
      <c r="P807" s="1">
        <v>45437</v>
      </c>
      <c r="Q807">
        <v>2405</v>
      </c>
      <c r="R807">
        <v>158</v>
      </c>
      <c r="S807" t="s">
        <v>23</v>
      </c>
      <c r="T807">
        <v>6</v>
      </c>
      <c r="U807" t="s">
        <v>83</v>
      </c>
      <c r="V807" t="s">
        <v>59</v>
      </c>
      <c r="W807" t="s">
        <v>23</v>
      </c>
    </row>
    <row r="808" spans="1:23" x14ac:dyDescent="0.3">
      <c r="A808" t="s">
        <v>1739</v>
      </c>
      <c r="B808" t="s">
        <v>70</v>
      </c>
      <c r="C808" t="s">
        <v>204</v>
      </c>
      <c r="D808" t="s">
        <v>49</v>
      </c>
      <c r="E808" t="s">
        <v>5134</v>
      </c>
      <c r="F808" t="s">
        <v>5133</v>
      </c>
      <c r="G808" t="s">
        <v>18</v>
      </c>
      <c r="H808" t="s">
        <v>56</v>
      </c>
      <c r="I808" t="str">
        <f>LEFT(H808,FIND(" (",H808)-1)</f>
        <v>Mid</v>
      </c>
      <c r="J808" t="str">
        <f>MID(H808,FIND("(",H808)+1,FIND(")",H808)-FIND("(",H808)-1)</f>
        <v>2-5 yrs</v>
      </c>
      <c r="L808">
        <v>114398</v>
      </c>
      <c r="M808" t="s">
        <v>1740</v>
      </c>
      <c r="N808" t="s">
        <v>33</v>
      </c>
      <c r="O808" t="s">
        <v>51</v>
      </c>
      <c r="P808" s="1">
        <v>45657</v>
      </c>
      <c r="Q808">
        <v>1429</v>
      </c>
      <c r="R808">
        <v>1625</v>
      </c>
      <c r="S808" t="s">
        <v>34</v>
      </c>
      <c r="T808">
        <v>2</v>
      </c>
      <c r="U808" t="s">
        <v>5123</v>
      </c>
      <c r="V808" t="s">
        <v>24</v>
      </c>
      <c r="W808" t="s">
        <v>23</v>
      </c>
    </row>
    <row r="809" spans="1:23" x14ac:dyDescent="0.3">
      <c r="A809" t="s">
        <v>1741</v>
      </c>
      <c r="B809" t="s">
        <v>106</v>
      </c>
      <c r="C809" t="s">
        <v>204</v>
      </c>
      <c r="D809" t="s">
        <v>15</v>
      </c>
      <c r="E809" t="s">
        <v>200</v>
      </c>
      <c r="F809" t="s">
        <v>201</v>
      </c>
      <c r="G809" t="s">
        <v>18</v>
      </c>
      <c r="H809" t="s">
        <v>31</v>
      </c>
      <c r="I809" t="str">
        <f>LEFT(H809,FIND(" (",H809)-1)</f>
        <v>Staff/Principal</v>
      </c>
      <c r="J809" t="str">
        <f>MID(H809,FIND("(",H809)+1,FIND(")",H809)-FIND("(",H809)-1)</f>
        <v>8+ yrs</v>
      </c>
      <c r="L809">
        <v>182765</v>
      </c>
      <c r="M809" t="s">
        <v>1742</v>
      </c>
      <c r="N809" t="s">
        <v>33</v>
      </c>
      <c r="O809" t="s">
        <v>79</v>
      </c>
      <c r="P809" s="1">
        <v>45701</v>
      </c>
      <c r="Q809">
        <v>969</v>
      </c>
      <c r="R809">
        <v>3527</v>
      </c>
      <c r="S809" t="s">
        <v>34</v>
      </c>
      <c r="T809">
        <v>6</v>
      </c>
      <c r="U809" t="s">
        <v>58</v>
      </c>
      <c r="V809" t="s">
        <v>59</v>
      </c>
      <c r="W809" t="s">
        <v>34</v>
      </c>
    </row>
    <row r="810" spans="1:23" x14ac:dyDescent="0.3">
      <c r="A810" t="s">
        <v>1743</v>
      </c>
      <c r="B810" t="s">
        <v>222</v>
      </c>
      <c r="C810" t="s">
        <v>173</v>
      </c>
      <c r="D810" t="s">
        <v>111</v>
      </c>
      <c r="E810" t="s">
        <v>5137</v>
      </c>
      <c r="F810" t="s">
        <v>5138</v>
      </c>
      <c r="G810" t="s">
        <v>18</v>
      </c>
      <c r="H810" t="s">
        <v>31</v>
      </c>
      <c r="I810" t="str">
        <f>LEFT(H810,FIND(" (",H810)-1)</f>
        <v>Staff/Principal</v>
      </c>
      <c r="J810" t="str">
        <f>MID(H810,FIND("(",H810)+1,FIND(")",H810)-FIND("(",H810)-1)</f>
        <v>8+ yrs</v>
      </c>
      <c r="L810">
        <v>245207</v>
      </c>
      <c r="M810" t="s">
        <v>1744</v>
      </c>
      <c r="N810" t="s">
        <v>33</v>
      </c>
      <c r="O810" t="s">
        <v>51</v>
      </c>
      <c r="P810" s="1">
        <v>45527</v>
      </c>
      <c r="Q810">
        <v>1654</v>
      </c>
      <c r="R810">
        <v>2596</v>
      </c>
      <c r="S810" t="s">
        <v>23</v>
      </c>
      <c r="T810">
        <v>6</v>
      </c>
      <c r="U810" t="s">
        <v>83</v>
      </c>
      <c r="V810" t="s">
        <v>24</v>
      </c>
      <c r="W810" t="s">
        <v>23</v>
      </c>
    </row>
    <row r="811" spans="1:23" x14ac:dyDescent="0.3">
      <c r="A811" t="s">
        <v>1745</v>
      </c>
      <c r="B811" t="s">
        <v>143</v>
      </c>
      <c r="C811" t="s">
        <v>179</v>
      </c>
      <c r="D811" t="s">
        <v>63</v>
      </c>
      <c r="E811" t="s">
        <v>216</v>
      </c>
      <c r="F811" t="s">
        <v>217</v>
      </c>
      <c r="G811" t="s">
        <v>41</v>
      </c>
      <c r="H811" t="s">
        <v>66</v>
      </c>
      <c r="I811" t="str">
        <f>LEFT(H811,FIND(" (",H811)-1)</f>
        <v>Senior</v>
      </c>
      <c r="J811" t="str">
        <f>MID(H811,FIND("(",H811)+1,FIND(")",H811)-FIND("(",H811)-1)</f>
        <v>5-8 yrs</v>
      </c>
      <c r="L811">
        <v>125845</v>
      </c>
      <c r="M811" t="s">
        <v>1746</v>
      </c>
      <c r="N811" t="s">
        <v>94</v>
      </c>
      <c r="O811" t="s">
        <v>79</v>
      </c>
      <c r="P811" s="1">
        <v>45417</v>
      </c>
      <c r="Q811">
        <v>1957</v>
      </c>
      <c r="R811">
        <v>220</v>
      </c>
      <c r="S811" t="s">
        <v>99</v>
      </c>
      <c r="T811">
        <v>4</v>
      </c>
      <c r="U811" t="s">
        <v>45</v>
      </c>
      <c r="V811" t="s">
        <v>59</v>
      </c>
      <c r="W811" t="s">
        <v>34</v>
      </c>
    </row>
    <row r="812" spans="1:23" x14ac:dyDescent="0.3">
      <c r="A812" t="s">
        <v>1747</v>
      </c>
      <c r="B812" t="s">
        <v>61</v>
      </c>
      <c r="C812" t="s">
        <v>14</v>
      </c>
      <c r="D812" t="s">
        <v>111</v>
      </c>
      <c r="E812" t="s">
        <v>29</v>
      </c>
      <c r="F812" t="s">
        <v>30</v>
      </c>
      <c r="G812" t="s">
        <v>55</v>
      </c>
      <c r="H812" t="s">
        <v>56</v>
      </c>
      <c r="I812" t="str">
        <f>LEFT(H812,FIND(" (",H812)-1)</f>
        <v>Mid</v>
      </c>
      <c r="J812" t="str">
        <f>MID(H812,FIND("(",H812)+1,FIND(")",H812)-FIND("(",H812)-1)</f>
        <v>2-5 yrs</v>
      </c>
      <c r="L812">
        <v>106299</v>
      </c>
      <c r="M812" t="s">
        <v>1748</v>
      </c>
      <c r="N812" t="s">
        <v>141</v>
      </c>
      <c r="O812" t="s">
        <v>51</v>
      </c>
      <c r="P812" s="1">
        <v>45419</v>
      </c>
      <c r="Q812">
        <v>632</v>
      </c>
      <c r="R812">
        <v>1003</v>
      </c>
      <c r="S812" t="s">
        <v>34</v>
      </c>
      <c r="T812">
        <v>2</v>
      </c>
      <c r="U812" t="s">
        <v>58</v>
      </c>
      <c r="V812" t="s">
        <v>46</v>
      </c>
      <c r="W812" t="s">
        <v>23</v>
      </c>
    </row>
    <row r="813" spans="1:23" x14ac:dyDescent="0.3">
      <c r="A813" t="s">
        <v>1749</v>
      </c>
      <c r="B813" t="s">
        <v>236</v>
      </c>
      <c r="C813" t="s">
        <v>101</v>
      </c>
      <c r="D813" t="s">
        <v>28</v>
      </c>
      <c r="E813" t="s">
        <v>5139</v>
      </c>
      <c r="F813" t="s">
        <v>5133</v>
      </c>
      <c r="G813" t="s">
        <v>18</v>
      </c>
      <c r="H813" t="s">
        <v>19</v>
      </c>
      <c r="I813" t="str">
        <f>LEFT(H813,FIND(" (",H813)-1)</f>
        <v>Entry</v>
      </c>
      <c r="J813" t="str">
        <f>MID(H813,FIND("(",H813)+1,FIND(")",H813)-FIND("(",H813)-1)</f>
        <v>0-2 yrs</v>
      </c>
      <c r="L813">
        <v>64459</v>
      </c>
      <c r="M813" t="s">
        <v>1750</v>
      </c>
      <c r="N813" t="s">
        <v>33</v>
      </c>
      <c r="O813" t="s">
        <v>22</v>
      </c>
      <c r="P813" s="1">
        <v>45513</v>
      </c>
      <c r="Q813">
        <v>2314</v>
      </c>
      <c r="R813">
        <v>3810</v>
      </c>
      <c r="S813" t="s">
        <v>99</v>
      </c>
      <c r="T813">
        <v>0</v>
      </c>
      <c r="U813" t="s">
        <v>83</v>
      </c>
      <c r="V813" t="s">
        <v>24</v>
      </c>
      <c r="W813" t="s">
        <v>34</v>
      </c>
    </row>
    <row r="814" spans="1:23" x14ac:dyDescent="0.3">
      <c r="A814" t="s">
        <v>1751</v>
      </c>
      <c r="B814" t="s">
        <v>91</v>
      </c>
      <c r="C814" t="s">
        <v>101</v>
      </c>
      <c r="D814" t="s">
        <v>49</v>
      </c>
      <c r="E814" t="s">
        <v>29</v>
      </c>
      <c r="F814" t="s">
        <v>30</v>
      </c>
      <c r="G814" t="s">
        <v>41</v>
      </c>
      <c r="H814" t="s">
        <v>66</v>
      </c>
      <c r="I814" t="str">
        <f>LEFT(H814,FIND(" (",H814)-1)</f>
        <v>Senior</v>
      </c>
      <c r="J814" t="str">
        <f>MID(H814,FIND("(",H814)+1,FIND(")",H814)-FIND("(",H814)-1)</f>
        <v>5-8 yrs</v>
      </c>
      <c r="L814">
        <v>189068</v>
      </c>
      <c r="M814" t="s">
        <v>1752</v>
      </c>
      <c r="N814" t="s">
        <v>33</v>
      </c>
      <c r="O814" t="s">
        <v>22</v>
      </c>
      <c r="P814" s="1">
        <v>45376</v>
      </c>
      <c r="Q814">
        <v>334</v>
      </c>
      <c r="R814">
        <v>624</v>
      </c>
      <c r="S814" t="s">
        <v>23</v>
      </c>
      <c r="T814">
        <v>4</v>
      </c>
      <c r="U814" t="s">
        <v>58</v>
      </c>
      <c r="V814" t="s">
        <v>59</v>
      </c>
      <c r="W814" t="s">
        <v>23</v>
      </c>
    </row>
    <row r="815" spans="1:23" x14ac:dyDescent="0.3">
      <c r="A815" t="s">
        <v>1753</v>
      </c>
      <c r="B815" t="s">
        <v>61</v>
      </c>
      <c r="C815" t="s">
        <v>116</v>
      </c>
      <c r="D815" t="s">
        <v>174</v>
      </c>
      <c r="E815" t="s">
        <v>5140</v>
      </c>
      <c r="F815" t="s">
        <v>5133</v>
      </c>
      <c r="G815" t="s">
        <v>41</v>
      </c>
      <c r="H815" t="s">
        <v>19</v>
      </c>
      <c r="I815" t="str">
        <f>LEFT(H815,FIND(" (",H815)-1)</f>
        <v>Entry</v>
      </c>
      <c r="J815" t="str">
        <f>MID(H815,FIND("(",H815)+1,FIND(")",H815)-FIND("(",H815)-1)</f>
        <v>0-2 yrs</v>
      </c>
      <c r="L815">
        <v>72476</v>
      </c>
      <c r="M815" t="s">
        <v>1754</v>
      </c>
      <c r="N815" t="s">
        <v>33</v>
      </c>
      <c r="O815" t="s">
        <v>51</v>
      </c>
      <c r="P815" s="1">
        <v>45308</v>
      </c>
      <c r="Q815">
        <v>658</v>
      </c>
      <c r="R815">
        <v>175</v>
      </c>
      <c r="S815" t="s">
        <v>34</v>
      </c>
      <c r="T815">
        <v>0</v>
      </c>
      <c r="U815" t="s">
        <v>45</v>
      </c>
      <c r="V815" t="s">
        <v>24</v>
      </c>
      <c r="W815" t="s">
        <v>34</v>
      </c>
    </row>
    <row r="816" spans="1:23" x14ac:dyDescent="0.3">
      <c r="A816" t="s">
        <v>1755</v>
      </c>
      <c r="B816" t="s">
        <v>143</v>
      </c>
      <c r="C816" t="s">
        <v>192</v>
      </c>
      <c r="D816" t="s">
        <v>49</v>
      </c>
      <c r="E816" t="s">
        <v>5135</v>
      </c>
      <c r="F816" t="s">
        <v>5133</v>
      </c>
      <c r="G816" t="s">
        <v>41</v>
      </c>
      <c r="H816" t="s">
        <v>19</v>
      </c>
      <c r="I816" t="str">
        <f>LEFT(H816,FIND(" (",H816)-1)</f>
        <v>Entry</v>
      </c>
      <c r="J816" t="str">
        <f>MID(H816,FIND("(",H816)+1,FIND(")",H816)-FIND("(",H816)-1)</f>
        <v>0-2 yrs</v>
      </c>
      <c r="L816">
        <v>83001</v>
      </c>
      <c r="M816" t="s">
        <v>1756</v>
      </c>
      <c r="N816" t="s">
        <v>33</v>
      </c>
      <c r="O816" t="s">
        <v>22</v>
      </c>
      <c r="P816" s="1">
        <v>45712</v>
      </c>
      <c r="Q816">
        <v>1493</v>
      </c>
      <c r="R816">
        <v>2530</v>
      </c>
      <c r="S816" t="s">
        <v>23</v>
      </c>
      <c r="T816">
        <v>0</v>
      </c>
      <c r="U816" t="s">
        <v>5123</v>
      </c>
      <c r="V816" t="s">
        <v>59</v>
      </c>
      <c r="W816" t="s">
        <v>34</v>
      </c>
    </row>
    <row r="817" spans="1:23" x14ac:dyDescent="0.3">
      <c r="A817" t="s">
        <v>1757</v>
      </c>
      <c r="B817" t="s">
        <v>70</v>
      </c>
      <c r="C817" t="s">
        <v>48</v>
      </c>
      <c r="D817" t="s">
        <v>125</v>
      </c>
      <c r="E817" t="s">
        <v>216</v>
      </c>
      <c r="F817" t="s">
        <v>217</v>
      </c>
      <c r="G817" t="s">
        <v>55</v>
      </c>
      <c r="H817" t="s">
        <v>31</v>
      </c>
      <c r="I817" t="str">
        <f>LEFT(H817,FIND(" (",H817)-1)</f>
        <v>Staff/Principal</v>
      </c>
      <c r="J817" t="str">
        <f>MID(H817,FIND("(",H817)+1,FIND(")",H817)-FIND("(",H817)-1)</f>
        <v>8+ yrs</v>
      </c>
      <c r="L817">
        <v>146519</v>
      </c>
      <c r="M817" t="s">
        <v>1758</v>
      </c>
      <c r="N817" t="s">
        <v>43</v>
      </c>
      <c r="O817" t="s">
        <v>51</v>
      </c>
      <c r="P817" s="1">
        <v>45372</v>
      </c>
      <c r="Q817">
        <v>2153</v>
      </c>
      <c r="R817">
        <v>1479</v>
      </c>
      <c r="S817" t="s">
        <v>99</v>
      </c>
      <c r="T817">
        <v>6</v>
      </c>
      <c r="U817" t="s">
        <v>45</v>
      </c>
      <c r="V817" t="s">
        <v>24</v>
      </c>
      <c r="W817" t="s">
        <v>23</v>
      </c>
    </row>
    <row r="818" spans="1:23" x14ac:dyDescent="0.3">
      <c r="A818" t="s">
        <v>1759</v>
      </c>
      <c r="B818" t="s">
        <v>137</v>
      </c>
      <c r="C818" t="s">
        <v>132</v>
      </c>
      <c r="D818" t="s">
        <v>49</v>
      </c>
      <c r="E818" t="s">
        <v>29</v>
      </c>
      <c r="F818" t="s">
        <v>30</v>
      </c>
      <c r="G818" t="s">
        <v>41</v>
      </c>
      <c r="H818" t="s">
        <v>31</v>
      </c>
      <c r="I818" t="str">
        <f>LEFT(H818,FIND(" (",H818)-1)</f>
        <v>Staff/Principal</v>
      </c>
      <c r="J818" t="str">
        <f>MID(H818,FIND("(",H818)+1,FIND(")",H818)-FIND("(",H818)-1)</f>
        <v>8+ yrs</v>
      </c>
      <c r="L818">
        <v>209613</v>
      </c>
      <c r="M818" t="s">
        <v>1760</v>
      </c>
      <c r="N818" t="s">
        <v>68</v>
      </c>
      <c r="O818" t="s">
        <v>22</v>
      </c>
      <c r="P818" s="1">
        <v>45725</v>
      </c>
      <c r="Q818">
        <v>782</v>
      </c>
      <c r="R818">
        <v>614</v>
      </c>
      <c r="S818" t="s">
        <v>34</v>
      </c>
      <c r="T818">
        <v>6</v>
      </c>
      <c r="U818" t="s">
        <v>58</v>
      </c>
      <c r="V818" t="s">
        <v>24</v>
      </c>
      <c r="W818" t="s">
        <v>23</v>
      </c>
    </row>
    <row r="819" spans="1:23" x14ac:dyDescent="0.3">
      <c r="A819" t="s">
        <v>1761</v>
      </c>
      <c r="B819" t="s">
        <v>81</v>
      </c>
      <c r="C819" t="s">
        <v>179</v>
      </c>
      <c r="D819" t="s">
        <v>38</v>
      </c>
      <c r="E819" t="s">
        <v>5132</v>
      </c>
      <c r="F819" t="s">
        <v>5133</v>
      </c>
      <c r="G819" t="s">
        <v>41</v>
      </c>
      <c r="H819" t="s">
        <v>66</v>
      </c>
      <c r="I819" t="str">
        <f>LEFT(H819,FIND(" (",H819)-1)</f>
        <v>Senior</v>
      </c>
      <c r="J819" t="str">
        <f>MID(H819,FIND("(",H819)+1,FIND(")",H819)-FIND("(",H819)-1)</f>
        <v>5-8 yrs</v>
      </c>
      <c r="L819">
        <v>174020</v>
      </c>
      <c r="M819" t="s">
        <v>1762</v>
      </c>
      <c r="N819" t="s">
        <v>21</v>
      </c>
      <c r="O819" t="s">
        <v>44</v>
      </c>
      <c r="P819" s="1">
        <v>45659</v>
      </c>
      <c r="Q819">
        <v>438</v>
      </c>
      <c r="R819">
        <v>1501</v>
      </c>
      <c r="S819" t="s">
        <v>34</v>
      </c>
      <c r="T819">
        <v>4</v>
      </c>
      <c r="U819" t="s">
        <v>52</v>
      </c>
      <c r="V819" t="s">
        <v>24</v>
      </c>
      <c r="W819" t="s">
        <v>34</v>
      </c>
    </row>
    <row r="820" spans="1:23" x14ac:dyDescent="0.3">
      <c r="A820" t="s">
        <v>1763</v>
      </c>
      <c r="B820" t="s">
        <v>36</v>
      </c>
      <c r="C820" t="s">
        <v>182</v>
      </c>
      <c r="D820" t="s">
        <v>147</v>
      </c>
      <c r="E820" t="s">
        <v>102</v>
      </c>
      <c r="F820" t="s">
        <v>103</v>
      </c>
      <c r="G820" t="s">
        <v>55</v>
      </c>
      <c r="H820" t="s">
        <v>31</v>
      </c>
      <c r="I820" t="str">
        <f>LEFT(H820,FIND(" (",H820)-1)</f>
        <v>Staff/Principal</v>
      </c>
      <c r="J820" t="str">
        <f>MID(H820,FIND("(",H820)+1,FIND(")",H820)-FIND("(",H820)-1)</f>
        <v>8+ yrs</v>
      </c>
      <c r="L820">
        <v>202962</v>
      </c>
      <c r="M820" t="s">
        <v>1764</v>
      </c>
      <c r="N820" t="s">
        <v>33</v>
      </c>
      <c r="O820" t="s">
        <v>51</v>
      </c>
      <c r="P820" s="1">
        <v>45529</v>
      </c>
      <c r="Q820">
        <v>1053</v>
      </c>
      <c r="R820">
        <v>40</v>
      </c>
      <c r="S820" t="s">
        <v>99</v>
      </c>
      <c r="T820">
        <v>6</v>
      </c>
      <c r="U820" t="s">
        <v>52</v>
      </c>
      <c r="V820" t="s">
        <v>46</v>
      </c>
      <c r="W820" t="s">
        <v>34</v>
      </c>
    </row>
    <row r="821" spans="1:23" x14ac:dyDescent="0.3">
      <c r="A821" t="s">
        <v>1765</v>
      </c>
      <c r="B821" t="s">
        <v>96</v>
      </c>
      <c r="C821" t="s">
        <v>107</v>
      </c>
      <c r="D821" t="s">
        <v>125</v>
      </c>
      <c r="E821" t="s">
        <v>64</v>
      </c>
      <c r="F821" t="s">
        <v>65</v>
      </c>
      <c r="G821" t="s">
        <v>18</v>
      </c>
      <c r="H821" t="s">
        <v>66</v>
      </c>
      <c r="I821" t="str">
        <f>LEFT(H821,FIND(" (",H821)-1)</f>
        <v>Senior</v>
      </c>
      <c r="J821" t="str">
        <f>MID(H821,FIND("(",H821)+1,FIND(")",H821)-FIND("(",H821)-1)</f>
        <v>5-8 yrs</v>
      </c>
      <c r="L821">
        <v>178767</v>
      </c>
      <c r="M821" t="s">
        <v>1766</v>
      </c>
      <c r="N821" t="s">
        <v>33</v>
      </c>
      <c r="O821" t="s">
        <v>51</v>
      </c>
      <c r="P821" s="1">
        <v>45363</v>
      </c>
      <c r="Q821">
        <v>337</v>
      </c>
      <c r="R821">
        <v>2596</v>
      </c>
      <c r="S821" t="s">
        <v>23</v>
      </c>
      <c r="T821">
        <v>4</v>
      </c>
      <c r="U821" t="s">
        <v>45</v>
      </c>
      <c r="V821" t="s">
        <v>59</v>
      </c>
      <c r="W821" t="s">
        <v>34</v>
      </c>
    </row>
    <row r="822" spans="1:23" x14ac:dyDescent="0.3">
      <c r="A822" t="s">
        <v>1767</v>
      </c>
      <c r="B822" t="s">
        <v>151</v>
      </c>
      <c r="C822" t="s">
        <v>107</v>
      </c>
      <c r="D822" t="s">
        <v>75</v>
      </c>
      <c r="E822" t="s">
        <v>159</v>
      </c>
      <c r="F822" t="s">
        <v>160</v>
      </c>
      <c r="G822" t="s">
        <v>41</v>
      </c>
      <c r="H822" t="s">
        <v>19</v>
      </c>
      <c r="I822" t="str">
        <f>LEFT(H822,FIND(" (",H822)-1)</f>
        <v>Entry</v>
      </c>
      <c r="J822" t="str">
        <f>MID(H822,FIND("(",H822)+1,FIND(")",H822)-FIND("(",H822)-1)</f>
        <v>0-2 yrs</v>
      </c>
      <c r="L822">
        <v>63482</v>
      </c>
      <c r="M822" t="s">
        <v>1768</v>
      </c>
      <c r="N822" t="s">
        <v>33</v>
      </c>
      <c r="O822" t="s">
        <v>22</v>
      </c>
      <c r="P822" s="1">
        <v>45548</v>
      </c>
      <c r="Q822">
        <v>1900</v>
      </c>
      <c r="R822">
        <v>3653</v>
      </c>
      <c r="S822" t="s">
        <v>23</v>
      </c>
      <c r="T822">
        <v>0</v>
      </c>
      <c r="U822" t="s">
        <v>83</v>
      </c>
      <c r="V822" t="s">
        <v>24</v>
      </c>
      <c r="W822" t="s">
        <v>23</v>
      </c>
    </row>
    <row r="823" spans="1:23" x14ac:dyDescent="0.3">
      <c r="A823" t="s">
        <v>1769</v>
      </c>
      <c r="B823" t="s">
        <v>329</v>
      </c>
      <c r="C823" t="s">
        <v>97</v>
      </c>
      <c r="D823" t="s">
        <v>49</v>
      </c>
      <c r="E823" t="s">
        <v>39</v>
      </c>
      <c r="F823" t="s">
        <v>40</v>
      </c>
      <c r="G823" t="s">
        <v>55</v>
      </c>
      <c r="H823" t="s">
        <v>19</v>
      </c>
      <c r="I823" t="str">
        <f>LEFT(H823,FIND(" (",H823)-1)</f>
        <v>Entry</v>
      </c>
      <c r="J823" t="str">
        <f>MID(H823,FIND("(",H823)+1,FIND(")",H823)-FIND("(",H823)-1)</f>
        <v>0-2 yrs</v>
      </c>
      <c r="L823">
        <v>87757</v>
      </c>
      <c r="M823" t="s">
        <v>1770</v>
      </c>
      <c r="N823" t="s">
        <v>21</v>
      </c>
      <c r="O823" t="s">
        <v>51</v>
      </c>
      <c r="P823" s="1">
        <v>45594</v>
      </c>
      <c r="Q823">
        <v>2009</v>
      </c>
      <c r="R823">
        <v>3815</v>
      </c>
      <c r="S823" t="s">
        <v>23</v>
      </c>
      <c r="T823">
        <v>0</v>
      </c>
      <c r="U823" t="s">
        <v>83</v>
      </c>
      <c r="V823" t="s">
        <v>24</v>
      </c>
      <c r="W823" t="s">
        <v>23</v>
      </c>
    </row>
    <row r="824" spans="1:23" x14ac:dyDescent="0.3">
      <c r="A824" t="s">
        <v>1771</v>
      </c>
      <c r="B824" t="s">
        <v>143</v>
      </c>
      <c r="C824" t="s">
        <v>173</v>
      </c>
      <c r="D824" t="s">
        <v>147</v>
      </c>
      <c r="E824" t="s">
        <v>39</v>
      </c>
      <c r="F824" t="s">
        <v>40</v>
      </c>
      <c r="G824" t="s">
        <v>18</v>
      </c>
      <c r="H824" t="s">
        <v>56</v>
      </c>
      <c r="I824" t="str">
        <f>LEFT(H824,FIND(" (",H824)-1)</f>
        <v>Mid</v>
      </c>
      <c r="J824" t="str">
        <f>MID(H824,FIND("(",H824)+1,FIND(")",H824)-FIND("(",H824)-1)</f>
        <v>2-5 yrs</v>
      </c>
      <c r="L824">
        <v>155518</v>
      </c>
      <c r="M824" t="s">
        <v>1772</v>
      </c>
      <c r="N824" t="s">
        <v>33</v>
      </c>
      <c r="O824" t="s">
        <v>22</v>
      </c>
      <c r="P824" s="1">
        <v>45625</v>
      </c>
      <c r="Q824">
        <v>2473</v>
      </c>
      <c r="R824">
        <v>948</v>
      </c>
      <c r="S824" t="s">
        <v>34</v>
      </c>
      <c r="T824">
        <v>2</v>
      </c>
      <c r="U824" t="s">
        <v>58</v>
      </c>
      <c r="V824" t="s">
        <v>24</v>
      </c>
      <c r="W824" t="s">
        <v>34</v>
      </c>
    </row>
    <row r="825" spans="1:23" x14ac:dyDescent="0.3">
      <c r="A825" t="s">
        <v>1773</v>
      </c>
      <c r="B825" t="s">
        <v>229</v>
      </c>
      <c r="C825" t="s">
        <v>71</v>
      </c>
      <c r="D825" t="s">
        <v>111</v>
      </c>
      <c r="E825" t="s">
        <v>16</v>
      </c>
      <c r="F825" t="s">
        <v>17</v>
      </c>
      <c r="G825" t="s">
        <v>41</v>
      </c>
      <c r="H825" t="s">
        <v>19</v>
      </c>
      <c r="I825" t="str">
        <f>LEFT(H825,FIND(" (",H825)-1)</f>
        <v>Entry</v>
      </c>
      <c r="J825" t="str">
        <f>MID(H825,FIND("(",H825)+1,FIND(")",H825)-FIND("(",H825)-1)</f>
        <v>0-2 yrs</v>
      </c>
      <c r="L825">
        <v>65428</v>
      </c>
      <c r="M825" t="s">
        <v>1774</v>
      </c>
      <c r="N825" t="s">
        <v>33</v>
      </c>
      <c r="O825" t="s">
        <v>51</v>
      </c>
      <c r="P825" s="1">
        <v>45571</v>
      </c>
      <c r="Q825">
        <v>2334</v>
      </c>
      <c r="R825">
        <v>2386</v>
      </c>
      <c r="S825" t="s">
        <v>34</v>
      </c>
      <c r="T825">
        <v>0</v>
      </c>
      <c r="U825" t="s">
        <v>83</v>
      </c>
      <c r="V825" t="s">
        <v>24</v>
      </c>
      <c r="W825" t="s">
        <v>34</v>
      </c>
    </row>
    <row r="826" spans="1:23" x14ac:dyDescent="0.3">
      <c r="A826" t="s">
        <v>1775</v>
      </c>
      <c r="B826" t="s">
        <v>91</v>
      </c>
      <c r="C826" t="s">
        <v>124</v>
      </c>
      <c r="D826" t="s">
        <v>49</v>
      </c>
      <c r="E826" t="s">
        <v>133</v>
      </c>
      <c r="F826" t="s">
        <v>134</v>
      </c>
      <c r="G826" t="s">
        <v>41</v>
      </c>
      <c r="H826" t="s">
        <v>31</v>
      </c>
      <c r="I826" t="str">
        <f>LEFT(H826,FIND(" (",H826)-1)</f>
        <v>Staff/Principal</v>
      </c>
      <c r="J826" t="str">
        <f>MID(H826,FIND("(",H826)+1,FIND(")",H826)-FIND("(",H826)-1)</f>
        <v>8+ yrs</v>
      </c>
      <c r="L826">
        <v>183961</v>
      </c>
      <c r="M826" t="s">
        <v>1776</v>
      </c>
      <c r="N826" t="s">
        <v>89</v>
      </c>
      <c r="O826" t="s">
        <v>22</v>
      </c>
      <c r="P826" s="1">
        <v>45382</v>
      </c>
      <c r="Q826">
        <v>1357</v>
      </c>
      <c r="R826">
        <v>702</v>
      </c>
      <c r="S826" t="s">
        <v>23</v>
      </c>
      <c r="T826">
        <v>6</v>
      </c>
      <c r="U826" t="s">
        <v>45</v>
      </c>
      <c r="V826" t="s">
        <v>24</v>
      </c>
      <c r="W826" t="s">
        <v>23</v>
      </c>
    </row>
    <row r="827" spans="1:23" x14ac:dyDescent="0.3">
      <c r="A827" t="s">
        <v>1777</v>
      </c>
      <c r="B827" t="s">
        <v>106</v>
      </c>
      <c r="C827" t="s">
        <v>128</v>
      </c>
      <c r="D827" t="s">
        <v>15</v>
      </c>
      <c r="E827" t="s">
        <v>5141</v>
      </c>
      <c r="F827" t="s">
        <v>5133</v>
      </c>
      <c r="G827" t="s">
        <v>18</v>
      </c>
      <c r="H827" t="s">
        <v>56</v>
      </c>
      <c r="I827" t="str">
        <f>LEFT(H827,FIND(" (",H827)-1)</f>
        <v>Mid</v>
      </c>
      <c r="J827" t="str">
        <f>MID(H827,FIND("(",H827)+1,FIND(")",H827)-FIND("(",H827)-1)</f>
        <v>2-5 yrs</v>
      </c>
      <c r="L827">
        <v>138777</v>
      </c>
      <c r="M827" t="s">
        <v>1778</v>
      </c>
      <c r="N827" t="s">
        <v>33</v>
      </c>
      <c r="O827" t="s">
        <v>79</v>
      </c>
      <c r="P827" s="1">
        <v>45439</v>
      </c>
      <c r="Q827">
        <v>570</v>
      </c>
      <c r="R827">
        <v>3199</v>
      </c>
      <c r="S827" t="s">
        <v>23</v>
      </c>
      <c r="T827">
        <v>2</v>
      </c>
      <c r="U827" t="s">
        <v>45</v>
      </c>
      <c r="V827" t="s">
        <v>46</v>
      </c>
      <c r="W827" t="s">
        <v>34</v>
      </c>
    </row>
    <row r="828" spans="1:23" x14ac:dyDescent="0.3">
      <c r="A828" t="s">
        <v>1779</v>
      </c>
      <c r="B828" t="s">
        <v>172</v>
      </c>
      <c r="C828" t="s">
        <v>226</v>
      </c>
      <c r="D828" t="s">
        <v>49</v>
      </c>
      <c r="E828" t="s">
        <v>5137</v>
      </c>
      <c r="F828" t="s">
        <v>5138</v>
      </c>
      <c r="G828" t="s">
        <v>41</v>
      </c>
      <c r="H828" t="s">
        <v>66</v>
      </c>
      <c r="I828" t="str">
        <f>LEFT(H828,FIND(" (",H828)-1)</f>
        <v>Senior</v>
      </c>
      <c r="J828" t="str">
        <f>MID(H828,FIND("(",H828)+1,FIND(")",H828)-FIND("(",H828)-1)</f>
        <v>5-8 yrs</v>
      </c>
      <c r="L828">
        <v>192648</v>
      </c>
      <c r="M828" t="s">
        <v>1780</v>
      </c>
      <c r="N828" t="s">
        <v>33</v>
      </c>
      <c r="O828" t="s">
        <v>51</v>
      </c>
      <c r="P828" s="1">
        <v>45719</v>
      </c>
      <c r="Q828">
        <v>1888</v>
      </c>
      <c r="R828">
        <v>3313</v>
      </c>
      <c r="S828" t="s">
        <v>34</v>
      </c>
      <c r="T828">
        <v>4</v>
      </c>
      <c r="U828" t="s">
        <v>45</v>
      </c>
      <c r="V828" t="s">
        <v>59</v>
      </c>
      <c r="W828" t="s">
        <v>23</v>
      </c>
    </row>
    <row r="829" spans="1:23" x14ac:dyDescent="0.3">
      <c r="A829" t="s">
        <v>1781</v>
      </c>
      <c r="B829" t="s">
        <v>85</v>
      </c>
      <c r="C829" t="s">
        <v>124</v>
      </c>
      <c r="D829" t="s">
        <v>174</v>
      </c>
      <c r="E829" t="s">
        <v>5136</v>
      </c>
      <c r="F829" t="s">
        <v>5133</v>
      </c>
      <c r="G829" t="s">
        <v>18</v>
      </c>
      <c r="H829" t="s">
        <v>19</v>
      </c>
      <c r="I829" t="str">
        <f>LEFT(H829,FIND(" (",H829)-1)</f>
        <v>Entry</v>
      </c>
      <c r="J829" t="str">
        <f>MID(H829,FIND("(",H829)+1,FIND(")",H829)-FIND("(",H829)-1)</f>
        <v>0-2 yrs</v>
      </c>
      <c r="L829">
        <v>63411</v>
      </c>
      <c r="M829" t="s">
        <v>1782</v>
      </c>
      <c r="N829" t="s">
        <v>43</v>
      </c>
      <c r="O829" t="s">
        <v>44</v>
      </c>
      <c r="P829" s="1">
        <v>45467</v>
      </c>
      <c r="Q829">
        <v>2071</v>
      </c>
      <c r="R829">
        <v>434</v>
      </c>
      <c r="S829" t="s">
        <v>23</v>
      </c>
      <c r="T829">
        <v>0</v>
      </c>
      <c r="U829" t="s">
        <v>58</v>
      </c>
      <c r="V829" t="s">
        <v>24</v>
      </c>
      <c r="W829" t="s">
        <v>34</v>
      </c>
    </row>
    <row r="830" spans="1:23" x14ac:dyDescent="0.3">
      <c r="A830" t="s">
        <v>1783</v>
      </c>
      <c r="B830" t="s">
        <v>96</v>
      </c>
      <c r="C830" t="s">
        <v>132</v>
      </c>
      <c r="D830" t="s">
        <v>63</v>
      </c>
      <c r="E830" t="s">
        <v>29</v>
      </c>
      <c r="F830" t="s">
        <v>30</v>
      </c>
      <c r="G830" t="s">
        <v>55</v>
      </c>
      <c r="H830" t="s">
        <v>19</v>
      </c>
      <c r="I830" t="str">
        <f>LEFT(H830,FIND(" (",H830)-1)</f>
        <v>Entry</v>
      </c>
      <c r="J830" t="str">
        <f>MID(H830,FIND("(",H830)+1,FIND(")",H830)-FIND("(",H830)-1)</f>
        <v>0-2 yrs</v>
      </c>
      <c r="L830">
        <v>64705</v>
      </c>
      <c r="M830" t="s">
        <v>1784</v>
      </c>
      <c r="N830" t="s">
        <v>186</v>
      </c>
      <c r="O830" t="s">
        <v>22</v>
      </c>
      <c r="P830" s="1">
        <v>45691</v>
      </c>
      <c r="Q830">
        <v>1755</v>
      </c>
      <c r="R830">
        <v>80</v>
      </c>
      <c r="S830" t="s">
        <v>99</v>
      </c>
      <c r="T830">
        <v>0</v>
      </c>
      <c r="U830" t="s">
        <v>45</v>
      </c>
      <c r="V830" t="s">
        <v>24</v>
      </c>
      <c r="W830" t="s">
        <v>34</v>
      </c>
    </row>
    <row r="831" spans="1:23" x14ac:dyDescent="0.3">
      <c r="A831" t="s">
        <v>1785</v>
      </c>
      <c r="B831" t="s">
        <v>151</v>
      </c>
      <c r="C831" t="s">
        <v>37</v>
      </c>
      <c r="D831" t="s">
        <v>125</v>
      </c>
      <c r="E831" t="s">
        <v>39</v>
      </c>
      <c r="F831" t="s">
        <v>40</v>
      </c>
      <c r="G831" t="s">
        <v>18</v>
      </c>
      <c r="H831" t="s">
        <v>66</v>
      </c>
      <c r="I831" t="str">
        <f>LEFT(H831,FIND(" (",H831)-1)</f>
        <v>Senior</v>
      </c>
      <c r="J831" t="str">
        <f>MID(H831,FIND("(",H831)+1,FIND(")",H831)-FIND("(",H831)-1)</f>
        <v>5-8 yrs</v>
      </c>
      <c r="L831">
        <v>142391</v>
      </c>
      <c r="M831" t="s">
        <v>1786</v>
      </c>
      <c r="N831" t="s">
        <v>33</v>
      </c>
      <c r="O831" t="s">
        <v>51</v>
      </c>
      <c r="P831" s="1">
        <v>45723</v>
      </c>
      <c r="Q831">
        <v>1695</v>
      </c>
      <c r="R831">
        <v>500</v>
      </c>
      <c r="S831" t="s">
        <v>23</v>
      </c>
      <c r="T831">
        <v>4</v>
      </c>
      <c r="U831" t="s">
        <v>5123</v>
      </c>
      <c r="V831" t="s">
        <v>59</v>
      </c>
      <c r="W831" t="s">
        <v>23</v>
      </c>
    </row>
    <row r="832" spans="1:23" x14ac:dyDescent="0.3">
      <c r="A832" t="s">
        <v>1787</v>
      </c>
      <c r="B832" t="s">
        <v>91</v>
      </c>
      <c r="C832" t="s">
        <v>48</v>
      </c>
      <c r="D832" t="s">
        <v>125</v>
      </c>
      <c r="E832" t="s">
        <v>133</v>
      </c>
      <c r="F832" t="s">
        <v>134</v>
      </c>
      <c r="G832" t="s">
        <v>55</v>
      </c>
      <c r="H832" t="s">
        <v>66</v>
      </c>
      <c r="I832" t="str">
        <f>LEFT(H832,FIND(" (",H832)-1)</f>
        <v>Senior</v>
      </c>
      <c r="J832" t="str">
        <f>MID(H832,FIND("(",H832)+1,FIND(")",H832)-FIND("(",H832)-1)</f>
        <v>5-8 yrs</v>
      </c>
      <c r="L832">
        <v>113699</v>
      </c>
      <c r="M832" t="s">
        <v>1788</v>
      </c>
      <c r="N832" t="s">
        <v>33</v>
      </c>
      <c r="O832" t="s">
        <v>51</v>
      </c>
      <c r="P832" s="1">
        <v>45442</v>
      </c>
      <c r="Q832">
        <v>1854</v>
      </c>
      <c r="R832">
        <v>636</v>
      </c>
      <c r="S832" t="s">
        <v>23</v>
      </c>
      <c r="T832">
        <v>4</v>
      </c>
      <c r="U832" t="s">
        <v>58</v>
      </c>
      <c r="V832" t="s">
        <v>46</v>
      </c>
      <c r="W832" t="s">
        <v>23</v>
      </c>
    </row>
    <row r="833" spans="1:23" x14ac:dyDescent="0.3">
      <c r="A833" t="s">
        <v>1789</v>
      </c>
      <c r="B833" t="s">
        <v>225</v>
      </c>
      <c r="C833" t="s">
        <v>239</v>
      </c>
      <c r="D833" t="s">
        <v>75</v>
      </c>
      <c r="E833" t="s">
        <v>159</v>
      </c>
      <c r="F833" t="s">
        <v>160</v>
      </c>
      <c r="G833" t="s">
        <v>18</v>
      </c>
      <c r="H833" t="s">
        <v>19</v>
      </c>
      <c r="I833" t="str">
        <f>LEFT(H833,FIND(" (",H833)-1)</f>
        <v>Entry</v>
      </c>
      <c r="J833" t="str">
        <f>MID(H833,FIND("(",H833)+1,FIND(")",H833)-FIND("(",H833)-1)</f>
        <v>0-2 yrs</v>
      </c>
      <c r="L833">
        <v>58424</v>
      </c>
      <c r="M833" t="s">
        <v>1790</v>
      </c>
      <c r="N833" t="s">
        <v>68</v>
      </c>
      <c r="O833" t="s">
        <v>51</v>
      </c>
      <c r="P833" s="1">
        <v>45445</v>
      </c>
      <c r="Q833">
        <v>710</v>
      </c>
      <c r="R833">
        <v>1494</v>
      </c>
      <c r="S833" t="s">
        <v>34</v>
      </c>
      <c r="T833">
        <v>0</v>
      </c>
      <c r="U833" t="s">
        <v>45</v>
      </c>
      <c r="V833" t="s">
        <v>59</v>
      </c>
      <c r="W833" t="s">
        <v>34</v>
      </c>
    </row>
    <row r="834" spans="1:23" x14ac:dyDescent="0.3">
      <c r="A834" t="s">
        <v>1791</v>
      </c>
      <c r="B834" t="s">
        <v>13</v>
      </c>
      <c r="C834" t="s">
        <v>71</v>
      </c>
      <c r="D834" t="s">
        <v>75</v>
      </c>
      <c r="E834" t="s">
        <v>200</v>
      </c>
      <c r="F834" t="s">
        <v>201</v>
      </c>
      <c r="G834" t="s">
        <v>18</v>
      </c>
      <c r="H834" t="s">
        <v>56</v>
      </c>
      <c r="I834" t="str">
        <f>LEFT(H834,FIND(" (",H834)-1)</f>
        <v>Mid</v>
      </c>
      <c r="J834" t="str">
        <f>MID(H834,FIND("(",H834)+1,FIND(")",H834)-FIND("(",H834)-1)</f>
        <v>2-5 yrs</v>
      </c>
      <c r="L834">
        <v>90118</v>
      </c>
      <c r="M834" t="s">
        <v>1792</v>
      </c>
      <c r="N834" t="s">
        <v>94</v>
      </c>
      <c r="O834" t="s">
        <v>79</v>
      </c>
      <c r="P834" s="1">
        <v>45701</v>
      </c>
      <c r="Q834">
        <v>626</v>
      </c>
      <c r="R834">
        <v>3334</v>
      </c>
      <c r="S834" t="s">
        <v>23</v>
      </c>
      <c r="T834">
        <v>2</v>
      </c>
      <c r="U834" t="s">
        <v>83</v>
      </c>
      <c r="V834" t="s">
        <v>59</v>
      </c>
      <c r="W834" t="s">
        <v>23</v>
      </c>
    </row>
    <row r="835" spans="1:23" x14ac:dyDescent="0.3">
      <c r="A835" t="s">
        <v>1793</v>
      </c>
      <c r="B835" t="s">
        <v>26</v>
      </c>
      <c r="C835" t="s">
        <v>173</v>
      </c>
      <c r="D835" t="s">
        <v>15</v>
      </c>
      <c r="E835" t="s">
        <v>5137</v>
      </c>
      <c r="F835" t="s">
        <v>5138</v>
      </c>
      <c r="G835" t="s">
        <v>55</v>
      </c>
      <c r="H835" t="s">
        <v>66</v>
      </c>
      <c r="I835" t="str">
        <f>LEFT(H835,FIND(" (",H835)-1)</f>
        <v>Senior</v>
      </c>
      <c r="J835" t="str">
        <f>MID(H835,FIND("(",H835)+1,FIND(")",H835)-FIND("(",H835)-1)</f>
        <v>5-8 yrs</v>
      </c>
      <c r="L835">
        <v>129269</v>
      </c>
      <c r="M835" t="s">
        <v>1794</v>
      </c>
      <c r="N835" t="s">
        <v>43</v>
      </c>
      <c r="O835" t="s">
        <v>22</v>
      </c>
      <c r="P835" s="1">
        <v>45677</v>
      </c>
      <c r="Q835">
        <v>686</v>
      </c>
      <c r="R835">
        <v>3897</v>
      </c>
      <c r="S835" t="s">
        <v>99</v>
      </c>
      <c r="T835">
        <v>4</v>
      </c>
      <c r="U835" t="s">
        <v>5123</v>
      </c>
      <c r="V835" t="s">
        <v>24</v>
      </c>
      <c r="W835" t="s">
        <v>23</v>
      </c>
    </row>
    <row r="836" spans="1:23" x14ac:dyDescent="0.3">
      <c r="A836" t="s">
        <v>1795</v>
      </c>
      <c r="B836" t="s">
        <v>96</v>
      </c>
      <c r="C836" t="s">
        <v>167</v>
      </c>
      <c r="D836" t="s">
        <v>125</v>
      </c>
      <c r="E836" t="s">
        <v>5134</v>
      </c>
      <c r="F836" t="s">
        <v>5133</v>
      </c>
      <c r="G836" t="s">
        <v>41</v>
      </c>
      <c r="H836" t="s">
        <v>66</v>
      </c>
      <c r="I836" t="str">
        <f>LEFT(H836,FIND(" (",H836)-1)</f>
        <v>Senior</v>
      </c>
      <c r="J836" t="str">
        <f>MID(H836,FIND("(",H836)+1,FIND(")",H836)-FIND("(",H836)-1)</f>
        <v>5-8 yrs</v>
      </c>
      <c r="L836">
        <v>149063</v>
      </c>
      <c r="M836" t="s">
        <v>1796</v>
      </c>
      <c r="N836" t="s">
        <v>43</v>
      </c>
      <c r="O836" t="s">
        <v>51</v>
      </c>
      <c r="P836" s="1">
        <v>45427</v>
      </c>
      <c r="Q836">
        <v>725</v>
      </c>
      <c r="R836">
        <v>2593</v>
      </c>
      <c r="S836" t="s">
        <v>23</v>
      </c>
      <c r="T836">
        <v>4</v>
      </c>
      <c r="U836" t="s">
        <v>58</v>
      </c>
      <c r="V836" t="s">
        <v>24</v>
      </c>
      <c r="W836" t="s">
        <v>23</v>
      </c>
    </row>
    <row r="837" spans="1:23" x14ac:dyDescent="0.3">
      <c r="A837" t="s">
        <v>1797</v>
      </c>
      <c r="B837" t="s">
        <v>222</v>
      </c>
      <c r="C837" t="s">
        <v>92</v>
      </c>
      <c r="D837" t="s">
        <v>15</v>
      </c>
      <c r="E837" t="s">
        <v>5139</v>
      </c>
      <c r="F837" t="s">
        <v>5133</v>
      </c>
      <c r="G837" t="s">
        <v>18</v>
      </c>
      <c r="H837" t="s">
        <v>56</v>
      </c>
      <c r="I837" t="str">
        <f>LEFT(H837,FIND(" (",H837)-1)</f>
        <v>Mid</v>
      </c>
      <c r="J837" t="str">
        <f>MID(H837,FIND("(",H837)+1,FIND(")",H837)-FIND("(",H837)-1)</f>
        <v>2-5 yrs</v>
      </c>
      <c r="L837">
        <v>114637</v>
      </c>
      <c r="M837" t="s">
        <v>1798</v>
      </c>
      <c r="N837" t="s">
        <v>94</v>
      </c>
      <c r="O837" t="s">
        <v>51</v>
      </c>
      <c r="P837" s="1">
        <v>45559</v>
      </c>
      <c r="Q837">
        <v>1891</v>
      </c>
      <c r="R837">
        <v>798</v>
      </c>
      <c r="S837" t="s">
        <v>23</v>
      </c>
      <c r="T837">
        <v>2</v>
      </c>
      <c r="U837" t="s">
        <v>45</v>
      </c>
      <c r="V837" t="s">
        <v>24</v>
      </c>
      <c r="W837" t="s">
        <v>34</v>
      </c>
    </row>
    <row r="838" spans="1:23" x14ac:dyDescent="0.3">
      <c r="A838" t="s">
        <v>1799</v>
      </c>
      <c r="B838" t="s">
        <v>143</v>
      </c>
      <c r="C838" t="s">
        <v>54</v>
      </c>
      <c r="D838" t="s">
        <v>111</v>
      </c>
      <c r="E838" t="s">
        <v>200</v>
      </c>
      <c r="F838" t="s">
        <v>201</v>
      </c>
      <c r="G838" t="s">
        <v>18</v>
      </c>
      <c r="H838" t="s">
        <v>31</v>
      </c>
      <c r="I838" t="str">
        <f>LEFT(H838,FIND(" (",H838)-1)</f>
        <v>Staff/Principal</v>
      </c>
      <c r="J838" t="str">
        <f>MID(H838,FIND("(",H838)+1,FIND(")",H838)-FIND("(",H838)-1)</f>
        <v>8+ yrs</v>
      </c>
      <c r="L838">
        <v>255818</v>
      </c>
      <c r="M838" t="s">
        <v>1800</v>
      </c>
      <c r="N838" t="s">
        <v>149</v>
      </c>
      <c r="O838" t="s">
        <v>22</v>
      </c>
      <c r="P838" s="1">
        <v>45419</v>
      </c>
      <c r="Q838">
        <v>1336</v>
      </c>
      <c r="R838">
        <v>2841</v>
      </c>
      <c r="S838" t="s">
        <v>34</v>
      </c>
      <c r="T838">
        <v>6</v>
      </c>
      <c r="U838" t="s">
        <v>52</v>
      </c>
      <c r="V838" t="s">
        <v>59</v>
      </c>
      <c r="W838" t="s">
        <v>23</v>
      </c>
    </row>
    <row r="839" spans="1:23" x14ac:dyDescent="0.3">
      <c r="A839" t="s">
        <v>1801</v>
      </c>
      <c r="B839" t="s">
        <v>91</v>
      </c>
      <c r="C839" t="s">
        <v>173</v>
      </c>
      <c r="D839" t="s">
        <v>49</v>
      </c>
      <c r="E839" t="s">
        <v>5135</v>
      </c>
      <c r="F839" t="s">
        <v>5133</v>
      </c>
      <c r="G839" t="s">
        <v>18</v>
      </c>
      <c r="H839" t="s">
        <v>56</v>
      </c>
      <c r="I839" t="str">
        <f>LEFT(H839,FIND(" (",H839)-1)</f>
        <v>Mid</v>
      </c>
      <c r="J839" t="str">
        <f>MID(H839,FIND("(",H839)+1,FIND(")",H839)-FIND("(",H839)-1)</f>
        <v>2-5 yrs</v>
      </c>
      <c r="L839">
        <v>90232</v>
      </c>
      <c r="M839" t="s">
        <v>1802</v>
      </c>
      <c r="N839" t="s">
        <v>245</v>
      </c>
      <c r="O839" t="s">
        <v>51</v>
      </c>
      <c r="P839" s="1">
        <v>45419</v>
      </c>
      <c r="Q839">
        <v>1160</v>
      </c>
      <c r="R839">
        <v>2947</v>
      </c>
      <c r="S839" t="s">
        <v>34</v>
      </c>
      <c r="T839">
        <v>2</v>
      </c>
      <c r="U839" t="s">
        <v>5123</v>
      </c>
      <c r="V839" t="s">
        <v>24</v>
      </c>
      <c r="W839" t="s">
        <v>34</v>
      </c>
    </row>
    <row r="840" spans="1:23" x14ac:dyDescent="0.3">
      <c r="A840" t="s">
        <v>1803</v>
      </c>
      <c r="B840" t="s">
        <v>172</v>
      </c>
      <c r="C840" t="s">
        <v>54</v>
      </c>
      <c r="D840" t="s">
        <v>75</v>
      </c>
      <c r="E840" t="s">
        <v>64</v>
      </c>
      <c r="F840" t="s">
        <v>65</v>
      </c>
      <c r="G840" t="s">
        <v>41</v>
      </c>
      <c r="H840" t="s">
        <v>56</v>
      </c>
      <c r="I840" t="str">
        <f>LEFT(H840,FIND(" (",H840)-1)</f>
        <v>Mid</v>
      </c>
      <c r="J840" t="str">
        <f>MID(H840,FIND("(",H840)+1,FIND(")",H840)-FIND("(",H840)-1)</f>
        <v>2-5 yrs</v>
      </c>
      <c r="L840">
        <v>129489</v>
      </c>
      <c r="M840" t="s">
        <v>1804</v>
      </c>
      <c r="N840" t="s">
        <v>33</v>
      </c>
      <c r="O840" t="s">
        <v>51</v>
      </c>
      <c r="P840" s="1">
        <v>45694</v>
      </c>
      <c r="Q840">
        <v>2116</v>
      </c>
      <c r="R840">
        <v>2726</v>
      </c>
      <c r="S840" t="s">
        <v>34</v>
      </c>
      <c r="T840">
        <v>2</v>
      </c>
      <c r="U840" t="s">
        <v>52</v>
      </c>
      <c r="V840" t="s">
        <v>24</v>
      </c>
      <c r="W840" t="s">
        <v>34</v>
      </c>
    </row>
    <row r="841" spans="1:23" x14ac:dyDescent="0.3">
      <c r="A841" t="s">
        <v>1805</v>
      </c>
      <c r="B841" t="s">
        <v>91</v>
      </c>
      <c r="C841" t="s">
        <v>158</v>
      </c>
      <c r="D841" t="s">
        <v>15</v>
      </c>
      <c r="E841" t="s">
        <v>159</v>
      </c>
      <c r="F841" t="s">
        <v>160</v>
      </c>
      <c r="G841" t="s">
        <v>55</v>
      </c>
      <c r="H841" t="s">
        <v>31</v>
      </c>
      <c r="I841" t="str">
        <f>LEFT(H841,FIND(" (",H841)-1)</f>
        <v>Staff/Principal</v>
      </c>
      <c r="J841" t="str">
        <f>MID(H841,FIND("(",H841)+1,FIND(")",H841)-FIND("(",H841)-1)</f>
        <v>8+ yrs</v>
      </c>
      <c r="L841">
        <v>192296</v>
      </c>
      <c r="M841" t="s">
        <v>1806</v>
      </c>
      <c r="N841" t="s">
        <v>186</v>
      </c>
      <c r="O841" t="s">
        <v>44</v>
      </c>
      <c r="P841" s="1">
        <v>45515</v>
      </c>
      <c r="Q841">
        <v>2447</v>
      </c>
      <c r="R841">
        <v>1194</v>
      </c>
      <c r="S841" t="s">
        <v>34</v>
      </c>
      <c r="T841">
        <v>6</v>
      </c>
      <c r="U841" t="s">
        <v>5123</v>
      </c>
      <c r="V841" t="s">
        <v>59</v>
      </c>
      <c r="W841" t="s">
        <v>34</v>
      </c>
    </row>
    <row r="842" spans="1:23" x14ac:dyDescent="0.3">
      <c r="A842" t="s">
        <v>1807</v>
      </c>
      <c r="B842" t="s">
        <v>36</v>
      </c>
      <c r="C842" t="s">
        <v>116</v>
      </c>
      <c r="D842" t="s">
        <v>63</v>
      </c>
      <c r="E842" t="s">
        <v>5139</v>
      </c>
      <c r="F842" t="s">
        <v>5133</v>
      </c>
      <c r="G842" t="s">
        <v>41</v>
      </c>
      <c r="H842" t="s">
        <v>56</v>
      </c>
      <c r="I842" t="str">
        <f>LEFT(H842,FIND(" (",H842)-1)</f>
        <v>Mid</v>
      </c>
      <c r="J842" t="str">
        <f>MID(H842,FIND("(",H842)+1,FIND(")",H842)-FIND("(",H842)-1)</f>
        <v>2-5 yrs</v>
      </c>
      <c r="L842">
        <v>109020</v>
      </c>
      <c r="M842" t="s">
        <v>1808</v>
      </c>
      <c r="N842" t="s">
        <v>120</v>
      </c>
      <c r="O842" t="s">
        <v>79</v>
      </c>
      <c r="P842" s="1">
        <v>45534</v>
      </c>
      <c r="Q842">
        <v>1404</v>
      </c>
      <c r="R842">
        <v>667</v>
      </c>
      <c r="S842" t="s">
        <v>23</v>
      </c>
      <c r="T842">
        <v>2</v>
      </c>
      <c r="U842" t="s">
        <v>58</v>
      </c>
      <c r="V842" t="s">
        <v>59</v>
      </c>
      <c r="W842" t="s">
        <v>34</v>
      </c>
    </row>
    <row r="843" spans="1:23" x14ac:dyDescent="0.3">
      <c r="A843" t="s">
        <v>1809</v>
      </c>
      <c r="B843" t="s">
        <v>91</v>
      </c>
      <c r="C843" t="s">
        <v>173</v>
      </c>
      <c r="D843" t="s">
        <v>75</v>
      </c>
      <c r="E843" t="s">
        <v>5134</v>
      </c>
      <c r="F843" t="s">
        <v>5133</v>
      </c>
      <c r="G843" t="s">
        <v>18</v>
      </c>
      <c r="H843" t="s">
        <v>31</v>
      </c>
      <c r="I843" t="str">
        <f>LEFT(H843,FIND(" (",H843)-1)</f>
        <v>Staff/Principal</v>
      </c>
      <c r="J843" t="str">
        <f>MID(H843,FIND("(",H843)+1,FIND(")",H843)-FIND("(",H843)-1)</f>
        <v>8+ yrs</v>
      </c>
      <c r="L843">
        <v>224293</v>
      </c>
      <c r="M843" t="s">
        <v>1810</v>
      </c>
      <c r="N843" t="s">
        <v>149</v>
      </c>
      <c r="O843" t="s">
        <v>44</v>
      </c>
      <c r="P843" s="1">
        <v>45574</v>
      </c>
      <c r="Q843">
        <v>1953</v>
      </c>
      <c r="R843">
        <v>93</v>
      </c>
      <c r="S843" t="s">
        <v>34</v>
      </c>
      <c r="T843">
        <v>6</v>
      </c>
      <c r="U843" t="s">
        <v>5123</v>
      </c>
      <c r="V843" t="s">
        <v>24</v>
      </c>
      <c r="W843" t="s">
        <v>34</v>
      </c>
    </row>
    <row r="844" spans="1:23" x14ac:dyDescent="0.3">
      <c r="A844" t="s">
        <v>1811</v>
      </c>
      <c r="B844" t="s">
        <v>91</v>
      </c>
      <c r="C844" t="s">
        <v>14</v>
      </c>
      <c r="D844" t="s">
        <v>111</v>
      </c>
      <c r="E844" t="s">
        <v>159</v>
      </c>
      <c r="F844" t="s">
        <v>160</v>
      </c>
      <c r="G844" t="s">
        <v>55</v>
      </c>
      <c r="H844" t="s">
        <v>56</v>
      </c>
      <c r="I844" t="str">
        <f>LEFT(H844,FIND(" (",H844)-1)</f>
        <v>Mid</v>
      </c>
      <c r="J844" t="str">
        <f>MID(H844,FIND("(",H844)+1,FIND(")",H844)-FIND("(",H844)-1)</f>
        <v>2-5 yrs</v>
      </c>
      <c r="L844">
        <v>87770</v>
      </c>
      <c r="M844" t="s">
        <v>1812</v>
      </c>
      <c r="N844" t="s">
        <v>33</v>
      </c>
      <c r="O844" t="s">
        <v>51</v>
      </c>
      <c r="P844" s="1">
        <v>45293</v>
      </c>
      <c r="Q844">
        <v>2270</v>
      </c>
      <c r="R844">
        <v>802</v>
      </c>
      <c r="S844" t="s">
        <v>34</v>
      </c>
      <c r="T844">
        <v>2</v>
      </c>
      <c r="U844" t="s">
        <v>45</v>
      </c>
      <c r="V844" t="s">
        <v>59</v>
      </c>
      <c r="W844" t="s">
        <v>34</v>
      </c>
    </row>
    <row r="845" spans="1:23" x14ac:dyDescent="0.3">
      <c r="A845" t="s">
        <v>1813</v>
      </c>
      <c r="B845" t="s">
        <v>36</v>
      </c>
      <c r="C845" t="s">
        <v>27</v>
      </c>
      <c r="D845" t="s">
        <v>15</v>
      </c>
      <c r="E845" t="s">
        <v>5134</v>
      </c>
      <c r="F845" t="s">
        <v>5133</v>
      </c>
      <c r="G845" t="s">
        <v>41</v>
      </c>
      <c r="H845" t="s">
        <v>56</v>
      </c>
      <c r="I845" t="str">
        <f>LEFT(H845,FIND(" (",H845)-1)</f>
        <v>Mid</v>
      </c>
      <c r="J845" t="str">
        <f>MID(H845,FIND("(",H845)+1,FIND(")",H845)-FIND("(",H845)-1)</f>
        <v>2-5 yrs</v>
      </c>
      <c r="L845">
        <v>117571</v>
      </c>
      <c r="M845" t="s">
        <v>1814</v>
      </c>
      <c r="N845" t="s">
        <v>33</v>
      </c>
      <c r="O845" t="s">
        <v>44</v>
      </c>
      <c r="P845" s="1">
        <v>45600</v>
      </c>
      <c r="Q845">
        <v>1761</v>
      </c>
      <c r="R845">
        <v>1940</v>
      </c>
      <c r="S845" t="s">
        <v>23</v>
      </c>
      <c r="T845">
        <v>2</v>
      </c>
      <c r="U845" t="s">
        <v>83</v>
      </c>
      <c r="V845" t="s">
        <v>24</v>
      </c>
      <c r="W845" t="s">
        <v>34</v>
      </c>
    </row>
    <row r="846" spans="1:23" x14ac:dyDescent="0.3">
      <c r="A846" t="s">
        <v>1815</v>
      </c>
      <c r="B846" t="s">
        <v>26</v>
      </c>
      <c r="C846" t="s">
        <v>107</v>
      </c>
      <c r="D846" t="s">
        <v>49</v>
      </c>
      <c r="E846" t="s">
        <v>5136</v>
      </c>
      <c r="F846" t="s">
        <v>5133</v>
      </c>
      <c r="G846" t="s">
        <v>18</v>
      </c>
      <c r="H846" t="s">
        <v>19</v>
      </c>
      <c r="I846" t="str">
        <f>LEFT(H846,FIND(" (",H846)-1)</f>
        <v>Entry</v>
      </c>
      <c r="J846" t="str">
        <f>MID(H846,FIND("(",H846)+1,FIND(")",H846)-FIND("(",H846)-1)</f>
        <v>0-2 yrs</v>
      </c>
      <c r="L846">
        <v>72097</v>
      </c>
      <c r="M846" t="s">
        <v>1816</v>
      </c>
      <c r="N846" t="s">
        <v>94</v>
      </c>
      <c r="O846" t="s">
        <v>22</v>
      </c>
      <c r="P846" s="1">
        <v>45362</v>
      </c>
      <c r="Q846">
        <v>2107</v>
      </c>
      <c r="R846">
        <v>2952</v>
      </c>
      <c r="S846" t="s">
        <v>34</v>
      </c>
      <c r="T846">
        <v>0</v>
      </c>
      <c r="U846" t="s">
        <v>52</v>
      </c>
      <c r="V846" t="s">
        <v>24</v>
      </c>
      <c r="W846" t="s">
        <v>34</v>
      </c>
    </row>
    <row r="847" spans="1:23" x14ac:dyDescent="0.3">
      <c r="A847" t="s">
        <v>1817</v>
      </c>
      <c r="B847" t="s">
        <v>36</v>
      </c>
      <c r="C847" t="s">
        <v>158</v>
      </c>
      <c r="D847" t="s">
        <v>111</v>
      </c>
      <c r="E847" t="s">
        <v>200</v>
      </c>
      <c r="F847" t="s">
        <v>201</v>
      </c>
      <c r="G847" t="s">
        <v>18</v>
      </c>
      <c r="H847" t="s">
        <v>19</v>
      </c>
      <c r="I847" t="str">
        <f>LEFT(H847,FIND(" (",H847)-1)</f>
        <v>Entry</v>
      </c>
      <c r="J847" t="str">
        <f>MID(H847,FIND("(",H847)+1,FIND(")",H847)-FIND("(",H847)-1)</f>
        <v>0-2 yrs</v>
      </c>
      <c r="L847">
        <v>76204</v>
      </c>
      <c r="M847" t="s">
        <v>1818</v>
      </c>
      <c r="N847" t="s">
        <v>120</v>
      </c>
      <c r="O847" t="s">
        <v>51</v>
      </c>
      <c r="P847" s="1">
        <v>45435</v>
      </c>
      <c r="Q847">
        <v>1287</v>
      </c>
      <c r="R847">
        <v>190</v>
      </c>
      <c r="S847" t="s">
        <v>23</v>
      </c>
      <c r="T847">
        <v>0</v>
      </c>
      <c r="U847" t="s">
        <v>45</v>
      </c>
      <c r="V847" t="s">
        <v>24</v>
      </c>
      <c r="W847" t="s">
        <v>23</v>
      </c>
    </row>
    <row r="848" spans="1:23" x14ac:dyDescent="0.3">
      <c r="A848" t="s">
        <v>1819</v>
      </c>
      <c r="B848" t="s">
        <v>151</v>
      </c>
      <c r="C848" t="s">
        <v>173</v>
      </c>
      <c r="D848" t="s">
        <v>15</v>
      </c>
      <c r="E848" t="s">
        <v>87</v>
      </c>
      <c r="F848" t="s">
        <v>87</v>
      </c>
      <c r="G848" t="s">
        <v>41</v>
      </c>
      <c r="H848" t="s">
        <v>31</v>
      </c>
      <c r="I848" t="str">
        <f>LEFT(H848,FIND(" (",H848)-1)</f>
        <v>Staff/Principal</v>
      </c>
      <c r="J848" t="str">
        <f>MID(H848,FIND("(",H848)+1,FIND(")",H848)-FIND("(",H848)-1)</f>
        <v>8+ yrs</v>
      </c>
      <c r="L848">
        <v>210410</v>
      </c>
      <c r="M848" t="s">
        <v>1820</v>
      </c>
      <c r="N848" t="s">
        <v>33</v>
      </c>
      <c r="O848" t="s">
        <v>51</v>
      </c>
      <c r="P848" s="1">
        <v>45746</v>
      </c>
      <c r="Q848">
        <v>1729</v>
      </c>
      <c r="R848">
        <v>3838</v>
      </c>
      <c r="S848" t="s">
        <v>23</v>
      </c>
      <c r="T848">
        <v>6</v>
      </c>
      <c r="U848" t="s">
        <v>58</v>
      </c>
      <c r="V848" t="s">
        <v>24</v>
      </c>
      <c r="W848" t="s">
        <v>34</v>
      </c>
    </row>
    <row r="849" spans="1:23" x14ac:dyDescent="0.3">
      <c r="A849" t="s">
        <v>1821</v>
      </c>
      <c r="B849" t="s">
        <v>13</v>
      </c>
      <c r="C849" t="s">
        <v>204</v>
      </c>
      <c r="D849" t="s">
        <v>125</v>
      </c>
      <c r="E849" t="s">
        <v>16</v>
      </c>
      <c r="F849" t="s">
        <v>17</v>
      </c>
      <c r="G849" t="s">
        <v>18</v>
      </c>
      <c r="H849" t="s">
        <v>19</v>
      </c>
      <c r="I849" t="str">
        <f>LEFT(H849,FIND(" (",H849)-1)</f>
        <v>Entry</v>
      </c>
      <c r="J849" t="str">
        <f>MID(H849,FIND("(",H849)+1,FIND(")",H849)-FIND("(",H849)-1)</f>
        <v>0-2 yrs</v>
      </c>
      <c r="L849">
        <v>100936</v>
      </c>
      <c r="M849" t="s">
        <v>1822</v>
      </c>
      <c r="N849" t="s">
        <v>245</v>
      </c>
      <c r="O849" t="s">
        <v>22</v>
      </c>
      <c r="P849" s="1">
        <v>45713</v>
      </c>
      <c r="Q849">
        <v>550</v>
      </c>
      <c r="R849">
        <v>2720</v>
      </c>
      <c r="S849" t="s">
        <v>23</v>
      </c>
      <c r="T849">
        <v>0</v>
      </c>
      <c r="U849" t="s">
        <v>83</v>
      </c>
      <c r="V849" t="s">
        <v>24</v>
      </c>
      <c r="W849" t="s">
        <v>34</v>
      </c>
    </row>
    <row r="850" spans="1:23" x14ac:dyDescent="0.3">
      <c r="A850" t="s">
        <v>1823</v>
      </c>
      <c r="B850" t="s">
        <v>106</v>
      </c>
      <c r="C850" t="s">
        <v>124</v>
      </c>
      <c r="D850" t="s">
        <v>125</v>
      </c>
      <c r="E850" t="s">
        <v>230</v>
      </c>
      <c r="F850" t="s">
        <v>231</v>
      </c>
      <c r="G850" t="s">
        <v>55</v>
      </c>
      <c r="H850" t="s">
        <v>66</v>
      </c>
      <c r="I850" t="str">
        <f>LEFT(H850,FIND(" (",H850)-1)</f>
        <v>Senior</v>
      </c>
      <c r="J850" t="str">
        <f>MID(H850,FIND("(",H850)+1,FIND(")",H850)-FIND("(",H850)-1)</f>
        <v>5-8 yrs</v>
      </c>
      <c r="L850">
        <v>132781</v>
      </c>
      <c r="M850" t="s">
        <v>1824</v>
      </c>
      <c r="N850" t="s">
        <v>141</v>
      </c>
      <c r="O850" t="s">
        <v>51</v>
      </c>
      <c r="P850" s="1">
        <v>45513</v>
      </c>
      <c r="Q850">
        <v>2483</v>
      </c>
      <c r="R850">
        <v>727</v>
      </c>
      <c r="S850" t="s">
        <v>23</v>
      </c>
      <c r="T850">
        <v>4</v>
      </c>
      <c r="U850" t="s">
        <v>58</v>
      </c>
      <c r="V850" t="s">
        <v>24</v>
      </c>
      <c r="W850" t="s">
        <v>23</v>
      </c>
    </row>
    <row r="851" spans="1:23" x14ac:dyDescent="0.3">
      <c r="A851" t="s">
        <v>1825</v>
      </c>
      <c r="B851" t="s">
        <v>106</v>
      </c>
      <c r="C851" t="s">
        <v>182</v>
      </c>
      <c r="D851" t="s">
        <v>75</v>
      </c>
      <c r="E851" t="s">
        <v>64</v>
      </c>
      <c r="F851" t="s">
        <v>65</v>
      </c>
      <c r="G851" t="s">
        <v>18</v>
      </c>
      <c r="H851" t="s">
        <v>19</v>
      </c>
      <c r="I851" t="str">
        <f>LEFT(H851,FIND(" (",H851)-1)</f>
        <v>Entry</v>
      </c>
      <c r="J851" t="str">
        <f>MID(H851,FIND("(",H851)+1,FIND(")",H851)-FIND("(",H851)-1)</f>
        <v>0-2 yrs</v>
      </c>
      <c r="L851">
        <v>63309</v>
      </c>
      <c r="M851" t="s">
        <v>1826</v>
      </c>
      <c r="N851" t="s">
        <v>33</v>
      </c>
      <c r="O851" t="s">
        <v>44</v>
      </c>
      <c r="P851" s="1">
        <v>45514</v>
      </c>
      <c r="Q851">
        <v>2474</v>
      </c>
      <c r="R851">
        <v>3901</v>
      </c>
      <c r="S851" t="s">
        <v>99</v>
      </c>
      <c r="T851">
        <v>0</v>
      </c>
      <c r="U851" t="s">
        <v>83</v>
      </c>
      <c r="V851" t="s">
        <v>59</v>
      </c>
      <c r="W851" t="s">
        <v>23</v>
      </c>
    </row>
    <row r="852" spans="1:23" x14ac:dyDescent="0.3">
      <c r="A852" t="s">
        <v>1827</v>
      </c>
      <c r="B852" t="s">
        <v>236</v>
      </c>
      <c r="C852" t="s">
        <v>146</v>
      </c>
      <c r="D852" t="s">
        <v>28</v>
      </c>
      <c r="E852" t="s">
        <v>102</v>
      </c>
      <c r="F852" t="s">
        <v>103</v>
      </c>
      <c r="G852" t="s">
        <v>55</v>
      </c>
      <c r="H852" t="s">
        <v>31</v>
      </c>
      <c r="I852" t="str">
        <f>LEFT(H852,FIND(" (",H852)-1)</f>
        <v>Staff/Principal</v>
      </c>
      <c r="J852" t="str">
        <f>MID(H852,FIND("(",H852)+1,FIND(")",H852)-FIND("(",H852)-1)</f>
        <v>8+ yrs</v>
      </c>
      <c r="L852">
        <v>177566</v>
      </c>
      <c r="M852" t="s">
        <v>1828</v>
      </c>
      <c r="N852" t="s">
        <v>33</v>
      </c>
      <c r="O852" t="s">
        <v>51</v>
      </c>
      <c r="P852" s="1">
        <v>45596</v>
      </c>
      <c r="Q852">
        <v>1177</v>
      </c>
      <c r="R852">
        <v>3803</v>
      </c>
      <c r="S852" t="s">
        <v>23</v>
      </c>
      <c r="T852">
        <v>6</v>
      </c>
      <c r="U852" t="s">
        <v>5123</v>
      </c>
      <c r="V852" t="s">
        <v>24</v>
      </c>
      <c r="W852" t="s">
        <v>34</v>
      </c>
    </row>
    <row r="853" spans="1:23" x14ac:dyDescent="0.3">
      <c r="A853" t="s">
        <v>1829</v>
      </c>
      <c r="B853" t="s">
        <v>26</v>
      </c>
      <c r="C853" t="s">
        <v>128</v>
      </c>
      <c r="D853" t="s">
        <v>49</v>
      </c>
      <c r="E853" t="s">
        <v>5136</v>
      </c>
      <c r="F853" t="s">
        <v>5133</v>
      </c>
      <c r="G853" t="s">
        <v>55</v>
      </c>
      <c r="H853" t="s">
        <v>31</v>
      </c>
      <c r="I853" t="str">
        <f>LEFT(H853,FIND(" (",H853)-1)</f>
        <v>Staff/Principal</v>
      </c>
      <c r="J853" t="str">
        <f>MID(H853,FIND("(",H853)+1,FIND(")",H853)-FIND("(",H853)-1)</f>
        <v>8+ yrs</v>
      </c>
      <c r="L853">
        <v>180002</v>
      </c>
      <c r="M853" t="s">
        <v>1830</v>
      </c>
      <c r="N853" t="s">
        <v>33</v>
      </c>
      <c r="O853" t="s">
        <v>51</v>
      </c>
      <c r="P853" s="1">
        <v>45351</v>
      </c>
      <c r="Q853">
        <v>1916</v>
      </c>
      <c r="R853">
        <v>3734</v>
      </c>
      <c r="S853" t="s">
        <v>23</v>
      </c>
      <c r="T853">
        <v>6</v>
      </c>
      <c r="U853" t="s">
        <v>52</v>
      </c>
      <c r="V853" t="s">
        <v>24</v>
      </c>
      <c r="W853" t="s">
        <v>34</v>
      </c>
    </row>
    <row r="854" spans="1:23" x14ac:dyDescent="0.3">
      <c r="A854" t="s">
        <v>1831</v>
      </c>
      <c r="B854" t="s">
        <v>91</v>
      </c>
      <c r="C854" t="s">
        <v>173</v>
      </c>
      <c r="D854" t="s">
        <v>28</v>
      </c>
      <c r="E854" t="s">
        <v>29</v>
      </c>
      <c r="F854" t="s">
        <v>30</v>
      </c>
      <c r="G854" t="s">
        <v>55</v>
      </c>
      <c r="H854" t="s">
        <v>56</v>
      </c>
      <c r="I854" t="str">
        <f>LEFT(H854,FIND(" (",H854)-1)</f>
        <v>Mid</v>
      </c>
      <c r="J854" t="str">
        <f>MID(H854,FIND("(",H854)+1,FIND(")",H854)-FIND("(",H854)-1)</f>
        <v>2-5 yrs</v>
      </c>
      <c r="L854">
        <v>97379</v>
      </c>
      <c r="M854" t="s">
        <v>1832</v>
      </c>
      <c r="N854" t="s">
        <v>149</v>
      </c>
      <c r="O854" t="s">
        <v>51</v>
      </c>
      <c r="P854" s="1">
        <v>45552</v>
      </c>
      <c r="Q854">
        <v>857</v>
      </c>
      <c r="R854">
        <v>3401</v>
      </c>
      <c r="S854" t="s">
        <v>34</v>
      </c>
      <c r="T854">
        <v>2</v>
      </c>
      <c r="U854" t="s">
        <v>58</v>
      </c>
      <c r="V854" t="s">
        <v>24</v>
      </c>
      <c r="W854" t="s">
        <v>23</v>
      </c>
    </row>
    <row r="855" spans="1:23" x14ac:dyDescent="0.3">
      <c r="A855" t="s">
        <v>1833</v>
      </c>
      <c r="B855" t="s">
        <v>61</v>
      </c>
      <c r="C855" t="s">
        <v>27</v>
      </c>
      <c r="D855" t="s">
        <v>63</v>
      </c>
      <c r="E855" t="s">
        <v>5136</v>
      </c>
      <c r="F855" t="s">
        <v>5133</v>
      </c>
      <c r="G855" t="s">
        <v>41</v>
      </c>
      <c r="H855" t="s">
        <v>56</v>
      </c>
      <c r="I855" t="str">
        <f>LEFT(H855,FIND(" (",H855)-1)</f>
        <v>Mid</v>
      </c>
      <c r="J855" t="str">
        <f>MID(H855,FIND("(",H855)+1,FIND(")",H855)-FIND("(",H855)-1)</f>
        <v>2-5 yrs</v>
      </c>
      <c r="L855">
        <v>133542</v>
      </c>
      <c r="M855" t="s">
        <v>1834</v>
      </c>
      <c r="N855" t="s">
        <v>33</v>
      </c>
      <c r="O855" t="s">
        <v>22</v>
      </c>
      <c r="P855" s="1">
        <v>45611</v>
      </c>
      <c r="Q855">
        <v>1431</v>
      </c>
      <c r="R855">
        <v>3480</v>
      </c>
      <c r="S855" t="s">
        <v>23</v>
      </c>
      <c r="T855">
        <v>2</v>
      </c>
      <c r="U855" t="s">
        <v>5123</v>
      </c>
      <c r="V855" t="s">
        <v>59</v>
      </c>
      <c r="W855" t="s">
        <v>23</v>
      </c>
    </row>
    <row r="856" spans="1:23" x14ac:dyDescent="0.3">
      <c r="A856" t="s">
        <v>1835</v>
      </c>
      <c r="B856" t="s">
        <v>151</v>
      </c>
      <c r="C856" t="s">
        <v>74</v>
      </c>
      <c r="D856" t="s">
        <v>174</v>
      </c>
      <c r="E856" t="s">
        <v>5136</v>
      </c>
      <c r="F856" t="s">
        <v>5133</v>
      </c>
      <c r="G856" t="s">
        <v>18</v>
      </c>
      <c r="H856" t="s">
        <v>19</v>
      </c>
      <c r="I856" t="str">
        <f>LEFT(H856,FIND(" (",H856)-1)</f>
        <v>Entry</v>
      </c>
      <c r="J856" t="str">
        <f>MID(H856,FIND("(",H856)+1,FIND(")",H856)-FIND("(",H856)-1)</f>
        <v>0-2 yrs</v>
      </c>
      <c r="L856">
        <v>87898</v>
      </c>
      <c r="M856" t="s">
        <v>1836</v>
      </c>
      <c r="N856" t="s">
        <v>33</v>
      </c>
      <c r="O856" t="s">
        <v>22</v>
      </c>
      <c r="P856" s="1">
        <v>45679</v>
      </c>
      <c r="Q856">
        <v>405</v>
      </c>
      <c r="R856">
        <v>2955</v>
      </c>
      <c r="S856" t="s">
        <v>34</v>
      </c>
      <c r="T856">
        <v>0</v>
      </c>
      <c r="U856" t="s">
        <v>45</v>
      </c>
      <c r="V856" t="s">
        <v>24</v>
      </c>
      <c r="W856" t="s">
        <v>23</v>
      </c>
    </row>
    <row r="857" spans="1:23" x14ac:dyDescent="0.3">
      <c r="A857" t="s">
        <v>1837</v>
      </c>
      <c r="B857" t="s">
        <v>131</v>
      </c>
      <c r="C857" t="s">
        <v>239</v>
      </c>
      <c r="D857" t="s">
        <v>49</v>
      </c>
      <c r="E857" t="s">
        <v>230</v>
      </c>
      <c r="F857" t="s">
        <v>231</v>
      </c>
      <c r="G857" t="s">
        <v>18</v>
      </c>
      <c r="H857" t="s">
        <v>66</v>
      </c>
      <c r="I857" t="str">
        <f>LEFT(H857,FIND(" (",H857)-1)</f>
        <v>Senior</v>
      </c>
      <c r="J857" t="str">
        <f>MID(H857,FIND("(",H857)+1,FIND(")",H857)-FIND("(",H857)-1)</f>
        <v>5-8 yrs</v>
      </c>
      <c r="L857">
        <v>134589</v>
      </c>
      <c r="M857" t="s">
        <v>1838</v>
      </c>
      <c r="N857" t="s">
        <v>94</v>
      </c>
      <c r="O857" t="s">
        <v>22</v>
      </c>
      <c r="P857" s="1">
        <v>45335</v>
      </c>
      <c r="Q857">
        <v>1483</v>
      </c>
      <c r="R857">
        <v>2063</v>
      </c>
      <c r="S857" t="s">
        <v>23</v>
      </c>
      <c r="T857">
        <v>4</v>
      </c>
      <c r="U857" t="s">
        <v>5123</v>
      </c>
      <c r="V857" t="s">
        <v>24</v>
      </c>
      <c r="W857" t="s">
        <v>23</v>
      </c>
    </row>
    <row r="858" spans="1:23" x14ac:dyDescent="0.3">
      <c r="A858" t="s">
        <v>1839</v>
      </c>
      <c r="B858" t="s">
        <v>131</v>
      </c>
      <c r="C858" t="s">
        <v>54</v>
      </c>
      <c r="D858" t="s">
        <v>174</v>
      </c>
      <c r="E858" t="s">
        <v>39</v>
      </c>
      <c r="F858" t="s">
        <v>40</v>
      </c>
      <c r="G858" t="s">
        <v>18</v>
      </c>
      <c r="H858" t="s">
        <v>31</v>
      </c>
      <c r="I858" t="str">
        <f>LEFT(H858,FIND(" (",H858)-1)</f>
        <v>Staff/Principal</v>
      </c>
      <c r="J858" t="str">
        <f>MID(H858,FIND("(",H858)+1,FIND(")",H858)-FIND("(",H858)-1)</f>
        <v>8+ yrs</v>
      </c>
      <c r="L858">
        <v>170035</v>
      </c>
      <c r="M858" t="s">
        <v>1840</v>
      </c>
      <c r="N858" t="s">
        <v>33</v>
      </c>
      <c r="O858" t="s">
        <v>51</v>
      </c>
      <c r="P858" s="1">
        <v>45598</v>
      </c>
      <c r="Q858">
        <v>663</v>
      </c>
      <c r="R858">
        <v>1490</v>
      </c>
      <c r="S858" t="s">
        <v>23</v>
      </c>
      <c r="T858">
        <v>6</v>
      </c>
      <c r="U858" t="s">
        <v>45</v>
      </c>
      <c r="V858" t="s">
        <v>24</v>
      </c>
      <c r="W858" t="s">
        <v>34</v>
      </c>
    </row>
    <row r="859" spans="1:23" x14ac:dyDescent="0.3">
      <c r="A859" t="s">
        <v>1841</v>
      </c>
      <c r="B859" t="s">
        <v>143</v>
      </c>
      <c r="C859" t="s">
        <v>116</v>
      </c>
      <c r="D859" t="s">
        <v>125</v>
      </c>
      <c r="E859" t="s">
        <v>29</v>
      </c>
      <c r="F859" t="s">
        <v>30</v>
      </c>
      <c r="G859" t="s">
        <v>18</v>
      </c>
      <c r="H859" t="s">
        <v>19</v>
      </c>
      <c r="I859" t="str">
        <f>LEFT(H859,FIND(" (",H859)-1)</f>
        <v>Entry</v>
      </c>
      <c r="J859" t="str">
        <f>MID(H859,FIND("(",H859)+1,FIND(")",H859)-FIND("(",H859)-1)</f>
        <v>0-2 yrs</v>
      </c>
      <c r="L859">
        <v>75939</v>
      </c>
      <c r="M859" t="s">
        <v>1842</v>
      </c>
      <c r="N859" t="s">
        <v>120</v>
      </c>
      <c r="O859" t="s">
        <v>44</v>
      </c>
      <c r="P859" s="1">
        <v>45700</v>
      </c>
      <c r="Q859">
        <v>1837</v>
      </c>
      <c r="R859">
        <v>2998</v>
      </c>
      <c r="S859" t="s">
        <v>34</v>
      </c>
      <c r="T859">
        <v>0</v>
      </c>
      <c r="U859" t="s">
        <v>5123</v>
      </c>
      <c r="V859" t="s">
        <v>24</v>
      </c>
      <c r="W859" t="s">
        <v>34</v>
      </c>
    </row>
    <row r="860" spans="1:23" x14ac:dyDescent="0.3">
      <c r="A860" t="s">
        <v>1843</v>
      </c>
      <c r="B860" t="s">
        <v>106</v>
      </c>
      <c r="C860" t="s">
        <v>128</v>
      </c>
      <c r="D860" t="s">
        <v>75</v>
      </c>
      <c r="E860" t="s">
        <v>5139</v>
      </c>
      <c r="F860" t="s">
        <v>5133</v>
      </c>
      <c r="G860" t="s">
        <v>41</v>
      </c>
      <c r="H860" t="s">
        <v>56</v>
      </c>
      <c r="I860" t="str">
        <f>LEFT(H860,FIND(" (",H860)-1)</f>
        <v>Mid</v>
      </c>
      <c r="J860" t="str">
        <f>MID(H860,FIND("(",H860)+1,FIND(")",H860)-FIND("(",H860)-1)</f>
        <v>2-5 yrs</v>
      </c>
      <c r="L860">
        <v>99065</v>
      </c>
      <c r="M860" t="s">
        <v>1844</v>
      </c>
      <c r="N860" t="s">
        <v>33</v>
      </c>
      <c r="O860" t="s">
        <v>22</v>
      </c>
      <c r="P860" s="1">
        <v>45606</v>
      </c>
      <c r="Q860">
        <v>564</v>
      </c>
      <c r="R860">
        <v>258</v>
      </c>
      <c r="S860" t="s">
        <v>23</v>
      </c>
      <c r="T860">
        <v>2</v>
      </c>
      <c r="U860" t="s">
        <v>5123</v>
      </c>
      <c r="V860" t="s">
        <v>46</v>
      </c>
      <c r="W860" t="s">
        <v>23</v>
      </c>
    </row>
    <row r="861" spans="1:23" x14ac:dyDescent="0.3">
      <c r="A861" t="s">
        <v>1845</v>
      </c>
      <c r="B861" t="s">
        <v>36</v>
      </c>
      <c r="C861" t="s">
        <v>74</v>
      </c>
      <c r="D861" t="s">
        <v>63</v>
      </c>
      <c r="E861" t="s">
        <v>133</v>
      </c>
      <c r="F861" t="s">
        <v>134</v>
      </c>
      <c r="G861" t="s">
        <v>55</v>
      </c>
      <c r="H861" t="s">
        <v>19</v>
      </c>
      <c r="I861" t="str">
        <f>LEFT(H861,FIND(" (",H861)-1)</f>
        <v>Entry</v>
      </c>
      <c r="J861" t="str">
        <f>MID(H861,FIND("(",H861)+1,FIND(")",H861)-FIND("(",H861)-1)</f>
        <v>0-2 yrs</v>
      </c>
      <c r="L861">
        <v>77974</v>
      </c>
      <c r="M861" t="s">
        <v>1846</v>
      </c>
      <c r="N861" t="s">
        <v>68</v>
      </c>
      <c r="O861" t="s">
        <v>51</v>
      </c>
      <c r="P861" s="1">
        <v>45670</v>
      </c>
      <c r="Q861">
        <v>1319</v>
      </c>
      <c r="R861">
        <v>2122</v>
      </c>
      <c r="S861" t="s">
        <v>34</v>
      </c>
      <c r="T861">
        <v>0</v>
      </c>
      <c r="U861" t="s">
        <v>52</v>
      </c>
      <c r="V861" t="s">
        <v>24</v>
      </c>
      <c r="W861" t="s">
        <v>34</v>
      </c>
    </row>
    <row r="862" spans="1:23" x14ac:dyDescent="0.3">
      <c r="A862" t="s">
        <v>1847</v>
      </c>
      <c r="B862" t="s">
        <v>36</v>
      </c>
      <c r="C862" t="s">
        <v>14</v>
      </c>
      <c r="D862" t="s">
        <v>28</v>
      </c>
      <c r="E862" t="s">
        <v>64</v>
      </c>
      <c r="F862" t="s">
        <v>65</v>
      </c>
      <c r="G862" t="s">
        <v>41</v>
      </c>
      <c r="H862" t="s">
        <v>56</v>
      </c>
      <c r="I862" t="str">
        <f>LEFT(H862,FIND(" (",H862)-1)</f>
        <v>Mid</v>
      </c>
      <c r="J862" t="str">
        <f>MID(H862,FIND("(",H862)+1,FIND(")",H862)-FIND("(",H862)-1)</f>
        <v>2-5 yrs</v>
      </c>
      <c r="L862">
        <v>114017</v>
      </c>
      <c r="M862" t="s">
        <v>1848</v>
      </c>
      <c r="N862" t="s">
        <v>120</v>
      </c>
      <c r="O862" t="s">
        <v>22</v>
      </c>
      <c r="P862" s="1">
        <v>45364</v>
      </c>
      <c r="Q862">
        <v>1294</v>
      </c>
      <c r="R862">
        <v>3612</v>
      </c>
      <c r="S862" t="s">
        <v>23</v>
      </c>
      <c r="T862">
        <v>2</v>
      </c>
      <c r="U862" t="s">
        <v>52</v>
      </c>
      <c r="V862" t="s">
        <v>24</v>
      </c>
      <c r="W862" t="s">
        <v>23</v>
      </c>
    </row>
    <row r="863" spans="1:23" x14ac:dyDescent="0.3">
      <c r="A863" t="s">
        <v>1849</v>
      </c>
      <c r="B863" t="s">
        <v>131</v>
      </c>
      <c r="C863" t="s">
        <v>167</v>
      </c>
      <c r="D863" t="s">
        <v>174</v>
      </c>
      <c r="E863" t="s">
        <v>87</v>
      </c>
      <c r="F863" t="s">
        <v>87</v>
      </c>
      <c r="G863" t="s">
        <v>18</v>
      </c>
      <c r="H863" t="s">
        <v>31</v>
      </c>
      <c r="I863" t="str">
        <f>LEFT(H863,FIND(" (",H863)-1)</f>
        <v>Staff/Principal</v>
      </c>
      <c r="J863" t="str">
        <f>MID(H863,FIND("(",H863)+1,FIND(")",H863)-FIND("(",H863)-1)</f>
        <v>8+ yrs</v>
      </c>
      <c r="L863">
        <v>145433</v>
      </c>
      <c r="M863" t="s">
        <v>1850</v>
      </c>
      <c r="N863" t="s">
        <v>141</v>
      </c>
      <c r="O863" t="s">
        <v>79</v>
      </c>
      <c r="P863" s="1">
        <v>45690</v>
      </c>
      <c r="Q863">
        <v>1830</v>
      </c>
      <c r="R863">
        <v>3113</v>
      </c>
      <c r="S863" t="s">
        <v>23</v>
      </c>
      <c r="T863">
        <v>6</v>
      </c>
      <c r="U863" t="s">
        <v>5123</v>
      </c>
      <c r="V863" t="s">
        <v>24</v>
      </c>
      <c r="W863" t="s">
        <v>23</v>
      </c>
    </row>
    <row r="864" spans="1:23" x14ac:dyDescent="0.3">
      <c r="A864" t="s">
        <v>1851</v>
      </c>
      <c r="B864" t="s">
        <v>225</v>
      </c>
      <c r="C864" t="s">
        <v>179</v>
      </c>
      <c r="D864" t="s">
        <v>147</v>
      </c>
      <c r="E864" t="s">
        <v>133</v>
      </c>
      <c r="F864" t="s">
        <v>134</v>
      </c>
      <c r="G864" t="s">
        <v>41</v>
      </c>
      <c r="H864" t="s">
        <v>66</v>
      </c>
      <c r="I864" t="str">
        <f>LEFT(H864,FIND(" (",H864)-1)</f>
        <v>Senior</v>
      </c>
      <c r="J864" t="str">
        <f>MID(H864,FIND("(",H864)+1,FIND(")",H864)-FIND("(",H864)-1)</f>
        <v>5-8 yrs</v>
      </c>
      <c r="L864">
        <v>191782</v>
      </c>
      <c r="M864" t="s">
        <v>1852</v>
      </c>
      <c r="N864" t="s">
        <v>141</v>
      </c>
      <c r="O864" t="s">
        <v>44</v>
      </c>
      <c r="P864" s="1">
        <v>45442</v>
      </c>
      <c r="Q864">
        <v>1490</v>
      </c>
      <c r="R864">
        <v>2111</v>
      </c>
      <c r="S864" t="s">
        <v>23</v>
      </c>
      <c r="T864">
        <v>4</v>
      </c>
      <c r="U864" t="s">
        <v>83</v>
      </c>
      <c r="V864" t="s">
        <v>24</v>
      </c>
      <c r="W864" t="s">
        <v>23</v>
      </c>
    </row>
    <row r="865" spans="1:23" x14ac:dyDescent="0.3">
      <c r="A865" t="s">
        <v>1853</v>
      </c>
      <c r="B865" t="s">
        <v>91</v>
      </c>
      <c r="C865" t="s">
        <v>48</v>
      </c>
      <c r="D865" t="s">
        <v>174</v>
      </c>
      <c r="E865" t="s">
        <v>5141</v>
      </c>
      <c r="F865" t="s">
        <v>5133</v>
      </c>
      <c r="G865" t="s">
        <v>18</v>
      </c>
      <c r="H865" t="s">
        <v>19</v>
      </c>
      <c r="I865" t="str">
        <f>LEFT(H865,FIND(" (",H865)-1)</f>
        <v>Entry</v>
      </c>
      <c r="J865" t="str">
        <f>MID(H865,FIND("(",H865)+1,FIND(")",H865)-FIND("(",H865)-1)</f>
        <v>0-2 yrs</v>
      </c>
      <c r="L865">
        <v>92628</v>
      </c>
      <c r="M865" t="s">
        <v>1854</v>
      </c>
      <c r="N865" t="s">
        <v>186</v>
      </c>
      <c r="O865" t="s">
        <v>22</v>
      </c>
      <c r="P865" s="1">
        <v>45649</v>
      </c>
      <c r="Q865">
        <v>535</v>
      </c>
      <c r="R865">
        <v>3503</v>
      </c>
      <c r="S865" t="s">
        <v>23</v>
      </c>
      <c r="T865">
        <v>0</v>
      </c>
      <c r="U865" t="s">
        <v>52</v>
      </c>
      <c r="V865" t="s">
        <v>59</v>
      </c>
      <c r="W865" t="s">
        <v>34</v>
      </c>
    </row>
    <row r="866" spans="1:23" x14ac:dyDescent="0.3">
      <c r="A866" t="s">
        <v>1855</v>
      </c>
      <c r="B866" t="s">
        <v>225</v>
      </c>
      <c r="C866" t="s">
        <v>158</v>
      </c>
      <c r="D866" t="s">
        <v>49</v>
      </c>
      <c r="E866" t="s">
        <v>76</v>
      </c>
      <c r="F866" t="s">
        <v>77</v>
      </c>
      <c r="G866" t="s">
        <v>18</v>
      </c>
      <c r="H866" t="s">
        <v>56</v>
      </c>
      <c r="I866" t="str">
        <f>LEFT(H866,FIND(" (",H866)-1)</f>
        <v>Mid</v>
      </c>
      <c r="J866" t="str">
        <f>MID(H866,FIND("(",H866)+1,FIND(")",H866)-FIND("(",H866)-1)</f>
        <v>2-5 yrs</v>
      </c>
      <c r="L866">
        <v>97866</v>
      </c>
      <c r="M866" t="s">
        <v>1856</v>
      </c>
      <c r="N866" t="s">
        <v>33</v>
      </c>
      <c r="O866" t="s">
        <v>22</v>
      </c>
      <c r="P866" s="1">
        <v>45453</v>
      </c>
      <c r="Q866">
        <v>2162</v>
      </c>
      <c r="R866">
        <v>2165</v>
      </c>
      <c r="S866" t="s">
        <v>23</v>
      </c>
      <c r="T866">
        <v>2</v>
      </c>
      <c r="U866" t="s">
        <v>5123</v>
      </c>
      <c r="V866" t="s">
        <v>24</v>
      </c>
      <c r="W866" t="s">
        <v>23</v>
      </c>
    </row>
    <row r="867" spans="1:23" x14ac:dyDescent="0.3">
      <c r="A867" t="s">
        <v>1857</v>
      </c>
      <c r="B867" t="s">
        <v>106</v>
      </c>
      <c r="C867" t="s">
        <v>132</v>
      </c>
      <c r="D867" t="s">
        <v>147</v>
      </c>
      <c r="E867" t="s">
        <v>200</v>
      </c>
      <c r="F867" t="s">
        <v>201</v>
      </c>
      <c r="G867" t="s">
        <v>18</v>
      </c>
      <c r="H867" t="s">
        <v>56</v>
      </c>
      <c r="I867" t="str">
        <f>LEFT(H867,FIND(" (",H867)-1)</f>
        <v>Mid</v>
      </c>
      <c r="J867" t="str">
        <f>MID(H867,FIND("(",H867)+1,FIND(")",H867)-FIND("(",H867)-1)</f>
        <v>2-5 yrs</v>
      </c>
      <c r="L867">
        <v>102323</v>
      </c>
      <c r="M867" t="s">
        <v>1858</v>
      </c>
      <c r="N867" t="s">
        <v>245</v>
      </c>
      <c r="O867" t="s">
        <v>44</v>
      </c>
      <c r="P867" s="1">
        <v>45639</v>
      </c>
      <c r="Q867">
        <v>614</v>
      </c>
      <c r="R867">
        <v>3926</v>
      </c>
      <c r="S867" t="s">
        <v>34</v>
      </c>
      <c r="T867">
        <v>2</v>
      </c>
      <c r="U867" t="s">
        <v>83</v>
      </c>
      <c r="V867" t="s">
        <v>59</v>
      </c>
      <c r="W867" t="s">
        <v>23</v>
      </c>
    </row>
    <row r="868" spans="1:23" x14ac:dyDescent="0.3">
      <c r="A868" t="s">
        <v>1859</v>
      </c>
      <c r="B868" t="s">
        <v>236</v>
      </c>
      <c r="C868" t="s">
        <v>204</v>
      </c>
      <c r="D868" t="s">
        <v>15</v>
      </c>
      <c r="E868" t="s">
        <v>5137</v>
      </c>
      <c r="F868" t="s">
        <v>5138</v>
      </c>
      <c r="G868" t="s">
        <v>41</v>
      </c>
      <c r="H868" t="s">
        <v>31</v>
      </c>
      <c r="I868" t="str">
        <f>LEFT(H868,FIND(" (",H868)-1)</f>
        <v>Staff/Principal</v>
      </c>
      <c r="J868" t="str">
        <f>MID(H868,FIND("(",H868)+1,FIND(")",H868)-FIND("(",H868)-1)</f>
        <v>8+ yrs</v>
      </c>
      <c r="L868">
        <v>210291</v>
      </c>
      <c r="M868" t="s">
        <v>1860</v>
      </c>
      <c r="N868" t="s">
        <v>33</v>
      </c>
      <c r="O868" t="s">
        <v>79</v>
      </c>
      <c r="P868" s="1">
        <v>45548</v>
      </c>
      <c r="Q868">
        <v>420</v>
      </c>
      <c r="R868">
        <v>2410</v>
      </c>
      <c r="S868" t="s">
        <v>34</v>
      </c>
      <c r="T868">
        <v>6</v>
      </c>
      <c r="U868" t="s">
        <v>58</v>
      </c>
      <c r="V868" t="s">
        <v>24</v>
      </c>
      <c r="W868" t="s">
        <v>34</v>
      </c>
    </row>
    <row r="869" spans="1:23" x14ac:dyDescent="0.3">
      <c r="A869" t="s">
        <v>1861</v>
      </c>
      <c r="B869" t="s">
        <v>85</v>
      </c>
      <c r="C869" t="s">
        <v>195</v>
      </c>
      <c r="D869" t="s">
        <v>49</v>
      </c>
      <c r="E869" t="s">
        <v>29</v>
      </c>
      <c r="F869" t="s">
        <v>30</v>
      </c>
      <c r="G869" t="s">
        <v>41</v>
      </c>
      <c r="H869" t="s">
        <v>19</v>
      </c>
      <c r="I869" t="str">
        <f>LEFT(H869,FIND(" (",H869)-1)</f>
        <v>Entry</v>
      </c>
      <c r="J869" t="str">
        <f>MID(H869,FIND("(",H869)+1,FIND(")",H869)-FIND("(",H869)-1)</f>
        <v>0-2 yrs</v>
      </c>
      <c r="L869">
        <v>74214</v>
      </c>
      <c r="M869" t="s">
        <v>1862</v>
      </c>
      <c r="N869" t="s">
        <v>33</v>
      </c>
      <c r="O869" t="s">
        <v>79</v>
      </c>
      <c r="P869" s="1">
        <v>45462</v>
      </c>
      <c r="Q869">
        <v>2001</v>
      </c>
      <c r="R869">
        <v>3764</v>
      </c>
      <c r="S869" t="s">
        <v>34</v>
      </c>
      <c r="T869">
        <v>0</v>
      </c>
      <c r="U869" t="s">
        <v>83</v>
      </c>
      <c r="V869" t="s">
        <v>24</v>
      </c>
      <c r="W869" t="s">
        <v>34</v>
      </c>
    </row>
    <row r="870" spans="1:23" x14ac:dyDescent="0.3">
      <c r="A870" t="s">
        <v>1863</v>
      </c>
      <c r="B870" t="s">
        <v>85</v>
      </c>
      <c r="C870" t="s">
        <v>179</v>
      </c>
      <c r="D870" t="s">
        <v>49</v>
      </c>
      <c r="E870" t="s">
        <v>64</v>
      </c>
      <c r="F870" t="s">
        <v>65</v>
      </c>
      <c r="G870" t="s">
        <v>55</v>
      </c>
      <c r="H870" t="s">
        <v>66</v>
      </c>
      <c r="I870" t="str">
        <f>LEFT(H870,FIND(" (",H870)-1)</f>
        <v>Senior</v>
      </c>
      <c r="J870" t="str">
        <f>MID(H870,FIND("(",H870)+1,FIND(")",H870)-FIND("(",H870)-1)</f>
        <v>5-8 yrs</v>
      </c>
      <c r="L870">
        <v>167780</v>
      </c>
      <c r="M870" t="s">
        <v>1864</v>
      </c>
      <c r="N870" t="s">
        <v>21</v>
      </c>
      <c r="O870" t="s">
        <v>51</v>
      </c>
      <c r="P870" s="1">
        <v>45331</v>
      </c>
      <c r="Q870">
        <v>1225</v>
      </c>
      <c r="R870">
        <v>957</v>
      </c>
      <c r="S870" t="s">
        <v>23</v>
      </c>
      <c r="T870">
        <v>4</v>
      </c>
      <c r="U870" t="s">
        <v>58</v>
      </c>
      <c r="V870" t="s">
        <v>24</v>
      </c>
      <c r="W870" t="s">
        <v>34</v>
      </c>
    </row>
    <row r="871" spans="1:23" x14ac:dyDescent="0.3">
      <c r="A871" t="s">
        <v>1865</v>
      </c>
      <c r="B871" t="s">
        <v>61</v>
      </c>
      <c r="C871" t="s">
        <v>173</v>
      </c>
      <c r="D871" t="s">
        <v>174</v>
      </c>
      <c r="E871" t="s">
        <v>87</v>
      </c>
      <c r="F871" t="s">
        <v>87</v>
      </c>
      <c r="G871" t="s">
        <v>18</v>
      </c>
      <c r="H871" t="s">
        <v>31</v>
      </c>
      <c r="I871" t="str">
        <f>LEFT(H871,FIND(" (",H871)-1)</f>
        <v>Staff/Principal</v>
      </c>
      <c r="J871" t="str">
        <f>MID(H871,FIND("(",H871)+1,FIND(")",H871)-FIND("(",H871)-1)</f>
        <v>8+ yrs</v>
      </c>
      <c r="L871">
        <v>272367</v>
      </c>
      <c r="M871" t="s">
        <v>1866</v>
      </c>
      <c r="N871" t="s">
        <v>89</v>
      </c>
      <c r="O871" t="s">
        <v>51</v>
      </c>
      <c r="P871" s="1">
        <v>45662</v>
      </c>
      <c r="Q871">
        <v>614</v>
      </c>
      <c r="R871">
        <v>387</v>
      </c>
      <c r="S871" t="s">
        <v>23</v>
      </c>
      <c r="T871">
        <v>6</v>
      </c>
      <c r="U871" t="s">
        <v>5123</v>
      </c>
      <c r="V871" t="s">
        <v>24</v>
      </c>
      <c r="W871" t="s">
        <v>23</v>
      </c>
    </row>
    <row r="872" spans="1:23" x14ac:dyDescent="0.3">
      <c r="A872" t="s">
        <v>1867</v>
      </c>
      <c r="B872" t="s">
        <v>81</v>
      </c>
      <c r="C872" t="s">
        <v>92</v>
      </c>
      <c r="D872" t="s">
        <v>63</v>
      </c>
      <c r="E872" t="s">
        <v>76</v>
      </c>
      <c r="F872" t="s">
        <v>77</v>
      </c>
      <c r="G872" t="s">
        <v>41</v>
      </c>
      <c r="H872" t="s">
        <v>56</v>
      </c>
      <c r="I872" t="str">
        <f>LEFT(H872,FIND(" (",H872)-1)</f>
        <v>Mid</v>
      </c>
      <c r="J872" t="str">
        <f>MID(H872,FIND("(",H872)+1,FIND(")",H872)-FIND("(",H872)-1)</f>
        <v>2-5 yrs</v>
      </c>
      <c r="L872">
        <v>106496</v>
      </c>
      <c r="M872" t="s">
        <v>1868</v>
      </c>
      <c r="N872" t="s">
        <v>43</v>
      </c>
      <c r="O872" t="s">
        <v>79</v>
      </c>
      <c r="P872" s="1">
        <v>45674</v>
      </c>
      <c r="Q872">
        <v>2055</v>
      </c>
      <c r="R872">
        <v>1793</v>
      </c>
      <c r="S872" t="s">
        <v>99</v>
      </c>
      <c r="T872">
        <v>2</v>
      </c>
      <c r="U872" t="s">
        <v>5123</v>
      </c>
      <c r="V872" t="s">
        <v>24</v>
      </c>
      <c r="W872" t="s">
        <v>34</v>
      </c>
    </row>
    <row r="873" spans="1:23" x14ac:dyDescent="0.3">
      <c r="A873" t="s">
        <v>1869</v>
      </c>
      <c r="B873" t="s">
        <v>61</v>
      </c>
      <c r="C873" t="s">
        <v>86</v>
      </c>
      <c r="D873" t="s">
        <v>111</v>
      </c>
      <c r="E873" t="s">
        <v>5140</v>
      </c>
      <c r="F873" t="s">
        <v>5133</v>
      </c>
      <c r="G873" t="s">
        <v>55</v>
      </c>
      <c r="H873" t="s">
        <v>31</v>
      </c>
      <c r="I873" t="str">
        <f>LEFT(H873,FIND(" (",H873)-1)</f>
        <v>Staff/Principal</v>
      </c>
      <c r="J873" t="str">
        <f>MID(H873,FIND("(",H873)+1,FIND(")",H873)-FIND("(",H873)-1)</f>
        <v>8+ yrs</v>
      </c>
      <c r="L873">
        <v>171261</v>
      </c>
      <c r="M873" t="s">
        <v>1870</v>
      </c>
      <c r="N873" t="s">
        <v>141</v>
      </c>
      <c r="O873" t="s">
        <v>22</v>
      </c>
      <c r="P873" s="1">
        <v>45390</v>
      </c>
      <c r="Q873">
        <v>411</v>
      </c>
      <c r="R873">
        <v>1592</v>
      </c>
      <c r="S873" t="s">
        <v>34</v>
      </c>
      <c r="T873">
        <v>6</v>
      </c>
      <c r="U873" t="s">
        <v>58</v>
      </c>
      <c r="V873" t="s">
        <v>24</v>
      </c>
      <c r="W873" t="s">
        <v>23</v>
      </c>
    </row>
    <row r="874" spans="1:23" x14ac:dyDescent="0.3">
      <c r="A874" t="s">
        <v>1871</v>
      </c>
      <c r="B874" t="s">
        <v>106</v>
      </c>
      <c r="C874" t="s">
        <v>37</v>
      </c>
      <c r="D874" t="s">
        <v>49</v>
      </c>
      <c r="E874" t="s">
        <v>102</v>
      </c>
      <c r="F874" t="s">
        <v>103</v>
      </c>
      <c r="G874" t="s">
        <v>41</v>
      </c>
      <c r="H874" t="s">
        <v>19</v>
      </c>
      <c r="I874" t="str">
        <f>LEFT(H874,FIND(" (",H874)-1)</f>
        <v>Entry</v>
      </c>
      <c r="J874" t="str">
        <f>MID(H874,FIND("(",H874)+1,FIND(")",H874)-FIND("(",H874)-1)</f>
        <v>0-2 yrs</v>
      </c>
      <c r="L874">
        <v>52620</v>
      </c>
      <c r="M874" t="s">
        <v>1872</v>
      </c>
      <c r="N874" t="s">
        <v>141</v>
      </c>
      <c r="O874" t="s">
        <v>51</v>
      </c>
      <c r="P874" s="1">
        <v>45422</v>
      </c>
      <c r="Q874">
        <v>2287</v>
      </c>
      <c r="R874">
        <v>1748</v>
      </c>
      <c r="S874" t="s">
        <v>23</v>
      </c>
      <c r="T874">
        <v>0</v>
      </c>
      <c r="U874" t="s">
        <v>52</v>
      </c>
      <c r="V874" t="s">
        <v>24</v>
      </c>
      <c r="W874" t="s">
        <v>23</v>
      </c>
    </row>
    <row r="875" spans="1:23" x14ac:dyDescent="0.3">
      <c r="A875" t="s">
        <v>1873</v>
      </c>
      <c r="B875" t="s">
        <v>36</v>
      </c>
      <c r="C875" t="s">
        <v>128</v>
      </c>
      <c r="D875" t="s">
        <v>75</v>
      </c>
      <c r="E875" t="s">
        <v>5135</v>
      </c>
      <c r="F875" t="s">
        <v>5133</v>
      </c>
      <c r="G875" t="s">
        <v>18</v>
      </c>
      <c r="H875" t="s">
        <v>66</v>
      </c>
      <c r="I875" t="str">
        <f>LEFT(H875,FIND(" (",H875)-1)</f>
        <v>Senior</v>
      </c>
      <c r="J875" t="str">
        <f>MID(H875,FIND("(",H875)+1,FIND(")",H875)-FIND("(",H875)-1)</f>
        <v>5-8 yrs</v>
      </c>
      <c r="L875">
        <v>130264</v>
      </c>
      <c r="M875" t="s">
        <v>1874</v>
      </c>
      <c r="N875" t="s">
        <v>89</v>
      </c>
      <c r="O875" t="s">
        <v>44</v>
      </c>
      <c r="P875" s="1">
        <v>45447</v>
      </c>
      <c r="Q875">
        <v>2465</v>
      </c>
      <c r="R875">
        <v>569</v>
      </c>
      <c r="S875" t="s">
        <v>23</v>
      </c>
      <c r="T875">
        <v>4</v>
      </c>
      <c r="U875" t="s">
        <v>52</v>
      </c>
      <c r="V875" t="s">
        <v>24</v>
      </c>
      <c r="W875" t="s">
        <v>34</v>
      </c>
    </row>
    <row r="876" spans="1:23" x14ac:dyDescent="0.3">
      <c r="A876" t="s">
        <v>1875</v>
      </c>
      <c r="B876" t="s">
        <v>13</v>
      </c>
      <c r="C876" t="s">
        <v>37</v>
      </c>
      <c r="D876" t="s">
        <v>49</v>
      </c>
      <c r="E876" t="s">
        <v>5137</v>
      </c>
      <c r="F876" t="s">
        <v>5138</v>
      </c>
      <c r="G876" t="s">
        <v>41</v>
      </c>
      <c r="H876" t="s">
        <v>19</v>
      </c>
      <c r="I876" t="str">
        <f>LEFT(H876,FIND(" (",H876)-1)</f>
        <v>Entry</v>
      </c>
      <c r="J876" t="str">
        <f>MID(H876,FIND("(",H876)+1,FIND(")",H876)-FIND("(",H876)-1)</f>
        <v>0-2 yrs</v>
      </c>
      <c r="L876">
        <v>69582</v>
      </c>
      <c r="M876" t="s">
        <v>1876</v>
      </c>
      <c r="N876" t="s">
        <v>21</v>
      </c>
      <c r="O876" t="s">
        <v>44</v>
      </c>
      <c r="P876" s="1">
        <v>45523</v>
      </c>
      <c r="Q876">
        <v>1470</v>
      </c>
      <c r="R876">
        <v>2361</v>
      </c>
      <c r="S876" t="s">
        <v>34</v>
      </c>
      <c r="T876">
        <v>0</v>
      </c>
      <c r="U876" t="s">
        <v>5123</v>
      </c>
      <c r="V876" t="s">
        <v>59</v>
      </c>
      <c r="W876" t="s">
        <v>23</v>
      </c>
    </row>
    <row r="877" spans="1:23" x14ac:dyDescent="0.3">
      <c r="A877" t="s">
        <v>1877</v>
      </c>
      <c r="B877" t="s">
        <v>36</v>
      </c>
      <c r="C877" t="s">
        <v>48</v>
      </c>
      <c r="D877" t="s">
        <v>28</v>
      </c>
      <c r="E877" t="s">
        <v>5134</v>
      </c>
      <c r="F877" t="s">
        <v>5133</v>
      </c>
      <c r="G877" t="s">
        <v>41</v>
      </c>
      <c r="H877" t="s">
        <v>56</v>
      </c>
      <c r="I877" t="str">
        <f>LEFT(H877,FIND(" (",H877)-1)</f>
        <v>Mid</v>
      </c>
      <c r="J877" t="str">
        <f>MID(H877,FIND("(",H877)+1,FIND(")",H877)-FIND("(",H877)-1)</f>
        <v>2-5 yrs</v>
      </c>
      <c r="L877">
        <v>145532</v>
      </c>
      <c r="M877" t="s">
        <v>1878</v>
      </c>
      <c r="N877" t="s">
        <v>33</v>
      </c>
      <c r="O877" t="s">
        <v>44</v>
      </c>
      <c r="P877" s="1">
        <v>45653</v>
      </c>
      <c r="Q877">
        <v>2168</v>
      </c>
      <c r="R877">
        <v>377</v>
      </c>
      <c r="S877" t="s">
        <v>99</v>
      </c>
      <c r="T877">
        <v>2</v>
      </c>
      <c r="U877" t="s">
        <v>45</v>
      </c>
      <c r="V877" t="s">
        <v>24</v>
      </c>
      <c r="W877" t="s">
        <v>23</v>
      </c>
    </row>
    <row r="878" spans="1:23" x14ac:dyDescent="0.3">
      <c r="A878" t="s">
        <v>1879</v>
      </c>
      <c r="B878" t="s">
        <v>143</v>
      </c>
      <c r="C878" t="s">
        <v>167</v>
      </c>
      <c r="D878" t="s">
        <v>38</v>
      </c>
      <c r="E878" t="s">
        <v>200</v>
      </c>
      <c r="F878" t="s">
        <v>201</v>
      </c>
      <c r="G878" t="s">
        <v>18</v>
      </c>
      <c r="H878" t="s">
        <v>31</v>
      </c>
      <c r="I878" t="str">
        <f>LEFT(H878,FIND(" (",H878)-1)</f>
        <v>Staff/Principal</v>
      </c>
      <c r="J878" t="str">
        <f>MID(H878,FIND("(",H878)+1,FIND(")",H878)-FIND("(",H878)-1)</f>
        <v>8+ yrs</v>
      </c>
      <c r="L878">
        <v>181365</v>
      </c>
      <c r="M878" t="s">
        <v>1880</v>
      </c>
      <c r="N878" t="s">
        <v>245</v>
      </c>
      <c r="O878" t="s">
        <v>22</v>
      </c>
      <c r="P878" s="1">
        <v>45461</v>
      </c>
      <c r="Q878">
        <v>1213</v>
      </c>
      <c r="R878">
        <v>1215</v>
      </c>
      <c r="S878" t="s">
        <v>23</v>
      </c>
      <c r="T878">
        <v>6</v>
      </c>
      <c r="U878" t="s">
        <v>58</v>
      </c>
      <c r="V878" t="s">
        <v>24</v>
      </c>
      <c r="W878" t="s">
        <v>23</v>
      </c>
    </row>
    <row r="879" spans="1:23" x14ac:dyDescent="0.3">
      <c r="A879" t="s">
        <v>1881</v>
      </c>
      <c r="B879" t="s">
        <v>229</v>
      </c>
      <c r="C879" t="s">
        <v>124</v>
      </c>
      <c r="D879" t="s">
        <v>63</v>
      </c>
      <c r="E879" t="s">
        <v>216</v>
      </c>
      <c r="F879" t="s">
        <v>217</v>
      </c>
      <c r="G879" t="s">
        <v>41</v>
      </c>
      <c r="H879" t="s">
        <v>31</v>
      </c>
      <c r="I879" t="str">
        <f>LEFT(H879,FIND(" (",H879)-1)</f>
        <v>Staff/Principal</v>
      </c>
      <c r="J879" t="str">
        <f>MID(H879,FIND("(",H879)+1,FIND(")",H879)-FIND("(",H879)-1)</f>
        <v>8+ yrs</v>
      </c>
      <c r="L879">
        <v>208056</v>
      </c>
      <c r="M879" t="s">
        <v>1882</v>
      </c>
      <c r="N879" t="s">
        <v>33</v>
      </c>
      <c r="O879" t="s">
        <v>22</v>
      </c>
      <c r="P879" s="1">
        <v>45577</v>
      </c>
      <c r="Q879">
        <v>1184</v>
      </c>
      <c r="R879">
        <v>1277</v>
      </c>
      <c r="S879" t="s">
        <v>23</v>
      </c>
      <c r="T879">
        <v>6</v>
      </c>
      <c r="U879" t="s">
        <v>52</v>
      </c>
      <c r="V879" t="s">
        <v>24</v>
      </c>
      <c r="W879" t="s">
        <v>34</v>
      </c>
    </row>
    <row r="880" spans="1:23" x14ac:dyDescent="0.3">
      <c r="A880" t="s">
        <v>1883</v>
      </c>
      <c r="B880" t="s">
        <v>85</v>
      </c>
      <c r="C880" t="s">
        <v>116</v>
      </c>
      <c r="D880" t="s">
        <v>15</v>
      </c>
      <c r="E880" t="s">
        <v>29</v>
      </c>
      <c r="F880" t="s">
        <v>30</v>
      </c>
      <c r="G880" t="s">
        <v>55</v>
      </c>
      <c r="H880" t="s">
        <v>66</v>
      </c>
      <c r="I880" t="str">
        <f>LEFT(H880,FIND(" (",H880)-1)</f>
        <v>Senior</v>
      </c>
      <c r="J880" t="str">
        <f>MID(H880,FIND("(",H880)+1,FIND(")",H880)-FIND("(",H880)-1)</f>
        <v>5-8 yrs</v>
      </c>
      <c r="L880">
        <v>149556</v>
      </c>
      <c r="M880" t="s">
        <v>1884</v>
      </c>
      <c r="N880" t="s">
        <v>120</v>
      </c>
      <c r="O880" t="s">
        <v>44</v>
      </c>
      <c r="P880" s="1">
        <v>45558</v>
      </c>
      <c r="Q880">
        <v>1969</v>
      </c>
      <c r="R880">
        <v>3644</v>
      </c>
      <c r="S880" t="s">
        <v>23</v>
      </c>
      <c r="T880">
        <v>4</v>
      </c>
      <c r="U880" t="s">
        <v>52</v>
      </c>
      <c r="V880" t="s">
        <v>59</v>
      </c>
      <c r="W880" t="s">
        <v>23</v>
      </c>
    </row>
    <row r="881" spans="1:23" x14ac:dyDescent="0.3">
      <c r="A881" t="s">
        <v>1885</v>
      </c>
      <c r="B881" t="s">
        <v>329</v>
      </c>
      <c r="C881" t="s">
        <v>14</v>
      </c>
      <c r="D881" t="s">
        <v>28</v>
      </c>
      <c r="E881" t="s">
        <v>5140</v>
      </c>
      <c r="F881" t="s">
        <v>5133</v>
      </c>
      <c r="G881" t="s">
        <v>41</v>
      </c>
      <c r="H881" t="s">
        <v>66</v>
      </c>
      <c r="I881" t="str">
        <f>LEFT(H881,FIND(" (",H881)-1)</f>
        <v>Senior</v>
      </c>
      <c r="J881" t="str">
        <f>MID(H881,FIND("(",H881)+1,FIND(")",H881)-FIND("(",H881)-1)</f>
        <v>5-8 yrs</v>
      </c>
      <c r="L881">
        <v>182086</v>
      </c>
      <c r="M881" t="s">
        <v>1886</v>
      </c>
      <c r="N881" t="s">
        <v>68</v>
      </c>
      <c r="O881" t="s">
        <v>22</v>
      </c>
      <c r="P881" s="1">
        <v>45726</v>
      </c>
      <c r="Q881">
        <v>1866</v>
      </c>
      <c r="R881">
        <v>2356</v>
      </c>
      <c r="S881" t="s">
        <v>23</v>
      </c>
      <c r="T881">
        <v>4</v>
      </c>
      <c r="U881" t="s">
        <v>58</v>
      </c>
      <c r="V881" t="s">
        <v>24</v>
      </c>
      <c r="W881" t="s">
        <v>23</v>
      </c>
    </row>
    <row r="882" spans="1:23" x14ac:dyDescent="0.3">
      <c r="A882" t="s">
        <v>1887</v>
      </c>
      <c r="B882" t="s">
        <v>106</v>
      </c>
      <c r="C882" t="s">
        <v>158</v>
      </c>
      <c r="D882" t="s">
        <v>75</v>
      </c>
      <c r="E882" t="s">
        <v>133</v>
      </c>
      <c r="F882" t="s">
        <v>134</v>
      </c>
      <c r="G882" t="s">
        <v>41</v>
      </c>
      <c r="H882" t="s">
        <v>19</v>
      </c>
      <c r="I882" t="str">
        <f>LEFT(H882,FIND(" (",H882)-1)</f>
        <v>Entry</v>
      </c>
      <c r="J882" t="str">
        <f>MID(H882,FIND("(",H882)+1,FIND(")",H882)-FIND("(",H882)-1)</f>
        <v>0-2 yrs</v>
      </c>
      <c r="L882">
        <v>101839</v>
      </c>
      <c r="M882" t="s">
        <v>1888</v>
      </c>
      <c r="N882" t="s">
        <v>245</v>
      </c>
      <c r="O882" t="s">
        <v>51</v>
      </c>
      <c r="P882" s="1">
        <v>45510</v>
      </c>
      <c r="Q882">
        <v>1679</v>
      </c>
      <c r="R882">
        <v>3793</v>
      </c>
      <c r="S882" t="s">
        <v>23</v>
      </c>
      <c r="T882">
        <v>0</v>
      </c>
      <c r="U882" t="s">
        <v>45</v>
      </c>
      <c r="V882" t="s">
        <v>59</v>
      </c>
      <c r="W882" t="s">
        <v>23</v>
      </c>
    </row>
    <row r="883" spans="1:23" x14ac:dyDescent="0.3">
      <c r="A883" t="s">
        <v>1889</v>
      </c>
      <c r="B883" t="s">
        <v>137</v>
      </c>
      <c r="C883" t="s">
        <v>116</v>
      </c>
      <c r="D883" t="s">
        <v>125</v>
      </c>
      <c r="E883" t="s">
        <v>29</v>
      </c>
      <c r="F883" t="s">
        <v>30</v>
      </c>
      <c r="G883" t="s">
        <v>41</v>
      </c>
      <c r="H883" t="s">
        <v>56</v>
      </c>
      <c r="I883" t="str">
        <f>LEFT(H883,FIND(" (",H883)-1)</f>
        <v>Mid</v>
      </c>
      <c r="J883" t="str">
        <f>MID(H883,FIND("(",H883)+1,FIND(")",H883)-FIND("(",H883)-1)</f>
        <v>2-5 yrs</v>
      </c>
      <c r="L883">
        <v>99488</v>
      </c>
      <c r="M883" t="s">
        <v>1890</v>
      </c>
      <c r="N883" t="s">
        <v>186</v>
      </c>
      <c r="O883" t="s">
        <v>51</v>
      </c>
      <c r="P883" s="1">
        <v>45687</v>
      </c>
      <c r="Q883">
        <v>1216</v>
      </c>
      <c r="R883">
        <v>14</v>
      </c>
      <c r="S883" t="s">
        <v>34</v>
      </c>
      <c r="T883">
        <v>2</v>
      </c>
      <c r="U883" t="s">
        <v>83</v>
      </c>
      <c r="V883" t="s">
        <v>24</v>
      </c>
      <c r="W883" t="s">
        <v>34</v>
      </c>
    </row>
    <row r="884" spans="1:23" x14ac:dyDescent="0.3">
      <c r="A884" t="s">
        <v>1891</v>
      </c>
      <c r="B884" t="s">
        <v>137</v>
      </c>
      <c r="C884" t="s">
        <v>27</v>
      </c>
      <c r="D884" t="s">
        <v>15</v>
      </c>
      <c r="E884" t="s">
        <v>5135</v>
      </c>
      <c r="F884" t="s">
        <v>5133</v>
      </c>
      <c r="G884" t="s">
        <v>18</v>
      </c>
      <c r="H884" t="s">
        <v>19</v>
      </c>
      <c r="I884" t="str">
        <f>LEFT(H884,FIND(" (",H884)-1)</f>
        <v>Entry</v>
      </c>
      <c r="J884" t="str">
        <f>MID(H884,FIND("(",H884)+1,FIND(")",H884)-FIND("(",H884)-1)</f>
        <v>0-2 yrs</v>
      </c>
      <c r="L884">
        <v>63833</v>
      </c>
      <c r="M884" t="s">
        <v>1892</v>
      </c>
      <c r="N884" t="s">
        <v>33</v>
      </c>
      <c r="O884" t="s">
        <v>22</v>
      </c>
      <c r="P884" s="1">
        <v>45682</v>
      </c>
      <c r="Q884">
        <v>571</v>
      </c>
      <c r="R884">
        <v>1546</v>
      </c>
      <c r="S884" t="s">
        <v>23</v>
      </c>
      <c r="T884">
        <v>0</v>
      </c>
      <c r="U884" t="s">
        <v>83</v>
      </c>
      <c r="V884" t="s">
        <v>24</v>
      </c>
      <c r="W884" t="s">
        <v>34</v>
      </c>
    </row>
    <row r="885" spans="1:23" x14ac:dyDescent="0.3">
      <c r="A885" t="s">
        <v>1893</v>
      </c>
      <c r="B885" t="s">
        <v>85</v>
      </c>
      <c r="C885" t="s">
        <v>146</v>
      </c>
      <c r="D885" t="s">
        <v>147</v>
      </c>
      <c r="E885" t="s">
        <v>5132</v>
      </c>
      <c r="F885" t="s">
        <v>5133</v>
      </c>
      <c r="G885" t="s">
        <v>18</v>
      </c>
      <c r="H885" t="s">
        <v>19</v>
      </c>
      <c r="I885" t="str">
        <f>LEFT(H885,FIND(" (",H885)-1)</f>
        <v>Entry</v>
      </c>
      <c r="J885" t="str">
        <f>MID(H885,FIND("(",H885)+1,FIND(")",H885)-FIND("(",H885)-1)</f>
        <v>0-2 yrs</v>
      </c>
      <c r="L885">
        <v>83156</v>
      </c>
      <c r="M885" t="s">
        <v>1894</v>
      </c>
      <c r="N885" t="s">
        <v>33</v>
      </c>
      <c r="O885" t="s">
        <v>51</v>
      </c>
      <c r="P885" s="1">
        <v>45500</v>
      </c>
      <c r="Q885">
        <v>506</v>
      </c>
      <c r="R885">
        <v>2999</v>
      </c>
      <c r="S885" t="s">
        <v>23</v>
      </c>
      <c r="T885">
        <v>0</v>
      </c>
      <c r="U885" t="s">
        <v>45</v>
      </c>
      <c r="V885" t="s">
        <v>24</v>
      </c>
      <c r="W885" t="s">
        <v>23</v>
      </c>
    </row>
    <row r="886" spans="1:23" x14ac:dyDescent="0.3">
      <c r="A886" t="s">
        <v>1895</v>
      </c>
      <c r="B886" t="s">
        <v>172</v>
      </c>
      <c r="C886" t="s">
        <v>71</v>
      </c>
      <c r="D886" t="s">
        <v>147</v>
      </c>
      <c r="E886" t="s">
        <v>216</v>
      </c>
      <c r="F886" t="s">
        <v>217</v>
      </c>
      <c r="G886" t="s">
        <v>18</v>
      </c>
      <c r="H886" t="s">
        <v>31</v>
      </c>
      <c r="I886" t="str">
        <f>LEFT(H886,FIND(" (",H886)-1)</f>
        <v>Staff/Principal</v>
      </c>
      <c r="J886" t="str">
        <f>MID(H886,FIND("(",H886)+1,FIND(")",H886)-FIND("(",H886)-1)</f>
        <v>8+ yrs</v>
      </c>
      <c r="L886">
        <v>224548</v>
      </c>
      <c r="M886" t="s">
        <v>1896</v>
      </c>
      <c r="N886" t="s">
        <v>141</v>
      </c>
      <c r="O886" t="s">
        <v>51</v>
      </c>
      <c r="P886" s="1">
        <v>45375</v>
      </c>
      <c r="Q886">
        <v>861</v>
      </c>
      <c r="R886">
        <v>1421</v>
      </c>
      <c r="S886" t="s">
        <v>34</v>
      </c>
      <c r="T886">
        <v>6</v>
      </c>
      <c r="U886" t="s">
        <v>5123</v>
      </c>
      <c r="V886" t="s">
        <v>59</v>
      </c>
      <c r="W886" t="s">
        <v>23</v>
      </c>
    </row>
    <row r="887" spans="1:23" x14ac:dyDescent="0.3">
      <c r="A887" t="s">
        <v>1897</v>
      </c>
      <c r="B887" t="s">
        <v>96</v>
      </c>
      <c r="C887" t="s">
        <v>173</v>
      </c>
      <c r="D887" t="s">
        <v>49</v>
      </c>
      <c r="E887" t="s">
        <v>5135</v>
      </c>
      <c r="F887" t="s">
        <v>5133</v>
      </c>
      <c r="G887" t="s">
        <v>55</v>
      </c>
      <c r="H887" t="s">
        <v>31</v>
      </c>
      <c r="I887" t="str">
        <f>LEFT(H887,FIND(" (",H887)-1)</f>
        <v>Staff/Principal</v>
      </c>
      <c r="J887" t="str">
        <f>MID(H887,FIND("(",H887)+1,FIND(")",H887)-FIND("(",H887)-1)</f>
        <v>8+ yrs</v>
      </c>
      <c r="L887">
        <v>266481</v>
      </c>
      <c r="M887" t="s">
        <v>1898</v>
      </c>
      <c r="N887" t="s">
        <v>33</v>
      </c>
      <c r="O887" t="s">
        <v>79</v>
      </c>
      <c r="P887" s="1">
        <v>45581</v>
      </c>
      <c r="Q887">
        <v>1112</v>
      </c>
      <c r="R887">
        <v>840</v>
      </c>
      <c r="S887" t="s">
        <v>23</v>
      </c>
      <c r="T887">
        <v>6</v>
      </c>
      <c r="U887" t="s">
        <v>5123</v>
      </c>
      <c r="V887" t="s">
        <v>46</v>
      </c>
      <c r="W887" t="s">
        <v>23</v>
      </c>
    </row>
    <row r="888" spans="1:23" x14ac:dyDescent="0.3">
      <c r="A888" t="s">
        <v>1899</v>
      </c>
      <c r="B888" t="s">
        <v>236</v>
      </c>
      <c r="C888" t="s">
        <v>128</v>
      </c>
      <c r="D888" t="s">
        <v>125</v>
      </c>
      <c r="E888" t="s">
        <v>102</v>
      </c>
      <c r="F888" t="s">
        <v>103</v>
      </c>
      <c r="G888" t="s">
        <v>18</v>
      </c>
      <c r="H888" t="s">
        <v>66</v>
      </c>
      <c r="I888" t="str">
        <f>LEFT(H888,FIND(" (",H888)-1)</f>
        <v>Senior</v>
      </c>
      <c r="J888" t="str">
        <f>MID(H888,FIND("(",H888)+1,FIND(")",H888)-FIND("(",H888)-1)</f>
        <v>5-8 yrs</v>
      </c>
      <c r="L888">
        <v>165766</v>
      </c>
      <c r="M888" t="s">
        <v>1900</v>
      </c>
      <c r="N888" t="s">
        <v>245</v>
      </c>
      <c r="O888" t="s">
        <v>51</v>
      </c>
      <c r="P888" s="1">
        <v>45497</v>
      </c>
      <c r="Q888">
        <v>621</v>
      </c>
      <c r="R888">
        <v>2479</v>
      </c>
      <c r="S888" t="s">
        <v>34</v>
      </c>
      <c r="T888">
        <v>4</v>
      </c>
      <c r="U888" t="s">
        <v>58</v>
      </c>
      <c r="V888" t="s">
        <v>24</v>
      </c>
      <c r="W888" t="s">
        <v>23</v>
      </c>
    </row>
    <row r="889" spans="1:23" x14ac:dyDescent="0.3">
      <c r="A889" t="s">
        <v>1901</v>
      </c>
      <c r="B889" t="s">
        <v>91</v>
      </c>
      <c r="C889" t="s">
        <v>74</v>
      </c>
      <c r="D889" t="s">
        <v>28</v>
      </c>
      <c r="E889" t="s">
        <v>64</v>
      </c>
      <c r="F889" t="s">
        <v>65</v>
      </c>
      <c r="G889" t="s">
        <v>41</v>
      </c>
      <c r="H889" t="s">
        <v>66</v>
      </c>
      <c r="I889" t="str">
        <f>LEFT(H889,FIND(" (",H889)-1)</f>
        <v>Senior</v>
      </c>
      <c r="J889" t="str">
        <f>MID(H889,FIND("(",H889)+1,FIND(")",H889)-FIND("(",H889)-1)</f>
        <v>5-8 yrs</v>
      </c>
      <c r="L889">
        <v>140299</v>
      </c>
      <c r="M889" t="s">
        <v>1902</v>
      </c>
      <c r="N889" t="s">
        <v>33</v>
      </c>
      <c r="O889" t="s">
        <v>51</v>
      </c>
      <c r="P889" s="1">
        <v>45571</v>
      </c>
      <c r="Q889">
        <v>501</v>
      </c>
      <c r="R889">
        <v>2983</v>
      </c>
      <c r="S889" t="s">
        <v>99</v>
      </c>
      <c r="T889">
        <v>4</v>
      </c>
      <c r="U889" t="s">
        <v>83</v>
      </c>
      <c r="V889" t="s">
        <v>24</v>
      </c>
      <c r="W889" t="s">
        <v>34</v>
      </c>
    </row>
    <row r="890" spans="1:23" x14ac:dyDescent="0.3">
      <c r="A890" t="s">
        <v>1903</v>
      </c>
      <c r="B890" t="s">
        <v>137</v>
      </c>
      <c r="C890" t="s">
        <v>92</v>
      </c>
      <c r="D890" t="s">
        <v>63</v>
      </c>
      <c r="E890" t="s">
        <v>76</v>
      </c>
      <c r="F890" t="s">
        <v>77</v>
      </c>
      <c r="G890" t="s">
        <v>18</v>
      </c>
      <c r="H890" t="s">
        <v>66</v>
      </c>
      <c r="I890" t="str">
        <f>LEFT(H890,FIND(" (",H890)-1)</f>
        <v>Senior</v>
      </c>
      <c r="J890" t="str">
        <f>MID(H890,FIND("(",H890)+1,FIND(")",H890)-FIND("(",H890)-1)</f>
        <v>5-8 yrs</v>
      </c>
      <c r="L890">
        <v>165947</v>
      </c>
      <c r="M890" t="s">
        <v>1904</v>
      </c>
      <c r="N890" t="s">
        <v>33</v>
      </c>
      <c r="O890" t="s">
        <v>22</v>
      </c>
      <c r="P890" s="1">
        <v>45710</v>
      </c>
      <c r="Q890">
        <v>1324</v>
      </c>
      <c r="R890">
        <v>3417</v>
      </c>
      <c r="S890" t="s">
        <v>34</v>
      </c>
      <c r="T890">
        <v>4</v>
      </c>
      <c r="U890" t="s">
        <v>58</v>
      </c>
      <c r="V890" t="s">
        <v>24</v>
      </c>
      <c r="W890" t="s">
        <v>23</v>
      </c>
    </row>
    <row r="891" spans="1:23" x14ac:dyDescent="0.3">
      <c r="A891" t="s">
        <v>1905</v>
      </c>
      <c r="B891" t="s">
        <v>172</v>
      </c>
      <c r="C891" t="s">
        <v>86</v>
      </c>
      <c r="D891" t="s">
        <v>111</v>
      </c>
      <c r="E891" t="s">
        <v>76</v>
      </c>
      <c r="F891" t="s">
        <v>77</v>
      </c>
      <c r="G891" t="s">
        <v>18</v>
      </c>
      <c r="H891" t="s">
        <v>31</v>
      </c>
      <c r="I891" t="str">
        <f>LEFT(H891,FIND(" (",H891)-1)</f>
        <v>Staff/Principal</v>
      </c>
      <c r="J891" t="str">
        <f>MID(H891,FIND("(",H891)+1,FIND(")",H891)-FIND("(",H891)-1)</f>
        <v>8+ yrs</v>
      </c>
      <c r="L891">
        <v>239913</v>
      </c>
      <c r="M891" t="s">
        <v>1906</v>
      </c>
      <c r="N891" t="s">
        <v>89</v>
      </c>
      <c r="O891" t="s">
        <v>51</v>
      </c>
      <c r="P891" s="1">
        <v>45387</v>
      </c>
      <c r="Q891">
        <v>1047</v>
      </c>
      <c r="R891">
        <v>429</v>
      </c>
      <c r="S891" t="s">
        <v>23</v>
      </c>
      <c r="T891">
        <v>6</v>
      </c>
      <c r="U891" t="s">
        <v>45</v>
      </c>
      <c r="V891" t="s">
        <v>24</v>
      </c>
      <c r="W891" t="s">
        <v>23</v>
      </c>
    </row>
    <row r="892" spans="1:23" x14ac:dyDescent="0.3">
      <c r="A892" t="s">
        <v>1907</v>
      </c>
      <c r="B892" t="s">
        <v>222</v>
      </c>
      <c r="C892" t="s">
        <v>128</v>
      </c>
      <c r="D892" t="s">
        <v>75</v>
      </c>
      <c r="E892" t="s">
        <v>159</v>
      </c>
      <c r="F892" t="s">
        <v>160</v>
      </c>
      <c r="G892" t="s">
        <v>41</v>
      </c>
      <c r="H892" t="s">
        <v>66</v>
      </c>
      <c r="I892" t="str">
        <f>LEFT(H892,FIND(" (",H892)-1)</f>
        <v>Senior</v>
      </c>
      <c r="J892" t="str">
        <f>MID(H892,FIND("(",H892)+1,FIND(")",H892)-FIND("(",H892)-1)</f>
        <v>5-8 yrs</v>
      </c>
      <c r="L892">
        <v>172153</v>
      </c>
      <c r="M892" t="s">
        <v>1908</v>
      </c>
      <c r="N892" t="s">
        <v>33</v>
      </c>
      <c r="O892" t="s">
        <v>22</v>
      </c>
      <c r="P892" s="1">
        <v>45643</v>
      </c>
      <c r="Q892">
        <v>1604</v>
      </c>
      <c r="R892">
        <v>1682</v>
      </c>
      <c r="S892" t="s">
        <v>34</v>
      </c>
      <c r="T892">
        <v>4</v>
      </c>
      <c r="U892" t="s">
        <v>52</v>
      </c>
      <c r="V892" t="s">
        <v>24</v>
      </c>
      <c r="W892" t="s">
        <v>34</v>
      </c>
    </row>
    <row r="893" spans="1:23" x14ac:dyDescent="0.3">
      <c r="A893" t="s">
        <v>1909</v>
      </c>
      <c r="B893" t="s">
        <v>151</v>
      </c>
      <c r="C893" t="s">
        <v>92</v>
      </c>
      <c r="D893" t="s">
        <v>147</v>
      </c>
      <c r="E893" t="s">
        <v>200</v>
      </c>
      <c r="F893" t="s">
        <v>201</v>
      </c>
      <c r="G893" t="s">
        <v>41</v>
      </c>
      <c r="H893" t="s">
        <v>31</v>
      </c>
      <c r="I893" t="str">
        <f>LEFT(H893,FIND(" (",H893)-1)</f>
        <v>Staff/Principal</v>
      </c>
      <c r="J893" t="str">
        <f>MID(H893,FIND("(",H893)+1,FIND(")",H893)-FIND("(",H893)-1)</f>
        <v>8+ yrs</v>
      </c>
      <c r="L893">
        <v>218261</v>
      </c>
      <c r="M893" t="s">
        <v>1910</v>
      </c>
      <c r="N893" t="s">
        <v>89</v>
      </c>
      <c r="O893" t="s">
        <v>51</v>
      </c>
      <c r="P893" s="1">
        <v>45617</v>
      </c>
      <c r="Q893">
        <v>900</v>
      </c>
      <c r="R893">
        <v>3532</v>
      </c>
      <c r="S893" t="s">
        <v>23</v>
      </c>
      <c r="T893">
        <v>6</v>
      </c>
      <c r="U893" t="s">
        <v>45</v>
      </c>
      <c r="V893" t="s">
        <v>59</v>
      </c>
      <c r="W893" t="s">
        <v>34</v>
      </c>
    </row>
    <row r="894" spans="1:23" x14ac:dyDescent="0.3">
      <c r="A894" t="s">
        <v>1911</v>
      </c>
      <c r="B894" t="s">
        <v>61</v>
      </c>
      <c r="C894" t="s">
        <v>48</v>
      </c>
      <c r="D894" t="s">
        <v>174</v>
      </c>
      <c r="E894" t="s">
        <v>102</v>
      </c>
      <c r="F894" t="s">
        <v>103</v>
      </c>
      <c r="G894" t="s">
        <v>18</v>
      </c>
      <c r="H894" t="s">
        <v>19</v>
      </c>
      <c r="I894" t="str">
        <f>LEFT(H894,FIND(" (",H894)-1)</f>
        <v>Entry</v>
      </c>
      <c r="J894" t="str">
        <f>MID(H894,FIND("(",H894)+1,FIND(")",H894)-FIND("(",H894)-1)</f>
        <v>0-2 yrs</v>
      </c>
      <c r="L894">
        <v>83440</v>
      </c>
      <c r="M894" t="s">
        <v>1912</v>
      </c>
      <c r="N894" t="s">
        <v>33</v>
      </c>
      <c r="O894" t="s">
        <v>22</v>
      </c>
      <c r="P894" s="1">
        <v>45614</v>
      </c>
      <c r="Q894">
        <v>1672</v>
      </c>
      <c r="R894">
        <v>2218</v>
      </c>
      <c r="S894" t="s">
        <v>99</v>
      </c>
      <c r="T894">
        <v>0</v>
      </c>
      <c r="U894" t="s">
        <v>5123</v>
      </c>
      <c r="V894" t="s">
        <v>24</v>
      </c>
      <c r="W894" t="s">
        <v>34</v>
      </c>
    </row>
    <row r="895" spans="1:23" x14ac:dyDescent="0.3">
      <c r="A895" t="s">
        <v>1913</v>
      </c>
      <c r="B895" t="s">
        <v>61</v>
      </c>
      <c r="C895" t="s">
        <v>71</v>
      </c>
      <c r="D895" t="s">
        <v>111</v>
      </c>
      <c r="E895" t="s">
        <v>76</v>
      </c>
      <c r="F895" t="s">
        <v>77</v>
      </c>
      <c r="G895" t="s">
        <v>41</v>
      </c>
      <c r="H895" t="s">
        <v>19</v>
      </c>
      <c r="I895" t="str">
        <f>LEFT(H895,FIND(" (",H895)-1)</f>
        <v>Entry</v>
      </c>
      <c r="J895" t="str">
        <f>MID(H895,FIND("(",H895)+1,FIND(")",H895)-FIND("(",H895)-1)</f>
        <v>0-2 yrs</v>
      </c>
      <c r="L895">
        <v>84733</v>
      </c>
      <c r="M895" t="s">
        <v>1914</v>
      </c>
      <c r="N895" t="s">
        <v>89</v>
      </c>
      <c r="O895" t="s">
        <v>79</v>
      </c>
      <c r="P895" s="1">
        <v>45381</v>
      </c>
      <c r="Q895">
        <v>2488</v>
      </c>
      <c r="R895">
        <v>3174</v>
      </c>
      <c r="S895" t="s">
        <v>23</v>
      </c>
      <c r="T895">
        <v>0</v>
      </c>
      <c r="U895" t="s">
        <v>52</v>
      </c>
      <c r="V895" t="s">
        <v>24</v>
      </c>
      <c r="W895" t="s">
        <v>23</v>
      </c>
    </row>
    <row r="896" spans="1:23" x14ac:dyDescent="0.3">
      <c r="A896" t="s">
        <v>1915</v>
      </c>
      <c r="B896" t="s">
        <v>81</v>
      </c>
      <c r="C896" t="s">
        <v>14</v>
      </c>
      <c r="D896" t="s">
        <v>111</v>
      </c>
      <c r="E896" t="s">
        <v>102</v>
      </c>
      <c r="F896" t="s">
        <v>103</v>
      </c>
      <c r="G896" t="s">
        <v>18</v>
      </c>
      <c r="H896" t="s">
        <v>19</v>
      </c>
      <c r="I896" t="str">
        <f>LEFT(H896,FIND(" (",H896)-1)</f>
        <v>Entry</v>
      </c>
      <c r="J896" t="str">
        <f>MID(H896,FIND("(",H896)+1,FIND(")",H896)-FIND("(",H896)-1)</f>
        <v>0-2 yrs</v>
      </c>
      <c r="L896">
        <v>87415</v>
      </c>
      <c r="M896" t="s">
        <v>1916</v>
      </c>
      <c r="N896" t="s">
        <v>94</v>
      </c>
      <c r="O896" t="s">
        <v>44</v>
      </c>
      <c r="P896" s="1">
        <v>45311</v>
      </c>
      <c r="Q896">
        <v>1327</v>
      </c>
      <c r="R896">
        <v>2088</v>
      </c>
      <c r="S896" t="s">
        <v>99</v>
      </c>
      <c r="T896">
        <v>0</v>
      </c>
      <c r="U896" t="s">
        <v>52</v>
      </c>
      <c r="V896" t="s">
        <v>24</v>
      </c>
      <c r="W896" t="s">
        <v>23</v>
      </c>
    </row>
    <row r="897" spans="1:23" x14ac:dyDescent="0.3">
      <c r="A897" t="s">
        <v>1917</v>
      </c>
      <c r="B897" t="s">
        <v>85</v>
      </c>
      <c r="C897" t="s">
        <v>239</v>
      </c>
      <c r="D897" t="s">
        <v>125</v>
      </c>
      <c r="E897" t="s">
        <v>5136</v>
      </c>
      <c r="F897" t="s">
        <v>5133</v>
      </c>
      <c r="G897" t="s">
        <v>18</v>
      </c>
      <c r="H897" t="s">
        <v>19</v>
      </c>
      <c r="I897" t="str">
        <f>LEFT(H897,FIND(" (",H897)-1)</f>
        <v>Entry</v>
      </c>
      <c r="J897" t="str">
        <f>MID(H897,FIND("(",H897)+1,FIND(")",H897)-FIND("(",H897)-1)</f>
        <v>0-2 yrs</v>
      </c>
      <c r="L897">
        <v>78173</v>
      </c>
      <c r="M897" t="s">
        <v>1918</v>
      </c>
      <c r="N897" t="s">
        <v>43</v>
      </c>
      <c r="O897" t="s">
        <v>22</v>
      </c>
      <c r="P897" s="1">
        <v>45523</v>
      </c>
      <c r="Q897">
        <v>1945</v>
      </c>
      <c r="R897">
        <v>1843</v>
      </c>
      <c r="S897" t="s">
        <v>23</v>
      </c>
      <c r="T897">
        <v>0</v>
      </c>
      <c r="U897" t="s">
        <v>52</v>
      </c>
      <c r="V897" t="s">
        <v>24</v>
      </c>
      <c r="W897" t="s">
        <v>23</v>
      </c>
    </row>
    <row r="898" spans="1:23" x14ac:dyDescent="0.3">
      <c r="A898" t="s">
        <v>1919</v>
      </c>
      <c r="B898" t="s">
        <v>222</v>
      </c>
      <c r="C898" t="s">
        <v>192</v>
      </c>
      <c r="D898" t="s">
        <v>111</v>
      </c>
      <c r="E898" t="s">
        <v>216</v>
      </c>
      <c r="F898" t="s">
        <v>217</v>
      </c>
      <c r="G898" t="s">
        <v>41</v>
      </c>
      <c r="H898" t="s">
        <v>19</v>
      </c>
      <c r="I898" t="str">
        <f>LEFT(H898,FIND(" (",H898)-1)</f>
        <v>Entry</v>
      </c>
      <c r="J898" t="str">
        <f>MID(H898,FIND("(",H898)+1,FIND(")",H898)-FIND("(",H898)-1)</f>
        <v>0-2 yrs</v>
      </c>
      <c r="L898">
        <v>67894</v>
      </c>
      <c r="M898" t="s">
        <v>1920</v>
      </c>
      <c r="N898" t="s">
        <v>89</v>
      </c>
      <c r="O898" t="s">
        <v>51</v>
      </c>
      <c r="P898" s="1">
        <v>45486</v>
      </c>
      <c r="Q898">
        <v>1874</v>
      </c>
      <c r="R898">
        <v>2229</v>
      </c>
      <c r="S898" t="s">
        <v>34</v>
      </c>
      <c r="T898">
        <v>0</v>
      </c>
      <c r="U898" t="s">
        <v>83</v>
      </c>
      <c r="V898" t="s">
        <v>24</v>
      </c>
      <c r="W898" t="s">
        <v>34</v>
      </c>
    </row>
    <row r="899" spans="1:23" x14ac:dyDescent="0.3">
      <c r="A899" t="s">
        <v>1921</v>
      </c>
      <c r="B899" t="s">
        <v>96</v>
      </c>
      <c r="C899" t="s">
        <v>48</v>
      </c>
      <c r="D899" t="s">
        <v>75</v>
      </c>
      <c r="E899" t="s">
        <v>64</v>
      </c>
      <c r="F899" t="s">
        <v>65</v>
      </c>
      <c r="G899" t="s">
        <v>18</v>
      </c>
      <c r="H899" t="s">
        <v>56</v>
      </c>
      <c r="I899" t="str">
        <f>LEFT(H899,FIND(" (",H899)-1)</f>
        <v>Mid</v>
      </c>
      <c r="J899" t="str">
        <f>MID(H899,FIND("(",H899)+1,FIND(")",H899)-FIND("(",H899)-1)</f>
        <v>2-5 yrs</v>
      </c>
      <c r="L899">
        <v>112904</v>
      </c>
      <c r="M899" t="s">
        <v>1922</v>
      </c>
      <c r="N899" t="s">
        <v>43</v>
      </c>
      <c r="O899" t="s">
        <v>22</v>
      </c>
      <c r="P899" s="1">
        <v>45587</v>
      </c>
      <c r="Q899">
        <v>1062</v>
      </c>
      <c r="R899">
        <v>2804</v>
      </c>
      <c r="S899" t="s">
        <v>23</v>
      </c>
      <c r="T899">
        <v>2</v>
      </c>
      <c r="U899" t="s">
        <v>52</v>
      </c>
      <c r="V899" t="s">
        <v>24</v>
      </c>
      <c r="W899" t="s">
        <v>23</v>
      </c>
    </row>
    <row r="900" spans="1:23" x14ac:dyDescent="0.3">
      <c r="A900" t="s">
        <v>1923</v>
      </c>
      <c r="B900" t="s">
        <v>151</v>
      </c>
      <c r="C900" t="s">
        <v>167</v>
      </c>
      <c r="D900" t="s">
        <v>28</v>
      </c>
      <c r="E900" t="s">
        <v>5134</v>
      </c>
      <c r="F900" t="s">
        <v>5133</v>
      </c>
      <c r="G900" t="s">
        <v>18</v>
      </c>
      <c r="H900" t="s">
        <v>66</v>
      </c>
      <c r="I900" t="str">
        <f>LEFT(H900,FIND(" (",H900)-1)</f>
        <v>Senior</v>
      </c>
      <c r="J900" t="str">
        <f>MID(H900,FIND("(",H900)+1,FIND(")",H900)-FIND("(",H900)-1)</f>
        <v>5-8 yrs</v>
      </c>
      <c r="L900">
        <v>182575</v>
      </c>
      <c r="M900" t="s">
        <v>1924</v>
      </c>
      <c r="N900" t="s">
        <v>33</v>
      </c>
      <c r="O900" t="s">
        <v>44</v>
      </c>
      <c r="P900" s="1">
        <v>45609</v>
      </c>
      <c r="Q900">
        <v>1020</v>
      </c>
      <c r="R900">
        <v>3198</v>
      </c>
      <c r="S900" t="s">
        <v>23</v>
      </c>
      <c r="T900">
        <v>4</v>
      </c>
      <c r="U900" t="s">
        <v>45</v>
      </c>
      <c r="V900" t="s">
        <v>24</v>
      </c>
      <c r="W900" t="s">
        <v>34</v>
      </c>
    </row>
    <row r="901" spans="1:23" x14ac:dyDescent="0.3">
      <c r="A901" t="s">
        <v>1925</v>
      </c>
      <c r="B901" t="s">
        <v>131</v>
      </c>
      <c r="C901" t="s">
        <v>97</v>
      </c>
      <c r="D901" t="s">
        <v>125</v>
      </c>
      <c r="E901" t="s">
        <v>39</v>
      </c>
      <c r="F901" t="s">
        <v>40</v>
      </c>
      <c r="G901" t="s">
        <v>41</v>
      </c>
      <c r="H901" t="s">
        <v>31</v>
      </c>
      <c r="I901" t="str">
        <f>LEFT(H901,FIND(" (",H901)-1)</f>
        <v>Staff/Principal</v>
      </c>
      <c r="J901" t="str">
        <f>MID(H901,FIND("(",H901)+1,FIND(")",H901)-FIND("(",H901)-1)</f>
        <v>8+ yrs</v>
      </c>
      <c r="L901">
        <v>170590</v>
      </c>
      <c r="M901" t="s">
        <v>1926</v>
      </c>
      <c r="N901" t="s">
        <v>245</v>
      </c>
      <c r="O901" t="s">
        <v>51</v>
      </c>
      <c r="P901" s="1">
        <v>45392</v>
      </c>
      <c r="Q901">
        <v>1402</v>
      </c>
      <c r="R901">
        <v>3243</v>
      </c>
      <c r="S901" t="s">
        <v>23</v>
      </c>
      <c r="T901">
        <v>6</v>
      </c>
      <c r="U901" t="s">
        <v>52</v>
      </c>
      <c r="V901" t="s">
        <v>59</v>
      </c>
      <c r="W901" t="s">
        <v>34</v>
      </c>
    </row>
    <row r="902" spans="1:23" x14ac:dyDescent="0.3">
      <c r="A902" t="s">
        <v>1927</v>
      </c>
      <c r="B902" t="s">
        <v>143</v>
      </c>
      <c r="C902" t="s">
        <v>107</v>
      </c>
      <c r="D902" t="s">
        <v>63</v>
      </c>
      <c r="E902" t="s">
        <v>5132</v>
      </c>
      <c r="F902" t="s">
        <v>5133</v>
      </c>
      <c r="G902" t="s">
        <v>18</v>
      </c>
      <c r="H902" t="s">
        <v>19</v>
      </c>
      <c r="I902" t="str">
        <f>LEFT(H902,FIND(" (",H902)-1)</f>
        <v>Entry</v>
      </c>
      <c r="J902" t="str">
        <f>MID(H902,FIND("(",H902)+1,FIND(")",H902)-FIND("(",H902)-1)</f>
        <v>0-2 yrs</v>
      </c>
      <c r="L902">
        <v>74645</v>
      </c>
      <c r="M902" t="s">
        <v>1928</v>
      </c>
      <c r="N902" t="s">
        <v>43</v>
      </c>
      <c r="O902" t="s">
        <v>22</v>
      </c>
      <c r="P902" s="1">
        <v>45425</v>
      </c>
      <c r="Q902">
        <v>1706</v>
      </c>
      <c r="R902">
        <v>1603</v>
      </c>
      <c r="S902" t="s">
        <v>34</v>
      </c>
      <c r="T902">
        <v>0</v>
      </c>
      <c r="U902" t="s">
        <v>83</v>
      </c>
      <c r="V902" t="s">
        <v>24</v>
      </c>
      <c r="W902" t="s">
        <v>23</v>
      </c>
    </row>
    <row r="903" spans="1:23" x14ac:dyDescent="0.3">
      <c r="A903" t="s">
        <v>1929</v>
      </c>
      <c r="B903" t="s">
        <v>91</v>
      </c>
      <c r="C903" t="s">
        <v>226</v>
      </c>
      <c r="D903" t="s">
        <v>174</v>
      </c>
      <c r="E903" t="s">
        <v>5132</v>
      </c>
      <c r="F903" t="s">
        <v>5133</v>
      </c>
      <c r="G903" t="s">
        <v>41</v>
      </c>
      <c r="H903" t="s">
        <v>56</v>
      </c>
      <c r="I903" t="str">
        <f>LEFT(H903,FIND(" (",H903)-1)</f>
        <v>Mid</v>
      </c>
      <c r="J903" t="str">
        <f>MID(H903,FIND("(",H903)+1,FIND(")",H903)-FIND("(",H903)-1)</f>
        <v>2-5 yrs</v>
      </c>
      <c r="L903">
        <v>102211</v>
      </c>
      <c r="M903" t="s">
        <v>1930</v>
      </c>
      <c r="N903" t="s">
        <v>33</v>
      </c>
      <c r="O903" t="s">
        <v>22</v>
      </c>
      <c r="P903" s="1">
        <v>45692</v>
      </c>
      <c r="Q903">
        <v>2305</v>
      </c>
      <c r="R903">
        <v>2135</v>
      </c>
      <c r="S903" t="s">
        <v>23</v>
      </c>
      <c r="T903">
        <v>2</v>
      </c>
      <c r="U903" t="s">
        <v>58</v>
      </c>
      <c r="V903" t="s">
        <v>46</v>
      </c>
      <c r="W903" t="s">
        <v>23</v>
      </c>
    </row>
    <row r="904" spans="1:23" x14ac:dyDescent="0.3">
      <c r="A904" t="s">
        <v>1931</v>
      </c>
      <c r="B904" t="s">
        <v>151</v>
      </c>
      <c r="C904" t="s">
        <v>116</v>
      </c>
      <c r="D904" t="s">
        <v>111</v>
      </c>
      <c r="E904" t="s">
        <v>159</v>
      </c>
      <c r="F904" t="s">
        <v>160</v>
      </c>
      <c r="G904" t="s">
        <v>41</v>
      </c>
      <c r="H904" t="s">
        <v>66</v>
      </c>
      <c r="I904" t="str">
        <f>LEFT(H904,FIND(" (",H904)-1)</f>
        <v>Senior</v>
      </c>
      <c r="J904" t="str">
        <f>MID(H904,FIND("(",H904)+1,FIND(")",H904)-FIND("(",H904)-1)</f>
        <v>5-8 yrs</v>
      </c>
      <c r="L904">
        <v>150776</v>
      </c>
      <c r="M904" t="s">
        <v>1932</v>
      </c>
      <c r="N904" t="s">
        <v>94</v>
      </c>
      <c r="O904" t="s">
        <v>22</v>
      </c>
      <c r="P904" s="1">
        <v>45439</v>
      </c>
      <c r="Q904">
        <v>763</v>
      </c>
      <c r="R904">
        <v>3753</v>
      </c>
      <c r="S904" t="s">
        <v>23</v>
      </c>
      <c r="T904">
        <v>4</v>
      </c>
      <c r="U904" t="s">
        <v>58</v>
      </c>
      <c r="V904" t="s">
        <v>24</v>
      </c>
      <c r="W904" t="s">
        <v>34</v>
      </c>
    </row>
    <row r="905" spans="1:23" x14ac:dyDescent="0.3">
      <c r="A905" t="s">
        <v>1933</v>
      </c>
      <c r="B905" t="s">
        <v>236</v>
      </c>
      <c r="C905" t="s">
        <v>27</v>
      </c>
      <c r="D905" t="s">
        <v>174</v>
      </c>
      <c r="E905" t="s">
        <v>16</v>
      </c>
      <c r="F905" t="s">
        <v>17</v>
      </c>
      <c r="G905" t="s">
        <v>41</v>
      </c>
      <c r="H905" t="s">
        <v>56</v>
      </c>
      <c r="I905" t="str">
        <f>LEFT(H905,FIND(" (",H905)-1)</f>
        <v>Mid</v>
      </c>
      <c r="J905" t="str">
        <f>MID(H905,FIND("(",H905)+1,FIND(")",H905)-FIND("(",H905)-1)</f>
        <v>2-5 yrs</v>
      </c>
      <c r="L905">
        <v>135313</v>
      </c>
      <c r="M905" t="s">
        <v>1934</v>
      </c>
      <c r="N905" t="s">
        <v>149</v>
      </c>
      <c r="O905" t="s">
        <v>22</v>
      </c>
      <c r="P905" s="1">
        <v>45336</v>
      </c>
      <c r="Q905">
        <v>1187</v>
      </c>
      <c r="R905">
        <v>2995</v>
      </c>
      <c r="S905" t="s">
        <v>34</v>
      </c>
      <c r="T905">
        <v>2</v>
      </c>
      <c r="U905" t="s">
        <v>83</v>
      </c>
      <c r="V905" t="s">
        <v>59</v>
      </c>
      <c r="W905" t="s">
        <v>23</v>
      </c>
    </row>
    <row r="906" spans="1:23" x14ac:dyDescent="0.3">
      <c r="A906" t="s">
        <v>1935</v>
      </c>
      <c r="B906" t="s">
        <v>96</v>
      </c>
      <c r="C906" t="s">
        <v>179</v>
      </c>
      <c r="D906" t="s">
        <v>49</v>
      </c>
      <c r="E906" t="s">
        <v>29</v>
      </c>
      <c r="F906" t="s">
        <v>30</v>
      </c>
      <c r="G906" t="s">
        <v>41</v>
      </c>
      <c r="H906" t="s">
        <v>19</v>
      </c>
      <c r="I906" t="str">
        <f>LEFT(H906,FIND(" (",H906)-1)</f>
        <v>Entry</v>
      </c>
      <c r="J906" t="str">
        <f>MID(H906,FIND("(",H906)+1,FIND(")",H906)-FIND("(",H906)-1)</f>
        <v>0-2 yrs</v>
      </c>
      <c r="L906">
        <v>72407</v>
      </c>
      <c r="M906" t="s">
        <v>1936</v>
      </c>
      <c r="N906" t="s">
        <v>149</v>
      </c>
      <c r="O906" t="s">
        <v>22</v>
      </c>
      <c r="P906" s="1">
        <v>45521</v>
      </c>
      <c r="Q906">
        <v>1749</v>
      </c>
      <c r="R906">
        <v>736</v>
      </c>
      <c r="S906" t="s">
        <v>23</v>
      </c>
      <c r="T906">
        <v>0</v>
      </c>
      <c r="U906" t="s">
        <v>83</v>
      </c>
      <c r="V906" t="s">
        <v>24</v>
      </c>
      <c r="W906" t="s">
        <v>23</v>
      </c>
    </row>
    <row r="907" spans="1:23" x14ac:dyDescent="0.3">
      <c r="A907" t="s">
        <v>1937</v>
      </c>
      <c r="B907" t="s">
        <v>143</v>
      </c>
      <c r="C907" t="s">
        <v>128</v>
      </c>
      <c r="D907" t="s">
        <v>75</v>
      </c>
      <c r="E907" t="s">
        <v>133</v>
      </c>
      <c r="F907" t="s">
        <v>134</v>
      </c>
      <c r="G907" t="s">
        <v>18</v>
      </c>
      <c r="H907" t="s">
        <v>31</v>
      </c>
      <c r="I907" t="str">
        <f>LEFT(H907,FIND(" (",H907)-1)</f>
        <v>Staff/Principal</v>
      </c>
      <c r="J907" t="str">
        <f>MID(H907,FIND("(",H907)+1,FIND(")",H907)-FIND("(",H907)-1)</f>
        <v>8+ yrs</v>
      </c>
      <c r="L907">
        <v>201671</v>
      </c>
      <c r="M907" t="s">
        <v>1938</v>
      </c>
      <c r="N907" t="s">
        <v>245</v>
      </c>
      <c r="O907" t="s">
        <v>51</v>
      </c>
      <c r="P907" s="1">
        <v>45667</v>
      </c>
      <c r="Q907">
        <v>1726</v>
      </c>
      <c r="R907">
        <v>1657</v>
      </c>
      <c r="S907" t="s">
        <v>34</v>
      </c>
      <c r="T907">
        <v>6</v>
      </c>
      <c r="U907" t="s">
        <v>52</v>
      </c>
      <c r="V907" t="s">
        <v>46</v>
      </c>
      <c r="W907" t="s">
        <v>23</v>
      </c>
    </row>
    <row r="908" spans="1:23" x14ac:dyDescent="0.3">
      <c r="A908" t="s">
        <v>1939</v>
      </c>
      <c r="B908" t="s">
        <v>329</v>
      </c>
      <c r="C908" t="s">
        <v>209</v>
      </c>
      <c r="D908" t="s">
        <v>63</v>
      </c>
      <c r="E908" t="s">
        <v>5135</v>
      </c>
      <c r="F908" t="s">
        <v>5133</v>
      </c>
      <c r="G908" t="s">
        <v>55</v>
      </c>
      <c r="H908" t="s">
        <v>31</v>
      </c>
      <c r="I908" t="str">
        <f>LEFT(H908,FIND(" (",H908)-1)</f>
        <v>Staff/Principal</v>
      </c>
      <c r="J908" t="str">
        <f>MID(H908,FIND("(",H908)+1,FIND(")",H908)-FIND("(",H908)-1)</f>
        <v>8+ yrs</v>
      </c>
      <c r="L908">
        <v>151045</v>
      </c>
      <c r="M908" t="s">
        <v>1940</v>
      </c>
      <c r="N908" t="s">
        <v>68</v>
      </c>
      <c r="O908" t="s">
        <v>44</v>
      </c>
      <c r="P908" s="1">
        <v>45734</v>
      </c>
      <c r="Q908">
        <v>2389</v>
      </c>
      <c r="R908">
        <v>1391</v>
      </c>
      <c r="S908" t="s">
        <v>99</v>
      </c>
      <c r="T908">
        <v>6</v>
      </c>
      <c r="U908" t="s">
        <v>45</v>
      </c>
      <c r="V908" t="s">
        <v>24</v>
      </c>
      <c r="W908" t="s">
        <v>34</v>
      </c>
    </row>
    <row r="909" spans="1:23" x14ac:dyDescent="0.3">
      <c r="A909" t="s">
        <v>1941</v>
      </c>
      <c r="B909" t="s">
        <v>143</v>
      </c>
      <c r="C909" t="s">
        <v>158</v>
      </c>
      <c r="D909" t="s">
        <v>147</v>
      </c>
      <c r="E909" t="s">
        <v>5141</v>
      </c>
      <c r="F909" t="s">
        <v>5133</v>
      </c>
      <c r="G909" t="s">
        <v>41</v>
      </c>
      <c r="H909" t="s">
        <v>31</v>
      </c>
      <c r="I909" t="str">
        <f>LEFT(H909,FIND(" (",H909)-1)</f>
        <v>Staff/Principal</v>
      </c>
      <c r="J909" t="str">
        <f>MID(H909,FIND("(",H909)+1,FIND(")",H909)-FIND("(",H909)-1)</f>
        <v>8+ yrs</v>
      </c>
      <c r="L909">
        <v>226865</v>
      </c>
      <c r="M909" t="s">
        <v>1942</v>
      </c>
      <c r="N909" t="s">
        <v>33</v>
      </c>
      <c r="O909" t="s">
        <v>79</v>
      </c>
      <c r="P909" s="1">
        <v>45454</v>
      </c>
      <c r="Q909">
        <v>404</v>
      </c>
      <c r="R909">
        <v>567</v>
      </c>
      <c r="S909" t="s">
        <v>99</v>
      </c>
      <c r="T909">
        <v>6</v>
      </c>
      <c r="U909" t="s">
        <v>5123</v>
      </c>
      <c r="V909" t="s">
        <v>59</v>
      </c>
      <c r="W909" t="s">
        <v>34</v>
      </c>
    </row>
    <row r="910" spans="1:23" x14ac:dyDescent="0.3">
      <c r="A910" t="s">
        <v>1943</v>
      </c>
      <c r="B910" t="s">
        <v>81</v>
      </c>
      <c r="C910" t="s">
        <v>86</v>
      </c>
      <c r="D910" t="s">
        <v>49</v>
      </c>
      <c r="E910" t="s">
        <v>29</v>
      </c>
      <c r="F910" t="s">
        <v>30</v>
      </c>
      <c r="G910" t="s">
        <v>41</v>
      </c>
      <c r="H910" t="s">
        <v>66</v>
      </c>
      <c r="I910" t="str">
        <f>LEFT(H910,FIND(" (",H910)-1)</f>
        <v>Senior</v>
      </c>
      <c r="J910" t="str">
        <f>MID(H910,FIND("(",H910)+1,FIND(")",H910)-FIND("(",H910)-1)</f>
        <v>5-8 yrs</v>
      </c>
      <c r="L910">
        <v>167428</v>
      </c>
      <c r="M910" t="s">
        <v>1944</v>
      </c>
      <c r="N910" t="s">
        <v>33</v>
      </c>
      <c r="O910" t="s">
        <v>44</v>
      </c>
      <c r="P910" s="1">
        <v>45741</v>
      </c>
      <c r="Q910">
        <v>1599</v>
      </c>
      <c r="R910">
        <v>293</v>
      </c>
      <c r="S910" t="s">
        <v>34</v>
      </c>
      <c r="T910">
        <v>4</v>
      </c>
      <c r="U910" t="s">
        <v>45</v>
      </c>
      <c r="V910" t="s">
        <v>24</v>
      </c>
      <c r="W910" t="s">
        <v>34</v>
      </c>
    </row>
    <row r="911" spans="1:23" x14ac:dyDescent="0.3">
      <c r="A911" t="s">
        <v>1945</v>
      </c>
      <c r="B911" t="s">
        <v>106</v>
      </c>
      <c r="C911" t="s">
        <v>54</v>
      </c>
      <c r="D911" t="s">
        <v>111</v>
      </c>
      <c r="E911" t="s">
        <v>133</v>
      </c>
      <c r="F911" t="s">
        <v>134</v>
      </c>
      <c r="G911" t="s">
        <v>41</v>
      </c>
      <c r="H911" t="s">
        <v>31</v>
      </c>
      <c r="I911" t="str">
        <f>LEFT(H911,FIND(" (",H911)-1)</f>
        <v>Staff/Principal</v>
      </c>
      <c r="J911" t="str">
        <f>MID(H911,FIND("(",H911)+1,FIND(")",H911)-FIND("(",H911)-1)</f>
        <v>8+ yrs</v>
      </c>
      <c r="L911">
        <v>277877</v>
      </c>
      <c r="M911" t="s">
        <v>1946</v>
      </c>
      <c r="N911" t="s">
        <v>141</v>
      </c>
      <c r="O911" t="s">
        <v>51</v>
      </c>
      <c r="P911" s="1">
        <v>45641</v>
      </c>
      <c r="Q911">
        <v>2309</v>
      </c>
      <c r="R911">
        <v>600</v>
      </c>
      <c r="S911" t="s">
        <v>23</v>
      </c>
      <c r="T911">
        <v>6</v>
      </c>
      <c r="U911" t="s">
        <v>52</v>
      </c>
      <c r="V911" t="s">
        <v>24</v>
      </c>
      <c r="W911" t="s">
        <v>23</v>
      </c>
    </row>
    <row r="912" spans="1:23" x14ac:dyDescent="0.3">
      <c r="A912" t="s">
        <v>1947</v>
      </c>
      <c r="B912" t="s">
        <v>172</v>
      </c>
      <c r="C912" t="s">
        <v>239</v>
      </c>
      <c r="D912" t="s">
        <v>174</v>
      </c>
      <c r="E912" t="s">
        <v>5139</v>
      </c>
      <c r="F912" t="s">
        <v>5133</v>
      </c>
      <c r="G912" t="s">
        <v>18</v>
      </c>
      <c r="H912" t="s">
        <v>66</v>
      </c>
      <c r="I912" t="str">
        <f>LEFT(H912,FIND(" (",H912)-1)</f>
        <v>Senior</v>
      </c>
      <c r="J912" t="str">
        <f>MID(H912,FIND("(",H912)+1,FIND(")",H912)-FIND("(",H912)-1)</f>
        <v>5-8 yrs</v>
      </c>
      <c r="L912">
        <v>141689</v>
      </c>
      <c r="M912" t="s">
        <v>1948</v>
      </c>
      <c r="N912" t="s">
        <v>33</v>
      </c>
      <c r="O912" t="s">
        <v>22</v>
      </c>
      <c r="P912" s="1">
        <v>45295</v>
      </c>
      <c r="Q912">
        <v>585</v>
      </c>
      <c r="R912">
        <v>2163</v>
      </c>
      <c r="S912" t="s">
        <v>34</v>
      </c>
      <c r="T912">
        <v>4</v>
      </c>
      <c r="U912" t="s">
        <v>52</v>
      </c>
      <c r="V912" t="s">
        <v>59</v>
      </c>
      <c r="W912" t="s">
        <v>23</v>
      </c>
    </row>
    <row r="913" spans="1:23" x14ac:dyDescent="0.3">
      <c r="A913" t="s">
        <v>1949</v>
      </c>
      <c r="B913" t="s">
        <v>13</v>
      </c>
      <c r="C913" t="s">
        <v>195</v>
      </c>
      <c r="D913" t="s">
        <v>49</v>
      </c>
      <c r="E913" t="s">
        <v>87</v>
      </c>
      <c r="F913" t="s">
        <v>87</v>
      </c>
      <c r="G913" t="s">
        <v>55</v>
      </c>
      <c r="H913" t="s">
        <v>56</v>
      </c>
      <c r="I913" t="str">
        <f>LEFT(H913,FIND(" (",H913)-1)</f>
        <v>Mid</v>
      </c>
      <c r="J913" t="str">
        <f>MID(H913,FIND("(",H913)+1,FIND(")",H913)-FIND("(",H913)-1)</f>
        <v>2-5 yrs</v>
      </c>
      <c r="L913">
        <v>114339</v>
      </c>
      <c r="M913" t="s">
        <v>1950</v>
      </c>
      <c r="N913" t="s">
        <v>120</v>
      </c>
      <c r="O913" t="s">
        <v>22</v>
      </c>
      <c r="P913" s="1">
        <v>45356</v>
      </c>
      <c r="Q913">
        <v>333</v>
      </c>
      <c r="R913">
        <v>3636</v>
      </c>
      <c r="S913" t="s">
        <v>34</v>
      </c>
      <c r="T913">
        <v>2</v>
      </c>
      <c r="U913" t="s">
        <v>52</v>
      </c>
      <c r="V913" t="s">
        <v>24</v>
      </c>
      <c r="W913" t="s">
        <v>23</v>
      </c>
    </row>
    <row r="914" spans="1:23" x14ac:dyDescent="0.3">
      <c r="A914" t="s">
        <v>1951</v>
      </c>
      <c r="B914" t="s">
        <v>106</v>
      </c>
      <c r="C914" t="s">
        <v>86</v>
      </c>
      <c r="D914" t="s">
        <v>174</v>
      </c>
      <c r="E914" t="s">
        <v>5141</v>
      </c>
      <c r="F914" t="s">
        <v>5133</v>
      </c>
      <c r="G914" t="s">
        <v>18</v>
      </c>
      <c r="H914" t="s">
        <v>31</v>
      </c>
      <c r="I914" t="str">
        <f>LEFT(H914,FIND(" (",H914)-1)</f>
        <v>Staff/Principal</v>
      </c>
      <c r="J914" t="str">
        <f>MID(H914,FIND("(",H914)+1,FIND(")",H914)-FIND("(",H914)-1)</f>
        <v>8+ yrs</v>
      </c>
      <c r="L914">
        <v>208977</v>
      </c>
      <c r="M914" t="s">
        <v>1952</v>
      </c>
      <c r="N914" t="s">
        <v>68</v>
      </c>
      <c r="O914" t="s">
        <v>51</v>
      </c>
      <c r="P914" s="1">
        <v>45376</v>
      </c>
      <c r="Q914">
        <v>1614</v>
      </c>
      <c r="R914">
        <v>1076</v>
      </c>
      <c r="S914" t="s">
        <v>23</v>
      </c>
      <c r="T914">
        <v>6</v>
      </c>
      <c r="U914" t="s">
        <v>45</v>
      </c>
      <c r="V914" t="s">
        <v>24</v>
      </c>
      <c r="W914" t="s">
        <v>34</v>
      </c>
    </row>
    <row r="915" spans="1:23" x14ac:dyDescent="0.3">
      <c r="A915" t="s">
        <v>1953</v>
      </c>
      <c r="B915" t="s">
        <v>61</v>
      </c>
      <c r="C915" t="s">
        <v>48</v>
      </c>
      <c r="D915" t="s">
        <v>63</v>
      </c>
      <c r="E915" t="s">
        <v>64</v>
      </c>
      <c r="F915" t="s">
        <v>65</v>
      </c>
      <c r="G915" t="s">
        <v>55</v>
      </c>
      <c r="H915" t="s">
        <v>31</v>
      </c>
      <c r="I915" t="str">
        <f>LEFT(H915,FIND(" (",H915)-1)</f>
        <v>Staff/Principal</v>
      </c>
      <c r="J915" t="str">
        <f>MID(H915,FIND("(",H915)+1,FIND(")",H915)-FIND("(",H915)-1)</f>
        <v>8+ yrs</v>
      </c>
      <c r="L915">
        <v>256788</v>
      </c>
      <c r="M915" t="s">
        <v>1954</v>
      </c>
      <c r="N915" t="s">
        <v>33</v>
      </c>
      <c r="O915" t="s">
        <v>51</v>
      </c>
      <c r="P915" s="1">
        <v>45308</v>
      </c>
      <c r="Q915">
        <v>1287</v>
      </c>
      <c r="R915">
        <v>2998</v>
      </c>
      <c r="S915" t="s">
        <v>34</v>
      </c>
      <c r="T915">
        <v>6</v>
      </c>
      <c r="U915" t="s">
        <v>5123</v>
      </c>
      <c r="V915" t="s">
        <v>24</v>
      </c>
      <c r="W915" t="s">
        <v>34</v>
      </c>
    </row>
    <row r="916" spans="1:23" x14ac:dyDescent="0.3">
      <c r="A916" t="s">
        <v>1955</v>
      </c>
      <c r="B916" t="s">
        <v>172</v>
      </c>
      <c r="C916" t="s">
        <v>239</v>
      </c>
      <c r="D916" t="s">
        <v>111</v>
      </c>
      <c r="E916" t="s">
        <v>159</v>
      </c>
      <c r="F916" t="s">
        <v>160</v>
      </c>
      <c r="G916" t="s">
        <v>18</v>
      </c>
      <c r="H916" t="s">
        <v>19</v>
      </c>
      <c r="I916" t="str">
        <f>LEFT(H916,FIND(" (",H916)-1)</f>
        <v>Entry</v>
      </c>
      <c r="J916" t="str">
        <f>MID(H916,FIND("(",H916)+1,FIND(")",H916)-FIND("(",H916)-1)</f>
        <v>0-2 yrs</v>
      </c>
      <c r="L916">
        <v>68799</v>
      </c>
      <c r="M916" t="s">
        <v>1956</v>
      </c>
      <c r="N916" t="s">
        <v>33</v>
      </c>
      <c r="O916" t="s">
        <v>51</v>
      </c>
      <c r="P916" s="1">
        <v>45526</v>
      </c>
      <c r="Q916">
        <v>1062</v>
      </c>
      <c r="R916">
        <v>3928</v>
      </c>
      <c r="S916" t="s">
        <v>23</v>
      </c>
      <c r="T916">
        <v>0</v>
      </c>
      <c r="U916" t="s">
        <v>5123</v>
      </c>
      <c r="V916" t="s">
        <v>24</v>
      </c>
      <c r="W916" t="s">
        <v>34</v>
      </c>
    </row>
    <row r="917" spans="1:23" x14ac:dyDescent="0.3">
      <c r="A917" t="s">
        <v>1957</v>
      </c>
      <c r="B917" t="s">
        <v>143</v>
      </c>
      <c r="C917" t="s">
        <v>74</v>
      </c>
      <c r="D917" t="s">
        <v>125</v>
      </c>
      <c r="E917" t="s">
        <v>5139</v>
      </c>
      <c r="F917" t="s">
        <v>5133</v>
      </c>
      <c r="G917" t="s">
        <v>55</v>
      </c>
      <c r="H917" t="s">
        <v>56</v>
      </c>
      <c r="I917" t="str">
        <f>LEFT(H917,FIND(" (",H917)-1)</f>
        <v>Mid</v>
      </c>
      <c r="J917" t="str">
        <f>MID(H917,FIND("(",H917)+1,FIND(")",H917)-FIND("(",H917)-1)</f>
        <v>2-5 yrs</v>
      </c>
      <c r="L917">
        <v>115524</v>
      </c>
      <c r="M917" t="s">
        <v>1958</v>
      </c>
      <c r="N917" t="s">
        <v>94</v>
      </c>
      <c r="O917" t="s">
        <v>22</v>
      </c>
      <c r="P917" s="1">
        <v>45343</v>
      </c>
      <c r="Q917">
        <v>982</v>
      </c>
      <c r="R917">
        <v>1341</v>
      </c>
      <c r="S917" t="s">
        <v>23</v>
      </c>
      <c r="T917">
        <v>2</v>
      </c>
      <c r="U917" t="s">
        <v>52</v>
      </c>
      <c r="V917" t="s">
        <v>59</v>
      </c>
      <c r="W917" t="s">
        <v>23</v>
      </c>
    </row>
    <row r="918" spans="1:23" x14ac:dyDescent="0.3">
      <c r="A918" t="s">
        <v>1959</v>
      </c>
      <c r="B918" t="s">
        <v>26</v>
      </c>
      <c r="C918" t="s">
        <v>92</v>
      </c>
      <c r="D918" t="s">
        <v>125</v>
      </c>
      <c r="E918" t="s">
        <v>5132</v>
      </c>
      <c r="F918" t="s">
        <v>5133</v>
      </c>
      <c r="G918" t="s">
        <v>41</v>
      </c>
      <c r="H918" t="s">
        <v>56</v>
      </c>
      <c r="I918" t="str">
        <f>LEFT(H918,FIND(" (",H918)-1)</f>
        <v>Mid</v>
      </c>
      <c r="J918" t="str">
        <f>MID(H918,FIND("(",H918)+1,FIND(")",H918)-FIND("(",H918)-1)</f>
        <v>2-5 yrs</v>
      </c>
      <c r="L918">
        <v>122036</v>
      </c>
      <c r="M918" t="s">
        <v>1960</v>
      </c>
      <c r="N918" t="s">
        <v>89</v>
      </c>
      <c r="O918" t="s">
        <v>44</v>
      </c>
      <c r="P918" s="1">
        <v>45449</v>
      </c>
      <c r="Q918">
        <v>1487</v>
      </c>
      <c r="R918">
        <v>1022</v>
      </c>
      <c r="S918" t="s">
        <v>99</v>
      </c>
      <c r="T918">
        <v>2</v>
      </c>
      <c r="U918" t="s">
        <v>83</v>
      </c>
      <c r="V918" t="s">
        <v>24</v>
      </c>
      <c r="W918" t="s">
        <v>23</v>
      </c>
    </row>
    <row r="919" spans="1:23" x14ac:dyDescent="0.3">
      <c r="A919" t="s">
        <v>1961</v>
      </c>
      <c r="B919" t="s">
        <v>143</v>
      </c>
      <c r="C919" t="s">
        <v>37</v>
      </c>
      <c r="D919" t="s">
        <v>63</v>
      </c>
      <c r="E919" t="s">
        <v>216</v>
      </c>
      <c r="F919" t="s">
        <v>217</v>
      </c>
      <c r="G919" t="s">
        <v>41</v>
      </c>
      <c r="H919" t="s">
        <v>31</v>
      </c>
      <c r="I919" t="str">
        <f>LEFT(H919,FIND(" (",H919)-1)</f>
        <v>Staff/Principal</v>
      </c>
      <c r="J919" t="str">
        <f>MID(H919,FIND("(",H919)+1,FIND(")",H919)-FIND("(",H919)-1)</f>
        <v>8+ yrs</v>
      </c>
      <c r="L919">
        <v>206717</v>
      </c>
      <c r="M919" t="s">
        <v>1962</v>
      </c>
      <c r="N919" t="s">
        <v>33</v>
      </c>
      <c r="O919" t="s">
        <v>22</v>
      </c>
      <c r="P919" s="1">
        <v>45351</v>
      </c>
      <c r="Q919">
        <v>1014</v>
      </c>
      <c r="R919">
        <v>1812</v>
      </c>
      <c r="S919" t="s">
        <v>34</v>
      </c>
      <c r="T919">
        <v>6</v>
      </c>
      <c r="U919" t="s">
        <v>5123</v>
      </c>
      <c r="V919" t="s">
        <v>24</v>
      </c>
      <c r="W919" t="s">
        <v>23</v>
      </c>
    </row>
    <row r="920" spans="1:23" x14ac:dyDescent="0.3">
      <c r="A920" t="s">
        <v>1963</v>
      </c>
      <c r="B920" t="s">
        <v>85</v>
      </c>
      <c r="C920" t="s">
        <v>27</v>
      </c>
      <c r="D920" t="s">
        <v>125</v>
      </c>
      <c r="E920" t="s">
        <v>76</v>
      </c>
      <c r="F920" t="s">
        <v>77</v>
      </c>
      <c r="G920" t="s">
        <v>55</v>
      </c>
      <c r="H920" t="s">
        <v>31</v>
      </c>
      <c r="I920" t="str">
        <f>LEFT(H920,FIND(" (",H920)-1)</f>
        <v>Staff/Principal</v>
      </c>
      <c r="J920" t="str">
        <f>MID(H920,FIND("(",H920)+1,FIND(")",H920)-FIND("(",H920)-1)</f>
        <v>8+ yrs</v>
      </c>
      <c r="L920">
        <v>183928</v>
      </c>
      <c r="M920" t="s">
        <v>1964</v>
      </c>
      <c r="N920" t="s">
        <v>33</v>
      </c>
      <c r="O920" t="s">
        <v>51</v>
      </c>
      <c r="P920" s="1">
        <v>45660</v>
      </c>
      <c r="Q920">
        <v>2425</v>
      </c>
      <c r="R920">
        <v>1005</v>
      </c>
      <c r="S920" t="s">
        <v>34</v>
      </c>
      <c r="T920">
        <v>6</v>
      </c>
      <c r="U920" t="s">
        <v>5123</v>
      </c>
      <c r="V920" t="s">
        <v>59</v>
      </c>
      <c r="W920" t="s">
        <v>23</v>
      </c>
    </row>
    <row r="921" spans="1:23" x14ac:dyDescent="0.3">
      <c r="A921" t="s">
        <v>1965</v>
      </c>
      <c r="B921" t="s">
        <v>13</v>
      </c>
      <c r="C921" t="s">
        <v>173</v>
      </c>
      <c r="D921" t="s">
        <v>75</v>
      </c>
      <c r="E921" t="s">
        <v>5141</v>
      </c>
      <c r="F921" t="s">
        <v>5133</v>
      </c>
      <c r="G921" t="s">
        <v>18</v>
      </c>
      <c r="H921" t="s">
        <v>56</v>
      </c>
      <c r="I921" t="str">
        <f>LEFT(H921,FIND(" (",H921)-1)</f>
        <v>Mid</v>
      </c>
      <c r="J921" t="str">
        <f>MID(H921,FIND("(",H921)+1,FIND(")",H921)-FIND("(",H921)-1)</f>
        <v>2-5 yrs</v>
      </c>
      <c r="L921">
        <v>113842</v>
      </c>
      <c r="M921" t="s">
        <v>1966</v>
      </c>
      <c r="N921" t="s">
        <v>186</v>
      </c>
      <c r="O921" t="s">
        <v>51</v>
      </c>
      <c r="P921" s="1">
        <v>45696</v>
      </c>
      <c r="Q921">
        <v>2207</v>
      </c>
      <c r="R921">
        <v>2134</v>
      </c>
      <c r="S921" t="s">
        <v>23</v>
      </c>
      <c r="T921">
        <v>2</v>
      </c>
      <c r="U921" t="s">
        <v>83</v>
      </c>
      <c r="V921" t="s">
        <v>24</v>
      </c>
      <c r="W921" t="s">
        <v>23</v>
      </c>
    </row>
    <row r="922" spans="1:23" x14ac:dyDescent="0.3">
      <c r="A922" t="s">
        <v>1967</v>
      </c>
      <c r="B922" t="s">
        <v>225</v>
      </c>
      <c r="C922" t="s">
        <v>179</v>
      </c>
      <c r="D922" t="s">
        <v>38</v>
      </c>
      <c r="E922" t="s">
        <v>102</v>
      </c>
      <c r="F922" t="s">
        <v>103</v>
      </c>
      <c r="G922" t="s">
        <v>18</v>
      </c>
      <c r="H922" t="s">
        <v>66</v>
      </c>
      <c r="I922" t="str">
        <f>LEFT(H922,FIND(" (",H922)-1)</f>
        <v>Senior</v>
      </c>
      <c r="J922" t="str">
        <f>MID(H922,FIND("(",H922)+1,FIND(")",H922)-FIND("(",H922)-1)</f>
        <v>5-8 yrs</v>
      </c>
      <c r="L922">
        <v>178988</v>
      </c>
      <c r="M922" t="s">
        <v>1968</v>
      </c>
      <c r="N922" t="s">
        <v>120</v>
      </c>
      <c r="O922" t="s">
        <v>79</v>
      </c>
      <c r="P922" s="1">
        <v>45565</v>
      </c>
      <c r="Q922">
        <v>635</v>
      </c>
      <c r="R922">
        <v>3346</v>
      </c>
      <c r="S922" t="s">
        <v>23</v>
      </c>
      <c r="T922">
        <v>4</v>
      </c>
      <c r="U922" t="s">
        <v>83</v>
      </c>
      <c r="V922" t="s">
        <v>24</v>
      </c>
      <c r="W922" t="s">
        <v>23</v>
      </c>
    </row>
    <row r="923" spans="1:23" x14ac:dyDescent="0.3">
      <c r="A923" t="s">
        <v>1969</v>
      </c>
      <c r="B923" t="s">
        <v>225</v>
      </c>
      <c r="C923" t="s">
        <v>71</v>
      </c>
      <c r="D923" t="s">
        <v>111</v>
      </c>
      <c r="E923" t="s">
        <v>87</v>
      </c>
      <c r="F923" t="s">
        <v>87</v>
      </c>
      <c r="G923" t="s">
        <v>55</v>
      </c>
      <c r="H923" t="s">
        <v>56</v>
      </c>
      <c r="I923" t="str">
        <f>LEFT(H923,FIND(" (",H923)-1)</f>
        <v>Mid</v>
      </c>
      <c r="J923" t="str">
        <f>MID(H923,FIND("(",H923)+1,FIND(")",H923)-FIND("(",H923)-1)</f>
        <v>2-5 yrs</v>
      </c>
      <c r="L923">
        <v>89674</v>
      </c>
      <c r="M923" t="s">
        <v>1970</v>
      </c>
      <c r="N923" t="s">
        <v>68</v>
      </c>
      <c r="O923" t="s">
        <v>44</v>
      </c>
      <c r="P923" s="1">
        <v>45584</v>
      </c>
      <c r="Q923">
        <v>398</v>
      </c>
      <c r="R923">
        <v>388</v>
      </c>
      <c r="S923" t="s">
        <v>23</v>
      </c>
      <c r="T923">
        <v>2</v>
      </c>
      <c r="U923" t="s">
        <v>58</v>
      </c>
      <c r="V923" t="s">
        <v>24</v>
      </c>
      <c r="W923" t="s">
        <v>23</v>
      </c>
    </row>
    <row r="924" spans="1:23" x14ac:dyDescent="0.3">
      <c r="A924" t="s">
        <v>1971</v>
      </c>
      <c r="B924" t="s">
        <v>131</v>
      </c>
      <c r="C924" t="s">
        <v>192</v>
      </c>
      <c r="D924" t="s">
        <v>49</v>
      </c>
      <c r="E924" t="s">
        <v>5135</v>
      </c>
      <c r="F924" t="s">
        <v>5133</v>
      </c>
      <c r="G924" t="s">
        <v>41</v>
      </c>
      <c r="H924" t="s">
        <v>56</v>
      </c>
      <c r="I924" t="str">
        <f>LEFT(H924,FIND(" (",H924)-1)</f>
        <v>Mid</v>
      </c>
      <c r="J924" t="str">
        <f>MID(H924,FIND("(",H924)+1,FIND(")",H924)-FIND("(",H924)-1)</f>
        <v>2-5 yrs</v>
      </c>
      <c r="L924">
        <v>112632</v>
      </c>
      <c r="M924" t="s">
        <v>1972</v>
      </c>
      <c r="N924" t="s">
        <v>21</v>
      </c>
      <c r="O924" t="s">
        <v>51</v>
      </c>
      <c r="P924" s="1">
        <v>45392</v>
      </c>
      <c r="Q924">
        <v>771</v>
      </c>
      <c r="R924">
        <v>604</v>
      </c>
      <c r="S924" t="s">
        <v>23</v>
      </c>
      <c r="T924">
        <v>2</v>
      </c>
      <c r="U924" t="s">
        <v>52</v>
      </c>
      <c r="V924" t="s">
        <v>59</v>
      </c>
      <c r="W924" t="s">
        <v>34</v>
      </c>
    </row>
    <row r="925" spans="1:23" x14ac:dyDescent="0.3">
      <c r="A925" t="s">
        <v>1973</v>
      </c>
      <c r="B925" t="s">
        <v>222</v>
      </c>
      <c r="C925" t="s">
        <v>110</v>
      </c>
      <c r="D925" t="s">
        <v>49</v>
      </c>
      <c r="E925" t="s">
        <v>39</v>
      </c>
      <c r="F925" t="s">
        <v>40</v>
      </c>
      <c r="G925" t="s">
        <v>18</v>
      </c>
      <c r="H925" t="s">
        <v>19</v>
      </c>
      <c r="I925" t="str">
        <f>LEFT(H925,FIND(" (",H925)-1)</f>
        <v>Entry</v>
      </c>
      <c r="J925" t="str">
        <f>MID(H925,FIND("(",H925)+1,FIND(")",H925)-FIND("(",H925)-1)</f>
        <v>0-2 yrs</v>
      </c>
      <c r="L925">
        <v>61178</v>
      </c>
      <c r="M925" t="s">
        <v>1974</v>
      </c>
      <c r="N925" t="s">
        <v>33</v>
      </c>
      <c r="O925" t="s">
        <v>22</v>
      </c>
      <c r="P925" s="1">
        <v>45677</v>
      </c>
      <c r="Q925">
        <v>1949</v>
      </c>
      <c r="R925">
        <v>438</v>
      </c>
      <c r="S925" t="s">
        <v>34</v>
      </c>
      <c r="T925">
        <v>0</v>
      </c>
      <c r="U925" t="s">
        <v>52</v>
      </c>
      <c r="V925" t="s">
        <v>24</v>
      </c>
      <c r="W925" t="s">
        <v>23</v>
      </c>
    </row>
    <row r="926" spans="1:23" x14ac:dyDescent="0.3">
      <c r="A926" t="s">
        <v>1975</v>
      </c>
      <c r="B926" t="s">
        <v>229</v>
      </c>
      <c r="C926" t="s">
        <v>204</v>
      </c>
      <c r="D926" t="s">
        <v>147</v>
      </c>
      <c r="E926" t="s">
        <v>64</v>
      </c>
      <c r="F926" t="s">
        <v>65</v>
      </c>
      <c r="G926" t="s">
        <v>41</v>
      </c>
      <c r="H926" t="s">
        <v>31</v>
      </c>
      <c r="I926" t="str">
        <f>LEFT(H926,FIND(" (",H926)-1)</f>
        <v>Staff/Principal</v>
      </c>
      <c r="J926" t="str">
        <f>MID(H926,FIND("(",H926)+1,FIND(")",H926)-FIND("(",H926)-1)</f>
        <v>8+ yrs</v>
      </c>
      <c r="L926">
        <v>243021</v>
      </c>
      <c r="M926" t="s">
        <v>1976</v>
      </c>
      <c r="N926" t="s">
        <v>21</v>
      </c>
      <c r="O926" t="s">
        <v>51</v>
      </c>
      <c r="P926" s="1">
        <v>45630</v>
      </c>
      <c r="Q926">
        <v>1153</v>
      </c>
      <c r="R926">
        <v>2206</v>
      </c>
      <c r="S926" t="s">
        <v>34</v>
      </c>
      <c r="T926">
        <v>6</v>
      </c>
      <c r="U926" t="s">
        <v>52</v>
      </c>
      <c r="V926" t="s">
        <v>24</v>
      </c>
      <c r="W926" t="s">
        <v>23</v>
      </c>
    </row>
    <row r="927" spans="1:23" x14ac:dyDescent="0.3">
      <c r="A927" t="s">
        <v>1977</v>
      </c>
      <c r="B927" t="s">
        <v>81</v>
      </c>
      <c r="C927" t="s">
        <v>48</v>
      </c>
      <c r="D927" t="s">
        <v>147</v>
      </c>
      <c r="E927" t="s">
        <v>64</v>
      </c>
      <c r="F927" t="s">
        <v>65</v>
      </c>
      <c r="G927" t="s">
        <v>41</v>
      </c>
      <c r="H927" t="s">
        <v>19</v>
      </c>
      <c r="I927" t="str">
        <f>LEFT(H927,FIND(" (",H927)-1)</f>
        <v>Entry</v>
      </c>
      <c r="J927" t="str">
        <f>MID(H927,FIND("(",H927)+1,FIND(")",H927)-FIND("(",H927)-1)</f>
        <v>0-2 yrs</v>
      </c>
      <c r="L927">
        <v>50807</v>
      </c>
      <c r="M927" t="s">
        <v>1978</v>
      </c>
      <c r="N927" t="s">
        <v>33</v>
      </c>
      <c r="O927" t="s">
        <v>51</v>
      </c>
      <c r="P927" s="1">
        <v>45436</v>
      </c>
      <c r="Q927">
        <v>875</v>
      </c>
      <c r="R927">
        <v>3786</v>
      </c>
      <c r="S927" t="s">
        <v>23</v>
      </c>
      <c r="T927">
        <v>0</v>
      </c>
      <c r="U927" t="s">
        <v>5123</v>
      </c>
      <c r="V927" t="s">
        <v>24</v>
      </c>
      <c r="W927" t="s">
        <v>34</v>
      </c>
    </row>
    <row r="928" spans="1:23" x14ac:dyDescent="0.3">
      <c r="A928" t="s">
        <v>1979</v>
      </c>
      <c r="B928" t="s">
        <v>61</v>
      </c>
      <c r="C928" t="s">
        <v>226</v>
      </c>
      <c r="D928" t="s">
        <v>174</v>
      </c>
      <c r="E928" t="s">
        <v>216</v>
      </c>
      <c r="F928" t="s">
        <v>217</v>
      </c>
      <c r="G928" t="s">
        <v>18</v>
      </c>
      <c r="H928" t="s">
        <v>56</v>
      </c>
      <c r="I928" t="str">
        <f>LEFT(H928,FIND(" (",H928)-1)</f>
        <v>Mid</v>
      </c>
      <c r="J928" t="str">
        <f>MID(H928,FIND("(",H928)+1,FIND(")",H928)-FIND("(",H928)-1)</f>
        <v>2-5 yrs</v>
      </c>
      <c r="L928">
        <v>98933</v>
      </c>
      <c r="M928" t="s">
        <v>1980</v>
      </c>
      <c r="N928" t="s">
        <v>33</v>
      </c>
      <c r="O928" t="s">
        <v>44</v>
      </c>
      <c r="P928" s="1">
        <v>45357</v>
      </c>
      <c r="Q928">
        <v>570</v>
      </c>
      <c r="R928">
        <v>3329</v>
      </c>
      <c r="S928" t="s">
        <v>23</v>
      </c>
      <c r="T928">
        <v>2</v>
      </c>
      <c r="U928" t="s">
        <v>5123</v>
      </c>
      <c r="V928" t="s">
        <v>59</v>
      </c>
      <c r="W928" t="s">
        <v>34</v>
      </c>
    </row>
    <row r="929" spans="1:23" x14ac:dyDescent="0.3">
      <c r="A929" t="s">
        <v>1981</v>
      </c>
      <c r="B929" t="s">
        <v>143</v>
      </c>
      <c r="C929" t="s">
        <v>204</v>
      </c>
      <c r="D929" t="s">
        <v>147</v>
      </c>
      <c r="E929" t="s">
        <v>64</v>
      </c>
      <c r="F929" t="s">
        <v>65</v>
      </c>
      <c r="G929" t="s">
        <v>41</v>
      </c>
      <c r="H929" t="s">
        <v>66</v>
      </c>
      <c r="I929" t="str">
        <f>LEFT(H929,FIND(" (",H929)-1)</f>
        <v>Senior</v>
      </c>
      <c r="J929" t="str">
        <f>MID(H929,FIND("(",H929)+1,FIND(")",H929)-FIND("(",H929)-1)</f>
        <v>5-8 yrs</v>
      </c>
      <c r="L929">
        <v>160184</v>
      </c>
      <c r="M929" t="s">
        <v>1982</v>
      </c>
      <c r="N929" t="s">
        <v>120</v>
      </c>
      <c r="O929" t="s">
        <v>79</v>
      </c>
      <c r="P929" s="1">
        <v>45590</v>
      </c>
      <c r="Q929">
        <v>1637</v>
      </c>
      <c r="R929">
        <v>2220</v>
      </c>
      <c r="S929" t="s">
        <v>23</v>
      </c>
      <c r="T929">
        <v>4</v>
      </c>
      <c r="U929" t="s">
        <v>45</v>
      </c>
      <c r="V929" t="s">
        <v>59</v>
      </c>
      <c r="W929" t="s">
        <v>34</v>
      </c>
    </row>
    <row r="930" spans="1:23" x14ac:dyDescent="0.3">
      <c r="A930" t="s">
        <v>1983</v>
      </c>
      <c r="B930" t="s">
        <v>151</v>
      </c>
      <c r="C930" t="s">
        <v>195</v>
      </c>
      <c r="D930" t="s">
        <v>125</v>
      </c>
      <c r="E930" t="s">
        <v>5136</v>
      </c>
      <c r="F930" t="s">
        <v>5133</v>
      </c>
      <c r="G930" t="s">
        <v>55</v>
      </c>
      <c r="H930" t="s">
        <v>66</v>
      </c>
      <c r="I930" t="str">
        <f>LEFT(H930,FIND(" (",H930)-1)</f>
        <v>Senior</v>
      </c>
      <c r="J930" t="str">
        <f>MID(H930,FIND("(",H930)+1,FIND(")",H930)-FIND("(",H930)-1)</f>
        <v>5-8 yrs</v>
      </c>
      <c r="L930">
        <v>192269</v>
      </c>
      <c r="M930" t="s">
        <v>1984</v>
      </c>
      <c r="N930" t="s">
        <v>43</v>
      </c>
      <c r="O930" t="s">
        <v>51</v>
      </c>
      <c r="P930" s="1">
        <v>45690</v>
      </c>
      <c r="Q930">
        <v>2326</v>
      </c>
      <c r="R930">
        <v>1148</v>
      </c>
      <c r="S930" t="s">
        <v>34</v>
      </c>
      <c r="T930">
        <v>4</v>
      </c>
      <c r="U930" t="s">
        <v>83</v>
      </c>
      <c r="V930" t="s">
        <v>24</v>
      </c>
      <c r="W930" t="s">
        <v>34</v>
      </c>
    </row>
    <row r="931" spans="1:23" x14ac:dyDescent="0.3">
      <c r="A931" t="s">
        <v>1985</v>
      </c>
      <c r="B931" t="s">
        <v>70</v>
      </c>
      <c r="C931" t="s">
        <v>101</v>
      </c>
      <c r="D931" t="s">
        <v>174</v>
      </c>
      <c r="E931" t="s">
        <v>5139</v>
      </c>
      <c r="F931" t="s">
        <v>5133</v>
      </c>
      <c r="G931" t="s">
        <v>55</v>
      </c>
      <c r="H931" t="s">
        <v>31</v>
      </c>
      <c r="I931" t="str">
        <f>LEFT(H931,FIND(" (",H931)-1)</f>
        <v>Staff/Principal</v>
      </c>
      <c r="J931" t="str">
        <f>MID(H931,FIND("(",H931)+1,FIND(")",H931)-FIND("(",H931)-1)</f>
        <v>8+ yrs</v>
      </c>
      <c r="L931">
        <v>197632</v>
      </c>
      <c r="M931" t="s">
        <v>1986</v>
      </c>
      <c r="N931" t="s">
        <v>33</v>
      </c>
      <c r="O931" t="s">
        <v>51</v>
      </c>
      <c r="P931" s="1">
        <v>45303</v>
      </c>
      <c r="Q931">
        <v>949</v>
      </c>
      <c r="R931">
        <v>3400</v>
      </c>
      <c r="S931" t="s">
        <v>99</v>
      </c>
      <c r="T931">
        <v>6</v>
      </c>
      <c r="U931" t="s">
        <v>5123</v>
      </c>
      <c r="V931" t="s">
        <v>24</v>
      </c>
      <c r="W931" t="s">
        <v>23</v>
      </c>
    </row>
    <row r="932" spans="1:23" x14ac:dyDescent="0.3">
      <c r="A932" t="s">
        <v>1987</v>
      </c>
      <c r="B932" t="s">
        <v>81</v>
      </c>
      <c r="C932" t="s">
        <v>195</v>
      </c>
      <c r="D932" t="s">
        <v>49</v>
      </c>
      <c r="E932" t="s">
        <v>29</v>
      </c>
      <c r="F932" t="s">
        <v>30</v>
      </c>
      <c r="G932" t="s">
        <v>18</v>
      </c>
      <c r="H932" t="s">
        <v>19</v>
      </c>
      <c r="I932" t="str">
        <f>LEFT(H932,FIND(" (",H932)-1)</f>
        <v>Entry</v>
      </c>
      <c r="J932" t="str">
        <f>MID(H932,FIND("(",H932)+1,FIND(")",H932)-FIND("(",H932)-1)</f>
        <v>0-2 yrs</v>
      </c>
      <c r="L932">
        <v>63004</v>
      </c>
      <c r="M932" t="s">
        <v>1988</v>
      </c>
      <c r="N932" t="s">
        <v>120</v>
      </c>
      <c r="O932" t="s">
        <v>51</v>
      </c>
      <c r="P932" s="1">
        <v>45300</v>
      </c>
      <c r="Q932">
        <v>1725</v>
      </c>
      <c r="R932">
        <v>1533</v>
      </c>
      <c r="S932" t="s">
        <v>23</v>
      </c>
      <c r="T932">
        <v>0</v>
      </c>
      <c r="U932" t="s">
        <v>52</v>
      </c>
      <c r="V932" t="s">
        <v>46</v>
      </c>
      <c r="W932" t="s">
        <v>34</v>
      </c>
    </row>
    <row r="933" spans="1:23" x14ac:dyDescent="0.3">
      <c r="A933" t="s">
        <v>1989</v>
      </c>
      <c r="B933" t="s">
        <v>13</v>
      </c>
      <c r="C933" t="s">
        <v>101</v>
      </c>
      <c r="D933" t="s">
        <v>15</v>
      </c>
      <c r="E933" t="s">
        <v>16</v>
      </c>
      <c r="F933" t="s">
        <v>17</v>
      </c>
      <c r="G933" t="s">
        <v>41</v>
      </c>
      <c r="H933" t="s">
        <v>56</v>
      </c>
      <c r="I933" t="str">
        <f>LEFT(H933,FIND(" (",H933)-1)</f>
        <v>Mid</v>
      </c>
      <c r="J933" t="str">
        <f>MID(H933,FIND("(",H933)+1,FIND(")",H933)-FIND("(",H933)-1)</f>
        <v>2-5 yrs</v>
      </c>
      <c r="L933">
        <v>147246</v>
      </c>
      <c r="M933" t="s">
        <v>1990</v>
      </c>
      <c r="N933" t="s">
        <v>94</v>
      </c>
      <c r="O933" t="s">
        <v>22</v>
      </c>
      <c r="P933" s="1">
        <v>45293</v>
      </c>
      <c r="Q933">
        <v>1989</v>
      </c>
      <c r="R933">
        <v>2278</v>
      </c>
      <c r="S933" t="s">
        <v>34</v>
      </c>
      <c r="T933">
        <v>2</v>
      </c>
      <c r="U933" t="s">
        <v>58</v>
      </c>
      <c r="V933" t="s">
        <v>24</v>
      </c>
      <c r="W933" t="s">
        <v>23</v>
      </c>
    </row>
    <row r="934" spans="1:23" x14ac:dyDescent="0.3">
      <c r="A934" t="s">
        <v>1991</v>
      </c>
      <c r="B934" t="s">
        <v>70</v>
      </c>
      <c r="C934" t="s">
        <v>37</v>
      </c>
      <c r="D934" t="s">
        <v>15</v>
      </c>
      <c r="E934" t="s">
        <v>102</v>
      </c>
      <c r="F934" t="s">
        <v>103</v>
      </c>
      <c r="G934" t="s">
        <v>18</v>
      </c>
      <c r="H934" t="s">
        <v>31</v>
      </c>
      <c r="I934" t="str">
        <f>LEFT(H934,FIND(" (",H934)-1)</f>
        <v>Staff/Principal</v>
      </c>
      <c r="J934" t="str">
        <f>MID(H934,FIND("(",H934)+1,FIND(")",H934)-FIND("(",H934)-1)</f>
        <v>8+ yrs</v>
      </c>
      <c r="L934">
        <v>147871</v>
      </c>
      <c r="M934" t="s">
        <v>1992</v>
      </c>
      <c r="N934" t="s">
        <v>68</v>
      </c>
      <c r="O934" t="s">
        <v>44</v>
      </c>
      <c r="P934" s="1">
        <v>45313</v>
      </c>
      <c r="Q934">
        <v>743</v>
      </c>
      <c r="R934">
        <v>4000</v>
      </c>
      <c r="S934" t="s">
        <v>23</v>
      </c>
      <c r="T934">
        <v>6</v>
      </c>
      <c r="U934" t="s">
        <v>5123</v>
      </c>
      <c r="V934" t="s">
        <v>24</v>
      </c>
      <c r="W934" t="s">
        <v>34</v>
      </c>
    </row>
    <row r="935" spans="1:23" x14ac:dyDescent="0.3">
      <c r="A935" t="s">
        <v>1993</v>
      </c>
      <c r="B935" t="s">
        <v>229</v>
      </c>
      <c r="C935" t="s">
        <v>173</v>
      </c>
      <c r="D935" t="s">
        <v>63</v>
      </c>
      <c r="E935" t="s">
        <v>39</v>
      </c>
      <c r="F935" t="s">
        <v>40</v>
      </c>
      <c r="G935" t="s">
        <v>18</v>
      </c>
      <c r="H935" t="s">
        <v>31</v>
      </c>
      <c r="I935" t="str">
        <f>LEFT(H935,FIND(" (",H935)-1)</f>
        <v>Staff/Principal</v>
      </c>
      <c r="J935" t="str">
        <f>MID(H935,FIND("(",H935)+1,FIND(")",H935)-FIND("(",H935)-1)</f>
        <v>8+ yrs</v>
      </c>
      <c r="L935">
        <v>120842</v>
      </c>
      <c r="M935" t="s">
        <v>1994</v>
      </c>
      <c r="N935" t="s">
        <v>94</v>
      </c>
      <c r="O935" t="s">
        <v>51</v>
      </c>
      <c r="P935" s="1">
        <v>45319</v>
      </c>
      <c r="Q935">
        <v>1940</v>
      </c>
      <c r="R935">
        <v>726</v>
      </c>
      <c r="S935" t="s">
        <v>34</v>
      </c>
      <c r="T935">
        <v>6</v>
      </c>
      <c r="U935" t="s">
        <v>52</v>
      </c>
      <c r="V935" t="s">
        <v>24</v>
      </c>
      <c r="W935" t="s">
        <v>23</v>
      </c>
    </row>
    <row r="936" spans="1:23" x14ac:dyDescent="0.3">
      <c r="A936" t="s">
        <v>1995</v>
      </c>
      <c r="B936" t="s">
        <v>222</v>
      </c>
      <c r="C936" t="s">
        <v>101</v>
      </c>
      <c r="D936" t="s">
        <v>75</v>
      </c>
      <c r="E936" t="s">
        <v>133</v>
      </c>
      <c r="F936" t="s">
        <v>134</v>
      </c>
      <c r="G936" t="s">
        <v>55</v>
      </c>
      <c r="H936" t="s">
        <v>66</v>
      </c>
      <c r="I936" t="str">
        <f>LEFT(H936,FIND(" (",H936)-1)</f>
        <v>Senior</v>
      </c>
      <c r="J936" t="str">
        <f>MID(H936,FIND("(",H936)+1,FIND(")",H936)-FIND("(",H936)-1)</f>
        <v>5-8 yrs</v>
      </c>
      <c r="L936">
        <v>161880</v>
      </c>
      <c r="M936" t="s">
        <v>1996</v>
      </c>
      <c r="N936" t="s">
        <v>245</v>
      </c>
      <c r="O936" t="s">
        <v>22</v>
      </c>
      <c r="P936" s="1">
        <v>45638</v>
      </c>
      <c r="Q936">
        <v>1114</v>
      </c>
      <c r="R936">
        <v>2758</v>
      </c>
      <c r="S936" t="s">
        <v>23</v>
      </c>
      <c r="T936">
        <v>4</v>
      </c>
      <c r="U936" t="s">
        <v>52</v>
      </c>
      <c r="V936" t="s">
        <v>24</v>
      </c>
      <c r="W936" t="s">
        <v>34</v>
      </c>
    </row>
    <row r="937" spans="1:23" x14ac:dyDescent="0.3">
      <c r="A937" t="s">
        <v>1997</v>
      </c>
      <c r="B937" t="s">
        <v>172</v>
      </c>
      <c r="C937" t="s">
        <v>182</v>
      </c>
      <c r="D937" t="s">
        <v>63</v>
      </c>
      <c r="E937" t="s">
        <v>5139</v>
      </c>
      <c r="F937" t="s">
        <v>5133</v>
      </c>
      <c r="G937" t="s">
        <v>55</v>
      </c>
      <c r="H937" t="s">
        <v>66</v>
      </c>
      <c r="I937" t="str">
        <f>LEFT(H937,FIND(" (",H937)-1)</f>
        <v>Senior</v>
      </c>
      <c r="J937" t="str">
        <f>MID(H937,FIND("(",H937)+1,FIND(")",H937)-FIND("(",H937)-1)</f>
        <v>5-8 yrs</v>
      </c>
      <c r="L937">
        <v>136444</v>
      </c>
      <c r="M937" t="s">
        <v>1998</v>
      </c>
      <c r="N937" t="s">
        <v>68</v>
      </c>
      <c r="O937" t="s">
        <v>22</v>
      </c>
      <c r="P937" s="1">
        <v>45515</v>
      </c>
      <c r="Q937">
        <v>535</v>
      </c>
      <c r="R937">
        <v>1099</v>
      </c>
      <c r="S937" t="s">
        <v>23</v>
      </c>
      <c r="T937">
        <v>4</v>
      </c>
      <c r="U937" t="s">
        <v>58</v>
      </c>
      <c r="V937" t="s">
        <v>24</v>
      </c>
      <c r="W937" t="s">
        <v>23</v>
      </c>
    </row>
    <row r="938" spans="1:23" x14ac:dyDescent="0.3">
      <c r="A938" t="s">
        <v>1999</v>
      </c>
      <c r="B938" t="s">
        <v>143</v>
      </c>
      <c r="C938" t="s">
        <v>37</v>
      </c>
      <c r="D938" t="s">
        <v>38</v>
      </c>
      <c r="E938" t="s">
        <v>5136</v>
      </c>
      <c r="F938" t="s">
        <v>5133</v>
      </c>
      <c r="G938" t="s">
        <v>41</v>
      </c>
      <c r="H938" t="s">
        <v>19</v>
      </c>
      <c r="I938" t="str">
        <f>LEFT(H938,FIND(" (",H938)-1)</f>
        <v>Entry</v>
      </c>
      <c r="J938" t="str">
        <f>MID(H938,FIND("(",H938)+1,FIND(")",H938)-FIND("(",H938)-1)</f>
        <v>0-2 yrs</v>
      </c>
      <c r="L938">
        <v>57132</v>
      </c>
      <c r="M938" t="s">
        <v>2000</v>
      </c>
      <c r="N938" t="s">
        <v>120</v>
      </c>
      <c r="O938" t="s">
        <v>51</v>
      </c>
      <c r="P938" s="1">
        <v>45317</v>
      </c>
      <c r="Q938">
        <v>578</v>
      </c>
      <c r="R938">
        <v>3370</v>
      </c>
      <c r="S938" t="s">
        <v>23</v>
      </c>
      <c r="T938">
        <v>0</v>
      </c>
      <c r="U938" t="s">
        <v>45</v>
      </c>
      <c r="V938" t="s">
        <v>24</v>
      </c>
      <c r="W938" t="s">
        <v>34</v>
      </c>
    </row>
    <row r="939" spans="1:23" x14ac:dyDescent="0.3">
      <c r="A939" t="s">
        <v>2001</v>
      </c>
      <c r="B939" t="s">
        <v>70</v>
      </c>
      <c r="C939" t="s">
        <v>239</v>
      </c>
      <c r="D939" t="s">
        <v>147</v>
      </c>
      <c r="E939" t="s">
        <v>102</v>
      </c>
      <c r="F939" t="s">
        <v>103</v>
      </c>
      <c r="G939" t="s">
        <v>18</v>
      </c>
      <c r="H939" t="s">
        <v>66</v>
      </c>
      <c r="I939" t="str">
        <f>LEFT(H939,FIND(" (",H939)-1)</f>
        <v>Senior</v>
      </c>
      <c r="J939" t="str">
        <f>MID(H939,FIND("(",H939)+1,FIND(")",H939)-FIND("(",H939)-1)</f>
        <v>5-8 yrs</v>
      </c>
      <c r="L939">
        <v>169125</v>
      </c>
      <c r="M939" t="s">
        <v>2002</v>
      </c>
      <c r="N939" t="s">
        <v>33</v>
      </c>
      <c r="O939" t="s">
        <v>44</v>
      </c>
      <c r="P939" s="1">
        <v>45604</v>
      </c>
      <c r="Q939">
        <v>2467</v>
      </c>
      <c r="R939">
        <v>2028</v>
      </c>
      <c r="S939" t="s">
        <v>23</v>
      </c>
      <c r="T939">
        <v>4</v>
      </c>
      <c r="U939" t="s">
        <v>5123</v>
      </c>
      <c r="V939" t="s">
        <v>24</v>
      </c>
      <c r="W939" t="s">
        <v>23</v>
      </c>
    </row>
    <row r="940" spans="1:23" x14ac:dyDescent="0.3">
      <c r="A940" t="s">
        <v>2003</v>
      </c>
      <c r="B940" t="s">
        <v>13</v>
      </c>
      <c r="C940" t="s">
        <v>192</v>
      </c>
      <c r="D940" t="s">
        <v>63</v>
      </c>
      <c r="E940" t="s">
        <v>5134</v>
      </c>
      <c r="F940" t="s">
        <v>5133</v>
      </c>
      <c r="G940" t="s">
        <v>41</v>
      </c>
      <c r="H940" t="s">
        <v>31</v>
      </c>
      <c r="I940" t="str">
        <f>LEFT(H940,FIND(" (",H940)-1)</f>
        <v>Staff/Principal</v>
      </c>
      <c r="J940" t="str">
        <f>MID(H940,FIND("(",H940)+1,FIND(")",H940)-FIND("(",H940)-1)</f>
        <v>8+ yrs</v>
      </c>
      <c r="L940">
        <v>208776</v>
      </c>
      <c r="M940" t="s">
        <v>2004</v>
      </c>
      <c r="N940" t="s">
        <v>186</v>
      </c>
      <c r="O940" t="s">
        <v>51</v>
      </c>
      <c r="P940" s="1">
        <v>45675</v>
      </c>
      <c r="Q940">
        <v>1316</v>
      </c>
      <c r="R940">
        <v>965</v>
      </c>
      <c r="S940" t="s">
        <v>23</v>
      </c>
      <c r="T940">
        <v>6</v>
      </c>
      <c r="U940" t="s">
        <v>45</v>
      </c>
      <c r="V940" t="s">
        <v>24</v>
      </c>
      <c r="W940" t="s">
        <v>34</v>
      </c>
    </row>
    <row r="941" spans="1:23" x14ac:dyDescent="0.3">
      <c r="A941" t="s">
        <v>2005</v>
      </c>
      <c r="B941" t="s">
        <v>131</v>
      </c>
      <c r="C941" t="s">
        <v>128</v>
      </c>
      <c r="D941" t="s">
        <v>125</v>
      </c>
      <c r="E941" t="s">
        <v>200</v>
      </c>
      <c r="F941" t="s">
        <v>201</v>
      </c>
      <c r="G941" t="s">
        <v>41</v>
      </c>
      <c r="H941" t="s">
        <v>66</v>
      </c>
      <c r="I941" t="str">
        <f>LEFT(H941,FIND(" (",H941)-1)</f>
        <v>Senior</v>
      </c>
      <c r="J941" t="str">
        <f>MID(H941,FIND("(",H941)+1,FIND(")",H941)-FIND("(",H941)-1)</f>
        <v>5-8 yrs</v>
      </c>
      <c r="L941">
        <v>134769</v>
      </c>
      <c r="M941" t="s">
        <v>2006</v>
      </c>
      <c r="N941" t="s">
        <v>33</v>
      </c>
      <c r="O941" t="s">
        <v>22</v>
      </c>
      <c r="P941" s="1">
        <v>45350</v>
      </c>
      <c r="Q941">
        <v>2213</v>
      </c>
      <c r="R941">
        <v>218</v>
      </c>
      <c r="S941" t="s">
        <v>23</v>
      </c>
      <c r="T941">
        <v>4</v>
      </c>
      <c r="U941" t="s">
        <v>83</v>
      </c>
      <c r="V941" t="s">
        <v>59</v>
      </c>
      <c r="W941" t="s">
        <v>34</v>
      </c>
    </row>
    <row r="942" spans="1:23" x14ac:dyDescent="0.3">
      <c r="A942" t="s">
        <v>2007</v>
      </c>
      <c r="B942" t="s">
        <v>329</v>
      </c>
      <c r="C942" t="s">
        <v>128</v>
      </c>
      <c r="D942" t="s">
        <v>75</v>
      </c>
      <c r="E942" t="s">
        <v>102</v>
      </c>
      <c r="F942" t="s">
        <v>103</v>
      </c>
      <c r="G942" t="s">
        <v>41</v>
      </c>
      <c r="H942" t="s">
        <v>19</v>
      </c>
      <c r="I942" t="str">
        <f>LEFT(H942,FIND(" (",H942)-1)</f>
        <v>Entry</v>
      </c>
      <c r="J942" t="str">
        <f>MID(H942,FIND("(",H942)+1,FIND(")",H942)-FIND("(",H942)-1)</f>
        <v>0-2 yrs</v>
      </c>
      <c r="L942">
        <v>53868</v>
      </c>
      <c r="M942" t="s">
        <v>2008</v>
      </c>
      <c r="N942" t="s">
        <v>149</v>
      </c>
      <c r="O942" t="s">
        <v>79</v>
      </c>
      <c r="P942" s="1">
        <v>45629</v>
      </c>
      <c r="Q942">
        <v>642</v>
      </c>
      <c r="R942">
        <v>973</v>
      </c>
      <c r="S942" t="s">
        <v>23</v>
      </c>
      <c r="T942">
        <v>0</v>
      </c>
      <c r="U942" t="s">
        <v>83</v>
      </c>
      <c r="V942" t="s">
        <v>24</v>
      </c>
      <c r="W942" t="s">
        <v>23</v>
      </c>
    </row>
    <row r="943" spans="1:23" x14ac:dyDescent="0.3">
      <c r="A943" t="s">
        <v>2009</v>
      </c>
      <c r="B943" t="s">
        <v>143</v>
      </c>
      <c r="C943" t="s">
        <v>239</v>
      </c>
      <c r="D943" t="s">
        <v>75</v>
      </c>
      <c r="E943" t="s">
        <v>64</v>
      </c>
      <c r="F943" t="s">
        <v>65</v>
      </c>
      <c r="G943" t="s">
        <v>55</v>
      </c>
      <c r="H943" t="s">
        <v>31</v>
      </c>
      <c r="I943" t="str">
        <f>LEFT(H943,FIND(" (",H943)-1)</f>
        <v>Staff/Principal</v>
      </c>
      <c r="J943" t="str">
        <f>MID(H943,FIND("(",H943)+1,FIND(")",H943)-FIND("(",H943)-1)</f>
        <v>8+ yrs</v>
      </c>
      <c r="L943">
        <v>231408</v>
      </c>
      <c r="M943" t="s">
        <v>2010</v>
      </c>
      <c r="N943" t="s">
        <v>120</v>
      </c>
      <c r="O943" t="s">
        <v>22</v>
      </c>
      <c r="P943" s="1">
        <v>45334</v>
      </c>
      <c r="Q943">
        <v>589</v>
      </c>
      <c r="R943">
        <v>3985</v>
      </c>
      <c r="S943" t="s">
        <v>23</v>
      </c>
      <c r="T943">
        <v>6</v>
      </c>
      <c r="U943" t="s">
        <v>58</v>
      </c>
      <c r="V943" t="s">
        <v>59</v>
      </c>
      <c r="W943" t="s">
        <v>34</v>
      </c>
    </row>
    <row r="944" spans="1:23" x14ac:dyDescent="0.3">
      <c r="A944" t="s">
        <v>2011</v>
      </c>
      <c r="B944" t="s">
        <v>61</v>
      </c>
      <c r="C944" t="s">
        <v>226</v>
      </c>
      <c r="D944" t="s">
        <v>63</v>
      </c>
      <c r="E944" t="s">
        <v>5137</v>
      </c>
      <c r="F944" t="s">
        <v>5138</v>
      </c>
      <c r="G944" t="s">
        <v>41</v>
      </c>
      <c r="H944" t="s">
        <v>56</v>
      </c>
      <c r="I944" t="str">
        <f>LEFT(H944,FIND(" (",H944)-1)</f>
        <v>Mid</v>
      </c>
      <c r="J944" t="str">
        <f>MID(H944,FIND("(",H944)+1,FIND(")",H944)-FIND("(",H944)-1)</f>
        <v>2-5 yrs</v>
      </c>
      <c r="L944">
        <v>122873</v>
      </c>
      <c r="M944" t="s">
        <v>2012</v>
      </c>
      <c r="N944" t="s">
        <v>33</v>
      </c>
      <c r="O944" t="s">
        <v>79</v>
      </c>
      <c r="P944" s="1">
        <v>45742</v>
      </c>
      <c r="Q944">
        <v>1006</v>
      </c>
      <c r="R944">
        <v>262</v>
      </c>
      <c r="S944" t="s">
        <v>23</v>
      </c>
      <c r="T944">
        <v>2</v>
      </c>
      <c r="U944" t="s">
        <v>45</v>
      </c>
      <c r="V944" t="s">
        <v>24</v>
      </c>
      <c r="W944" t="s">
        <v>34</v>
      </c>
    </row>
    <row r="945" spans="1:23" x14ac:dyDescent="0.3">
      <c r="A945" t="s">
        <v>2013</v>
      </c>
      <c r="B945" t="s">
        <v>236</v>
      </c>
      <c r="C945" t="s">
        <v>71</v>
      </c>
      <c r="D945" t="s">
        <v>49</v>
      </c>
      <c r="E945" t="s">
        <v>5136</v>
      </c>
      <c r="F945" t="s">
        <v>5133</v>
      </c>
      <c r="G945" t="s">
        <v>55</v>
      </c>
      <c r="H945" t="s">
        <v>31</v>
      </c>
      <c r="I945" t="str">
        <f>LEFT(H945,FIND(" (",H945)-1)</f>
        <v>Staff/Principal</v>
      </c>
      <c r="J945" t="str">
        <f>MID(H945,FIND("(",H945)+1,FIND(")",H945)-FIND("(",H945)-1)</f>
        <v>8+ yrs</v>
      </c>
      <c r="L945">
        <v>196429</v>
      </c>
      <c r="M945" t="s">
        <v>2014</v>
      </c>
      <c r="N945" t="s">
        <v>149</v>
      </c>
      <c r="O945" t="s">
        <v>79</v>
      </c>
      <c r="P945" s="1">
        <v>45384</v>
      </c>
      <c r="Q945">
        <v>2392</v>
      </c>
      <c r="R945">
        <v>3659</v>
      </c>
      <c r="S945" t="s">
        <v>23</v>
      </c>
      <c r="T945">
        <v>6</v>
      </c>
      <c r="U945" t="s">
        <v>83</v>
      </c>
      <c r="V945" t="s">
        <v>24</v>
      </c>
      <c r="W945" t="s">
        <v>34</v>
      </c>
    </row>
    <row r="946" spans="1:23" x14ac:dyDescent="0.3">
      <c r="A946" t="s">
        <v>2015</v>
      </c>
      <c r="B946" t="s">
        <v>329</v>
      </c>
      <c r="C946" t="s">
        <v>92</v>
      </c>
      <c r="D946" t="s">
        <v>49</v>
      </c>
      <c r="E946" t="s">
        <v>39</v>
      </c>
      <c r="F946" t="s">
        <v>40</v>
      </c>
      <c r="G946" t="s">
        <v>41</v>
      </c>
      <c r="H946" t="s">
        <v>56</v>
      </c>
      <c r="I946" t="str">
        <f>LEFT(H946,FIND(" (",H946)-1)</f>
        <v>Mid</v>
      </c>
      <c r="J946" t="str">
        <f>MID(H946,FIND("(",H946)+1,FIND(")",H946)-FIND("(",H946)-1)</f>
        <v>2-5 yrs</v>
      </c>
      <c r="L946">
        <v>146563</v>
      </c>
      <c r="M946" t="s">
        <v>2016</v>
      </c>
      <c r="N946" t="s">
        <v>43</v>
      </c>
      <c r="O946" t="s">
        <v>22</v>
      </c>
      <c r="P946" s="1">
        <v>45492</v>
      </c>
      <c r="Q946">
        <v>662</v>
      </c>
      <c r="R946">
        <v>3246</v>
      </c>
      <c r="S946" t="s">
        <v>23</v>
      </c>
      <c r="T946">
        <v>2</v>
      </c>
      <c r="U946" t="s">
        <v>5123</v>
      </c>
      <c r="V946" t="s">
        <v>24</v>
      </c>
      <c r="W946" t="s">
        <v>34</v>
      </c>
    </row>
    <row r="947" spans="1:23" x14ac:dyDescent="0.3">
      <c r="A947" t="s">
        <v>2017</v>
      </c>
      <c r="B947" t="s">
        <v>26</v>
      </c>
      <c r="C947" t="s">
        <v>146</v>
      </c>
      <c r="D947" t="s">
        <v>111</v>
      </c>
      <c r="E947" t="s">
        <v>102</v>
      </c>
      <c r="F947" t="s">
        <v>103</v>
      </c>
      <c r="G947" t="s">
        <v>41</v>
      </c>
      <c r="H947" t="s">
        <v>56</v>
      </c>
      <c r="I947" t="str">
        <f>LEFT(H947,FIND(" (",H947)-1)</f>
        <v>Mid</v>
      </c>
      <c r="J947" t="str">
        <f>MID(H947,FIND("(",H947)+1,FIND(")",H947)-FIND("(",H947)-1)</f>
        <v>2-5 yrs</v>
      </c>
      <c r="L947">
        <v>88812</v>
      </c>
      <c r="M947" t="s">
        <v>2018</v>
      </c>
      <c r="N947" t="s">
        <v>33</v>
      </c>
      <c r="O947" t="s">
        <v>44</v>
      </c>
      <c r="P947" s="1">
        <v>45637</v>
      </c>
      <c r="Q947">
        <v>1930</v>
      </c>
      <c r="R947">
        <v>754</v>
      </c>
      <c r="S947" t="s">
        <v>23</v>
      </c>
      <c r="T947">
        <v>2</v>
      </c>
      <c r="U947" t="s">
        <v>5123</v>
      </c>
      <c r="V947" t="s">
        <v>59</v>
      </c>
      <c r="W947" t="s">
        <v>23</v>
      </c>
    </row>
    <row r="948" spans="1:23" x14ac:dyDescent="0.3">
      <c r="A948" t="s">
        <v>2019</v>
      </c>
      <c r="B948" t="s">
        <v>81</v>
      </c>
      <c r="C948" t="s">
        <v>110</v>
      </c>
      <c r="D948" t="s">
        <v>63</v>
      </c>
      <c r="E948" t="s">
        <v>5134</v>
      </c>
      <c r="F948" t="s">
        <v>5133</v>
      </c>
      <c r="G948" t="s">
        <v>41</v>
      </c>
      <c r="H948" t="s">
        <v>31</v>
      </c>
      <c r="I948" t="str">
        <f>LEFT(H948,FIND(" (",H948)-1)</f>
        <v>Staff/Principal</v>
      </c>
      <c r="J948" t="str">
        <f>MID(H948,FIND("(",H948)+1,FIND(")",H948)-FIND("(",H948)-1)</f>
        <v>8+ yrs</v>
      </c>
      <c r="L948">
        <v>145081</v>
      </c>
      <c r="M948" t="s">
        <v>2020</v>
      </c>
      <c r="N948" t="s">
        <v>68</v>
      </c>
      <c r="O948" t="s">
        <v>22</v>
      </c>
      <c r="P948" s="1">
        <v>45660</v>
      </c>
      <c r="Q948">
        <v>1684</v>
      </c>
      <c r="R948">
        <v>428</v>
      </c>
      <c r="S948" t="s">
        <v>23</v>
      </c>
      <c r="T948">
        <v>6</v>
      </c>
      <c r="U948" t="s">
        <v>52</v>
      </c>
      <c r="V948" t="s">
        <v>46</v>
      </c>
      <c r="W948" t="s">
        <v>34</v>
      </c>
    </row>
    <row r="949" spans="1:23" x14ac:dyDescent="0.3">
      <c r="A949" t="s">
        <v>2021</v>
      </c>
      <c r="B949" t="s">
        <v>91</v>
      </c>
      <c r="C949" t="s">
        <v>173</v>
      </c>
      <c r="D949" t="s">
        <v>75</v>
      </c>
      <c r="E949" t="s">
        <v>16</v>
      </c>
      <c r="F949" t="s">
        <v>17</v>
      </c>
      <c r="G949" t="s">
        <v>41</v>
      </c>
      <c r="H949" t="s">
        <v>31</v>
      </c>
      <c r="I949" t="str">
        <f>LEFT(H949,FIND(" (",H949)-1)</f>
        <v>Staff/Principal</v>
      </c>
      <c r="J949" t="str">
        <f>MID(H949,FIND("(",H949)+1,FIND(")",H949)-FIND("(",H949)-1)</f>
        <v>8+ yrs</v>
      </c>
      <c r="L949">
        <v>175091</v>
      </c>
      <c r="M949" t="s">
        <v>2022</v>
      </c>
      <c r="N949" t="s">
        <v>33</v>
      </c>
      <c r="O949" t="s">
        <v>51</v>
      </c>
      <c r="P949" s="1">
        <v>45356</v>
      </c>
      <c r="Q949">
        <v>2355</v>
      </c>
      <c r="R949">
        <v>943</v>
      </c>
      <c r="S949" t="s">
        <v>23</v>
      </c>
      <c r="T949">
        <v>6</v>
      </c>
      <c r="U949" t="s">
        <v>58</v>
      </c>
      <c r="V949" t="s">
        <v>24</v>
      </c>
      <c r="W949" t="s">
        <v>34</v>
      </c>
    </row>
    <row r="950" spans="1:23" x14ac:dyDescent="0.3">
      <c r="A950" t="s">
        <v>2023</v>
      </c>
      <c r="B950" t="s">
        <v>96</v>
      </c>
      <c r="C950" t="s">
        <v>110</v>
      </c>
      <c r="D950" t="s">
        <v>28</v>
      </c>
      <c r="E950" t="s">
        <v>76</v>
      </c>
      <c r="F950" t="s">
        <v>77</v>
      </c>
      <c r="G950" t="s">
        <v>18</v>
      </c>
      <c r="H950" t="s">
        <v>56</v>
      </c>
      <c r="I950" t="str">
        <f>LEFT(H950,FIND(" (",H950)-1)</f>
        <v>Mid</v>
      </c>
      <c r="J950" t="str">
        <f>MID(H950,FIND("(",H950)+1,FIND(")",H950)-FIND("(",H950)-1)</f>
        <v>2-5 yrs</v>
      </c>
      <c r="L950">
        <v>109097</v>
      </c>
      <c r="M950" t="s">
        <v>2024</v>
      </c>
      <c r="N950" t="s">
        <v>33</v>
      </c>
      <c r="O950" t="s">
        <v>22</v>
      </c>
      <c r="P950" s="1">
        <v>45586</v>
      </c>
      <c r="Q950">
        <v>762</v>
      </c>
      <c r="R950">
        <v>2412</v>
      </c>
      <c r="S950" t="s">
        <v>99</v>
      </c>
      <c r="T950">
        <v>2</v>
      </c>
      <c r="U950" t="s">
        <v>52</v>
      </c>
      <c r="V950" t="s">
        <v>24</v>
      </c>
      <c r="W950" t="s">
        <v>23</v>
      </c>
    </row>
    <row r="951" spans="1:23" x14ac:dyDescent="0.3">
      <c r="A951" t="s">
        <v>2025</v>
      </c>
      <c r="B951" t="s">
        <v>85</v>
      </c>
      <c r="C951" t="s">
        <v>27</v>
      </c>
      <c r="D951" t="s">
        <v>125</v>
      </c>
      <c r="E951" t="s">
        <v>87</v>
      </c>
      <c r="F951" t="s">
        <v>87</v>
      </c>
      <c r="G951" t="s">
        <v>41</v>
      </c>
      <c r="H951" t="s">
        <v>56</v>
      </c>
      <c r="I951" t="str">
        <f>LEFT(H951,FIND(" (",H951)-1)</f>
        <v>Mid</v>
      </c>
      <c r="J951" t="str">
        <f>MID(H951,FIND("(",H951)+1,FIND(")",H951)-FIND("(",H951)-1)</f>
        <v>2-5 yrs</v>
      </c>
      <c r="L951">
        <v>114818</v>
      </c>
      <c r="M951" t="s">
        <v>2026</v>
      </c>
      <c r="N951" t="s">
        <v>33</v>
      </c>
      <c r="O951" t="s">
        <v>79</v>
      </c>
      <c r="P951" s="1">
        <v>45347</v>
      </c>
      <c r="Q951">
        <v>479</v>
      </c>
      <c r="R951">
        <v>3771</v>
      </c>
      <c r="S951" t="s">
        <v>23</v>
      </c>
      <c r="T951">
        <v>2</v>
      </c>
      <c r="U951" t="s">
        <v>83</v>
      </c>
      <c r="V951" t="s">
        <v>24</v>
      </c>
      <c r="W951" t="s">
        <v>34</v>
      </c>
    </row>
    <row r="952" spans="1:23" x14ac:dyDescent="0.3">
      <c r="A952" t="s">
        <v>2027</v>
      </c>
      <c r="B952" t="s">
        <v>151</v>
      </c>
      <c r="C952" t="s">
        <v>97</v>
      </c>
      <c r="D952" t="s">
        <v>15</v>
      </c>
      <c r="E952" t="s">
        <v>5141</v>
      </c>
      <c r="F952" t="s">
        <v>5133</v>
      </c>
      <c r="G952" t="s">
        <v>55</v>
      </c>
      <c r="H952" t="s">
        <v>56</v>
      </c>
      <c r="I952" t="str">
        <f>LEFT(H952,FIND(" (",H952)-1)</f>
        <v>Mid</v>
      </c>
      <c r="J952" t="str">
        <f>MID(H952,FIND("(",H952)+1,FIND(")",H952)-FIND("(",H952)-1)</f>
        <v>2-5 yrs</v>
      </c>
      <c r="L952">
        <v>105223</v>
      </c>
      <c r="M952" t="s">
        <v>2028</v>
      </c>
      <c r="N952" t="s">
        <v>43</v>
      </c>
      <c r="O952" t="s">
        <v>44</v>
      </c>
      <c r="P952" s="1">
        <v>45434</v>
      </c>
      <c r="Q952">
        <v>1484</v>
      </c>
      <c r="R952">
        <v>1130</v>
      </c>
      <c r="S952" t="s">
        <v>34</v>
      </c>
      <c r="T952">
        <v>2</v>
      </c>
      <c r="U952" t="s">
        <v>83</v>
      </c>
      <c r="V952" t="s">
        <v>24</v>
      </c>
      <c r="W952" t="s">
        <v>23</v>
      </c>
    </row>
    <row r="953" spans="1:23" x14ac:dyDescent="0.3">
      <c r="A953" t="s">
        <v>2029</v>
      </c>
      <c r="B953" t="s">
        <v>96</v>
      </c>
      <c r="C953" t="s">
        <v>239</v>
      </c>
      <c r="D953" t="s">
        <v>15</v>
      </c>
      <c r="E953" t="s">
        <v>5136</v>
      </c>
      <c r="F953" t="s">
        <v>5133</v>
      </c>
      <c r="G953" t="s">
        <v>41</v>
      </c>
      <c r="H953" t="s">
        <v>31</v>
      </c>
      <c r="I953" t="str">
        <f>LEFT(H953,FIND(" (",H953)-1)</f>
        <v>Staff/Principal</v>
      </c>
      <c r="J953" t="str">
        <f>MID(H953,FIND("(",H953)+1,FIND(")",H953)-FIND("(",H953)-1)</f>
        <v>8+ yrs</v>
      </c>
      <c r="L953">
        <v>212673</v>
      </c>
      <c r="M953" t="s">
        <v>2030</v>
      </c>
      <c r="N953" t="s">
        <v>94</v>
      </c>
      <c r="O953" t="s">
        <v>44</v>
      </c>
      <c r="P953" s="1">
        <v>45356</v>
      </c>
      <c r="Q953">
        <v>2191</v>
      </c>
      <c r="R953">
        <v>3423</v>
      </c>
      <c r="S953" t="s">
        <v>23</v>
      </c>
      <c r="T953">
        <v>6</v>
      </c>
      <c r="U953" t="s">
        <v>5123</v>
      </c>
      <c r="V953" t="s">
        <v>24</v>
      </c>
      <c r="W953" t="s">
        <v>34</v>
      </c>
    </row>
    <row r="954" spans="1:23" x14ac:dyDescent="0.3">
      <c r="A954" t="s">
        <v>2031</v>
      </c>
      <c r="B954" t="s">
        <v>329</v>
      </c>
      <c r="C954" t="s">
        <v>195</v>
      </c>
      <c r="D954" t="s">
        <v>38</v>
      </c>
      <c r="E954" t="s">
        <v>29</v>
      </c>
      <c r="F954" t="s">
        <v>30</v>
      </c>
      <c r="G954" t="s">
        <v>55</v>
      </c>
      <c r="H954" t="s">
        <v>19</v>
      </c>
      <c r="I954" t="str">
        <f>LEFT(H954,FIND(" (",H954)-1)</f>
        <v>Entry</v>
      </c>
      <c r="J954" t="str">
        <f>MID(H954,FIND("(",H954)+1,FIND(")",H954)-FIND("(",H954)-1)</f>
        <v>0-2 yrs</v>
      </c>
      <c r="L954">
        <v>54230</v>
      </c>
      <c r="M954" t="s">
        <v>2032</v>
      </c>
      <c r="N954" t="s">
        <v>94</v>
      </c>
      <c r="O954" t="s">
        <v>51</v>
      </c>
      <c r="P954" s="1">
        <v>45610</v>
      </c>
      <c r="Q954">
        <v>1921</v>
      </c>
      <c r="R954">
        <v>2862</v>
      </c>
      <c r="S954" t="s">
        <v>23</v>
      </c>
      <c r="T954">
        <v>0</v>
      </c>
      <c r="U954" t="s">
        <v>58</v>
      </c>
      <c r="V954" t="s">
        <v>24</v>
      </c>
      <c r="W954" t="s">
        <v>23</v>
      </c>
    </row>
    <row r="955" spans="1:23" x14ac:dyDescent="0.3">
      <c r="A955" t="s">
        <v>2033</v>
      </c>
      <c r="B955" t="s">
        <v>143</v>
      </c>
      <c r="C955" t="s">
        <v>107</v>
      </c>
      <c r="D955" t="s">
        <v>111</v>
      </c>
      <c r="E955" t="s">
        <v>5136</v>
      </c>
      <c r="F955" t="s">
        <v>5133</v>
      </c>
      <c r="G955" t="s">
        <v>18</v>
      </c>
      <c r="H955" t="s">
        <v>66</v>
      </c>
      <c r="I955" t="str">
        <f>LEFT(H955,FIND(" (",H955)-1)</f>
        <v>Senior</v>
      </c>
      <c r="J955" t="str">
        <f>MID(H955,FIND("(",H955)+1,FIND(")",H955)-FIND("(",H955)-1)</f>
        <v>5-8 yrs</v>
      </c>
      <c r="L955">
        <v>188981</v>
      </c>
      <c r="M955" t="s">
        <v>2034</v>
      </c>
      <c r="N955" t="s">
        <v>68</v>
      </c>
      <c r="O955" t="s">
        <v>51</v>
      </c>
      <c r="P955" s="1">
        <v>45593</v>
      </c>
      <c r="Q955">
        <v>539</v>
      </c>
      <c r="R955">
        <v>3470</v>
      </c>
      <c r="S955" t="s">
        <v>23</v>
      </c>
      <c r="T955">
        <v>4</v>
      </c>
      <c r="U955" t="s">
        <v>58</v>
      </c>
      <c r="V955" t="s">
        <v>46</v>
      </c>
      <c r="W955" t="s">
        <v>34</v>
      </c>
    </row>
    <row r="956" spans="1:23" x14ac:dyDescent="0.3">
      <c r="A956" t="s">
        <v>2035</v>
      </c>
      <c r="B956" t="s">
        <v>137</v>
      </c>
      <c r="C956" t="s">
        <v>74</v>
      </c>
      <c r="D956" t="s">
        <v>75</v>
      </c>
      <c r="E956" t="s">
        <v>5141</v>
      </c>
      <c r="F956" t="s">
        <v>5133</v>
      </c>
      <c r="G956" t="s">
        <v>18</v>
      </c>
      <c r="H956" t="s">
        <v>19</v>
      </c>
      <c r="I956" t="str">
        <f>LEFT(H956,FIND(" (",H956)-1)</f>
        <v>Entry</v>
      </c>
      <c r="J956" t="str">
        <f>MID(H956,FIND("(",H956)+1,FIND(")",H956)-FIND("(",H956)-1)</f>
        <v>0-2 yrs</v>
      </c>
      <c r="L956">
        <v>68964</v>
      </c>
      <c r="M956" t="s">
        <v>2036</v>
      </c>
      <c r="N956" t="s">
        <v>21</v>
      </c>
      <c r="O956" t="s">
        <v>44</v>
      </c>
      <c r="P956" s="1">
        <v>45534</v>
      </c>
      <c r="Q956">
        <v>1148</v>
      </c>
      <c r="R956">
        <v>1735</v>
      </c>
      <c r="S956" t="s">
        <v>23</v>
      </c>
      <c r="T956">
        <v>0</v>
      </c>
      <c r="U956" t="s">
        <v>58</v>
      </c>
      <c r="V956" t="s">
        <v>46</v>
      </c>
      <c r="W956" t="s">
        <v>23</v>
      </c>
    </row>
    <row r="957" spans="1:23" x14ac:dyDescent="0.3">
      <c r="A957" t="s">
        <v>2037</v>
      </c>
      <c r="B957" t="s">
        <v>13</v>
      </c>
      <c r="C957" t="s">
        <v>179</v>
      </c>
      <c r="D957" t="s">
        <v>125</v>
      </c>
      <c r="E957" t="s">
        <v>5132</v>
      </c>
      <c r="F957" t="s">
        <v>5133</v>
      </c>
      <c r="G957" t="s">
        <v>18</v>
      </c>
      <c r="H957" t="s">
        <v>66</v>
      </c>
      <c r="I957" t="str">
        <f>LEFT(H957,FIND(" (",H957)-1)</f>
        <v>Senior</v>
      </c>
      <c r="J957" t="str">
        <f>MID(H957,FIND("(",H957)+1,FIND(")",H957)-FIND("(",H957)-1)</f>
        <v>5-8 yrs</v>
      </c>
      <c r="L957">
        <v>180166</v>
      </c>
      <c r="M957" t="s">
        <v>2038</v>
      </c>
      <c r="N957" t="s">
        <v>33</v>
      </c>
      <c r="O957" t="s">
        <v>22</v>
      </c>
      <c r="P957" s="1">
        <v>45320</v>
      </c>
      <c r="Q957">
        <v>1324</v>
      </c>
      <c r="R957">
        <v>742</v>
      </c>
      <c r="S957" t="s">
        <v>34</v>
      </c>
      <c r="T957">
        <v>4</v>
      </c>
      <c r="U957" t="s">
        <v>58</v>
      </c>
      <c r="V957" t="s">
        <v>46</v>
      </c>
      <c r="W957" t="s">
        <v>23</v>
      </c>
    </row>
    <row r="958" spans="1:23" x14ac:dyDescent="0.3">
      <c r="A958" t="s">
        <v>2039</v>
      </c>
      <c r="B958" t="s">
        <v>36</v>
      </c>
      <c r="C958" t="s">
        <v>239</v>
      </c>
      <c r="D958" t="s">
        <v>28</v>
      </c>
      <c r="E958" t="s">
        <v>5139</v>
      </c>
      <c r="F958" t="s">
        <v>5133</v>
      </c>
      <c r="G958" t="s">
        <v>41</v>
      </c>
      <c r="H958" t="s">
        <v>31</v>
      </c>
      <c r="I958" t="str">
        <f>LEFT(H958,FIND(" (",H958)-1)</f>
        <v>Staff/Principal</v>
      </c>
      <c r="J958" t="str">
        <f>MID(H958,FIND("(",H958)+1,FIND(")",H958)-FIND("(",H958)-1)</f>
        <v>8+ yrs</v>
      </c>
      <c r="L958">
        <v>212338</v>
      </c>
      <c r="M958" t="s">
        <v>2040</v>
      </c>
      <c r="N958" t="s">
        <v>33</v>
      </c>
      <c r="O958" t="s">
        <v>51</v>
      </c>
      <c r="P958" s="1">
        <v>45317</v>
      </c>
      <c r="Q958">
        <v>1791</v>
      </c>
      <c r="R958">
        <v>2017</v>
      </c>
      <c r="S958" t="s">
        <v>23</v>
      </c>
      <c r="T958">
        <v>6</v>
      </c>
      <c r="U958" t="s">
        <v>45</v>
      </c>
      <c r="V958" t="s">
        <v>24</v>
      </c>
      <c r="W958" t="s">
        <v>34</v>
      </c>
    </row>
    <row r="959" spans="1:23" x14ac:dyDescent="0.3">
      <c r="A959" t="s">
        <v>2041</v>
      </c>
      <c r="B959" t="s">
        <v>172</v>
      </c>
      <c r="C959" t="s">
        <v>86</v>
      </c>
      <c r="D959" t="s">
        <v>147</v>
      </c>
      <c r="E959" t="s">
        <v>5132</v>
      </c>
      <c r="F959" t="s">
        <v>5133</v>
      </c>
      <c r="G959" t="s">
        <v>55</v>
      </c>
      <c r="H959" t="s">
        <v>66</v>
      </c>
      <c r="I959" t="str">
        <f>LEFT(H959,FIND(" (",H959)-1)</f>
        <v>Senior</v>
      </c>
      <c r="J959" t="str">
        <f>MID(H959,FIND("(",H959)+1,FIND(")",H959)-FIND("(",H959)-1)</f>
        <v>5-8 yrs</v>
      </c>
      <c r="L959">
        <v>162332</v>
      </c>
      <c r="M959" t="s">
        <v>2042</v>
      </c>
      <c r="N959" t="s">
        <v>141</v>
      </c>
      <c r="O959" t="s">
        <v>44</v>
      </c>
      <c r="P959" s="1">
        <v>45390</v>
      </c>
      <c r="Q959">
        <v>1054</v>
      </c>
      <c r="R959">
        <v>3165</v>
      </c>
      <c r="S959" t="s">
        <v>23</v>
      </c>
      <c r="T959">
        <v>4</v>
      </c>
      <c r="U959" t="s">
        <v>45</v>
      </c>
      <c r="V959" t="s">
        <v>24</v>
      </c>
      <c r="W959" t="s">
        <v>34</v>
      </c>
    </row>
    <row r="960" spans="1:23" x14ac:dyDescent="0.3">
      <c r="A960" t="s">
        <v>2043</v>
      </c>
      <c r="B960" t="s">
        <v>236</v>
      </c>
      <c r="C960" t="s">
        <v>14</v>
      </c>
      <c r="D960" t="s">
        <v>63</v>
      </c>
      <c r="E960" t="s">
        <v>29</v>
      </c>
      <c r="F960" t="s">
        <v>30</v>
      </c>
      <c r="G960" t="s">
        <v>55</v>
      </c>
      <c r="H960" t="s">
        <v>66</v>
      </c>
      <c r="I960" t="str">
        <f>LEFT(H960,FIND(" (",H960)-1)</f>
        <v>Senior</v>
      </c>
      <c r="J960" t="str">
        <f>MID(H960,FIND("(",H960)+1,FIND(")",H960)-FIND("(",H960)-1)</f>
        <v>5-8 yrs</v>
      </c>
      <c r="L960">
        <v>165383</v>
      </c>
      <c r="M960" t="s">
        <v>2044</v>
      </c>
      <c r="N960" t="s">
        <v>89</v>
      </c>
      <c r="O960" t="s">
        <v>51</v>
      </c>
      <c r="P960" s="1">
        <v>45296</v>
      </c>
      <c r="Q960">
        <v>2241</v>
      </c>
      <c r="R960">
        <v>1282</v>
      </c>
      <c r="S960" t="s">
        <v>23</v>
      </c>
      <c r="T960">
        <v>4</v>
      </c>
      <c r="U960" t="s">
        <v>45</v>
      </c>
      <c r="V960" t="s">
        <v>24</v>
      </c>
      <c r="W960" t="s">
        <v>34</v>
      </c>
    </row>
    <row r="961" spans="1:23" x14ac:dyDescent="0.3">
      <c r="A961" t="s">
        <v>2045</v>
      </c>
      <c r="B961" t="s">
        <v>13</v>
      </c>
      <c r="C961" t="s">
        <v>173</v>
      </c>
      <c r="D961" t="s">
        <v>75</v>
      </c>
      <c r="E961" t="s">
        <v>102</v>
      </c>
      <c r="F961" t="s">
        <v>103</v>
      </c>
      <c r="G961" t="s">
        <v>18</v>
      </c>
      <c r="H961" t="s">
        <v>19</v>
      </c>
      <c r="I961" t="str">
        <f>LEFT(H961,FIND(" (",H961)-1)</f>
        <v>Entry</v>
      </c>
      <c r="J961" t="str">
        <f>MID(H961,FIND("(",H961)+1,FIND(")",H961)-FIND("(",H961)-1)</f>
        <v>0-2 yrs</v>
      </c>
      <c r="L961">
        <v>75641</v>
      </c>
      <c r="M961" t="s">
        <v>2046</v>
      </c>
      <c r="N961" t="s">
        <v>33</v>
      </c>
      <c r="O961" t="s">
        <v>44</v>
      </c>
      <c r="P961" s="1">
        <v>45343</v>
      </c>
      <c r="Q961">
        <v>1890</v>
      </c>
      <c r="R961">
        <v>255</v>
      </c>
      <c r="S961" t="s">
        <v>34</v>
      </c>
      <c r="T961">
        <v>0</v>
      </c>
      <c r="U961" t="s">
        <v>83</v>
      </c>
      <c r="V961" t="s">
        <v>24</v>
      </c>
      <c r="W961" t="s">
        <v>23</v>
      </c>
    </row>
    <row r="962" spans="1:23" x14ac:dyDescent="0.3">
      <c r="A962" t="s">
        <v>2047</v>
      </c>
      <c r="B962" t="s">
        <v>131</v>
      </c>
      <c r="C962" t="s">
        <v>146</v>
      </c>
      <c r="D962" t="s">
        <v>15</v>
      </c>
      <c r="E962" t="s">
        <v>159</v>
      </c>
      <c r="F962" t="s">
        <v>160</v>
      </c>
      <c r="G962" t="s">
        <v>41</v>
      </c>
      <c r="H962" t="s">
        <v>31</v>
      </c>
      <c r="I962" t="str">
        <f>LEFT(H962,FIND(" (",H962)-1)</f>
        <v>Staff/Principal</v>
      </c>
      <c r="J962" t="str">
        <f>MID(H962,FIND("(",H962)+1,FIND(")",H962)-FIND("(",H962)-1)</f>
        <v>8+ yrs</v>
      </c>
      <c r="L962">
        <v>223138</v>
      </c>
      <c r="M962" t="s">
        <v>2048</v>
      </c>
      <c r="N962" t="s">
        <v>43</v>
      </c>
      <c r="O962" t="s">
        <v>79</v>
      </c>
      <c r="P962" s="1">
        <v>45578</v>
      </c>
      <c r="Q962">
        <v>1419</v>
      </c>
      <c r="R962">
        <v>1837</v>
      </c>
      <c r="S962" t="s">
        <v>34</v>
      </c>
      <c r="T962">
        <v>6</v>
      </c>
      <c r="U962" t="s">
        <v>58</v>
      </c>
      <c r="V962" t="s">
        <v>59</v>
      </c>
      <c r="W962" t="s">
        <v>23</v>
      </c>
    </row>
    <row r="963" spans="1:23" x14ac:dyDescent="0.3">
      <c r="A963" t="s">
        <v>2049</v>
      </c>
      <c r="B963" t="s">
        <v>329</v>
      </c>
      <c r="C963" t="s">
        <v>27</v>
      </c>
      <c r="D963" t="s">
        <v>38</v>
      </c>
      <c r="E963" t="s">
        <v>64</v>
      </c>
      <c r="F963" t="s">
        <v>65</v>
      </c>
      <c r="G963" t="s">
        <v>41</v>
      </c>
      <c r="H963" t="s">
        <v>19</v>
      </c>
      <c r="I963" t="str">
        <f>LEFT(H963,FIND(" (",H963)-1)</f>
        <v>Entry</v>
      </c>
      <c r="J963" t="str">
        <f>MID(H963,FIND("(",H963)+1,FIND(")",H963)-FIND("(",H963)-1)</f>
        <v>0-2 yrs</v>
      </c>
      <c r="L963">
        <v>86747</v>
      </c>
      <c r="M963" t="s">
        <v>2050</v>
      </c>
      <c r="N963" t="s">
        <v>89</v>
      </c>
      <c r="O963" t="s">
        <v>51</v>
      </c>
      <c r="P963" s="1">
        <v>45376</v>
      </c>
      <c r="Q963">
        <v>1880</v>
      </c>
      <c r="R963">
        <v>3558</v>
      </c>
      <c r="S963" t="s">
        <v>23</v>
      </c>
      <c r="T963">
        <v>0</v>
      </c>
      <c r="U963" t="s">
        <v>5123</v>
      </c>
      <c r="V963" t="s">
        <v>24</v>
      </c>
      <c r="W963" t="s">
        <v>34</v>
      </c>
    </row>
    <row r="964" spans="1:23" x14ac:dyDescent="0.3">
      <c r="A964" t="s">
        <v>2051</v>
      </c>
      <c r="B964" t="s">
        <v>222</v>
      </c>
      <c r="C964" t="s">
        <v>62</v>
      </c>
      <c r="D964" t="s">
        <v>174</v>
      </c>
      <c r="E964" t="s">
        <v>16</v>
      </c>
      <c r="F964" t="s">
        <v>17</v>
      </c>
      <c r="G964" t="s">
        <v>55</v>
      </c>
      <c r="H964" t="s">
        <v>66</v>
      </c>
      <c r="I964" t="str">
        <f>LEFT(H964,FIND(" (",H964)-1)</f>
        <v>Senior</v>
      </c>
      <c r="J964" t="str">
        <f>MID(H964,FIND("(",H964)+1,FIND(")",H964)-FIND("(",H964)-1)</f>
        <v>5-8 yrs</v>
      </c>
      <c r="L964">
        <v>155306</v>
      </c>
      <c r="M964" t="s">
        <v>2052</v>
      </c>
      <c r="N964" t="s">
        <v>33</v>
      </c>
      <c r="O964" t="s">
        <v>44</v>
      </c>
      <c r="P964" s="1">
        <v>45381</v>
      </c>
      <c r="Q964">
        <v>1782</v>
      </c>
      <c r="R964">
        <v>3274</v>
      </c>
      <c r="S964" t="s">
        <v>23</v>
      </c>
      <c r="T964">
        <v>4</v>
      </c>
      <c r="U964" t="s">
        <v>45</v>
      </c>
      <c r="V964" t="s">
        <v>24</v>
      </c>
      <c r="W964" t="s">
        <v>23</v>
      </c>
    </row>
    <row r="965" spans="1:23" x14ac:dyDescent="0.3">
      <c r="A965" t="s">
        <v>2053</v>
      </c>
      <c r="B965" t="s">
        <v>329</v>
      </c>
      <c r="C965" t="s">
        <v>209</v>
      </c>
      <c r="D965" t="s">
        <v>63</v>
      </c>
      <c r="E965" t="s">
        <v>230</v>
      </c>
      <c r="F965" t="s">
        <v>231</v>
      </c>
      <c r="G965" t="s">
        <v>41</v>
      </c>
      <c r="H965" t="s">
        <v>66</v>
      </c>
      <c r="I965" t="str">
        <f>LEFT(H965,FIND(" (",H965)-1)</f>
        <v>Senior</v>
      </c>
      <c r="J965" t="str">
        <f>MID(H965,FIND("(",H965)+1,FIND(")",H965)-FIND("(",H965)-1)</f>
        <v>5-8 yrs</v>
      </c>
      <c r="L965">
        <v>169143</v>
      </c>
      <c r="M965" t="s">
        <v>2054</v>
      </c>
      <c r="N965" t="s">
        <v>245</v>
      </c>
      <c r="O965" t="s">
        <v>22</v>
      </c>
      <c r="P965" s="1">
        <v>45438</v>
      </c>
      <c r="Q965">
        <v>2500</v>
      </c>
      <c r="R965">
        <v>2528</v>
      </c>
      <c r="S965" t="s">
        <v>23</v>
      </c>
      <c r="T965">
        <v>4</v>
      </c>
      <c r="U965" t="s">
        <v>58</v>
      </c>
      <c r="V965" t="s">
        <v>24</v>
      </c>
      <c r="W965" t="s">
        <v>23</v>
      </c>
    </row>
    <row r="966" spans="1:23" x14ac:dyDescent="0.3">
      <c r="A966" t="s">
        <v>2055</v>
      </c>
      <c r="B966" t="s">
        <v>70</v>
      </c>
      <c r="C966" t="s">
        <v>192</v>
      </c>
      <c r="D966" t="s">
        <v>125</v>
      </c>
      <c r="E966" t="s">
        <v>39</v>
      </c>
      <c r="F966" t="s">
        <v>40</v>
      </c>
      <c r="G966" t="s">
        <v>55</v>
      </c>
      <c r="H966" t="s">
        <v>31</v>
      </c>
      <c r="I966" t="str">
        <f>LEFT(H966,FIND(" (",H966)-1)</f>
        <v>Staff/Principal</v>
      </c>
      <c r="J966" t="str">
        <f>MID(H966,FIND("(",H966)+1,FIND(")",H966)-FIND("(",H966)-1)</f>
        <v>8+ yrs</v>
      </c>
      <c r="L966">
        <v>196769</v>
      </c>
      <c r="M966" t="s">
        <v>2056</v>
      </c>
      <c r="N966" t="s">
        <v>68</v>
      </c>
      <c r="O966" t="s">
        <v>22</v>
      </c>
      <c r="P966" s="1">
        <v>45495</v>
      </c>
      <c r="Q966">
        <v>1854</v>
      </c>
      <c r="R966">
        <v>2816</v>
      </c>
      <c r="S966" t="s">
        <v>34</v>
      </c>
      <c r="T966">
        <v>6</v>
      </c>
      <c r="U966" t="s">
        <v>5123</v>
      </c>
      <c r="V966" t="s">
        <v>59</v>
      </c>
      <c r="W966" t="s">
        <v>34</v>
      </c>
    </row>
    <row r="967" spans="1:23" x14ac:dyDescent="0.3">
      <c r="A967" t="s">
        <v>2057</v>
      </c>
      <c r="B967" t="s">
        <v>151</v>
      </c>
      <c r="C967" t="s">
        <v>204</v>
      </c>
      <c r="D967" t="s">
        <v>15</v>
      </c>
      <c r="E967" t="s">
        <v>5136</v>
      </c>
      <c r="F967" t="s">
        <v>5133</v>
      </c>
      <c r="G967" t="s">
        <v>41</v>
      </c>
      <c r="H967" t="s">
        <v>19</v>
      </c>
      <c r="I967" t="str">
        <f>LEFT(H967,FIND(" (",H967)-1)</f>
        <v>Entry</v>
      </c>
      <c r="J967" t="str">
        <f>MID(H967,FIND("(",H967)+1,FIND(")",H967)-FIND("(",H967)-1)</f>
        <v>0-2 yrs</v>
      </c>
      <c r="L967">
        <v>88145</v>
      </c>
      <c r="M967" t="s">
        <v>2058</v>
      </c>
      <c r="N967" t="s">
        <v>33</v>
      </c>
      <c r="O967" t="s">
        <v>51</v>
      </c>
      <c r="P967" s="1">
        <v>45490</v>
      </c>
      <c r="Q967">
        <v>1240</v>
      </c>
      <c r="R967">
        <v>1341</v>
      </c>
      <c r="S967" t="s">
        <v>23</v>
      </c>
      <c r="T967">
        <v>0</v>
      </c>
      <c r="U967" t="s">
        <v>83</v>
      </c>
      <c r="V967" t="s">
        <v>59</v>
      </c>
      <c r="W967" t="s">
        <v>34</v>
      </c>
    </row>
    <row r="968" spans="1:23" x14ac:dyDescent="0.3">
      <c r="A968" t="s">
        <v>2059</v>
      </c>
      <c r="B968" t="s">
        <v>91</v>
      </c>
      <c r="C968" t="s">
        <v>62</v>
      </c>
      <c r="D968" t="s">
        <v>49</v>
      </c>
      <c r="E968" t="s">
        <v>29</v>
      </c>
      <c r="F968" t="s">
        <v>30</v>
      </c>
      <c r="G968" t="s">
        <v>55</v>
      </c>
      <c r="H968" t="s">
        <v>66</v>
      </c>
      <c r="I968" t="str">
        <f>LEFT(H968,FIND(" (",H968)-1)</f>
        <v>Senior</v>
      </c>
      <c r="J968" t="str">
        <f>MID(H968,FIND("(",H968)+1,FIND(")",H968)-FIND("(",H968)-1)</f>
        <v>5-8 yrs</v>
      </c>
      <c r="L968">
        <v>131737</v>
      </c>
      <c r="M968" t="s">
        <v>2060</v>
      </c>
      <c r="N968" t="s">
        <v>149</v>
      </c>
      <c r="O968" t="s">
        <v>44</v>
      </c>
      <c r="P968" s="1">
        <v>45298</v>
      </c>
      <c r="Q968">
        <v>1923</v>
      </c>
      <c r="R968">
        <v>1814</v>
      </c>
      <c r="S968" t="s">
        <v>23</v>
      </c>
      <c r="T968">
        <v>4</v>
      </c>
      <c r="U968" t="s">
        <v>45</v>
      </c>
      <c r="V968" t="s">
        <v>24</v>
      </c>
      <c r="W968" t="s">
        <v>34</v>
      </c>
    </row>
    <row r="969" spans="1:23" x14ac:dyDescent="0.3">
      <c r="A969" t="s">
        <v>2061</v>
      </c>
      <c r="B969" t="s">
        <v>329</v>
      </c>
      <c r="C969" t="s">
        <v>86</v>
      </c>
      <c r="D969" t="s">
        <v>174</v>
      </c>
      <c r="E969" t="s">
        <v>102</v>
      </c>
      <c r="F969" t="s">
        <v>103</v>
      </c>
      <c r="G969" t="s">
        <v>18</v>
      </c>
      <c r="H969" t="s">
        <v>66</v>
      </c>
      <c r="I969" t="str">
        <f>LEFT(H969,FIND(" (",H969)-1)</f>
        <v>Senior</v>
      </c>
      <c r="J969" t="str">
        <f>MID(H969,FIND("(",H969)+1,FIND(")",H969)-FIND("(",H969)-1)</f>
        <v>5-8 yrs</v>
      </c>
      <c r="L969">
        <v>198625</v>
      </c>
      <c r="M969" t="s">
        <v>2062</v>
      </c>
      <c r="N969" t="s">
        <v>94</v>
      </c>
      <c r="O969" t="s">
        <v>51</v>
      </c>
      <c r="P969" s="1">
        <v>45422</v>
      </c>
      <c r="Q969">
        <v>2246</v>
      </c>
      <c r="R969">
        <v>2478</v>
      </c>
      <c r="S969" t="s">
        <v>23</v>
      </c>
      <c r="T969">
        <v>4</v>
      </c>
      <c r="U969" t="s">
        <v>58</v>
      </c>
      <c r="V969" t="s">
        <v>59</v>
      </c>
      <c r="W969" t="s">
        <v>23</v>
      </c>
    </row>
    <row r="970" spans="1:23" x14ac:dyDescent="0.3">
      <c r="A970" t="s">
        <v>2063</v>
      </c>
      <c r="B970" t="s">
        <v>151</v>
      </c>
      <c r="C970" t="s">
        <v>107</v>
      </c>
      <c r="D970" t="s">
        <v>147</v>
      </c>
      <c r="E970" t="s">
        <v>29</v>
      </c>
      <c r="F970" t="s">
        <v>30</v>
      </c>
      <c r="G970" t="s">
        <v>41</v>
      </c>
      <c r="H970" t="s">
        <v>66</v>
      </c>
      <c r="I970" t="str">
        <f>LEFT(H970,FIND(" (",H970)-1)</f>
        <v>Senior</v>
      </c>
      <c r="J970" t="str">
        <f>MID(H970,FIND("(",H970)+1,FIND(")",H970)-FIND("(",H970)-1)</f>
        <v>5-8 yrs</v>
      </c>
      <c r="L970">
        <v>148915</v>
      </c>
      <c r="M970" t="s">
        <v>2064</v>
      </c>
      <c r="N970" t="s">
        <v>94</v>
      </c>
      <c r="O970" t="s">
        <v>44</v>
      </c>
      <c r="P970" s="1">
        <v>45355</v>
      </c>
      <c r="Q970">
        <v>2043</v>
      </c>
      <c r="R970">
        <v>2411</v>
      </c>
      <c r="S970" t="s">
        <v>23</v>
      </c>
      <c r="T970">
        <v>4</v>
      </c>
      <c r="U970" t="s">
        <v>52</v>
      </c>
      <c r="V970" t="s">
        <v>59</v>
      </c>
      <c r="W970" t="s">
        <v>23</v>
      </c>
    </row>
    <row r="971" spans="1:23" x14ac:dyDescent="0.3">
      <c r="A971" t="s">
        <v>2065</v>
      </c>
      <c r="B971" t="s">
        <v>85</v>
      </c>
      <c r="C971" t="s">
        <v>48</v>
      </c>
      <c r="D971" t="s">
        <v>125</v>
      </c>
      <c r="E971" t="s">
        <v>230</v>
      </c>
      <c r="F971" t="s">
        <v>231</v>
      </c>
      <c r="G971" t="s">
        <v>55</v>
      </c>
      <c r="H971" t="s">
        <v>19</v>
      </c>
      <c r="I971" t="str">
        <f>LEFT(H971,FIND(" (",H971)-1)</f>
        <v>Entry</v>
      </c>
      <c r="J971" t="str">
        <f>MID(H971,FIND("(",H971)+1,FIND(")",H971)-FIND("(",H971)-1)</f>
        <v>0-2 yrs</v>
      </c>
      <c r="L971">
        <v>51972</v>
      </c>
      <c r="M971" t="s">
        <v>2066</v>
      </c>
      <c r="N971" t="s">
        <v>33</v>
      </c>
      <c r="O971" t="s">
        <v>22</v>
      </c>
      <c r="P971" s="1">
        <v>45453</v>
      </c>
      <c r="Q971">
        <v>1252</v>
      </c>
      <c r="R971">
        <v>159</v>
      </c>
      <c r="S971" t="s">
        <v>23</v>
      </c>
      <c r="T971">
        <v>0</v>
      </c>
      <c r="U971" t="s">
        <v>83</v>
      </c>
      <c r="V971" t="s">
        <v>24</v>
      </c>
      <c r="W971" t="s">
        <v>23</v>
      </c>
    </row>
    <row r="972" spans="1:23" x14ac:dyDescent="0.3">
      <c r="A972" t="s">
        <v>2067</v>
      </c>
      <c r="B972" t="s">
        <v>36</v>
      </c>
      <c r="C972" t="s">
        <v>209</v>
      </c>
      <c r="D972" t="s">
        <v>49</v>
      </c>
      <c r="E972" t="s">
        <v>16</v>
      </c>
      <c r="F972" t="s">
        <v>17</v>
      </c>
      <c r="G972" t="s">
        <v>18</v>
      </c>
      <c r="H972" t="s">
        <v>56</v>
      </c>
      <c r="I972" t="str">
        <f>LEFT(H972,FIND(" (",H972)-1)</f>
        <v>Mid</v>
      </c>
      <c r="J972" t="str">
        <f>MID(H972,FIND("(",H972)+1,FIND(")",H972)-FIND("(",H972)-1)</f>
        <v>2-5 yrs</v>
      </c>
      <c r="L972">
        <v>112536</v>
      </c>
      <c r="M972" t="s">
        <v>2068</v>
      </c>
      <c r="N972" t="s">
        <v>149</v>
      </c>
      <c r="O972" t="s">
        <v>79</v>
      </c>
      <c r="P972" s="1">
        <v>45396</v>
      </c>
      <c r="Q972">
        <v>2347</v>
      </c>
      <c r="R972">
        <v>133</v>
      </c>
      <c r="S972" t="s">
        <v>23</v>
      </c>
      <c r="T972">
        <v>2</v>
      </c>
      <c r="U972" t="s">
        <v>52</v>
      </c>
      <c r="V972" t="s">
        <v>46</v>
      </c>
      <c r="W972" t="s">
        <v>23</v>
      </c>
    </row>
    <row r="973" spans="1:23" x14ac:dyDescent="0.3">
      <c r="A973" t="s">
        <v>2069</v>
      </c>
      <c r="B973" t="s">
        <v>222</v>
      </c>
      <c r="C973" t="s">
        <v>92</v>
      </c>
      <c r="D973" t="s">
        <v>125</v>
      </c>
      <c r="E973" t="s">
        <v>200</v>
      </c>
      <c r="F973" t="s">
        <v>201</v>
      </c>
      <c r="G973" t="s">
        <v>41</v>
      </c>
      <c r="H973" t="s">
        <v>19</v>
      </c>
      <c r="I973" t="str">
        <f>LEFT(H973,FIND(" (",H973)-1)</f>
        <v>Entry</v>
      </c>
      <c r="J973" t="str">
        <f>MID(H973,FIND("(",H973)+1,FIND(")",H973)-FIND("(",H973)-1)</f>
        <v>0-2 yrs</v>
      </c>
      <c r="L973">
        <v>61418</v>
      </c>
      <c r="M973" t="s">
        <v>2070</v>
      </c>
      <c r="N973" t="s">
        <v>68</v>
      </c>
      <c r="O973" t="s">
        <v>44</v>
      </c>
      <c r="P973" s="1">
        <v>45400</v>
      </c>
      <c r="Q973">
        <v>366</v>
      </c>
      <c r="R973">
        <v>268</v>
      </c>
      <c r="S973" t="s">
        <v>23</v>
      </c>
      <c r="T973">
        <v>0</v>
      </c>
      <c r="U973" t="s">
        <v>58</v>
      </c>
      <c r="V973" t="s">
        <v>24</v>
      </c>
      <c r="W973" t="s">
        <v>34</v>
      </c>
    </row>
    <row r="974" spans="1:23" x14ac:dyDescent="0.3">
      <c r="A974" t="s">
        <v>2071</v>
      </c>
      <c r="B974" t="s">
        <v>229</v>
      </c>
      <c r="C974" t="s">
        <v>204</v>
      </c>
      <c r="D974" t="s">
        <v>174</v>
      </c>
      <c r="E974" t="s">
        <v>76</v>
      </c>
      <c r="F974" t="s">
        <v>77</v>
      </c>
      <c r="G974" t="s">
        <v>55</v>
      </c>
      <c r="H974" t="s">
        <v>19</v>
      </c>
      <c r="I974" t="str">
        <f>LEFT(H974,FIND(" (",H974)-1)</f>
        <v>Entry</v>
      </c>
      <c r="J974" t="str">
        <f>MID(H974,FIND("(",H974)+1,FIND(")",H974)-FIND("(",H974)-1)</f>
        <v>0-2 yrs</v>
      </c>
      <c r="L974">
        <v>80592</v>
      </c>
      <c r="M974" t="s">
        <v>2072</v>
      </c>
      <c r="N974" t="s">
        <v>120</v>
      </c>
      <c r="O974" t="s">
        <v>51</v>
      </c>
      <c r="P974" s="1">
        <v>45597</v>
      </c>
      <c r="Q974">
        <v>680</v>
      </c>
      <c r="R974">
        <v>1192</v>
      </c>
      <c r="S974" t="s">
        <v>34</v>
      </c>
      <c r="T974">
        <v>0</v>
      </c>
      <c r="U974" t="s">
        <v>52</v>
      </c>
      <c r="V974" t="s">
        <v>59</v>
      </c>
      <c r="W974" t="s">
        <v>34</v>
      </c>
    </row>
    <row r="975" spans="1:23" x14ac:dyDescent="0.3">
      <c r="A975" t="s">
        <v>2073</v>
      </c>
      <c r="B975" t="s">
        <v>236</v>
      </c>
      <c r="C975" t="s">
        <v>97</v>
      </c>
      <c r="D975" t="s">
        <v>125</v>
      </c>
      <c r="E975" t="s">
        <v>5136</v>
      </c>
      <c r="F975" t="s">
        <v>5133</v>
      </c>
      <c r="G975" t="s">
        <v>41</v>
      </c>
      <c r="H975" t="s">
        <v>56</v>
      </c>
      <c r="I975" t="str">
        <f>LEFT(H975,FIND(" (",H975)-1)</f>
        <v>Mid</v>
      </c>
      <c r="J975" t="str">
        <f>MID(H975,FIND("(",H975)+1,FIND(")",H975)-FIND("(",H975)-1)</f>
        <v>2-5 yrs</v>
      </c>
      <c r="L975">
        <v>97078</v>
      </c>
      <c r="M975" t="s">
        <v>2074</v>
      </c>
      <c r="N975" t="s">
        <v>94</v>
      </c>
      <c r="O975" t="s">
        <v>22</v>
      </c>
      <c r="P975" s="1">
        <v>45678</v>
      </c>
      <c r="Q975">
        <v>1567</v>
      </c>
      <c r="R975">
        <v>1683</v>
      </c>
      <c r="S975" t="s">
        <v>99</v>
      </c>
      <c r="T975">
        <v>2</v>
      </c>
      <c r="U975" t="s">
        <v>83</v>
      </c>
      <c r="V975" t="s">
        <v>24</v>
      </c>
      <c r="W975" t="s">
        <v>23</v>
      </c>
    </row>
    <row r="976" spans="1:23" x14ac:dyDescent="0.3">
      <c r="A976" t="s">
        <v>2075</v>
      </c>
      <c r="B976" t="s">
        <v>13</v>
      </c>
      <c r="C976" t="s">
        <v>124</v>
      </c>
      <c r="D976" t="s">
        <v>174</v>
      </c>
      <c r="E976" t="s">
        <v>5140</v>
      </c>
      <c r="F976" t="s">
        <v>5133</v>
      </c>
      <c r="G976" t="s">
        <v>18</v>
      </c>
      <c r="H976" t="s">
        <v>19</v>
      </c>
      <c r="I976" t="str">
        <f>LEFT(H976,FIND(" (",H976)-1)</f>
        <v>Entry</v>
      </c>
      <c r="J976" t="str">
        <f>MID(H976,FIND("(",H976)+1,FIND(")",H976)-FIND("(",H976)-1)</f>
        <v>0-2 yrs</v>
      </c>
      <c r="L976">
        <v>64378</v>
      </c>
      <c r="M976" t="s">
        <v>2076</v>
      </c>
      <c r="N976" t="s">
        <v>68</v>
      </c>
      <c r="O976" t="s">
        <v>44</v>
      </c>
      <c r="P976" s="1">
        <v>45687</v>
      </c>
      <c r="Q976">
        <v>1442</v>
      </c>
      <c r="R976">
        <v>3874</v>
      </c>
      <c r="S976" t="s">
        <v>23</v>
      </c>
      <c r="T976">
        <v>0</v>
      </c>
      <c r="U976" t="s">
        <v>83</v>
      </c>
      <c r="V976" t="s">
        <v>24</v>
      </c>
      <c r="W976" t="s">
        <v>23</v>
      </c>
    </row>
    <row r="977" spans="1:23" x14ac:dyDescent="0.3">
      <c r="A977" t="s">
        <v>2077</v>
      </c>
      <c r="B977" t="s">
        <v>236</v>
      </c>
      <c r="C977" t="s">
        <v>179</v>
      </c>
      <c r="D977" t="s">
        <v>49</v>
      </c>
      <c r="E977" t="s">
        <v>5135</v>
      </c>
      <c r="F977" t="s">
        <v>5133</v>
      </c>
      <c r="G977" t="s">
        <v>18</v>
      </c>
      <c r="H977" t="s">
        <v>19</v>
      </c>
      <c r="I977" t="str">
        <f>LEFT(H977,FIND(" (",H977)-1)</f>
        <v>Entry</v>
      </c>
      <c r="J977" t="str">
        <f>MID(H977,FIND("(",H977)+1,FIND(")",H977)-FIND("(",H977)-1)</f>
        <v>0-2 yrs</v>
      </c>
      <c r="L977">
        <v>50000</v>
      </c>
      <c r="M977" t="s">
        <v>2078</v>
      </c>
      <c r="N977" t="s">
        <v>43</v>
      </c>
      <c r="O977" t="s">
        <v>44</v>
      </c>
      <c r="P977" s="1">
        <v>45634</v>
      </c>
      <c r="Q977">
        <v>1220</v>
      </c>
      <c r="R977">
        <v>1165</v>
      </c>
      <c r="S977" t="s">
        <v>34</v>
      </c>
      <c r="T977">
        <v>0</v>
      </c>
      <c r="U977" t="s">
        <v>58</v>
      </c>
      <c r="V977" t="s">
        <v>24</v>
      </c>
      <c r="W977" t="s">
        <v>34</v>
      </c>
    </row>
    <row r="978" spans="1:23" x14ac:dyDescent="0.3">
      <c r="A978" t="s">
        <v>2079</v>
      </c>
      <c r="B978" t="s">
        <v>85</v>
      </c>
      <c r="C978" t="s">
        <v>179</v>
      </c>
      <c r="D978" t="s">
        <v>75</v>
      </c>
      <c r="E978" t="s">
        <v>216</v>
      </c>
      <c r="F978" t="s">
        <v>217</v>
      </c>
      <c r="G978" t="s">
        <v>41</v>
      </c>
      <c r="H978" t="s">
        <v>66</v>
      </c>
      <c r="I978" t="str">
        <f>LEFT(H978,FIND(" (",H978)-1)</f>
        <v>Senior</v>
      </c>
      <c r="J978" t="str">
        <f>MID(H978,FIND("(",H978)+1,FIND(")",H978)-FIND("(",H978)-1)</f>
        <v>5-8 yrs</v>
      </c>
      <c r="L978">
        <v>137787</v>
      </c>
      <c r="M978" t="s">
        <v>2080</v>
      </c>
      <c r="N978" t="s">
        <v>245</v>
      </c>
      <c r="O978" t="s">
        <v>22</v>
      </c>
      <c r="P978" s="1">
        <v>45559</v>
      </c>
      <c r="Q978">
        <v>2488</v>
      </c>
      <c r="R978">
        <v>2982</v>
      </c>
      <c r="S978" t="s">
        <v>23</v>
      </c>
      <c r="T978">
        <v>4</v>
      </c>
      <c r="U978" t="s">
        <v>83</v>
      </c>
      <c r="V978" t="s">
        <v>24</v>
      </c>
      <c r="W978" t="s">
        <v>34</v>
      </c>
    </row>
    <row r="979" spans="1:23" x14ac:dyDescent="0.3">
      <c r="A979" t="s">
        <v>2081</v>
      </c>
      <c r="B979" t="s">
        <v>172</v>
      </c>
      <c r="C979" t="s">
        <v>48</v>
      </c>
      <c r="D979" t="s">
        <v>63</v>
      </c>
      <c r="E979" t="s">
        <v>76</v>
      </c>
      <c r="F979" t="s">
        <v>77</v>
      </c>
      <c r="G979" t="s">
        <v>18</v>
      </c>
      <c r="H979" t="s">
        <v>19</v>
      </c>
      <c r="I979" t="str">
        <f>LEFT(H979,FIND(" (",H979)-1)</f>
        <v>Entry</v>
      </c>
      <c r="J979" t="str">
        <f>MID(H979,FIND("(",H979)+1,FIND(")",H979)-FIND("(",H979)-1)</f>
        <v>0-2 yrs</v>
      </c>
      <c r="L979">
        <v>50000</v>
      </c>
      <c r="M979" t="s">
        <v>2082</v>
      </c>
      <c r="N979" t="s">
        <v>33</v>
      </c>
      <c r="O979" t="s">
        <v>44</v>
      </c>
      <c r="P979" s="1">
        <v>45513</v>
      </c>
      <c r="Q979">
        <v>597</v>
      </c>
      <c r="R979">
        <v>1501</v>
      </c>
      <c r="S979" t="s">
        <v>34</v>
      </c>
      <c r="T979">
        <v>0</v>
      </c>
      <c r="U979" t="s">
        <v>83</v>
      </c>
      <c r="V979" t="s">
        <v>24</v>
      </c>
      <c r="W979" t="s">
        <v>34</v>
      </c>
    </row>
    <row r="980" spans="1:23" x14ac:dyDescent="0.3">
      <c r="A980" t="s">
        <v>2083</v>
      </c>
      <c r="B980" t="s">
        <v>70</v>
      </c>
      <c r="C980" t="s">
        <v>71</v>
      </c>
      <c r="D980" t="s">
        <v>174</v>
      </c>
      <c r="E980" t="s">
        <v>5134</v>
      </c>
      <c r="F980" t="s">
        <v>5133</v>
      </c>
      <c r="G980" t="s">
        <v>18</v>
      </c>
      <c r="H980" t="s">
        <v>31</v>
      </c>
      <c r="I980" t="str">
        <f>LEFT(H980,FIND(" (",H980)-1)</f>
        <v>Staff/Principal</v>
      </c>
      <c r="J980" t="str">
        <f>MID(H980,FIND("(",H980)+1,FIND(")",H980)-FIND("(",H980)-1)</f>
        <v>8+ yrs</v>
      </c>
      <c r="L980">
        <v>142979</v>
      </c>
      <c r="M980" t="s">
        <v>2084</v>
      </c>
      <c r="N980" t="s">
        <v>33</v>
      </c>
      <c r="O980" t="s">
        <v>51</v>
      </c>
      <c r="P980" s="1">
        <v>45596</v>
      </c>
      <c r="Q980">
        <v>2438</v>
      </c>
      <c r="R980">
        <v>2374</v>
      </c>
      <c r="S980" t="s">
        <v>23</v>
      </c>
      <c r="T980">
        <v>6</v>
      </c>
      <c r="U980" t="s">
        <v>52</v>
      </c>
      <c r="V980" t="s">
        <v>24</v>
      </c>
      <c r="W980" t="s">
        <v>34</v>
      </c>
    </row>
    <row r="981" spans="1:23" x14ac:dyDescent="0.3">
      <c r="A981" t="s">
        <v>2085</v>
      </c>
      <c r="B981" t="s">
        <v>70</v>
      </c>
      <c r="C981" t="s">
        <v>101</v>
      </c>
      <c r="D981" t="s">
        <v>63</v>
      </c>
      <c r="E981" t="s">
        <v>200</v>
      </c>
      <c r="F981" t="s">
        <v>201</v>
      </c>
      <c r="G981" t="s">
        <v>18</v>
      </c>
      <c r="H981" t="s">
        <v>19</v>
      </c>
      <c r="I981" t="str">
        <f>LEFT(H981,FIND(" (",H981)-1)</f>
        <v>Entry</v>
      </c>
      <c r="J981" t="str">
        <f>MID(H981,FIND("(",H981)+1,FIND(")",H981)-FIND("(",H981)-1)</f>
        <v>0-2 yrs</v>
      </c>
      <c r="L981">
        <v>79581</v>
      </c>
      <c r="M981" t="s">
        <v>2086</v>
      </c>
      <c r="N981" t="s">
        <v>43</v>
      </c>
      <c r="O981" t="s">
        <v>51</v>
      </c>
      <c r="P981" s="1">
        <v>45363</v>
      </c>
      <c r="Q981">
        <v>1491</v>
      </c>
      <c r="R981">
        <v>2902</v>
      </c>
      <c r="S981" t="s">
        <v>34</v>
      </c>
      <c r="T981">
        <v>0</v>
      </c>
      <c r="U981" t="s">
        <v>52</v>
      </c>
      <c r="V981" t="s">
        <v>24</v>
      </c>
      <c r="W981" t="s">
        <v>34</v>
      </c>
    </row>
    <row r="982" spans="1:23" x14ac:dyDescent="0.3">
      <c r="A982" t="s">
        <v>2087</v>
      </c>
      <c r="B982" t="s">
        <v>222</v>
      </c>
      <c r="C982" t="s">
        <v>14</v>
      </c>
      <c r="D982" t="s">
        <v>28</v>
      </c>
      <c r="E982" t="s">
        <v>5137</v>
      </c>
      <c r="F982" t="s">
        <v>5138</v>
      </c>
      <c r="G982" t="s">
        <v>41</v>
      </c>
      <c r="H982" t="s">
        <v>19</v>
      </c>
      <c r="I982" t="str">
        <f>LEFT(H982,FIND(" (",H982)-1)</f>
        <v>Entry</v>
      </c>
      <c r="J982" t="str">
        <f>MID(H982,FIND("(",H982)+1,FIND(")",H982)-FIND("(",H982)-1)</f>
        <v>0-2 yrs</v>
      </c>
      <c r="L982">
        <v>79901</v>
      </c>
      <c r="M982" t="s">
        <v>2088</v>
      </c>
      <c r="N982" t="s">
        <v>33</v>
      </c>
      <c r="O982" t="s">
        <v>22</v>
      </c>
      <c r="P982" s="1">
        <v>45700</v>
      </c>
      <c r="Q982">
        <v>877</v>
      </c>
      <c r="R982">
        <v>2480</v>
      </c>
      <c r="S982" t="s">
        <v>99</v>
      </c>
      <c r="T982">
        <v>0</v>
      </c>
      <c r="U982" t="s">
        <v>45</v>
      </c>
      <c r="V982" t="s">
        <v>24</v>
      </c>
      <c r="W982" t="s">
        <v>34</v>
      </c>
    </row>
    <row r="983" spans="1:23" x14ac:dyDescent="0.3">
      <c r="A983" t="s">
        <v>2089</v>
      </c>
      <c r="B983" t="s">
        <v>229</v>
      </c>
      <c r="C983" t="s">
        <v>226</v>
      </c>
      <c r="D983" t="s">
        <v>63</v>
      </c>
      <c r="E983" t="s">
        <v>5141</v>
      </c>
      <c r="F983" t="s">
        <v>5133</v>
      </c>
      <c r="G983" t="s">
        <v>18</v>
      </c>
      <c r="H983" t="s">
        <v>66</v>
      </c>
      <c r="I983" t="str">
        <f>LEFT(H983,FIND(" (",H983)-1)</f>
        <v>Senior</v>
      </c>
      <c r="J983" t="str">
        <f>MID(H983,FIND("(",H983)+1,FIND(")",H983)-FIND("(",H983)-1)</f>
        <v>5-8 yrs</v>
      </c>
      <c r="L983">
        <v>161487</v>
      </c>
      <c r="M983" t="s">
        <v>2090</v>
      </c>
      <c r="N983" t="s">
        <v>33</v>
      </c>
      <c r="O983" t="s">
        <v>44</v>
      </c>
      <c r="P983" s="1">
        <v>45359</v>
      </c>
      <c r="Q983">
        <v>485</v>
      </c>
      <c r="R983">
        <v>1316</v>
      </c>
      <c r="S983" t="s">
        <v>23</v>
      </c>
      <c r="T983">
        <v>4</v>
      </c>
      <c r="U983" t="s">
        <v>83</v>
      </c>
      <c r="V983" t="s">
        <v>24</v>
      </c>
      <c r="W983" t="s">
        <v>23</v>
      </c>
    </row>
    <row r="984" spans="1:23" x14ac:dyDescent="0.3">
      <c r="A984" t="s">
        <v>2091</v>
      </c>
      <c r="B984" t="s">
        <v>61</v>
      </c>
      <c r="C984" t="s">
        <v>86</v>
      </c>
      <c r="D984" t="s">
        <v>174</v>
      </c>
      <c r="E984" t="s">
        <v>5141</v>
      </c>
      <c r="F984" t="s">
        <v>5133</v>
      </c>
      <c r="G984" t="s">
        <v>41</v>
      </c>
      <c r="H984" t="s">
        <v>56</v>
      </c>
      <c r="I984" t="str">
        <f>LEFT(H984,FIND(" (",H984)-1)</f>
        <v>Mid</v>
      </c>
      <c r="J984" t="str">
        <f>MID(H984,FIND("(",H984)+1,FIND(")",H984)-FIND("(",H984)-1)</f>
        <v>2-5 yrs</v>
      </c>
      <c r="L984">
        <v>90853</v>
      </c>
      <c r="M984" t="s">
        <v>2092</v>
      </c>
      <c r="N984" t="s">
        <v>33</v>
      </c>
      <c r="O984" t="s">
        <v>51</v>
      </c>
      <c r="P984" s="1">
        <v>45292</v>
      </c>
      <c r="Q984">
        <v>516</v>
      </c>
      <c r="R984">
        <v>1891</v>
      </c>
      <c r="S984" t="s">
        <v>34</v>
      </c>
      <c r="T984">
        <v>2</v>
      </c>
      <c r="U984" t="s">
        <v>52</v>
      </c>
      <c r="V984" t="s">
        <v>24</v>
      </c>
      <c r="W984" t="s">
        <v>23</v>
      </c>
    </row>
    <row r="985" spans="1:23" x14ac:dyDescent="0.3">
      <c r="A985" t="s">
        <v>2093</v>
      </c>
      <c r="B985" t="s">
        <v>222</v>
      </c>
      <c r="C985" t="s">
        <v>239</v>
      </c>
      <c r="D985" t="s">
        <v>75</v>
      </c>
      <c r="E985" t="s">
        <v>133</v>
      </c>
      <c r="F985" t="s">
        <v>134</v>
      </c>
      <c r="G985" t="s">
        <v>41</v>
      </c>
      <c r="H985" t="s">
        <v>56</v>
      </c>
      <c r="I985" t="str">
        <f>LEFT(H985,FIND(" (",H985)-1)</f>
        <v>Mid</v>
      </c>
      <c r="J985" t="str">
        <f>MID(H985,FIND("(",H985)+1,FIND(")",H985)-FIND("(",H985)-1)</f>
        <v>2-5 yrs</v>
      </c>
      <c r="L985">
        <v>109055</v>
      </c>
      <c r="M985" t="s">
        <v>2094</v>
      </c>
      <c r="N985" t="s">
        <v>33</v>
      </c>
      <c r="O985" t="s">
        <v>22</v>
      </c>
      <c r="P985" s="1">
        <v>45746</v>
      </c>
      <c r="Q985">
        <v>1372</v>
      </c>
      <c r="R985">
        <v>2947</v>
      </c>
      <c r="S985" t="s">
        <v>23</v>
      </c>
      <c r="T985">
        <v>2</v>
      </c>
      <c r="U985" t="s">
        <v>5123</v>
      </c>
      <c r="V985" t="s">
        <v>24</v>
      </c>
      <c r="W985" t="s">
        <v>34</v>
      </c>
    </row>
    <row r="986" spans="1:23" x14ac:dyDescent="0.3">
      <c r="A986" t="s">
        <v>2095</v>
      </c>
      <c r="B986" t="s">
        <v>137</v>
      </c>
      <c r="C986" t="s">
        <v>226</v>
      </c>
      <c r="D986" t="s">
        <v>15</v>
      </c>
      <c r="E986" t="s">
        <v>5140</v>
      </c>
      <c r="F986" t="s">
        <v>5133</v>
      </c>
      <c r="G986" t="s">
        <v>41</v>
      </c>
      <c r="H986" t="s">
        <v>66</v>
      </c>
      <c r="I986" t="str">
        <f>LEFT(H986,FIND(" (",H986)-1)</f>
        <v>Senior</v>
      </c>
      <c r="J986" t="str">
        <f>MID(H986,FIND("(",H986)+1,FIND(")",H986)-FIND("(",H986)-1)</f>
        <v>5-8 yrs</v>
      </c>
      <c r="L986">
        <v>149902</v>
      </c>
      <c r="M986" t="s">
        <v>2096</v>
      </c>
      <c r="N986" t="s">
        <v>21</v>
      </c>
      <c r="O986" t="s">
        <v>51</v>
      </c>
      <c r="P986" s="1">
        <v>45322</v>
      </c>
      <c r="Q986">
        <v>2199</v>
      </c>
      <c r="R986">
        <v>3638</v>
      </c>
      <c r="S986" t="s">
        <v>23</v>
      </c>
      <c r="T986">
        <v>4</v>
      </c>
      <c r="U986" t="s">
        <v>5123</v>
      </c>
      <c r="V986" t="s">
        <v>24</v>
      </c>
      <c r="W986" t="s">
        <v>34</v>
      </c>
    </row>
    <row r="987" spans="1:23" x14ac:dyDescent="0.3">
      <c r="A987" t="s">
        <v>2097</v>
      </c>
      <c r="B987" t="s">
        <v>229</v>
      </c>
      <c r="C987" t="s">
        <v>158</v>
      </c>
      <c r="D987" t="s">
        <v>147</v>
      </c>
      <c r="E987" t="s">
        <v>29</v>
      </c>
      <c r="F987" t="s">
        <v>30</v>
      </c>
      <c r="G987" t="s">
        <v>55</v>
      </c>
      <c r="H987" t="s">
        <v>66</v>
      </c>
      <c r="I987" t="str">
        <f>LEFT(H987,FIND(" (",H987)-1)</f>
        <v>Senior</v>
      </c>
      <c r="J987" t="str">
        <f>MID(H987,FIND("(",H987)+1,FIND(")",H987)-FIND("(",H987)-1)</f>
        <v>5-8 yrs</v>
      </c>
      <c r="L987">
        <v>118724</v>
      </c>
      <c r="M987" t="s">
        <v>2098</v>
      </c>
      <c r="N987" t="s">
        <v>149</v>
      </c>
      <c r="O987" t="s">
        <v>51</v>
      </c>
      <c r="P987" s="1">
        <v>45733</v>
      </c>
      <c r="Q987">
        <v>360</v>
      </c>
      <c r="R987">
        <v>28</v>
      </c>
      <c r="S987" t="s">
        <v>99</v>
      </c>
      <c r="T987">
        <v>4</v>
      </c>
      <c r="U987" t="s">
        <v>45</v>
      </c>
      <c r="V987" t="s">
        <v>59</v>
      </c>
      <c r="W987" t="s">
        <v>23</v>
      </c>
    </row>
    <row r="988" spans="1:23" x14ac:dyDescent="0.3">
      <c r="A988" t="s">
        <v>2099</v>
      </c>
      <c r="B988" t="s">
        <v>70</v>
      </c>
      <c r="C988" t="s">
        <v>37</v>
      </c>
      <c r="D988" t="s">
        <v>75</v>
      </c>
      <c r="E988" t="s">
        <v>133</v>
      </c>
      <c r="F988" t="s">
        <v>134</v>
      </c>
      <c r="G988" t="s">
        <v>41</v>
      </c>
      <c r="H988" t="s">
        <v>66</v>
      </c>
      <c r="I988" t="str">
        <f>LEFT(H988,FIND(" (",H988)-1)</f>
        <v>Senior</v>
      </c>
      <c r="J988" t="str">
        <f>MID(H988,FIND("(",H988)+1,FIND(")",H988)-FIND("(",H988)-1)</f>
        <v>5-8 yrs</v>
      </c>
      <c r="L988">
        <v>190591</v>
      </c>
      <c r="M988" t="s">
        <v>2100</v>
      </c>
      <c r="N988" t="s">
        <v>141</v>
      </c>
      <c r="O988" t="s">
        <v>51</v>
      </c>
      <c r="P988" s="1">
        <v>45649</v>
      </c>
      <c r="Q988">
        <v>1988</v>
      </c>
      <c r="R988">
        <v>1421</v>
      </c>
      <c r="S988" t="s">
        <v>34</v>
      </c>
      <c r="T988">
        <v>4</v>
      </c>
      <c r="U988" t="s">
        <v>45</v>
      </c>
      <c r="V988" t="s">
        <v>24</v>
      </c>
      <c r="W988" t="s">
        <v>23</v>
      </c>
    </row>
    <row r="989" spans="1:23" x14ac:dyDescent="0.3">
      <c r="A989" t="s">
        <v>2101</v>
      </c>
      <c r="B989" t="s">
        <v>13</v>
      </c>
      <c r="C989" t="s">
        <v>132</v>
      </c>
      <c r="D989" t="s">
        <v>28</v>
      </c>
      <c r="E989" t="s">
        <v>5136</v>
      </c>
      <c r="F989" t="s">
        <v>5133</v>
      </c>
      <c r="G989" t="s">
        <v>55</v>
      </c>
      <c r="H989" t="s">
        <v>31</v>
      </c>
      <c r="I989" t="str">
        <f>LEFT(H989,FIND(" (",H989)-1)</f>
        <v>Staff/Principal</v>
      </c>
      <c r="J989" t="str">
        <f>MID(H989,FIND("(",H989)+1,FIND(")",H989)-FIND("(",H989)-1)</f>
        <v>8+ yrs</v>
      </c>
      <c r="L989">
        <v>231585</v>
      </c>
      <c r="M989" t="s">
        <v>2102</v>
      </c>
      <c r="N989" t="s">
        <v>149</v>
      </c>
      <c r="O989" t="s">
        <v>51</v>
      </c>
      <c r="P989" s="1">
        <v>45698</v>
      </c>
      <c r="Q989">
        <v>929</v>
      </c>
      <c r="R989">
        <v>1450</v>
      </c>
      <c r="S989" t="s">
        <v>23</v>
      </c>
      <c r="T989">
        <v>6</v>
      </c>
      <c r="U989" t="s">
        <v>83</v>
      </c>
      <c r="V989" t="s">
        <v>24</v>
      </c>
      <c r="W989" t="s">
        <v>23</v>
      </c>
    </row>
    <row r="990" spans="1:23" x14ac:dyDescent="0.3">
      <c r="A990" t="s">
        <v>2103</v>
      </c>
      <c r="B990" t="s">
        <v>70</v>
      </c>
      <c r="C990" t="s">
        <v>27</v>
      </c>
      <c r="D990" t="s">
        <v>125</v>
      </c>
      <c r="E990" t="s">
        <v>230</v>
      </c>
      <c r="F990" t="s">
        <v>231</v>
      </c>
      <c r="G990" t="s">
        <v>18</v>
      </c>
      <c r="H990" t="s">
        <v>31</v>
      </c>
      <c r="I990" t="str">
        <f>LEFT(H990,FIND(" (",H990)-1)</f>
        <v>Staff/Principal</v>
      </c>
      <c r="J990" t="str">
        <f>MID(H990,FIND("(",H990)+1,FIND(")",H990)-FIND("(",H990)-1)</f>
        <v>8+ yrs</v>
      </c>
      <c r="L990">
        <v>192045</v>
      </c>
      <c r="M990" t="s">
        <v>2104</v>
      </c>
      <c r="N990" t="s">
        <v>33</v>
      </c>
      <c r="O990" t="s">
        <v>51</v>
      </c>
      <c r="P990" s="1">
        <v>45743</v>
      </c>
      <c r="Q990">
        <v>547</v>
      </c>
      <c r="R990">
        <v>1671</v>
      </c>
      <c r="S990" t="s">
        <v>99</v>
      </c>
      <c r="T990">
        <v>6</v>
      </c>
      <c r="U990" t="s">
        <v>83</v>
      </c>
      <c r="V990" t="s">
        <v>24</v>
      </c>
      <c r="W990" t="s">
        <v>23</v>
      </c>
    </row>
    <row r="991" spans="1:23" x14ac:dyDescent="0.3">
      <c r="A991" t="s">
        <v>2105</v>
      </c>
      <c r="B991" t="s">
        <v>172</v>
      </c>
      <c r="C991" t="s">
        <v>27</v>
      </c>
      <c r="D991" t="s">
        <v>38</v>
      </c>
      <c r="E991" t="s">
        <v>200</v>
      </c>
      <c r="F991" t="s">
        <v>201</v>
      </c>
      <c r="G991" t="s">
        <v>41</v>
      </c>
      <c r="H991" t="s">
        <v>56</v>
      </c>
      <c r="I991" t="str">
        <f>LEFT(H991,FIND(" (",H991)-1)</f>
        <v>Mid</v>
      </c>
      <c r="J991" t="str">
        <f>MID(H991,FIND("(",H991)+1,FIND(")",H991)-FIND("(",H991)-1)</f>
        <v>2-5 yrs</v>
      </c>
      <c r="L991">
        <v>110532</v>
      </c>
      <c r="M991" t="s">
        <v>2106</v>
      </c>
      <c r="N991" t="s">
        <v>68</v>
      </c>
      <c r="O991" t="s">
        <v>51</v>
      </c>
      <c r="P991" s="1">
        <v>45659</v>
      </c>
      <c r="Q991">
        <v>1520</v>
      </c>
      <c r="R991">
        <v>1672</v>
      </c>
      <c r="S991" t="s">
        <v>99</v>
      </c>
      <c r="T991">
        <v>2</v>
      </c>
      <c r="U991" t="s">
        <v>83</v>
      </c>
      <c r="V991" t="s">
        <v>24</v>
      </c>
      <c r="W991" t="s">
        <v>34</v>
      </c>
    </row>
    <row r="992" spans="1:23" x14ac:dyDescent="0.3">
      <c r="A992" t="s">
        <v>2107</v>
      </c>
      <c r="B992" t="s">
        <v>172</v>
      </c>
      <c r="C992" t="s">
        <v>167</v>
      </c>
      <c r="D992" t="s">
        <v>38</v>
      </c>
      <c r="E992" t="s">
        <v>16</v>
      </c>
      <c r="F992" t="s">
        <v>17</v>
      </c>
      <c r="G992" t="s">
        <v>41</v>
      </c>
      <c r="H992" t="s">
        <v>31</v>
      </c>
      <c r="I992" t="str">
        <f>LEFT(H992,FIND(" (",H992)-1)</f>
        <v>Staff/Principal</v>
      </c>
      <c r="J992" t="str">
        <f>MID(H992,FIND("(",H992)+1,FIND(")",H992)-FIND("(",H992)-1)</f>
        <v>8+ yrs</v>
      </c>
      <c r="L992">
        <v>207501</v>
      </c>
      <c r="M992" t="s">
        <v>2108</v>
      </c>
      <c r="N992" t="s">
        <v>141</v>
      </c>
      <c r="O992" t="s">
        <v>51</v>
      </c>
      <c r="P992" s="1">
        <v>45493</v>
      </c>
      <c r="Q992">
        <v>339</v>
      </c>
      <c r="R992">
        <v>2443</v>
      </c>
      <c r="S992" t="s">
        <v>34</v>
      </c>
      <c r="T992">
        <v>6</v>
      </c>
      <c r="U992" t="s">
        <v>45</v>
      </c>
      <c r="V992" t="s">
        <v>59</v>
      </c>
      <c r="W992" t="s">
        <v>34</v>
      </c>
    </row>
    <row r="993" spans="1:23" x14ac:dyDescent="0.3">
      <c r="A993" t="s">
        <v>2109</v>
      </c>
      <c r="B993" t="s">
        <v>229</v>
      </c>
      <c r="C993" t="s">
        <v>101</v>
      </c>
      <c r="D993" t="s">
        <v>111</v>
      </c>
      <c r="E993" t="s">
        <v>230</v>
      </c>
      <c r="F993" t="s">
        <v>231</v>
      </c>
      <c r="G993" t="s">
        <v>41</v>
      </c>
      <c r="H993" t="s">
        <v>31</v>
      </c>
      <c r="I993" t="str">
        <f>LEFT(H993,FIND(" (",H993)-1)</f>
        <v>Staff/Principal</v>
      </c>
      <c r="J993" t="str">
        <f>MID(H993,FIND("(",H993)+1,FIND(")",H993)-FIND("(",H993)-1)</f>
        <v>8+ yrs</v>
      </c>
      <c r="L993">
        <v>126497</v>
      </c>
      <c r="M993" t="s">
        <v>2110</v>
      </c>
      <c r="N993" t="s">
        <v>33</v>
      </c>
      <c r="O993" t="s">
        <v>79</v>
      </c>
      <c r="P993" s="1">
        <v>45633</v>
      </c>
      <c r="Q993">
        <v>378</v>
      </c>
      <c r="R993">
        <v>592</v>
      </c>
      <c r="S993" t="s">
        <v>23</v>
      </c>
      <c r="T993">
        <v>6</v>
      </c>
      <c r="U993" t="s">
        <v>45</v>
      </c>
      <c r="V993" t="s">
        <v>59</v>
      </c>
      <c r="W993" t="s">
        <v>34</v>
      </c>
    </row>
    <row r="994" spans="1:23" x14ac:dyDescent="0.3">
      <c r="A994" t="s">
        <v>2111</v>
      </c>
      <c r="B994" t="s">
        <v>137</v>
      </c>
      <c r="C994" t="s">
        <v>110</v>
      </c>
      <c r="D994" t="s">
        <v>125</v>
      </c>
      <c r="E994" t="s">
        <v>102</v>
      </c>
      <c r="F994" t="s">
        <v>103</v>
      </c>
      <c r="G994" t="s">
        <v>18</v>
      </c>
      <c r="H994" t="s">
        <v>19</v>
      </c>
      <c r="I994" t="str">
        <f>LEFT(H994,FIND(" (",H994)-1)</f>
        <v>Entry</v>
      </c>
      <c r="J994" t="str">
        <f>MID(H994,FIND("(",H994)+1,FIND(")",H994)-FIND("(",H994)-1)</f>
        <v>0-2 yrs</v>
      </c>
      <c r="L994">
        <v>66885</v>
      </c>
      <c r="M994" t="s">
        <v>2112</v>
      </c>
      <c r="N994" t="s">
        <v>33</v>
      </c>
      <c r="O994" t="s">
        <v>79</v>
      </c>
      <c r="P994" s="1">
        <v>45304</v>
      </c>
      <c r="Q994">
        <v>638</v>
      </c>
      <c r="R994">
        <v>2741</v>
      </c>
      <c r="S994" t="s">
        <v>34</v>
      </c>
      <c r="T994">
        <v>0</v>
      </c>
      <c r="U994" t="s">
        <v>58</v>
      </c>
      <c r="V994" t="s">
        <v>59</v>
      </c>
      <c r="W994" t="s">
        <v>23</v>
      </c>
    </row>
    <row r="995" spans="1:23" x14ac:dyDescent="0.3">
      <c r="A995" t="s">
        <v>2113</v>
      </c>
      <c r="B995" t="s">
        <v>143</v>
      </c>
      <c r="C995" t="s">
        <v>128</v>
      </c>
      <c r="D995" t="s">
        <v>125</v>
      </c>
      <c r="E995" t="s">
        <v>5135</v>
      </c>
      <c r="F995" t="s">
        <v>5133</v>
      </c>
      <c r="G995" t="s">
        <v>18</v>
      </c>
      <c r="H995" t="s">
        <v>66</v>
      </c>
      <c r="I995" t="str">
        <f>LEFT(H995,FIND(" (",H995)-1)</f>
        <v>Senior</v>
      </c>
      <c r="J995" t="str">
        <f>MID(H995,FIND("(",H995)+1,FIND(")",H995)-FIND("(",H995)-1)</f>
        <v>5-8 yrs</v>
      </c>
      <c r="L995">
        <v>131586</v>
      </c>
      <c r="M995" t="s">
        <v>2114</v>
      </c>
      <c r="N995" t="s">
        <v>245</v>
      </c>
      <c r="O995" t="s">
        <v>79</v>
      </c>
      <c r="P995" s="1">
        <v>45732</v>
      </c>
      <c r="Q995">
        <v>1721</v>
      </c>
      <c r="R995">
        <v>3969</v>
      </c>
      <c r="S995" t="s">
        <v>23</v>
      </c>
      <c r="T995">
        <v>4</v>
      </c>
      <c r="U995" t="s">
        <v>83</v>
      </c>
      <c r="V995" t="s">
        <v>24</v>
      </c>
      <c r="W995" t="s">
        <v>23</v>
      </c>
    </row>
    <row r="996" spans="1:23" x14ac:dyDescent="0.3">
      <c r="A996" t="s">
        <v>2115</v>
      </c>
      <c r="B996" t="s">
        <v>85</v>
      </c>
      <c r="C996" t="s">
        <v>132</v>
      </c>
      <c r="D996" t="s">
        <v>174</v>
      </c>
      <c r="E996" t="s">
        <v>5135</v>
      </c>
      <c r="F996" t="s">
        <v>5133</v>
      </c>
      <c r="G996" t="s">
        <v>18</v>
      </c>
      <c r="H996" t="s">
        <v>66</v>
      </c>
      <c r="I996" t="str">
        <f>LEFT(H996,FIND(" (",H996)-1)</f>
        <v>Senior</v>
      </c>
      <c r="J996" t="str">
        <f>MID(H996,FIND("(",H996)+1,FIND(")",H996)-FIND("(",H996)-1)</f>
        <v>5-8 yrs</v>
      </c>
      <c r="L996">
        <v>122956</v>
      </c>
      <c r="M996" t="s">
        <v>2116</v>
      </c>
      <c r="N996" t="s">
        <v>94</v>
      </c>
      <c r="O996" t="s">
        <v>44</v>
      </c>
      <c r="P996" s="1">
        <v>45314</v>
      </c>
      <c r="Q996">
        <v>1799</v>
      </c>
      <c r="R996">
        <v>2647</v>
      </c>
      <c r="S996" t="s">
        <v>34</v>
      </c>
      <c r="T996">
        <v>4</v>
      </c>
      <c r="U996" t="s">
        <v>52</v>
      </c>
      <c r="V996" t="s">
        <v>24</v>
      </c>
      <c r="W996" t="s">
        <v>23</v>
      </c>
    </row>
    <row r="997" spans="1:23" x14ac:dyDescent="0.3">
      <c r="A997" t="s">
        <v>2117</v>
      </c>
      <c r="B997" t="s">
        <v>229</v>
      </c>
      <c r="C997" t="s">
        <v>101</v>
      </c>
      <c r="D997" t="s">
        <v>15</v>
      </c>
      <c r="E997" t="s">
        <v>5134</v>
      </c>
      <c r="F997" t="s">
        <v>5133</v>
      </c>
      <c r="G997" t="s">
        <v>18</v>
      </c>
      <c r="H997" t="s">
        <v>19</v>
      </c>
      <c r="I997" t="str">
        <f>LEFT(H997,FIND(" (",H997)-1)</f>
        <v>Entry</v>
      </c>
      <c r="J997" t="str">
        <f>MID(H997,FIND("(",H997)+1,FIND(")",H997)-FIND("(",H997)-1)</f>
        <v>0-2 yrs</v>
      </c>
      <c r="L997">
        <v>66458</v>
      </c>
      <c r="M997" t="s">
        <v>2118</v>
      </c>
      <c r="N997" t="s">
        <v>33</v>
      </c>
      <c r="O997" t="s">
        <v>22</v>
      </c>
      <c r="P997" s="1">
        <v>45638</v>
      </c>
      <c r="Q997">
        <v>816</v>
      </c>
      <c r="R997">
        <v>3850</v>
      </c>
      <c r="S997" t="s">
        <v>34</v>
      </c>
      <c r="T997">
        <v>0</v>
      </c>
      <c r="U997" t="s">
        <v>52</v>
      </c>
      <c r="V997" t="s">
        <v>24</v>
      </c>
      <c r="W997" t="s">
        <v>23</v>
      </c>
    </row>
    <row r="998" spans="1:23" x14ac:dyDescent="0.3">
      <c r="A998" t="s">
        <v>2119</v>
      </c>
      <c r="B998" t="s">
        <v>81</v>
      </c>
      <c r="C998" t="s">
        <v>226</v>
      </c>
      <c r="D998" t="s">
        <v>174</v>
      </c>
      <c r="E998" t="s">
        <v>5136</v>
      </c>
      <c r="F998" t="s">
        <v>5133</v>
      </c>
      <c r="G998" t="s">
        <v>41</v>
      </c>
      <c r="H998" t="s">
        <v>19</v>
      </c>
      <c r="I998" t="str">
        <f>LEFT(H998,FIND(" (",H998)-1)</f>
        <v>Entry</v>
      </c>
      <c r="J998" t="str">
        <f>MID(H998,FIND("(",H998)+1,FIND(")",H998)-FIND("(",H998)-1)</f>
        <v>0-2 yrs</v>
      </c>
      <c r="L998">
        <v>92650</v>
      </c>
      <c r="M998" t="s">
        <v>2120</v>
      </c>
      <c r="N998" t="s">
        <v>33</v>
      </c>
      <c r="O998" t="s">
        <v>44</v>
      </c>
      <c r="P998" s="1">
        <v>45612</v>
      </c>
      <c r="Q998">
        <v>1297</v>
      </c>
      <c r="R998">
        <v>3734</v>
      </c>
      <c r="S998" t="s">
        <v>23</v>
      </c>
      <c r="T998">
        <v>0</v>
      </c>
      <c r="U998" t="s">
        <v>83</v>
      </c>
      <c r="V998" t="s">
        <v>24</v>
      </c>
      <c r="W998" t="s">
        <v>34</v>
      </c>
    </row>
    <row r="999" spans="1:23" x14ac:dyDescent="0.3">
      <c r="A999" t="s">
        <v>2121</v>
      </c>
      <c r="B999" t="s">
        <v>137</v>
      </c>
      <c r="C999" t="s">
        <v>239</v>
      </c>
      <c r="D999" t="s">
        <v>75</v>
      </c>
      <c r="E999" t="s">
        <v>5135</v>
      </c>
      <c r="F999" t="s">
        <v>5133</v>
      </c>
      <c r="G999" t="s">
        <v>18</v>
      </c>
      <c r="H999" t="s">
        <v>19</v>
      </c>
      <c r="I999" t="str">
        <f>LEFT(H999,FIND(" (",H999)-1)</f>
        <v>Entry</v>
      </c>
      <c r="J999" t="str">
        <f>MID(H999,FIND("(",H999)+1,FIND(")",H999)-FIND("(",H999)-1)</f>
        <v>0-2 yrs</v>
      </c>
      <c r="L999">
        <v>78074</v>
      </c>
      <c r="M999" t="s">
        <v>2122</v>
      </c>
      <c r="N999" t="s">
        <v>33</v>
      </c>
      <c r="O999" t="s">
        <v>22</v>
      </c>
      <c r="P999" s="1">
        <v>45541</v>
      </c>
      <c r="Q999">
        <v>1884</v>
      </c>
      <c r="R999">
        <v>2947</v>
      </c>
      <c r="S999" t="s">
        <v>23</v>
      </c>
      <c r="T999">
        <v>0</v>
      </c>
      <c r="U999" t="s">
        <v>45</v>
      </c>
      <c r="V999" t="s">
        <v>24</v>
      </c>
      <c r="W999" t="s">
        <v>23</v>
      </c>
    </row>
    <row r="1000" spans="1:23" x14ac:dyDescent="0.3">
      <c r="A1000" t="s">
        <v>2123</v>
      </c>
      <c r="B1000" t="s">
        <v>91</v>
      </c>
      <c r="C1000" t="s">
        <v>179</v>
      </c>
      <c r="D1000" t="s">
        <v>111</v>
      </c>
      <c r="E1000" t="s">
        <v>76</v>
      </c>
      <c r="F1000" t="s">
        <v>77</v>
      </c>
      <c r="G1000" t="s">
        <v>18</v>
      </c>
      <c r="H1000" t="s">
        <v>31</v>
      </c>
      <c r="I1000" t="str">
        <f>LEFT(H1000,FIND(" (",H1000)-1)</f>
        <v>Staff/Principal</v>
      </c>
      <c r="J1000" t="str">
        <f>MID(H1000,FIND("(",H1000)+1,FIND(")",H1000)-FIND("(",H1000)-1)</f>
        <v>8+ yrs</v>
      </c>
      <c r="L1000">
        <v>179437</v>
      </c>
      <c r="M1000" t="s">
        <v>2124</v>
      </c>
      <c r="N1000" t="s">
        <v>120</v>
      </c>
      <c r="O1000" t="s">
        <v>51</v>
      </c>
      <c r="P1000" s="1">
        <v>45640</v>
      </c>
      <c r="Q1000">
        <v>1835</v>
      </c>
      <c r="R1000">
        <v>3540</v>
      </c>
      <c r="S1000" t="s">
        <v>34</v>
      </c>
      <c r="T1000">
        <v>6</v>
      </c>
      <c r="U1000" t="s">
        <v>5123</v>
      </c>
      <c r="V1000" t="s">
        <v>24</v>
      </c>
      <c r="W1000" t="s">
        <v>23</v>
      </c>
    </row>
    <row r="1001" spans="1:23" x14ac:dyDescent="0.3">
      <c r="A1001" t="s">
        <v>2125</v>
      </c>
      <c r="B1001" t="s">
        <v>222</v>
      </c>
      <c r="C1001" t="s">
        <v>27</v>
      </c>
      <c r="D1001" t="s">
        <v>28</v>
      </c>
      <c r="E1001" t="s">
        <v>5132</v>
      </c>
      <c r="F1001" t="s">
        <v>5133</v>
      </c>
      <c r="G1001" t="s">
        <v>18</v>
      </c>
      <c r="H1001" t="s">
        <v>66</v>
      </c>
      <c r="I1001" t="str">
        <f>LEFT(H1001,FIND(" (",H1001)-1)</f>
        <v>Senior</v>
      </c>
      <c r="J1001" t="str">
        <f>MID(H1001,FIND("(",H1001)+1,FIND(")",H1001)-FIND("(",H1001)-1)</f>
        <v>5-8 yrs</v>
      </c>
      <c r="L1001">
        <v>165459</v>
      </c>
      <c r="M1001" t="s">
        <v>2126</v>
      </c>
      <c r="N1001" t="s">
        <v>33</v>
      </c>
      <c r="O1001" t="s">
        <v>22</v>
      </c>
      <c r="P1001" s="1">
        <v>45374</v>
      </c>
      <c r="Q1001">
        <v>1902</v>
      </c>
      <c r="R1001">
        <v>762</v>
      </c>
      <c r="S1001" t="s">
        <v>23</v>
      </c>
      <c r="T1001">
        <v>4</v>
      </c>
      <c r="U1001" t="s">
        <v>58</v>
      </c>
      <c r="V1001" t="s">
        <v>24</v>
      </c>
      <c r="W1001" t="s">
        <v>34</v>
      </c>
    </row>
    <row r="1002" spans="1:23" x14ac:dyDescent="0.3">
      <c r="A1002" t="s">
        <v>2127</v>
      </c>
      <c r="B1002" t="s">
        <v>229</v>
      </c>
      <c r="C1002" t="s">
        <v>110</v>
      </c>
      <c r="D1002" t="s">
        <v>15</v>
      </c>
      <c r="E1002" t="s">
        <v>200</v>
      </c>
      <c r="F1002" t="s">
        <v>201</v>
      </c>
      <c r="G1002" t="s">
        <v>41</v>
      </c>
      <c r="H1002" t="s">
        <v>56</v>
      </c>
      <c r="I1002" t="str">
        <f>LEFT(H1002,FIND(" (",H1002)-1)</f>
        <v>Mid</v>
      </c>
      <c r="J1002" t="str">
        <f>MID(H1002,FIND("(",H1002)+1,FIND(")",H1002)-FIND("(",H1002)-1)</f>
        <v>2-5 yrs</v>
      </c>
      <c r="L1002">
        <v>137707</v>
      </c>
      <c r="M1002" t="s">
        <v>2128</v>
      </c>
      <c r="N1002" t="s">
        <v>33</v>
      </c>
      <c r="O1002" t="s">
        <v>44</v>
      </c>
      <c r="P1002" s="1">
        <v>45368</v>
      </c>
      <c r="Q1002">
        <v>430</v>
      </c>
      <c r="R1002">
        <v>2350</v>
      </c>
      <c r="S1002" t="s">
        <v>34</v>
      </c>
      <c r="T1002">
        <v>2</v>
      </c>
      <c r="U1002" t="s">
        <v>58</v>
      </c>
      <c r="V1002" t="s">
        <v>59</v>
      </c>
      <c r="W1002" t="s">
        <v>34</v>
      </c>
    </row>
    <row r="1003" spans="1:23" x14ac:dyDescent="0.3">
      <c r="A1003" t="s">
        <v>2129</v>
      </c>
      <c r="B1003" t="s">
        <v>91</v>
      </c>
      <c r="C1003" t="s">
        <v>158</v>
      </c>
      <c r="D1003" t="s">
        <v>125</v>
      </c>
      <c r="E1003" t="s">
        <v>133</v>
      </c>
      <c r="F1003" t="s">
        <v>134</v>
      </c>
      <c r="G1003" t="s">
        <v>41</v>
      </c>
      <c r="H1003" t="s">
        <v>19</v>
      </c>
      <c r="I1003" t="str">
        <f>LEFT(H1003,FIND(" (",H1003)-1)</f>
        <v>Entry</v>
      </c>
      <c r="J1003" t="str">
        <f>MID(H1003,FIND("(",H1003)+1,FIND(")",H1003)-FIND("(",H1003)-1)</f>
        <v>0-2 yrs</v>
      </c>
      <c r="L1003">
        <v>81650</v>
      </c>
      <c r="M1003" t="s">
        <v>2130</v>
      </c>
      <c r="N1003" t="s">
        <v>245</v>
      </c>
      <c r="O1003" t="s">
        <v>51</v>
      </c>
      <c r="P1003" s="1">
        <v>45503</v>
      </c>
      <c r="Q1003">
        <v>326</v>
      </c>
      <c r="R1003">
        <v>1163</v>
      </c>
      <c r="S1003" t="s">
        <v>99</v>
      </c>
      <c r="T1003">
        <v>0</v>
      </c>
      <c r="U1003" t="s">
        <v>45</v>
      </c>
      <c r="V1003" t="s">
        <v>46</v>
      </c>
      <c r="W1003" t="s">
        <v>23</v>
      </c>
    </row>
    <row r="1004" spans="1:23" x14ac:dyDescent="0.3">
      <c r="A1004" t="s">
        <v>2131</v>
      </c>
      <c r="B1004" t="s">
        <v>172</v>
      </c>
      <c r="C1004" t="s">
        <v>71</v>
      </c>
      <c r="D1004" t="s">
        <v>147</v>
      </c>
      <c r="E1004" t="s">
        <v>200</v>
      </c>
      <c r="F1004" t="s">
        <v>201</v>
      </c>
      <c r="G1004" t="s">
        <v>41</v>
      </c>
      <c r="H1004" t="s">
        <v>66</v>
      </c>
      <c r="I1004" t="str">
        <f>LEFT(H1004,FIND(" (",H1004)-1)</f>
        <v>Senior</v>
      </c>
      <c r="J1004" t="str">
        <f>MID(H1004,FIND("(",H1004)+1,FIND(")",H1004)-FIND("(",H1004)-1)</f>
        <v>5-8 yrs</v>
      </c>
      <c r="L1004">
        <v>151610</v>
      </c>
      <c r="M1004" t="s">
        <v>2132</v>
      </c>
      <c r="N1004" t="s">
        <v>21</v>
      </c>
      <c r="O1004" t="s">
        <v>51</v>
      </c>
      <c r="P1004" s="1">
        <v>45570</v>
      </c>
      <c r="Q1004">
        <v>1918</v>
      </c>
      <c r="R1004">
        <v>200</v>
      </c>
      <c r="S1004" t="s">
        <v>34</v>
      </c>
      <c r="T1004">
        <v>4</v>
      </c>
      <c r="U1004" t="s">
        <v>52</v>
      </c>
      <c r="V1004" t="s">
        <v>24</v>
      </c>
      <c r="W1004" t="s">
        <v>23</v>
      </c>
    </row>
    <row r="1005" spans="1:23" x14ac:dyDescent="0.3">
      <c r="A1005" t="s">
        <v>2133</v>
      </c>
      <c r="B1005" t="s">
        <v>222</v>
      </c>
      <c r="C1005" t="s">
        <v>239</v>
      </c>
      <c r="D1005" t="s">
        <v>63</v>
      </c>
      <c r="E1005" t="s">
        <v>64</v>
      </c>
      <c r="F1005" t="s">
        <v>65</v>
      </c>
      <c r="G1005" t="s">
        <v>41</v>
      </c>
      <c r="H1005" t="s">
        <v>19</v>
      </c>
      <c r="I1005" t="str">
        <f>LEFT(H1005,FIND(" (",H1005)-1)</f>
        <v>Entry</v>
      </c>
      <c r="J1005" t="str">
        <f>MID(H1005,FIND("(",H1005)+1,FIND(")",H1005)-FIND("(",H1005)-1)</f>
        <v>0-2 yrs</v>
      </c>
      <c r="L1005">
        <v>61848</v>
      </c>
      <c r="M1005" t="s">
        <v>2134</v>
      </c>
      <c r="N1005" t="s">
        <v>186</v>
      </c>
      <c r="O1005" t="s">
        <v>22</v>
      </c>
      <c r="P1005" s="1">
        <v>45473</v>
      </c>
      <c r="Q1005">
        <v>1710</v>
      </c>
      <c r="R1005">
        <v>3458</v>
      </c>
      <c r="S1005" t="s">
        <v>34</v>
      </c>
      <c r="T1005">
        <v>0</v>
      </c>
      <c r="U1005" t="s">
        <v>83</v>
      </c>
      <c r="V1005" t="s">
        <v>24</v>
      </c>
      <c r="W1005" t="s">
        <v>34</v>
      </c>
    </row>
    <row r="1006" spans="1:23" x14ac:dyDescent="0.3">
      <c r="A1006" t="s">
        <v>2135</v>
      </c>
      <c r="B1006" t="s">
        <v>222</v>
      </c>
      <c r="C1006" t="s">
        <v>239</v>
      </c>
      <c r="D1006" t="s">
        <v>63</v>
      </c>
      <c r="E1006" t="s">
        <v>216</v>
      </c>
      <c r="F1006" t="s">
        <v>217</v>
      </c>
      <c r="G1006" t="s">
        <v>41</v>
      </c>
      <c r="H1006" t="s">
        <v>19</v>
      </c>
      <c r="I1006" t="str">
        <f>LEFT(H1006,FIND(" (",H1006)-1)</f>
        <v>Entry</v>
      </c>
      <c r="J1006" t="str">
        <f>MID(H1006,FIND("(",H1006)+1,FIND(")",H1006)-FIND("(",H1006)-1)</f>
        <v>0-2 yrs</v>
      </c>
      <c r="L1006">
        <v>78797</v>
      </c>
      <c r="M1006" t="s">
        <v>2136</v>
      </c>
      <c r="N1006" t="s">
        <v>21</v>
      </c>
      <c r="O1006" t="s">
        <v>44</v>
      </c>
      <c r="P1006" s="1">
        <v>45379</v>
      </c>
      <c r="Q1006">
        <v>1799</v>
      </c>
      <c r="R1006">
        <v>2326</v>
      </c>
      <c r="S1006" t="s">
        <v>34</v>
      </c>
      <c r="T1006">
        <v>0</v>
      </c>
      <c r="U1006" t="s">
        <v>5123</v>
      </c>
      <c r="V1006" t="s">
        <v>59</v>
      </c>
      <c r="W1006" t="s">
        <v>23</v>
      </c>
    </row>
    <row r="1007" spans="1:23" x14ac:dyDescent="0.3">
      <c r="A1007" t="s">
        <v>2137</v>
      </c>
      <c r="B1007" t="s">
        <v>106</v>
      </c>
      <c r="C1007" t="s">
        <v>54</v>
      </c>
      <c r="D1007" t="s">
        <v>75</v>
      </c>
      <c r="E1007" t="s">
        <v>5132</v>
      </c>
      <c r="F1007" t="s">
        <v>5133</v>
      </c>
      <c r="G1007" t="s">
        <v>41</v>
      </c>
      <c r="H1007" t="s">
        <v>66</v>
      </c>
      <c r="I1007" t="str">
        <f>LEFT(H1007,FIND(" (",H1007)-1)</f>
        <v>Senior</v>
      </c>
      <c r="J1007" t="str">
        <f>MID(H1007,FIND("(",H1007)+1,FIND(")",H1007)-FIND("(",H1007)-1)</f>
        <v>5-8 yrs</v>
      </c>
      <c r="L1007">
        <v>160624</v>
      </c>
      <c r="M1007" t="s">
        <v>2138</v>
      </c>
      <c r="N1007" t="s">
        <v>149</v>
      </c>
      <c r="O1007" t="s">
        <v>51</v>
      </c>
      <c r="P1007" s="1">
        <v>45333</v>
      </c>
      <c r="Q1007">
        <v>506</v>
      </c>
      <c r="R1007">
        <v>3083</v>
      </c>
      <c r="S1007" t="s">
        <v>99</v>
      </c>
      <c r="T1007">
        <v>4</v>
      </c>
      <c r="U1007" t="s">
        <v>45</v>
      </c>
      <c r="V1007" t="s">
        <v>59</v>
      </c>
      <c r="W1007" t="s">
        <v>23</v>
      </c>
    </row>
    <row r="1008" spans="1:23" x14ac:dyDescent="0.3">
      <c r="A1008" t="s">
        <v>2139</v>
      </c>
      <c r="B1008" t="s">
        <v>85</v>
      </c>
      <c r="C1008" t="s">
        <v>128</v>
      </c>
      <c r="D1008" t="s">
        <v>15</v>
      </c>
      <c r="E1008" t="s">
        <v>5136</v>
      </c>
      <c r="F1008" t="s">
        <v>5133</v>
      </c>
      <c r="G1008" t="s">
        <v>41</v>
      </c>
      <c r="H1008" t="s">
        <v>56</v>
      </c>
      <c r="I1008" t="str">
        <f>LEFT(H1008,FIND(" (",H1008)-1)</f>
        <v>Mid</v>
      </c>
      <c r="J1008" t="str">
        <f>MID(H1008,FIND("(",H1008)+1,FIND(")",H1008)-FIND("(",H1008)-1)</f>
        <v>2-5 yrs</v>
      </c>
      <c r="L1008">
        <v>127724</v>
      </c>
      <c r="M1008" t="s">
        <v>2140</v>
      </c>
      <c r="N1008" t="s">
        <v>120</v>
      </c>
      <c r="O1008" t="s">
        <v>51</v>
      </c>
      <c r="P1008" s="1">
        <v>45484</v>
      </c>
      <c r="Q1008">
        <v>2404</v>
      </c>
      <c r="R1008">
        <v>575</v>
      </c>
      <c r="S1008" t="s">
        <v>34</v>
      </c>
      <c r="T1008">
        <v>2</v>
      </c>
      <c r="U1008" t="s">
        <v>58</v>
      </c>
      <c r="V1008" t="s">
        <v>24</v>
      </c>
      <c r="W1008" t="s">
        <v>34</v>
      </c>
    </row>
    <row r="1009" spans="1:23" x14ac:dyDescent="0.3">
      <c r="A1009" t="s">
        <v>2141</v>
      </c>
      <c r="B1009" t="s">
        <v>26</v>
      </c>
      <c r="C1009" t="s">
        <v>192</v>
      </c>
      <c r="D1009" t="s">
        <v>28</v>
      </c>
      <c r="E1009" t="s">
        <v>216</v>
      </c>
      <c r="F1009" t="s">
        <v>217</v>
      </c>
      <c r="G1009" t="s">
        <v>18</v>
      </c>
      <c r="H1009" t="s">
        <v>56</v>
      </c>
      <c r="I1009" t="str">
        <f>LEFT(H1009,FIND(" (",H1009)-1)</f>
        <v>Mid</v>
      </c>
      <c r="J1009" t="str">
        <f>MID(H1009,FIND("(",H1009)+1,FIND(")",H1009)-FIND("(",H1009)-1)</f>
        <v>2-5 yrs</v>
      </c>
      <c r="L1009">
        <v>122576</v>
      </c>
      <c r="M1009" t="s">
        <v>2142</v>
      </c>
      <c r="N1009" t="s">
        <v>120</v>
      </c>
      <c r="O1009" t="s">
        <v>51</v>
      </c>
      <c r="P1009" s="1">
        <v>45357</v>
      </c>
      <c r="Q1009">
        <v>839</v>
      </c>
      <c r="R1009">
        <v>3796</v>
      </c>
      <c r="S1009" t="s">
        <v>23</v>
      </c>
      <c r="T1009">
        <v>2</v>
      </c>
      <c r="U1009" t="s">
        <v>83</v>
      </c>
      <c r="V1009" t="s">
        <v>59</v>
      </c>
      <c r="W1009" t="s">
        <v>34</v>
      </c>
    </row>
    <row r="1010" spans="1:23" x14ac:dyDescent="0.3">
      <c r="A1010" t="s">
        <v>2143</v>
      </c>
      <c r="B1010" t="s">
        <v>225</v>
      </c>
      <c r="C1010" t="s">
        <v>173</v>
      </c>
      <c r="D1010" t="s">
        <v>125</v>
      </c>
      <c r="E1010" t="s">
        <v>5140</v>
      </c>
      <c r="F1010" t="s">
        <v>5133</v>
      </c>
      <c r="G1010" t="s">
        <v>41</v>
      </c>
      <c r="H1010" t="s">
        <v>56</v>
      </c>
      <c r="I1010" t="str">
        <f>LEFT(H1010,FIND(" (",H1010)-1)</f>
        <v>Mid</v>
      </c>
      <c r="J1010" t="str">
        <f>MID(H1010,FIND("(",H1010)+1,FIND(")",H1010)-FIND("(",H1010)-1)</f>
        <v>2-5 yrs</v>
      </c>
      <c r="L1010">
        <v>130781</v>
      </c>
      <c r="M1010" t="s">
        <v>2144</v>
      </c>
      <c r="N1010" t="s">
        <v>186</v>
      </c>
      <c r="O1010" t="s">
        <v>22</v>
      </c>
      <c r="P1010" s="1">
        <v>45668</v>
      </c>
      <c r="Q1010">
        <v>837</v>
      </c>
      <c r="R1010">
        <v>544</v>
      </c>
      <c r="S1010" t="s">
        <v>23</v>
      </c>
      <c r="T1010">
        <v>2</v>
      </c>
      <c r="U1010" t="s">
        <v>58</v>
      </c>
      <c r="V1010" t="s">
        <v>24</v>
      </c>
      <c r="W1010" t="s">
        <v>23</v>
      </c>
    </row>
    <row r="1011" spans="1:23" x14ac:dyDescent="0.3">
      <c r="A1011" t="s">
        <v>2145</v>
      </c>
      <c r="B1011" t="s">
        <v>13</v>
      </c>
      <c r="C1011" t="s">
        <v>14</v>
      </c>
      <c r="D1011" t="s">
        <v>28</v>
      </c>
      <c r="E1011" t="s">
        <v>5141</v>
      </c>
      <c r="F1011" t="s">
        <v>5133</v>
      </c>
      <c r="G1011" t="s">
        <v>41</v>
      </c>
      <c r="H1011" t="s">
        <v>56</v>
      </c>
      <c r="I1011" t="str">
        <f>LEFT(H1011,FIND(" (",H1011)-1)</f>
        <v>Mid</v>
      </c>
      <c r="J1011" t="str">
        <f>MID(H1011,FIND("(",H1011)+1,FIND(")",H1011)-FIND("(",H1011)-1)</f>
        <v>2-5 yrs</v>
      </c>
      <c r="L1011">
        <v>99402</v>
      </c>
      <c r="M1011" t="s">
        <v>2146</v>
      </c>
      <c r="N1011" t="s">
        <v>33</v>
      </c>
      <c r="O1011" t="s">
        <v>51</v>
      </c>
      <c r="P1011" s="1">
        <v>45313</v>
      </c>
      <c r="Q1011">
        <v>311</v>
      </c>
      <c r="R1011">
        <v>2804</v>
      </c>
      <c r="S1011" t="s">
        <v>99</v>
      </c>
      <c r="T1011">
        <v>2</v>
      </c>
      <c r="U1011" t="s">
        <v>5123</v>
      </c>
      <c r="V1011" t="s">
        <v>24</v>
      </c>
      <c r="W1011" t="s">
        <v>23</v>
      </c>
    </row>
    <row r="1012" spans="1:23" x14ac:dyDescent="0.3">
      <c r="A1012" t="s">
        <v>2147</v>
      </c>
      <c r="B1012" t="s">
        <v>91</v>
      </c>
      <c r="C1012" t="s">
        <v>195</v>
      </c>
      <c r="D1012" t="s">
        <v>49</v>
      </c>
      <c r="E1012" t="s">
        <v>39</v>
      </c>
      <c r="F1012" t="s">
        <v>40</v>
      </c>
      <c r="G1012" t="s">
        <v>41</v>
      </c>
      <c r="H1012" t="s">
        <v>31</v>
      </c>
      <c r="I1012" t="str">
        <f>LEFT(H1012,FIND(" (",H1012)-1)</f>
        <v>Staff/Principal</v>
      </c>
      <c r="J1012" t="str">
        <f>MID(H1012,FIND("(",H1012)+1,FIND(")",H1012)-FIND("(",H1012)-1)</f>
        <v>8+ yrs</v>
      </c>
      <c r="L1012">
        <v>247426</v>
      </c>
      <c r="M1012" t="s">
        <v>2148</v>
      </c>
      <c r="N1012" t="s">
        <v>68</v>
      </c>
      <c r="O1012" t="s">
        <v>51</v>
      </c>
      <c r="P1012" s="1">
        <v>45495</v>
      </c>
      <c r="Q1012">
        <v>603</v>
      </c>
      <c r="R1012">
        <v>1933</v>
      </c>
      <c r="S1012" t="s">
        <v>23</v>
      </c>
      <c r="T1012">
        <v>6</v>
      </c>
      <c r="U1012" t="s">
        <v>83</v>
      </c>
      <c r="V1012" t="s">
        <v>24</v>
      </c>
      <c r="W1012" t="s">
        <v>23</v>
      </c>
    </row>
    <row r="1013" spans="1:23" x14ac:dyDescent="0.3">
      <c r="A1013" t="s">
        <v>2149</v>
      </c>
      <c r="B1013" t="s">
        <v>143</v>
      </c>
      <c r="C1013" t="s">
        <v>54</v>
      </c>
      <c r="D1013" t="s">
        <v>125</v>
      </c>
      <c r="E1013" t="s">
        <v>5137</v>
      </c>
      <c r="F1013" t="s">
        <v>5138</v>
      </c>
      <c r="G1013" t="s">
        <v>55</v>
      </c>
      <c r="H1013" t="s">
        <v>56</v>
      </c>
      <c r="I1013" t="str">
        <f>LEFT(H1013,FIND(" (",H1013)-1)</f>
        <v>Mid</v>
      </c>
      <c r="J1013" t="str">
        <f>MID(H1013,FIND("(",H1013)+1,FIND(")",H1013)-FIND("(",H1013)-1)</f>
        <v>2-5 yrs</v>
      </c>
      <c r="L1013">
        <v>113912</v>
      </c>
      <c r="M1013" t="s">
        <v>2150</v>
      </c>
      <c r="N1013" t="s">
        <v>141</v>
      </c>
      <c r="O1013" t="s">
        <v>22</v>
      </c>
      <c r="P1013" s="1">
        <v>45306</v>
      </c>
      <c r="Q1013">
        <v>632</v>
      </c>
      <c r="R1013">
        <v>3292</v>
      </c>
      <c r="S1013" t="s">
        <v>99</v>
      </c>
      <c r="T1013">
        <v>2</v>
      </c>
      <c r="U1013" t="s">
        <v>5123</v>
      </c>
      <c r="V1013" t="s">
        <v>24</v>
      </c>
      <c r="W1013" t="s">
        <v>34</v>
      </c>
    </row>
    <row r="1014" spans="1:23" x14ac:dyDescent="0.3">
      <c r="A1014" t="s">
        <v>2151</v>
      </c>
      <c r="B1014" t="s">
        <v>229</v>
      </c>
      <c r="C1014" t="s">
        <v>239</v>
      </c>
      <c r="D1014" t="s">
        <v>125</v>
      </c>
      <c r="E1014" t="s">
        <v>5134</v>
      </c>
      <c r="F1014" t="s">
        <v>5133</v>
      </c>
      <c r="G1014" t="s">
        <v>41</v>
      </c>
      <c r="H1014" t="s">
        <v>66</v>
      </c>
      <c r="I1014" t="str">
        <f>LEFT(H1014,FIND(" (",H1014)-1)</f>
        <v>Senior</v>
      </c>
      <c r="J1014" t="str">
        <f>MID(H1014,FIND("(",H1014)+1,FIND(")",H1014)-FIND("(",H1014)-1)</f>
        <v>5-8 yrs</v>
      </c>
      <c r="L1014">
        <v>206032</v>
      </c>
      <c r="M1014" t="s">
        <v>2152</v>
      </c>
      <c r="N1014" t="s">
        <v>141</v>
      </c>
      <c r="O1014" t="s">
        <v>22</v>
      </c>
      <c r="P1014" s="1">
        <v>45480</v>
      </c>
      <c r="Q1014">
        <v>2397</v>
      </c>
      <c r="R1014">
        <v>3303</v>
      </c>
      <c r="S1014" t="s">
        <v>23</v>
      </c>
      <c r="T1014">
        <v>4</v>
      </c>
      <c r="U1014" t="s">
        <v>45</v>
      </c>
      <c r="V1014" t="s">
        <v>24</v>
      </c>
      <c r="W1014" t="s">
        <v>23</v>
      </c>
    </row>
    <row r="1015" spans="1:23" x14ac:dyDescent="0.3">
      <c r="A1015" t="s">
        <v>2153</v>
      </c>
      <c r="B1015" t="s">
        <v>36</v>
      </c>
      <c r="C1015" t="s">
        <v>37</v>
      </c>
      <c r="D1015" t="s">
        <v>147</v>
      </c>
      <c r="E1015" t="s">
        <v>5135</v>
      </c>
      <c r="F1015" t="s">
        <v>5133</v>
      </c>
      <c r="G1015" t="s">
        <v>18</v>
      </c>
      <c r="H1015" t="s">
        <v>66</v>
      </c>
      <c r="I1015" t="str">
        <f>LEFT(H1015,FIND(" (",H1015)-1)</f>
        <v>Senior</v>
      </c>
      <c r="J1015" t="str">
        <f>MID(H1015,FIND("(",H1015)+1,FIND(")",H1015)-FIND("(",H1015)-1)</f>
        <v>5-8 yrs</v>
      </c>
      <c r="L1015">
        <v>131391</v>
      </c>
      <c r="M1015" t="s">
        <v>2154</v>
      </c>
      <c r="N1015" t="s">
        <v>33</v>
      </c>
      <c r="O1015" t="s">
        <v>51</v>
      </c>
      <c r="P1015" s="1">
        <v>45512</v>
      </c>
      <c r="Q1015">
        <v>1538</v>
      </c>
      <c r="R1015">
        <v>2661</v>
      </c>
      <c r="S1015" t="s">
        <v>23</v>
      </c>
      <c r="T1015">
        <v>4</v>
      </c>
      <c r="U1015" t="s">
        <v>52</v>
      </c>
      <c r="V1015" t="s">
        <v>24</v>
      </c>
      <c r="W1015" t="s">
        <v>34</v>
      </c>
    </row>
    <row r="1016" spans="1:23" x14ac:dyDescent="0.3">
      <c r="A1016" t="s">
        <v>2155</v>
      </c>
      <c r="B1016" t="s">
        <v>222</v>
      </c>
      <c r="C1016" t="s">
        <v>48</v>
      </c>
      <c r="D1016" t="s">
        <v>125</v>
      </c>
      <c r="E1016" t="s">
        <v>64</v>
      </c>
      <c r="F1016" t="s">
        <v>65</v>
      </c>
      <c r="G1016" t="s">
        <v>18</v>
      </c>
      <c r="H1016" t="s">
        <v>31</v>
      </c>
      <c r="I1016" t="str">
        <f>LEFT(H1016,FIND(" (",H1016)-1)</f>
        <v>Staff/Principal</v>
      </c>
      <c r="J1016" t="str">
        <f>MID(H1016,FIND("(",H1016)+1,FIND(")",H1016)-FIND("(",H1016)-1)</f>
        <v>8+ yrs</v>
      </c>
      <c r="L1016">
        <v>262494</v>
      </c>
      <c r="M1016" t="s">
        <v>2156</v>
      </c>
      <c r="N1016" t="s">
        <v>141</v>
      </c>
      <c r="O1016" t="s">
        <v>79</v>
      </c>
      <c r="P1016" s="1">
        <v>45719</v>
      </c>
      <c r="Q1016">
        <v>1707</v>
      </c>
      <c r="R1016">
        <v>3863</v>
      </c>
      <c r="S1016" t="s">
        <v>23</v>
      </c>
      <c r="T1016">
        <v>6</v>
      </c>
      <c r="U1016" t="s">
        <v>45</v>
      </c>
      <c r="V1016" t="s">
        <v>24</v>
      </c>
      <c r="W1016" t="s">
        <v>34</v>
      </c>
    </row>
    <row r="1017" spans="1:23" x14ac:dyDescent="0.3">
      <c r="A1017" t="s">
        <v>2157</v>
      </c>
      <c r="B1017" t="s">
        <v>131</v>
      </c>
      <c r="C1017" t="s">
        <v>239</v>
      </c>
      <c r="D1017" t="s">
        <v>49</v>
      </c>
      <c r="E1017" t="s">
        <v>133</v>
      </c>
      <c r="F1017" t="s">
        <v>134</v>
      </c>
      <c r="G1017" t="s">
        <v>41</v>
      </c>
      <c r="H1017" t="s">
        <v>19</v>
      </c>
      <c r="I1017" t="str">
        <f>LEFT(H1017,FIND(" (",H1017)-1)</f>
        <v>Entry</v>
      </c>
      <c r="J1017" t="str">
        <f>MID(H1017,FIND("(",H1017)+1,FIND(")",H1017)-FIND("(",H1017)-1)</f>
        <v>0-2 yrs</v>
      </c>
      <c r="L1017">
        <v>72493</v>
      </c>
      <c r="M1017" t="s">
        <v>2158</v>
      </c>
      <c r="N1017" t="s">
        <v>33</v>
      </c>
      <c r="O1017" t="s">
        <v>51</v>
      </c>
      <c r="P1017" s="1">
        <v>45596</v>
      </c>
      <c r="Q1017">
        <v>1857</v>
      </c>
      <c r="R1017">
        <v>1089</v>
      </c>
      <c r="S1017" t="s">
        <v>34</v>
      </c>
      <c r="T1017">
        <v>0</v>
      </c>
      <c r="U1017" t="s">
        <v>83</v>
      </c>
      <c r="V1017" t="s">
        <v>24</v>
      </c>
      <c r="W1017" t="s">
        <v>34</v>
      </c>
    </row>
    <row r="1018" spans="1:23" x14ac:dyDescent="0.3">
      <c r="A1018" t="s">
        <v>2159</v>
      </c>
      <c r="B1018" t="s">
        <v>61</v>
      </c>
      <c r="C1018" t="s">
        <v>204</v>
      </c>
      <c r="D1018" t="s">
        <v>15</v>
      </c>
      <c r="E1018" t="s">
        <v>39</v>
      </c>
      <c r="F1018" t="s">
        <v>40</v>
      </c>
      <c r="G1018" t="s">
        <v>55</v>
      </c>
      <c r="H1018" t="s">
        <v>66</v>
      </c>
      <c r="I1018" t="str">
        <f>LEFT(H1018,FIND(" (",H1018)-1)</f>
        <v>Senior</v>
      </c>
      <c r="J1018" t="str">
        <f>MID(H1018,FIND("(",H1018)+1,FIND(")",H1018)-FIND("(",H1018)-1)</f>
        <v>5-8 yrs</v>
      </c>
      <c r="L1018">
        <v>132411</v>
      </c>
      <c r="M1018" t="s">
        <v>2160</v>
      </c>
      <c r="N1018" t="s">
        <v>120</v>
      </c>
      <c r="O1018" t="s">
        <v>44</v>
      </c>
      <c r="P1018" s="1">
        <v>45387</v>
      </c>
      <c r="Q1018">
        <v>1286</v>
      </c>
      <c r="R1018">
        <v>327</v>
      </c>
      <c r="S1018" t="s">
        <v>34</v>
      </c>
      <c r="T1018">
        <v>4</v>
      </c>
      <c r="U1018" t="s">
        <v>45</v>
      </c>
      <c r="V1018" t="s">
        <v>59</v>
      </c>
      <c r="W1018" t="s">
        <v>23</v>
      </c>
    </row>
    <row r="1019" spans="1:23" x14ac:dyDescent="0.3">
      <c r="A1019" t="s">
        <v>2161</v>
      </c>
      <c r="B1019" t="s">
        <v>137</v>
      </c>
      <c r="C1019" t="s">
        <v>37</v>
      </c>
      <c r="D1019" t="s">
        <v>28</v>
      </c>
      <c r="E1019" t="s">
        <v>5141</v>
      </c>
      <c r="F1019" t="s">
        <v>5133</v>
      </c>
      <c r="G1019" t="s">
        <v>55</v>
      </c>
      <c r="H1019" t="s">
        <v>19</v>
      </c>
      <c r="I1019" t="str">
        <f>LEFT(H1019,FIND(" (",H1019)-1)</f>
        <v>Entry</v>
      </c>
      <c r="J1019" t="str">
        <f>MID(H1019,FIND("(",H1019)+1,FIND(")",H1019)-FIND("(",H1019)-1)</f>
        <v>0-2 yrs</v>
      </c>
      <c r="L1019">
        <v>63903</v>
      </c>
      <c r="M1019" t="s">
        <v>2162</v>
      </c>
      <c r="N1019" t="s">
        <v>33</v>
      </c>
      <c r="O1019" t="s">
        <v>51</v>
      </c>
      <c r="P1019" s="1">
        <v>45428</v>
      </c>
      <c r="Q1019">
        <v>2157</v>
      </c>
      <c r="R1019">
        <v>1654</v>
      </c>
      <c r="S1019" t="s">
        <v>23</v>
      </c>
      <c r="T1019">
        <v>0</v>
      </c>
      <c r="U1019" t="s">
        <v>45</v>
      </c>
      <c r="V1019" t="s">
        <v>59</v>
      </c>
      <c r="W1019" t="s">
        <v>23</v>
      </c>
    </row>
    <row r="1020" spans="1:23" x14ac:dyDescent="0.3">
      <c r="A1020" t="s">
        <v>2163</v>
      </c>
      <c r="B1020" t="s">
        <v>236</v>
      </c>
      <c r="C1020" t="s">
        <v>71</v>
      </c>
      <c r="D1020" t="s">
        <v>75</v>
      </c>
      <c r="E1020" t="s">
        <v>5141</v>
      </c>
      <c r="F1020" t="s">
        <v>5133</v>
      </c>
      <c r="G1020" t="s">
        <v>55</v>
      </c>
      <c r="H1020" t="s">
        <v>56</v>
      </c>
      <c r="I1020" t="str">
        <f>LEFT(H1020,FIND(" (",H1020)-1)</f>
        <v>Mid</v>
      </c>
      <c r="J1020" t="str">
        <f>MID(H1020,FIND("(",H1020)+1,FIND(")",H1020)-FIND("(",H1020)-1)</f>
        <v>2-5 yrs</v>
      </c>
      <c r="L1020">
        <v>103657</v>
      </c>
      <c r="M1020" t="s">
        <v>2164</v>
      </c>
      <c r="N1020" t="s">
        <v>21</v>
      </c>
      <c r="O1020" t="s">
        <v>51</v>
      </c>
      <c r="P1020" s="1">
        <v>45515</v>
      </c>
      <c r="Q1020">
        <v>560</v>
      </c>
      <c r="R1020">
        <v>1774</v>
      </c>
      <c r="S1020" t="s">
        <v>34</v>
      </c>
      <c r="T1020">
        <v>2</v>
      </c>
      <c r="U1020" t="s">
        <v>45</v>
      </c>
      <c r="V1020" t="s">
        <v>24</v>
      </c>
      <c r="W1020" t="s">
        <v>34</v>
      </c>
    </row>
    <row r="1021" spans="1:23" x14ac:dyDescent="0.3">
      <c r="A1021" t="s">
        <v>2165</v>
      </c>
      <c r="B1021" t="s">
        <v>81</v>
      </c>
      <c r="C1021" t="s">
        <v>195</v>
      </c>
      <c r="D1021" t="s">
        <v>125</v>
      </c>
      <c r="E1021" t="s">
        <v>5140</v>
      </c>
      <c r="F1021" t="s">
        <v>5133</v>
      </c>
      <c r="G1021" t="s">
        <v>41</v>
      </c>
      <c r="H1021" t="s">
        <v>66</v>
      </c>
      <c r="I1021" t="str">
        <f>LEFT(H1021,FIND(" (",H1021)-1)</f>
        <v>Senior</v>
      </c>
      <c r="J1021" t="str">
        <f>MID(H1021,FIND("(",H1021)+1,FIND(")",H1021)-FIND("(",H1021)-1)</f>
        <v>5-8 yrs</v>
      </c>
      <c r="L1021">
        <v>161452</v>
      </c>
      <c r="M1021" t="s">
        <v>2166</v>
      </c>
      <c r="N1021" t="s">
        <v>141</v>
      </c>
      <c r="O1021" t="s">
        <v>51</v>
      </c>
      <c r="P1021" s="1">
        <v>45296</v>
      </c>
      <c r="Q1021">
        <v>1820</v>
      </c>
      <c r="R1021">
        <v>2368</v>
      </c>
      <c r="S1021" t="s">
        <v>23</v>
      </c>
      <c r="T1021">
        <v>4</v>
      </c>
      <c r="U1021" t="s">
        <v>45</v>
      </c>
      <c r="V1021" t="s">
        <v>59</v>
      </c>
      <c r="W1021" t="s">
        <v>34</v>
      </c>
    </row>
    <row r="1022" spans="1:23" x14ac:dyDescent="0.3">
      <c r="A1022" t="s">
        <v>2167</v>
      </c>
      <c r="B1022" t="s">
        <v>91</v>
      </c>
      <c r="C1022" t="s">
        <v>173</v>
      </c>
      <c r="D1022" t="s">
        <v>125</v>
      </c>
      <c r="E1022" t="s">
        <v>39</v>
      </c>
      <c r="F1022" t="s">
        <v>40</v>
      </c>
      <c r="G1022" t="s">
        <v>55</v>
      </c>
      <c r="H1022" t="s">
        <v>19</v>
      </c>
      <c r="I1022" t="str">
        <f>LEFT(H1022,FIND(" (",H1022)-1)</f>
        <v>Entry</v>
      </c>
      <c r="J1022" t="str">
        <f>MID(H1022,FIND("(",H1022)+1,FIND(")",H1022)-FIND("(",H1022)-1)</f>
        <v>0-2 yrs</v>
      </c>
      <c r="L1022">
        <v>76587</v>
      </c>
      <c r="M1022" t="s">
        <v>2168</v>
      </c>
      <c r="N1022" t="s">
        <v>149</v>
      </c>
      <c r="O1022" t="s">
        <v>51</v>
      </c>
      <c r="P1022" s="1">
        <v>45433</v>
      </c>
      <c r="Q1022">
        <v>1471</v>
      </c>
      <c r="R1022">
        <v>225</v>
      </c>
      <c r="S1022" t="s">
        <v>99</v>
      </c>
      <c r="T1022">
        <v>0</v>
      </c>
      <c r="U1022" t="s">
        <v>45</v>
      </c>
      <c r="V1022" t="s">
        <v>24</v>
      </c>
      <c r="W1022" t="s">
        <v>23</v>
      </c>
    </row>
    <row r="1023" spans="1:23" x14ac:dyDescent="0.3">
      <c r="A1023" t="s">
        <v>2169</v>
      </c>
      <c r="B1023" t="s">
        <v>91</v>
      </c>
      <c r="C1023" t="s">
        <v>14</v>
      </c>
      <c r="D1023" t="s">
        <v>38</v>
      </c>
      <c r="E1023" t="s">
        <v>5139</v>
      </c>
      <c r="F1023" t="s">
        <v>5133</v>
      </c>
      <c r="G1023" t="s">
        <v>55</v>
      </c>
      <c r="H1023" t="s">
        <v>56</v>
      </c>
      <c r="I1023" t="str">
        <f>LEFT(H1023,FIND(" (",H1023)-1)</f>
        <v>Mid</v>
      </c>
      <c r="J1023" t="str">
        <f>MID(H1023,FIND("(",H1023)+1,FIND(")",H1023)-FIND("(",H1023)-1)</f>
        <v>2-5 yrs</v>
      </c>
      <c r="L1023">
        <v>98640</v>
      </c>
      <c r="M1023" t="s">
        <v>2170</v>
      </c>
      <c r="N1023" t="s">
        <v>21</v>
      </c>
      <c r="O1023" t="s">
        <v>51</v>
      </c>
      <c r="P1023" s="1">
        <v>45446</v>
      </c>
      <c r="Q1023">
        <v>2175</v>
      </c>
      <c r="R1023">
        <v>935</v>
      </c>
      <c r="S1023" t="s">
        <v>34</v>
      </c>
      <c r="T1023">
        <v>2</v>
      </c>
      <c r="U1023" t="s">
        <v>5123</v>
      </c>
      <c r="V1023" t="s">
        <v>24</v>
      </c>
      <c r="W1023" t="s">
        <v>23</v>
      </c>
    </row>
    <row r="1024" spans="1:23" x14ac:dyDescent="0.3">
      <c r="A1024" t="s">
        <v>2171</v>
      </c>
      <c r="B1024" t="s">
        <v>13</v>
      </c>
      <c r="C1024" t="s">
        <v>239</v>
      </c>
      <c r="D1024" t="s">
        <v>75</v>
      </c>
      <c r="E1024" t="s">
        <v>76</v>
      </c>
      <c r="F1024" t="s">
        <v>77</v>
      </c>
      <c r="G1024" t="s">
        <v>55</v>
      </c>
      <c r="H1024" t="s">
        <v>31</v>
      </c>
      <c r="I1024" t="str">
        <f>LEFT(H1024,FIND(" (",H1024)-1)</f>
        <v>Staff/Principal</v>
      </c>
      <c r="J1024" t="str">
        <f>MID(H1024,FIND("(",H1024)+1,FIND(")",H1024)-FIND("(",H1024)-1)</f>
        <v>8+ yrs</v>
      </c>
      <c r="L1024">
        <v>199123</v>
      </c>
      <c r="M1024" t="s">
        <v>2172</v>
      </c>
      <c r="N1024" t="s">
        <v>149</v>
      </c>
      <c r="O1024" t="s">
        <v>22</v>
      </c>
      <c r="P1024" s="1">
        <v>45377</v>
      </c>
      <c r="Q1024">
        <v>940</v>
      </c>
      <c r="R1024">
        <v>866</v>
      </c>
      <c r="S1024" t="s">
        <v>23</v>
      </c>
      <c r="T1024">
        <v>6</v>
      </c>
      <c r="U1024" t="s">
        <v>45</v>
      </c>
      <c r="V1024" t="s">
        <v>59</v>
      </c>
      <c r="W1024" t="s">
        <v>34</v>
      </c>
    </row>
    <row r="1025" spans="1:23" x14ac:dyDescent="0.3">
      <c r="A1025" t="s">
        <v>2173</v>
      </c>
      <c r="B1025" t="s">
        <v>131</v>
      </c>
      <c r="C1025" t="s">
        <v>239</v>
      </c>
      <c r="D1025" t="s">
        <v>15</v>
      </c>
      <c r="E1025" t="s">
        <v>16</v>
      </c>
      <c r="F1025" t="s">
        <v>17</v>
      </c>
      <c r="G1025" t="s">
        <v>18</v>
      </c>
      <c r="H1025" t="s">
        <v>31</v>
      </c>
      <c r="I1025" t="str">
        <f>LEFT(H1025,FIND(" (",H1025)-1)</f>
        <v>Staff/Principal</v>
      </c>
      <c r="J1025" t="str">
        <f>MID(H1025,FIND("(",H1025)+1,FIND(")",H1025)-FIND("(",H1025)-1)</f>
        <v>8+ yrs</v>
      </c>
      <c r="L1025">
        <v>277121</v>
      </c>
      <c r="M1025" t="s">
        <v>2174</v>
      </c>
      <c r="N1025" t="s">
        <v>33</v>
      </c>
      <c r="O1025" t="s">
        <v>51</v>
      </c>
      <c r="P1025" s="1">
        <v>45640</v>
      </c>
      <c r="Q1025">
        <v>1983</v>
      </c>
      <c r="R1025">
        <v>3273</v>
      </c>
      <c r="S1025" t="s">
        <v>23</v>
      </c>
      <c r="T1025">
        <v>6</v>
      </c>
      <c r="U1025" t="s">
        <v>52</v>
      </c>
      <c r="V1025" t="s">
        <v>24</v>
      </c>
      <c r="W1025" t="s">
        <v>34</v>
      </c>
    </row>
    <row r="1026" spans="1:23" x14ac:dyDescent="0.3">
      <c r="A1026" t="s">
        <v>2175</v>
      </c>
      <c r="B1026" t="s">
        <v>172</v>
      </c>
      <c r="C1026" t="s">
        <v>97</v>
      </c>
      <c r="D1026" t="s">
        <v>15</v>
      </c>
      <c r="E1026" t="s">
        <v>200</v>
      </c>
      <c r="F1026" t="s">
        <v>201</v>
      </c>
      <c r="G1026" t="s">
        <v>18</v>
      </c>
      <c r="H1026" t="s">
        <v>56</v>
      </c>
      <c r="I1026" t="str">
        <f>LEFT(H1026,FIND(" (",H1026)-1)</f>
        <v>Mid</v>
      </c>
      <c r="J1026" t="str">
        <f>MID(H1026,FIND("(",H1026)+1,FIND(")",H1026)-FIND("(",H1026)-1)</f>
        <v>2-5 yrs</v>
      </c>
      <c r="L1026">
        <v>144205</v>
      </c>
      <c r="M1026" t="s">
        <v>2176</v>
      </c>
      <c r="N1026" t="s">
        <v>186</v>
      </c>
      <c r="O1026" t="s">
        <v>79</v>
      </c>
      <c r="P1026" s="1">
        <v>45641</v>
      </c>
      <c r="Q1026">
        <v>1762</v>
      </c>
      <c r="R1026">
        <v>3349</v>
      </c>
      <c r="S1026" t="s">
        <v>34</v>
      </c>
      <c r="T1026">
        <v>2</v>
      </c>
      <c r="U1026" t="s">
        <v>58</v>
      </c>
      <c r="V1026" t="s">
        <v>46</v>
      </c>
      <c r="W1026" t="s">
        <v>34</v>
      </c>
    </row>
    <row r="1027" spans="1:23" x14ac:dyDescent="0.3">
      <c r="A1027" t="s">
        <v>2177</v>
      </c>
      <c r="B1027" t="s">
        <v>225</v>
      </c>
      <c r="C1027" t="s">
        <v>167</v>
      </c>
      <c r="D1027" t="s">
        <v>125</v>
      </c>
      <c r="E1027" t="s">
        <v>76</v>
      </c>
      <c r="F1027" t="s">
        <v>77</v>
      </c>
      <c r="G1027" t="s">
        <v>41</v>
      </c>
      <c r="H1027" t="s">
        <v>66</v>
      </c>
      <c r="I1027" t="str">
        <f>LEFT(H1027,FIND(" (",H1027)-1)</f>
        <v>Senior</v>
      </c>
      <c r="J1027" t="str">
        <f>MID(H1027,FIND("(",H1027)+1,FIND(")",H1027)-FIND("(",H1027)-1)</f>
        <v>5-8 yrs</v>
      </c>
      <c r="L1027">
        <v>161780</v>
      </c>
      <c r="M1027" t="s">
        <v>2178</v>
      </c>
      <c r="N1027" t="s">
        <v>33</v>
      </c>
      <c r="O1027" t="s">
        <v>22</v>
      </c>
      <c r="P1027" s="1">
        <v>45315</v>
      </c>
      <c r="Q1027">
        <v>1063</v>
      </c>
      <c r="R1027">
        <v>1319</v>
      </c>
      <c r="S1027" t="s">
        <v>23</v>
      </c>
      <c r="T1027">
        <v>4</v>
      </c>
      <c r="U1027" t="s">
        <v>52</v>
      </c>
      <c r="V1027" t="s">
        <v>24</v>
      </c>
      <c r="W1027" t="s">
        <v>34</v>
      </c>
    </row>
    <row r="1028" spans="1:23" x14ac:dyDescent="0.3">
      <c r="A1028" t="s">
        <v>2179</v>
      </c>
      <c r="B1028" t="s">
        <v>81</v>
      </c>
      <c r="C1028" t="s">
        <v>192</v>
      </c>
      <c r="D1028" t="s">
        <v>125</v>
      </c>
      <c r="E1028" t="s">
        <v>200</v>
      </c>
      <c r="F1028" t="s">
        <v>201</v>
      </c>
      <c r="G1028" t="s">
        <v>41</v>
      </c>
      <c r="H1028" t="s">
        <v>56</v>
      </c>
      <c r="I1028" t="str">
        <f>LEFT(H1028,FIND(" (",H1028)-1)</f>
        <v>Mid</v>
      </c>
      <c r="J1028" t="str">
        <f>MID(H1028,FIND("(",H1028)+1,FIND(")",H1028)-FIND("(",H1028)-1)</f>
        <v>2-5 yrs</v>
      </c>
      <c r="L1028">
        <v>110752</v>
      </c>
      <c r="M1028" t="s">
        <v>2180</v>
      </c>
      <c r="N1028" t="s">
        <v>149</v>
      </c>
      <c r="O1028" t="s">
        <v>79</v>
      </c>
      <c r="P1028" s="1">
        <v>45355</v>
      </c>
      <c r="Q1028">
        <v>1112</v>
      </c>
      <c r="R1028">
        <v>508</v>
      </c>
      <c r="S1028" t="s">
        <v>34</v>
      </c>
      <c r="T1028">
        <v>2</v>
      </c>
      <c r="U1028" t="s">
        <v>83</v>
      </c>
      <c r="V1028" t="s">
        <v>24</v>
      </c>
      <c r="W1028" t="s">
        <v>23</v>
      </c>
    </row>
    <row r="1029" spans="1:23" x14ac:dyDescent="0.3">
      <c r="A1029" t="s">
        <v>2181</v>
      </c>
      <c r="B1029" t="s">
        <v>131</v>
      </c>
      <c r="C1029" t="s">
        <v>195</v>
      </c>
      <c r="D1029" t="s">
        <v>174</v>
      </c>
      <c r="E1029" t="s">
        <v>102</v>
      </c>
      <c r="F1029" t="s">
        <v>103</v>
      </c>
      <c r="G1029" t="s">
        <v>55</v>
      </c>
      <c r="H1029" t="s">
        <v>31</v>
      </c>
      <c r="I1029" t="str">
        <f>LEFT(H1029,FIND(" (",H1029)-1)</f>
        <v>Staff/Principal</v>
      </c>
      <c r="J1029" t="str">
        <f>MID(H1029,FIND("(",H1029)+1,FIND(")",H1029)-FIND("(",H1029)-1)</f>
        <v>8+ yrs</v>
      </c>
      <c r="L1029">
        <v>204321</v>
      </c>
      <c r="M1029" t="s">
        <v>2182</v>
      </c>
      <c r="N1029" t="s">
        <v>43</v>
      </c>
      <c r="O1029" t="s">
        <v>44</v>
      </c>
      <c r="P1029" s="1">
        <v>45305</v>
      </c>
      <c r="Q1029">
        <v>1173</v>
      </c>
      <c r="R1029">
        <v>3735</v>
      </c>
      <c r="S1029" t="s">
        <v>34</v>
      </c>
      <c r="T1029">
        <v>6</v>
      </c>
      <c r="U1029" t="s">
        <v>52</v>
      </c>
      <c r="V1029" t="s">
        <v>24</v>
      </c>
      <c r="W1029" t="s">
        <v>23</v>
      </c>
    </row>
    <row r="1030" spans="1:23" x14ac:dyDescent="0.3">
      <c r="A1030" t="s">
        <v>2183</v>
      </c>
      <c r="B1030" t="s">
        <v>172</v>
      </c>
      <c r="C1030" t="s">
        <v>86</v>
      </c>
      <c r="D1030" t="s">
        <v>38</v>
      </c>
      <c r="E1030" t="s">
        <v>216</v>
      </c>
      <c r="F1030" t="s">
        <v>217</v>
      </c>
      <c r="G1030" t="s">
        <v>18</v>
      </c>
      <c r="H1030" t="s">
        <v>56</v>
      </c>
      <c r="I1030" t="str">
        <f>LEFT(H1030,FIND(" (",H1030)-1)</f>
        <v>Mid</v>
      </c>
      <c r="J1030" t="str">
        <f>MID(H1030,FIND("(",H1030)+1,FIND(")",H1030)-FIND("(",H1030)-1)</f>
        <v>2-5 yrs</v>
      </c>
      <c r="L1030">
        <v>122147</v>
      </c>
      <c r="M1030" t="s">
        <v>2184</v>
      </c>
      <c r="N1030" t="s">
        <v>33</v>
      </c>
      <c r="O1030" t="s">
        <v>44</v>
      </c>
      <c r="P1030" s="1">
        <v>45559</v>
      </c>
      <c r="Q1030">
        <v>1223</v>
      </c>
      <c r="R1030">
        <v>539</v>
      </c>
      <c r="S1030" t="s">
        <v>34</v>
      </c>
      <c r="T1030">
        <v>2</v>
      </c>
      <c r="U1030" t="s">
        <v>58</v>
      </c>
      <c r="V1030" t="s">
        <v>24</v>
      </c>
      <c r="W1030" t="s">
        <v>34</v>
      </c>
    </row>
    <row r="1031" spans="1:23" x14ac:dyDescent="0.3">
      <c r="A1031" t="s">
        <v>2185</v>
      </c>
      <c r="B1031" t="s">
        <v>229</v>
      </c>
      <c r="C1031" t="s">
        <v>101</v>
      </c>
      <c r="D1031" t="s">
        <v>75</v>
      </c>
      <c r="E1031" t="s">
        <v>5134</v>
      </c>
      <c r="F1031" t="s">
        <v>5133</v>
      </c>
      <c r="G1031" t="s">
        <v>18</v>
      </c>
      <c r="H1031" t="s">
        <v>31</v>
      </c>
      <c r="I1031" t="str">
        <f>LEFT(H1031,FIND(" (",H1031)-1)</f>
        <v>Staff/Principal</v>
      </c>
      <c r="J1031" t="str">
        <f>MID(H1031,FIND("(",H1031)+1,FIND(")",H1031)-FIND("(",H1031)-1)</f>
        <v>8+ yrs</v>
      </c>
      <c r="L1031">
        <v>163179</v>
      </c>
      <c r="M1031" t="s">
        <v>2186</v>
      </c>
      <c r="N1031" t="s">
        <v>33</v>
      </c>
      <c r="O1031" t="s">
        <v>44</v>
      </c>
      <c r="P1031" s="1">
        <v>45317</v>
      </c>
      <c r="Q1031">
        <v>1118</v>
      </c>
      <c r="R1031">
        <v>1571</v>
      </c>
      <c r="S1031" t="s">
        <v>34</v>
      </c>
      <c r="T1031">
        <v>6</v>
      </c>
      <c r="U1031" t="s">
        <v>5123</v>
      </c>
      <c r="V1031" t="s">
        <v>24</v>
      </c>
      <c r="W1031" t="s">
        <v>34</v>
      </c>
    </row>
    <row r="1032" spans="1:23" x14ac:dyDescent="0.3">
      <c r="A1032" t="s">
        <v>2187</v>
      </c>
      <c r="B1032" t="s">
        <v>13</v>
      </c>
      <c r="C1032" t="s">
        <v>74</v>
      </c>
      <c r="D1032" t="s">
        <v>28</v>
      </c>
      <c r="E1032" t="s">
        <v>133</v>
      </c>
      <c r="F1032" t="s">
        <v>134</v>
      </c>
      <c r="G1032" t="s">
        <v>18</v>
      </c>
      <c r="H1032" t="s">
        <v>66</v>
      </c>
      <c r="I1032" t="str">
        <f>LEFT(H1032,FIND(" (",H1032)-1)</f>
        <v>Senior</v>
      </c>
      <c r="J1032" t="str">
        <f>MID(H1032,FIND("(",H1032)+1,FIND(")",H1032)-FIND("(",H1032)-1)</f>
        <v>5-8 yrs</v>
      </c>
      <c r="L1032">
        <v>143050</v>
      </c>
      <c r="M1032" t="s">
        <v>2188</v>
      </c>
      <c r="N1032" t="s">
        <v>120</v>
      </c>
      <c r="O1032" t="s">
        <v>44</v>
      </c>
      <c r="P1032" s="1">
        <v>45577</v>
      </c>
      <c r="Q1032">
        <v>2259</v>
      </c>
      <c r="R1032">
        <v>830</v>
      </c>
      <c r="S1032" t="s">
        <v>23</v>
      </c>
      <c r="T1032">
        <v>4</v>
      </c>
      <c r="U1032" t="s">
        <v>45</v>
      </c>
      <c r="V1032" t="s">
        <v>24</v>
      </c>
      <c r="W1032" t="s">
        <v>34</v>
      </c>
    </row>
    <row r="1033" spans="1:23" x14ac:dyDescent="0.3">
      <c r="A1033" t="s">
        <v>2189</v>
      </c>
      <c r="B1033" t="s">
        <v>106</v>
      </c>
      <c r="C1033" t="s">
        <v>226</v>
      </c>
      <c r="D1033" t="s">
        <v>75</v>
      </c>
      <c r="E1033" t="s">
        <v>64</v>
      </c>
      <c r="F1033" t="s">
        <v>65</v>
      </c>
      <c r="G1033" t="s">
        <v>55</v>
      </c>
      <c r="H1033" t="s">
        <v>56</v>
      </c>
      <c r="I1033" t="str">
        <f>LEFT(H1033,FIND(" (",H1033)-1)</f>
        <v>Mid</v>
      </c>
      <c r="J1033" t="str">
        <f>MID(H1033,FIND("(",H1033)+1,FIND(")",H1033)-FIND("(",H1033)-1)</f>
        <v>2-5 yrs</v>
      </c>
      <c r="L1033">
        <v>76962</v>
      </c>
      <c r="M1033" t="s">
        <v>2190</v>
      </c>
      <c r="N1033" t="s">
        <v>33</v>
      </c>
      <c r="O1033" t="s">
        <v>79</v>
      </c>
      <c r="P1033" s="1">
        <v>45656</v>
      </c>
      <c r="Q1033">
        <v>931</v>
      </c>
      <c r="R1033">
        <v>2948</v>
      </c>
      <c r="S1033" t="s">
        <v>23</v>
      </c>
      <c r="T1033">
        <v>2</v>
      </c>
      <c r="U1033" t="s">
        <v>52</v>
      </c>
      <c r="V1033" t="s">
        <v>24</v>
      </c>
      <c r="W1033" t="s">
        <v>23</v>
      </c>
    </row>
    <row r="1034" spans="1:23" x14ac:dyDescent="0.3">
      <c r="A1034" t="s">
        <v>2191</v>
      </c>
      <c r="B1034" t="s">
        <v>137</v>
      </c>
      <c r="C1034" t="s">
        <v>97</v>
      </c>
      <c r="D1034" t="s">
        <v>63</v>
      </c>
      <c r="E1034" t="s">
        <v>5134</v>
      </c>
      <c r="F1034" t="s">
        <v>5133</v>
      </c>
      <c r="G1034" t="s">
        <v>18</v>
      </c>
      <c r="H1034" t="s">
        <v>19</v>
      </c>
      <c r="I1034" t="str">
        <f>LEFT(H1034,FIND(" (",H1034)-1)</f>
        <v>Entry</v>
      </c>
      <c r="J1034" t="str">
        <f>MID(H1034,FIND("(",H1034)+1,FIND(")",H1034)-FIND("(",H1034)-1)</f>
        <v>0-2 yrs</v>
      </c>
      <c r="L1034">
        <v>75030</v>
      </c>
      <c r="M1034" t="s">
        <v>2192</v>
      </c>
      <c r="N1034" t="s">
        <v>33</v>
      </c>
      <c r="O1034" t="s">
        <v>44</v>
      </c>
      <c r="P1034" s="1">
        <v>45746</v>
      </c>
      <c r="Q1034">
        <v>1302</v>
      </c>
      <c r="R1034">
        <v>283</v>
      </c>
      <c r="S1034" t="s">
        <v>99</v>
      </c>
      <c r="T1034">
        <v>0</v>
      </c>
      <c r="U1034" t="s">
        <v>5123</v>
      </c>
      <c r="V1034" t="s">
        <v>24</v>
      </c>
      <c r="W1034" t="s">
        <v>34</v>
      </c>
    </row>
    <row r="1035" spans="1:23" x14ac:dyDescent="0.3">
      <c r="A1035" t="s">
        <v>2193</v>
      </c>
      <c r="B1035" t="s">
        <v>96</v>
      </c>
      <c r="C1035" t="s">
        <v>27</v>
      </c>
      <c r="D1035" t="s">
        <v>125</v>
      </c>
      <c r="E1035" t="s">
        <v>5137</v>
      </c>
      <c r="F1035" t="s">
        <v>5138</v>
      </c>
      <c r="G1035" t="s">
        <v>55</v>
      </c>
      <c r="H1035" t="s">
        <v>66</v>
      </c>
      <c r="I1035" t="str">
        <f>LEFT(H1035,FIND(" (",H1035)-1)</f>
        <v>Senior</v>
      </c>
      <c r="J1035" t="str">
        <f>MID(H1035,FIND("(",H1035)+1,FIND(")",H1035)-FIND("(",H1035)-1)</f>
        <v>5-8 yrs</v>
      </c>
      <c r="L1035">
        <v>167474</v>
      </c>
      <c r="M1035" t="s">
        <v>2194</v>
      </c>
      <c r="N1035" t="s">
        <v>33</v>
      </c>
      <c r="O1035" t="s">
        <v>22</v>
      </c>
      <c r="P1035" s="1">
        <v>45295</v>
      </c>
      <c r="Q1035">
        <v>593</v>
      </c>
      <c r="R1035">
        <v>910</v>
      </c>
      <c r="S1035" t="s">
        <v>23</v>
      </c>
      <c r="T1035">
        <v>4</v>
      </c>
      <c r="U1035" t="s">
        <v>52</v>
      </c>
      <c r="V1035" t="s">
        <v>24</v>
      </c>
      <c r="W1035" t="s">
        <v>34</v>
      </c>
    </row>
    <row r="1036" spans="1:23" x14ac:dyDescent="0.3">
      <c r="A1036" t="s">
        <v>2195</v>
      </c>
      <c r="B1036" t="s">
        <v>81</v>
      </c>
      <c r="C1036" t="s">
        <v>132</v>
      </c>
      <c r="D1036" t="s">
        <v>174</v>
      </c>
      <c r="E1036" t="s">
        <v>29</v>
      </c>
      <c r="F1036" t="s">
        <v>30</v>
      </c>
      <c r="G1036" t="s">
        <v>41</v>
      </c>
      <c r="H1036" t="s">
        <v>31</v>
      </c>
      <c r="I1036" t="str">
        <f>LEFT(H1036,FIND(" (",H1036)-1)</f>
        <v>Staff/Principal</v>
      </c>
      <c r="J1036" t="str">
        <f>MID(H1036,FIND("(",H1036)+1,FIND(")",H1036)-FIND("(",H1036)-1)</f>
        <v>8+ yrs</v>
      </c>
      <c r="L1036">
        <v>182605</v>
      </c>
      <c r="M1036" t="s">
        <v>2196</v>
      </c>
      <c r="N1036" t="s">
        <v>89</v>
      </c>
      <c r="O1036" t="s">
        <v>51</v>
      </c>
      <c r="P1036" s="1">
        <v>45660</v>
      </c>
      <c r="Q1036">
        <v>597</v>
      </c>
      <c r="R1036">
        <v>3283</v>
      </c>
      <c r="S1036" t="s">
        <v>34</v>
      </c>
      <c r="T1036">
        <v>6</v>
      </c>
      <c r="U1036" t="s">
        <v>5123</v>
      </c>
      <c r="V1036" t="s">
        <v>24</v>
      </c>
      <c r="W1036" t="s">
        <v>34</v>
      </c>
    </row>
    <row r="1037" spans="1:23" x14ac:dyDescent="0.3">
      <c r="A1037" t="s">
        <v>2197</v>
      </c>
      <c r="B1037" t="s">
        <v>36</v>
      </c>
      <c r="C1037" t="s">
        <v>110</v>
      </c>
      <c r="D1037" t="s">
        <v>111</v>
      </c>
      <c r="E1037" t="s">
        <v>5136</v>
      </c>
      <c r="F1037" t="s">
        <v>5133</v>
      </c>
      <c r="G1037" t="s">
        <v>41</v>
      </c>
      <c r="H1037" t="s">
        <v>19</v>
      </c>
      <c r="I1037" t="str">
        <f>LEFT(H1037,FIND(" (",H1037)-1)</f>
        <v>Entry</v>
      </c>
      <c r="J1037" t="str">
        <f>MID(H1037,FIND("(",H1037)+1,FIND(")",H1037)-FIND("(",H1037)-1)</f>
        <v>0-2 yrs</v>
      </c>
      <c r="L1037">
        <v>89832</v>
      </c>
      <c r="M1037" t="s">
        <v>2198</v>
      </c>
      <c r="N1037" t="s">
        <v>33</v>
      </c>
      <c r="O1037" t="s">
        <v>44</v>
      </c>
      <c r="P1037" s="1">
        <v>45636</v>
      </c>
      <c r="Q1037">
        <v>1166</v>
      </c>
      <c r="R1037">
        <v>2430</v>
      </c>
      <c r="S1037" t="s">
        <v>23</v>
      </c>
      <c r="T1037">
        <v>0</v>
      </c>
      <c r="U1037" t="s">
        <v>83</v>
      </c>
      <c r="V1037" t="s">
        <v>24</v>
      </c>
      <c r="W1037" t="s">
        <v>23</v>
      </c>
    </row>
    <row r="1038" spans="1:23" x14ac:dyDescent="0.3">
      <c r="A1038" t="s">
        <v>2199</v>
      </c>
      <c r="B1038" t="s">
        <v>229</v>
      </c>
      <c r="C1038" t="s">
        <v>101</v>
      </c>
      <c r="D1038" t="s">
        <v>125</v>
      </c>
      <c r="E1038" t="s">
        <v>5140</v>
      </c>
      <c r="F1038" t="s">
        <v>5133</v>
      </c>
      <c r="G1038" t="s">
        <v>55</v>
      </c>
      <c r="H1038" t="s">
        <v>31</v>
      </c>
      <c r="I1038" t="str">
        <f>LEFT(H1038,FIND(" (",H1038)-1)</f>
        <v>Staff/Principal</v>
      </c>
      <c r="J1038" t="str">
        <f>MID(H1038,FIND("(",H1038)+1,FIND(")",H1038)-FIND("(",H1038)-1)</f>
        <v>8+ yrs</v>
      </c>
      <c r="L1038">
        <v>155872</v>
      </c>
      <c r="M1038" t="s">
        <v>2200</v>
      </c>
      <c r="N1038" t="s">
        <v>89</v>
      </c>
      <c r="O1038" t="s">
        <v>44</v>
      </c>
      <c r="P1038" s="1">
        <v>45301</v>
      </c>
      <c r="Q1038">
        <v>667</v>
      </c>
      <c r="R1038">
        <v>623</v>
      </c>
      <c r="S1038" t="s">
        <v>23</v>
      </c>
      <c r="T1038">
        <v>6</v>
      </c>
      <c r="U1038" t="s">
        <v>52</v>
      </c>
      <c r="V1038" t="s">
        <v>24</v>
      </c>
      <c r="W1038" t="s">
        <v>23</v>
      </c>
    </row>
    <row r="1039" spans="1:23" x14ac:dyDescent="0.3">
      <c r="A1039" t="s">
        <v>2201</v>
      </c>
      <c r="B1039" t="s">
        <v>329</v>
      </c>
      <c r="C1039" t="s">
        <v>192</v>
      </c>
      <c r="D1039" t="s">
        <v>63</v>
      </c>
      <c r="E1039" t="s">
        <v>39</v>
      </c>
      <c r="F1039" t="s">
        <v>40</v>
      </c>
      <c r="G1039" t="s">
        <v>41</v>
      </c>
      <c r="H1039" t="s">
        <v>31</v>
      </c>
      <c r="I1039" t="str">
        <f>LEFT(H1039,FIND(" (",H1039)-1)</f>
        <v>Staff/Principal</v>
      </c>
      <c r="J1039" t="str">
        <f>MID(H1039,FIND("(",H1039)+1,FIND(")",H1039)-FIND("(",H1039)-1)</f>
        <v>8+ yrs</v>
      </c>
      <c r="L1039">
        <v>147282</v>
      </c>
      <c r="M1039" t="s">
        <v>2202</v>
      </c>
      <c r="N1039" t="s">
        <v>141</v>
      </c>
      <c r="O1039" t="s">
        <v>22</v>
      </c>
      <c r="P1039" s="1">
        <v>45623</v>
      </c>
      <c r="Q1039">
        <v>1059</v>
      </c>
      <c r="R1039">
        <v>550</v>
      </c>
      <c r="S1039" t="s">
        <v>23</v>
      </c>
      <c r="T1039">
        <v>6</v>
      </c>
      <c r="U1039" t="s">
        <v>58</v>
      </c>
      <c r="V1039" t="s">
        <v>24</v>
      </c>
      <c r="W1039" t="s">
        <v>34</v>
      </c>
    </row>
    <row r="1040" spans="1:23" x14ac:dyDescent="0.3">
      <c r="A1040" t="s">
        <v>2203</v>
      </c>
      <c r="B1040" t="s">
        <v>236</v>
      </c>
      <c r="C1040" t="s">
        <v>182</v>
      </c>
      <c r="D1040" t="s">
        <v>28</v>
      </c>
      <c r="E1040" t="s">
        <v>133</v>
      </c>
      <c r="F1040" t="s">
        <v>134</v>
      </c>
      <c r="G1040" t="s">
        <v>18</v>
      </c>
      <c r="H1040" t="s">
        <v>31</v>
      </c>
      <c r="I1040" t="str">
        <f>LEFT(H1040,FIND(" (",H1040)-1)</f>
        <v>Staff/Principal</v>
      </c>
      <c r="J1040" t="str">
        <f>MID(H1040,FIND("(",H1040)+1,FIND(")",H1040)-FIND("(",H1040)-1)</f>
        <v>8+ yrs</v>
      </c>
      <c r="L1040">
        <v>208080</v>
      </c>
      <c r="M1040" t="s">
        <v>2204</v>
      </c>
      <c r="N1040" t="s">
        <v>33</v>
      </c>
      <c r="O1040" t="s">
        <v>22</v>
      </c>
      <c r="P1040" s="1">
        <v>45413</v>
      </c>
      <c r="Q1040">
        <v>675</v>
      </c>
      <c r="R1040">
        <v>2590</v>
      </c>
      <c r="S1040" t="s">
        <v>23</v>
      </c>
      <c r="T1040">
        <v>6</v>
      </c>
      <c r="U1040" t="s">
        <v>45</v>
      </c>
      <c r="V1040" t="s">
        <v>24</v>
      </c>
      <c r="W1040" t="s">
        <v>34</v>
      </c>
    </row>
    <row r="1041" spans="1:23" x14ac:dyDescent="0.3">
      <c r="A1041" t="s">
        <v>2205</v>
      </c>
      <c r="B1041" t="s">
        <v>131</v>
      </c>
      <c r="C1041" t="s">
        <v>71</v>
      </c>
      <c r="D1041" t="s">
        <v>174</v>
      </c>
      <c r="E1041" t="s">
        <v>102</v>
      </c>
      <c r="F1041" t="s">
        <v>103</v>
      </c>
      <c r="G1041" t="s">
        <v>18</v>
      </c>
      <c r="H1041" t="s">
        <v>66</v>
      </c>
      <c r="I1041" t="str">
        <f>LEFT(H1041,FIND(" (",H1041)-1)</f>
        <v>Senior</v>
      </c>
      <c r="J1041" t="str">
        <f>MID(H1041,FIND("(",H1041)+1,FIND(")",H1041)-FIND("(",H1041)-1)</f>
        <v>5-8 yrs</v>
      </c>
      <c r="L1041">
        <v>178271</v>
      </c>
      <c r="M1041" t="s">
        <v>2206</v>
      </c>
      <c r="N1041" t="s">
        <v>186</v>
      </c>
      <c r="O1041" t="s">
        <v>51</v>
      </c>
      <c r="P1041" s="1">
        <v>45366</v>
      </c>
      <c r="Q1041">
        <v>1848</v>
      </c>
      <c r="R1041">
        <v>1125</v>
      </c>
      <c r="S1041" t="s">
        <v>99</v>
      </c>
      <c r="T1041">
        <v>4</v>
      </c>
      <c r="U1041" t="s">
        <v>83</v>
      </c>
      <c r="V1041" t="s">
        <v>24</v>
      </c>
      <c r="W1041" t="s">
        <v>23</v>
      </c>
    </row>
    <row r="1042" spans="1:23" x14ac:dyDescent="0.3">
      <c r="A1042" t="s">
        <v>2207</v>
      </c>
      <c r="B1042" t="s">
        <v>81</v>
      </c>
      <c r="C1042" t="s">
        <v>48</v>
      </c>
      <c r="D1042" t="s">
        <v>147</v>
      </c>
      <c r="E1042" t="s">
        <v>5140</v>
      </c>
      <c r="F1042" t="s">
        <v>5133</v>
      </c>
      <c r="G1042" t="s">
        <v>41</v>
      </c>
      <c r="H1042" t="s">
        <v>31</v>
      </c>
      <c r="I1042" t="str">
        <f>LEFT(H1042,FIND(" (",H1042)-1)</f>
        <v>Staff/Principal</v>
      </c>
      <c r="J1042" t="str">
        <f>MID(H1042,FIND("(",H1042)+1,FIND(")",H1042)-FIND("(",H1042)-1)</f>
        <v>8+ yrs</v>
      </c>
      <c r="L1042">
        <v>260621</v>
      </c>
      <c r="M1042" t="s">
        <v>2208</v>
      </c>
      <c r="N1042" t="s">
        <v>94</v>
      </c>
      <c r="O1042" t="s">
        <v>51</v>
      </c>
      <c r="P1042" s="1">
        <v>45292</v>
      </c>
      <c r="Q1042">
        <v>1519</v>
      </c>
      <c r="R1042">
        <v>2354</v>
      </c>
      <c r="S1042" t="s">
        <v>23</v>
      </c>
      <c r="T1042">
        <v>6</v>
      </c>
      <c r="U1042" t="s">
        <v>58</v>
      </c>
      <c r="V1042" t="s">
        <v>46</v>
      </c>
      <c r="W1042" t="s">
        <v>23</v>
      </c>
    </row>
    <row r="1043" spans="1:23" x14ac:dyDescent="0.3">
      <c r="A1043" t="s">
        <v>2209</v>
      </c>
      <c r="B1043" t="s">
        <v>70</v>
      </c>
      <c r="C1043" t="s">
        <v>27</v>
      </c>
      <c r="D1043" t="s">
        <v>38</v>
      </c>
      <c r="E1043" t="s">
        <v>87</v>
      </c>
      <c r="F1043" t="s">
        <v>87</v>
      </c>
      <c r="G1043" t="s">
        <v>18</v>
      </c>
      <c r="H1043" t="s">
        <v>31</v>
      </c>
      <c r="I1043" t="str">
        <f>LEFT(H1043,FIND(" (",H1043)-1)</f>
        <v>Staff/Principal</v>
      </c>
      <c r="J1043" t="str">
        <f>MID(H1043,FIND("(",H1043)+1,FIND(")",H1043)-FIND("(",H1043)-1)</f>
        <v>8+ yrs</v>
      </c>
      <c r="L1043">
        <v>183480</v>
      </c>
      <c r="M1043" t="s">
        <v>2210</v>
      </c>
      <c r="N1043" t="s">
        <v>43</v>
      </c>
      <c r="O1043" t="s">
        <v>51</v>
      </c>
      <c r="P1043" s="1">
        <v>45469</v>
      </c>
      <c r="Q1043">
        <v>454</v>
      </c>
      <c r="R1043">
        <v>2421</v>
      </c>
      <c r="S1043" t="s">
        <v>23</v>
      </c>
      <c r="T1043">
        <v>6</v>
      </c>
      <c r="U1043" t="s">
        <v>45</v>
      </c>
      <c r="V1043" t="s">
        <v>24</v>
      </c>
      <c r="W1043" t="s">
        <v>23</v>
      </c>
    </row>
    <row r="1044" spans="1:23" x14ac:dyDescent="0.3">
      <c r="A1044" t="s">
        <v>2211</v>
      </c>
      <c r="B1044" t="s">
        <v>172</v>
      </c>
      <c r="C1044" t="s">
        <v>182</v>
      </c>
      <c r="D1044" t="s">
        <v>174</v>
      </c>
      <c r="E1044" t="s">
        <v>5136</v>
      </c>
      <c r="F1044" t="s">
        <v>5133</v>
      </c>
      <c r="G1044" t="s">
        <v>18</v>
      </c>
      <c r="H1044" t="s">
        <v>31</v>
      </c>
      <c r="I1044" t="str">
        <f>LEFT(H1044,FIND(" (",H1044)-1)</f>
        <v>Staff/Principal</v>
      </c>
      <c r="J1044" t="str">
        <f>MID(H1044,FIND("(",H1044)+1,FIND(")",H1044)-FIND("(",H1044)-1)</f>
        <v>8+ yrs</v>
      </c>
      <c r="L1044">
        <v>238832</v>
      </c>
      <c r="M1044" t="s">
        <v>2212</v>
      </c>
      <c r="N1044" t="s">
        <v>186</v>
      </c>
      <c r="O1044" t="s">
        <v>51</v>
      </c>
      <c r="P1044" s="1">
        <v>45617</v>
      </c>
      <c r="Q1044">
        <v>332</v>
      </c>
      <c r="R1044">
        <v>744</v>
      </c>
      <c r="S1044" t="s">
        <v>23</v>
      </c>
      <c r="T1044">
        <v>6</v>
      </c>
      <c r="U1044" t="s">
        <v>5123</v>
      </c>
      <c r="V1044" t="s">
        <v>24</v>
      </c>
      <c r="W1044" t="s">
        <v>34</v>
      </c>
    </row>
    <row r="1045" spans="1:23" x14ac:dyDescent="0.3">
      <c r="A1045" t="s">
        <v>2213</v>
      </c>
      <c r="B1045" t="s">
        <v>329</v>
      </c>
      <c r="C1045" t="s">
        <v>71</v>
      </c>
      <c r="D1045" t="s">
        <v>174</v>
      </c>
      <c r="E1045" t="s">
        <v>5139</v>
      </c>
      <c r="F1045" t="s">
        <v>5133</v>
      </c>
      <c r="G1045" t="s">
        <v>18</v>
      </c>
      <c r="H1045" t="s">
        <v>56</v>
      </c>
      <c r="I1045" t="str">
        <f>LEFT(H1045,FIND(" (",H1045)-1)</f>
        <v>Mid</v>
      </c>
      <c r="J1045" t="str">
        <f>MID(H1045,FIND("(",H1045)+1,FIND(")",H1045)-FIND("(",H1045)-1)</f>
        <v>2-5 yrs</v>
      </c>
      <c r="L1045">
        <v>109237</v>
      </c>
      <c r="M1045" t="s">
        <v>2214</v>
      </c>
      <c r="N1045" t="s">
        <v>33</v>
      </c>
      <c r="O1045" t="s">
        <v>51</v>
      </c>
      <c r="P1045" s="1">
        <v>45332</v>
      </c>
      <c r="Q1045">
        <v>1728</v>
      </c>
      <c r="R1045">
        <v>3788</v>
      </c>
      <c r="S1045" t="s">
        <v>23</v>
      </c>
      <c r="T1045">
        <v>2</v>
      </c>
      <c r="U1045" t="s">
        <v>58</v>
      </c>
      <c r="V1045" t="s">
        <v>24</v>
      </c>
      <c r="W1045" t="s">
        <v>23</v>
      </c>
    </row>
    <row r="1046" spans="1:23" x14ac:dyDescent="0.3">
      <c r="A1046" t="s">
        <v>2215</v>
      </c>
      <c r="B1046" t="s">
        <v>36</v>
      </c>
      <c r="C1046" t="s">
        <v>37</v>
      </c>
      <c r="D1046" t="s">
        <v>111</v>
      </c>
      <c r="E1046" t="s">
        <v>29</v>
      </c>
      <c r="F1046" t="s">
        <v>30</v>
      </c>
      <c r="G1046" t="s">
        <v>18</v>
      </c>
      <c r="H1046" t="s">
        <v>66</v>
      </c>
      <c r="I1046" t="str">
        <f>LEFT(H1046,FIND(" (",H1046)-1)</f>
        <v>Senior</v>
      </c>
      <c r="J1046" t="str">
        <f>MID(H1046,FIND("(",H1046)+1,FIND(")",H1046)-FIND("(",H1046)-1)</f>
        <v>5-8 yrs</v>
      </c>
      <c r="L1046">
        <v>145339</v>
      </c>
      <c r="M1046" t="s">
        <v>2216</v>
      </c>
      <c r="N1046" t="s">
        <v>141</v>
      </c>
      <c r="O1046" t="s">
        <v>51</v>
      </c>
      <c r="P1046" s="1">
        <v>45423</v>
      </c>
      <c r="Q1046">
        <v>1293</v>
      </c>
      <c r="R1046">
        <v>3425</v>
      </c>
      <c r="S1046" t="s">
        <v>23</v>
      </c>
      <c r="T1046">
        <v>4</v>
      </c>
      <c r="U1046" t="s">
        <v>45</v>
      </c>
      <c r="V1046" t="s">
        <v>24</v>
      </c>
      <c r="W1046" t="s">
        <v>23</v>
      </c>
    </row>
    <row r="1047" spans="1:23" x14ac:dyDescent="0.3">
      <c r="A1047" t="s">
        <v>2217</v>
      </c>
      <c r="B1047" t="s">
        <v>91</v>
      </c>
      <c r="C1047" t="s">
        <v>107</v>
      </c>
      <c r="D1047" t="s">
        <v>63</v>
      </c>
      <c r="E1047" t="s">
        <v>5139</v>
      </c>
      <c r="F1047" t="s">
        <v>5133</v>
      </c>
      <c r="G1047" t="s">
        <v>18</v>
      </c>
      <c r="H1047" t="s">
        <v>66</v>
      </c>
      <c r="I1047" t="str">
        <f>LEFT(H1047,FIND(" (",H1047)-1)</f>
        <v>Senior</v>
      </c>
      <c r="J1047" t="str">
        <f>MID(H1047,FIND("(",H1047)+1,FIND(")",H1047)-FIND("(",H1047)-1)</f>
        <v>5-8 yrs</v>
      </c>
      <c r="L1047">
        <v>173858</v>
      </c>
      <c r="M1047" t="s">
        <v>2218</v>
      </c>
      <c r="N1047" t="s">
        <v>21</v>
      </c>
      <c r="O1047" t="s">
        <v>44</v>
      </c>
      <c r="P1047" s="1">
        <v>45561</v>
      </c>
      <c r="Q1047">
        <v>1195</v>
      </c>
      <c r="R1047">
        <v>2367</v>
      </c>
      <c r="S1047" t="s">
        <v>23</v>
      </c>
      <c r="T1047">
        <v>4</v>
      </c>
      <c r="U1047" t="s">
        <v>83</v>
      </c>
      <c r="V1047" t="s">
        <v>24</v>
      </c>
      <c r="W1047" t="s">
        <v>23</v>
      </c>
    </row>
    <row r="1048" spans="1:23" x14ac:dyDescent="0.3">
      <c r="A1048" t="s">
        <v>2219</v>
      </c>
      <c r="B1048" t="s">
        <v>143</v>
      </c>
      <c r="C1048" t="s">
        <v>182</v>
      </c>
      <c r="D1048" t="s">
        <v>125</v>
      </c>
      <c r="E1048" t="s">
        <v>5137</v>
      </c>
      <c r="F1048" t="s">
        <v>5138</v>
      </c>
      <c r="G1048" t="s">
        <v>18</v>
      </c>
      <c r="H1048" t="s">
        <v>66</v>
      </c>
      <c r="I1048" t="str">
        <f>LEFT(H1048,FIND(" (",H1048)-1)</f>
        <v>Senior</v>
      </c>
      <c r="J1048" t="str">
        <f>MID(H1048,FIND("(",H1048)+1,FIND(")",H1048)-FIND("(",H1048)-1)</f>
        <v>5-8 yrs</v>
      </c>
      <c r="L1048">
        <v>167612</v>
      </c>
      <c r="M1048" t="s">
        <v>2220</v>
      </c>
      <c r="N1048" t="s">
        <v>186</v>
      </c>
      <c r="O1048" t="s">
        <v>22</v>
      </c>
      <c r="P1048" s="1">
        <v>45345</v>
      </c>
      <c r="Q1048">
        <v>2260</v>
      </c>
      <c r="R1048">
        <v>3129</v>
      </c>
      <c r="S1048" t="s">
        <v>34</v>
      </c>
      <c r="T1048">
        <v>4</v>
      </c>
      <c r="U1048" t="s">
        <v>45</v>
      </c>
      <c r="V1048" t="s">
        <v>24</v>
      </c>
      <c r="W1048" t="s">
        <v>23</v>
      </c>
    </row>
    <row r="1049" spans="1:23" x14ac:dyDescent="0.3">
      <c r="A1049" t="s">
        <v>2221</v>
      </c>
      <c r="B1049" t="s">
        <v>225</v>
      </c>
      <c r="C1049" t="s">
        <v>209</v>
      </c>
      <c r="D1049" t="s">
        <v>15</v>
      </c>
      <c r="E1049" t="s">
        <v>230</v>
      </c>
      <c r="F1049" t="s">
        <v>231</v>
      </c>
      <c r="G1049" t="s">
        <v>41</v>
      </c>
      <c r="H1049" t="s">
        <v>56</v>
      </c>
      <c r="I1049" t="str">
        <f>LEFT(H1049,FIND(" (",H1049)-1)</f>
        <v>Mid</v>
      </c>
      <c r="J1049" t="str">
        <f>MID(H1049,FIND("(",H1049)+1,FIND(")",H1049)-FIND("(",H1049)-1)</f>
        <v>2-5 yrs</v>
      </c>
      <c r="L1049">
        <v>78787</v>
      </c>
      <c r="M1049" t="s">
        <v>2222</v>
      </c>
      <c r="N1049" t="s">
        <v>33</v>
      </c>
      <c r="O1049" t="s">
        <v>22</v>
      </c>
      <c r="P1049" s="1">
        <v>45693</v>
      </c>
      <c r="Q1049">
        <v>475</v>
      </c>
      <c r="R1049">
        <v>1246</v>
      </c>
      <c r="S1049" t="s">
        <v>23</v>
      </c>
      <c r="T1049">
        <v>2</v>
      </c>
      <c r="U1049" t="s">
        <v>58</v>
      </c>
      <c r="V1049" t="s">
        <v>59</v>
      </c>
      <c r="W1049" t="s">
        <v>34</v>
      </c>
    </row>
    <row r="1050" spans="1:23" x14ac:dyDescent="0.3">
      <c r="A1050" t="s">
        <v>2223</v>
      </c>
      <c r="B1050" t="s">
        <v>70</v>
      </c>
      <c r="C1050" t="s">
        <v>101</v>
      </c>
      <c r="D1050" t="s">
        <v>125</v>
      </c>
      <c r="E1050" t="s">
        <v>216</v>
      </c>
      <c r="F1050" t="s">
        <v>217</v>
      </c>
      <c r="G1050" t="s">
        <v>18</v>
      </c>
      <c r="H1050" t="s">
        <v>56</v>
      </c>
      <c r="I1050" t="str">
        <f>LEFT(H1050,FIND(" (",H1050)-1)</f>
        <v>Mid</v>
      </c>
      <c r="J1050" t="str">
        <f>MID(H1050,FIND("(",H1050)+1,FIND(")",H1050)-FIND("(",H1050)-1)</f>
        <v>2-5 yrs</v>
      </c>
      <c r="L1050">
        <v>139235</v>
      </c>
      <c r="M1050" t="s">
        <v>2224</v>
      </c>
      <c r="N1050" t="s">
        <v>33</v>
      </c>
      <c r="O1050" t="s">
        <v>44</v>
      </c>
      <c r="P1050" s="1">
        <v>45319</v>
      </c>
      <c r="Q1050">
        <v>1135</v>
      </c>
      <c r="R1050">
        <v>3015</v>
      </c>
      <c r="S1050" t="s">
        <v>99</v>
      </c>
      <c r="T1050">
        <v>2</v>
      </c>
      <c r="U1050" t="s">
        <v>45</v>
      </c>
      <c r="V1050" t="s">
        <v>59</v>
      </c>
      <c r="W1050" t="s">
        <v>23</v>
      </c>
    </row>
    <row r="1051" spans="1:23" x14ac:dyDescent="0.3">
      <c r="A1051" t="s">
        <v>2225</v>
      </c>
      <c r="B1051" t="s">
        <v>131</v>
      </c>
      <c r="C1051" t="s">
        <v>173</v>
      </c>
      <c r="D1051" t="s">
        <v>174</v>
      </c>
      <c r="E1051" t="s">
        <v>87</v>
      </c>
      <c r="F1051" t="s">
        <v>87</v>
      </c>
      <c r="G1051" t="s">
        <v>18</v>
      </c>
      <c r="H1051" t="s">
        <v>31</v>
      </c>
      <c r="I1051" t="str">
        <f>LEFT(H1051,FIND(" (",H1051)-1)</f>
        <v>Staff/Principal</v>
      </c>
      <c r="J1051" t="str">
        <f>MID(H1051,FIND("(",H1051)+1,FIND(")",H1051)-FIND("(",H1051)-1)</f>
        <v>8+ yrs</v>
      </c>
      <c r="L1051">
        <v>249683</v>
      </c>
      <c r="M1051" t="s">
        <v>2226</v>
      </c>
      <c r="N1051" t="s">
        <v>149</v>
      </c>
      <c r="O1051" t="s">
        <v>51</v>
      </c>
      <c r="P1051" s="1">
        <v>45464</v>
      </c>
      <c r="Q1051">
        <v>1074</v>
      </c>
      <c r="R1051">
        <v>1072</v>
      </c>
      <c r="S1051" t="s">
        <v>23</v>
      </c>
      <c r="T1051">
        <v>6</v>
      </c>
      <c r="U1051" t="s">
        <v>58</v>
      </c>
      <c r="V1051" t="s">
        <v>24</v>
      </c>
      <c r="W1051" t="s">
        <v>34</v>
      </c>
    </row>
    <row r="1052" spans="1:23" x14ac:dyDescent="0.3">
      <c r="A1052" t="s">
        <v>2227</v>
      </c>
      <c r="B1052" t="s">
        <v>91</v>
      </c>
      <c r="C1052" t="s">
        <v>107</v>
      </c>
      <c r="D1052" t="s">
        <v>125</v>
      </c>
      <c r="E1052" t="s">
        <v>5135</v>
      </c>
      <c r="F1052" t="s">
        <v>5133</v>
      </c>
      <c r="G1052" t="s">
        <v>55</v>
      </c>
      <c r="H1052" t="s">
        <v>66</v>
      </c>
      <c r="I1052" t="str">
        <f>LEFT(H1052,FIND(" (",H1052)-1)</f>
        <v>Senior</v>
      </c>
      <c r="J1052" t="str">
        <f>MID(H1052,FIND("(",H1052)+1,FIND(")",H1052)-FIND("(",H1052)-1)</f>
        <v>5-8 yrs</v>
      </c>
      <c r="L1052">
        <v>133109</v>
      </c>
      <c r="M1052" t="s">
        <v>2228</v>
      </c>
      <c r="N1052" t="s">
        <v>33</v>
      </c>
      <c r="O1052" t="s">
        <v>22</v>
      </c>
      <c r="P1052" s="1">
        <v>45443</v>
      </c>
      <c r="Q1052">
        <v>1318</v>
      </c>
      <c r="R1052">
        <v>808</v>
      </c>
      <c r="S1052" t="s">
        <v>23</v>
      </c>
      <c r="T1052">
        <v>4</v>
      </c>
      <c r="U1052" t="s">
        <v>45</v>
      </c>
      <c r="V1052" t="s">
        <v>24</v>
      </c>
      <c r="W1052" t="s">
        <v>34</v>
      </c>
    </row>
    <row r="1053" spans="1:23" x14ac:dyDescent="0.3">
      <c r="A1053" t="s">
        <v>2229</v>
      </c>
      <c r="B1053" t="s">
        <v>13</v>
      </c>
      <c r="C1053" t="s">
        <v>74</v>
      </c>
      <c r="D1053" t="s">
        <v>15</v>
      </c>
      <c r="E1053" t="s">
        <v>230</v>
      </c>
      <c r="F1053" t="s">
        <v>231</v>
      </c>
      <c r="G1053" t="s">
        <v>18</v>
      </c>
      <c r="H1053" t="s">
        <v>19</v>
      </c>
      <c r="I1053" t="str">
        <f>LEFT(H1053,FIND(" (",H1053)-1)</f>
        <v>Entry</v>
      </c>
      <c r="J1053" t="str">
        <f>MID(H1053,FIND("(",H1053)+1,FIND(")",H1053)-FIND("(",H1053)-1)</f>
        <v>0-2 yrs</v>
      </c>
      <c r="L1053">
        <v>74987</v>
      </c>
      <c r="M1053" t="s">
        <v>2230</v>
      </c>
      <c r="N1053" t="s">
        <v>33</v>
      </c>
      <c r="O1053" t="s">
        <v>22</v>
      </c>
      <c r="P1053" s="1">
        <v>45522</v>
      </c>
      <c r="Q1053">
        <v>1585</v>
      </c>
      <c r="R1053">
        <v>2921</v>
      </c>
      <c r="S1053" t="s">
        <v>23</v>
      </c>
      <c r="T1053">
        <v>0</v>
      </c>
      <c r="U1053" t="s">
        <v>52</v>
      </c>
      <c r="V1053" t="s">
        <v>24</v>
      </c>
      <c r="W1053" t="s">
        <v>34</v>
      </c>
    </row>
    <row r="1054" spans="1:23" x14ac:dyDescent="0.3">
      <c r="A1054" t="s">
        <v>2231</v>
      </c>
      <c r="B1054" t="s">
        <v>143</v>
      </c>
      <c r="C1054" t="s">
        <v>110</v>
      </c>
      <c r="D1054" t="s">
        <v>63</v>
      </c>
      <c r="E1054" t="s">
        <v>64</v>
      </c>
      <c r="F1054" t="s">
        <v>65</v>
      </c>
      <c r="G1054" t="s">
        <v>55</v>
      </c>
      <c r="H1054" t="s">
        <v>19</v>
      </c>
      <c r="I1054" t="str">
        <f>LEFT(H1054,FIND(" (",H1054)-1)</f>
        <v>Entry</v>
      </c>
      <c r="J1054" t="str">
        <f>MID(H1054,FIND("(",H1054)+1,FIND(")",H1054)-FIND("(",H1054)-1)</f>
        <v>0-2 yrs</v>
      </c>
      <c r="L1054">
        <v>76224</v>
      </c>
      <c r="M1054" t="s">
        <v>2232</v>
      </c>
      <c r="N1054" t="s">
        <v>120</v>
      </c>
      <c r="O1054" t="s">
        <v>22</v>
      </c>
      <c r="P1054" s="1">
        <v>45626</v>
      </c>
      <c r="Q1054">
        <v>453</v>
      </c>
      <c r="R1054">
        <v>1247</v>
      </c>
      <c r="S1054" t="s">
        <v>34</v>
      </c>
      <c r="T1054">
        <v>0</v>
      </c>
      <c r="U1054" t="s">
        <v>45</v>
      </c>
      <c r="V1054" t="s">
        <v>24</v>
      </c>
      <c r="W1054" t="s">
        <v>34</v>
      </c>
    </row>
    <row r="1055" spans="1:23" x14ac:dyDescent="0.3">
      <c r="A1055" t="s">
        <v>2233</v>
      </c>
      <c r="B1055" t="s">
        <v>225</v>
      </c>
      <c r="C1055" t="s">
        <v>71</v>
      </c>
      <c r="D1055" t="s">
        <v>125</v>
      </c>
      <c r="E1055" t="s">
        <v>102</v>
      </c>
      <c r="F1055" t="s">
        <v>103</v>
      </c>
      <c r="G1055" t="s">
        <v>18</v>
      </c>
      <c r="H1055" t="s">
        <v>19</v>
      </c>
      <c r="I1055" t="str">
        <f>LEFT(H1055,FIND(" (",H1055)-1)</f>
        <v>Entry</v>
      </c>
      <c r="J1055" t="str">
        <f>MID(H1055,FIND("(",H1055)+1,FIND(")",H1055)-FIND("(",H1055)-1)</f>
        <v>0-2 yrs</v>
      </c>
      <c r="L1055">
        <v>73284</v>
      </c>
      <c r="M1055" t="s">
        <v>2234</v>
      </c>
      <c r="N1055" t="s">
        <v>33</v>
      </c>
      <c r="O1055" t="s">
        <v>22</v>
      </c>
      <c r="P1055" s="1">
        <v>45578</v>
      </c>
      <c r="Q1055">
        <v>846</v>
      </c>
      <c r="R1055">
        <v>2141</v>
      </c>
      <c r="S1055" t="s">
        <v>99</v>
      </c>
      <c r="T1055">
        <v>0</v>
      </c>
      <c r="U1055" t="s">
        <v>83</v>
      </c>
      <c r="V1055" t="s">
        <v>59</v>
      </c>
      <c r="W1055" t="s">
        <v>34</v>
      </c>
    </row>
    <row r="1056" spans="1:23" x14ac:dyDescent="0.3">
      <c r="A1056" t="s">
        <v>2235</v>
      </c>
      <c r="B1056" t="s">
        <v>151</v>
      </c>
      <c r="C1056" t="s">
        <v>173</v>
      </c>
      <c r="D1056" t="s">
        <v>147</v>
      </c>
      <c r="E1056" t="s">
        <v>5132</v>
      </c>
      <c r="F1056" t="s">
        <v>5133</v>
      </c>
      <c r="G1056" t="s">
        <v>18</v>
      </c>
      <c r="H1056" t="s">
        <v>56</v>
      </c>
      <c r="I1056" t="str">
        <f>LEFT(H1056,FIND(" (",H1056)-1)</f>
        <v>Mid</v>
      </c>
      <c r="J1056" t="str">
        <f>MID(H1056,FIND("(",H1056)+1,FIND(")",H1056)-FIND("(",H1056)-1)</f>
        <v>2-5 yrs</v>
      </c>
      <c r="L1056">
        <v>99103</v>
      </c>
      <c r="M1056" t="s">
        <v>2236</v>
      </c>
      <c r="N1056" t="s">
        <v>245</v>
      </c>
      <c r="O1056" t="s">
        <v>51</v>
      </c>
      <c r="P1056" s="1">
        <v>45347</v>
      </c>
      <c r="Q1056">
        <v>577</v>
      </c>
      <c r="R1056">
        <v>3016</v>
      </c>
      <c r="S1056" t="s">
        <v>23</v>
      </c>
      <c r="T1056">
        <v>2</v>
      </c>
      <c r="U1056" t="s">
        <v>58</v>
      </c>
      <c r="V1056" t="s">
        <v>59</v>
      </c>
      <c r="W1056" t="s">
        <v>34</v>
      </c>
    </row>
    <row r="1057" spans="1:23" x14ac:dyDescent="0.3">
      <c r="A1057" t="s">
        <v>2237</v>
      </c>
      <c r="B1057" t="s">
        <v>151</v>
      </c>
      <c r="C1057" t="s">
        <v>204</v>
      </c>
      <c r="D1057" t="s">
        <v>15</v>
      </c>
      <c r="E1057" t="s">
        <v>5139</v>
      </c>
      <c r="F1057" t="s">
        <v>5133</v>
      </c>
      <c r="G1057" t="s">
        <v>18</v>
      </c>
      <c r="H1057" t="s">
        <v>31</v>
      </c>
      <c r="I1057" t="str">
        <f>LEFT(H1057,FIND(" (",H1057)-1)</f>
        <v>Staff/Principal</v>
      </c>
      <c r="J1057" t="str">
        <f>MID(H1057,FIND("(",H1057)+1,FIND(")",H1057)-FIND("(",H1057)-1)</f>
        <v>8+ yrs</v>
      </c>
      <c r="L1057">
        <v>175821</v>
      </c>
      <c r="M1057" t="s">
        <v>2238</v>
      </c>
      <c r="N1057" t="s">
        <v>43</v>
      </c>
      <c r="O1057" t="s">
        <v>22</v>
      </c>
      <c r="P1057" s="1">
        <v>45536</v>
      </c>
      <c r="Q1057">
        <v>1008</v>
      </c>
      <c r="R1057">
        <v>3738</v>
      </c>
      <c r="S1057" t="s">
        <v>34</v>
      </c>
      <c r="T1057">
        <v>6</v>
      </c>
      <c r="U1057" t="s">
        <v>83</v>
      </c>
      <c r="V1057" t="s">
        <v>24</v>
      </c>
      <c r="W1057" t="s">
        <v>34</v>
      </c>
    </row>
    <row r="1058" spans="1:23" x14ac:dyDescent="0.3">
      <c r="A1058" t="s">
        <v>2239</v>
      </c>
      <c r="B1058" t="s">
        <v>96</v>
      </c>
      <c r="C1058" t="s">
        <v>158</v>
      </c>
      <c r="D1058" t="s">
        <v>15</v>
      </c>
      <c r="E1058" t="s">
        <v>29</v>
      </c>
      <c r="F1058" t="s">
        <v>30</v>
      </c>
      <c r="G1058" t="s">
        <v>18</v>
      </c>
      <c r="H1058" t="s">
        <v>56</v>
      </c>
      <c r="I1058" t="str">
        <f>LEFT(H1058,FIND(" (",H1058)-1)</f>
        <v>Mid</v>
      </c>
      <c r="J1058" t="str">
        <f>MID(H1058,FIND("(",H1058)+1,FIND(")",H1058)-FIND("(",H1058)-1)</f>
        <v>2-5 yrs</v>
      </c>
      <c r="L1058">
        <v>109494</v>
      </c>
      <c r="M1058" t="s">
        <v>2240</v>
      </c>
      <c r="N1058" t="s">
        <v>21</v>
      </c>
      <c r="O1058" t="s">
        <v>22</v>
      </c>
      <c r="P1058" s="1">
        <v>45430</v>
      </c>
      <c r="Q1058">
        <v>967</v>
      </c>
      <c r="R1058">
        <v>3932</v>
      </c>
      <c r="S1058" t="s">
        <v>34</v>
      </c>
      <c r="T1058">
        <v>2</v>
      </c>
      <c r="U1058" t="s">
        <v>52</v>
      </c>
      <c r="V1058" t="s">
        <v>24</v>
      </c>
      <c r="W1058" t="s">
        <v>23</v>
      </c>
    </row>
    <row r="1059" spans="1:23" x14ac:dyDescent="0.3">
      <c r="A1059" t="s">
        <v>2241</v>
      </c>
      <c r="B1059" t="s">
        <v>229</v>
      </c>
      <c r="C1059" t="s">
        <v>27</v>
      </c>
      <c r="D1059" t="s">
        <v>28</v>
      </c>
      <c r="E1059" t="s">
        <v>5139</v>
      </c>
      <c r="F1059" t="s">
        <v>5133</v>
      </c>
      <c r="G1059" t="s">
        <v>55</v>
      </c>
      <c r="H1059" t="s">
        <v>31</v>
      </c>
      <c r="I1059" t="str">
        <f>LEFT(H1059,FIND(" (",H1059)-1)</f>
        <v>Staff/Principal</v>
      </c>
      <c r="J1059" t="str">
        <f>MID(H1059,FIND("(",H1059)+1,FIND(")",H1059)-FIND("(",H1059)-1)</f>
        <v>8+ yrs</v>
      </c>
      <c r="L1059">
        <v>242218</v>
      </c>
      <c r="M1059" t="s">
        <v>2242</v>
      </c>
      <c r="N1059" t="s">
        <v>33</v>
      </c>
      <c r="O1059" t="s">
        <v>51</v>
      </c>
      <c r="P1059" s="1">
        <v>45424</v>
      </c>
      <c r="Q1059">
        <v>1049</v>
      </c>
      <c r="R1059">
        <v>3801</v>
      </c>
      <c r="S1059" t="s">
        <v>23</v>
      </c>
      <c r="T1059">
        <v>6</v>
      </c>
      <c r="U1059" t="s">
        <v>58</v>
      </c>
      <c r="V1059" t="s">
        <v>24</v>
      </c>
      <c r="W1059" t="s">
        <v>23</v>
      </c>
    </row>
    <row r="1060" spans="1:23" x14ac:dyDescent="0.3">
      <c r="A1060" t="s">
        <v>2243</v>
      </c>
      <c r="B1060" t="s">
        <v>26</v>
      </c>
      <c r="C1060" t="s">
        <v>195</v>
      </c>
      <c r="D1060" t="s">
        <v>15</v>
      </c>
      <c r="E1060" t="s">
        <v>64</v>
      </c>
      <c r="F1060" t="s">
        <v>65</v>
      </c>
      <c r="G1060" t="s">
        <v>41</v>
      </c>
      <c r="H1060" t="s">
        <v>31</v>
      </c>
      <c r="I1060" t="str">
        <f>LEFT(H1060,FIND(" (",H1060)-1)</f>
        <v>Staff/Principal</v>
      </c>
      <c r="J1060" t="str">
        <f>MID(H1060,FIND("(",H1060)+1,FIND(")",H1060)-FIND("(",H1060)-1)</f>
        <v>8+ yrs</v>
      </c>
      <c r="L1060">
        <v>219569</v>
      </c>
      <c r="M1060" t="s">
        <v>2244</v>
      </c>
      <c r="N1060" t="s">
        <v>43</v>
      </c>
      <c r="O1060" t="s">
        <v>44</v>
      </c>
      <c r="P1060" s="1">
        <v>45532</v>
      </c>
      <c r="Q1060">
        <v>1705</v>
      </c>
      <c r="R1060">
        <v>1588</v>
      </c>
      <c r="S1060" t="s">
        <v>23</v>
      </c>
      <c r="T1060">
        <v>6</v>
      </c>
      <c r="U1060" t="s">
        <v>83</v>
      </c>
      <c r="V1060" t="s">
        <v>24</v>
      </c>
      <c r="W1060" t="s">
        <v>34</v>
      </c>
    </row>
    <row r="1061" spans="1:23" x14ac:dyDescent="0.3">
      <c r="A1061" t="s">
        <v>2245</v>
      </c>
      <c r="B1061" t="s">
        <v>131</v>
      </c>
      <c r="C1061" t="s">
        <v>101</v>
      </c>
      <c r="D1061" t="s">
        <v>125</v>
      </c>
      <c r="E1061" t="s">
        <v>29</v>
      </c>
      <c r="F1061" t="s">
        <v>30</v>
      </c>
      <c r="G1061" t="s">
        <v>41</v>
      </c>
      <c r="H1061" t="s">
        <v>56</v>
      </c>
      <c r="I1061" t="str">
        <f>LEFT(H1061,FIND(" (",H1061)-1)</f>
        <v>Mid</v>
      </c>
      <c r="J1061" t="str">
        <f>MID(H1061,FIND("(",H1061)+1,FIND(")",H1061)-FIND("(",H1061)-1)</f>
        <v>2-5 yrs</v>
      </c>
      <c r="L1061">
        <v>102661</v>
      </c>
      <c r="M1061" t="s">
        <v>2246</v>
      </c>
      <c r="N1061" t="s">
        <v>33</v>
      </c>
      <c r="O1061" t="s">
        <v>22</v>
      </c>
      <c r="P1061" s="1">
        <v>45613</v>
      </c>
      <c r="Q1061">
        <v>493</v>
      </c>
      <c r="R1061">
        <v>498</v>
      </c>
      <c r="S1061" t="s">
        <v>23</v>
      </c>
      <c r="T1061">
        <v>2</v>
      </c>
      <c r="U1061" t="s">
        <v>83</v>
      </c>
      <c r="V1061" t="s">
        <v>24</v>
      </c>
      <c r="W1061" t="s">
        <v>23</v>
      </c>
    </row>
    <row r="1062" spans="1:23" x14ac:dyDescent="0.3">
      <c r="A1062" t="s">
        <v>2247</v>
      </c>
      <c r="B1062" t="s">
        <v>26</v>
      </c>
      <c r="C1062" t="s">
        <v>195</v>
      </c>
      <c r="D1062" t="s">
        <v>125</v>
      </c>
      <c r="E1062" t="s">
        <v>216</v>
      </c>
      <c r="F1062" t="s">
        <v>217</v>
      </c>
      <c r="G1062" t="s">
        <v>18</v>
      </c>
      <c r="H1062" t="s">
        <v>31</v>
      </c>
      <c r="I1062" t="str">
        <f>LEFT(H1062,FIND(" (",H1062)-1)</f>
        <v>Staff/Principal</v>
      </c>
      <c r="J1062" t="str">
        <f>MID(H1062,FIND("(",H1062)+1,FIND(")",H1062)-FIND("(",H1062)-1)</f>
        <v>8+ yrs</v>
      </c>
      <c r="L1062">
        <v>227781</v>
      </c>
      <c r="M1062" t="s">
        <v>2248</v>
      </c>
      <c r="N1062" t="s">
        <v>245</v>
      </c>
      <c r="O1062" t="s">
        <v>51</v>
      </c>
      <c r="P1062" s="1">
        <v>45329</v>
      </c>
      <c r="Q1062">
        <v>1331</v>
      </c>
      <c r="R1062">
        <v>2854</v>
      </c>
      <c r="S1062" t="s">
        <v>23</v>
      </c>
      <c r="T1062">
        <v>6</v>
      </c>
      <c r="U1062" t="s">
        <v>83</v>
      </c>
      <c r="V1062" t="s">
        <v>24</v>
      </c>
      <c r="W1062" t="s">
        <v>23</v>
      </c>
    </row>
    <row r="1063" spans="1:23" x14ac:dyDescent="0.3">
      <c r="A1063" t="s">
        <v>2249</v>
      </c>
      <c r="B1063" t="s">
        <v>13</v>
      </c>
      <c r="C1063" t="s">
        <v>124</v>
      </c>
      <c r="D1063" t="s">
        <v>174</v>
      </c>
      <c r="E1063" t="s">
        <v>5137</v>
      </c>
      <c r="F1063" t="s">
        <v>5138</v>
      </c>
      <c r="G1063" t="s">
        <v>18</v>
      </c>
      <c r="H1063" t="s">
        <v>31</v>
      </c>
      <c r="I1063" t="str">
        <f>LEFT(H1063,FIND(" (",H1063)-1)</f>
        <v>Staff/Principal</v>
      </c>
      <c r="J1063" t="str">
        <f>MID(H1063,FIND("(",H1063)+1,FIND(")",H1063)-FIND("(",H1063)-1)</f>
        <v>8+ yrs</v>
      </c>
      <c r="L1063">
        <v>97452</v>
      </c>
      <c r="M1063" t="s">
        <v>2250</v>
      </c>
      <c r="N1063" t="s">
        <v>68</v>
      </c>
      <c r="O1063" t="s">
        <v>44</v>
      </c>
      <c r="P1063" s="1">
        <v>45364</v>
      </c>
      <c r="Q1063">
        <v>912</v>
      </c>
      <c r="R1063">
        <v>601</v>
      </c>
      <c r="S1063" t="s">
        <v>34</v>
      </c>
      <c r="T1063">
        <v>6</v>
      </c>
      <c r="U1063" t="s">
        <v>52</v>
      </c>
      <c r="V1063" t="s">
        <v>24</v>
      </c>
      <c r="W1063" t="s">
        <v>34</v>
      </c>
    </row>
    <row r="1064" spans="1:23" x14ac:dyDescent="0.3">
      <c r="A1064" t="s">
        <v>2251</v>
      </c>
      <c r="B1064" t="s">
        <v>36</v>
      </c>
      <c r="C1064" t="s">
        <v>179</v>
      </c>
      <c r="D1064" t="s">
        <v>28</v>
      </c>
      <c r="E1064" t="s">
        <v>87</v>
      </c>
      <c r="F1064" t="s">
        <v>87</v>
      </c>
      <c r="G1064" t="s">
        <v>55</v>
      </c>
      <c r="H1064" t="s">
        <v>31</v>
      </c>
      <c r="I1064" t="str">
        <f>LEFT(H1064,FIND(" (",H1064)-1)</f>
        <v>Staff/Principal</v>
      </c>
      <c r="J1064" t="str">
        <f>MID(H1064,FIND("(",H1064)+1,FIND(")",H1064)-FIND("(",H1064)-1)</f>
        <v>8+ yrs</v>
      </c>
      <c r="L1064">
        <v>241355</v>
      </c>
      <c r="M1064" t="s">
        <v>2252</v>
      </c>
      <c r="N1064" t="s">
        <v>120</v>
      </c>
      <c r="O1064" t="s">
        <v>51</v>
      </c>
      <c r="P1064" s="1">
        <v>45670</v>
      </c>
      <c r="Q1064">
        <v>375</v>
      </c>
      <c r="R1064">
        <v>1258</v>
      </c>
      <c r="S1064" t="s">
        <v>23</v>
      </c>
      <c r="T1064">
        <v>6</v>
      </c>
      <c r="U1064" t="s">
        <v>83</v>
      </c>
      <c r="V1064" t="s">
        <v>24</v>
      </c>
      <c r="W1064" t="s">
        <v>23</v>
      </c>
    </row>
    <row r="1065" spans="1:23" x14ac:dyDescent="0.3">
      <c r="A1065" t="s">
        <v>2253</v>
      </c>
      <c r="B1065" t="s">
        <v>236</v>
      </c>
      <c r="C1065" t="s">
        <v>71</v>
      </c>
      <c r="D1065" t="s">
        <v>75</v>
      </c>
      <c r="E1065" t="s">
        <v>16</v>
      </c>
      <c r="F1065" t="s">
        <v>17</v>
      </c>
      <c r="G1065" t="s">
        <v>41</v>
      </c>
      <c r="H1065" t="s">
        <v>19</v>
      </c>
      <c r="I1065" t="str">
        <f>LEFT(H1065,FIND(" (",H1065)-1)</f>
        <v>Entry</v>
      </c>
      <c r="J1065" t="str">
        <f>MID(H1065,FIND("(",H1065)+1,FIND(")",H1065)-FIND("(",H1065)-1)</f>
        <v>0-2 yrs</v>
      </c>
      <c r="L1065">
        <v>50000</v>
      </c>
      <c r="M1065" t="s">
        <v>2254</v>
      </c>
      <c r="N1065" t="s">
        <v>33</v>
      </c>
      <c r="O1065" t="s">
        <v>51</v>
      </c>
      <c r="P1065" s="1">
        <v>45703</v>
      </c>
      <c r="Q1065">
        <v>592</v>
      </c>
      <c r="R1065">
        <v>2517</v>
      </c>
      <c r="S1065" t="s">
        <v>23</v>
      </c>
      <c r="T1065">
        <v>0</v>
      </c>
      <c r="U1065" t="s">
        <v>45</v>
      </c>
      <c r="V1065" t="s">
        <v>24</v>
      </c>
      <c r="W1065" t="s">
        <v>23</v>
      </c>
    </row>
    <row r="1066" spans="1:23" x14ac:dyDescent="0.3">
      <c r="A1066" t="s">
        <v>2255</v>
      </c>
      <c r="B1066" t="s">
        <v>96</v>
      </c>
      <c r="C1066" t="s">
        <v>14</v>
      </c>
      <c r="D1066" t="s">
        <v>38</v>
      </c>
      <c r="E1066" t="s">
        <v>216</v>
      </c>
      <c r="F1066" t="s">
        <v>217</v>
      </c>
      <c r="G1066" t="s">
        <v>41</v>
      </c>
      <c r="H1066" t="s">
        <v>66</v>
      </c>
      <c r="I1066" t="str">
        <f>LEFT(H1066,FIND(" (",H1066)-1)</f>
        <v>Senior</v>
      </c>
      <c r="J1066" t="str">
        <f>MID(H1066,FIND("(",H1066)+1,FIND(")",H1066)-FIND("(",H1066)-1)</f>
        <v>5-8 yrs</v>
      </c>
      <c r="L1066">
        <v>140214</v>
      </c>
      <c r="M1066" t="s">
        <v>2256</v>
      </c>
      <c r="N1066" t="s">
        <v>33</v>
      </c>
      <c r="O1066" t="s">
        <v>22</v>
      </c>
      <c r="P1066" s="1">
        <v>45385</v>
      </c>
      <c r="Q1066">
        <v>2152</v>
      </c>
      <c r="R1066">
        <v>3783</v>
      </c>
      <c r="S1066" t="s">
        <v>23</v>
      </c>
      <c r="T1066">
        <v>4</v>
      </c>
      <c r="U1066" t="s">
        <v>45</v>
      </c>
      <c r="V1066" t="s">
        <v>59</v>
      </c>
      <c r="W1066" t="s">
        <v>34</v>
      </c>
    </row>
    <row r="1067" spans="1:23" x14ac:dyDescent="0.3">
      <c r="A1067" t="s">
        <v>2257</v>
      </c>
      <c r="B1067" t="s">
        <v>225</v>
      </c>
      <c r="C1067" t="s">
        <v>37</v>
      </c>
      <c r="D1067" t="s">
        <v>125</v>
      </c>
      <c r="E1067" t="s">
        <v>5140</v>
      </c>
      <c r="F1067" t="s">
        <v>5133</v>
      </c>
      <c r="G1067" t="s">
        <v>18</v>
      </c>
      <c r="H1067" t="s">
        <v>56</v>
      </c>
      <c r="I1067" t="str">
        <f>LEFT(H1067,FIND(" (",H1067)-1)</f>
        <v>Mid</v>
      </c>
      <c r="J1067" t="str">
        <f>MID(H1067,FIND("(",H1067)+1,FIND(")",H1067)-FIND("(",H1067)-1)</f>
        <v>2-5 yrs</v>
      </c>
      <c r="L1067">
        <v>87830</v>
      </c>
      <c r="M1067" t="s">
        <v>2258</v>
      </c>
      <c r="N1067" t="s">
        <v>43</v>
      </c>
      <c r="O1067" t="s">
        <v>22</v>
      </c>
      <c r="P1067" s="1">
        <v>45745</v>
      </c>
      <c r="Q1067">
        <v>1470</v>
      </c>
      <c r="R1067">
        <v>489</v>
      </c>
      <c r="S1067" t="s">
        <v>34</v>
      </c>
      <c r="T1067">
        <v>2</v>
      </c>
      <c r="U1067" t="s">
        <v>58</v>
      </c>
      <c r="V1067" t="s">
        <v>24</v>
      </c>
      <c r="W1067" t="s">
        <v>34</v>
      </c>
    </row>
    <row r="1068" spans="1:23" x14ac:dyDescent="0.3">
      <c r="A1068" t="s">
        <v>2259</v>
      </c>
      <c r="B1068" t="s">
        <v>236</v>
      </c>
      <c r="C1068" t="s">
        <v>167</v>
      </c>
      <c r="D1068" t="s">
        <v>111</v>
      </c>
      <c r="E1068" t="s">
        <v>200</v>
      </c>
      <c r="F1068" t="s">
        <v>201</v>
      </c>
      <c r="G1068" t="s">
        <v>18</v>
      </c>
      <c r="H1068" t="s">
        <v>66</v>
      </c>
      <c r="I1068" t="str">
        <f>LEFT(H1068,FIND(" (",H1068)-1)</f>
        <v>Senior</v>
      </c>
      <c r="J1068" t="str">
        <f>MID(H1068,FIND("(",H1068)+1,FIND(")",H1068)-FIND("(",H1068)-1)</f>
        <v>5-8 yrs</v>
      </c>
      <c r="L1068">
        <v>115043</v>
      </c>
      <c r="M1068" t="s">
        <v>2260</v>
      </c>
      <c r="N1068" t="s">
        <v>141</v>
      </c>
      <c r="O1068" t="s">
        <v>44</v>
      </c>
      <c r="P1068" s="1">
        <v>45515</v>
      </c>
      <c r="Q1068">
        <v>1036</v>
      </c>
      <c r="R1068">
        <v>185</v>
      </c>
      <c r="S1068" t="s">
        <v>23</v>
      </c>
      <c r="T1068">
        <v>4</v>
      </c>
      <c r="U1068" t="s">
        <v>5123</v>
      </c>
      <c r="V1068" t="s">
        <v>24</v>
      </c>
      <c r="W1068" t="s">
        <v>34</v>
      </c>
    </row>
    <row r="1069" spans="1:23" x14ac:dyDescent="0.3">
      <c r="A1069" t="s">
        <v>2261</v>
      </c>
      <c r="B1069" t="s">
        <v>131</v>
      </c>
      <c r="C1069" t="s">
        <v>132</v>
      </c>
      <c r="D1069" t="s">
        <v>28</v>
      </c>
      <c r="E1069" t="s">
        <v>133</v>
      </c>
      <c r="F1069" t="s">
        <v>134</v>
      </c>
      <c r="G1069" t="s">
        <v>18</v>
      </c>
      <c r="H1069" t="s">
        <v>19</v>
      </c>
      <c r="I1069" t="str">
        <f>LEFT(H1069,FIND(" (",H1069)-1)</f>
        <v>Entry</v>
      </c>
      <c r="J1069" t="str">
        <f>MID(H1069,FIND("(",H1069)+1,FIND(")",H1069)-FIND("(",H1069)-1)</f>
        <v>0-2 yrs</v>
      </c>
      <c r="L1069">
        <v>84626</v>
      </c>
      <c r="M1069" t="s">
        <v>2262</v>
      </c>
      <c r="N1069" t="s">
        <v>186</v>
      </c>
      <c r="O1069" t="s">
        <v>51</v>
      </c>
      <c r="P1069" s="1">
        <v>45391</v>
      </c>
      <c r="Q1069">
        <v>1219</v>
      </c>
      <c r="R1069">
        <v>2895</v>
      </c>
      <c r="S1069" t="s">
        <v>99</v>
      </c>
      <c r="T1069">
        <v>0</v>
      </c>
      <c r="U1069" t="s">
        <v>5123</v>
      </c>
      <c r="V1069" t="s">
        <v>59</v>
      </c>
      <c r="W1069" t="s">
        <v>34</v>
      </c>
    </row>
    <row r="1070" spans="1:23" x14ac:dyDescent="0.3">
      <c r="A1070" t="s">
        <v>2263</v>
      </c>
      <c r="B1070" t="s">
        <v>61</v>
      </c>
      <c r="C1070" t="s">
        <v>128</v>
      </c>
      <c r="D1070" t="s">
        <v>147</v>
      </c>
      <c r="E1070" t="s">
        <v>102</v>
      </c>
      <c r="F1070" t="s">
        <v>103</v>
      </c>
      <c r="G1070" t="s">
        <v>41</v>
      </c>
      <c r="H1070" t="s">
        <v>19</v>
      </c>
      <c r="I1070" t="str">
        <f>LEFT(H1070,FIND(" (",H1070)-1)</f>
        <v>Entry</v>
      </c>
      <c r="J1070" t="str">
        <f>MID(H1070,FIND("(",H1070)+1,FIND(")",H1070)-FIND("(",H1070)-1)</f>
        <v>0-2 yrs</v>
      </c>
      <c r="L1070">
        <v>64106</v>
      </c>
      <c r="M1070" t="s">
        <v>2264</v>
      </c>
      <c r="N1070" t="s">
        <v>68</v>
      </c>
      <c r="O1070" t="s">
        <v>51</v>
      </c>
      <c r="P1070" s="1">
        <v>45482</v>
      </c>
      <c r="Q1070">
        <v>2494</v>
      </c>
      <c r="R1070">
        <v>2055</v>
      </c>
      <c r="S1070" t="s">
        <v>99</v>
      </c>
      <c r="T1070">
        <v>0</v>
      </c>
      <c r="U1070" t="s">
        <v>45</v>
      </c>
      <c r="V1070" t="s">
        <v>59</v>
      </c>
      <c r="W1070" t="s">
        <v>34</v>
      </c>
    </row>
    <row r="1071" spans="1:23" x14ac:dyDescent="0.3">
      <c r="A1071" t="s">
        <v>2265</v>
      </c>
      <c r="B1071" t="s">
        <v>143</v>
      </c>
      <c r="C1071" t="s">
        <v>167</v>
      </c>
      <c r="D1071" t="s">
        <v>111</v>
      </c>
      <c r="E1071" t="s">
        <v>76</v>
      </c>
      <c r="F1071" t="s">
        <v>77</v>
      </c>
      <c r="G1071" t="s">
        <v>18</v>
      </c>
      <c r="H1071" t="s">
        <v>19</v>
      </c>
      <c r="I1071" t="str">
        <f>LEFT(H1071,FIND(" (",H1071)-1)</f>
        <v>Entry</v>
      </c>
      <c r="J1071" t="str">
        <f>MID(H1071,FIND("(",H1071)+1,FIND(")",H1071)-FIND("(",H1071)-1)</f>
        <v>0-2 yrs</v>
      </c>
      <c r="L1071">
        <v>74365</v>
      </c>
      <c r="M1071" t="s">
        <v>2266</v>
      </c>
      <c r="N1071" t="s">
        <v>141</v>
      </c>
      <c r="O1071" t="s">
        <v>79</v>
      </c>
      <c r="P1071" s="1">
        <v>45576</v>
      </c>
      <c r="Q1071">
        <v>2339</v>
      </c>
      <c r="R1071">
        <v>1821</v>
      </c>
      <c r="S1071" t="s">
        <v>23</v>
      </c>
      <c r="T1071">
        <v>0</v>
      </c>
      <c r="U1071" t="s">
        <v>58</v>
      </c>
      <c r="V1071" t="s">
        <v>24</v>
      </c>
      <c r="W1071" t="s">
        <v>34</v>
      </c>
    </row>
    <row r="1072" spans="1:23" x14ac:dyDescent="0.3">
      <c r="A1072" t="s">
        <v>2267</v>
      </c>
      <c r="B1072" t="s">
        <v>236</v>
      </c>
      <c r="C1072" t="s">
        <v>204</v>
      </c>
      <c r="D1072" t="s">
        <v>28</v>
      </c>
      <c r="E1072" t="s">
        <v>5134</v>
      </c>
      <c r="F1072" t="s">
        <v>5133</v>
      </c>
      <c r="G1072" t="s">
        <v>18</v>
      </c>
      <c r="H1072" t="s">
        <v>31</v>
      </c>
      <c r="I1072" t="str">
        <f>LEFT(H1072,FIND(" (",H1072)-1)</f>
        <v>Staff/Principal</v>
      </c>
      <c r="J1072" t="str">
        <f>MID(H1072,FIND("(",H1072)+1,FIND(")",H1072)-FIND("(",H1072)-1)</f>
        <v>8+ yrs</v>
      </c>
      <c r="L1072">
        <v>198310</v>
      </c>
      <c r="M1072" t="s">
        <v>2268</v>
      </c>
      <c r="N1072" t="s">
        <v>68</v>
      </c>
      <c r="O1072" t="s">
        <v>51</v>
      </c>
      <c r="P1072" s="1">
        <v>45737</v>
      </c>
      <c r="Q1072">
        <v>757</v>
      </c>
      <c r="R1072">
        <v>2510</v>
      </c>
      <c r="S1072" t="s">
        <v>34</v>
      </c>
      <c r="T1072">
        <v>6</v>
      </c>
      <c r="U1072" t="s">
        <v>58</v>
      </c>
      <c r="V1072" t="s">
        <v>59</v>
      </c>
      <c r="W1072" t="s">
        <v>34</v>
      </c>
    </row>
    <row r="1073" spans="1:23" x14ac:dyDescent="0.3">
      <c r="A1073" t="s">
        <v>2269</v>
      </c>
      <c r="B1073" t="s">
        <v>106</v>
      </c>
      <c r="C1073" t="s">
        <v>158</v>
      </c>
      <c r="D1073" t="s">
        <v>49</v>
      </c>
      <c r="E1073" t="s">
        <v>5140</v>
      </c>
      <c r="F1073" t="s">
        <v>5133</v>
      </c>
      <c r="G1073" t="s">
        <v>18</v>
      </c>
      <c r="H1073" t="s">
        <v>56</v>
      </c>
      <c r="I1073" t="str">
        <f>LEFT(H1073,FIND(" (",H1073)-1)</f>
        <v>Mid</v>
      </c>
      <c r="J1073" t="str">
        <f>MID(H1073,FIND("(",H1073)+1,FIND(")",H1073)-FIND("(",H1073)-1)</f>
        <v>2-5 yrs</v>
      </c>
      <c r="L1073">
        <v>119445</v>
      </c>
      <c r="M1073" t="s">
        <v>2270</v>
      </c>
      <c r="N1073" t="s">
        <v>245</v>
      </c>
      <c r="O1073" t="s">
        <v>22</v>
      </c>
      <c r="P1073" s="1">
        <v>45324</v>
      </c>
      <c r="Q1073">
        <v>2289</v>
      </c>
      <c r="R1073">
        <v>3850</v>
      </c>
      <c r="S1073" t="s">
        <v>23</v>
      </c>
      <c r="T1073">
        <v>2</v>
      </c>
      <c r="U1073" t="s">
        <v>83</v>
      </c>
      <c r="V1073" t="s">
        <v>59</v>
      </c>
      <c r="W1073" t="s">
        <v>23</v>
      </c>
    </row>
    <row r="1074" spans="1:23" x14ac:dyDescent="0.3">
      <c r="A1074" t="s">
        <v>2271</v>
      </c>
      <c r="B1074" t="s">
        <v>13</v>
      </c>
      <c r="C1074" t="s">
        <v>173</v>
      </c>
      <c r="D1074" t="s">
        <v>111</v>
      </c>
      <c r="E1074" t="s">
        <v>159</v>
      </c>
      <c r="F1074" t="s">
        <v>160</v>
      </c>
      <c r="G1074" t="s">
        <v>55</v>
      </c>
      <c r="H1074" t="s">
        <v>19</v>
      </c>
      <c r="I1074" t="str">
        <f>LEFT(H1074,FIND(" (",H1074)-1)</f>
        <v>Entry</v>
      </c>
      <c r="J1074" t="str">
        <f>MID(H1074,FIND("(",H1074)+1,FIND(")",H1074)-FIND("(",H1074)-1)</f>
        <v>0-2 yrs</v>
      </c>
      <c r="L1074">
        <v>70967</v>
      </c>
      <c r="M1074" t="s">
        <v>2272</v>
      </c>
      <c r="N1074" t="s">
        <v>21</v>
      </c>
      <c r="O1074" t="s">
        <v>51</v>
      </c>
      <c r="P1074" s="1">
        <v>45520</v>
      </c>
      <c r="Q1074">
        <v>695</v>
      </c>
      <c r="R1074">
        <v>2679</v>
      </c>
      <c r="S1074" t="s">
        <v>34</v>
      </c>
      <c r="T1074">
        <v>0</v>
      </c>
      <c r="U1074" t="s">
        <v>52</v>
      </c>
      <c r="V1074" t="s">
        <v>24</v>
      </c>
      <c r="W1074" t="s">
        <v>23</v>
      </c>
    </row>
    <row r="1075" spans="1:23" x14ac:dyDescent="0.3">
      <c r="A1075" t="s">
        <v>2273</v>
      </c>
      <c r="B1075" t="s">
        <v>229</v>
      </c>
      <c r="C1075" t="s">
        <v>107</v>
      </c>
      <c r="D1075" t="s">
        <v>125</v>
      </c>
      <c r="E1075" t="s">
        <v>5139</v>
      </c>
      <c r="F1075" t="s">
        <v>5133</v>
      </c>
      <c r="G1075" t="s">
        <v>18</v>
      </c>
      <c r="H1075" t="s">
        <v>56</v>
      </c>
      <c r="I1075" t="str">
        <f>LEFT(H1075,FIND(" (",H1075)-1)</f>
        <v>Mid</v>
      </c>
      <c r="J1075" t="str">
        <f>MID(H1075,FIND("(",H1075)+1,FIND(")",H1075)-FIND("(",H1075)-1)</f>
        <v>2-5 yrs</v>
      </c>
      <c r="L1075">
        <v>84596</v>
      </c>
      <c r="M1075" t="s">
        <v>2274</v>
      </c>
      <c r="N1075" t="s">
        <v>33</v>
      </c>
      <c r="O1075" t="s">
        <v>51</v>
      </c>
      <c r="P1075" s="1">
        <v>45302</v>
      </c>
      <c r="Q1075">
        <v>1092</v>
      </c>
      <c r="R1075">
        <v>2238</v>
      </c>
      <c r="S1075" t="s">
        <v>23</v>
      </c>
      <c r="T1075">
        <v>2</v>
      </c>
      <c r="U1075" t="s">
        <v>5123</v>
      </c>
      <c r="V1075" t="s">
        <v>24</v>
      </c>
      <c r="W1075" t="s">
        <v>23</v>
      </c>
    </row>
    <row r="1076" spans="1:23" x14ac:dyDescent="0.3">
      <c r="A1076" t="s">
        <v>2275</v>
      </c>
      <c r="B1076" t="s">
        <v>236</v>
      </c>
      <c r="C1076" t="s">
        <v>239</v>
      </c>
      <c r="D1076" t="s">
        <v>147</v>
      </c>
      <c r="E1076" t="s">
        <v>16</v>
      </c>
      <c r="F1076" t="s">
        <v>17</v>
      </c>
      <c r="G1076" t="s">
        <v>18</v>
      </c>
      <c r="H1076" t="s">
        <v>56</v>
      </c>
      <c r="I1076" t="str">
        <f>LEFT(H1076,FIND(" (",H1076)-1)</f>
        <v>Mid</v>
      </c>
      <c r="J1076" t="str">
        <f>MID(H1076,FIND("(",H1076)+1,FIND(")",H1076)-FIND("(",H1076)-1)</f>
        <v>2-5 yrs</v>
      </c>
      <c r="L1076">
        <v>129726</v>
      </c>
      <c r="M1076" t="s">
        <v>2276</v>
      </c>
      <c r="N1076" t="s">
        <v>68</v>
      </c>
      <c r="O1076" t="s">
        <v>44</v>
      </c>
      <c r="P1076" s="1">
        <v>45563</v>
      </c>
      <c r="Q1076">
        <v>1000</v>
      </c>
      <c r="R1076">
        <v>2713</v>
      </c>
      <c r="S1076" t="s">
        <v>23</v>
      </c>
      <c r="T1076">
        <v>2</v>
      </c>
      <c r="U1076" t="s">
        <v>83</v>
      </c>
      <c r="V1076" t="s">
        <v>24</v>
      </c>
      <c r="W1076" t="s">
        <v>23</v>
      </c>
    </row>
    <row r="1077" spans="1:23" x14ac:dyDescent="0.3">
      <c r="A1077" t="s">
        <v>2277</v>
      </c>
      <c r="B1077" t="s">
        <v>26</v>
      </c>
      <c r="C1077" t="s">
        <v>62</v>
      </c>
      <c r="D1077" t="s">
        <v>111</v>
      </c>
      <c r="E1077" t="s">
        <v>102</v>
      </c>
      <c r="F1077" t="s">
        <v>103</v>
      </c>
      <c r="G1077" t="s">
        <v>55</v>
      </c>
      <c r="H1077" t="s">
        <v>31</v>
      </c>
      <c r="I1077" t="str">
        <f>LEFT(H1077,FIND(" (",H1077)-1)</f>
        <v>Staff/Principal</v>
      </c>
      <c r="J1077" t="str">
        <f>MID(H1077,FIND("(",H1077)+1,FIND(")",H1077)-FIND("(",H1077)-1)</f>
        <v>8+ yrs</v>
      </c>
      <c r="L1077">
        <v>182224</v>
      </c>
      <c r="M1077" t="s">
        <v>2278</v>
      </c>
      <c r="N1077" t="s">
        <v>33</v>
      </c>
      <c r="O1077" t="s">
        <v>44</v>
      </c>
      <c r="P1077" s="1">
        <v>45679</v>
      </c>
      <c r="Q1077">
        <v>1134</v>
      </c>
      <c r="R1077">
        <v>888</v>
      </c>
      <c r="S1077" t="s">
        <v>23</v>
      </c>
      <c r="T1077">
        <v>6</v>
      </c>
      <c r="U1077" t="s">
        <v>58</v>
      </c>
      <c r="V1077" t="s">
        <v>59</v>
      </c>
      <c r="W1077" t="s">
        <v>34</v>
      </c>
    </row>
    <row r="1078" spans="1:23" x14ac:dyDescent="0.3">
      <c r="A1078" t="s">
        <v>2279</v>
      </c>
      <c r="B1078" t="s">
        <v>236</v>
      </c>
      <c r="C1078" t="s">
        <v>124</v>
      </c>
      <c r="D1078" t="s">
        <v>49</v>
      </c>
      <c r="E1078" t="s">
        <v>133</v>
      </c>
      <c r="F1078" t="s">
        <v>134</v>
      </c>
      <c r="G1078" t="s">
        <v>55</v>
      </c>
      <c r="H1078" t="s">
        <v>19</v>
      </c>
      <c r="I1078" t="str">
        <f>LEFT(H1078,FIND(" (",H1078)-1)</f>
        <v>Entry</v>
      </c>
      <c r="J1078" t="str">
        <f>MID(H1078,FIND("(",H1078)+1,FIND(")",H1078)-FIND("(",H1078)-1)</f>
        <v>0-2 yrs</v>
      </c>
      <c r="L1078">
        <v>50387</v>
      </c>
      <c r="M1078" t="s">
        <v>2280</v>
      </c>
      <c r="N1078" t="s">
        <v>149</v>
      </c>
      <c r="O1078" t="s">
        <v>22</v>
      </c>
      <c r="P1078" s="1">
        <v>45676</v>
      </c>
      <c r="Q1078">
        <v>2371</v>
      </c>
      <c r="R1078">
        <v>3250</v>
      </c>
      <c r="S1078" t="s">
        <v>34</v>
      </c>
      <c r="T1078">
        <v>0</v>
      </c>
      <c r="U1078" t="s">
        <v>52</v>
      </c>
      <c r="V1078" t="s">
        <v>59</v>
      </c>
      <c r="W1078" t="s">
        <v>34</v>
      </c>
    </row>
    <row r="1079" spans="1:23" x14ac:dyDescent="0.3">
      <c r="A1079" t="s">
        <v>2281</v>
      </c>
      <c r="B1079" t="s">
        <v>26</v>
      </c>
      <c r="C1079" t="s">
        <v>107</v>
      </c>
      <c r="D1079" t="s">
        <v>15</v>
      </c>
      <c r="E1079" t="s">
        <v>5141</v>
      </c>
      <c r="F1079" t="s">
        <v>5133</v>
      </c>
      <c r="G1079" t="s">
        <v>55</v>
      </c>
      <c r="H1079" t="s">
        <v>56</v>
      </c>
      <c r="I1079" t="str">
        <f>LEFT(H1079,FIND(" (",H1079)-1)</f>
        <v>Mid</v>
      </c>
      <c r="J1079" t="str">
        <f>MID(H1079,FIND("(",H1079)+1,FIND(")",H1079)-FIND("(",H1079)-1)</f>
        <v>2-5 yrs</v>
      </c>
      <c r="L1079">
        <v>101523</v>
      </c>
      <c r="M1079" t="s">
        <v>2282</v>
      </c>
      <c r="N1079" t="s">
        <v>33</v>
      </c>
      <c r="O1079" t="s">
        <v>51</v>
      </c>
      <c r="P1079" s="1">
        <v>45528</v>
      </c>
      <c r="Q1079">
        <v>2275</v>
      </c>
      <c r="R1079">
        <v>2029</v>
      </c>
      <c r="S1079" t="s">
        <v>23</v>
      </c>
      <c r="T1079">
        <v>2</v>
      </c>
      <c r="U1079" t="s">
        <v>5123</v>
      </c>
      <c r="V1079" t="s">
        <v>24</v>
      </c>
      <c r="W1079" t="s">
        <v>23</v>
      </c>
    </row>
    <row r="1080" spans="1:23" x14ac:dyDescent="0.3">
      <c r="A1080" t="s">
        <v>2283</v>
      </c>
      <c r="B1080" t="s">
        <v>225</v>
      </c>
      <c r="C1080" t="s">
        <v>146</v>
      </c>
      <c r="D1080" t="s">
        <v>147</v>
      </c>
      <c r="E1080" t="s">
        <v>5140</v>
      </c>
      <c r="F1080" t="s">
        <v>5133</v>
      </c>
      <c r="G1080" t="s">
        <v>41</v>
      </c>
      <c r="H1080" t="s">
        <v>56</v>
      </c>
      <c r="I1080" t="str">
        <f>LEFT(H1080,FIND(" (",H1080)-1)</f>
        <v>Mid</v>
      </c>
      <c r="J1080" t="str">
        <f>MID(H1080,FIND("(",H1080)+1,FIND(")",H1080)-FIND("(",H1080)-1)</f>
        <v>2-5 yrs</v>
      </c>
      <c r="L1080">
        <v>139715</v>
      </c>
      <c r="M1080" t="s">
        <v>2284</v>
      </c>
      <c r="N1080" t="s">
        <v>21</v>
      </c>
      <c r="O1080" t="s">
        <v>22</v>
      </c>
      <c r="P1080" s="1">
        <v>45567</v>
      </c>
      <c r="Q1080">
        <v>2360</v>
      </c>
      <c r="R1080">
        <v>2855</v>
      </c>
      <c r="S1080" t="s">
        <v>34</v>
      </c>
      <c r="T1080">
        <v>2</v>
      </c>
      <c r="U1080" t="s">
        <v>83</v>
      </c>
      <c r="V1080" t="s">
        <v>24</v>
      </c>
      <c r="W1080" t="s">
        <v>23</v>
      </c>
    </row>
    <row r="1081" spans="1:23" x14ac:dyDescent="0.3">
      <c r="A1081" t="s">
        <v>2285</v>
      </c>
      <c r="B1081" t="s">
        <v>91</v>
      </c>
      <c r="C1081" t="s">
        <v>54</v>
      </c>
      <c r="D1081" t="s">
        <v>174</v>
      </c>
      <c r="E1081" t="s">
        <v>5141</v>
      </c>
      <c r="F1081" t="s">
        <v>5133</v>
      </c>
      <c r="G1081" t="s">
        <v>41</v>
      </c>
      <c r="H1081" t="s">
        <v>66</v>
      </c>
      <c r="I1081" t="str">
        <f>LEFT(H1081,FIND(" (",H1081)-1)</f>
        <v>Senior</v>
      </c>
      <c r="J1081" t="str">
        <f>MID(H1081,FIND("(",H1081)+1,FIND(")",H1081)-FIND("(",H1081)-1)</f>
        <v>5-8 yrs</v>
      </c>
      <c r="L1081">
        <v>172955</v>
      </c>
      <c r="M1081" t="s">
        <v>2286</v>
      </c>
      <c r="N1081" t="s">
        <v>141</v>
      </c>
      <c r="O1081" t="s">
        <v>51</v>
      </c>
      <c r="P1081" s="1">
        <v>45383</v>
      </c>
      <c r="Q1081">
        <v>1935</v>
      </c>
      <c r="R1081">
        <v>2196</v>
      </c>
      <c r="S1081" t="s">
        <v>23</v>
      </c>
      <c r="T1081">
        <v>4</v>
      </c>
      <c r="U1081" t="s">
        <v>52</v>
      </c>
      <c r="V1081" t="s">
        <v>24</v>
      </c>
      <c r="W1081" t="s">
        <v>34</v>
      </c>
    </row>
    <row r="1082" spans="1:23" x14ac:dyDescent="0.3">
      <c r="A1082" t="s">
        <v>2287</v>
      </c>
      <c r="B1082" t="s">
        <v>13</v>
      </c>
      <c r="C1082" t="s">
        <v>97</v>
      </c>
      <c r="D1082" t="s">
        <v>15</v>
      </c>
      <c r="E1082" t="s">
        <v>5132</v>
      </c>
      <c r="F1082" t="s">
        <v>5133</v>
      </c>
      <c r="G1082" t="s">
        <v>18</v>
      </c>
      <c r="H1082" t="s">
        <v>56</v>
      </c>
      <c r="I1082" t="str">
        <f>LEFT(H1082,FIND(" (",H1082)-1)</f>
        <v>Mid</v>
      </c>
      <c r="J1082" t="str">
        <f>MID(H1082,FIND("(",H1082)+1,FIND(")",H1082)-FIND("(",H1082)-1)</f>
        <v>2-5 yrs</v>
      </c>
      <c r="L1082">
        <v>103096</v>
      </c>
      <c r="M1082" t="s">
        <v>2288</v>
      </c>
      <c r="N1082" t="s">
        <v>141</v>
      </c>
      <c r="O1082" t="s">
        <v>44</v>
      </c>
      <c r="P1082" s="1">
        <v>45449</v>
      </c>
      <c r="Q1082">
        <v>1520</v>
      </c>
      <c r="R1082">
        <v>3641</v>
      </c>
      <c r="S1082" t="s">
        <v>34</v>
      </c>
      <c r="T1082">
        <v>2</v>
      </c>
      <c r="U1082" t="s">
        <v>83</v>
      </c>
      <c r="V1082" t="s">
        <v>24</v>
      </c>
      <c r="W1082" t="s">
        <v>34</v>
      </c>
    </row>
    <row r="1083" spans="1:23" x14ac:dyDescent="0.3">
      <c r="A1083" t="s">
        <v>2289</v>
      </c>
      <c r="B1083" t="s">
        <v>96</v>
      </c>
      <c r="C1083" t="s">
        <v>74</v>
      </c>
      <c r="D1083" t="s">
        <v>15</v>
      </c>
      <c r="E1083" t="s">
        <v>216</v>
      </c>
      <c r="F1083" t="s">
        <v>217</v>
      </c>
      <c r="G1083" t="s">
        <v>18</v>
      </c>
      <c r="H1083" t="s">
        <v>56</v>
      </c>
      <c r="I1083" t="str">
        <f>LEFT(H1083,FIND(" (",H1083)-1)</f>
        <v>Mid</v>
      </c>
      <c r="J1083" t="str">
        <f>MID(H1083,FIND("(",H1083)+1,FIND(")",H1083)-FIND("(",H1083)-1)</f>
        <v>2-5 yrs</v>
      </c>
      <c r="L1083">
        <v>103084</v>
      </c>
      <c r="M1083" t="s">
        <v>2290</v>
      </c>
      <c r="N1083" t="s">
        <v>186</v>
      </c>
      <c r="O1083" t="s">
        <v>51</v>
      </c>
      <c r="P1083" s="1">
        <v>45594</v>
      </c>
      <c r="Q1083">
        <v>2173</v>
      </c>
      <c r="R1083">
        <v>1267</v>
      </c>
      <c r="S1083" t="s">
        <v>23</v>
      </c>
      <c r="T1083">
        <v>2</v>
      </c>
      <c r="U1083" t="s">
        <v>58</v>
      </c>
      <c r="V1083" t="s">
        <v>24</v>
      </c>
      <c r="W1083" t="s">
        <v>34</v>
      </c>
    </row>
    <row r="1084" spans="1:23" x14ac:dyDescent="0.3">
      <c r="A1084" t="s">
        <v>2291</v>
      </c>
      <c r="B1084" t="s">
        <v>85</v>
      </c>
      <c r="C1084" t="s">
        <v>146</v>
      </c>
      <c r="D1084" t="s">
        <v>38</v>
      </c>
      <c r="E1084" t="s">
        <v>5134</v>
      </c>
      <c r="F1084" t="s">
        <v>5133</v>
      </c>
      <c r="G1084" t="s">
        <v>18</v>
      </c>
      <c r="H1084" t="s">
        <v>66</v>
      </c>
      <c r="I1084" t="str">
        <f>LEFT(H1084,FIND(" (",H1084)-1)</f>
        <v>Senior</v>
      </c>
      <c r="J1084" t="str">
        <f>MID(H1084,FIND("(",H1084)+1,FIND(")",H1084)-FIND("(",H1084)-1)</f>
        <v>5-8 yrs</v>
      </c>
      <c r="L1084">
        <v>141315</v>
      </c>
      <c r="M1084" t="s">
        <v>2292</v>
      </c>
      <c r="N1084" t="s">
        <v>141</v>
      </c>
      <c r="O1084" t="s">
        <v>22</v>
      </c>
      <c r="P1084" s="1">
        <v>45552</v>
      </c>
      <c r="Q1084">
        <v>2177</v>
      </c>
      <c r="R1084">
        <v>2135</v>
      </c>
      <c r="S1084" t="s">
        <v>99</v>
      </c>
      <c r="T1084">
        <v>4</v>
      </c>
      <c r="U1084" t="s">
        <v>45</v>
      </c>
      <c r="V1084" t="s">
        <v>24</v>
      </c>
      <c r="W1084" t="s">
        <v>23</v>
      </c>
    </row>
    <row r="1085" spans="1:23" x14ac:dyDescent="0.3">
      <c r="A1085" t="s">
        <v>2293</v>
      </c>
      <c r="B1085" t="s">
        <v>26</v>
      </c>
      <c r="C1085" t="s">
        <v>62</v>
      </c>
      <c r="D1085" t="s">
        <v>147</v>
      </c>
      <c r="E1085" t="s">
        <v>5134</v>
      </c>
      <c r="F1085" t="s">
        <v>5133</v>
      </c>
      <c r="G1085" t="s">
        <v>18</v>
      </c>
      <c r="H1085" t="s">
        <v>19</v>
      </c>
      <c r="I1085" t="str">
        <f>LEFT(H1085,FIND(" (",H1085)-1)</f>
        <v>Entry</v>
      </c>
      <c r="J1085" t="str">
        <f>MID(H1085,FIND("(",H1085)+1,FIND(")",H1085)-FIND("(",H1085)-1)</f>
        <v>0-2 yrs</v>
      </c>
      <c r="L1085">
        <v>96167</v>
      </c>
      <c r="M1085" t="s">
        <v>2294</v>
      </c>
      <c r="N1085" t="s">
        <v>33</v>
      </c>
      <c r="O1085" t="s">
        <v>44</v>
      </c>
      <c r="P1085" s="1">
        <v>45591</v>
      </c>
      <c r="Q1085">
        <v>1638</v>
      </c>
      <c r="R1085">
        <v>3962</v>
      </c>
      <c r="S1085" t="s">
        <v>34</v>
      </c>
      <c r="T1085">
        <v>0</v>
      </c>
      <c r="U1085" t="s">
        <v>5123</v>
      </c>
      <c r="V1085" t="s">
        <v>24</v>
      </c>
      <c r="W1085" t="s">
        <v>34</v>
      </c>
    </row>
    <row r="1086" spans="1:23" x14ac:dyDescent="0.3">
      <c r="A1086" t="s">
        <v>2295</v>
      </c>
      <c r="B1086" t="s">
        <v>172</v>
      </c>
      <c r="C1086" t="s">
        <v>226</v>
      </c>
      <c r="D1086" t="s">
        <v>75</v>
      </c>
      <c r="E1086" t="s">
        <v>5134</v>
      </c>
      <c r="F1086" t="s">
        <v>5133</v>
      </c>
      <c r="G1086" t="s">
        <v>18</v>
      </c>
      <c r="H1086" t="s">
        <v>19</v>
      </c>
      <c r="I1086" t="str">
        <f>LEFT(H1086,FIND(" (",H1086)-1)</f>
        <v>Entry</v>
      </c>
      <c r="J1086" t="str">
        <f>MID(H1086,FIND("(",H1086)+1,FIND(")",H1086)-FIND("(",H1086)-1)</f>
        <v>0-2 yrs</v>
      </c>
      <c r="L1086">
        <v>74812</v>
      </c>
      <c r="M1086" t="s">
        <v>2296</v>
      </c>
      <c r="N1086" t="s">
        <v>33</v>
      </c>
      <c r="O1086" t="s">
        <v>22</v>
      </c>
      <c r="P1086" s="1">
        <v>45575</v>
      </c>
      <c r="Q1086">
        <v>1207</v>
      </c>
      <c r="R1086">
        <v>12</v>
      </c>
      <c r="S1086" t="s">
        <v>23</v>
      </c>
      <c r="T1086">
        <v>0</v>
      </c>
      <c r="U1086" t="s">
        <v>83</v>
      </c>
      <c r="V1086" t="s">
        <v>24</v>
      </c>
      <c r="W1086" t="s">
        <v>34</v>
      </c>
    </row>
    <row r="1087" spans="1:23" x14ac:dyDescent="0.3">
      <c r="A1087" t="s">
        <v>2297</v>
      </c>
      <c r="B1087" t="s">
        <v>229</v>
      </c>
      <c r="C1087" t="s">
        <v>107</v>
      </c>
      <c r="D1087" t="s">
        <v>49</v>
      </c>
      <c r="E1087" t="s">
        <v>159</v>
      </c>
      <c r="F1087" t="s">
        <v>160</v>
      </c>
      <c r="G1087" t="s">
        <v>18</v>
      </c>
      <c r="H1087" t="s">
        <v>66</v>
      </c>
      <c r="I1087" t="str">
        <f>LEFT(H1087,FIND(" (",H1087)-1)</f>
        <v>Senior</v>
      </c>
      <c r="J1087" t="str">
        <f>MID(H1087,FIND("(",H1087)+1,FIND(")",H1087)-FIND("(",H1087)-1)</f>
        <v>5-8 yrs</v>
      </c>
      <c r="L1087">
        <v>161611</v>
      </c>
      <c r="M1087" t="s">
        <v>2298</v>
      </c>
      <c r="N1087" t="s">
        <v>33</v>
      </c>
      <c r="O1087" t="s">
        <v>51</v>
      </c>
      <c r="P1087" s="1">
        <v>45709</v>
      </c>
      <c r="Q1087">
        <v>2003</v>
      </c>
      <c r="R1087">
        <v>3555</v>
      </c>
      <c r="S1087" t="s">
        <v>34</v>
      </c>
      <c r="T1087">
        <v>4</v>
      </c>
      <c r="U1087" t="s">
        <v>52</v>
      </c>
      <c r="V1087" t="s">
        <v>46</v>
      </c>
      <c r="W1087" t="s">
        <v>34</v>
      </c>
    </row>
    <row r="1088" spans="1:23" x14ac:dyDescent="0.3">
      <c r="A1088" t="s">
        <v>2299</v>
      </c>
      <c r="B1088" t="s">
        <v>225</v>
      </c>
      <c r="C1088" t="s">
        <v>226</v>
      </c>
      <c r="D1088" t="s">
        <v>38</v>
      </c>
      <c r="E1088" t="s">
        <v>5135</v>
      </c>
      <c r="F1088" t="s">
        <v>5133</v>
      </c>
      <c r="G1088" t="s">
        <v>18</v>
      </c>
      <c r="H1088" t="s">
        <v>19</v>
      </c>
      <c r="I1088" t="str">
        <f>LEFT(H1088,FIND(" (",H1088)-1)</f>
        <v>Entry</v>
      </c>
      <c r="J1088" t="str">
        <f>MID(H1088,FIND("(",H1088)+1,FIND(")",H1088)-FIND("(",H1088)-1)</f>
        <v>0-2 yrs</v>
      </c>
      <c r="L1088">
        <v>82981</v>
      </c>
      <c r="M1088" t="s">
        <v>2300</v>
      </c>
      <c r="N1088" t="s">
        <v>21</v>
      </c>
      <c r="O1088" t="s">
        <v>22</v>
      </c>
      <c r="P1088" s="1">
        <v>45315</v>
      </c>
      <c r="Q1088">
        <v>1764</v>
      </c>
      <c r="R1088">
        <v>1596</v>
      </c>
      <c r="S1088" t="s">
        <v>23</v>
      </c>
      <c r="T1088">
        <v>0</v>
      </c>
      <c r="U1088" t="s">
        <v>83</v>
      </c>
      <c r="V1088" t="s">
        <v>24</v>
      </c>
      <c r="W1088" t="s">
        <v>23</v>
      </c>
    </row>
    <row r="1089" spans="1:23" x14ac:dyDescent="0.3">
      <c r="A1089" t="s">
        <v>2301</v>
      </c>
      <c r="B1089" t="s">
        <v>172</v>
      </c>
      <c r="C1089" t="s">
        <v>86</v>
      </c>
      <c r="D1089" t="s">
        <v>15</v>
      </c>
      <c r="E1089" t="s">
        <v>5139</v>
      </c>
      <c r="F1089" t="s">
        <v>5133</v>
      </c>
      <c r="G1089" t="s">
        <v>18</v>
      </c>
      <c r="H1089" t="s">
        <v>66</v>
      </c>
      <c r="I1089" t="str">
        <f>LEFT(H1089,FIND(" (",H1089)-1)</f>
        <v>Senior</v>
      </c>
      <c r="J1089" t="str">
        <f>MID(H1089,FIND("(",H1089)+1,FIND(")",H1089)-FIND("(",H1089)-1)</f>
        <v>5-8 yrs</v>
      </c>
      <c r="L1089">
        <v>156447</v>
      </c>
      <c r="M1089" t="s">
        <v>2302</v>
      </c>
      <c r="N1089" t="s">
        <v>141</v>
      </c>
      <c r="O1089" t="s">
        <v>22</v>
      </c>
      <c r="P1089" s="1">
        <v>45318</v>
      </c>
      <c r="Q1089">
        <v>1135</v>
      </c>
      <c r="R1089">
        <v>1761</v>
      </c>
      <c r="S1089" t="s">
        <v>23</v>
      </c>
      <c r="T1089">
        <v>4</v>
      </c>
      <c r="U1089" t="s">
        <v>5123</v>
      </c>
      <c r="V1089" t="s">
        <v>24</v>
      </c>
      <c r="W1089" t="s">
        <v>34</v>
      </c>
    </row>
    <row r="1090" spans="1:23" x14ac:dyDescent="0.3">
      <c r="A1090" t="s">
        <v>2303</v>
      </c>
      <c r="B1090" t="s">
        <v>81</v>
      </c>
      <c r="C1090" t="s">
        <v>14</v>
      </c>
      <c r="D1090" t="s">
        <v>75</v>
      </c>
      <c r="E1090" t="s">
        <v>16</v>
      </c>
      <c r="F1090" t="s">
        <v>17</v>
      </c>
      <c r="G1090" t="s">
        <v>18</v>
      </c>
      <c r="H1090" t="s">
        <v>66</v>
      </c>
      <c r="I1090" t="str">
        <f>LEFT(H1090,FIND(" (",H1090)-1)</f>
        <v>Senior</v>
      </c>
      <c r="J1090" t="str">
        <f>MID(H1090,FIND("(",H1090)+1,FIND(")",H1090)-FIND("(",H1090)-1)</f>
        <v>5-8 yrs</v>
      </c>
      <c r="L1090">
        <v>143005</v>
      </c>
      <c r="M1090" t="s">
        <v>2304</v>
      </c>
      <c r="N1090" t="s">
        <v>33</v>
      </c>
      <c r="O1090" t="s">
        <v>79</v>
      </c>
      <c r="P1090" s="1">
        <v>45596</v>
      </c>
      <c r="Q1090">
        <v>1941</v>
      </c>
      <c r="R1090">
        <v>3362</v>
      </c>
      <c r="S1090" t="s">
        <v>99</v>
      </c>
      <c r="T1090">
        <v>4</v>
      </c>
      <c r="U1090" t="s">
        <v>52</v>
      </c>
      <c r="V1090" t="s">
        <v>24</v>
      </c>
      <c r="W1090" t="s">
        <v>34</v>
      </c>
    </row>
    <row r="1091" spans="1:23" x14ac:dyDescent="0.3">
      <c r="A1091" t="s">
        <v>2305</v>
      </c>
      <c r="B1091" t="s">
        <v>61</v>
      </c>
      <c r="C1091" t="s">
        <v>101</v>
      </c>
      <c r="D1091" t="s">
        <v>111</v>
      </c>
      <c r="E1091" t="s">
        <v>5137</v>
      </c>
      <c r="F1091" t="s">
        <v>5138</v>
      </c>
      <c r="G1091" t="s">
        <v>18</v>
      </c>
      <c r="H1091" t="s">
        <v>56</v>
      </c>
      <c r="I1091" t="str">
        <f>LEFT(H1091,FIND(" (",H1091)-1)</f>
        <v>Mid</v>
      </c>
      <c r="J1091" t="str">
        <f>MID(H1091,FIND("(",H1091)+1,FIND(")",H1091)-FIND("(",H1091)-1)</f>
        <v>2-5 yrs</v>
      </c>
      <c r="L1091">
        <v>106112</v>
      </c>
      <c r="M1091" t="s">
        <v>2306</v>
      </c>
      <c r="N1091" t="s">
        <v>68</v>
      </c>
      <c r="O1091" t="s">
        <v>22</v>
      </c>
      <c r="P1091" s="1">
        <v>45468</v>
      </c>
      <c r="Q1091">
        <v>1266</v>
      </c>
      <c r="R1091">
        <v>892</v>
      </c>
      <c r="S1091" t="s">
        <v>99</v>
      </c>
      <c r="T1091">
        <v>2</v>
      </c>
      <c r="U1091" t="s">
        <v>45</v>
      </c>
      <c r="V1091" t="s">
        <v>24</v>
      </c>
      <c r="W1091" t="s">
        <v>34</v>
      </c>
    </row>
    <row r="1092" spans="1:23" x14ac:dyDescent="0.3">
      <c r="A1092" t="s">
        <v>2307</v>
      </c>
      <c r="B1092" t="s">
        <v>96</v>
      </c>
      <c r="C1092" t="s">
        <v>167</v>
      </c>
      <c r="D1092" t="s">
        <v>49</v>
      </c>
      <c r="E1092" t="s">
        <v>159</v>
      </c>
      <c r="F1092" t="s">
        <v>160</v>
      </c>
      <c r="G1092" t="s">
        <v>55</v>
      </c>
      <c r="H1092" t="s">
        <v>66</v>
      </c>
      <c r="I1092" t="str">
        <f>LEFT(H1092,FIND(" (",H1092)-1)</f>
        <v>Senior</v>
      </c>
      <c r="J1092" t="str">
        <f>MID(H1092,FIND("(",H1092)+1,FIND(")",H1092)-FIND("(",H1092)-1)</f>
        <v>5-8 yrs</v>
      </c>
      <c r="L1092">
        <v>148066</v>
      </c>
      <c r="M1092" t="s">
        <v>2308</v>
      </c>
      <c r="N1092" t="s">
        <v>43</v>
      </c>
      <c r="O1092" t="s">
        <v>44</v>
      </c>
      <c r="P1092" s="1">
        <v>45447</v>
      </c>
      <c r="Q1092">
        <v>1249</v>
      </c>
      <c r="R1092">
        <v>2198</v>
      </c>
      <c r="S1092" t="s">
        <v>34</v>
      </c>
      <c r="T1092">
        <v>4</v>
      </c>
      <c r="U1092" t="s">
        <v>5123</v>
      </c>
      <c r="V1092" t="s">
        <v>24</v>
      </c>
      <c r="W1092" t="s">
        <v>34</v>
      </c>
    </row>
    <row r="1093" spans="1:23" x14ac:dyDescent="0.3">
      <c r="A1093" t="s">
        <v>2309</v>
      </c>
      <c r="B1093" t="s">
        <v>61</v>
      </c>
      <c r="C1093" t="s">
        <v>195</v>
      </c>
      <c r="D1093" t="s">
        <v>15</v>
      </c>
      <c r="E1093" t="s">
        <v>5132</v>
      </c>
      <c r="F1093" t="s">
        <v>5133</v>
      </c>
      <c r="G1093" t="s">
        <v>41</v>
      </c>
      <c r="H1093" t="s">
        <v>66</v>
      </c>
      <c r="I1093" t="str">
        <f>LEFT(H1093,FIND(" (",H1093)-1)</f>
        <v>Senior</v>
      </c>
      <c r="J1093" t="str">
        <f>MID(H1093,FIND("(",H1093)+1,FIND(")",H1093)-FIND("(",H1093)-1)</f>
        <v>5-8 yrs</v>
      </c>
      <c r="L1093">
        <v>148994</v>
      </c>
      <c r="M1093" t="s">
        <v>2310</v>
      </c>
      <c r="N1093" t="s">
        <v>33</v>
      </c>
      <c r="O1093" t="s">
        <v>22</v>
      </c>
      <c r="P1093" s="1">
        <v>45403</v>
      </c>
      <c r="Q1093">
        <v>1320</v>
      </c>
      <c r="R1093">
        <v>1625</v>
      </c>
      <c r="S1093" t="s">
        <v>34</v>
      </c>
      <c r="T1093">
        <v>4</v>
      </c>
      <c r="U1093" t="s">
        <v>52</v>
      </c>
      <c r="V1093" t="s">
        <v>46</v>
      </c>
      <c r="W1093" t="s">
        <v>23</v>
      </c>
    </row>
    <row r="1094" spans="1:23" x14ac:dyDescent="0.3">
      <c r="A1094" t="s">
        <v>2311</v>
      </c>
      <c r="B1094" t="s">
        <v>70</v>
      </c>
      <c r="C1094" t="s">
        <v>74</v>
      </c>
      <c r="D1094" t="s">
        <v>75</v>
      </c>
      <c r="E1094" t="s">
        <v>29</v>
      </c>
      <c r="F1094" t="s">
        <v>30</v>
      </c>
      <c r="G1094" t="s">
        <v>55</v>
      </c>
      <c r="H1094" t="s">
        <v>31</v>
      </c>
      <c r="I1094" t="str">
        <f>LEFT(H1094,FIND(" (",H1094)-1)</f>
        <v>Staff/Principal</v>
      </c>
      <c r="J1094" t="str">
        <f>MID(H1094,FIND("(",H1094)+1,FIND(")",H1094)-FIND("(",H1094)-1)</f>
        <v>8+ yrs</v>
      </c>
      <c r="L1094">
        <v>226194</v>
      </c>
      <c r="M1094" t="s">
        <v>2312</v>
      </c>
      <c r="N1094" t="s">
        <v>120</v>
      </c>
      <c r="O1094" t="s">
        <v>44</v>
      </c>
      <c r="P1094" s="1">
        <v>45619</v>
      </c>
      <c r="Q1094">
        <v>1719</v>
      </c>
      <c r="R1094">
        <v>2286</v>
      </c>
      <c r="S1094" t="s">
        <v>23</v>
      </c>
      <c r="T1094">
        <v>6</v>
      </c>
      <c r="U1094" t="s">
        <v>45</v>
      </c>
      <c r="V1094" t="s">
        <v>24</v>
      </c>
      <c r="W1094" t="s">
        <v>34</v>
      </c>
    </row>
    <row r="1095" spans="1:23" x14ac:dyDescent="0.3">
      <c r="A1095" t="s">
        <v>2313</v>
      </c>
      <c r="B1095" t="s">
        <v>143</v>
      </c>
      <c r="C1095" t="s">
        <v>27</v>
      </c>
      <c r="D1095" t="s">
        <v>63</v>
      </c>
      <c r="E1095" t="s">
        <v>102</v>
      </c>
      <c r="F1095" t="s">
        <v>103</v>
      </c>
      <c r="G1095" t="s">
        <v>41</v>
      </c>
      <c r="H1095" t="s">
        <v>66</v>
      </c>
      <c r="I1095" t="str">
        <f>LEFT(H1095,FIND(" (",H1095)-1)</f>
        <v>Senior</v>
      </c>
      <c r="J1095" t="str">
        <f>MID(H1095,FIND("(",H1095)+1,FIND(")",H1095)-FIND("(",H1095)-1)</f>
        <v>5-8 yrs</v>
      </c>
      <c r="L1095">
        <v>151402</v>
      </c>
      <c r="M1095" t="s">
        <v>2314</v>
      </c>
      <c r="N1095" t="s">
        <v>94</v>
      </c>
      <c r="O1095" t="s">
        <v>51</v>
      </c>
      <c r="P1095" s="1">
        <v>45469</v>
      </c>
      <c r="Q1095">
        <v>644</v>
      </c>
      <c r="R1095">
        <v>1847</v>
      </c>
      <c r="S1095" t="s">
        <v>34</v>
      </c>
      <c r="T1095">
        <v>4</v>
      </c>
      <c r="U1095" t="s">
        <v>45</v>
      </c>
      <c r="V1095" t="s">
        <v>59</v>
      </c>
      <c r="W1095" t="s">
        <v>23</v>
      </c>
    </row>
    <row r="1096" spans="1:23" x14ac:dyDescent="0.3">
      <c r="A1096" t="s">
        <v>2315</v>
      </c>
      <c r="B1096" t="s">
        <v>229</v>
      </c>
      <c r="C1096" t="s">
        <v>71</v>
      </c>
      <c r="D1096" t="s">
        <v>125</v>
      </c>
      <c r="E1096" t="s">
        <v>230</v>
      </c>
      <c r="F1096" t="s">
        <v>231</v>
      </c>
      <c r="G1096" t="s">
        <v>41</v>
      </c>
      <c r="H1096" t="s">
        <v>66</v>
      </c>
      <c r="I1096" t="str">
        <f>LEFT(H1096,FIND(" (",H1096)-1)</f>
        <v>Senior</v>
      </c>
      <c r="J1096" t="str">
        <f>MID(H1096,FIND("(",H1096)+1,FIND(")",H1096)-FIND("(",H1096)-1)</f>
        <v>5-8 yrs</v>
      </c>
      <c r="L1096">
        <v>169781</v>
      </c>
      <c r="M1096" t="s">
        <v>2316</v>
      </c>
      <c r="N1096" t="s">
        <v>43</v>
      </c>
      <c r="O1096" t="s">
        <v>22</v>
      </c>
      <c r="P1096" s="1">
        <v>45424</v>
      </c>
      <c r="Q1096">
        <v>2466</v>
      </c>
      <c r="R1096">
        <v>3007</v>
      </c>
      <c r="S1096" t="s">
        <v>23</v>
      </c>
      <c r="T1096">
        <v>4</v>
      </c>
      <c r="U1096" t="s">
        <v>45</v>
      </c>
      <c r="V1096" t="s">
        <v>24</v>
      </c>
      <c r="W1096" t="s">
        <v>23</v>
      </c>
    </row>
    <row r="1097" spans="1:23" x14ac:dyDescent="0.3">
      <c r="A1097" t="s">
        <v>2317</v>
      </c>
      <c r="B1097" t="s">
        <v>172</v>
      </c>
      <c r="C1097" t="s">
        <v>62</v>
      </c>
      <c r="D1097" t="s">
        <v>75</v>
      </c>
      <c r="E1097" t="s">
        <v>5141</v>
      </c>
      <c r="F1097" t="s">
        <v>5133</v>
      </c>
      <c r="G1097" t="s">
        <v>41</v>
      </c>
      <c r="H1097" t="s">
        <v>19</v>
      </c>
      <c r="I1097" t="str">
        <f>LEFT(H1097,FIND(" (",H1097)-1)</f>
        <v>Entry</v>
      </c>
      <c r="J1097" t="str">
        <f>MID(H1097,FIND("(",H1097)+1,FIND(")",H1097)-FIND("(",H1097)-1)</f>
        <v>0-2 yrs</v>
      </c>
      <c r="L1097">
        <v>68982</v>
      </c>
      <c r="M1097" t="s">
        <v>2318</v>
      </c>
      <c r="N1097" t="s">
        <v>89</v>
      </c>
      <c r="O1097" t="s">
        <v>22</v>
      </c>
      <c r="P1097" s="1">
        <v>45651</v>
      </c>
      <c r="Q1097">
        <v>1099</v>
      </c>
      <c r="R1097">
        <v>521</v>
      </c>
      <c r="S1097" t="s">
        <v>23</v>
      </c>
      <c r="T1097">
        <v>0</v>
      </c>
      <c r="U1097" t="s">
        <v>58</v>
      </c>
      <c r="V1097" t="s">
        <v>24</v>
      </c>
      <c r="W1097" t="s">
        <v>23</v>
      </c>
    </row>
    <row r="1098" spans="1:23" x14ac:dyDescent="0.3">
      <c r="A1098" t="s">
        <v>2319</v>
      </c>
      <c r="B1098" t="s">
        <v>106</v>
      </c>
      <c r="C1098" t="s">
        <v>74</v>
      </c>
      <c r="D1098" t="s">
        <v>49</v>
      </c>
      <c r="E1098" t="s">
        <v>76</v>
      </c>
      <c r="F1098" t="s">
        <v>77</v>
      </c>
      <c r="G1098" t="s">
        <v>55</v>
      </c>
      <c r="H1098" t="s">
        <v>56</v>
      </c>
      <c r="I1098" t="str">
        <f>LEFT(H1098,FIND(" (",H1098)-1)</f>
        <v>Mid</v>
      </c>
      <c r="J1098" t="str">
        <f>MID(H1098,FIND("(",H1098)+1,FIND(")",H1098)-FIND("(",H1098)-1)</f>
        <v>2-5 yrs</v>
      </c>
      <c r="L1098">
        <v>111556</v>
      </c>
      <c r="M1098" t="s">
        <v>2320</v>
      </c>
      <c r="N1098" t="s">
        <v>33</v>
      </c>
      <c r="O1098" t="s">
        <v>51</v>
      </c>
      <c r="P1098" s="1">
        <v>45385</v>
      </c>
      <c r="Q1098">
        <v>1013</v>
      </c>
      <c r="R1098">
        <v>1975</v>
      </c>
      <c r="S1098" t="s">
        <v>23</v>
      </c>
      <c r="T1098">
        <v>2</v>
      </c>
      <c r="U1098" t="s">
        <v>52</v>
      </c>
      <c r="V1098" t="s">
        <v>24</v>
      </c>
      <c r="W1098" t="s">
        <v>23</v>
      </c>
    </row>
    <row r="1099" spans="1:23" x14ac:dyDescent="0.3">
      <c r="A1099" t="s">
        <v>2321</v>
      </c>
      <c r="B1099" t="s">
        <v>329</v>
      </c>
      <c r="C1099" t="s">
        <v>239</v>
      </c>
      <c r="D1099" t="s">
        <v>174</v>
      </c>
      <c r="E1099" t="s">
        <v>5132</v>
      </c>
      <c r="F1099" t="s">
        <v>5133</v>
      </c>
      <c r="G1099" t="s">
        <v>41</v>
      </c>
      <c r="H1099" t="s">
        <v>56</v>
      </c>
      <c r="I1099" t="str">
        <f>LEFT(H1099,FIND(" (",H1099)-1)</f>
        <v>Mid</v>
      </c>
      <c r="J1099" t="str">
        <f>MID(H1099,FIND("(",H1099)+1,FIND(")",H1099)-FIND("(",H1099)-1)</f>
        <v>2-5 yrs</v>
      </c>
      <c r="L1099">
        <v>70435</v>
      </c>
      <c r="M1099" t="s">
        <v>2322</v>
      </c>
      <c r="N1099" t="s">
        <v>245</v>
      </c>
      <c r="O1099" t="s">
        <v>44</v>
      </c>
      <c r="P1099" s="1">
        <v>45452</v>
      </c>
      <c r="Q1099">
        <v>2276</v>
      </c>
      <c r="R1099">
        <v>3336</v>
      </c>
      <c r="S1099" t="s">
        <v>23</v>
      </c>
      <c r="T1099">
        <v>2</v>
      </c>
      <c r="U1099" t="s">
        <v>83</v>
      </c>
      <c r="V1099" t="s">
        <v>24</v>
      </c>
      <c r="W1099" t="s">
        <v>23</v>
      </c>
    </row>
    <row r="1100" spans="1:23" x14ac:dyDescent="0.3">
      <c r="A1100" t="s">
        <v>2323</v>
      </c>
      <c r="B1100" t="s">
        <v>13</v>
      </c>
      <c r="C1100" t="s">
        <v>146</v>
      </c>
      <c r="D1100" t="s">
        <v>147</v>
      </c>
      <c r="E1100" t="s">
        <v>5139</v>
      </c>
      <c r="F1100" t="s">
        <v>5133</v>
      </c>
      <c r="G1100" t="s">
        <v>41</v>
      </c>
      <c r="H1100" t="s">
        <v>66</v>
      </c>
      <c r="I1100" t="str">
        <f>LEFT(H1100,FIND(" (",H1100)-1)</f>
        <v>Senior</v>
      </c>
      <c r="J1100" t="str">
        <f>MID(H1100,FIND("(",H1100)+1,FIND(")",H1100)-FIND("(",H1100)-1)</f>
        <v>5-8 yrs</v>
      </c>
      <c r="L1100">
        <v>174740</v>
      </c>
      <c r="M1100" t="s">
        <v>2324</v>
      </c>
      <c r="N1100" t="s">
        <v>33</v>
      </c>
      <c r="O1100" t="s">
        <v>79</v>
      </c>
      <c r="P1100" s="1">
        <v>45388</v>
      </c>
      <c r="Q1100">
        <v>1928</v>
      </c>
      <c r="R1100">
        <v>2421</v>
      </c>
      <c r="S1100" t="s">
        <v>99</v>
      </c>
      <c r="T1100">
        <v>4</v>
      </c>
      <c r="U1100" t="s">
        <v>45</v>
      </c>
      <c r="V1100" t="s">
        <v>24</v>
      </c>
      <c r="W1100" t="s">
        <v>23</v>
      </c>
    </row>
    <row r="1101" spans="1:23" x14ac:dyDescent="0.3">
      <c r="A1101" t="s">
        <v>2325</v>
      </c>
      <c r="B1101" t="s">
        <v>61</v>
      </c>
      <c r="C1101" t="s">
        <v>182</v>
      </c>
      <c r="D1101" t="s">
        <v>15</v>
      </c>
      <c r="E1101" t="s">
        <v>5134</v>
      </c>
      <c r="F1101" t="s">
        <v>5133</v>
      </c>
      <c r="G1101" t="s">
        <v>41</v>
      </c>
      <c r="H1101" t="s">
        <v>66</v>
      </c>
      <c r="I1101" t="str">
        <f>LEFT(H1101,FIND(" (",H1101)-1)</f>
        <v>Senior</v>
      </c>
      <c r="J1101" t="str">
        <f>MID(H1101,FIND("(",H1101)+1,FIND(")",H1101)-FIND("(",H1101)-1)</f>
        <v>5-8 yrs</v>
      </c>
      <c r="L1101">
        <v>159355</v>
      </c>
      <c r="M1101" t="s">
        <v>2326</v>
      </c>
      <c r="N1101" t="s">
        <v>186</v>
      </c>
      <c r="O1101" t="s">
        <v>22</v>
      </c>
      <c r="P1101" s="1">
        <v>45512</v>
      </c>
      <c r="Q1101">
        <v>2480</v>
      </c>
      <c r="R1101">
        <v>2449</v>
      </c>
      <c r="S1101" t="s">
        <v>23</v>
      </c>
      <c r="T1101">
        <v>4</v>
      </c>
      <c r="U1101" t="s">
        <v>58</v>
      </c>
      <c r="V1101" t="s">
        <v>24</v>
      </c>
      <c r="W1101" t="s">
        <v>34</v>
      </c>
    </row>
    <row r="1102" spans="1:23" x14ac:dyDescent="0.3">
      <c r="A1102" t="s">
        <v>2327</v>
      </c>
      <c r="B1102" t="s">
        <v>91</v>
      </c>
      <c r="C1102" t="s">
        <v>54</v>
      </c>
      <c r="D1102" t="s">
        <v>28</v>
      </c>
      <c r="E1102" t="s">
        <v>102</v>
      </c>
      <c r="F1102" t="s">
        <v>103</v>
      </c>
      <c r="G1102" t="s">
        <v>18</v>
      </c>
      <c r="H1102" t="s">
        <v>66</v>
      </c>
      <c r="I1102" t="str">
        <f>LEFT(H1102,FIND(" (",H1102)-1)</f>
        <v>Senior</v>
      </c>
      <c r="J1102" t="str">
        <f>MID(H1102,FIND("(",H1102)+1,FIND(")",H1102)-FIND("(",H1102)-1)</f>
        <v>5-8 yrs</v>
      </c>
      <c r="L1102">
        <v>176946</v>
      </c>
      <c r="M1102" t="s">
        <v>2328</v>
      </c>
      <c r="N1102" t="s">
        <v>33</v>
      </c>
      <c r="O1102" t="s">
        <v>44</v>
      </c>
      <c r="P1102" s="1">
        <v>45335</v>
      </c>
      <c r="Q1102">
        <v>2407</v>
      </c>
      <c r="R1102">
        <v>3190</v>
      </c>
      <c r="S1102" t="s">
        <v>23</v>
      </c>
      <c r="T1102">
        <v>4</v>
      </c>
      <c r="U1102" t="s">
        <v>83</v>
      </c>
      <c r="V1102" t="s">
        <v>59</v>
      </c>
      <c r="W1102" t="s">
        <v>23</v>
      </c>
    </row>
    <row r="1103" spans="1:23" x14ac:dyDescent="0.3">
      <c r="A1103" t="s">
        <v>2329</v>
      </c>
      <c r="B1103" t="s">
        <v>85</v>
      </c>
      <c r="C1103" t="s">
        <v>226</v>
      </c>
      <c r="D1103" t="s">
        <v>75</v>
      </c>
      <c r="E1103" t="s">
        <v>200</v>
      </c>
      <c r="F1103" t="s">
        <v>201</v>
      </c>
      <c r="G1103" t="s">
        <v>18</v>
      </c>
      <c r="H1103" t="s">
        <v>31</v>
      </c>
      <c r="I1103" t="str">
        <f>LEFT(H1103,FIND(" (",H1103)-1)</f>
        <v>Staff/Principal</v>
      </c>
      <c r="J1103" t="str">
        <f>MID(H1103,FIND("(",H1103)+1,FIND(")",H1103)-FIND("(",H1103)-1)</f>
        <v>8+ yrs</v>
      </c>
      <c r="L1103">
        <v>95734</v>
      </c>
      <c r="M1103" t="s">
        <v>2330</v>
      </c>
      <c r="N1103" t="s">
        <v>33</v>
      </c>
      <c r="O1103" t="s">
        <v>22</v>
      </c>
      <c r="P1103" s="1">
        <v>45379</v>
      </c>
      <c r="Q1103">
        <v>2423</v>
      </c>
      <c r="R1103">
        <v>3048</v>
      </c>
      <c r="S1103" t="s">
        <v>34</v>
      </c>
      <c r="T1103">
        <v>6</v>
      </c>
      <c r="U1103" t="s">
        <v>83</v>
      </c>
      <c r="V1103" t="s">
        <v>24</v>
      </c>
      <c r="W1103" t="s">
        <v>34</v>
      </c>
    </row>
    <row r="1104" spans="1:23" x14ac:dyDescent="0.3">
      <c r="A1104" t="s">
        <v>2331</v>
      </c>
      <c r="B1104" t="s">
        <v>172</v>
      </c>
      <c r="C1104" t="s">
        <v>97</v>
      </c>
      <c r="D1104" t="s">
        <v>111</v>
      </c>
      <c r="E1104" t="s">
        <v>133</v>
      </c>
      <c r="F1104" t="s">
        <v>134</v>
      </c>
      <c r="G1104" t="s">
        <v>41</v>
      </c>
      <c r="H1104" t="s">
        <v>31</v>
      </c>
      <c r="I1104" t="str">
        <f>LEFT(H1104,FIND(" (",H1104)-1)</f>
        <v>Staff/Principal</v>
      </c>
      <c r="J1104" t="str">
        <f>MID(H1104,FIND("(",H1104)+1,FIND(")",H1104)-FIND("(",H1104)-1)</f>
        <v>8+ yrs</v>
      </c>
      <c r="L1104">
        <v>275181</v>
      </c>
      <c r="M1104" t="s">
        <v>2332</v>
      </c>
      <c r="N1104" t="s">
        <v>245</v>
      </c>
      <c r="O1104" t="s">
        <v>79</v>
      </c>
      <c r="P1104" s="1">
        <v>45631</v>
      </c>
      <c r="Q1104">
        <v>2150</v>
      </c>
      <c r="R1104">
        <v>3691</v>
      </c>
      <c r="S1104" t="s">
        <v>34</v>
      </c>
      <c r="T1104">
        <v>6</v>
      </c>
      <c r="U1104" t="s">
        <v>5123</v>
      </c>
      <c r="V1104" t="s">
        <v>46</v>
      </c>
      <c r="W1104" t="s">
        <v>23</v>
      </c>
    </row>
    <row r="1105" spans="1:23" x14ac:dyDescent="0.3">
      <c r="A1105" t="s">
        <v>2333</v>
      </c>
      <c r="B1105" t="s">
        <v>131</v>
      </c>
      <c r="C1105" t="s">
        <v>62</v>
      </c>
      <c r="D1105" t="s">
        <v>147</v>
      </c>
      <c r="E1105" t="s">
        <v>16</v>
      </c>
      <c r="F1105" t="s">
        <v>17</v>
      </c>
      <c r="G1105" t="s">
        <v>55</v>
      </c>
      <c r="H1105" t="s">
        <v>66</v>
      </c>
      <c r="I1105" t="str">
        <f>LEFT(H1105,FIND(" (",H1105)-1)</f>
        <v>Senior</v>
      </c>
      <c r="J1105" t="str">
        <f>MID(H1105,FIND("(",H1105)+1,FIND(")",H1105)-FIND("(",H1105)-1)</f>
        <v>5-8 yrs</v>
      </c>
      <c r="L1105">
        <v>146231</v>
      </c>
      <c r="M1105" t="s">
        <v>2334</v>
      </c>
      <c r="N1105" t="s">
        <v>68</v>
      </c>
      <c r="O1105" t="s">
        <v>79</v>
      </c>
      <c r="P1105" s="1">
        <v>45707</v>
      </c>
      <c r="Q1105">
        <v>729</v>
      </c>
      <c r="R1105">
        <v>349</v>
      </c>
      <c r="S1105" t="s">
        <v>34</v>
      </c>
      <c r="T1105">
        <v>4</v>
      </c>
      <c r="U1105" t="s">
        <v>52</v>
      </c>
      <c r="V1105" t="s">
        <v>24</v>
      </c>
      <c r="W1105" t="s">
        <v>34</v>
      </c>
    </row>
    <row r="1106" spans="1:23" x14ac:dyDescent="0.3">
      <c r="A1106" t="s">
        <v>2335</v>
      </c>
      <c r="B1106" t="s">
        <v>131</v>
      </c>
      <c r="C1106" t="s">
        <v>192</v>
      </c>
      <c r="D1106" t="s">
        <v>75</v>
      </c>
      <c r="E1106" t="s">
        <v>5139</v>
      </c>
      <c r="F1106" t="s">
        <v>5133</v>
      </c>
      <c r="G1106" t="s">
        <v>55</v>
      </c>
      <c r="H1106" t="s">
        <v>66</v>
      </c>
      <c r="I1106" t="str">
        <f>LEFT(H1106,FIND(" (",H1106)-1)</f>
        <v>Senior</v>
      </c>
      <c r="J1106" t="str">
        <f>MID(H1106,FIND("(",H1106)+1,FIND(")",H1106)-FIND("(",H1106)-1)</f>
        <v>5-8 yrs</v>
      </c>
      <c r="L1106">
        <v>179920</v>
      </c>
      <c r="M1106" t="s">
        <v>2336</v>
      </c>
      <c r="N1106" t="s">
        <v>33</v>
      </c>
      <c r="O1106" t="s">
        <v>22</v>
      </c>
      <c r="P1106" s="1">
        <v>45350</v>
      </c>
      <c r="Q1106">
        <v>1678</v>
      </c>
      <c r="R1106">
        <v>2371</v>
      </c>
      <c r="S1106" t="s">
        <v>34</v>
      </c>
      <c r="T1106">
        <v>4</v>
      </c>
      <c r="U1106" t="s">
        <v>5123</v>
      </c>
      <c r="V1106" t="s">
        <v>59</v>
      </c>
      <c r="W1106" t="s">
        <v>23</v>
      </c>
    </row>
    <row r="1107" spans="1:23" x14ac:dyDescent="0.3">
      <c r="A1107" t="s">
        <v>2337</v>
      </c>
      <c r="B1107" t="s">
        <v>143</v>
      </c>
      <c r="C1107" t="s">
        <v>239</v>
      </c>
      <c r="D1107" t="s">
        <v>147</v>
      </c>
      <c r="E1107" t="s">
        <v>5137</v>
      </c>
      <c r="F1107" t="s">
        <v>5138</v>
      </c>
      <c r="G1107" t="s">
        <v>18</v>
      </c>
      <c r="H1107" t="s">
        <v>56</v>
      </c>
      <c r="I1107" t="str">
        <f>LEFT(H1107,FIND(" (",H1107)-1)</f>
        <v>Mid</v>
      </c>
      <c r="J1107" t="str">
        <f>MID(H1107,FIND("(",H1107)+1,FIND(")",H1107)-FIND("(",H1107)-1)</f>
        <v>2-5 yrs</v>
      </c>
      <c r="L1107">
        <v>89409</v>
      </c>
      <c r="M1107" t="s">
        <v>2338</v>
      </c>
      <c r="N1107" t="s">
        <v>141</v>
      </c>
      <c r="O1107" t="s">
        <v>51</v>
      </c>
      <c r="P1107" s="1">
        <v>45587</v>
      </c>
      <c r="Q1107">
        <v>1205</v>
      </c>
      <c r="R1107">
        <v>3381</v>
      </c>
      <c r="S1107" t="s">
        <v>23</v>
      </c>
      <c r="T1107">
        <v>2</v>
      </c>
      <c r="U1107" t="s">
        <v>5123</v>
      </c>
      <c r="V1107" t="s">
        <v>24</v>
      </c>
      <c r="W1107" t="s">
        <v>23</v>
      </c>
    </row>
    <row r="1108" spans="1:23" x14ac:dyDescent="0.3">
      <c r="A1108" t="s">
        <v>2339</v>
      </c>
      <c r="B1108" t="s">
        <v>131</v>
      </c>
      <c r="C1108" t="s">
        <v>101</v>
      </c>
      <c r="D1108" t="s">
        <v>49</v>
      </c>
      <c r="E1108" t="s">
        <v>39</v>
      </c>
      <c r="F1108" t="s">
        <v>40</v>
      </c>
      <c r="G1108" t="s">
        <v>55</v>
      </c>
      <c r="H1108" t="s">
        <v>19</v>
      </c>
      <c r="I1108" t="str">
        <f>LEFT(H1108,FIND(" (",H1108)-1)</f>
        <v>Entry</v>
      </c>
      <c r="J1108" t="str">
        <f>MID(H1108,FIND("(",H1108)+1,FIND(")",H1108)-FIND("(",H1108)-1)</f>
        <v>0-2 yrs</v>
      </c>
      <c r="L1108">
        <v>77720</v>
      </c>
      <c r="M1108" t="s">
        <v>2340</v>
      </c>
      <c r="N1108" t="s">
        <v>33</v>
      </c>
      <c r="O1108" t="s">
        <v>51</v>
      </c>
      <c r="P1108" s="1">
        <v>45298</v>
      </c>
      <c r="Q1108">
        <v>626</v>
      </c>
      <c r="R1108">
        <v>52</v>
      </c>
      <c r="S1108" t="s">
        <v>34</v>
      </c>
      <c r="T1108">
        <v>0</v>
      </c>
      <c r="U1108" t="s">
        <v>83</v>
      </c>
      <c r="V1108" t="s">
        <v>24</v>
      </c>
      <c r="W1108" t="s">
        <v>23</v>
      </c>
    </row>
    <row r="1109" spans="1:23" x14ac:dyDescent="0.3">
      <c r="A1109" t="s">
        <v>2341</v>
      </c>
      <c r="B1109" t="s">
        <v>96</v>
      </c>
      <c r="C1109" t="s">
        <v>27</v>
      </c>
      <c r="D1109" t="s">
        <v>75</v>
      </c>
      <c r="E1109" t="s">
        <v>64</v>
      </c>
      <c r="F1109" t="s">
        <v>65</v>
      </c>
      <c r="G1109" t="s">
        <v>41</v>
      </c>
      <c r="H1109" t="s">
        <v>66</v>
      </c>
      <c r="I1109" t="str">
        <f>LEFT(H1109,FIND(" (",H1109)-1)</f>
        <v>Senior</v>
      </c>
      <c r="J1109" t="str">
        <f>MID(H1109,FIND("(",H1109)+1,FIND(")",H1109)-FIND("(",H1109)-1)</f>
        <v>5-8 yrs</v>
      </c>
      <c r="L1109">
        <v>121557</v>
      </c>
      <c r="M1109" t="s">
        <v>2342</v>
      </c>
      <c r="N1109" t="s">
        <v>94</v>
      </c>
      <c r="O1109" t="s">
        <v>44</v>
      </c>
      <c r="P1109" s="1">
        <v>45453</v>
      </c>
      <c r="Q1109">
        <v>2357</v>
      </c>
      <c r="R1109">
        <v>2947</v>
      </c>
      <c r="S1109" t="s">
        <v>34</v>
      </c>
      <c r="T1109">
        <v>4</v>
      </c>
      <c r="U1109" t="s">
        <v>45</v>
      </c>
      <c r="V1109" t="s">
        <v>24</v>
      </c>
      <c r="W1109" t="s">
        <v>23</v>
      </c>
    </row>
    <row r="1110" spans="1:23" x14ac:dyDescent="0.3">
      <c r="A1110" t="s">
        <v>2343</v>
      </c>
      <c r="B1110" t="s">
        <v>81</v>
      </c>
      <c r="C1110" t="s">
        <v>209</v>
      </c>
      <c r="D1110" t="s">
        <v>63</v>
      </c>
      <c r="E1110" t="s">
        <v>39</v>
      </c>
      <c r="F1110" t="s">
        <v>40</v>
      </c>
      <c r="G1110" t="s">
        <v>18</v>
      </c>
      <c r="H1110" t="s">
        <v>56</v>
      </c>
      <c r="I1110" t="str">
        <f>LEFT(H1110,FIND(" (",H1110)-1)</f>
        <v>Mid</v>
      </c>
      <c r="J1110" t="str">
        <f>MID(H1110,FIND("(",H1110)+1,FIND(")",H1110)-FIND("(",H1110)-1)</f>
        <v>2-5 yrs</v>
      </c>
      <c r="L1110">
        <v>97649</v>
      </c>
      <c r="M1110" t="s">
        <v>2344</v>
      </c>
      <c r="N1110" t="s">
        <v>141</v>
      </c>
      <c r="O1110" t="s">
        <v>22</v>
      </c>
      <c r="P1110" s="1">
        <v>45327</v>
      </c>
      <c r="Q1110">
        <v>1728</v>
      </c>
      <c r="R1110">
        <v>2097</v>
      </c>
      <c r="S1110" t="s">
        <v>23</v>
      </c>
      <c r="T1110">
        <v>2</v>
      </c>
      <c r="U1110" t="s">
        <v>58</v>
      </c>
      <c r="V1110" t="s">
        <v>24</v>
      </c>
      <c r="W1110" t="s">
        <v>34</v>
      </c>
    </row>
    <row r="1111" spans="1:23" x14ac:dyDescent="0.3">
      <c r="A1111" t="s">
        <v>2345</v>
      </c>
      <c r="B1111" t="s">
        <v>91</v>
      </c>
      <c r="C1111" t="s">
        <v>146</v>
      </c>
      <c r="D1111" t="s">
        <v>38</v>
      </c>
      <c r="E1111" t="s">
        <v>5140</v>
      </c>
      <c r="F1111" t="s">
        <v>5133</v>
      </c>
      <c r="G1111" t="s">
        <v>41</v>
      </c>
      <c r="H1111" t="s">
        <v>19</v>
      </c>
      <c r="I1111" t="str">
        <f>LEFT(H1111,FIND(" (",H1111)-1)</f>
        <v>Entry</v>
      </c>
      <c r="J1111" t="str">
        <f>MID(H1111,FIND("(",H1111)+1,FIND(")",H1111)-FIND("(",H1111)-1)</f>
        <v>0-2 yrs</v>
      </c>
      <c r="L1111">
        <v>94116</v>
      </c>
      <c r="M1111" t="s">
        <v>2346</v>
      </c>
      <c r="N1111" t="s">
        <v>120</v>
      </c>
      <c r="O1111" t="s">
        <v>22</v>
      </c>
      <c r="P1111" s="1">
        <v>45570</v>
      </c>
      <c r="Q1111">
        <v>1669</v>
      </c>
      <c r="R1111">
        <v>3535</v>
      </c>
      <c r="S1111" t="s">
        <v>23</v>
      </c>
      <c r="T1111">
        <v>0</v>
      </c>
      <c r="U1111" t="s">
        <v>58</v>
      </c>
      <c r="V1111" t="s">
        <v>24</v>
      </c>
      <c r="W1111" t="s">
        <v>23</v>
      </c>
    </row>
    <row r="1112" spans="1:23" x14ac:dyDescent="0.3">
      <c r="A1112" t="s">
        <v>2347</v>
      </c>
      <c r="B1112" t="s">
        <v>222</v>
      </c>
      <c r="C1112" t="s">
        <v>132</v>
      </c>
      <c r="D1112" t="s">
        <v>125</v>
      </c>
      <c r="E1112" t="s">
        <v>5141</v>
      </c>
      <c r="F1112" t="s">
        <v>5133</v>
      </c>
      <c r="G1112" t="s">
        <v>41</v>
      </c>
      <c r="H1112" t="s">
        <v>66</v>
      </c>
      <c r="I1112" t="str">
        <f>LEFT(H1112,FIND(" (",H1112)-1)</f>
        <v>Senior</v>
      </c>
      <c r="J1112" t="str">
        <f>MID(H1112,FIND("(",H1112)+1,FIND(")",H1112)-FIND("(",H1112)-1)</f>
        <v>5-8 yrs</v>
      </c>
      <c r="L1112">
        <v>144851</v>
      </c>
      <c r="M1112" t="s">
        <v>2348</v>
      </c>
      <c r="N1112" t="s">
        <v>21</v>
      </c>
      <c r="O1112" t="s">
        <v>44</v>
      </c>
      <c r="P1112" s="1">
        <v>45351</v>
      </c>
      <c r="Q1112">
        <v>1282</v>
      </c>
      <c r="R1112">
        <v>1941</v>
      </c>
      <c r="S1112" t="s">
        <v>23</v>
      </c>
      <c r="T1112">
        <v>4</v>
      </c>
      <c r="U1112" t="s">
        <v>58</v>
      </c>
      <c r="V1112" t="s">
        <v>24</v>
      </c>
      <c r="W1112" t="s">
        <v>34</v>
      </c>
    </row>
    <row r="1113" spans="1:23" x14ac:dyDescent="0.3">
      <c r="A1113" t="s">
        <v>2349</v>
      </c>
      <c r="B1113" t="s">
        <v>85</v>
      </c>
      <c r="C1113" t="s">
        <v>173</v>
      </c>
      <c r="D1113" t="s">
        <v>49</v>
      </c>
      <c r="E1113" t="s">
        <v>5134</v>
      </c>
      <c r="F1113" t="s">
        <v>5133</v>
      </c>
      <c r="G1113" t="s">
        <v>18</v>
      </c>
      <c r="H1113" t="s">
        <v>31</v>
      </c>
      <c r="I1113" t="str">
        <f>LEFT(H1113,FIND(" (",H1113)-1)</f>
        <v>Staff/Principal</v>
      </c>
      <c r="J1113" t="str">
        <f>MID(H1113,FIND("(",H1113)+1,FIND(")",H1113)-FIND("(",H1113)-1)</f>
        <v>8+ yrs</v>
      </c>
      <c r="L1113">
        <v>207827</v>
      </c>
      <c r="M1113" t="s">
        <v>2350</v>
      </c>
      <c r="N1113" t="s">
        <v>120</v>
      </c>
      <c r="O1113" t="s">
        <v>44</v>
      </c>
      <c r="P1113" s="1">
        <v>45467</v>
      </c>
      <c r="Q1113">
        <v>1988</v>
      </c>
      <c r="R1113">
        <v>323</v>
      </c>
      <c r="S1113" t="s">
        <v>34</v>
      </c>
      <c r="T1113">
        <v>6</v>
      </c>
      <c r="U1113" t="s">
        <v>5123</v>
      </c>
      <c r="V1113" t="s">
        <v>24</v>
      </c>
      <c r="W1113" t="s">
        <v>23</v>
      </c>
    </row>
    <row r="1114" spans="1:23" x14ac:dyDescent="0.3">
      <c r="A1114" t="s">
        <v>2351</v>
      </c>
      <c r="B1114" t="s">
        <v>236</v>
      </c>
      <c r="C1114" t="s">
        <v>132</v>
      </c>
      <c r="D1114" t="s">
        <v>38</v>
      </c>
      <c r="E1114" t="s">
        <v>5132</v>
      </c>
      <c r="F1114" t="s">
        <v>5133</v>
      </c>
      <c r="G1114" t="s">
        <v>41</v>
      </c>
      <c r="H1114" t="s">
        <v>56</v>
      </c>
      <c r="I1114" t="str">
        <f>LEFT(H1114,FIND(" (",H1114)-1)</f>
        <v>Mid</v>
      </c>
      <c r="J1114" t="str">
        <f>MID(H1114,FIND("(",H1114)+1,FIND(")",H1114)-FIND("(",H1114)-1)</f>
        <v>2-5 yrs</v>
      </c>
      <c r="L1114">
        <v>127227</v>
      </c>
      <c r="M1114" t="s">
        <v>2352</v>
      </c>
      <c r="N1114" t="s">
        <v>33</v>
      </c>
      <c r="O1114" t="s">
        <v>51</v>
      </c>
      <c r="P1114" s="1">
        <v>45710</v>
      </c>
      <c r="Q1114">
        <v>305</v>
      </c>
      <c r="R1114">
        <v>564</v>
      </c>
      <c r="S1114" t="s">
        <v>23</v>
      </c>
      <c r="T1114">
        <v>2</v>
      </c>
      <c r="U1114" t="s">
        <v>52</v>
      </c>
      <c r="V1114" t="s">
        <v>24</v>
      </c>
      <c r="W1114" t="s">
        <v>34</v>
      </c>
    </row>
    <row r="1115" spans="1:23" x14ac:dyDescent="0.3">
      <c r="A1115" t="s">
        <v>2353</v>
      </c>
      <c r="B1115" t="s">
        <v>329</v>
      </c>
      <c r="C1115" t="s">
        <v>71</v>
      </c>
      <c r="D1115" t="s">
        <v>111</v>
      </c>
      <c r="E1115" t="s">
        <v>5139</v>
      </c>
      <c r="F1115" t="s">
        <v>5133</v>
      </c>
      <c r="G1115" t="s">
        <v>18</v>
      </c>
      <c r="H1115" t="s">
        <v>56</v>
      </c>
      <c r="I1115" t="str">
        <f>LEFT(H1115,FIND(" (",H1115)-1)</f>
        <v>Mid</v>
      </c>
      <c r="J1115" t="str">
        <f>MID(H1115,FIND("(",H1115)+1,FIND(")",H1115)-FIND("(",H1115)-1)</f>
        <v>2-5 yrs</v>
      </c>
      <c r="L1115">
        <v>119814</v>
      </c>
      <c r="M1115" t="s">
        <v>2354</v>
      </c>
      <c r="N1115" t="s">
        <v>94</v>
      </c>
      <c r="O1115" t="s">
        <v>22</v>
      </c>
      <c r="P1115" s="1">
        <v>45730</v>
      </c>
      <c r="Q1115">
        <v>1598</v>
      </c>
      <c r="R1115">
        <v>3263</v>
      </c>
      <c r="S1115" t="s">
        <v>34</v>
      </c>
      <c r="T1115">
        <v>2</v>
      </c>
      <c r="U1115" t="s">
        <v>5123</v>
      </c>
      <c r="V1115" t="s">
        <v>24</v>
      </c>
      <c r="W1115" t="s">
        <v>23</v>
      </c>
    </row>
    <row r="1116" spans="1:23" x14ac:dyDescent="0.3">
      <c r="A1116" t="s">
        <v>2355</v>
      </c>
      <c r="B1116" t="s">
        <v>229</v>
      </c>
      <c r="C1116" t="s">
        <v>195</v>
      </c>
      <c r="D1116" t="s">
        <v>75</v>
      </c>
      <c r="E1116" t="s">
        <v>159</v>
      </c>
      <c r="F1116" t="s">
        <v>160</v>
      </c>
      <c r="G1116" t="s">
        <v>18</v>
      </c>
      <c r="H1116" t="s">
        <v>31</v>
      </c>
      <c r="I1116" t="str">
        <f>LEFT(H1116,FIND(" (",H1116)-1)</f>
        <v>Staff/Principal</v>
      </c>
      <c r="J1116" t="str">
        <f>MID(H1116,FIND("(",H1116)+1,FIND(")",H1116)-FIND("(",H1116)-1)</f>
        <v>8+ yrs</v>
      </c>
      <c r="L1116">
        <v>205415</v>
      </c>
      <c r="M1116" t="s">
        <v>2356</v>
      </c>
      <c r="N1116" t="s">
        <v>120</v>
      </c>
      <c r="O1116" t="s">
        <v>51</v>
      </c>
      <c r="P1116" s="1">
        <v>45647</v>
      </c>
      <c r="Q1116">
        <v>1404</v>
      </c>
      <c r="R1116">
        <v>3578</v>
      </c>
      <c r="S1116" t="s">
        <v>23</v>
      </c>
      <c r="T1116">
        <v>6</v>
      </c>
      <c r="U1116" t="s">
        <v>45</v>
      </c>
      <c r="V1116" t="s">
        <v>24</v>
      </c>
      <c r="W1116" t="s">
        <v>23</v>
      </c>
    </row>
    <row r="1117" spans="1:23" x14ac:dyDescent="0.3">
      <c r="A1117" t="s">
        <v>2357</v>
      </c>
      <c r="B1117" t="s">
        <v>236</v>
      </c>
      <c r="C1117" t="s">
        <v>101</v>
      </c>
      <c r="D1117" t="s">
        <v>49</v>
      </c>
      <c r="E1117" t="s">
        <v>64</v>
      </c>
      <c r="F1117" t="s">
        <v>65</v>
      </c>
      <c r="G1117" t="s">
        <v>55</v>
      </c>
      <c r="H1117" t="s">
        <v>31</v>
      </c>
      <c r="I1117" t="str">
        <f>LEFT(H1117,FIND(" (",H1117)-1)</f>
        <v>Staff/Principal</v>
      </c>
      <c r="J1117" t="str">
        <f>MID(H1117,FIND("(",H1117)+1,FIND(")",H1117)-FIND("(",H1117)-1)</f>
        <v>8+ yrs</v>
      </c>
      <c r="L1117">
        <v>213138</v>
      </c>
      <c r="M1117" t="s">
        <v>2358</v>
      </c>
      <c r="N1117" t="s">
        <v>33</v>
      </c>
      <c r="O1117" t="s">
        <v>44</v>
      </c>
      <c r="P1117" s="1">
        <v>45355</v>
      </c>
      <c r="Q1117">
        <v>1409</v>
      </c>
      <c r="R1117">
        <v>3187</v>
      </c>
      <c r="S1117" t="s">
        <v>23</v>
      </c>
      <c r="T1117">
        <v>6</v>
      </c>
      <c r="U1117" t="s">
        <v>5123</v>
      </c>
      <c r="V1117" t="s">
        <v>24</v>
      </c>
      <c r="W1117" t="s">
        <v>23</v>
      </c>
    </row>
    <row r="1118" spans="1:23" x14ac:dyDescent="0.3">
      <c r="A1118" t="s">
        <v>2359</v>
      </c>
      <c r="B1118" t="s">
        <v>143</v>
      </c>
      <c r="C1118" t="s">
        <v>204</v>
      </c>
      <c r="D1118" t="s">
        <v>147</v>
      </c>
      <c r="E1118" t="s">
        <v>76</v>
      </c>
      <c r="F1118" t="s">
        <v>77</v>
      </c>
      <c r="G1118" t="s">
        <v>41</v>
      </c>
      <c r="H1118" t="s">
        <v>19</v>
      </c>
      <c r="I1118" t="str">
        <f>LEFT(H1118,FIND(" (",H1118)-1)</f>
        <v>Entry</v>
      </c>
      <c r="J1118" t="str">
        <f>MID(H1118,FIND("(",H1118)+1,FIND(")",H1118)-FIND("(",H1118)-1)</f>
        <v>0-2 yrs</v>
      </c>
      <c r="L1118">
        <v>100283</v>
      </c>
      <c r="M1118" t="s">
        <v>2360</v>
      </c>
      <c r="N1118" t="s">
        <v>33</v>
      </c>
      <c r="O1118" t="s">
        <v>22</v>
      </c>
      <c r="P1118" s="1">
        <v>45572</v>
      </c>
      <c r="Q1118">
        <v>2245</v>
      </c>
      <c r="R1118">
        <v>1851</v>
      </c>
      <c r="S1118" t="s">
        <v>34</v>
      </c>
      <c r="T1118">
        <v>0</v>
      </c>
      <c r="U1118" t="s">
        <v>45</v>
      </c>
      <c r="V1118" t="s">
        <v>24</v>
      </c>
      <c r="W1118" t="s">
        <v>23</v>
      </c>
    </row>
    <row r="1119" spans="1:23" x14ac:dyDescent="0.3">
      <c r="A1119" t="s">
        <v>2361</v>
      </c>
      <c r="B1119" t="s">
        <v>85</v>
      </c>
      <c r="C1119" t="s">
        <v>167</v>
      </c>
      <c r="D1119" t="s">
        <v>75</v>
      </c>
      <c r="E1119" t="s">
        <v>216</v>
      </c>
      <c r="F1119" t="s">
        <v>217</v>
      </c>
      <c r="G1119" t="s">
        <v>55</v>
      </c>
      <c r="H1119" t="s">
        <v>19</v>
      </c>
      <c r="I1119" t="str">
        <f>LEFT(H1119,FIND(" (",H1119)-1)</f>
        <v>Entry</v>
      </c>
      <c r="J1119" t="str">
        <f>MID(H1119,FIND("(",H1119)+1,FIND(")",H1119)-FIND("(",H1119)-1)</f>
        <v>0-2 yrs</v>
      </c>
      <c r="L1119">
        <v>69274</v>
      </c>
      <c r="M1119" t="s">
        <v>2362</v>
      </c>
      <c r="N1119" t="s">
        <v>186</v>
      </c>
      <c r="O1119" t="s">
        <v>22</v>
      </c>
      <c r="P1119" s="1">
        <v>45470</v>
      </c>
      <c r="Q1119">
        <v>845</v>
      </c>
      <c r="R1119">
        <v>1438</v>
      </c>
      <c r="S1119" t="s">
        <v>23</v>
      </c>
      <c r="T1119">
        <v>0</v>
      </c>
      <c r="U1119" t="s">
        <v>52</v>
      </c>
      <c r="V1119" t="s">
        <v>46</v>
      </c>
      <c r="W1119" t="s">
        <v>23</v>
      </c>
    </row>
    <row r="1120" spans="1:23" x14ac:dyDescent="0.3">
      <c r="A1120" t="s">
        <v>2363</v>
      </c>
      <c r="B1120" t="s">
        <v>70</v>
      </c>
      <c r="C1120" t="s">
        <v>124</v>
      </c>
      <c r="D1120" t="s">
        <v>28</v>
      </c>
      <c r="E1120" t="s">
        <v>29</v>
      </c>
      <c r="F1120" t="s">
        <v>30</v>
      </c>
      <c r="G1120" t="s">
        <v>55</v>
      </c>
      <c r="H1120" t="s">
        <v>56</v>
      </c>
      <c r="I1120" t="str">
        <f>LEFT(H1120,FIND(" (",H1120)-1)</f>
        <v>Mid</v>
      </c>
      <c r="J1120" t="str">
        <f>MID(H1120,FIND("(",H1120)+1,FIND(")",H1120)-FIND("(",H1120)-1)</f>
        <v>2-5 yrs</v>
      </c>
      <c r="L1120">
        <v>113981</v>
      </c>
      <c r="M1120" t="s">
        <v>2364</v>
      </c>
      <c r="N1120" t="s">
        <v>68</v>
      </c>
      <c r="O1120" t="s">
        <v>44</v>
      </c>
      <c r="P1120" s="1">
        <v>45604</v>
      </c>
      <c r="Q1120">
        <v>571</v>
      </c>
      <c r="R1120">
        <v>90</v>
      </c>
      <c r="S1120" t="s">
        <v>34</v>
      </c>
      <c r="T1120">
        <v>2</v>
      </c>
      <c r="U1120" t="s">
        <v>58</v>
      </c>
      <c r="V1120" t="s">
        <v>24</v>
      </c>
      <c r="W1120" t="s">
        <v>23</v>
      </c>
    </row>
    <row r="1121" spans="1:23" x14ac:dyDescent="0.3">
      <c r="A1121" t="s">
        <v>2365</v>
      </c>
      <c r="B1121" t="s">
        <v>36</v>
      </c>
      <c r="C1121" t="s">
        <v>192</v>
      </c>
      <c r="D1121" t="s">
        <v>111</v>
      </c>
      <c r="E1121" t="s">
        <v>200</v>
      </c>
      <c r="F1121" t="s">
        <v>201</v>
      </c>
      <c r="G1121" t="s">
        <v>18</v>
      </c>
      <c r="H1121" t="s">
        <v>19</v>
      </c>
      <c r="I1121" t="str">
        <f>LEFT(H1121,FIND(" (",H1121)-1)</f>
        <v>Entry</v>
      </c>
      <c r="J1121" t="str">
        <f>MID(H1121,FIND("(",H1121)+1,FIND(")",H1121)-FIND("(",H1121)-1)</f>
        <v>0-2 yrs</v>
      </c>
      <c r="L1121">
        <v>83238</v>
      </c>
      <c r="M1121" t="s">
        <v>2366</v>
      </c>
      <c r="N1121" t="s">
        <v>21</v>
      </c>
      <c r="O1121" t="s">
        <v>51</v>
      </c>
      <c r="P1121" s="1">
        <v>45430</v>
      </c>
      <c r="Q1121">
        <v>891</v>
      </c>
      <c r="R1121">
        <v>600</v>
      </c>
      <c r="S1121" t="s">
        <v>23</v>
      </c>
      <c r="T1121">
        <v>0</v>
      </c>
      <c r="U1121" t="s">
        <v>83</v>
      </c>
      <c r="V1121" t="s">
        <v>46</v>
      </c>
      <c r="W1121" t="s">
        <v>34</v>
      </c>
    </row>
    <row r="1122" spans="1:23" x14ac:dyDescent="0.3">
      <c r="A1122" t="s">
        <v>2367</v>
      </c>
      <c r="B1122" t="s">
        <v>26</v>
      </c>
      <c r="C1122" t="s">
        <v>158</v>
      </c>
      <c r="D1122" t="s">
        <v>125</v>
      </c>
      <c r="E1122" t="s">
        <v>64</v>
      </c>
      <c r="F1122" t="s">
        <v>65</v>
      </c>
      <c r="G1122" t="s">
        <v>41</v>
      </c>
      <c r="H1122" t="s">
        <v>31</v>
      </c>
      <c r="I1122" t="str">
        <f>LEFT(H1122,FIND(" (",H1122)-1)</f>
        <v>Staff/Principal</v>
      </c>
      <c r="J1122" t="str">
        <f>MID(H1122,FIND("(",H1122)+1,FIND(")",H1122)-FIND("(",H1122)-1)</f>
        <v>8+ yrs</v>
      </c>
      <c r="L1122">
        <v>239798</v>
      </c>
      <c r="M1122" t="s">
        <v>2368</v>
      </c>
      <c r="N1122" t="s">
        <v>33</v>
      </c>
      <c r="O1122" t="s">
        <v>22</v>
      </c>
      <c r="P1122" s="1">
        <v>45422</v>
      </c>
      <c r="Q1122">
        <v>357</v>
      </c>
      <c r="R1122">
        <v>1095</v>
      </c>
      <c r="S1122" t="s">
        <v>23</v>
      </c>
      <c r="T1122">
        <v>6</v>
      </c>
      <c r="U1122" t="s">
        <v>52</v>
      </c>
      <c r="V1122" t="s">
        <v>24</v>
      </c>
      <c r="W1122" t="s">
        <v>34</v>
      </c>
    </row>
    <row r="1123" spans="1:23" x14ac:dyDescent="0.3">
      <c r="A1123" t="s">
        <v>2369</v>
      </c>
      <c r="B1123" t="s">
        <v>26</v>
      </c>
      <c r="C1123" t="s">
        <v>54</v>
      </c>
      <c r="D1123" t="s">
        <v>63</v>
      </c>
      <c r="E1123" t="s">
        <v>5135</v>
      </c>
      <c r="F1123" t="s">
        <v>5133</v>
      </c>
      <c r="G1123" t="s">
        <v>18</v>
      </c>
      <c r="H1123" t="s">
        <v>19</v>
      </c>
      <c r="I1123" t="str">
        <f>LEFT(H1123,FIND(" (",H1123)-1)</f>
        <v>Entry</v>
      </c>
      <c r="J1123" t="str">
        <f>MID(H1123,FIND("(",H1123)+1,FIND(")",H1123)-FIND("(",H1123)-1)</f>
        <v>0-2 yrs</v>
      </c>
      <c r="L1123">
        <v>84956</v>
      </c>
      <c r="M1123" t="s">
        <v>2370</v>
      </c>
      <c r="N1123" t="s">
        <v>94</v>
      </c>
      <c r="O1123" t="s">
        <v>51</v>
      </c>
      <c r="P1123" s="1">
        <v>45487</v>
      </c>
      <c r="Q1123">
        <v>995</v>
      </c>
      <c r="R1123">
        <v>239</v>
      </c>
      <c r="S1123" t="s">
        <v>99</v>
      </c>
      <c r="T1123">
        <v>0</v>
      </c>
      <c r="U1123" t="s">
        <v>52</v>
      </c>
      <c r="V1123" t="s">
        <v>59</v>
      </c>
      <c r="W1123" t="s">
        <v>34</v>
      </c>
    </row>
    <row r="1124" spans="1:23" x14ac:dyDescent="0.3">
      <c r="A1124" t="s">
        <v>2371</v>
      </c>
      <c r="B1124" t="s">
        <v>236</v>
      </c>
      <c r="C1124" t="s">
        <v>37</v>
      </c>
      <c r="D1124" t="s">
        <v>15</v>
      </c>
      <c r="E1124" t="s">
        <v>5134</v>
      </c>
      <c r="F1124" t="s">
        <v>5133</v>
      </c>
      <c r="G1124" t="s">
        <v>55</v>
      </c>
      <c r="H1124" t="s">
        <v>56</v>
      </c>
      <c r="I1124" t="str">
        <f>LEFT(H1124,FIND(" (",H1124)-1)</f>
        <v>Mid</v>
      </c>
      <c r="J1124" t="str">
        <f>MID(H1124,FIND("(",H1124)+1,FIND(")",H1124)-FIND("(",H1124)-1)</f>
        <v>2-5 yrs</v>
      </c>
      <c r="L1124">
        <v>122646</v>
      </c>
      <c r="M1124" t="s">
        <v>2372</v>
      </c>
      <c r="N1124" t="s">
        <v>94</v>
      </c>
      <c r="O1124" t="s">
        <v>22</v>
      </c>
      <c r="P1124" s="1">
        <v>45504</v>
      </c>
      <c r="Q1124">
        <v>2204</v>
      </c>
      <c r="R1124">
        <v>1958</v>
      </c>
      <c r="S1124" t="s">
        <v>23</v>
      </c>
      <c r="T1124">
        <v>2</v>
      </c>
      <c r="U1124" t="s">
        <v>5123</v>
      </c>
      <c r="V1124" t="s">
        <v>24</v>
      </c>
      <c r="W1124" t="s">
        <v>23</v>
      </c>
    </row>
    <row r="1125" spans="1:23" x14ac:dyDescent="0.3">
      <c r="A1125" t="s">
        <v>2373</v>
      </c>
      <c r="B1125" t="s">
        <v>61</v>
      </c>
      <c r="C1125" t="s">
        <v>167</v>
      </c>
      <c r="D1125" t="s">
        <v>125</v>
      </c>
      <c r="E1125" t="s">
        <v>200</v>
      </c>
      <c r="F1125" t="s">
        <v>201</v>
      </c>
      <c r="G1125" t="s">
        <v>55</v>
      </c>
      <c r="H1125" t="s">
        <v>66</v>
      </c>
      <c r="I1125" t="str">
        <f>LEFT(H1125,FIND(" (",H1125)-1)</f>
        <v>Senior</v>
      </c>
      <c r="J1125" t="str">
        <f>MID(H1125,FIND("(",H1125)+1,FIND(")",H1125)-FIND("(",H1125)-1)</f>
        <v>5-8 yrs</v>
      </c>
      <c r="L1125">
        <v>119138</v>
      </c>
      <c r="M1125" t="s">
        <v>2374</v>
      </c>
      <c r="N1125" t="s">
        <v>33</v>
      </c>
      <c r="O1125" t="s">
        <v>22</v>
      </c>
      <c r="P1125" s="1">
        <v>45305</v>
      </c>
      <c r="Q1125">
        <v>1136</v>
      </c>
      <c r="R1125">
        <v>2224</v>
      </c>
      <c r="S1125" t="s">
        <v>23</v>
      </c>
      <c r="T1125">
        <v>4</v>
      </c>
      <c r="U1125" t="s">
        <v>83</v>
      </c>
      <c r="V1125" t="s">
        <v>24</v>
      </c>
      <c r="W1125" t="s">
        <v>23</v>
      </c>
    </row>
    <row r="1126" spans="1:23" x14ac:dyDescent="0.3">
      <c r="A1126" t="s">
        <v>2375</v>
      </c>
      <c r="B1126" t="s">
        <v>70</v>
      </c>
      <c r="C1126" t="s">
        <v>107</v>
      </c>
      <c r="D1126" t="s">
        <v>147</v>
      </c>
      <c r="E1126" t="s">
        <v>159</v>
      </c>
      <c r="F1126" t="s">
        <v>160</v>
      </c>
      <c r="G1126" t="s">
        <v>18</v>
      </c>
      <c r="H1126" t="s">
        <v>31</v>
      </c>
      <c r="I1126" t="str">
        <f>LEFT(H1126,FIND(" (",H1126)-1)</f>
        <v>Staff/Principal</v>
      </c>
      <c r="J1126" t="str">
        <f>MID(H1126,FIND("(",H1126)+1,FIND(")",H1126)-FIND("(",H1126)-1)</f>
        <v>8+ yrs</v>
      </c>
      <c r="L1126">
        <v>258803</v>
      </c>
      <c r="M1126" t="s">
        <v>2376</v>
      </c>
      <c r="N1126" t="s">
        <v>120</v>
      </c>
      <c r="O1126" t="s">
        <v>44</v>
      </c>
      <c r="P1126" s="1">
        <v>45353</v>
      </c>
      <c r="Q1126">
        <v>2331</v>
      </c>
      <c r="R1126">
        <v>464</v>
      </c>
      <c r="S1126" t="s">
        <v>23</v>
      </c>
      <c r="T1126">
        <v>6</v>
      </c>
      <c r="U1126" t="s">
        <v>83</v>
      </c>
      <c r="V1126" t="s">
        <v>59</v>
      </c>
      <c r="W1126" t="s">
        <v>23</v>
      </c>
    </row>
    <row r="1127" spans="1:23" x14ac:dyDescent="0.3">
      <c r="A1127" t="s">
        <v>2377</v>
      </c>
      <c r="B1127" t="s">
        <v>96</v>
      </c>
      <c r="C1127" t="s">
        <v>167</v>
      </c>
      <c r="D1127" t="s">
        <v>174</v>
      </c>
      <c r="E1127" t="s">
        <v>39</v>
      </c>
      <c r="F1127" t="s">
        <v>40</v>
      </c>
      <c r="G1127" t="s">
        <v>18</v>
      </c>
      <c r="H1127" t="s">
        <v>19</v>
      </c>
      <c r="I1127" t="str">
        <f>LEFT(H1127,FIND(" (",H1127)-1)</f>
        <v>Entry</v>
      </c>
      <c r="J1127" t="str">
        <f>MID(H1127,FIND("(",H1127)+1,FIND(")",H1127)-FIND("(",H1127)-1)</f>
        <v>0-2 yrs</v>
      </c>
      <c r="L1127">
        <v>55556</v>
      </c>
      <c r="M1127" t="s">
        <v>2378</v>
      </c>
      <c r="N1127" t="s">
        <v>68</v>
      </c>
      <c r="O1127" t="s">
        <v>22</v>
      </c>
      <c r="P1127" s="1">
        <v>45417</v>
      </c>
      <c r="Q1127">
        <v>1927</v>
      </c>
      <c r="R1127">
        <v>73</v>
      </c>
      <c r="S1127" t="s">
        <v>34</v>
      </c>
      <c r="T1127">
        <v>0</v>
      </c>
      <c r="U1127" t="s">
        <v>52</v>
      </c>
      <c r="V1127" t="s">
        <v>24</v>
      </c>
      <c r="W1127" t="s">
        <v>23</v>
      </c>
    </row>
    <row r="1128" spans="1:23" x14ac:dyDescent="0.3">
      <c r="A1128" t="s">
        <v>2379</v>
      </c>
      <c r="B1128" t="s">
        <v>70</v>
      </c>
      <c r="C1128" t="s">
        <v>14</v>
      </c>
      <c r="D1128" t="s">
        <v>174</v>
      </c>
      <c r="E1128" t="s">
        <v>5140</v>
      </c>
      <c r="F1128" t="s">
        <v>5133</v>
      </c>
      <c r="G1128" t="s">
        <v>41</v>
      </c>
      <c r="H1128" t="s">
        <v>56</v>
      </c>
      <c r="I1128" t="str">
        <f>LEFT(H1128,FIND(" (",H1128)-1)</f>
        <v>Mid</v>
      </c>
      <c r="J1128" t="str">
        <f>MID(H1128,FIND("(",H1128)+1,FIND(")",H1128)-FIND("(",H1128)-1)</f>
        <v>2-5 yrs</v>
      </c>
      <c r="L1128">
        <v>115992</v>
      </c>
      <c r="M1128" t="s">
        <v>2380</v>
      </c>
      <c r="N1128" t="s">
        <v>68</v>
      </c>
      <c r="O1128" t="s">
        <v>51</v>
      </c>
      <c r="P1128" s="1">
        <v>45448</v>
      </c>
      <c r="Q1128">
        <v>1220</v>
      </c>
      <c r="R1128">
        <v>3790</v>
      </c>
      <c r="S1128" t="s">
        <v>34</v>
      </c>
      <c r="T1128">
        <v>2</v>
      </c>
      <c r="U1128" t="s">
        <v>58</v>
      </c>
      <c r="V1128" t="s">
        <v>24</v>
      </c>
      <c r="W1128" t="s">
        <v>23</v>
      </c>
    </row>
    <row r="1129" spans="1:23" x14ac:dyDescent="0.3">
      <c r="A1129" t="s">
        <v>2381</v>
      </c>
      <c r="B1129" t="s">
        <v>81</v>
      </c>
      <c r="C1129" t="s">
        <v>101</v>
      </c>
      <c r="D1129" t="s">
        <v>111</v>
      </c>
      <c r="E1129" t="s">
        <v>64</v>
      </c>
      <c r="F1129" t="s">
        <v>65</v>
      </c>
      <c r="G1129" t="s">
        <v>18</v>
      </c>
      <c r="H1129" t="s">
        <v>19</v>
      </c>
      <c r="I1129" t="str">
        <f>LEFT(H1129,FIND(" (",H1129)-1)</f>
        <v>Entry</v>
      </c>
      <c r="J1129" t="str">
        <f>MID(H1129,FIND("(",H1129)+1,FIND(")",H1129)-FIND("(",H1129)-1)</f>
        <v>0-2 yrs</v>
      </c>
      <c r="L1129">
        <v>60496</v>
      </c>
      <c r="M1129" t="s">
        <v>2382</v>
      </c>
      <c r="N1129" t="s">
        <v>149</v>
      </c>
      <c r="O1129" t="s">
        <v>51</v>
      </c>
      <c r="P1129" s="1">
        <v>45468</v>
      </c>
      <c r="Q1129">
        <v>1609</v>
      </c>
      <c r="R1129">
        <v>3922</v>
      </c>
      <c r="S1129" t="s">
        <v>99</v>
      </c>
      <c r="T1129">
        <v>0</v>
      </c>
      <c r="U1129" t="s">
        <v>83</v>
      </c>
      <c r="V1129" t="s">
        <v>46</v>
      </c>
      <c r="W1129" t="s">
        <v>34</v>
      </c>
    </row>
    <row r="1130" spans="1:23" x14ac:dyDescent="0.3">
      <c r="A1130" t="s">
        <v>2383</v>
      </c>
      <c r="B1130" t="s">
        <v>329</v>
      </c>
      <c r="C1130" t="s">
        <v>209</v>
      </c>
      <c r="D1130" t="s">
        <v>38</v>
      </c>
      <c r="E1130" t="s">
        <v>230</v>
      </c>
      <c r="F1130" t="s">
        <v>231</v>
      </c>
      <c r="G1130" t="s">
        <v>41</v>
      </c>
      <c r="H1130" t="s">
        <v>31</v>
      </c>
      <c r="I1130" t="str">
        <f>LEFT(H1130,FIND(" (",H1130)-1)</f>
        <v>Staff/Principal</v>
      </c>
      <c r="J1130" t="str">
        <f>MID(H1130,FIND("(",H1130)+1,FIND(")",H1130)-FIND("(",H1130)-1)</f>
        <v>8+ yrs</v>
      </c>
      <c r="L1130">
        <v>197691</v>
      </c>
      <c r="M1130" t="s">
        <v>2384</v>
      </c>
      <c r="N1130" t="s">
        <v>33</v>
      </c>
      <c r="O1130" t="s">
        <v>51</v>
      </c>
      <c r="P1130" s="1">
        <v>45702</v>
      </c>
      <c r="Q1130">
        <v>540</v>
      </c>
      <c r="R1130">
        <v>3728</v>
      </c>
      <c r="S1130" t="s">
        <v>34</v>
      </c>
      <c r="T1130">
        <v>6</v>
      </c>
      <c r="U1130" t="s">
        <v>83</v>
      </c>
      <c r="V1130" t="s">
        <v>24</v>
      </c>
      <c r="W1130" t="s">
        <v>23</v>
      </c>
    </row>
    <row r="1131" spans="1:23" x14ac:dyDescent="0.3">
      <c r="A1131" t="s">
        <v>2385</v>
      </c>
      <c r="B1131" t="s">
        <v>151</v>
      </c>
      <c r="C1131" t="s">
        <v>128</v>
      </c>
      <c r="D1131" t="s">
        <v>111</v>
      </c>
      <c r="E1131" t="s">
        <v>39</v>
      </c>
      <c r="F1131" t="s">
        <v>40</v>
      </c>
      <c r="G1131" t="s">
        <v>55</v>
      </c>
      <c r="H1131" t="s">
        <v>56</v>
      </c>
      <c r="I1131" t="str">
        <f>LEFT(H1131,FIND(" (",H1131)-1)</f>
        <v>Mid</v>
      </c>
      <c r="J1131" t="str">
        <f>MID(H1131,FIND("(",H1131)+1,FIND(")",H1131)-FIND("(",H1131)-1)</f>
        <v>2-5 yrs</v>
      </c>
      <c r="L1131">
        <v>116509</v>
      </c>
      <c r="M1131" t="s">
        <v>2386</v>
      </c>
      <c r="N1131" t="s">
        <v>21</v>
      </c>
      <c r="O1131" t="s">
        <v>22</v>
      </c>
      <c r="P1131" s="1">
        <v>45577</v>
      </c>
      <c r="Q1131">
        <v>2090</v>
      </c>
      <c r="R1131">
        <v>1241</v>
      </c>
      <c r="S1131" t="s">
        <v>34</v>
      </c>
      <c r="T1131">
        <v>2</v>
      </c>
      <c r="U1131" t="s">
        <v>58</v>
      </c>
      <c r="V1131" t="s">
        <v>24</v>
      </c>
      <c r="W1131" t="s">
        <v>23</v>
      </c>
    </row>
    <row r="1132" spans="1:23" x14ac:dyDescent="0.3">
      <c r="A1132" t="s">
        <v>2387</v>
      </c>
      <c r="B1132" t="s">
        <v>131</v>
      </c>
      <c r="C1132" t="s">
        <v>173</v>
      </c>
      <c r="D1132" t="s">
        <v>75</v>
      </c>
      <c r="E1132" t="s">
        <v>5134</v>
      </c>
      <c r="F1132" t="s">
        <v>5133</v>
      </c>
      <c r="G1132" t="s">
        <v>41</v>
      </c>
      <c r="H1132" t="s">
        <v>56</v>
      </c>
      <c r="I1132" t="str">
        <f>LEFT(H1132,FIND(" (",H1132)-1)</f>
        <v>Mid</v>
      </c>
      <c r="J1132" t="str">
        <f>MID(H1132,FIND("(",H1132)+1,FIND(")",H1132)-FIND("(",H1132)-1)</f>
        <v>2-5 yrs</v>
      </c>
      <c r="L1132">
        <v>116362</v>
      </c>
      <c r="M1132" t="s">
        <v>2388</v>
      </c>
      <c r="N1132" t="s">
        <v>33</v>
      </c>
      <c r="O1132" t="s">
        <v>22</v>
      </c>
      <c r="P1132" s="1">
        <v>45665</v>
      </c>
      <c r="Q1132">
        <v>2090</v>
      </c>
      <c r="R1132">
        <v>1117</v>
      </c>
      <c r="S1132" t="s">
        <v>23</v>
      </c>
      <c r="T1132">
        <v>2</v>
      </c>
      <c r="U1132" t="s">
        <v>5123</v>
      </c>
      <c r="V1132" t="s">
        <v>24</v>
      </c>
      <c r="W1132" t="s">
        <v>34</v>
      </c>
    </row>
    <row r="1133" spans="1:23" x14ac:dyDescent="0.3">
      <c r="A1133" t="s">
        <v>2389</v>
      </c>
      <c r="B1133" t="s">
        <v>143</v>
      </c>
      <c r="C1133" t="s">
        <v>204</v>
      </c>
      <c r="D1133" t="s">
        <v>63</v>
      </c>
      <c r="E1133" t="s">
        <v>5132</v>
      </c>
      <c r="F1133" t="s">
        <v>5133</v>
      </c>
      <c r="G1133" t="s">
        <v>18</v>
      </c>
      <c r="H1133" t="s">
        <v>31</v>
      </c>
      <c r="I1133" t="str">
        <f>LEFT(H1133,FIND(" (",H1133)-1)</f>
        <v>Staff/Principal</v>
      </c>
      <c r="J1133" t="str">
        <f>MID(H1133,FIND("(",H1133)+1,FIND(")",H1133)-FIND("(",H1133)-1)</f>
        <v>8+ yrs</v>
      </c>
      <c r="L1133">
        <v>215189</v>
      </c>
      <c r="M1133" t="s">
        <v>2390</v>
      </c>
      <c r="N1133" t="s">
        <v>68</v>
      </c>
      <c r="O1133" t="s">
        <v>51</v>
      </c>
      <c r="P1133" s="1">
        <v>45387</v>
      </c>
      <c r="Q1133">
        <v>907</v>
      </c>
      <c r="R1133">
        <v>3558</v>
      </c>
      <c r="S1133" t="s">
        <v>34</v>
      </c>
      <c r="T1133">
        <v>6</v>
      </c>
      <c r="U1133" t="s">
        <v>45</v>
      </c>
      <c r="V1133" t="s">
        <v>24</v>
      </c>
      <c r="W1133" t="s">
        <v>34</v>
      </c>
    </row>
    <row r="1134" spans="1:23" x14ac:dyDescent="0.3">
      <c r="A1134" t="s">
        <v>2391</v>
      </c>
      <c r="B1134" t="s">
        <v>106</v>
      </c>
      <c r="C1134" t="s">
        <v>101</v>
      </c>
      <c r="D1134" t="s">
        <v>111</v>
      </c>
      <c r="E1134" t="s">
        <v>5135</v>
      </c>
      <c r="F1134" t="s">
        <v>5133</v>
      </c>
      <c r="G1134" t="s">
        <v>18</v>
      </c>
      <c r="H1134" t="s">
        <v>19</v>
      </c>
      <c r="I1134" t="str">
        <f>LEFT(H1134,FIND(" (",H1134)-1)</f>
        <v>Entry</v>
      </c>
      <c r="J1134" t="str">
        <f>MID(H1134,FIND("(",H1134)+1,FIND(")",H1134)-FIND("(",H1134)-1)</f>
        <v>0-2 yrs</v>
      </c>
      <c r="L1134">
        <v>90332</v>
      </c>
      <c r="M1134" t="s">
        <v>2392</v>
      </c>
      <c r="N1134" t="s">
        <v>21</v>
      </c>
      <c r="O1134" t="s">
        <v>22</v>
      </c>
      <c r="P1134" s="1">
        <v>45572</v>
      </c>
      <c r="Q1134">
        <v>2414</v>
      </c>
      <c r="R1134">
        <v>2144</v>
      </c>
      <c r="S1134" t="s">
        <v>23</v>
      </c>
      <c r="T1134">
        <v>0</v>
      </c>
      <c r="U1134" t="s">
        <v>83</v>
      </c>
      <c r="V1134" t="s">
        <v>46</v>
      </c>
      <c r="W1134" t="s">
        <v>34</v>
      </c>
    </row>
    <row r="1135" spans="1:23" x14ac:dyDescent="0.3">
      <c r="A1135" t="s">
        <v>2393</v>
      </c>
      <c r="B1135" t="s">
        <v>13</v>
      </c>
      <c r="C1135" t="s">
        <v>209</v>
      </c>
      <c r="D1135" t="s">
        <v>38</v>
      </c>
      <c r="E1135" t="s">
        <v>5140</v>
      </c>
      <c r="F1135" t="s">
        <v>5133</v>
      </c>
      <c r="G1135" t="s">
        <v>18</v>
      </c>
      <c r="H1135" t="s">
        <v>31</v>
      </c>
      <c r="I1135" t="str">
        <f>LEFT(H1135,FIND(" (",H1135)-1)</f>
        <v>Staff/Principal</v>
      </c>
      <c r="J1135" t="str">
        <f>MID(H1135,FIND("(",H1135)+1,FIND(")",H1135)-FIND("(",H1135)-1)</f>
        <v>8+ yrs</v>
      </c>
      <c r="L1135">
        <v>216327</v>
      </c>
      <c r="M1135" t="s">
        <v>2394</v>
      </c>
      <c r="N1135" t="s">
        <v>33</v>
      </c>
      <c r="O1135" t="s">
        <v>22</v>
      </c>
      <c r="P1135" s="1">
        <v>45730</v>
      </c>
      <c r="Q1135">
        <v>2325</v>
      </c>
      <c r="R1135">
        <v>835</v>
      </c>
      <c r="S1135" t="s">
        <v>99</v>
      </c>
      <c r="T1135">
        <v>6</v>
      </c>
      <c r="U1135" t="s">
        <v>83</v>
      </c>
      <c r="V1135" t="s">
        <v>24</v>
      </c>
      <c r="W1135" t="s">
        <v>23</v>
      </c>
    </row>
    <row r="1136" spans="1:23" x14ac:dyDescent="0.3">
      <c r="A1136" t="s">
        <v>2395</v>
      </c>
      <c r="B1136" t="s">
        <v>143</v>
      </c>
      <c r="C1136" t="s">
        <v>54</v>
      </c>
      <c r="D1136" t="s">
        <v>38</v>
      </c>
      <c r="E1136" t="s">
        <v>216</v>
      </c>
      <c r="F1136" t="s">
        <v>217</v>
      </c>
      <c r="G1136" t="s">
        <v>18</v>
      </c>
      <c r="H1136" t="s">
        <v>31</v>
      </c>
      <c r="I1136" t="str">
        <f>LEFT(H1136,FIND(" (",H1136)-1)</f>
        <v>Staff/Principal</v>
      </c>
      <c r="J1136" t="str">
        <f>MID(H1136,FIND("(",H1136)+1,FIND(")",H1136)-FIND("(",H1136)-1)</f>
        <v>8+ yrs</v>
      </c>
      <c r="L1136">
        <v>191210</v>
      </c>
      <c r="M1136" t="s">
        <v>2396</v>
      </c>
      <c r="N1136" t="s">
        <v>120</v>
      </c>
      <c r="O1136" t="s">
        <v>22</v>
      </c>
      <c r="P1136" s="1">
        <v>45296</v>
      </c>
      <c r="Q1136">
        <v>394</v>
      </c>
      <c r="R1136">
        <v>3783</v>
      </c>
      <c r="S1136" t="s">
        <v>23</v>
      </c>
      <c r="T1136">
        <v>6</v>
      </c>
      <c r="U1136" t="s">
        <v>83</v>
      </c>
      <c r="V1136" t="s">
        <v>24</v>
      </c>
      <c r="W1136" t="s">
        <v>23</v>
      </c>
    </row>
    <row r="1137" spans="1:23" x14ac:dyDescent="0.3">
      <c r="A1137" t="s">
        <v>2397</v>
      </c>
      <c r="B1137" t="s">
        <v>91</v>
      </c>
      <c r="C1137" t="s">
        <v>27</v>
      </c>
      <c r="D1137" t="s">
        <v>49</v>
      </c>
      <c r="E1137" t="s">
        <v>5137</v>
      </c>
      <c r="F1137" t="s">
        <v>5138</v>
      </c>
      <c r="G1137" t="s">
        <v>55</v>
      </c>
      <c r="H1137" t="s">
        <v>31</v>
      </c>
      <c r="I1137" t="str">
        <f>LEFT(H1137,FIND(" (",H1137)-1)</f>
        <v>Staff/Principal</v>
      </c>
      <c r="J1137" t="str">
        <f>MID(H1137,FIND("(",H1137)+1,FIND(")",H1137)-FIND("(",H1137)-1)</f>
        <v>8+ yrs</v>
      </c>
      <c r="L1137">
        <v>234707</v>
      </c>
      <c r="M1137" t="s">
        <v>2398</v>
      </c>
      <c r="N1137" t="s">
        <v>33</v>
      </c>
      <c r="O1137" t="s">
        <v>51</v>
      </c>
      <c r="P1137" s="1">
        <v>45662</v>
      </c>
      <c r="Q1137">
        <v>1812</v>
      </c>
      <c r="R1137">
        <v>2853</v>
      </c>
      <c r="S1137" t="s">
        <v>23</v>
      </c>
      <c r="T1137">
        <v>6</v>
      </c>
      <c r="U1137" t="s">
        <v>83</v>
      </c>
      <c r="V1137" t="s">
        <v>24</v>
      </c>
      <c r="W1137" t="s">
        <v>23</v>
      </c>
    </row>
    <row r="1138" spans="1:23" x14ac:dyDescent="0.3">
      <c r="A1138" t="s">
        <v>2399</v>
      </c>
      <c r="B1138" t="s">
        <v>81</v>
      </c>
      <c r="C1138" t="s">
        <v>173</v>
      </c>
      <c r="D1138" t="s">
        <v>147</v>
      </c>
      <c r="E1138" t="s">
        <v>5140</v>
      </c>
      <c r="F1138" t="s">
        <v>5133</v>
      </c>
      <c r="G1138" t="s">
        <v>18</v>
      </c>
      <c r="H1138" t="s">
        <v>56</v>
      </c>
      <c r="I1138" t="str">
        <f>LEFT(H1138,FIND(" (",H1138)-1)</f>
        <v>Mid</v>
      </c>
      <c r="J1138" t="str">
        <f>MID(H1138,FIND("(",H1138)+1,FIND(")",H1138)-FIND("(",H1138)-1)</f>
        <v>2-5 yrs</v>
      </c>
      <c r="L1138">
        <v>133551</v>
      </c>
      <c r="M1138" t="s">
        <v>2400</v>
      </c>
      <c r="N1138" t="s">
        <v>245</v>
      </c>
      <c r="O1138" t="s">
        <v>51</v>
      </c>
      <c r="P1138" s="1">
        <v>45425</v>
      </c>
      <c r="Q1138">
        <v>2128</v>
      </c>
      <c r="R1138">
        <v>1327</v>
      </c>
      <c r="S1138" t="s">
        <v>23</v>
      </c>
      <c r="T1138">
        <v>2</v>
      </c>
      <c r="U1138" t="s">
        <v>83</v>
      </c>
      <c r="V1138" t="s">
        <v>24</v>
      </c>
      <c r="W1138" t="s">
        <v>34</v>
      </c>
    </row>
    <row r="1139" spans="1:23" x14ac:dyDescent="0.3">
      <c r="A1139" t="s">
        <v>2401</v>
      </c>
      <c r="B1139" t="s">
        <v>143</v>
      </c>
      <c r="C1139" t="s">
        <v>158</v>
      </c>
      <c r="D1139" t="s">
        <v>125</v>
      </c>
      <c r="E1139" t="s">
        <v>5134</v>
      </c>
      <c r="F1139" t="s">
        <v>5133</v>
      </c>
      <c r="G1139" t="s">
        <v>18</v>
      </c>
      <c r="H1139" t="s">
        <v>66</v>
      </c>
      <c r="I1139" t="str">
        <f>LEFT(H1139,FIND(" (",H1139)-1)</f>
        <v>Senior</v>
      </c>
      <c r="J1139" t="str">
        <f>MID(H1139,FIND("(",H1139)+1,FIND(")",H1139)-FIND("(",H1139)-1)</f>
        <v>5-8 yrs</v>
      </c>
      <c r="L1139">
        <v>116854</v>
      </c>
      <c r="M1139" t="s">
        <v>2402</v>
      </c>
      <c r="N1139" t="s">
        <v>186</v>
      </c>
      <c r="O1139" t="s">
        <v>44</v>
      </c>
      <c r="P1139" s="1">
        <v>45367</v>
      </c>
      <c r="Q1139">
        <v>675</v>
      </c>
      <c r="R1139">
        <v>2830</v>
      </c>
      <c r="S1139" t="s">
        <v>23</v>
      </c>
      <c r="T1139">
        <v>4</v>
      </c>
      <c r="U1139" t="s">
        <v>52</v>
      </c>
      <c r="V1139" t="s">
        <v>24</v>
      </c>
      <c r="W1139" t="s">
        <v>23</v>
      </c>
    </row>
    <row r="1140" spans="1:23" x14ac:dyDescent="0.3">
      <c r="A1140" t="s">
        <v>2403</v>
      </c>
      <c r="B1140" t="s">
        <v>85</v>
      </c>
      <c r="C1140" t="s">
        <v>182</v>
      </c>
      <c r="D1140" t="s">
        <v>174</v>
      </c>
      <c r="E1140" t="s">
        <v>5140</v>
      </c>
      <c r="F1140" t="s">
        <v>5133</v>
      </c>
      <c r="G1140" t="s">
        <v>18</v>
      </c>
      <c r="H1140" t="s">
        <v>66</v>
      </c>
      <c r="I1140" t="str">
        <f>LEFT(H1140,FIND(" (",H1140)-1)</f>
        <v>Senior</v>
      </c>
      <c r="J1140" t="str">
        <f>MID(H1140,FIND("(",H1140)+1,FIND(")",H1140)-FIND("(",H1140)-1)</f>
        <v>5-8 yrs</v>
      </c>
      <c r="L1140">
        <v>166129</v>
      </c>
      <c r="M1140" t="s">
        <v>2404</v>
      </c>
      <c r="N1140" t="s">
        <v>120</v>
      </c>
      <c r="O1140" t="s">
        <v>79</v>
      </c>
      <c r="P1140" s="1">
        <v>45492</v>
      </c>
      <c r="Q1140">
        <v>2215</v>
      </c>
      <c r="R1140">
        <v>941</v>
      </c>
      <c r="S1140" t="s">
        <v>23</v>
      </c>
      <c r="T1140">
        <v>4</v>
      </c>
      <c r="U1140" t="s">
        <v>45</v>
      </c>
      <c r="V1140" t="s">
        <v>24</v>
      </c>
      <c r="W1140" t="s">
        <v>34</v>
      </c>
    </row>
    <row r="1141" spans="1:23" x14ac:dyDescent="0.3">
      <c r="A1141" t="s">
        <v>2405</v>
      </c>
      <c r="B1141" t="s">
        <v>81</v>
      </c>
      <c r="C1141" t="s">
        <v>71</v>
      </c>
      <c r="D1141" t="s">
        <v>75</v>
      </c>
      <c r="E1141" t="s">
        <v>29</v>
      </c>
      <c r="F1141" t="s">
        <v>30</v>
      </c>
      <c r="G1141" t="s">
        <v>18</v>
      </c>
      <c r="H1141" t="s">
        <v>56</v>
      </c>
      <c r="I1141" t="str">
        <f>LEFT(H1141,FIND(" (",H1141)-1)</f>
        <v>Mid</v>
      </c>
      <c r="J1141" t="str">
        <f>MID(H1141,FIND("(",H1141)+1,FIND(")",H1141)-FIND("(",H1141)-1)</f>
        <v>2-5 yrs</v>
      </c>
      <c r="L1141">
        <v>123883</v>
      </c>
      <c r="M1141" t="s">
        <v>2406</v>
      </c>
      <c r="N1141" t="s">
        <v>149</v>
      </c>
      <c r="O1141" t="s">
        <v>79</v>
      </c>
      <c r="P1141" s="1">
        <v>45524</v>
      </c>
      <c r="Q1141">
        <v>1659</v>
      </c>
      <c r="R1141">
        <v>449</v>
      </c>
      <c r="S1141" t="s">
        <v>23</v>
      </c>
      <c r="T1141">
        <v>2</v>
      </c>
      <c r="U1141" t="s">
        <v>58</v>
      </c>
      <c r="V1141" t="s">
        <v>46</v>
      </c>
      <c r="W1141" t="s">
        <v>23</v>
      </c>
    </row>
    <row r="1142" spans="1:23" x14ac:dyDescent="0.3">
      <c r="A1142" t="s">
        <v>2407</v>
      </c>
      <c r="B1142" t="s">
        <v>236</v>
      </c>
      <c r="C1142" t="s">
        <v>14</v>
      </c>
      <c r="D1142" t="s">
        <v>147</v>
      </c>
      <c r="E1142" t="s">
        <v>200</v>
      </c>
      <c r="F1142" t="s">
        <v>201</v>
      </c>
      <c r="G1142" t="s">
        <v>18</v>
      </c>
      <c r="H1142" t="s">
        <v>66</v>
      </c>
      <c r="I1142" t="str">
        <f>LEFT(H1142,FIND(" (",H1142)-1)</f>
        <v>Senior</v>
      </c>
      <c r="J1142" t="str">
        <f>MID(H1142,FIND("(",H1142)+1,FIND(")",H1142)-FIND("(",H1142)-1)</f>
        <v>5-8 yrs</v>
      </c>
      <c r="L1142">
        <v>141965</v>
      </c>
      <c r="M1142" t="s">
        <v>2408</v>
      </c>
      <c r="N1142" t="s">
        <v>120</v>
      </c>
      <c r="O1142" t="s">
        <v>22</v>
      </c>
      <c r="P1142" s="1">
        <v>45632</v>
      </c>
      <c r="Q1142">
        <v>649</v>
      </c>
      <c r="R1142">
        <v>533</v>
      </c>
      <c r="S1142" t="s">
        <v>23</v>
      </c>
      <c r="T1142">
        <v>4</v>
      </c>
      <c r="U1142" t="s">
        <v>83</v>
      </c>
      <c r="V1142" t="s">
        <v>24</v>
      </c>
      <c r="W1142" t="s">
        <v>34</v>
      </c>
    </row>
    <row r="1143" spans="1:23" x14ac:dyDescent="0.3">
      <c r="A1143" t="s">
        <v>2409</v>
      </c>
      <c r="B1143" t="s">
        <v>70</v>
      </c>
      <c r="C1143" t="s">
        <v>74</v>
      </c>
      <c r="D1143" t="s">
        <v>174</v>
      </c>
      <c r="E1143" t="s">
        <v>87</v>
      </c>
      <c r="F1143" t="s">
        <v>87</v>
      </c>
      <c r="G1143" t="s">
        <v>55</v>
      </c>
      <c r="H1143" t="s">
        <v>56</v>
      </c>
      <c r="I1143" t="str">
        <f>LEFT(H1143,FIND(" (",H1143)-1)</f>
        <v>Mid</v>
      </c>
      <c r="J1143" t="str">
        <f>MID(H1143,FIND("(",H1143)+1,FIND(")",H1143)-FIND("(",H1143)-1)</f>
        <v>2-5 yrs</v>
      </c>
      <c r="L1143">
        <v>137238</v>
      </c>
      <c r="M1143" t="s">
        <v>2410</v>
      </c>
      <c r="N1143" t="s">
        <v>120</v>
      </c>
      <c r="O1143" t="s">
        <v>22</v>
      </c>
      <c r="P1143" s="1">
        <v>45357</v>
      </c>
      <c r="Q1143">
        <v>2058</v>
      </c>
      <c r="R1143">
        <v>1792</v>
      </c>
      <c r="S1143" t="s">
        <v>23</v>
      </c>
      <c r="T1143">
        <v>2</v>
      </c>
      <c r="U1143" t="s">
        <v>52</v>
      </c>
      <c r="V1143" t="s">
        <v>46</v>
      </c>
      <c r="W1143" t="s">
        <v>23</v>
      </c>
    </row>
    <row r="1144" spans="1:23" x14ac:dyDescent="0.3">
      <c r="A1144" t="s">
        <v>2411</v>
      </c>
      <c r="B1144" t="s">
        <v>36</v>
      </c>
      <c r="C1144" t="s">
        <v>128</v>
      </c>
      <c r="D1144" t="s">
        <v>28</v>
      </c>
      <c r="E1144" t="s">
        <v>5134</v>
      </c>
      <c r="F1144" t="s">
        <v>5133</v>
      </c>
      <c r="G1144" t="s">
        <v>41</v>
      </c>
      <c r="H1144" t="s">
        <v>66</v>
      </c>
      <c r="I1144" t="str">
        <f>LEFT(H1144,FIND(" (",H1144)-1)</f>
        <v>Senior</v>
      </c>
      <c r="J1144" t="str">
        <f>MID(H1144,FIND("(",H1144)+1,FIND(")",H1144)-FIND("(",H1144)-1)</f>
        <v>5-8 yrs</v>
      </c>
      <c r="L1144">
        <v>145948</v>
      </c>
      <c r="M1144" t="s">
        <v>2412</v>
      </c>
      <c r="N1144" t="s">
        <v>245</v>
      </c>
      <c r="O1144" t="s">
        <v>51</v>
      </c>
      <c r="P1144" s="1">
        <v>45740</v>
      </c>
      <c r="Q1144">
        <v>403</v>
      </c>
      <c r="R1144">
        <v>448</v>
      </c>
      <c r="S1144" t="s">
        <v>23</v>
      </c>
      <c r="T1144">
        <v>4</v>
      </c>
      <c r="U1144" t="s">
        <v>45</v>
      </c>
      <c r="V1144" t="s">
        <v>24</v>
      </c>
      <c r="W1144" t="s">
        <v>34</v>
      </c>
    </row>
    <row r="1145" spans="1:23" x14ac:dyDescent="0.3">
      <c r="A1145" t="s">
        <v>2413</v>
      </c>
      <c r="B1145" t="s">
        <v>106</v>
      </c>
      <c r="C1145" t="s">
        <v>74</v>
      </c>
      <c r="D1145" t="s">
        <v>125</v>
      </c>
      <c r="E1145" t="s">
        <v>159</v>
      </c>
      <c r="F1145" t="s">
        <v>160</v>
      </c>
      <c r="G1145" t="s">
        <v>55</v>
      </c>
      <c r="H1145" t="s">
        <v>66</v>
      </c>
      <c r="I1145" t="str">
        <f>LEFT(H1145,FIND(" (",H1145)-1)</f>
        <v>Senior</v>
      </c>
      <c r="J1145" t="str">
        <f>MID(H1145,FIND("(",H1145)+1,FIND(")",H1145)-FIND("(",H1145)-1)</f>
        <v>5-8 yrs</v>
      </c>
      <c r="L1145">
        <v>153390</v>
      </c>
      <c r="M1145" t="s">
        <v>2414</v>
      </c>
      <c r="N1145" t="s">
        <v>141</v>
      </c>
      <c r="O1145" t="s">
        <v>22</v>
      </c>
      <c r="P1145" s="1">
        <v>45424</v>
      </c>
      <c r="Q1145">
        <v>1601</v>
      </c>
      <c r="R1145">
        <v>3110</v>
      </c>
      <c r="S1145" t="s">
        <v>34</v>
      </c>
      <c r="T1145">
        <v>4</v>
      </c>
      <c r="U1145" t="s">
        <v>52</v>
      </c>
      <c r="V1145" t="s">
        <v>59</v>
      </c>
      <c r="W1145" t="s">
        <v>23</v>
      </c>
    </row>
    <row r="1146" spans="1:23" x14ac:dyDescent="0.3">
      <c r="A1146" t="s">
        <v>2415</v>
      </c>
      <c r="B1146" t="s">
        <v>222</v>
      </c>
      <c r="C1146" t="s">
        <v>158</v>
      </c>
      <c r="D1146" t="s">
        <v>147</v>
      </c>
      <c r="E1146" t="s">
        <v>39</v>
      </c>
      <c r="F1146" t="s">
        <v>40</v>
      </c>
      <c r="G1146" t="s">
        <v>55</v>
      </c>
      <c r="H1146" t="s">
        <v>31</v>
      </c>
      <c r="I1146" t="str">
        <f>LEFT(H1146,FIND(" (",H1146)-1)</f>
        <v>Staff/Principal</v>
      </c>
      <c r="J1146" t="str">
        <f>MID(H1146,FIND("(",H1146)+1,FIND(")",H1146)-FIND("(",H1146)-1)</f>
        <v>8+ yrs</v>
      </c>
      <c r="L1146">
        <v>193769</v>
      </c>
      <c r="M1146" t="s">
        <v>2416</v>
      </c>
      <c r="N1146" t="s">
        <v>33</v>
      </c>
      <c r="O1146" t="s">
        <v>79</v>
      </c>
      <c r="P1146" s="1">
        <v>45552</v>
      </c>
      <c r="Q1146">
        <v>832</v>
      </c>
      <c r="R1146">
        <v>1140</v>
      </c>
      <c r="S1146" t="s">
        <v>99</v>
      </c>
      <c r="T1146">
        <v>6</v>
      </c>
      <c r="U1146" t="s">
        <v>83</v>
      </c>
      <c r="V1146" t="s">
        <v>59</v>
      </c>
      <c r="W1146" t="s">
        <v>23</v>
      </c>
    </row>
    <row r="1147" spans="1:23" x14ac:dyDescent="0.3">
      <c r="A1147" t="s">
        <v>2417</v>
      </c>
      <c r="B1147" t="s">
        <v>329</v>
      </c>
      <c r="C1147" t="s">
        <v>226</v>
      </c>
      <c r="D1147" t="s">
        <v>15</v>
      </c>
      <c r="E1147" t="s">
        <v>76</v>
      </c>
      <c r="F1147" t="s">
        <v>77</v>
      </c>
      <c r="G1147" t="s">
        <v>55</v>
      </c>
      <c r="H1147" t="s">
        <v>31</v>
      </c>
      <c r="I1147" t="str">
        <f>LEFT(H1147,FIND(" (",H1147)-1)</f>
        <v>Staff/Principal</v>
      </c>
      <c r="J1147" t="str">
        <f>MID(H1147,FIND("(",H1147)+1,FIND(")",H1147)-FIND("(",H1147)-1)</f>
        <v>8+ yrs</v>
      </c>
      <c r="L1147">
        <v>200560</v>
      </c>
      <c r="M1147" t="s">
        <v>2418</v>
      </c>
      <c r="N1147" t="s">
        <v>245</v>
      </c>
      <c r="O1147" t="s">
        <v>22</v>
      </c>
      <c r="P1147" s="1">
        <v>45430</v>
      </c>
      <c r="Q1147">
        <v>745</v>
      </c>
      <c r="R1147">
        <v>3312</v>
      </c>
      <c r="S1147" t="s">
        <v>23</v>
      </c>
      <c r="T1147">
        <v>6</v>
      </c>
      <c r="U1147" t="s">
        <v>83</v>
      </c>
      <c r="V1147" t="s">
        <v>24</v>
      </c>
      <c r="W1147" t="s">
        <v>23</v>
      </c>
    </row>
    <row r="1148" spans="1:23" x14ac:dyDescent="0.3">
      <c r="A1148" t="s">
        <v>2419</v>
      </c>
      <c r="B1148" t="s">
        <v>61</v>
      </c>
      <c r="C1148" t="s">
        <v>71</v>
      </c>
      <c r="D1148" t="s">
        <v>147</v>
      </c>
      <c r="E1148" t="s">
        <v>29</v>
      </c>
      <c r="F1148" t="s">
        <v>30</v>
      </c>
      <c r="G1148" t="s">
        <v>18</v>
      </c>
      <c r="H1148" t="s">
        <v>56</v>
      </c>
      <c r="I1148" t="str">
        <f>LEFT(H1148,FIND(" (",H1148)-1)</f>
        <v>Mid</v>
      </c>
      <c r="J1148" t="str">
        <f>MID(H1148,FIND("(",H1148)+1,FIND(")",H1148)-FIND("(",H1148)-1)</f>
        <v>2-5 yrs</v>
      </c>
      <c r="L1148">
        <v>88293</v>
      </c>
      <c r="M1148" t="s">
        <v>2420</v>
      </c>
      <c r="N1148" t="s">
        <v>33</v>
      </c>
      <c r="O1148" t="s">
        <v>51</v>
      </c>
      <c r="P1148" s="1">
        <v>45431</v>
      </c>
      <c r="Q1148">
        <v>752</v>
      </c>
      <c r="R1148">
        <v>627</v>
      </c>
      <c r="S1148" t="s">
        <v>34</v>
      </c>
      <c r="T1148">
        <v>2</v>
      </c>
      <c r="U1148" t="s">
        <v>58</v>
      </c>
      <c r="V1148" t="s">
        <v>59</v>
      </c>
      <c r="W1148" t="s">
        <v>23</v>
      </c>
    </row>
    <row r="1149" spans="1:23" x14ac:dyDescent="0.3">
      <c r="A1149" t="s">
        <v>2421</v>
      </c>
      <c r="B1149" t="s">
        <v>225</v>
      </c>
      <c r="C1149" t="s">
        <v>97</v>
      </c>
      <c r="D1149" t="s">
        <v>49</v>
      </c>
      <c r="E1149" t="s">
        <v>5141</v>
      </c>
      <c r="F1149" t="s">
        <v>5133</v>
      </c>
      <c r="G1149" t="s">
        <v>18</v>
      </c>
      <c r="H1149" t="s">
        <v>56</v>
      </c>
      <c r="I1149" t="str">
        <f>LEFT(H1149,FIND(" (",H1149)-1)</f>
        <v>Mid</v>
      </c>
      <c r="J1149" t="str">
        <f>MID(H1149,FIND("(",H1149)+1,FIND(")",H1149)-FIND("(",H1149)-1)</f>
        <v>2-5 yrs</v>
      </c>
      <c r="L1149">
        <v>81486</v>
      </c>
      <c r="M1149" t="s">
        <v>2422</v>
      </c>
      <c r="N1149" t="s">
        <v>120</v>
      </c>
      <c r="O1149" t="s">
        <v>44</v>
      </c>
      <c r="P1149" s="1">
        <v>45694</v>
      </c>
      <c r="Q1149">
        <v>714</v>
      </c>
      <c r="R1149">
        <v>2756</v>
      </c>
      <c r="S1149" t="s">
        <v>23</v>
      </c>
      <c r="T1149">
        <v>2</v>
      </c>
      <c r="U1149" t="s">
        <v>58</v>
      </c>
      <c r="V1149" t="s">
        <v>59</v>
      </c>
      <c r="W1149" t="s">
        <v>23</v>
      </c>
    </row>
    <row r="1150" spans="1:23" x14ac:dyDescent="0.3">
      <c r="A1150" t="s">
        <v>2423</v>
      </c>
      <c r="B1150" t="s">
        <v>70</v>
      </c>
      <c r="C1150" t="s">
        <v>62</v>
      </c>
      <c r="D1150" t="s">
        <v>75</v>
      </c>
      <c r="E1150" t="s">
        <v>39</v>
      </c>
      <c r="F1150" t="s">
        <v>40</v>
      </c>
      <c r="G1150" t="s">
        <v>18</v>
      </c>
      <c r="H1150" t="s">
        <v>56</v>
      </c>
      <c r="I1150" t="str">
        <f>LEFT(H1150,FIND(" (",H1150)-1)</f>
        <v>Mid</v>
      </c>
      <c r="J1150" t="str">
        <f>MID(H1150,FIND("(",H1150)+1,FIND(")",H1150)-FIND("(",H1150)-1)</f>
        <v>2-5 yrs</v>
      </c>
      <c r="L1150">
        <v>141571</v>
      </c>
      <c r="M1150" t="s">
        <v>2424</v>
      </c>
      <c r="N1150" t="s">
        <v>33</v>
      </c>
      <c r="O1150" t="s">
        <v>44</v>
      </c>
      <c r="P1150" s="1">
        <v>45730</v>
      </c>
      <c r="Q1150">
        <v>565</v>
      </c>
      <c r="R1150">
        <v>2173</v>
      </c>
      <c r="S1150" t="s">
        <v>23</v>
      </c>
      <c r="T1150">
        <v>2</v>
      </c>
      <c r="U1150" t="s">
        <v>83</v>
      </c>
      <c r="V1150" t="s">
        <v>59</v>
      </c>
      <c r="W1150" t="s">
        <v>23</v>
      </c>
    </row>
    <row r="1151" spans="1:23" x14ac:dyDescent="0.3">
      <c r="A1151" t="s">
        <v>2425</v>
      </c>
      <c r="B1151" t="s">
        <v>137</v>
      </c>
      <c r="C1151" t="s">
        <v>179</v>
      </c>
      <c r="D1151" t="s">
        <v>38</v>
      </c>
      <c r="E1151" t="s">
        <v>16</v>
      </c>
      <c r="F1151" t="s">
        <v>17</v>
      </c>
      <c r="G1151" t="s">
        <v>55</v>
      </c>
      <c r="H1151" t="s">
        <v>31</v>
      </c>
      <c r="I1151" t="str">
        <f>LEFT(H1151,FIND(" (",H1151)-1)</f>
        <v>Staff/Principal</v>
      </c>
      <c r="J1151" t="str">
        <f>MID(H1151,FIND("(",H1151)+1,FIND(")",H1151)-FIND("(",H1151)-1)</f>
        <v>8+ yrs</v>
      </c>
      <c r="L1151">
        <v>169509</v>
      </c>
      <c r="M1151" t="s">
        <v>2426</v>
      </c>
      <c r="N1151" t="s">
        <v>43</v>
      </c>
      <c r="O1151" t="s">
        <v>51</v>
      </c>
      <c r="P1151" s="1">
        <v>45301</v>
      </c>
      <c r="Q1151">
        <v>1442</v>
      </c>
      <c r="R1151">
        <v>346</v>
      </c>
      <c r="S1151" t="s">
        <v>23</v>
      </c>
      <c r="T1151">
        <v>6</v>
      </c>
      <c r="U1151" t="s">
        <v>52</v>
      </c>
      <c r="V1151" t="s">
        <v>24</v>
      </c>
      <c r="W1151" t="s">
        <v>34</v>
      </c>
    </row>
    <row r="1152" spans="1:23" x14ac:dyDescent="0.3">
      <c r="A1152" t="s">
        <v>2427</v>
      </c>
      <c r="B1152" t="s">
        <v>137</v>
      </c>
      <c r="C1152" t="s">
        <v>97</v>
      </c>
      <c r="D1152" t="s">
        <v>75</v>
      </c>
      <c r="E1152" t="s">
        <v>230</v>
      </c>
      <c r="F1152" t="s">
        <v>231</v>
      </c>
      <c r="G1152" t="s">
        <v>41</v>
      </c>
      <c r="H1152" t="s">
        <v>19</v>
      </c>
      <c r="I1152" t="str">
        <f>LEFT(H1152,FIND(" (",H1152)-1)</f>
        <v>Entry</v>
      </c>
      <c r="J1152" t="str">
        <f>MID(H1152,FIND("(",H1152)+1,FIND(")",H1152)-FIND("(",H1152)-1)</f>
        <v>0-2 yrs</v>
      </c>
      <c r="L1152">
        <v>57508</v>
      </c>
      <c r="M1152" t="s">
        <v>2428</v>
      </c>
      <c r="N1152" t="s">
        <v>33</v>
      </c>
      <c r="O1152" t="s">
        <v>51</v>
      </c>
      <c r="P1152" s="1">
        <v>45562</v>
      </c>
      <c r="Q1152">
        <v>539</v>
      </c>
      <c r="R1152">
        <v>839</v>
      </c>
      <c r="S1152" t="s">
        <v>34</v>
      </c>
      <c r="T1152">
        <v>0</v>
      </c>
      <c r="U1152" t="s">
        <v>52</v>
      </c>
      <c r="V1152" t="s">
        <v>24</v>
      </c>
      <c r="W1152" t="s">
        <v>34</v>
      </c>
    </row>
    <row r="1153" spans="1:23" x14ac:dyDescent="0.3">
      <c r="A1153" t="s">
        <v>2429</v>
      </c>
      <c r="B1153" t="s">
        <v>143</v>
      </c>
      <c r="C1153" t="s">
        <v>192</v>
      </c>
      <c r="D1153" t="s">
        <v>49</v>
      </c>
      <c r="E1153" t="s">
        <v>5136</v>
      </c>
      <c r="F1153" t="s">
        <v>5133</v>
      </c>
      <c r="G1153" t="s">
        <v>18</v>
      </c>
      <c r="H1153" t="s">
        <v>19</v>
      </c>
      <c r="I1153" t="str">
        <f>LEFT(H1153,FIND(" (",H1153)-1)</f>
        <v>Entry</v>
      </c>
      <c r="J1153" t="str">
        <f>MID(H1153,FIND("(",H1153)+1,FIND(")",H1153)-FIND("(",H1153)-1)</f>
        <v>0-2 yrs</v>
      </c>
      <c r="L1153">
        <v>50000</v>
      </c>
      <c r="M1153" t="s">
        <v>2430</v>
      </c>
      <c r="N1153" t="s">
        <v>33</v>
      </c>
      <c r="O1153" t="s">
        <v>22</v>
      </c>
      <c r="P1153" s="1">
        <v>45433</v>
      </c>
      <c r="Q1153">
        <v>2333</v>
      </c>
      <c r="R1153">
        <v>3071</v>
      </c>
      <c r="S1153" t="s">
        <v>34</v>
      </c>
      <c r="T1153">
        <v>0</v>
      </c>
      <c r="U1153" t="s">
        <v>58</v>
      </c>
      <c r="V1153" t="s">
        <v>59</v>
      </c>
      <c r="W1153" t="s">
        <v>23</v>
      </c>
    </row>
    <row r="1154" spans="1:23" x14ac:dyDescent="0.3">
      <c r="A1154" t="s">
        <v>2431</v>
      </c>
      <c r="B1154" t="s">
        <v>229</v>
      </c>
      <c r="C1154" t="s">
        <v>173</v>
      </c>
      <c r="D1154" t="s">
        <v>49</v>
      </c>
      <c r="E1154" t="s">
        <v>5134</v>
      </c>
      <c r="F1154" t="s">
        <v>5133</v>
      </c>
      <c r="G1154" t="s">
        <v>55</v>
      </c>
      <c r="H1154" t="s">
        <v>19</v>
      </c>
      <c r="I1154" t="str">
        <f>LEFT(H1154,FIND(" (",H1154)-1)</f>
        <v>Entry</v>
      </c>
      <c r="J1154" t="str">
        <f>MID(H1154,FIND("(",H1154)+1,FIND(")",H1154)-FIND("(",H1154)-1)</f>
        <v>0-2 yrs</v>
      </c>
      <c r="L1154">
        <v>61949</v>
      </c>
      <c r="M1154" t="s">
        <v>2432</v>
      </c>
      <c r="N1154" t="s">
        <v>33</v>
      </c>
      <c r="O1154" t="s">
        <v>51</v>
      </c>
      <c r="P1154" s="1">
        <v>45371</v>
      </c>
      <c r="Q1154">
        <v>1466</v>
      </c>
      <c r="R1154">
        <v>3472</v>
      </c>
      <c r="S1154" t="s">
        <v>99</v>
      </c>
      <c r="T1154">
        <v>0</v>
      </c>
      <c r="U1154" t="s">
        <v>58</v>
      </c>
      <c r="V1154" t="s">
        <v>59</v>
      </c>
      <c r="W1154" t="s">
        <v>34</v>
      </c>
    </row>
    <row r="1155" spans="1:23" x14ac:dyDescent="0.3">
      <c r="A1155" t="s">
        <v>2433</v>
      </c>
      <c r="B1155" t="s">
        <v>225</v>
      </c>
      <c r="C1155" t="s">
        <v>239</v>
      </c>
      <c r="D1155" t="s">
        <v>125</v>
      </c>
      <c r="E1155" t="s">
        <v>5137</v>
      </c>
      <c r="F1155" t="s">
        <v>5138</v>
      </c>
      <c r="G1155" t="s">
        <v>18</v>
      </c>
      <c r="H1155" t="s">
        <v>19</v>
      </c>
      <c r="I1155" t="str">
        <f>LEFT(H1155,FIND(" (",H1155)-1)</f>
        <v>Entry</v>
      </c>
      <c r="J1155" t="str">
        <f>MID(H1155,FIND("(",H1155)+1,FIND(")",H1155)-FIND("(",H1155)-1)</f>
        <v>0-2 yrs</v>
      </c>
      <c r="L1155">
        <v>53329</v>
      </c>
      <c r="M1155" t="s">
        <v>2434</v>
      </c>
      <c r="N1155" t="s">
        <v>89</v>
      </c>
      <c r="O1155" t="s">
        <v>51</v>
      </c>
      <c r="P1155" s="1">
        <v>45516</v>
      </c>
      <c r="Q1155">
        <v>2117</v>
      </c>
      <c r="R1155">
        <v>2150</v>
      </c>
      <c r="S1155" t="s">
        <v>23</v>
      </c>
      <c r="T1155">
        <v>0</v>
      </c>
      <c r="U1155" t="s">
        <v>58</v>
      </c>
      <c r="V1155" t="s">
        <v>24</v>
      </c>
      <c r="W1155" t="s">
        <v>23</v>
      </c>
    </row>
    <row r="1156" spans="1:23" x14ac:dyDescent="0.3">
      <c r="A1156" t="s">
        <v>2435</v>
      </c>
      <c r="B1156" t="s">
        <v>229</v>
      </c>
      <c r="C1156" t="s">
        <v>101</v>
      </c>
      <c r="D1156" t="s">
        <v>111</v>
      </c>
      <c r="E1156" t="s">
        <v>39</v>
      </c>
      <c r="F1156" t="s">
        <v>40</v>
      </c>
      <c r="G1156" t="s">
        <v>18</v>
      </c>
      <c r="H1156" t="s">
        <v>56</v>
      </c>
      <c r="I1156" t="str">
        <f>LEFT(H1156,FIND(" (",H1156)-1)</f>
        <v>Mid</v>
      </c>
      <c r="J1156" t="str">
        <f>MID(H1156,FIND("(",H1156)+1,FIND(")",H1156)-FIND("(",H1156)-1)</f>
        <v>2-5 yrs</v>
      </c>
      <c r="L1156">
        <v>142511</v>
      </c>
      <c r="M1156" t="s">
        <v>2436</v>
      </c>
      <c r="N1156" t="s">
        <v>33</v>
      </c>
      <c r="O1156" t="s">
        <v>51</v>
      </c>
      <c r="P1156" s="1">
        <v>45504</v>
      </c>
      <c r="Q1156">
        <v>933</v>
      </c>
      <c r="R1156">
        <v>541</v>
      </c>
      <c r="S1156" t="s">
        <v>99</v>
      </c>
      <c r="T1156">
        <v>2</v>
      </c>
      <c r="U1156" t="s">
        <v>83</v>
      </c>
      <c r="V1156" t="s">
        <v>59</v>
      </c>
      <c r="W1156" t="s">
        <v>23</v>
      </c>
    </row>
    <row r="1157" spans="1:23" x14ac:dyDescent="0.3">
      <c r="A1157" t="s">
        <v>2437</v>
      </c>
      <c r="B1157" t="s">
        <v>137</v>
      </c>
      <c r="C1157" t="s">
        <v>86</v>
      </c>
      <c r="D1157" t="s">
        <v>15</v>
      </c>
      <c r="E1157" t="s">
        <v>159</v>
      </c>
      <c r="F1157" t="s">
        <v>160</v>
      </c>
      <c r="G1157" t="s">
        <v>41</v>
      </c>
      <c r="H1157" t="s">
        <v>66</v>
      </c>
      <c r="I1157" t="str">
        <f>LEFT(H1157,FIND(" (",H1157)-1)</f>
        <v>Senior</v>
      </c>
      <c r="J1157" t="str">
        <f>MID(H1157,FIND("(",H1157)+1,FIND(")",H1157)-FIND("(",H1157)-1)</f>
        <v>5-8 yrs</v>
      </c>
      <c r="L1157">
        <v>177265</v>
      </c>
      <c r="M1157" t="s">
        <v>2438</v>
      </c>
      <c r="N1157" t="s">
        <v>149</v>
      </c>
      <c r="O1157" t="s">
        <v>22</v>
      </c>
      <c r="P1157" s="1">
        <v>45353</v>
      </c>
      <c r="Q1157">
        <v>1474</v>
      </c>
      <c r="R1157">
        <v>2250</v>
      </c>
      <c r="S1157" t="s">
        <v>34</v>
      </c>
      <c r="T1157">
        <v>4</v>
      </c>
      <c r="U1157" t="s">
        <v>83</v>
      </c>
      <c r="V1157" t="s">
        <v>24</v>
      </c>
      <c r="W1157" t="s">
        <v>34</v>
      </c>
    </row>
    <row r="1158" spans="1:23" x14ac:dyDescent="0.3">
      <c r="A1158" t="s">
        <v>2439</v>
      </c>
      <c r="B1158" t="s">
        <v>131</v>
      </c>
      <c r="C1158" t="s">
        <v>167</v>
      </c>
      <c r="D1158" t="s">
        <v>49</v>
      </c>
      <c r="E1158" t="s">
        <v>5140</v>
      </c>
      <c r="F1158" t="s">
        <v>5133</v>
      </c>
      <c r="G1158" t="s">
        <v>18</v>
      </c>
      <c r="H1158" t="s">
        <v>19</v>
      </c>
      <c r="I1158" t="str">
        <f>LEFT(H1158,FIND(" (",H1158)-1)</f>
        <v>Entry</v>
      </c>
      <c r="J1158" t="str">
        <f>MID(H1158,FIND("(",H1158)+1,FIND(")",H1158)-FIND("(",H1158)-1)</f>
        <v>0-2 yrs</v>
      </c>
      <c r="L1158">
        <v>61329</v>
      </c>
      <c r="M1158" t="s">
        <v>2440</v>
      </c>
      <c r="N1158" t="s">
        <v>68</v>
      </c>
      <c r="O1158" t="s">
        <v>51</v>
      </c>
      <c r="P1158" s="1">
        <v>45423</v>
      </c>
      <c r="Q1158">
        <v>455</v>
      </c>
      <c r="R1158">
        <v>3243</v>
      </c>
      <c r="S1158" t="s">
        <v>99</v>
      </c>
      <c r="T1158">
        <v>0</v>
      </c>
      <c r="U1158" t="s">
        <v>83</v>
      </c>
      <c r="V1158" t="s">
        <v>24</v>
      </c>
      <c r="W1158" t="s">
        <v>34</v>
      </c>
    </row>
    <row r="1159" spans="1:23" x14ac:dyDescent="0.3">
      <c r="A1159" t="s">
        <v>2441</v>
      </c>
      <c r="B1159" t="s">
        <v>225</v>
      </c>
      <c r="C1159" t="s">
        <v>226</v>
      </c>
      <c r="D1159" t="s">
        <v>49</v>
      </c>
      <c r="E1159" t="s">
        <v>16</v>
      </c>
      <c r="F1159" t="s">
        <v>17</v>
      </c>
      <c r="G1159" t="s">
        <v>18</v>
      </c>
      <c r="H1159" t="s">
        <v>31</v>
      </c>
      <c r="I1159" t="str">
        <f>LEFT(H1159,FIND(" (",H1159)-1)</f>
        <v>Staff/Principal</v>
      </c>
      <c r="J1159" t="str">
        <f>MID(H1159,FIND("(",H1159)+1,FIND(")",H1159)-FIND("(",H1159)-1)</f>
        <v>8+ yrs</v>
      </c>
      <c r="L1159">
        <v>281087</v>
      </c>
      <c r="M1159" t="s">
        <v>2442</v>
      </c>
      <c r="N1159" t="s">
        <v>33</v>
      </c>
      <c r="O1159" t="s">
        <v>51</v>
      </c>
      <c r="P1159" s="1">
        <v>45533</v>
      </c>
      <c r="Q1159">
        <v>784</v>
      </c>
      <c r="R1159">
        <v>1017</v>
      </c>
      <c r="S1159" t="s">
        <v>23</v>
      </c>
      <c r="T1159">
        <v>6</v>
      </c>
      <c r="U1159" t="s">
        <v>45</v>
      </c>
      <c r="V1159" t="s">
        <v>24</v>
      </c>
      <c r="W1159" t="s">
        <v>23</v>
      </c>
    </row>
    <row r="1160" spans="1:23" x14ac:dyDescent="0.3">
      <c r="A1160" t="s">
        <v>2443</v>
      </c>
      <c r="B1160" t="s">
        <v>61</v>
      </c>
      <c r="C1160" t="s">
        <v>204</v>
      </c>
      <c r="D1160" t="s">
        <v>38</v>
      </c>
      <c r="E1160" t="s">
        <v>5132</v>
      </c>
      <c r="F1160" t="s">
        <v>5133</v>
      </c>
      <c r="G1160" t="s">
        <v>18</v>
      </c>
      <c r="H1160" t="s">
        <v>19</v>
      </c>
      <c r="I1160" t="str">
        <f>LEFT(H1160,FIND(" (",H1160)-1)</f>
        <v>Entry</v>
      </c>
      <c r="J1160" t="str">
        <f>MID(H1160,FIND("(",H1160)+1,FIND(")",H1160)-FIND("(",H1160)-1)</f>
        <v>0-2 yrs</v>
      </c>
      <c r="L1160">
        <v>82370</v>
      </c>
      <c r="M1160" t="s">
        <v>2444</v>
      </c>
      <c r="N1160" t="s">
        <v>186</v>
      </c>
      <c r="O1160" t="s">
        <v>51</v>
      </c>
      <c r="P1160" s="1">
        <v>45351</v>
      </c>
      <c r="Q1160">
        <v>2440</v>
      </c>
      <c r="R1160">
        <v>3150</v>
      </c>
      <c r="S1160" t="s">
        <v>23</v>
      </c>
      <c r="T1160">
        <v>0</v>
      </c>
      <c r="U1160" t="s">
        <v>52</v>
      </c>
      <c r="V1160" t="s">
        <v>24</v>
      </c>
      <c r="W1160" t="s">
        <v>34</v>
      </c>
    </row>
    <row r="1161" spans="1:23" x14ac:dyDescent="0.3">
      <c r="A1161" t="s">
        <v>2445</v>
      </c>
      <c r="B1161" t="s">
        <v>13</v>
      </c>
      <c r="C1161" t="s">
        <v>107</v>
      </c>
      <c r="D1161" t="s">
        <v>147</v>
      </c>
      <c r="E1161" t="s">
        <v>200</v>
      </c>
      <c r="F1161" t="s">
        <v>201</v>
      </c>
      <c r="G1161" t="s">
        <v>18</v>
      </c>
      <c r="H1161" t="s">
        <v>56</v>
      </c>
      <c r="I1161" t="str">
        <f>LEFT(H1161,FIND(" (",H1161)-1)</f>
        <v>Mid</v>
      </c>
      <c r="J1161" t="str">
        <f>MID(H1161,FIND("(",H1161)+1,FIND(")",H1161)-FIND("(",H1161)-1)</f>
        <v>2-5 yrs</v>
      </c>
      <c r="L1161">
        <v>103568</v>
      </c>
      <c r="M1161" t="s">
        <v>2446</v>
      </c>
      <c r="N1161" t="s">
        <v>33</v>
      </c>
      <c r="O1161" t="s">
        <v>51</v>
      </c>
      <c r="P1161" s="1">
        <v>45569</v>
      </c>
      <c r="Q1161">
        <v>605</v>
      </c>
      <c r="R1161">
        <v>3344</v>
      </c>
      <c r="S1161" t="s">
        <v>34</v>
      </c>
      <c r="T1161">
        <v>2</v>
      </c>
      <c r="U1161" t="s">
        <v>52</v>
      </c>
      <c r="V1161" t="s">
        <v>24</v>
      </c>
      <c r="W1161" t="s">
        <v>34</v>
      </c>
    </row>
    <row r="1162" spans="1:23" x14ac:dyDescent="0.3">
      <c r="A1162" t="s">
        <v>2447</v>
      </c>
      <c r="B1162" t="s">
        <v>70</v>
      </c>
      <c r="C1162" t="s">
        <v>239</v>
      </c>
      <c r="D1162" t="s">
        <v>111</v>
      </c>
      <c r="E1162" t="s">
        <v>159</v>
      </c>
      <c r="F1162" t="s">
        <v>160</v>
      </c>
      <c r="G1162" t="s">
        <v>41</v>
      </c>
      <c r="H1162" t="s">
        <v>31</v>
      </c>
      <c r="I1162" t="str">
        <f>LEFT(H1162,FIND(" (",H1162)-1)</f>
        <v>Staff/Principal</v>
      </c>
      <c r="J1162" t="str">
        <f>MID(H1162,FIND("(",H1162)+1,FIND(")",H1162)-FIND("(",H1162)-1)</f>
        <v>8+ yrs</v>
      </c>
      <c r="L1162">
        <v>110021</v>
      </c>
      <c r="M1162" t="s">
        <v>2448</v>
      </c>
      <c r="N1162" t="s">
        <v>33</v>
      </c>
      <c r="O1162" t="s">
        <v>44</v>
      </c>
      <c r="P1162" s="1">
        <v>45682</v>
      </c>
      <c r="Q1162">
        <v>1253</v>
      </c>
      <c r="R1162">
        <v>1279</v>
      </c>
      <c r="S1162" t="s">
        <v>23</v>
      </c>
      <c r="T1162">
        <v>6</v>
      </c>
      <c r="U1162" t="s">
        <v>5123</v>
      </c>
      <c r="V1162" t="s">
        <v>24</v>
      </c>
      <c r="W1162" t="s">
        <v>34</v>
      </c>
    </row>
    <row r="1163" spans="1:23" x14ac:dyDescent="0.3">
      <c r="A1163" t="s">
        <v>2449</v>
      </c>
      <c r="B1163" t="s">
        <v>13</v>
      </c>
      <c r="C1163" t="s">
        <v>128</v>
      </c>
      <c r="D1163" t="s">
        <v>49</v>
      </c>
      <c r="E1163" t="s">
        <v>159</v>
      </c>
      <c r="F1163" t="s">
        <v>160</v>
      </c>
      <c r="G1163" t="s">
        <v>18</v>
      </c>
      <c r="H1163" t="s">
        <v>66</v>
      </c>
      <c r="I1163" t="str">
        <f>LEFT(H1163,FIND(" (",H1163)-1)</f>
        <v>Senior</v>
      </c>
      <c r="J1163" t="str">
        <f>MID(H1163,FIND("(",H1163)+1,FIND(")",H1163)-FIND("(",H1163)-1)</f>
        <v>5-8 yrs</v>
      </c>
      <c r="L1163">
        <v>211855</v>
      </c>
      <c r="M1163" t="s">
        <v>2450</v>
      </c>
      <c r="N1163" t="s">
        <v>141</v>
      </c>
      <c r="O1163" t="s">
        <v>51</v>
      </c>
      <c r="P1163" s="1">
        <v>45685</v>
      </c>
      <c r="Q1163">
        <v>1310</v>
      </c>
      <c r="R1163">
        <v>2270</v>
      </c>
      <c r="S1163" t="s">
        <v>23</v>
      </c>
      <c r="T1163">
        <v>4</v>
      </c>
      <c r="U1163" t="s">
        <v>5123</v>
      </c>
      <c r="V1163" t="s">
        <v>24</v>
      </c>
      <c r="W1163" t="s">
        <v>23</v>
      </c>
    </row>
    <row r="1164" spans="1:23" x14ac:dyDescent="0.3">
      <c r="A1164" t="s">
        <v>2451</v>
      </c>
      <c r="B1164" t="s">
        <v>172</v>
      </c>
      <c r="C1164" t="s">
        <v>226</v>
      </c>
      <c r="D1164" t="s">
        <v>28</v>
      </c>
      <c r="E1164" t="s">
        <v>5132</v>
      </c>
      <c r="F1164" t="s">
        <v>5133</v>
      </c>
      <c r="G1164" t="s">
        <v>55</v>
      </c>
      <c r="H1164" t="s">
        <v>31</v>
      </c>
      <c r="I1164" t="str">
        <f>LEFT(H1164,FIND(" (",H1164)-1)</f>
        <v>Staff/Principal</v>
      </c>
      <c r="J1164" t="str">
        <f>MID(H1164,FIND("(",H1164)+1,FIND(")",H1164)-FIND("(",H1164)-1)</f>
        <v>8+ yrs</v>
      </c>
      <c r="L1164">
        <v>149975</v>
      </c>
      <c r="M1164" t="s">
        <v>2452</v>
      </c>
      <c r="N1164" t="s">
        <v>43</v>
      </c>
      <c r="O1164" t="s">
        <v>22</v>
      </c>
      <c r="P1164" s="1">
        <v>45360</v>
      </c>
      <c r="Q1164">
        <v>486</v>
      </c>
      <c r="R1164">
        <v>3132</v>
      </c>
      <c r="S1164" t="s">
        <v>23</v>
      </c>
      <c r="T1164">
        <v>6</v>
      </c>
      <c r="U1164" t="s">
        <v>83</v>
      </c>
      <c r="V1164" t="s">
        <v>24</v>
      </c>
      <c r="W1164" t="s">
        <v>34</v>
      </c>
    </row>
    <row r="1165" spans="1:23" x14ac:dyDescent="0.3">
      <c r="A1165" t="s">
        <v>2453</v>
      </c>
      <c r="B1165" t="s">
        <v>137</v>
      </c>
      <c r="C1165" t="s">
        <v>146</v>
      </c>
      <c r="D1165" t="s">
        <v>125</v>
      </c>
      <c r="E1165" t="s">
        <v>64</v>
      </c>
      <c r="F1165" t="s">
        <v>65</v>
      </c>
      <c r="G1165" t="s">
        <v>18</v>
      </c>
      <c r="H1165" t="s">
        <v>19</v>
      </c>
      <c r="I1165" t="str">
        <f>LEFT(H1165,FIND(" (",H1165)-1)</f>
        <v>Entry</v>
      </c>
      <c r="J1165" t="str">
        <f>MID(H1165,FIND("(",H1165)+1,FIND(")",H1165)-FIND("(",H1165)-1)</f>
        <v>0-2 yrs</v>
      </c>
      <c r="L1165">
        <v>50000</v>
      </c>
      <c r="M1165" t="s">
        <v>2454</v>
      </c>
      <c r="N1165" t="s">
        <v>89</v>
      </c>
      <c r="O1165" t="s">
        <v>22</v>
      </c>
      <c r="P1165" s="1">
        <v>45441</v>
      </c>
      <c r="Q1165">
        <v>564</v>
      </c>
      <c r="R1165">
        <v>1818</v>
      </c>
      <c r="S1165" t="s">
        <v>34</v>
      </c>
      <c r="T1165">
        <v>0</v>
      </c>
      <c r="U1165" t="s">
        <v>58</v>
      </c>
      <c r="V1165" t="s">
        <v>24</v>
      </c>
      <c r="W1165" t="s">
        <v>23</v>
      </c>
    </row>
    <row r="1166" spans="1:23" x14ac:dyDescent="0.3">
      <c r="A1166" t="s">
        <v>2455</v>
      </c>
      <c r="B1166" t="s">
        <v>172</v>
      </c>
      <c r="C1166" t="s">
        <v>204</v>
      </c>
      <c r="D1166" t="s">
        <v>49</v>
      </c>
      <c r="E1166" t="s">
        <v>5141</v>
      </c>
      <c r="F1166" t="s">
        <v>5133</v>
      </c>
      <c r="G1166" t="s">
        <v>18</v>
      </c>
      <c r="H1166" t="s">
        <v>19</v>
      </c>
      <c r="I1166" t="str">
        <f>LEFT(H1166,FIND(" (",H1166)-1)</f>
        <v>Entry</v>
      </c>
      <c r="J1166" t="str">
        <f>MID(H1166,FIND("(",H1166)+1,FIND(")",H1166)-FIND("(",H1166)-1)</f>
        <v>0-2 yrs</v>
      </c>
      <c r="L1166">
        <v>82884</v>
      </c>
      <c r="M1166" t="s">
        <v>2456</v>
      </c>
      <c r="N1166" t="s">
        <v>33</v>
      </c>
      <c r="O1166" t="s">
        <v>51</v>
      </c>
      <c r="P1166" s="1">
        <v>45426</v>
      </c>
      <c r="Q1166">
        <v>1557</v>
      </c>
      <c r="R1166">
        <v>944</v>
      </c>
      <c r="S1166" t="s">
        <v>23</v>
      </c>
      <c r="T1166">
        <v>0</v>
      </c>
      <c r="U1166" t="s">
        <v>52</v>
      </c>
      <c r="V1166" t="s">
        <v>59</v>
      </c>
      <c r="W1166" t="s">
        <v>34</v>
      </c>
    </row>
    <row r="1167" spans="1:23" x14ac:dyDescent="0.3">
      <c r="A1167" t="s">
        <v>2457</v>
      </c>
      <c r="B1167" t="s">
        <v>70</v>
      </c>
      <c r="C1167" t="s">
        <v>71</v>
      </c>
      <c r="D1167" t="s">
        <v>147</v>
      </c>
      <c r="E1167" t="s">
        <v>76</v>
      </c>
      <c r="F1167" t="s">
        <v>77</v>
      </c>
      <c r="G1167" t="s">
        <v>55</v>
      </c>
      <c r="H1167" t="s">
        <v>66</v>
      </c>
      <c r="I1167" t="str">
        <f>LEFT(H1167,FIND(" (",H1167)-1)</f>
        <v>Senior</v>
      </c>
      <c r="J1167" t="str">
        <f>MID(H1167,FIND("(",H1167)+1,FIND(")",H1167)-FIND("(",H1167)-1)</f>
        <v>5-8 yrs</v>
      </c>
      <c r="L1167">
        <v>215873</v>
      </c>
      <c r="M1167" t="s">
        <v>2458</v>
      </c>
      <c r="N1167" t="s">
        <v>120</v>
      </c>
      <c r="O1167" t="s">
        <v>51</v>
      </c>
      <c r="P1167" s="1">
        <v>45653</v>
      </c>
      <c r="Q1167">
        <v>1949</v>
      </c>
      <c r="R1167">
        <v>614</v>
      </c>
      <c r="S1167" t="s">
        <v>99</v>
      </c>
      <c r="T1167">
        <v>4</v>
      </c>
      <c r="U1167" t="s">
        <v>52</v>
      </c>
      <c r="V1167" t="s">
        <v>24</v>
      </c>
      <c r="W1167" t="s">
        <v>23</v>
      </c>
    </row>
    <row r="1168" spans="1:23" x14ac:dyDescent="0.3">
      <c r="A1168" t="s">
        <v>2459</v>
      </c>
      <c r="B1168" t="s">
        <v>229</v>
      </c>
      <c r="C1168" t="s">
        <v>209</v>
      </c>
      <c r="D1168" t="s">
        <v>63</v>
      </c>
      <c r="E1168" t="s">
        <v>5139</v>
      </c>
      <c r="F1168" t="s">
        <v>5133</v>
      </c>
      <c r="G1168" t="s">
        <v>18</v>
      </c>
      <c r="H1168" t="s">
        <v>31</v>
      </c>
      <c r="I1168" t="str">
        <f>LEFT(H1168,FIND(" (",H1168)-1)</f>
        <v>Staff/Principal</v>
      </c>
      <c r="J1168" t="str">
        <f>MID(H1168,FIND("(",H1168)+1,FIND(")",H1168)-FIND("(",H1168)-1)</f>
        <v>8+ yrs</v>
      </c>
      <c r="L1168">
        <v>249833</v>
      </c>
      <c r="M1168" t="s">
        <v>2460</v>
      </c>
      <c r="N1168" t="s">
        <v>245</v>
      </c>
      <c r="O1168" t="s">
        <v>79</v>
      </c>
      <c r="P1168" s="1">
        <v>45361</v>
      </c>
      <c r="Q1168">
        <v>1145</v>
      </c>
      <c r="R1168">
        <v>3872</v>
      </c>
      <c r="S1168" t="s">
        <v>23</v>
      </c>
      <c r="T1168">
        <v>6</v>
      </c>
      <c r="U1168" t="s">
        <v>83</v>
      </c>
      <c r="V1168" t="s">
        <v>46</v>
      </c>
      <c r="W1168" t="s">
        <v>34</v>
      </c>
    </row>
    <row r="1169" spans="1:23" x14ac:dyDescent="0.3">
      <c r="A1169" t="s">
        <v>2461</v>
      </c>
      <c r="B1169" t="s">
        <v>329</v>
      </c>
      <c r="C1169" t="s">
        <v>182</v>
      </c>
      <c r="D1169" t="s">
        <v>15</v>
      </c>
      <c r="E1169" t="s">
        <v>5141</v>
      </c>
      <c r="F1169" t="s">
        <v>5133</v>
      </c>
      <c r="G1169" t="s">
        <v>41</v>
      </c>
      <c r="H1169" t="s">
        <v>56</v>
      </c>
      <c r="I1169" t="str">
        <f>LEFT(H1169,FIND(" (",H1169)-1)</f>
        <v>Mid</v>
      </c>
      <c r="J1169" t="str">
        <f>MID(H1169,FIND("(",H1169)+1,FIND(")",H1169)-FIND("(",H1169)-1)</f>
        <v>2-5 yrs</v>
      </c>
      <c r="L1169">
        <v>121165</v>
      </c>
      <c r="M1169" t="s">
        <v>2462</v>
      </c>
      <c r="N1169" t="s">
        <v>33</v>
      </c>
      <c r="O1169" t="s">
        <v>44</v>
      </c>
      <c r="P1169" s="1">
        <v>45403</v>
      </c>
      <c r="Q1169">
        <v>2417</v>
      </c>
      <c r="R1169">
        <v>3772</v>
      </c>
      <c r="S1169" t="s">
        <v>99</v>
      </c>
      <c r="T1169">
        <v>2</v>
      </c>
      <c r="U1169" t="s">
        <v>58</v>
      </c>
      <c r="V1169" t="s">
        <v>24</v>
      </c>
      <c r="W1169" t="s">
        <v>34</v>
      </c>
    </row>
    <row r="1170" spans="1:23" x14ac:dyDescent="0.3">
      <c r="A1170" t="s">
        <v>2463</v>
      </c>
      <c r="B1170" t="s">
        <v>229</v>
      </c>
      <c r="C1170" t="s">
        <v>116</v>
      </c>
      <c r="D1170" t="s">
        <v>111</v>
      </c>
      <c r="E1170" t="s">
        <v>5141</v>
      </c>
      <c r="F1170" t="s">
        <v>5133</v>
      </c>
      <c r="G1170" t="s">
        <v>41</v>
      </c>
      <c r="H1170" t="s">
        <v>66</v>
      </c>
      <c r="I1170" t="str">
        <f>LEFT(H1170,FIND(" (",H1170)-1)</f>
        <v>Senior</v>
      </c>
      <c r="J1170" t="str">
        <f>MID(H1170,FIND("(",H1170)+1,FIND(")",H1170)-FIND("(",H1170)-1)</f>
        <v>5-8 yrs</v>
      </c>
      <c r="L1170">
        <v>166058</v>
      </c>
      <c r="M1170" t="s">
        <v>2464</v>
      </c>
      <c r="N1170" t="s">
        <v>33</v>
      </c>
      <c r="O1170" t="s">
        <v>44</v>
      </c>
      <c r="P1170" s="1">
        <v>45424</v>
      </c>
      <c r="Q1170">
        <v>2242</v>
      </c>
      <c r="R1170">
        <v>829</v>
      </c>
      <c r="S1170" t="s">
        <v>23</v>
      </c>
      <c r="T1170">
        <v>4</v>
      </c>
      <c r="U1170" t="s">
        <v>5123</v>
      </c>
      <c r="V1170" t="s">
        <v>46</v>
      </c>
      <c r="W1170" t="s">
        <v>34</v>
      </c>
    </row>
    <row r="1171" spans="1:23" x14ac:dyDescent="0.3">
      <c r="A1171" t="s">
        <v>2465</v>
      </c>
      <c r="B1171" t="s">
        <v>172</v>
      </c>
      <c r="C1171" t="s">
        <v>107</v>
      </c>
      <c r="D1171" t="s">
        <v>63</v>
      </c>
      <c r="E1171" t="s">
        <v>16</v>
      </c>
      <c r="F1171" t="s">
        <v>17</v>
      </c>
      <c r="G1171" t="s">
        <v>41</v>
      </c>
      <c r="H1171" t="s">
        <v>31</v>
      </c>
      <c r="I1171" t="str">
        <f>LEFT(H1171,FIND(" (",H1171)-1)</f>
        <v>Staff/Principal</v>
      </c>
      <c r="J1171" t="str">
        <f>MID(H1171,FIND("(",H1171)+1,FIND(")",H1171)-FIND("(",H1171)-1)</f>
        <v>8+ yrs</v>
      </c>
      <c r="L1171">
        <v>230722</v>
      </c>
      <c r="M1171" t="s">
        <v>2466</v>
      </c>
      <c r="N1171" t="s">
        <v>186</v>
      </c>
      <c r="O1171" t="s">
        <v>51</v>
      </c>
      <c r="P1171" s="1">
        <v>45452</v>
      </c>
      <c r="Q1171">
        <v>2197</v>
      </c>
      <c r="R1171">
        <v>2057</v>
      </c>
      <c r="S1171" t="s">
        <v>23</v>
      </c>
      <c r="T1171">
        <v>6</v>
      </c>
      <c r="U1171" t="s">
        <v>45</v>
      </c>
      <c r="V1171" t="s">
        <v>24</v>
      </c>
      <c r="W1171" t="s">
        <v>34</v>
      </c>
    </row>
    <row r="1172" spans="1:23" x14ac:dyDescent="0.3">
      <c r="A1172" t="s">
        <v>2467</v>
      </c>
      <c r="B1172" t="s">
        <v>70</v>
      </c>
      <c r="C1172" t="s">
        <v>107</v>
      </c>
      <c r="D1172" t="s">
        <v>125</v>
      </c>
      <c r="E1172" t="s">
        <v>29</v>
      </c>
      <c r="F1172" t="s">
        <v>30</v>
      </c>
      <c r="G1172" t="s">
        <v>55</v>
      </c>
      <c r="H1172" t="s">
        <v>19</v>
      </c>
      <c r="I1172" t="str">
        <f>LEFT(H1172,FIND(" (",H1172)-1)</f>
        <v>Entry</v>
      </c>
      <c r="J1172" t="str">
        <f>MID(H1172,FIND("(",H1172)+1,FIND(")",H1172)-FIND("(",H1172)-1)</f>
        <v>0-2 yrs</v>
      </c>
      <c r="L1172">
        <v>79562</v>
      </c>
      <c r="M1172" t="s">
        <v>2468</v>
      </c>
      <c r="N1172" t="s">
        <v>33</v>
      </c>
      <c r="O1172" t="s">
        <v>51</v>
      </c>
      <c r="P1172" s="1">
        <v>45561</v>
      </c>
      <c r="Q1172">
        <v>1144</v>
      </c>
      <c r="R1172">
        <v>748</v>
      </c>
      <c r="S1172" t="s">
        <v>34</v>
      </c>
      <c r="T1172">
        <v>0</v>
      </c>
      <c r="U1172" t="s">
        <v>52</v>
      </c>
      <c r="V1172" t="s">
        <v>24</v>
      </c>
      <c r="W1172" t="s">
        <v>23</v>
      </c>
    </row>
    <row r="1173" spans="1:23" x14ac:dyDescent="0.3">
      <c r="A1173" t="s">
        <v>2469</v>
      </c>
      <c r="B1173" t="s">
        <v>96</v>
      </c>
      <c r="C1173" t="s">
        <v>101</v>
      </c>
      <c r="D1173" t="s">
        <v>147</v>
      </c>
      <c r="E1173" t="s">
        <v>5137</v>
      </c>
      <c r="F1173" t="s">
        <v>5138</v>
      </c>
      <c r="G1173" t="s">
        <v>41</v>
      </c>
      <c r="H1173" t="s">
        <v>19</v>
      </c>
      <c r="I1173" t="str">
        <f>LEFT(H1173,FIND(" (",H1173)-1)</f>
        <v>Entry</v>
      </c>
      <c r="J1173" t="str">
        <f>MID(H1173,FIND("(",H1173)+1,FIND(")",H1173)-FIND("(",H1173)-1)</f>
        <v>0-2 yrs</v>
      </c>
      <c r="L1173">
        <v>73543</v>
      </c>
      <c r="M1173" t="s">
        <v>2470</v>
      </c>
      <c r="N1173" t="s">
        <v>89</v>
      </c>
      <c r="O1173" t="s">
        <v>22</v>
      </c>
      <c r="P1173" s="1">
        <v>45719</v>
      </c>
      <c r="Q1173">
        <v>1506</v>
      </c>
      <c r="R1173">
        <v>655</v>
      </c>
      <c r="S1173" t="s">
        <v>23</v>
      </c>
      <c r="T1173">
        <v>0</v>
      </c>
      <c r="U1173" t="s">
        <v>83</v>
      </c>
      <c r="V1173" t="s">
        <v>24</v>
      </c>
      <c r="W1173" t="s">
        <v>34</v>
      </c>
    </row>
    <row r="1174" spans="1:23" x14ac:dyDescent="0.3">
      <c r="A1174" t="s">
        <v>2471</v>
      </c>
      <c r="B1174" t="s">
        <v>26</v>
      </c>
      <c r="C1174" t="s">
        <v>128</v>
      </c>
      <c r="D1174" t="s">
        <v>125</v>
      </c>
      <c r="E1174" t="s">
        <v>200</v>
      </c>
      <c r="F1174" t="s">
        <v>201</v>
      </c>
      <c r="G1174" t="s">
        <v>41</v>
      </c>
      <c r="H1174" t="s">
        <v>31</v>
      </c>
      <c r="I1174" t="str">
        <f>LEFT(H1174,FIND(" (",H1174)-1)</f>
        <v>Staff/Principal</v>
      </c>
      <c r="J1174" t="str">
        <f>MID(H1174,FIND("(",H1174)+1,FIND(")",H1174)-FIND("(",H1174)-1)</f>
        <v>8+ yrs</v>
      </c>
      <c r="L1174">
        <v>203751</v>
      </c>
      <c r="M1174" t="s">
        <v>2472</v>
      </c>
      <c r="N1174" t="s">
        <v>21</v>
      </c>
      <c r="O1174" t="s">
        <v>22</v>
      </c>
      <c r="P1174" s="1">
        <v>45308</v>
      </c>
      <c r="Q1174">
        <v>1038</v>
      </c>
      <c r="R1174">
        <v>3069</v>
      </c>
      <c r="S1174" t="s">
        <v>23</v>
      </c>
      <c r="T1174">
        <v>6</v>
      </c>
      <c r="U1174" t="s">
        <v>83</v>
      </c>
      <c r="V1174" t="s">
        <v>59</v>
      </c>
      <c r="W1174" t="s">
        <v>34</v>
      </c>
    </row>
    <row r="1175" spans="1:23" x14ac:dyDescent="0.3">
      <c r="A1175" t="s">
        <v>2473</v>
      </c>
      <c r="B1175" t="s">
        <v>36</v>
      </c>
      <c r="C1175" t="s">
        <v>146</v>
      </c>
      <c r="D1175" t="s">
        <v>63</v>
      </c>
      <c r="E1175" t="s">
        <v>5134</v>
      </c>
      <c r="F1175" t="s">
        <v>5133</v>
      </c>
      <c r="G1175" t="s">
        <v>18</v>
      </c>
      <c r="H1175" t="s">
        <v>56</v>
      </c>
      <c r="I1175" t="str">
        <f>LEFT(H1175,FIND(" (",H1175)-1)</f>
        <v>Mid</v>
      </c>
      <c r="J1175" t="str">
        <f>MID(H1175,FIND("(",H1175)+1,FIND(")",H1175)-FIND("(",H1175)-1)</f>
        <v>2-5 yrs</v>
      </c>
      <c r="L1175">
        <v>108760</v>
      </c>
      <c r="M1175" t="s">
        <v>2474</v>
      </c>
      <c r="N1175" t="s">
        <v>149</v>
      </c>
      <c r="O1175" t="s">
        <v>44</v>
      </c>
      <c r="P1175" s="1">
        <v>45716</v>
      </c>
      <c r="Q1175">
        <v>379</v>
      </c>
      <c r="R1175">
        <v>3784</v>
      </c>
      <c r="S1175" t="s">
        <v>34</v>
      </c>
      <c r="T1175">
        <v>2</v>
      </c>
      <c r="U1175" t="s">
        <v>5123</v>
      </c>
      <c r="V1175" t="s">
        <v>24</v>
      </c>
      <c r="W1175" t="s">
        <v>34</v>
      </c>
    </row>
    <row r="1176" spans="1:23" x14ac:dyDescent="0.3">
      <c r="A1176" t="s">
        <v>2475</v>
      </c>
      <c r="B1176" t="s">
        <v>229</v>
      </c>
      <c r="C1176" t="s">
        <v>54</v>
      </c>
      <c r="D1176" t="s">
        <v>111</v>
      </c>
      <c r="E1176" t="s">
        <v>5140</v>
      </c>
      <c r="F1176" t="s">
        <v>5133</v>
      </c>
      <c r="G1176" t="s">
        <v>55</v>
      </c>
      <c r="H1176" t="s">
        <v>66</v>
      </c>
      <c r="I1176" t="str">
        <f>LEFT(H1176,FIND(" (",H1176)-1)</f>
        <v>Senior</v>
      </c>
      <c r="J1176" t="str">
        <f>MID(H1176,FIND("(",H1176)+1,FIND(")",H1176)-FIND("(",H1176)-1)</f>
        <v>5-8 yrs</v>
      </c>
      <c r="L1176">
        <v>129642</v>
      </c>
      <c r="M1176" t="s">
        <v>2476</v>
      </c>
      <c r="N1176" t="s">
        <v>33</v>
      </c>
      <c r="O1176" t="s">
        <v>22</v>
      </c>
      <c r="P1176" s="1">
        <v>45441</v>
      </c>
      <c r="Q1176">
        <v>763</v>
      </c>
      <c r="R1176">
        <v>3544</v>
      </c>
      <c r="S1176" t="s">
        <v>23</v>
      </c>
      <c r="T1176">
        <v>4</v>
      </c>
      <c r="U1176" t="s">
        <v>52</v>
      </c>
      <c r="V1176" t="s">
        <v>24</v>
      </c>
      <c r="W1176" t="s">
        <v>23</v>
      </c>
    </row>
    <row r="1177" spans="1:23" x14ac:dyDescent="0.3">
      <c r="A1177" t="s">
        <v>2477</v>
      </c>
      <c r="B1177" t="s">
        <v>329</v>
      </c>
      <c r="C1177" t="s">
        <v>195</v>
      </c>
      <c r="D1177" t="s">
        <v>111</v>
      </c>
      <c r="E1177" t="s">
        <v>133</v>
      </c>
      <c r="F1177" t="s">
        <v>134</v>
      </c>
      <c r="G1177" t="s">
        <v>18</v>
      </c>
      <c r="H1177" t="s">
        <v>56</v>
      </c>
      <c r="I1177" t="str">
        <f>LEFT(H1177,FIND(" (",H1177)-1)</f>
        <v>Mid</v>
      </c>
      <c r="J1177" t="str">
        <f>MID(H1177,FIND("(",H1177)+1,FIND(")",H1177)-FIND("(",H1177)-1)</f>
        <v>2-5 yrs</v>
      </c>
      <c r="L1177">
        <v>104442</v>
      </c>
      <c r="M1177" t="s">
        <v>2478</v>
      </c>
      <c r="N1177" t="s">
        <v>43</v>
      </c>
      <c r="O1177" t="s">
        <v>44</v>
      </c>
      <c r="P1177" s="1">
        <v>45405</v>
      </c>
      <c r="Q1177">
        <v>1631</v>
      </c>
      <c r="R1177">
        <v>455</v>
      </c>
      <c r="S1177" t="s">
        <v>23</v>
      </c>
      <c r="T1177">
        <v>2</v>
      </c>
      <c r="U1177" t="s">
        <v>52</v>
      </c>
      <c r="V1177" t="s">
        <v>59</v>
      </c>
      <c r="W1177" t="s">
        <v>34</v>
      </c>
    </row>
    <row r="1178" spans="1:23" x14ac:dyDescent="0.3">
      <c r="A1178" t="s">
        <v>2479</v>
      </c>
      <c r="B1178" t="s">
        <v>172</v>
      </c>
      <c r="C1178" t="s">
        <v>92</v>
      </c>
      <c r="D1178" t="s">
        <v>174</v>
      </c>
      <c r="E1178" t="s">
        <v>159</v>
      </c>
      <c r="F1178" t="s">
        <v>160</v>
      </c>
      <c r="G1178" t="s">
        <v>18</v>
      </c>
      <c r="H1178" t="s">
        <v>56</v>
      </c>
      <c r="I1178" t="str">
        <f>LEFT(H1178,FIND(" (",H1178)-1)</f>
        <v>Mid</v>
      </c>
      <c r="J1178" t="str">
        <f>MID(H1178,FIND("(",H1178)+1,FIND(")",H1178)-FIND("(",H1178)-1)</f>
        <v>2-5 yrs</v>
      </c>
      <c r="L1178">
        <v>76479</v>
      </c>
      <c r="M1178" t="s">
        <v>2480</v>
      </c>
      <c r="N1178" t="s">
        <v>141</v>
      </c>
      <c r="O1178" t="s">
        <v>51</v>
      </c>
      <c r="P1178" s="1">
        <v>45732</v>
      </c>
      <c r="Q1178">
        <v>1522</v>
      </c>
      <c r="R1178">
        <v>3173</v>
      </c>
      <c r="S1178" t="s">
        <v>23</v>
      </c>
      <c r="T1178">
        <v>2</v>
      </c>
      <c r="U1178" t="s">
        <v>58</v>
      </c>
      <c r="V1178" t="s">
        <v>24</v>
      </c>
      <c r="W1178" t="s">
        <v>23</v>
      </c>
    </row>
    <row r="1179" spans="1:23" x14ac:dyDescent="0.3">
      <c r="A1179" t="s">
        <v>2481</v>
      </c>
      <c r="B1179" t="s">
        <v>329</v>
      </c>
      <c r="C1179" t="s">
        <v>204</v>
      </c>
      <c r="D1179" t="s">
        <v>111</v>
      </c>
      <c r="E1179" t="s">
        <v>5134</v>
      </c>
      <c r="F1179" t="s">
        <v>5133</v>
      </c>
      <c r="G1179" t="s">
        <v>41</v>
      </c>
      <c r="H1179" t="s">
        <v>31</v>
      </c>
      <c r="I1179" t="str">
        <f>LEFT(H1179,FIND(" (",H1179)-1)</f>
        <v>Staff/Principal</v>
      </c>
      <c r="J1179" t="str">
        <f>MID(H1179,FIND("(",H1179)+1,FIND(")",H1179)-FIND("(",H1179)-1)</f>
        <v>8+ yrs</v>
      </c>
      <c r="L1179">
        <v>196459</v>
      </c>
      <c r="M1179" t="s">
        <v>2482</v>
      </c>
      <c r="N1179" t="s">
        <v>43</v>
      </c>
      <c r="O1179" t="s">
        <v>51</v>
      </c>
      <c r="P1179" s="1">
        <v>45713</v>
      </c>
      <c r="Q1179">
        <v>1830</v>
      </c>
      <c r="R1179">
        <v>105</v>
      </c>
      <c r="S1179" t="s">
        <v>23</v>
      </c>
      <c r="T1179">
        <v>6</v>
      </c>
      <c r="U1179" t="s">
        <v>5123</v>
      </c>
      <c r="V1179" t="s">
        <v>24</v>
      </c>
      <c r="W1179" t="s">
        <v>23</v>
      </c>
    </row>
    <row r="1180" spans="1:23" x14ac:dyDescent="0.3">
      <c r="A1180" t="s">
        <v>2483</v>
      </c>
      <c r="B1180" t="s">
        <v>81</v>
      </c>
      <c r="C1180" t="s">
        <v>37</v>
      </c>
      <c r="D1180" t="s">
        <v>125</v>
      </c>
      <c r="E1180" t="s">
        <v>5139</v>
      </c>
      <c r="F1180" t="s">
        <v>5133</v>
      </c>
      <c r="G1180" t="s">
        <v>41</v>
      </c>
      <c r="H1180" t="s">
        <v>19</v>
      </c>
      <c r="I1180" t="str">
        <f>LEFT(H1180,FIND(" (",H1180)-1)</f>
        <v>Entry</v>
      </c>
      <c r="J1180" t="str">
        <f>MID(H1180,FIND("(",H1180)+1,FIND(")",H1180)-FIND("(",H1180)-1)</f>
        <v>0-2 yrs</v>
      </c>
      <c r="L1180">
        <v>57543</v>
      </c>
      <c r="M1180" t="s">
        <v>2484</v>
      </c>
      <c r="N1180" t="s">
        <v>149</v>
      </c>
      <c r="O1180" t="s">
        <v>51</v>
      </c>
      <c r="P1180" s="1">
        <v>45478</v>
      </c>
      <c r="Q1180">
        <v>979</v>
      </c>
      <c r="R1180">
        <v>772</v>
      </c>
      <c r="S1180" t="s">
        <v>23</v>
      </c>
      <c r="T1180">
        <v>0</v>
      </c>
      <c r="U1180" t="s">
        <v>45</v>
      </c>
      <c r="V1180" t="s">
        <v>59</v>
      </c>
      <c r="W1180" t="s">
        <v>23</v>
      </c>
    </row>
    <row r="1181" spans="1:23" x14ac:dyDescent="0.3">
      <c r="A1181" t="s">
        <v>2485</v>
      </c>
      <c r="B1181" t="s">
        <v>91</v>
      </c>
      <c r="C1181" t="s">
        <v>226</v>
      </c>
      <c r="D1181" t="s">
        <v>38</v>
      </c>
      <c r="E1181" t="s">
        <v>16</v>
      </c>
      <c r="F1181" t="s">
        <v>17</v>
      </c>
      <c r="G1181" t="s">
        <v>18</v>
      </c>
      <c r="H1181" t="s">
        <v>19</v>
      </c>
      <c r="I1181" t="str">
        <f>LEFT(H1181,FIND(" (",H1181)-1)</f>
        <v>Entry</v>
      </c>
      <c r="J1181" t="str">
        <f>MID(H1181,FIND("(",H1181)+1,FIND(")",H1181)-FIND("(",H1181)-1)</f>
        <v>0-2 yrs</v>
      </c>
      <c r="L1181">
        <v>56094</v>
      </c>
      <c r="M1181" t="s">
        <v>2486</v>
      </c>
      <c r="N1181" t="s">
        <v>33</v>
      </c>
      <c r="O1181" t="s">
        <v>22</v>
      </c>
      <c r="P1181" s="1">
        <v>45585</v>
      </c>
      <c r="Q1181">
        <v>1009</v>
      </c>
      <c r="R1181">
        <v>36</v>
      </c>
      <c r="S1181" t="s">
        <v>99</v>
      </c>
      <c r="T1181">
        <v>0</v>
      </c>
      <c r="U1181" t="s">
        <v>52</v>
      </c>
      <c r="V1181" t="s">
        <v>24</v>
      </c>
      <c r="W1181" t="s">
        <v>34</v>
      </c>
    </row>
    <row r="1182" spans="1:23" x14ac:dyDescent="0.3">
      <c r="A1182" t="s">
        <v>2487</v>
      </c>
      <c r="B1182" t="s">
        <v>225</v>
      </c>
      <c r="C1182" t="s">
        <v>179</v>
      </c>
      <c r="D1182" t="s">
        <v>174</v>
      </c>
      <c r="E1182" t="s">
        <v>5141</v>
      </c>
      <c r="F1182" t="s">
        <v>5133</v>
      </c>
      <c r="G1182" t="s">
        <v>55</v>
      </c>
      <c r="H1182" t="s">
        <v>66</v>
      </c>
      <c r="I1182" t="str">
        <f>LEFT(H1182,FIND(" (",H1182)-1)</f>
        <v>Senior</v>
      </c>
      <c r="J1182" t="str">
        <f>MID(H1182,FIND("(",H1182)+1,FIND(")",H1182)-FIND("(",H1182)-1)</f>
        <v>5-8 yrs</v>
      </c>
      <c r="L1182">
        <v>154857</v>
      </c>
      <c r="M1182" t="s">
        <v>2488</v>
      </c>
      <c r="N1182" t="s">
        <v>43</v>
      </c>
      <c r="O1182" t="s">
        <v>44</v>
      </c>
      <c r="P1182" s="1">
        <v>45322</v>
      </c>
      <c r="Q1182">
        <v>436</v>
      </c>
      <c r="R1182">
        <v>935</v>
      </c>
      <c r="S1182" t="s">
        <v>99</v>
      </c>
      <c r="T1182">
        <v>4</v>
      </c>
      <c r="U1182" t="s">
        <v>83</v>
      </c>
      <c r="V1182" t="s">
        <v>24</v>
      </c>
      <c r="W1182" t="s">
        <v>23</v>
      </c>
    </row>
    <row r="1183" spans="1:23" x14ac:dyDescent="0.3">
      <c r="A1183" t="s">
        <v>2489</v>
      </c>
      <c r="B1183" t="s">
        <v>26</v>
      </c>
      <c r="C1183" t="s">
        <v>54</v>
      </c>
      <c r="D1183" t="s">
        <v>125</v>
      </c>
      <c r="E1183" t="s">
        <v>87</v>
      </c>
      <c r="F1183" t="s">
        <v>87</v>
      </c>
      <c r="G1183" t="s">
        <v>41</v>
      </c>
      <c r="H1183" t="s">
        <v>66</v>
      </c>
      <c r="I1183" t="str">
        <f>LEFT(H1183,FIND(" (",H1183)-1)</f>
        <v>Senior</v>
      </c>
      <c r="J1183" t="str">
        <f>MID(H1183,FIND("(",H1183)+1,FIND(")",H1183)-FIND("(",H1183)-1)</f>
        <v>5-8 yrs</v>
      </c>
      <c r="L1183">
        <v>187584</v>
      </c>
      <c r="M1183" t="s">
        <v>2490</v>
      </c>
      <c r="N1183" t="s">
        <v>33</v>
      </c>
      <c r="O1183" t="s">
        <v>51</v>
      </c>
      <c r="P1183" s="1">
        <v>45678</v>
      </c>
      <c r="Q1183">
        <v>841</v>
      </c>
      <c r="R1183">
        <v>39</v>
      </c>
      <c r="S1183" t="s">
        <v>23</v>
      </c>
      <c r="T1183">
        <v>4</v>
      </c>
      <c r="U1183" t="s">
        <v>5123</v>
      </c>
      <c r="V1183" t="s">
        <v>24</v>
      </c>
      <c r="W1183" t="s">
        <v>23</v>
      </c>
    </row>
    <row r="1184" spans="1:23" x14ac:dyDescent="0.3">
      <c r="A1184" t="s">
        <v>2491</v>
      </c>
      <c r="B1184" t="s">
        <v>26</v>
      </c>
      <c r="C1184" t="s">
        <v>71</v>
      </c>
      <c r="D1184" t="s">
        <v>174</v>
      </c>
      <c r="E1184" t="s">
        <v>5137</v>
      </c>
      <c r="F1184" t="s">
        <v>5138</v>
      </c>
      <c r="G1184" t="s">
        <v>18</v>
      </c>
      <c r="H1184" t="s">
        <v>56</v>
      </c>
      <c r="I1184" t="str">
        <f>LEFT(H1184,FIND(" (",H1184)-1)</f>
        <v>Mid</v>
      </c>
      <c r="J1184" t="str">
        <f>MID(H1184,FIND("(",H1184)+1,FIND(")",H1184)-FIND("(",H1184)-1)</f>
        <v>2-5 yrs</v>
      </c>
      <c r="L1184">
        <v>128182</v>
      </c>
      <c r="M1184" t="s">
        <v>2492</v>
      </c>
      <c r="N1184" t="s">
        <v>89</v>
      </c>
      <c r="O1184" t="s">
        <v>44</v>
      </c>
      <c r="P1184" s="1">
        <v>45695</v>
      </c>
      <c r="Q1184">
        <v>1908</v>
      </c>
      <c r="R1184">
        <v>1292</v>
      </c>
      <c r="S1184" t="s">
        <v>99</v>
      </c>
      <c r="T1184">
        <v>2</v>
      </c>
      <c r="U1184" t="s">
        <v>83</v>
      </c>
      <c r="V1184" t="s">
        <v>24</v>
      </c>
      <c r="W1184" t="s">
        <v>34</v>
      </c>
    </row>
    <row r="1185" spans="1:23" x14ac:dyDescent="0.3">
      <c r="A1185" t="s">
        <v>2493</v>
      </c>
      <c r="B1185" t="s">
        <v>229</v>
      </c>
      <c r="C1185" t="s">
        <v>110</v>
      </c>
      <c r="D1185" t="s">
        <v>15</v>
      </c>
      <c r="E1185" t="s">
        <v>64</v>
      </c>
      <c r="F1185" t="s">
        <v>65</v>
      </c>
      <c r="G1185" t="s">
        <v>18</v>
      </c>
      <c r="H1185" t="s">
        <v>19</v>
      </c>
      <c r="I1185" t="str">
        <f>LEFT(H1185,FIND(" (",H1185)-1)</f>
        <v>Entry</v>
      </c>
      <c r="J1185" t="str">
        <f>MID(H1185,FIND("(",H1185)+1,FIND(")",H1185)-FIND("(",H1185)-1)</f>
        <v>0-2 yrs</v>
      </c>
      <c r="L1185">
        <v>50211</v>
      </c>
      <c r="M1185" t="s">
        <v>2494</v>
      </c>
      <c r="N1185" t="s">
        <v>68</v>
      </c>
      <c r="O1185" t="s">
        <v>51</v>
      </c>
      <c r="P1185" s="1">
        <v>45546</v>
      </c>
      <c r="Q1185">
        <v>1398</v>
      </c>
      <c r="R1185">
        <v>2635</v>
      </c>
      <c r="S1185" t="s">
        <v>34</v>
      </c>
      <c r="T1185">
        <v>0</v>
      </c>
      <c r="U1185" t="s">
        <v>52</v>
      </c>
      <c r="V1185" t="s">
        <v>59</v>
      </c>
      <c r="W1185" t="s">
        <v>34</v>
      </c>
    </row>
    <row r="1186" spans="1:23" x14ac:dyDescent="0.3">
      <c r="A1186" t="s">
        <v>2495</v>
      </c>
      <c r="B1186" t="s">
        <v>13</v>
      </c>
      <c r="C1186" t="s">
        <v>209</v>
      </c>
      <c r="D1186" t="s">
        <v>147</v>
      </c>
      <c r="E1186" t="s">
        <v>102</v>
      </c>
      <c r="F1186" t="s">
        <v>103</v>
      </c>
      <c r="G1186" t="s">
        <v>18</v>
      </c>
      <c r="H1186" t="s">
        <v>56</v>
      </c>
      <c r="I1186" t="str">
        <f>LEFT(H1186,FIND(" (",H1186)-1)</f>
        <v>Mid</v>
      </c>
      <c r="J1186" t="str">
        <f>MID(H1186,FIND("(",H1186)+1,FIND(")",H1186)-FIND("(",H1186)-1)</f>
        <v>2-5 yrs</v>
      </c>
      <c r="L1186">
        <v>90405</v>
      </c>
      <c r="M1186" t="s">
        <v>2496</v>
      </c>
      <c r="N1186" t="s">
        <v>33</v>
      </c>
      <c r="O1186" t="s">
        <v>44</v>
      </c>
      <c r="P1186" s="1">
        <v>45330</v>
      </c>
      <c r="Q1186">
        <v>1422</v>
      </c>
      <c r="R1186">
        <v>1949</v>
      </c>
      <c r="S1186" t="s">
        <v>23</v>
      </c>
      <c r="T1186">
        <v>2</v>
      </c>
      <c r="U1186" t="s">
        <v>83</v>
      </c>
      <c r="V1186" t="s">
        <v>24</v>
      </c>
      <c r="W1186" t="s">
        <v>34</v>
      </c>
    </row>
    <row r="1187" spans="1:23" x14ac:dyDescent="0.3">
      <c r="A1187" t="s">
        <v>2497</v>
      </c>
      <c r="B1187" t="s">
        <v>137</v>
      </c>
      <c r="C1187" t="s">
        <v>167</v>
      </c>
      <c r="D1187" t="s">
        <v>75</v>
      </c>
      <c r="E1187" t="s">
        <v>64</v>
      </c>
      <c r="F1187" t="s">
        <v>65</v>
      </c>
      <c r="G1187" t="s">
        <v>41</v>
      </c>
      <c r="H1187" t="s">
        <v>19</v>
      </c>
      <c r="I1187" t="str">
        <f>LEFT(H1187,FIND(" (",H1187)-1)</f>
        <v>Entry</v>
      </c>
      <c r="J1187" t="str">
        <f>MID(H1187,FIND("(",H1187)+1,FIND(")",H1187)-FIND("(",H1187)-1)</f>
        <v>0-2 yrs</v>
      </c>
      <c r="L1187">
        <v>81853</v>
      </c>
      <c r="M1187" t="s">
        <v>2498</v>
      </c>
      <c r="N1187" t="s">
        <v>21</v>
      </c>
      <c r="O1187" t="s">
        <v>79</v>
      </c>
      <c r="P1187" s="1">
        <v>45747</v>
      </c>
      <c r="Q1187">
        <v>1591</v>
      </c>
      <c r="R1187">
        <v>3592</v>
      </c>
      <c r="S1187" t="s">
        <v>34</v>
      </c>
      <c r="T1187">
        <v>0</v>
      </c>
      <c r="U1187" t="s">
        <v>5123</v>
      </c>
      <c r="V1187" t="s">
        <v>24</v>
      </c>
      <c r="W1187" t="s">
        <v>23</v>
      </c>
    </row>
    <row r="1188" spans="1:23" x14ac:dyDescent="0.3">
      <c r="A1188" t="s">
        <v>2499</v>
      </c>
      <c r="B1188" t="s">
        <v>70</v>
      </c>
      <c r="C1188" t="s">
        <v>101</v>
      </c>
      <c r="D1188" t="s">
        <v>111</v>
      </c>
      <c r="E1188" t="s">
        <v>29</v>
      </c>
      <c r="F1188" t="s">
        <v>30</v>
      </c>
      <c r="G1188" t="s">
        <v>55</v>
      </c>
      <c r="H1188" t="s">
        <v>66</v>
      </c>
      <c r="I1188" t="str">
        <f>LEFT(H1188,FIND(" (",H1188)-1)</f>
        <v>Senior</v>
      </c>
      <c r="J1188" t="str">
        <f>MID(H1188,FIND("(",H1188)+1,FIND(")",H1188)-FIND("(",H1188)-1)</f>
        <v>5-8 yrs</v>
      </c>
      <c r="L1188">
        <v>123472</v>
      </c>
      <c r="M1188" t="s">
        <v>2500</v>
      </c>
      <c r="N1188" t="s">
        <v>68</v>
      </c>
      <c r="O1188" t="s">
        <v>51</v>
      </c>
      <c r="P1188" s="1">
        <v>45473</v>
      </c>
      <c r="Q1188">
        <v>1526</v>
      </c>
      <c r="R1188">
        <v>983</v>
      </c>
      <c r="S1188" t="s">
        <v>23</v>
      </c>
      <c r="T1188">
        <v>4</v>
      </c>
      <c r="U1188" t="s">
        <v>5123</v>
      </c>
      <c r="V1188" t="s">
        <v>24</v>
      </c>
      <c r="W1188" t="s">
        <v>34</v>
      </c>
    </row>
    <row r="1189" spans="1:23" x14ac:dyDescent="0.3">
      <c r="A1189" t="s">
        <v>2501</v>
      </c>
      <c r="B1189" t="s">
        <v>143</v>
      </c>
      <c r="C1189" t="s">
        <v>209</v>
      </c>
      <c r="D1189" t="s">
        <v>49</v>
      </c>
      <c r="E1189" t="s">
        <v>64</v>
      </c>
      <c r="F1189" t="s">
        <v>65</v>
      </c>
      <c r="G1189" t="s">
        <v>18</v>
      </c>
      <c r="H1189" t="s">
        <v>31</v>
      </c>
      <c r="I1189" t="str">
        <f>LEFT(H1189,FIND(" (",H1189)-1)</f>
        <v>Staff/Principal</v>
      </c>
      <c r="J1189" t="str">
        <f>MID(H1189,FIND("(",H1189)+1,FIND(")",H1189)-FIND("(",H1189)-1)</f>
        <v>8+ yrs</v>
      </c>
      <c r="L1189">
        <v>191913</v>
      </c>
      <c r="M1189" t="s">
        <v>2502</v>
      </c>
      <c r="N1189" t="s">
        <v>33</v>
      </c>
      <c r="O1189" t="s">
        <v>51</v>
      </c>
      <c r="P1189" s="1">
        <v>45601</v>
      </c>
      <c r="Q1189">
        <v>1267</v>
      </c>
      <c r="R1189">
        <v>2910</v>
      </c>
      <c r="S1189" t="s">
        <v>23</v>
      </c>
      <c r="T1189">
        <v>6</v>
      </c>
      <c r="U1189" t="s">
        <v>45</v>
      </c>
      <c r="V1189" t="s">
        <v>59</v>
      </c>
      <c r="W1189" t="s">
        <v>23</v>
      </c>
    </row>
    <row r="1190" spans="1:23" x14ac:dyDescent="0.3">
      <c r="A1190" t="s">
        <v>2503</v>
      </c>
      <c r="B1190" t="s">
        <v>13</v>
      </c>
      <c r="C1190" t="s">
        <v>204</v>
      </c>
      <c r="D1190" t="s">
        <v>38</v>
      </c>
      <c r="E1190" t="s">
        <v>5140</v>
      </c>
      <c r="F1190" t="s">
        <v>5133</v>
      </c>
      <c r="G1190" t="s">
        <v>18</v>
      </c>
      <c r="H1190" t="s">
        <v>56</v>
      </c>
      <c r="I1190" t="str">
        <f>LEFT(H1190,FIND(" (",H1190)-1)</f>
        <v>Mid</v>
      </c>
      <c r="J1190" t="str">
        <f>MID(H1190,FIND("(",H1190)+1,FIND(")",H1190)-FIND("(",H1190)-1)</f>
        <v>2-5 yrs</v>
      </c>
      <c r="L1190">
        <v>120891</v>
      </c>
      <c r="M1190" t="s">
        <v>2504</v>
      </c>
      <c r="N1190" t="s">
        <v>33</v>
      </c>
      <c r="O1190" t="s">
        <v>44</v>
      </c>
      <c r="P1190" s="1">
        <v>45569</v>
      </c>
      <c r="Q1190">
        <v>996</v>
      </c>
      <c r="R1190">
        <v>2422</v>
      </c>
      <c r="S1190" t="s">
        <v>23</v>
      </c>
      <c r="T1190">
        <v>2</v>
      </c>
      <c r="U1190" t="s">
        <v>83</v>
      </c>
      <c r="V1190" t="s">
        <v>24</v>
      </c>
      <c r="W1190" t="s">
        <v>34</v>
      </c>
    </row>
    <row r="1191" spans="1:23" x14ac:dyDescent="0.3">
      <c r="A1191" t="s">
        <v>2505</v>
      </c>
      <c r="B1191" t="s">
        <v>85</v>
      </c>
      <c r="C1191" t="s">
        <v>107</v>
      </c>
      <c r="D1191" t="s">
        <v>75</v>
      </c>
      <c r="E1191" t="s">
        <v>102</v>
      </c>
      <c r="F1191" t="s">
        <v>103</v>
      </c>
      <c r="G1191" t="s">
        <v>18</v>
      </c>
      <c r="H1191" t="s">
        <v>19</v>
      </c>
      <c r="I1191" t="str">
        <f>LEFT(H1191,FIND(" (",H1191)-1)</f>
        <v>Entry</v>
      </c>
      <c r="J1191" t="str">
        <f>MID(H1191,FIND("(",H1191)+1,FIND(")",H1191)-FIND("(",H1191)-1)</f>
        <v>0-2 yrs</v>
      </c>
      <c r="L1191">
        <v>57798</v>
      </c>
      <c r="M1191" t="s">
        <v>2506</v>
      </c>
      <c r="N1191" t="s">
        <v>43</v>
      </c>
      <c r="O1191" t="s">
        <v>51</v>
      </c>
      <c r="P1191" s="1">
        <v>45658</v>
      </c>
      <c r="Q1191">
        <v>1003</v>
      </c>
      <c r="R1191">
        <v>3994</v>
      </c>
      <c r="S1191" t="s">
        <v>23</v>
      </c>
      <c r="T1191">
        <v>0</v>
      </c>
      <c r="U1191" t="s">
        <v>58</v>
      </c>
      <c r="V1191" t="s">
        <v>59</v>
      </c>
      <c r="W1191" t="s">
        <v>23</v>
      </c>
    </row>
    <row r="1192" spans="1:23" x14ac:dyDescent="0.3">
      <c r="A1192" t="s">
        <v>2507</v>
      </c>
      <c r="B1192" t="s">
        <v>137</v>
      </c>
      <c r="C1192" t="s">
        <v>128</v>
      </c>
      <c r="D1192" t="s">
        <v>174</v>
      </c>
      <c r="E1192" t="s">
        <v>5140</v>
      </c>
      <c r="F1192" t="s">
        <v>5133</v>
      </c>
      <c r="G1192" t="s">
        <v>41</v>
      </c>
      <c r="H1192" t="s">
        <v>56</v>
      </c>
      <c r="I1192" t="str">
        <f>LEFT(H1192,FIND(" (",H1192)-1)</f>
        <v>Mid</v>
      </c>
      <c r="J1192" t="str">
        <f>MID(H1192,FIND("(",H1192)+1,FIND(")",H1192)-FIND("(",H1192)-1)</f>
        <v>2-5 yrs</v>
      </c>
      <c r="L1192">
        <v>112086</v>
      </c>
      <c r="M1192" t="s">
        <v>2508</v>
      </c>
      <c r="N1192" t="s">
        <v>245</v>
      </c>
      <c r="O1192" t="s">
        <v>44</v>
      </c>
      <c r="P1192" s="1">
        <v>45428</v>
      </c>
      <c r="Q1192">
        <v>628</v>
      </c>
      <c r="R1192">
        <v>3228</v>
      </c>
      <c r="S1192" t="s">
        <v>23</v>
      </c>
      <c r="T1192">
        <v>2</v>
      </c>
      <c r="U1192" t="s">
        <v>52</v>
      </c>
      <c r="V1192" t="s">
        <v>24</v>
      </c>
      <c r="W1192" t="s">
        <v>34</v>
      </c>
    </row>
    <row r="1193" spans="1:23" x14ac:dyDescent="0.3">
      <c r="A1193" t="s">
        <v>2509</v>
      </c>
      <c r="B1193" t="s">
        <v>225</v>
      </c>
      <c r="C1193" t="s">
        <v>71</v>
      </c>
      <c r="D1193" t="s">
        <v>28</v>
      </c>
      <c r="E1193" t="s">
        <v>5137</v>
      </c>
      <c r="F1193" t="s">
        <v>5138</v>
      </c>
      <c r="G1193" t="s">
        <v>41</v>
      </c>
      <c r="H1193" t="s">
        <v>19</v>
      </c>
      <c r="I1193" t="str">
        <f>LEFT(H1193,FIND(" (",H1193)-1)</f>
        <v>Entry</v>
      </c>
      <c r="J1193" t="str">
        <f>MID(H1193,FIND("(",H1193)+1,FIND(")",H1193)-FIND("(",H1193)-1)</f>
        <v>0-2 yrs</v>
      </c>
      <c r="L1193">
        <v>53191</v>
      </c>
      <c r="M1193" t="s">
        <v>2510</v>
      </c>
      <c r="N1193" t="s">
        <v>21</v>
      </c>
      <c r="O1193" t="s">
        <v>44</v>
      </c>
      <c r="P1193" s="1">
        <v>45472</v>
      </c>
      <c r="Q1193">
        <v>352</v>
      </c>
      <c r="R1193">
        <v>381</v>
      </c>
      <c r="S1193" t="s">
        <v>99</v>
      </c>
      <c r="T1193">
        <v>0</v>
      </c>
      <c r="U1193" t="s">
        <v>52</v>
      </c>
      <c r="V1193" t="s">
        <v>59</v>
      </c>
      <c r="W1193" t="s">
        <v>34</v>
      </c>
    </row>
    <row r="1194" spans="1:23" x14ac:dyDescent="0.3">
      <c r="A1194" t="s">
        <v>2511</v>
      </c>
      <c r="B1194" t="s">
        <v>36</v>
      </c>
      <c r="C1194" t="s">
        <v>132</v>
      </c>
      <c r="D1194" t="s">
        <v>125</v>
      </c>
      <c r="E1194" t="s">
        <v>230</v>
      </c>
      <c r="F1194" t="s">
        <v>231</v>
      </c>
      <c r="G1194" t="s">
        <v>41</v>
      </c>
      <c r="H1194" t="s">
        <v>19</v>
      </c>
      <c r="I1194" t="str">
        <f>LEFT(H1194,FIND(" (",H1194)-1)</f>
        <v>Entry</v>
      </c>
      <c r="J1194" t="str">
        <f>MID(H1194,FIND("(",H1194)+1,FIND(")",H1194)-FIND("(",H1194)-1)</f>
        <v>0-2 yrs</v>
      </c>
      <c r="L1194">
        <v>62422</v>
      </c>
      <c r="M1194" t="s">
        <v>2512</v>
      </c>
      <c r="N1194" t="s">
        <v>89</v>
      </c>
      <c r="O1194" t="s">
        <v>51</v>
      </c>
      <c r="P1194" s="1">
        <v>45381</v>
      </c>
      <c r="Q1194">
        <v>301</v>
      </c>
      <c r="R1194">
        <v>1084</v>
      </c>
      <c r="S1194" t="s">
        <v>99</v>
      </c>
      <c r="T1194">
        <v>0</v>
      </c>
      <c r="U1194" t="s">
        <v>45</v>
      </c>
      <c r="V1194" t="s">
        <v>59</v>
      </c>
      <c r="W1194" t="s">
        <v>34</v>
      </c>
    </row>
    <row r="1195" spans="1:23" x14ac:dyDescent="0.3">
      <c r="A1195" t="s">
        <v>2513</v>
      </c>
      <c r="B1195" t="s">
        <v>143</v>
      </c>
      <c r="C1195" t="s">
        <v>132</v>
      </c>
      <c r="D1195" t="s">
        <v>49</v>
      </c>
      <c r="E1195" t="s">
        <v>5139</v>
      </c>
      <c r="F1195" t="s">
        <v>5133</v>
      </c>
      <c r="G1195" t="s">
        <v>18</v>
      </c>
      <c r="H1195" t="s">
        <v>66</v>
      </c>
      <c r="I1195" t="str">
        <f>LEFT(H1195,FIND(" (",H1195)-1)</f>
        <v>Senior</v>
      </c>
      <c r="J1195" t="str">
        <f>MID(H1195,FIND("(",H1195)+1,FIND(")",H1195)-FIND("(",H1195)-1)</f>
        <v>5-8 yrs</v>
      </c>
      <c r="L1195">
        <v>158634</v>
      </c>
      <c r="M1195" t="s">
        <v>2514</v>
      </c>
      <c r="N1195" t="s">
        <v>149</v>
      </c>
      <c r="O1195" t="s">
        <v>51</v>
      </c>
      <c r="P1195" s="1">
        <v>45326</v>
      </c>
      <c r="Q1195">
        <v>1306</v>
      </c>
      <c r="R1195">
        <v>1528</v>
      </c>
      <c r="S1195" t="s">
        <v>23</v>
      </c>
      <c r="T1195">
        <v>4</v>
      </c>
      <c r="U1195" t="s">
        <v>83</v>
      </c>
      <c r="V1195" t="s">
        <v>24</v>
      </c>
      <c r="W1195" t="s">
        <v>34</v>
      </c>
    </row>
    <row r="1196" spans="1:23" x14ac:dyDescent="0.3">
      <c r="A1196" t="s">
        <v>2515</v>
      </c>
      <c r="B1196" t="s">
        <v>81</v>
      </c>
      <c r="C1196" t="s">
        <v>239</v>
      </c>
      <c r="D1196" t="s">
        <v>75</v>
      </c>
      <c r="E1196" t="s">
        <v>5136</v>
      </c>
      <c r="F1196" t="s">
        <v>5133</v>
      </c>
      <c r="G1196" t="s">
        <v>18</v>
      </c>
      <c r="H1196" t="s">
        <v>31</v>
      </c>
      <c r="I1196" t="str">
        <f>LEFT(H1196,FIND(" (",H1196)-1)</f>
        <v>Staff/Principal</v>
      </c>
      <c r="J1196" t="str">
        <f>MID(H1196,FIND("(",H1196)+1,FIND(")",H1196)-FIND("(",H1196)-1)</f>
        <v>8+ yrs</v>
      </c>
      <c r="L1196">
        <v>142652</v>
      </c>
      <c r="M1196" t="s">
        <v>2516</v>
      </c>
      <c r="N1196" t="s">
        <v>186</v>
      </c>
      <c r="O1196" t="s">
        <v>22</v>
      </c>
      <c r="P1196" s="1">
        <v>45595</v>
      </c>
      <c r="Q1196">
        <v>2290</v>
      </c>
      <c r="R1196">
        <v>2709</v>
      </c>
      <c r="S1196" t="s">
        <v>34</v>
      </c>
      <c r="T1196">
        <v>6</v>
      </c>
      <c r="U1196" t="s">
        <v>58</v>
      </c>
      <c r="V1196" t="s">
        <v>24</v>
      </c>
      <c r="W1196" t="s">
        <v>34</v>
      </c>
    </row>
    <row r="1197" spans="1:23" x14ac:dyDescent="0.3">
      <c r="A1197" t="s">
        <v>2517</v>
      </c>
      <c r="B1197" t="s">
        <v>329</v>
      </c>
      <c r="C1197" t="s">
        <v>124</v>
      </c>
      <c r="D1197" t="s">
        <v>15</v>
      </c>
      <c r="E1197" t="s">
        <v>159</v>
      </c>
      <c r="F1197" t="s">
        <v>160</v>
      </c>
      <c r="G1197" t="s">
        <v>55</v>
      </c>
      <c r="H1197" t="s">
        <v>19</v>
      </c>
      <c r="I1197" t="str">
        <f>LEFT(H1197,FIND(" (",H1197)-1)</f>
        <v>Entry</v>
      </c>
      <c r="J1197" t="str">
        <f>MID(H1197,FIND("(",H1197)+1,FIND(")",H1197)-FIND("(",H1197)-1)</f>
        <v>0-2 yrs</v>
      </c>
      <c r="L1197">
        <v>75549</v>
      </c>
      <c r="M1197" t="s">
        <v>2518</v>
      </c>
      <c r="N1197" t="s">
        <v>43</v>
      </c>
      <c r="O1197" t="s">
        <v>51</v>
      </c>
      <c r="P1197" s="1">
        <v>45737</v>
      </c>
      <c r="Q1197">
        <v>1234</v>
      </c>
      <c r="R1197">
        <v>1906</v>
      </c>
      <c r="S1197" t="s">
        <v>34</v>
      </c>
      <c r="T1197">
        <v>0</v>
      </c>
      <c r="U1197" t="s">
        <v>45</v>
      </c>
      <c r="V1197" t="s">
        <v>24</v>
      </c>
      <c r="W1197" t="s">
        <v>34</v>
      </c>
    </row>
    <row r="1198" spans="1:23" x14ac:dyDescent="0.3">
      <c r="A1198" t="s">
        <v>2519</v>
      </c>
      <c r="B1198" t="s">
        <v>329</v>
      </c>
      <c r="C1198" t="s">
        <v>173</v>
      </c>
      <c r="D1198" t="s">
        <v>28</v>
      </c>
      <c r="E1198" t="s">
        <v>29</v>
      </c>
      <c r="F1198" t="s">
        <v>30</v>
      </c>
      <c r="G1198" t="s">
        <v>41</v>
      </c>
      <c r="H1198" t="s">
        <v>56</v>
      </c>
      <c r="I1198" t="str">
        <f>LEFT(H1198,FIND(" (",H1198)-1)</f>
        <v>Mid</v>
      </c>
      <c r="J1198" t="str">
        <f>MID(H1198,FIND("(",H1198)+1,FIND(")",H1198)-FIND("(",H1198)-1)</f>
        <v>2-5 yrs</v>
      </c>
      <c r="L1198">
        <v>109611</v>
      </c>
      <c r="M1198" t="s">
        <v>2520</v>
      </c>
      <c r="N1198" t="s">
        <v>21</v>
      </c>
      <c r="O1198" t="s">
        <v>44</v>
      </c>
      <c r="P1198" s="1">
        <v>45397</v>
      </c>
      <c r="Q1198">
        <v>2082</v>
      </c>
      <c r="R1198">
        <v>1237</v>
      </c>
      <c r="S1198" t="s">
        <v>34</v>
      </c>
      <c r="T1198">
        <v>2</v>
      </c>
      <c r="U1198" t="s">
        <v>52</v>
      </c>
      <c r="V1198" t="s">
        <v>59</v>
      </c>
      <c r="W1198" t="s">
        <v>34</v>
      </c>
    </row>
    <row r="1199" spans="1:23" x14ac:dyDescent="0.3">
      <c r="A1199" t="s">
        <v>2521</v>
      </c>
      <c r="B1199" t="s">
        <v>36</v>
      </c>
      <c r="C1199" t="s">
        <v>86</v>
      </c>
      <c r="D1199" t="s">
        <v>15</v>
      </c>
      <c r="E1199" t="s">
        <v>5137</v>
      </c>
      <c r="F1199" t="s">
        <v>5138</v>
      </c>
      <c r="G1199" t="s">
        <v>55</v>
      </c>
      <c r="H1199" t="s">
        <v>66</v>
      </c>
      <c r="I1199" t="str">
        <f>LEFT(H1199,FIND(" (",H1199)-1)</f>
        <v>Senior</v>
      </c>
      <c r="J1199" t="str">
        <f>MID(H1199,FIND("(",H1199)+1,FIND(")",H1199)-FIND("(",H1199)-1)</f>
        <v>5-8 yrs</v>
      </c>
      <c r="L1199">
        <v>164917</v>
      </c>
      <c r="M1199" t="s">
        <v>2522</v>
      </c>
      <c r="N1199" t="s">
        <v>141</v>
      </c>
      <c r="O1199" t="s">
        <v>51</v>
      </c>
      <c r="P1199" s="1">
        <v>45392</v>
      </c>
      <c r="Q1199">
        <v>1153</v>
      </c>
      <c r="R1199">
        <v>3246</v>
      </c>
      <c r="S1199" t="s">
        <v>23</v>
      </c>
      <c r="T1199">
        <v>4</v>
      </c>
      <c r="U1199" t="s">
        <v>45</v>
      </c>
      <c r="V1199" t="s">
        <v>24</v>
      </c>
      <c r="W1199" t="s">
        <v>23</v>
      </c>
    </row>
    <row r="1200" spans="1:23" x14ac:dyDescent="0.3">
      <c r="A1200" t="s">
        <v>2523</v>
      </c>
      <c r="B1200" t="s">
        <v>36</v>
      </c>
      <c r="C1200" t="s">
        <v>116</v>
      </c>
      <c r="D1200" t="s">
        <v>63</v>
      </c>
      <c r="E1200" t="s">
        <v>5136</v>
      </c>
      <c r="F1200" t="s">
        <v>5133</v>
      </c>
      <c r="G1200" t="s">
        <v>41</v>
      </c>
      <c r="H1200" t="s">
        <v>31</v>
      </c>
      <c r="I1200" t="str">
        <f>LEFT(H1200,FIND(" (",H1200)-1)</f>
        <v>Staff/Principal</v>
      </c>
      <c r="J1200" t="str">
        <f>MID(H1200,FIND("(",H1200)+1,FIND(")",H1200)-FIND("(",H1200)-1)</f>
        <v>8+ yrs</v>
      </c>
      <c r="L1200">
        <v>208060</v>
      </c>
      <c r="M1200" t="s">
        <v>2524</v>
      </c>
      <c r="N1200" t="s">
        <v>33</v>
      </c>
      <c r="O1200" t="s">
        <v>51</v>
      </c>
      <c r="P1200" s="1">
        <v>45731</v>
      </c>
      <c r="Q1200">
        <v>1073</v>
      </c>
      <c r="R1200">
        <v>716</v>
      </c>
      <c r="S1200" t="s">
        <v>23</v>
      </c>
      <c r="T1200">
        <v>6</v>
      </c>
      <c r="U1200" t="s">
        <v>52</v>
      </c>
      <c r="V1200" t="s">
        <v>24</v>
      </c>
      <c r="W1200" t="s">
        <v>34</v>
      </c>
    </row>
    <row r="1201" spans="1:23" x14ac:dyDescent="0.3">
      <c r="A1201" t="s">
        <v>2525</v>
      </c>
      <c r="B1201" t="s">
        <v>26</v>
      </c>
      <c r="C1201" t="s">
        <v>71</v>
      </c>
      <c r="D1201" t="s">
        <v>174</v>
      </c>
      <c r="E1201" t="s">
        <v>39</v>
      </c>
      <c r="F1201" t="s">
        <v>40</v>
      </c>
      <c r="G1201" t="s">
        <v>18</v>
      </c>
      <c r="H1201" t="s">
        <v>56</v>
      </c>
      <c r="I1201" t="str">
        <f>LEFT(H1201,FIND(" (",H1201)-1)</f>
        <v>Mid</v>
      </c>
      <c r="J1201" t="str">
        <f>MID(H1201,FIND("(",H1201)+1,FIND(")",H1201)-FIND("(",H1201)-1)</f>
        <v>2-5 yrs</v>
      </c>
      <c r="L1201">
        <v>137009</v>
      </c>
      <c r="M1201" t="s">
        <v>2526</v>
      </c>
      <c r="N1201" t="s">
        <v>141</v>
      </c>
      <c r="O1201" t="s">
        <v>44</v>
      </c>
      <c r="P1201" s="1">
        <v>45687</v>
      </c>
      <c r="Q1201">
        <v>2352</v>
      </c>
      <c r="R1201">
        <v>3384</v>
      </c>
      <c r="S1201" t="s">
        <v>23</v>
      </c>
      <c r="T1201">
        <v>2</v>
      </c>
      <c r="U1201" t="s">
        <v>45</v>
      </c>
      <c r="V1201" t="s">
        <v>24</v>
      </c>
      <c r="W1201" t="s">
        <v>23</v>
      </c>
    </row>
    <row r="1202" spans="1:23" x14ac:dyDescent="0.3">
      <c r="A1202" t="s">
        <v>2527</v>
      </c>
      <c r="B1202" t="s">
        <v>151</v>
      </c>
      <c r="C1202" t="s">
        <v>173</v>
      </c>
      <c r="D1202" t="s">
        <v>63</v>
      </c>
      <c r="E1202" t="s">
        <v>5141</v>
      </c>
      <c r="F1202" t="s">
        <v>5133</v>
      </c>
      <c r="G1202" t="s">
        <v>55</v>
      </c>
      <c r="H1202" t="s">
        <v>56</v>
      </c>
      <c r="I1202" t="str">
        <f>LEFT(H1202,FIND(" (",H1202)-1)</f>
        <v>Mid</v>
      </c>
      <c r="J1202" t="str">
        <f>MID(H1202,FIND("(",H1202)+1,FIND(")",H1202)-FIND("(",H1202)-1)</f>
        <v>2-5 yrs</v>
      </c>
      <c r="L1202">
        <v>112479</v>
      </c>
      <c r="M1202" t="s">
        <v>2528</v>
      </c>
      <c r="N1202" t="s">
        <v>186</v>
      </c>
      <c r="O1202" t="s">
        <v>22</v>
      </c>
      <c r="P1202" s="1">
        <v>45687</v>
      </c>
      <c r="Q1202">
        <v>2412</v>
      </c>
      <c r="R1202">
        <v>1787</v>
      </c>
      <c r="S1202" t="s">
        <v>23</v>
      </c>
      <c r="T1202">
        <v>2</v>
      </c>
      <c r="U1202" t="s">
        <v>45</v>
      </c>
      <c r="V1202" t="s">
        <v>24</v>
      </c>
      <c r="W1202" t="s">
        <v>34</v>
      </c>
    </row>
    <row r="1203" spans="1:23" x14ac:dyDescent="0.3">
      <c r="A1203" t="s">
        <v>2529</v>
      </c>
      <c r="B1203" t="s">
        <v>151</v>
      </c>
      <c r="C1203" t="s">
        <v>92</v>
      </c>
      <c r="D1203" t="s">
        <v>174</v>
      </c>
      <c r="E1203" t="s">
        <v>29</v>
      </c>
      <c r="F1203" t="s">
        <v>30</v>
      </c>
      <c r="G1203" t="s">
        <v>41</v>
      </c>
      <c r="H1203" t="s">
        <v>66</v>
      </c>
      <c r="I1203" t="str">
        <f>LEFT(H1203,FIND(" (",H1203)-1)</f>
        <v>Senior</v>
      </c>
      <c r="J1203" t="str">
        <f>MID(H1203,FIND("(",H1203)+1,FIND(")",H1203)-FIND("(",H1203)-1)</f>
        <v>5-8 yrs</v>
      </c>
      <c r="L1203">
        <v>138406</v>
      </c>
      <c r="M1203" t="s">
        <v>2530</v>
      </c>
      <c r="N1203" t="s">
        <v>120</v>
      </c>
      <c r="O1203" t="s">
        <v>44</v>
      </c>
      <c r="P1203" s="1">
        <v>45464</v>
      </c>
      <c r="Q1203">
        <v>365</v>
      </c>
      <c r="R1203">
        <v>3431</v>
      </c>
      <c r="S1203" t="s">
        <v>23</v>
      </c>
      <c r="T1203">
        <v>4</v>
      </c>
      <c r="U1203" t="s">
        <v>83</v>
      </c>
      <c r="V1203" t="s">
        <v>59</v>
      </c>
      <c r="W1203" t="s">
        <v>23</v>
      </c>
    </row>
    <row r="1204" spans="1:23" x14ac:dyDescent="0.3">
      <c r="A1204" t="s">
        <v>2531</v>
      </c>
      <c r="B1204" t="s">
        <v>70</v>
      </c>
      <c r="C1204" t="s">
        <v>62</v>
      </c>
      <c r="D1204" t="s">
        <v>28</v>
      </c>
      <c r="E1204" t="s">
        <v>5139</v>
      </c>
      <c r="F1204" t="s">
        <v>5133</v>
      </c>
      <c r="G1204" t="s">
        <v>18</v>
      </c>
      <c r="H1204" t="s">
        <v>66</v>
      </c>
      <c r="I1204" t="str">
        <f>LEFT(H1204,FIND(" (",H1204)-1)</f>
        <v>Senior</v>
      </c>
      <c r="J1204" t="str">
        <f>MID(H1204,FIND("(",H1204)+1,FIND(")",H1204)-FIND("(",H1204)-1)</f>
        <v>5-8 yrs</v>
      </c>
      <c r="L1204">
        <v>153302</v>
      </c>
      <c r="M1204" t="s">
        <v>2532</v>
      </c>
      <c r="N1204" t="s">
        <v>33</v>
      </c>
      <c r="O1204" t="s">
        <v>22</v>
      </c>
      <c r="P1204" s="1">
        <v>45542</v>
      </c>
      <c r="Q1204">
        <v>2172</v>
      </c>
      <c r="R1204">
        <v>219</v>
      </c>
      <c r="S1204" t="s">
        <v>23</v>
      </c>
      <c r="T1204">
        <v>4</v>
      </c>
      <c r="U1204" t="s">
        <v>58</v>
      </c>
      <c r="V1204" t="s">
        <v>24</v>
      </c>
      <c r="W1204" t="s">
        <v>23</v>
      </c>
    </row>
    <row r="1205" spans="1:23" x14ac:dyDescent="0.3">
      <c r="A1205" t="s">
        <v>2533</v>
      </c>
      <c r="B1205" t="s">
        <v>225</v>
      </c>
      <c r="C1205" t="s">
        <v>226</v>
      </c>
      <c r="D1205" t="s">
        <v>28</v>
      </c>
      <c r="E1205" t="s">
        <v>16</v>
      </c>
      <c r="F1205" t="s">
        <v>17</v>
      </c>
      <c r="G1205" t="s">
        <v>55</v>
      </c>
      <c r="H1205" t="s">
        <v>31</v>
      </c>
      <c r="I1205" t="str">
        <f>LEFT(H1205,FIND(" (",H1205)-1)</f>
        <v>Staff/Principal</v>
      </c>
      <c r="J1205" t="str">
        <f>MID(H1205,FIND("(",H1205)+1,FIND(")",H1205)-FIND("(",H1205)-1)</f>
        <v>8+ yrs</v>
      </c>
      <c r="L1205">
        <v>219558</v>
      </c>
      <c r="M1205" t="s">
        <v>2534</v>
      </c>
      <c r="N1205" t="s">
        <v>149</v>
      </c>
      <c r="O1205" t="s">
        <v>44</v>
      </c>
      <c r="P1205" s="1">
        <v>45726</v>
      </c>
      <c r="Q1205">
        <v>656</v>
      </c>
      <c r="R1205">
        <v>2137</v>
      </c>
      <c r="S1205" t="s">
        <v>23</v>
      </c>
      <c r="T1205">
        <v>6</v>
      </c>
      <c r="U1205" t="s">
        <v>83</v>
      </c>
      <c r="V1205" t="s">
        <v>59</v>
      </c>
      <c r="W1205" t="s">
        <v>23</v>
      </c>
    </row>
    <row r="1206" spans="1:23" x14ac:dyDescent="0.3">
      <c r="A1206" t="s">
        <v>2535</v>
      </c>
      <c r="B1206" t="s">
        <v>229</v>
      </c>
      <c r="C1206" t="s">
        <v>179</v>
      </c>
      <c r="D1206" t="s">
        <v>174</v>
      </c>
      <c r="E1206" t="s">
        <v>39</v>
      </c>
      <c r="F1206" t="s">
        <v>40</v>
      </c>
      <c r="G1206" t="s">
        <v>41</v>
      </c>
      <c r="H1206" t="s">
        <v>56</v>
      </c>
      <c r="I1206" t="str">
        <f>LEFT(H1206,FIND(" (",H1206)-1)</f>
        <v>Mid</v>
      </c>
      <c r="J1206" t="str">
        <f>MID(H1206,FIND("(",H1206)+1,FIND(")",H1206)-FIND("(",H1206)-1)</f>
        <v>2-5 yrs</v>
      </c>
      <c r="L1206">
        <v>110967</v>
      </c>
      <c r="M1206" t="s">
        <v>2536</v>
      </c>
      <c r="N1206" t="s">
        <v>33</v>
      </c>
      <c r="O1206" t="s">
        <v>22</v>
      </c>
      <c r="P1206" s="1">
        <v>45648</v>
      </c>
      <c r="Q1206">
        <v>2161</v>
      </c>
      <c r="R1206">
        <v>2671</v>
      </c>
      <c r="S1206" t="s">
        <v>23</v>
      </c>
      <c r="T1206">
        <v>2</v>
      </c>
      <c r="U1206" t="s">
        <v>83</v>
      </c>
      <c r="V1206" t="s">
        <v>24</v>
      </c>
      <c r="W1206" t="s">
        <v>34</v>
      </c>
    </row>
    <row r="1207" spans="1:23" x14ac:dyDescent="0.3">
      <c r="A1207" t="s">
        <v>2537</v>
      </c>
      <c r="B1207" t="s">
        <v>91</v>
      </c>
      <c r="C1207" t="s">
        <v>146</v>
      </c>
      <c r="D1207" t="s">
        <v>28</v>
      </c>
      <c r="E1207" t="s">
        <v>5139</v>
      </c>
      <c r="F1207" t="s">
        <v>5133</v>
      </c>
      <c r="G1207" t="s">
        <v>41</v>
      </c>
      <c r="H1207" t="s">
        <v>66</v>
      </c>
      <c r="I1207" t="str">
        <f>LEFT(H1207,FIND(" (",H1207)-1)</f>
        <v>Senior</v>
      </c>
      <c r="J1207" t="str">
        <f>MID(H1207,FIND("(",H1207)+1,FIND(")",H1207)-FIND("(",H1207)-1)</f>
        <v>5-8 yrs</v>
      </c>
      <c r="L1207">
        <v>151095</v>
      </c>
      <c r="M1207" t="s">
        <v>2538</v>
      </c>
      <c r="N1207" t="s">
        <v>245</v>
      </c>
      <c r="O1207" t="s">
        <v>79</v>
      </c>
      <c r="P1207" s="1">
        <v>45511</v>
      </c>
      <c r="Q1207">
        <v>2385</v>
      </c>
      <c r="R1207">
        <v>1016</v>
      </c>
      <c r="S1207" t="s">
        <v>34</v>
      </c>
      <c r="T1207">
        <v>4</v>
      </c>
      <c r="U1207" t="s">
        <v>58</v>
      </c>
      <c r="V1207" t="s">
        <v>24</v>
      </c>
      <c r="W1207" t="s">
        <v>34</v>
      </c>
    </row>
    <row r="1208" spans="1:23" x14ac:dyDescent="0.3">
      <c r="A1208" t="s">
        <v>2539</v>
      </c>
      <c r="B1208" t="s">
        <v>106</v>
      </c>
      <c r="C1208" t="s">
        <v>14</v>
      </c>
      <c r="D1208" t="s">
        <v>147</v>
      </c>
      <c r="E1208" t="s">
        <v>5134</v>
      </c>
      <c r="F1208" t="s">
        <v>5133</v>
      </c>
      <c r="G1208" t="s">
        <v>41</v>
      </c>
      <c r="H1208" t="s">
        <v>19</v>
      </c>
      <c r="I1208" t="str">
        <f>LEFT(H1208,FIND(" (",H1208)-1)</f>
        <v>Entry</v>
      </c>
      <c r="J1208" t="str">
        <f>MID(H1208,FIND("(",H1208)+1,FIND(")",H1208)-FIND("(",H1208)-1)</f>
        <v>0-2 yrs</v>
      </c>
      <c r="L1208">
        <v>61154</v>
      </c>
      <c r="M1208" t="s">
        <v>2540</v>
      </c>
      <c r="N1208" t="s">
        <v>33</v>
      </c>
      <c r="O1208" t="s">
        <v>44</v>
      </c>
      <c r="P1208" s="1">
        <v>45697</v>
      </c>
      <c r="Q1208">
        <v>2247</v>
      </c>
      <c r="R1208">
        <v>3742</v>
      </c>
      <c r="S1208" t="s">
        <v>23</v>
      </c>
      <c r="T1208">
        <v>0</v>
      </c>
      <c r="U1208" t="s">
        <v>45</v>
      </c>
      <c r="V1208" t="s">
        <v>59</v>
      </c>
      <c r="W1208" t="s">
        <v>23</v>
      </c>
    </row>
    <row r="1209" spans="1:23" x14ac:dyDescent="0.3">
      <c r="A1209" t="s">
        <v>2541</v>
      </c>
      <c r="B1209" t="s">
        <v>131</v>
      </c>
      <c r="C1209" t="s">
        <v>54</v>
      </c>
      <c r="D1209" t="s">
        <v>63</v>
      </c>
      <c r="E1209" t="s">
        <v>76</v>
      </c>
      <c r="F1209" t="s">
        <v>77</v>
      </c>
      <c r="G1209" t="s">
        <v>41</v>
      </c>
      <c r="H1209" t="s">
        <v>31</v>
      </c>
      <c r="I1209" t="str">
        <f>LEFT(H1209,FIND(" (",H1209)-1)</f>
        <v>Staff/Principal</v>
      </c>
      <c r="J1209" t="str">
        <f>MID(H1209,FIND("(",H1209)+1,FIND(")",H1209)-FIND("(",H1209)-1)</f>
        <v>8+ yrs</v>
      </c>
      <c r="L1209">
        <v>176135</v>
      </c>
      <c r="M1209" t="s">
        <v>2542</v>
      </c>
      <c r="N1209" t="s">
        <v>186</v>
      </c>
      <c r="O1209" t="s">
        <v>44</v>
      </c>
      <c r="P1209" s="1">
        <v>45512</v>
      </c>
      <c r="Q1209">
        <v>1998</v>
      </c>
      <c r="R1209">
        <v>847</v>
      </c>
      <c r="S1209" t="s">
        <v>23</v>
      </c>
      <c r="T1209">
        <v>6</v>
      </c>
      <c r="U1209" t="s">
        <v>52</v>
      </c>
      <c r="V1209" t="s">
        <v>24</v>
      </c>
      <c r="W1209" t="s">
        <v>23</v>
      </c>
    </row>
    <row r="1210" spans="1:23" x14ac:dyDescent="0.3">
      <c r="A1210" t="s">
        <v>2543</v>
      </c>
      <c r="B1210" t="s">
        <v>131</v>
      </c>
      <c r="C1210" t="s">
        <v>97</v>
      </c>
      <c r="D1210" t="s">
        <v>28</v>
      </c>
      <c r="E1210" t="s">
        <v>5134</v>
      </c>
      <c r="F1210" t="s">
        <v>5133</v>
      </c>
      <c r="G1210" t="s">
        <v>18</v>
      </c>
      <c r="H1210" t="s">
        <v>31</v>
      </c>
      <c r="I1210" t="str">
        <f>LEFT(H1210,FIND(" (",H1210)-1)</f>
        <v>Staff/Principal</v>
      </c>
      <c r="J1210" t="str">
        <f>MID(H1210,FIND("(",H1210)+1,FIND(")",H1210)-FIND("(",H1210)-1)</f>
        <v>8+ yrs</v>
      </c>
      <c r="L1210">
        <v>149506</v>
      </c>
      <c r="M1210" t="s">
        <v>2544</v>
      </c>
      <c r="N1210" t="s">
        <v>33</v>
      </c>
      <c r="O1210" t="s">
        <v>51</v>
      </c>
      <c r="P1210" s="1">
        <v>45724</v>
      </c>
      <c r="Q1210">
        <v>869</v>
      </c>
      <c r="R1210">
        <v>3403</v>
      </c>
      <c r="S1210" t="s">
        <v>34</v>
      </c>
      <c r="T1210">
        <v>6</v>
      </c>
      <c r="U1210" t="s">
        <v>58</v>
      </c>
      <c r="V1210" t="s">
        <v>24</v>
      </c>
      <c r="W1210" t="s">
        <v>23</v>
      </c>
    </row>
    <row r="1211" spans="1:23" x14ac:dyDescent="0.3">
      <c r="A1211" t="s">
        <v>2545</v>
      </c>
      <c r="B1211" t="s">
        <v>26</v>
      </c>
      <c r="C1211" t="s">
        <v>54</v>
      </c>
      <c r="D1211" t="s">
        <v>125</v>
      </c>
      <c r="E1211" t="s">
        <v>5136</v>
      </c>
      <c r="F1211" t="s">
        <v>5133</v>
      </c>
      <c r="G1211" t="s">
        <v>41</v>
      </c>
      <c r="H1211" t="s">
        <v>31</v>
      </c>
      <c r="I1211" t="str">
        <f>LEFT(H1211,FIND(" (",H1211)-1)</f>
        <v>Staff/Principal</v>
      </c>
      <c r="J1211" t="str">
        <f>MID(H1211,FIND("(",H1211)+1,FIND(")",H1211)-FIND("(",H1211)-1)</f>
        <v>8+ yrs</v>
      </c>
      <c r="L1211">
        <v>262984</v>
      </c>
      <c r="M1211" t="s">
        <v>2546</v>
      </c>
      <c r="N1211" t="s">
        <v>33</v>
      </c>
      <c r="O1211" t="s">
        <v>51</v>
      </c>
      <c r="P1211" s="1">
        <v>45497</v>
      </c>
      <c r="Q1211">
        <v>360</v>
      </c>
      <c r="R1211">
        <v>1953</v>
      </c>
      <c r="S1211" t="s">
        <v>34</v>
      </c>
      <c r="T1211">
        <v>6</v>
      </c>
      <c r="U1211" t="s">
        <v>83</v>
      </c>
      <c r="V1211" t="s">
        <v>24</v>
      </c>
      <c r="W1211" t="s">
        <v>23</v>
      </c>
    </row>
    <row r="1212" spans="1:23" x14ac:dyDescent="0.3">
      <c r="A1212" t="s">
        <v>2547</v>
      </c>
      <c r="B1212" t="s">
        <v>131</v>
      </c>
      <c r="C1212" t="s">
        <v>71</v>
      </c>
      <c r="D1212" t="s">
        <v>38</v>
      </c>
      <c r="E1212" t="s">
        <v>200</v>
      </c>
      <c r="F1212" t="s">
        <v>201</v>
      </c>
      <c r="G1212" t="s">
        <v>55</v>
      </c>
      <c r="H1212" t="s">
        <v>19</v>
      </c>
      <c r="I1212" t="str">
        <f>LEFT(H1212,FIND(" (",H1212)-1)</f>
        <v>Entry</v>
      </c>
      <c r="J1212" t="str">
        <f>MID(H1212,FIND("(",H1212)+1,FIND(")",H1212)-FIND("(",H1212)-1)</f>
        <v>0-2 yrs</v>
      </c>
      <c r="L1212">
        <v>54327</v>
      </c>
      <c r="M1212" t="s">
        <v>2548</v>
      </c>
      <c r="N1212" t="s">
        <v>33</v>
      </c>
      <c r="O1212" t="s">
        <v>44</v>
      </c>
      <c r="P1212" s="1">
        <v>45373</v>
      </c>
      <c r="Q1212">
        <v>1255</v>
      </c>
      <c r="R1212">
        <v>1909</v>
      </c>
      <c r="S1212" t="s">
        <v>34</v>
      </c>
      <c r="T1212">
        <v>0</v>
      </c>
      <c r="U1212" t="s">
        <v>5123</v>
      </c>
      <c r="V1212" t="s">
        <v>24</v>
      </c>
      <c r="W1212" t="s">
        <v>23</v>
      </c>
    </row>
    <row r="1213" spans="1:23" x14ac:dyDescent="0.3">
      <c r="A1213" t="s">
        <v>2549</v>
      </c>
      <c r="B1213" t="s">
        <v>81</v>
      </c>
      <c r="C1213" t="s">
        <v>86</v>
      </c>
      <c r="D1213" t="s">
        <v>49</v>
      </c>
      <c r="E1213" t="s">
        <v>102</v>
      </c>
      <c r="F1213" t="s">
        <v>103</v>
      </c>
      <c r="G1213" t="s">
        <v>18</v>
      </c>
      <c r="H1213" t="s">
        <v>66</v>
      </c>
      <c r="I1213" t="str">
        <f>LEFT(H1213,FIND(" (",H1213)-1)</f>
        <v>Senior</v>
      </c>
      <c r="J1213" t="str">
        <f>MID(H1213,FIND("(",H1213)+1,FIND(")",H1213)-FIND("(",H1213)-1)</f>
        <v>5-8 yrs</v>
      </c>
      <c r="L1213">
        <v>131291</v>
      </c>
      <c r="M1213" t="s">
        <v>2550</v>
      </c>
      <c r="N1213" t="s">
        <v>245</v>
      </c>
      <c r="O1213" t="s">
        <v>51</v>
      </c>
      <c r="P1213" s="1">
        <v>45441</v>
      </c>
      <c r="Q1213">
        <v>1272</v>
      </c>
      <c r="R1213">
        <v>3932</v>
      </c>
      <c r="S1213" t="s">
        <v>23</v>
      </c>
      <c r="T1213">
        <v>4</v>
      </c>
      <c r="U1213" t="s">
        <v>83</v>
      </c>
      <c r="V1213" t="s">
        <v>24</v>
      </c>
      <c r="W1213" t="s">
        <v>34</v>
      </c>
    </row>
    <row r="1214" spans="1:23" x14ac:dyDescent="0.3">
      <c r="A1214" t="s">
        <v>2551</v>
      </c>
      <c r="B1214" t="s">
        <v>225</v>
      </c>
      <c r="C1214" t="s">
        <v>195</v>
      </c>
      <c r="D1214" t="s">
        <v>75</v>
      </c>
      <c r="E1214" t="s">
        <v>39</v>
      </c>
      <c r="F1214" t="s">
        <v>40</v>
      </c>
      <c r="G1214" t="s">
        <v>18</v>
      </c>
      <c r="H1214" t="s">
        <v>31</v>
      </c>
      <c r="I1214" t="str">
        <f>LEFT(H1214,FIND(" (",H1214)-1)</f>
        <v>Staff/Principal</v>
      </c>
      <c r="J1214" t="str">
        <f>MID(H1214,FIND("(",H1214)+1,FIND(")",H1214)-FIND("(",H1214)-1)</f>
        <v>8+ yrs</v>
      </c>
      <c r="L1214">
        <v>174137</v>
      </c>
      <c r="M1214" t="s">
        <v>2552</v>
      </c>
      <c r="N1214" t="s">
        <v>120</v>
      </c>
      <c r="O1214" t="s">
        <v>22</v>
      </c>
      <c r="P1214" s="1">
        <v>45486</v>
      </c>
      <c r="Q1214">
        <v>1412</v>
      </c>
      <c r="R1214">
        <v>960</v>
      </c>
      <c r="S1214" t="s">
        <v>23</v>
      </c>
      <c r="T1214">
        <v>6</v>
      </c>
      <c r="U1214" t="s">
        <v>83</v>
      </c>
      <c r="V1214" t="s">
        <v>59</v>
      </c>
      <c r="W1214" t="s">
        <v>34</v>
      </c>
    </row>
    <row r="1215" spans="1:23" x14ac:dyDescent="0.3">
      <c r="A1215" t="s">
        <v>2553</v>
      </c>
      <c r="B1215" t="s">
        <v>91</v>
      </c>
      <c r="C1215" t="s">
        <v>62</v>
      </c>
      <c r="D1215" t="s">
        <v>15</v>
      </c>
      <c r="E1215" t="s">
        <v>64</v>
      </c>
      <c r="F1215" t="s">
        <v>65</v>
      </c>
      <c r="G1215" t="s">
        <v>41</v>
      </c>
      <c r="H1215" t="s">
        <v>19</v>
      </c>
      <c r="I1215" t="str">
        <f>LEFT(H1215,FIND(" (",H1215)-1)</f>
        <v>Entry</v>
      </c>
      <c r="J1215" t="str">
        <f>MID(H1215,FIND("(",H1215)+1,FIND(")",H1215)-FIND("(",H1215)-1)</f>
        <v>0-2 yrs</v>
      </c>
      <c r="L1215">
        <v>81276</v>
      </c>
      <c r="M1215" t="s">
        <v>2554</v>
      </c>
      <c r="N1215" t="s">
        <v>89</v>
      </c>
      <c r="O1215" t="s">
        <v>51</v>
      </c>
      <c r="P1215" s="1">
        <v>45647</v>
      </c>
      <c r="Q1215">
        <v>1843</v>
      </c>
      <c r="R1215">
        <v>3916</v>
      </c>
      <c r="S1215" t="s">
        <v>23</v>
      </c>
      <c r="T1215">
        <v>0</v>
      </c>
      <c r="U1215" t="s">
        <v>52</v>
      </c>
      <c r="V1215" t="s">
        <v>24</v>
      </c>
      <c r="W1215" t="s">
        <v>34</v>
      </c>
    </row>
    <row r="1216" spans="1:23" x14ac:dyDescent="0.3">
      <c r="A1216" t="s">
        <v>2555</v>
      </c>
      <c r="B1216" t="s">
        <v>131</v>
      </c>
      <c r="C1216" t="s">
        <v>110</v>
      </c>
      <c r="D1216" t="s">
        <v>174</v>
      </c>
      <c r="E1216" t="s">
        <v>5137</v>
      </c>
      <c r="F1216" t="s">
        <v>5138</v>
      </c>
      <c r="G1216" t="s">
        <v>18</v>
      </c>
      <c r="H1216" t="s">
        <v>19</v>
      </c>
      <c r="I1216" t="str">
        <f>LEFT(H1216,FIND(" (",H1216)-1)</f>
        <v>Entry</v>
      </c>
      <c r="J1216" t="str">
        <f>MID(H1216,FIND("(",H1216)+1,FIND(")",H1216)-FIND("(",H1216)-1)</f>
        <v>0-2 yrs</v>
      </c>
      <c r="L1216">
        <v>66283</v>
      </c>
      <c r="M1216" t="s">
        <v>2556</v>
      </c>
      <c r="N1216" t="s">
        <v>94</v>
      </c>
      <c r="O1216" t="s">
        <v>22</v>
      </c>
      <c r="P1216" s="1">
        <v>45727</v>
      </c>
      <c r="Q1216">
        <v>2138</v>
      </c>
      <c r="R1216">
        <v>3183</v>
      </c>
      <c r="S1216" t="s">
        <v>34</v>
      </c>
      <c r="T1216">
        <v>0</v>
      </c>
      <c r="U1216" t="s">
        <v>58</v>
      </c>
      <c r="V1216" t="s">
        <v>24</v>
      </c>
      <c r="W1216" t="s">
        <v>23</v>
      </c>
    </row>
    <row r="1217" spans="1:23" x14ac:dyDescent="0.3">
      <c r="A1217" t="s">
        <v>2557</v>
      </c>
      <c r="B1217" t="s">
        <v>61</v>
      </c>
      <c r="C1217" t="s">
        <v>62</v>
      </c>
      <c r="D1217" t="s">
        <v>49</v>
      </c>
      <c r="E1217" t="s">
        <v>230</v>
      </c>
      <c r="F1217" t="s">
        <v>231</v>
      </c>
      <c r="G1217" t="s">
        <v>18</v>
      </c>
      <c r="H1217" t="s">
        <v>31</v>
      </c>
      <c r="I1217" t="str">
        <f>LEFT(H1217,FIND(" (",H1217)-1)</f>
        <v>Staff/Principal</v>
      </c>
      <c r="J1217" t="str">
        <f>MID(H1217,FIND("(",H1217)+1,FIND(")",H1217)-FIND("(",H1217)-1)</f>
        <v>8+ yrs</v>
      </c>
      <c r="L1217">
        <v>244918</v>
      </c>
      <c r="M1217" t="s">
        <v>2558</v>
      </c>
      <c r="N1217" t="s">
        <v>186</v>
      </c>
      <c r="O1217" t="s">
        <v>51</v>
      </c>
      <c r="P1217" s="1">
        <v>45742</v>
      </c>
      <c r="Q1217">
        <v>1947</v>
      </c>
      <c r="R1217">
        <v>625</v>
      </c>
      <c r="S1217" t="s">
        <v>23</v>
      </c>
      <c r="T1217">
        <v>6</v>
      </c>
      <c r="U1217" t="s">
        <v>83</v>
      </c>
      <c r="V1217" t="s">
        <v>46</v>
      </c>
      <c r="W1217" t="s">
        <v>23</v>
      </c>
    </row>
    <row r="1218" spans="1:23" x14ac:dyDescent="0.3">
      <c r="A1218" t="s">
        <v>2559</v>
      </c>
      <c r="B1218" t="s">
        <v>81</v>
      </c>
      <c r="C1218" t="s">
        <v>27</v>
      </c>
      <c r="D1218" t="s">
        <v>111</v>
      </c>
      <c r="E1218" t="s">
        <v>76</v>
      </c>
      <c r="F1218" t="s">
        <v>77</v>
      </c>
      <c r="G1218" t="s">
        <v>18</v>
      </c>
      <c r="H1218" t="s">
        <v>66</v>
      </c>
      <c r="I1218" t="str">
        <f>LEFT(H1218,FIND(" (",H1218)-1)</f>
        <v>Senior</v>
      </c>
      <c r="J1218" t="str">
        <f>MID(H1218,FIND("(",H1218)+1,FIND(")",H1218)-FIND("(",H1218)-1)</f>
        <v>5-8 yrs</v>
      </c>
      <c r="L1218">
        <v>131815</v>
      </c>
      <c r="M1218" t="s">
        <v>352</v>
      </c>
      <c r="N1218" t="s">
        <v>21</v>
      </c>
      <c r="O1218" t="s">
        <v>22</v>
      </c>
      <c r="P1218" s="1">
        <v>45307</v>
      </c>
      <c r="Q1218">
        <v>2212</v>
      </c>
      <c r="R1218">
        <v>2595</v>
      </c>
      <c r="S1218" t="s">
        <v>23</v>
      </c>
      <c r="T1218">
        <v>4</v>
      </c>
      <c r="U1218" t="s">
        <v>5123</v>
      </c>
      <c r="V1218" t="s">
        <v>24</v>
      </c>
      <c r="W1218" t="s">
        <v>34</v>
      </c>
    </row>
    <row r="1219" spans="1:23" x14ac:dyDescent="0.3">
      <c r="A1219" t="s">
        <v>2560</v>
      </c>
      <c r="B1219" t="s">
        <v>143</v>
      </c>
      <c r="C1219" t="s">
        <v>124</v>
      </c>
      <c r="D1219" t="s">
        <v>75</v>
      </c>
      <c r="E1219" t="s">
        <v>216</v>
      </c>
      <c r="F1219" t="s">
        <v>217</v>
      </c>
      <c r="G1219" t="s">
        <v>55</v>
      </c>
      <c r="H1219" t="s">
        <v>19</v>
      </c>
      <c r="I1219" t="str">
        <f>LEFT(H1219,FIND(" (",H1219)-1)</f>
        <v>Entry</v>
      </c>
      <c r="J1219" t="str">
        <f>MID(H1219,FIND("(",H1219)+1,FIND(")",H1219)-FIND("(",H1219)-1)</f>
        <v>0-2 yrs</v>
      </c>
      <c r="L1219">
        <v>73515</v>
      </c>
      <c r="M1219" t="s">
        <v>2561</v>
      </c>
      <c r="N1219" t="s">
        <v>68</v>
      </c>
      <c r="O1219" t="s">
        <v>22</v>
      </c>
      <c r="P1219" s="1">
        <v>45489</v>
      </c>
      <c r="Q1219">
        <v>846</v>
      </c>
      <c r="R1219">
        <v>3453</v>
      </c>
      <c r="S1219" t="s">
        <v>34</v>
      </c>
      <c r="T1219">
        <v>0</v>
      </c>
      <c r="U1219" t="s">
        <v>83</v>
      </c>
      <c r="V1219" t="s">
        <v>24</v>
      </c>
      <c r="W1219" t="s">
        <v>34</v>
      </c>
    </row>
    <row r="1220" spans="1:23" x14ac:dyDescent="0.3">
      <c r="A1220" t="s">
        <v>2562</v>
      </c>
      <c r="B1220" t="s">
        <v>222</v>
      </c>
      <c r="C1220" t="s">
        <v>97</v>
      </c>
      <c r="D1220" t="s">
        <v>28</v>
      </c>
      <c r="E1220" t="s">
        <v>87</v>
      </c>
      <c r="F1220" t="s">
        <v>87</v>
      </c>
      <c r="G1220" t="s">
        <v>41</v>
      </c>
      <c r="H1220" t="s">
        <v>31</v>
      </c>
      <c r="I1220" t="str">
        <f>LEFT(H1220,FIND(" (",H1220)-1)</f>
        <v>Staff/Principal</v>
      </c>
      <c r="J1220" t="str">
        <f>MID(H1220,FIND("(",H1220)+1,FIND(")",H1220)-FIND("(",H1220)-1)</f>
        <v>8+ yrs</v>
      </c>
      <c r="L1220">
        <v>169927</v>
      </c>
      <c r="M1220" t="s">
        <v>2563</v>
      </c>
      <c r="N1220" t="s">
        <v>68</v>
      </c>
      <c r="O1220" t="s">
        <v>51</v>
      </c>
      <c r="P1220" s="1">
        <v>45743</v>
      </c>
      <c r="Q1220">
        <v>2437</v>
      </c>
      <c r="R1220">
        <v>2797</v>
      </c>
      <c r="S1220" t="s">
        <v>23</v>
      </c>
      <c r="T1220">
        <v>6</v>
      </c>
      <c r="U1220" t="s">
        <v>58</v>
      </c>
      <c r="V1220" t="s">
        <v>59</v>
      </c>
      <c r="W1220" t="s">
        <v>34</v>
      </c>
    </row>
    <row r="1221" spans="1:23" x14ac:dyDescent="0.3">
      <c r="A1221" t="s">
        <v>2564</v>
      </c>
      <c r="B1221" t="s">
        <v>151</v>
      </c>
      <c r="C1221" t="s">
        <v>92</v>
      </c>
      <c r="D1221" t="s">
        <v>63</v>
      </c>
      <c r="E1221" t="s">
        <v>64</v>
      </c>
      <c r="F1221" t="s">
        <v>65</v>
      </c>
      <c r="G1221" t="s">
        <v>18</v>
      </c>
      <c r="H1221" t="s">
        <v>66</v>
      </c>
      <c r="I1221" t="str">
        <f>LEFT(H1221,FIND(" (",H1221)-1)</f>
        <v>Senior</v>
      </c>
      <c r="J1221" t="str">
        <f>MID(H1221,FIND("(",H1221)+1,FIND(")",H1221)-FIND("(",H1221)-1)</f>
        <v>5-8 yrs</v>
      </c>
      <c r="L1221">
        <v>207919</v>
      </c>
      <c r="M1221" t="s">
        <v>2565</v>
      </c>
      <c r="N1221" t="s">
        <v>68</v>
      </c>
      <c r="O1221" t="s">
        <v>51</v>
      </c>
      <c r="P1221" s="1">
        <v>45628</v>
      </c>
      <c r="Q1221">
        <v>336</v>
      </c>
      <c r="R1221">
        <v>758</v>
      </c>
      <c r="S1221" t="s">
        <v>23</v>
      </c>
      <c r="T1221">
        <v>4</v>
      </c>
      <c r="U1221" t="s">
        <v>45</v>
      </c>
      <c r="V1221" t="s">
        <v>24</v>
      </c>
      <c r="W1221" t="s">
        <v>34</v>
      </c>
    </row>
    <row r="1222" spans="1:23" x14ac:dyDescent="0.3">
      <c r="A1222" t="s">
        <v>2566</v>
      </c>
      <c r="B1222" t="s">
        <v>229</v>
      </c>
      <c r="C1222" t="s">
        <v>132</v>
      </c>
      <c r="D1222" t="s">
        <v>174</v>
      </c>
      <c r="E1222" t="s">
        <v>216</v>
      </c>
      <c r="F1222" t="s">
        <v>217</v>
      </c>
      <c r="G1222" t="s">
        <v>18</v>
      </c>
      <c r="H1222" t="s">
        <v>56</v>
      </c>
      <c r="I1222" t="str">
        <f>LEFT(H1222,FIND(" (",H1222)-1)</f>
        <v>Mid</v>
      </c>
      <c r="J1222" t="str">
        <f>MID(H1222,FIND("(",H1222)+1,FIND(")",H1222)-FIND("(",H1222)-1)</f>
        <v>2-5 yrs</v>
      </c>
      <c r="L1222">
        <v>86485</v>
      </c>
      <c r="M1222" t="s">
        <v>2567</v>
      </c>
      <c r="N1222" t="s">
        <v>120</v>
      </c>
      <c r="O1222" t="s">
        <v>51</v>
      </c>
      <c r="P1222" s="1">
        <v>45681</v>
      </c>
      <c r="Q1222">
        <v>2040</v>
      </c>
      <c r="R1222">
        <v>1057</v>
      </c>
      <c r="S1222" t="s">
        <v>23</v>
      </c>
      <c r="T1222">
        <v>2</v>
      </c>
      <c r="U1222" t="s">
        <v>5123</v>
      </c>
      <c r="V1222" t="s">
        <v>24</v>
      </c>
      <c r="W1222" t="s">
        <v>23</v>
      </c>
    </row>
    <row r="1223" spans="1:23" x14ac:dyDescent="0.3">
      <c r="A1223" t="s">
        <v>2568</v>
      </c>
      <c r="B1223" t="s">
        <v>225</v>
      </c>
      <c r="C1223" t="s">
        <v>146</v>
      </c>
      <c r="D1223" t="s">
        <v>63</v>
      </c>
      <c r="E1223" t="s">
        <v>5140</v>
      </c>
      <c r="F1223" t="s">
        <v>5133</v>
      </c>
      <c r="G1223" t="s">
        <v>55</v>
      </c>
      <c r="H1223" t="s">
        <v>66</v>
      </c>
      <c r="I1223" t="str">
        <f>LEFT(H1223,FIND(" (",H1223)-1)</f>
        <v>Senior</v>
      </c>
      <c r="J1223" t="str">
        <f>MID(H1223,FIND("(",H1223)+1,FIND(")",H1223)-FIND("(",H1223)-1)</f>
        <v>5-8 yrs</v>
      </c>
      <c r="L1223">
        <v>158365</v>
      </c>
      <c r="M1223" t="s">
        <v>2569</v>
      </c>
      <c r="N1223" t="s">
        <v>21</v>
      </c>
      <c r="O1223" t="s">
        <v>22</v>
      </c>
      <c r="P1223" s="1">
        <v>45739</v>
      </c>
      <c r="Q1223">
        <v>1813</v>
      </c>
      <c r="R1223">
        <v>1142</v>
      </c>
      <c r="S1223" t="s">
        <v>99</v>
      </c>
      <c r="T1223">
        <v>4</v>
      </c>
      <c r="U1223" t="s">
        <v>58</v>
      </c>
      <c r="V1223" t="s">
        <v>24</v>
      </c>
      <c r="W1223" t="s">
        <v>23</v>
      </c>
    </row>
    <row r="1224" spans="1:23" x14ac:dyDescent="0.3">
      <c r="A1224" t="s">
        <v>2570</v>
      </c>
      <c r="B1224" t="s">
        <v>61</v>
      </c>
      <c r="C1224" t="s">
        <v>226</v>
      </c>
      <c r="D1224" t="s">
        <v>111</v>
      </c>
      <c r="E1224" t="s">
        <v>5139</v>
      </c>
      <c r="F1224" t="s">
        <v>5133</v>
      </c>
      <c r="G1224" t="s">
        <v>18</v>
      </c>
      <c r="H1224" t="s">
        <v>56</v>
      </c>
      <c r="I1224" t="str">
        <f>LEFT(H1224,FIND(" (",H1224)-1)</f>
        <v>Mid</v>
      </c>
      <c r="J1224" t="str">
        <f>MID(H1224,FIND("(",H1224)+1,FIND(")",H1224)-FIND("(",H1224)-1)</f>
        <v>2-5 yrs</v>
      </c>
      <c r="L1224">
        <v>122548</v>
      </c>
      <c r="M1224" t="s">
        <v>2571</v>
      </c>
      <c r="N1224" t="s">
        <v>68</v>
      </c>
      <c r="O1224" t="s">
        <v>51</v>
      </c>
      <c r="P1224" s="1">
        <v>45498</v>
      </c>
      <c r="Q1224">
        <v>2284</v>
      </c>
      <c r="R1224">
        <v>3974</v>
      </c>
      <c r="S1224" t="s">
        <v>99</v>
      </c>
      <c r="T1224">
        <v>2</v>
      </c>
      <c r="U1224" t="s">
        <v>52</v>
      </c>
      <c r="V1224" t="s">
        <v>24</v>
      </c>
      <c r="W1224" t="s">
        <v>34</v>
      </c>
    </row>
    <row r="1225" spans="1:23" x14ac:dyDescent="0.3">
      <c r="A1225" t="s">
        <v>2572</v>
      </c>
      <c r="B1225" t="s">
        <v>36</v>
      </c>
      <c r="C1225" t="s">
        <v>54</v>
      </c>
      <c r="D1225" t="s">
        <v>49</v>
      </c>
      <c r="E1225" t="s">
        <v>216</v>
      </c>
      <c r="F1225" t="s">
        <v>217</v>
      </c>
      <c r="G1225" t="s">
        <v>41</v>
      </c>
      <c r="H1225" t="s">
        <v>56</v>
      </c>
      <c r="I1225" t="str">
        <f>LEFT(H1225,FIND(" (",H1225)-1)</f>
        <v>Mid</v>
      </c>
      <c r="J1225" t="str">
        <f>MID(H1225,FIND("(",H1225)+1,FIND(")",H1225)-FIND("(",H1225)-1)</f>
        <v>2-5 yrs</v>
      </c>
      <c r="L1225">
        <v>118193</v>
      </c>
      <c r="M1225" t="s">
        <v>2573</v>
      </c>
      <c r="N1225" t="s">
        <v>141</v>
      </c>
      <c r="O1225" t="s">
        <v>79</v>
      </c>
      <c r="P1225" s="1">
        <v>45386</v>
      </c>
      <c r="Q1225">
        <v>1971</v>
      </c>
      <c r="R1225">
        <v>734</v>
      </c>
      <c r="S1225" t="s">
        <v>34</v>
      </c>
      <c r="T1225">
        <v>2</v>
      </c>
      <c r="U1225" t="s">
        <v>45</v>
      </c>
      <c r="V1225" t="s">
        <v>24</v>
      </c>
      <c r="W1225" t="s">
        <v>23</v>
      </c>
    </row>
    <row r="1226" spans="1:23" x14ac:dyDescent="0.3">
      <c r="A1226" t="s">
        <v>2574</v>
      </c>
      <c r="B1226" t="s">
        <v>85</v>
      </c>
      <c r="C1226" t="s">
        <v>54</v>
      </c>
      <c r="D1226" t="s">
        <v>75</v>
      </c>
      <c r="E1226" t="s">
        <v>200</v>
      </c>
      <c r="F1226" t="s">
        <v>201</v>
      </c>
      <c r="G1226" t="s">
        <v>55</v>
      </c>
      <c r="H1226" t="s">
        <v>56</v>
      </c>
      <c r="I1226" t="str">
        <f>LEFT(H1226,FIND(" (",H1226)-1)</f>
        <v>Mid</v>
      </c>
      <c r="J1226" t="str">
        <f>MID(H1226,FIND("(",H1226)+1,FIND(")",H1226)-FIND("(",H1226)-1)</f>
        <v>2-5 yrs</v>
      </c>
      <c r="L1226">
        <v>106331</v>
      </c>
      <c r="M1226" t="s">
        <v>2575</v>
      </c>
      <c r="N1226" t="s">
        <v>33</v>
      </c>
      <c r="O1226" t="s">
        <v>51</v>
      </c>
      <c r="P1226" s="1">
        <v>45600</v>
      </c>
      <c r="Q1226">
        <v>2329</v>
      </c>
      <c r="R1226">
        <v>1857</v>
      </c>
      <c r="S1226" t="s">
        <v>23</v>
      </c>
      <c r="T1226">
        <v>2</v>
      </c>
      <c r="U1226" t="s">
        <v>45</v>
      </c>
      <c r="V1226" t="s">
        <v>59</v>
      </c>
      <c r="W1226" t="s">
        <v>34</v>
      </c>
    </row>
    <row r="1227" spans="1:23" x14ac:dyDescent="0.3">
      <c r="A1227" t="s">
        <v>2576</v>
      </c>
      <c r="B1227" t="s">
        <v>81</v>
      </c>
      <c r="C1227" t="s">
        <v>116</v>
      </c>
      <c r="D1227" t="s">
        <v>38</v>
      </c>
      <c r="E1227" t="s">
        <v>29</v>
      </c>
      <c r="F1227" t="s">
        <v>30</v>
      </c>
      <c r="G1227" t="s">
        <v>18</v>
      </c>
      <c r="H1227" t="s">
        <v>19</v>
      </c>
      <c r="I1227" t="str">
        <f>LEFT(H1227,FIND(" (",H1227)-1)</f>
        <v>Entry</v>
      </c>
      <c r="J1227" t="str">
        <f>MID(H1227,FIND("(",H1227)+1,FIND(")",H1227)-FIND("(",H1227)-1)</f>
        <v>0-2 yrs</v>
      </c>
      <c r="L1227">
        <v>68364</v>
      </c>
      <c r="M1227" t="s">
        <v>2577</v>
      </c>
      <c r="N1227" t="s">
        <v>21</v>
      </c>
      <c r="O1227" t="s">
        <v>22</v>
      </c>
      <c r="P1227" s="1">
        <v>45380</v>
      </c>
      <c r="Q1227">
        <v>1119</v>
      </c>
      <c r="R1227">
        <v>2480</v>
      </c>
      <c r="S1227" t="s">
        <v>23</v>
      </c>
      <c r="T1227">
        <v>0</v>
      </c>
      <c r="U1227" t="s">
        <v>52</v>
      </c>
      <c r="V1227" t="s">
        <v>46</v>
      </c>
      <c r="W1227" t="s">
        <v>23</v>
      </c>
    </row>
    <row r="1228" spans="1:23" x14ac:dyDescent="0.3">
      <c r="A1228" t="s">
        <v>2578</v>
      </c>
      <c r="B1228" t="s">
        <v>61</v>
      </c>
      <c r="C1228" t="s">
        <v>182</v>
      </c>
      <c r="D1228" t="s">
        <v>63</v>
      </c>
      <c r="E1228" t="s">
        <v>5134</v>
      </c>
      <c r="F1228" t="s">
        <v>5133</v>
      </c>
      <c r="G1228" t="s">
        <v>18</v>
      </c>
      <c r="H1228" t="s">
        <v>56</v>
      </c>
      <c r="I1228" t="str">
        <f>LEFT(H1228,FIND(" (",H1228)-1)</f>
        <v>Mid</v>
      </c>
      <c r="J1228" t="str">
        <f>MID(H1228,FIND("(",H1228)+1,FIND(")",H1228)-FIND("(",H1228)-1)</f>
        <v>2-5 yrs</v>
      </c>
      <c r="L1228">
        <v>110867</v>
      </c>
      <c r="M1228" t="s">
        <v>2579</v>
      </c>
      <c r="N1228" t="s">
        <v>33</v>
      </c>
      <c r="O1228" t="s">
        <v>79</v>
      </c>
      <c r="P1228" s="1">
        <v>45294</v>
      </c>
      <c r="Q1228">
        <v>901</v>
      </c>
      <c r="R1228">
        <v>3450</v>
      </c>
      <c r="S1228" t="s">
        <v>23</v>
      </c>
      <c r="T1228">
        <v>2</v>
      </c>
      <c r="U1228" t="s">
        <v>5123</v>
      </c>
      <c r="V1228" t="s">
        <v>46</v>
      </c>
      <c r="W1228" t="s">
        <v>34</v>
      </c>
    </row>
    <row r="1229" spans="1:23" x14ac:dyDescent="0.3">
      <c r="A1229" t="s">
        <v>2580</v>
      </c>
      <c r="B1229" t="s">
        <v>91</v>
      </c>
      <c r="C1229" t="s">
        <v>158</v>
      </c>
      <c r="D1229" t="s">
        <v>111</v>
      </c>
      <c r="E1229" t="s">
        <v>230</v>
      </c>
      <c r="F1229" t="s">
        <v>231</v>
      </c>
      <c r="G1229" t="s">
        <v>41</v>
      </c>
      <c r="H1229" t="s">
        <v>19</v>
      </c>
      <c r="I1229" t="str">
        <f>LEFT(H1229,FIND(" (",H1229)-1)</f>
        <v>Entry</v>
      </c>
      <c r="J1229" t="str">
        <f>MID(H1229,FIND("(",H1229)+1,FIND(")",H1229)-FIND("(",H1229)-1)</f>
        <v>0-2 yrs</v>
      </c>
      <c r="L1229">
        <v>68147</v>
      </c>
      <c r="M1229" t="s">
        <v>2581</v>
      </c>
      <c r="N1229" t="s">
        <v>94</v>
      </c>
      <c r="O1229" t="s">
        <v>51</v>
      </c>
      <c r="P1229" s="1">
        <v>45580</v>
      </c>
      <c r="Q1229">
        <v>923</v>
      </c>
      <c r="R1229">
        <v>3701</v>
      </c>
      <c r="S1229" t="s">
        <v>23</v>
      </c>
      <c r="T1229">
        <v>0</v>
      </c>
      <c r="U1229" t="s">
        <v>83</v>
      </c>
      <c r="V1229" t="s">
        <v>24</v>
      </c>
      <c r="W1229" t="s">
        <v>34</v>
      </c>
    </row>
    <row r="1230" spans="1:23" x14ac:dyDescent="0.3">
      <c r="A1230" t="s">
        <v>2582</v>
      </c>
      <c r="B1230" t="s">
        <v>85</v>
      </c>
      <c r="C1230" t="s">
        <v>27</v>
      </c>
      <c r="D1230" t="s">
        <v>111</v>
      </c>
      <c r="E1230" t="s">
        <v>5132</v>
      </c>
      <c r="F1230" t="s">
        <v>5133</v>
      </c>
      <c r="G1230" t="s">
        <v>55</v>
      </c>
      <c r="H1230" t="s">
        <v>31</v>
      </c>
      <c r="I1230" t="str">
        <f>LEFT(H1230,FIND(" (",H1230)-1)</f>
        <v>Staff/Principal</v>
      </c>
      <c r="J1230" t="str">
        <f>MID(H1230,FIND("(",H1230)+1,FIND(")",H1230)-FIND("(",H1230)-1)</f>
        <v>8+ yrs</v>
      </c>
      <c r="L1230">
        <v>234699</v>
      </c>
      <c r="M1230" t="s">
        <v>2583</v>
      </c>
      <c r="N1230" t="s">
        <v>186</v>
      </c>
      <c r="O1230" t="s">
        <v>79</v>
      </c>
      <c r="P1230" s="1">
        <v>45488</v>
      </c>
      <c r="Q1230">
        <v>919</v>
      </c>
      <c r="R1230">
        <v>237</v>
      </c>
      <c r="S1230" t="s">
        <v>23</v>
      </c>
      <c r="T1230">
        <v>6</v>
      </c>
      <c r="U1230" t="s">
        <v>52</v>
      </c>
      <c r="V1230" t="s">
        <v>24</v>
      </c>
      <c r="W1230" t="s">
        <v>34</v>
      </c>
    </row>
    <row r="1231" spans="1:23" x14ac:dyDescent="0.3">
      <c r="A1231" t="s">
        <v>2584</v>
      </c>
      <c r="B1231" t="s">
        <v>143</v>
      </c>
      <c r="C1231" t="s">
        <v>54</v>
      </c>
      <c r="D1231" t="s">
        <v>125</v>
      </c>
      <c r="E1231" t="s">
        <v>5139</v>
      </c>
      <c r="F1231" t="s">
        <v>5133</v>
      </c>
      <c r="G1231" t="s">
        <v>18</v>
      </c>
      <c r="H1231" t="s">
        <v>31</v>
      </c>
      <c r="I1231" t="str">
        <f>LEFT(H1231,FIND(" (",H1231)-1)</f>
        <v>Staff/Principal</v>
      </c>
      <c r="J1231" t="str">
        <f>MID(H1231,FIND("(",H1231)+1,FIND(")",H1231)-FIND("(",H1231)-1)</f>
        <v>8+ yrs</v>
      </c>
      <c r="L1231">
        <v>279578</v>
      </c>
      <c r="M1231" t="s">
        <v>2585</v>
      </c>
      <c r="N1231" t="s">
        <v>33</v>
      </c>
      <c r="O1231" t="s">
        <v>79</v>
      </c>
      <c r="P1231" s="1">
        <v>45701</v>
      </c>
      <c r="Q1231">
        <v>439</v>
      </c>
      <c r="R1231">
        <v>2668</v>
      </c>
      <c r="S1231" t="s">
        <v>99</v>
      </c>
      <c r="T1231">
        <v>6</v>
      </c>
      <c r="U1231" t="s">
        <v>45</v>
      </c>
      <c r="V1231" t="s">
        <v>24</v>
      </c>
      <c r="W1231" t="s">
        <v>34</v>
      </c>
    </row>
    <row r="1232" spans="1:23" x14ac:dyDescent="0.3">
      <c r="A1232" t="s">
        <v>2586</v>
      </c>
      <c r="B1232" t="s">
        <v>151</v>
      </c>
      <c r="C1232" t="s">
        <v>14</v>
      </c>
      <c r="D1232" t="s">
        <v>111</v>
      </c>
      <c r="E1232" t="s">
        <v>159</v>
      </c>
      <c r="F1232" t="s">
        <v>160</v>
      </c>
      <c r="G1232" t="s">
        <v>41</v>
      </c>
      <c r="H1232" t="s">
        <v>19</v>
      </c>
      <c r="I1232" t="str">
        <f>LEFT(H1232,FIND(" (",H1232)-1)</f>
        <v>Entry</v>
      </c>
      <c r="J1232" t="str">
        <f>MID(H1232,FIND("(",H1232)+1,FIND(")",H1232)-FIND("(",H1232)-1)</f>
        <v>0-2 yrs</v>
      </c>
      <c r="L1232">
        <v>62975</v>
      </c>
      <c r="M1232" t="s">
        <v>2587</v>
      </c>
      <c r="N1232" t="s">
        <v>94</v>
      </c>
      <c r="O1232" t="s">
        <v>51</v>
      </c>
      <c r="P1232" s="1">
        <v>45417</v>
      </c>
      <c r="Q1232">
        <v>2267</v>
      </c>
      <c r="R1232">
        <v>636</v>
      </c>
      <c r="S1232" t="s">
        <v>23</v>
      </c>
      <c r="T1232">
        <v>0</v>
      </c>
      <c r="U1232" t="s">
        <v>45</v>
      </c>
      <c r="V1232" t="s">
        <v>59</v>
      </c>
      <c r="W1232" t="s">
        <v>34</v>
      </c>
    </row>
    <row r="1233" spans="1:23" x14ac:dyDescent="0.3">
      <c r="A1233" t="s">
        <v>2588</v>
      </c>
      <c r="B1233" t="s">
        <v>91</v>
      </c>
      <c r="C1233" t="s">
        <v>27</v>
      </c>
      <c r="D1233" t="s">
        <v>147</v>
      </c>
      <c r="E1233" t="s">
        <v>159</v>
      </c>
      <c r="F1233" t="s">
        <v>160</v>
      </c>
      <c r="G1233" t="s">
        <v>18</v>
      </c>
      <c r="H1233" t="s">
        <v>66</v>
      </c>
      <c r="I1233" t="str">
        <f>LEFT(H1233,FIND(" (",H1233)-1)</f>
        <v>Senior</v>
      </c>
      <c r="J1233" t="str">
        <f>MID(H1233,FIND("(",H1233)+1,FIND(")",H1233)-FIND("(",H1233)-1)</f>
        <v>5-8 yrs</v>
      </c>
      <c r="L1233">
        <v>113015</v>
      </c>
      <c r="M1233" t="s">
        <v>2589</v>
      </c>
      <c r="N1233" t="s">
        <v>21</v>
      </c>
      <c r="O1233" t="s">
        <v>22</v>
      </c>
      <c r="P1233" s="1">
        <v>45655</v>
      </c>
      <c r="Q1233">
        <v>512</v>
      </c>
      <c r="R1233">
        <v>2042</v>
      </c>
      <c r="S1233" t="s">
        <v>23</v>
      </c>
      <c r="T1233">
        <v>4</v>
      </c>
      <c r="U1233" t="s">
        <v>52</v>
      </c>
      <c r="V1233" t="s">
        <v>24</v>
      </c>
      <c r="W1233" t="s">
        <v>34</v>
      </c>
    </row>
    <row r="1234" spans="1:23" x14ac:dyDescent="0.3">
      <c r="A1234" t="s">
        <v>2590</v>
      </c>
      <c r="B1234" t="s">
        <v>225</v>
      </c>
      <c r="C1234" t="s">
        <v>107</v>
      </c>
      <c r="D1234" t="s">
        <v>111</v>
      </c>
      <c r="E1234" t="s">
        <v>29</v>
      </c>
      <c r="F1234" t="s">
        <v>30</v>
      </c>
      <c r="G1234" t="s">
        <v>18</v>
      </c>
      <c r="H1234" t="s">
        <v>19</v>
      </c>
      <c r="I1234" t="str">
        <f>LEFT(H1234,FIND(" (",H1234)-1)</f>
        <v>Entry</v>
      </c>
      <c r="J1234" t="str">
        <f>MID(H1234,FIND("(",H1234)+1,FIND(")",H1234)-FIND("(",H1234)-1)</f>
        <v>0-2 yrs</v>
      </c>
      <c r="L1234">
        <v>68887</v>
      </c>
      <c r="M1234" t="s">
        <v>2591</v>
      </c>
      <c r="N1234" t="s">
        <v>33</v>
      </c>
      <c r="O1234" t="s">
        <v>51</v>
      </c>
      <c r="P1234" s="1">
        <v>45679</v>
      </c>
      <c r="Q1234">
        <v>590</v>
      </c>
      <c r="R1234">
        <v>2429</v>
      </c>
      <c r="S1234" t="s">
        <v>34</v>
      </c>
      <c r="T1234">
        <v>0</v>
      </c>
      <c r="U1234" t="s">
        <v>58</v>
      </c>
      <c r="V1234" t="s">
        <v>24</v>
      </c>
      <c r="W1234" t="s">
        <v>23</v>
      </c>
    </row>
    <row r="1235" spans="1:23" x14ac:dyDescent="0.3">
      <c r="A1235" t="s">
        <v>2592</v>
      </c>
      <c r="B1235" t="s">
        <v>106</v>
      </c>
      <c r="C1235" t="s">
        <v>192</v>
      </c>
      <c r="D1235" t="s">
        <v>147</v>
      </c>
      <c r="E1235" t="s">
        <v>102</v>
      </c>
      <c r="F1235" t="s">
        <v>103</v>
      </c>
      <c r="G1235" t="s">
        <v>55</v>
      </c>
      <c r="H1235" t="s">
        <v>66</v>
      </c>
      <c r="I1235" t="str">
        <f>LEFT(H1235,FIND(" (",H1235)-1)</f>
        <v>Senior</v>
      </c>
      <c r="J1235" t="str">
        <f>MID(H1235,FIND("(",H1235)+1,FIND(")",H1235)-FIND("(",H1235)-1)</f>
        <v>5-8 yrs</v>
      </c>
      <c r="L1235">
        <v>219652</v>
      </c>
      <c r="M1235" t="s">
        <v>2593</v>
      </c>
      <c r="N1235" t="s">
        <v>120</v>
      </c>
      <c r="O1235" t="s">
        <v>22</v>
      </c>
      <c r="P1235" s="1">
        <v>45728</v>
      </c>
      <c r="Q1235">
        <v>2489</v>
      </c>
      <c r="R1235">
        <v>1713</v>
      </c>
      <c r="S1235" t="s">
        <v>99</v>
      </c>
      <c r="T1235">
        <v>4</v>
      </c>
      <c r="U1235" t="s">
        <v>52</v>
      </c>
      <c r="V1235" t="s">
        <v>24</v>
      </c>
      <c r="W1235" t="s">
        <v>34</v>
      </c>
    </row>
    <row r="1236" spans="1:23" x14ac:dyDescent="0.3">
      <c r="A1236" t="s">
        <v>2594</v>
      </c>
      <c r="B1236" t="s">
        <v>151</v>
      </c>
      <c r="C1236" t="s">
        <v>226</v>
      </c>
      <c r="D1236" t="s">
        <v>49</v>
      </c>
      <c r="E1236" t="s">
        <v>5139</v>
      </c>
      <c r="F1236" t="s">
        <v>5133</v>
      </c>
      <c r="G1236" t="s">
        <v>18</v>
      </c>
      <c r="H1236" t="s">
        <v>31</v>
      </c>
      <c r="I1236" t="str">
        <f>LEFT(H1236,FIND(" (",H1236)-1)</f>
        <v>Staff/Principal</v>
      </c>
      <c r="J1236" t="str">
        <f>MID(H1236,FIND("(",H1236)+1,FIND(")",H1236)-FIND("(",H1236)-1)</f>
        <v>8+ yrs</v>
      </c>
      <c r="L1236">
        <v>171067</v>
      </c>
      <c r="M1236" t="s">
        <v>2595</v>
      </c>
      <c r="N1236" t="s">
        <v>33</v>
      </c>
      <c r="O1236" t="s">
        <v>51</v>
      </c>
      <c r="P1236" s="1">
        <v>45690</v>
      </c>
      <c r="Q1236">
        <v>1278</v>
      </c>
      <c r="R1236">
        <v>3946</v>
      </c>
      <c r="S1236" t="s">
        <v>23</v>
      </c>
      <c r="T1236">
        <v>6</v>
      </c>
      <c r="U1236" t="s">
        <v>83</v>
      </c>
      <c r="V1236" t="s">
        <v>24</v>
      </c>
      <c r="W1236" t="s">
        <v>34</v>
      </c>
    </row>
    <row r="1237" spans="1:23" x14ac:dyDescent="0.3">
      <c r="A1237" t="s">
        <v>2596</v>
      </c>
      <c r="B1237" t="s">
        <v>225</v>
      </c>
      <c r="C1237" t="s">
        <v>107</v>
      </c>
      <c r="D1237" t="s">
        <v>49</v>
      </c>
      <c r="E1237" t="s">
        <v>87</v>
      </c>
      <c r="F1237" t="s">
        <v>87</v>
      </c>
      <c r="G1237" t="s">
        <v>55</v>
      </c>
      <c r="H1237" t="s">
        <v>31</v>
      </c>
      <c r="I1237" t="str">
        <f>LEFT(H1237,FIND(" (",H1237)-1)</f>
        <v>Staff/Principal</v>
      </c>
      <c r="J1237" t="str">
        <f>MID(H1237,FIND("(",H1237)+1,FIND(")",H1237)-FIND("(",H1237)-1)</f>
        <v>8+ yrs</v>
      </c>
      <c r="L1237">
        <v>259008</v>
      </c>
      <c r="M1237" t="s">
        <v>2597</v>
      </c>
      <c r="N1237" t="s">
        <v>94</v>
      </c>
      <c r="O1237" t="s">
        <v>44</v>
      </c>
      <c r="P1237" s="1">
        <v>45310</v>
      </c>
      <c r="Q1237">
        <v>690</v>
      </c>
      <c r="R1237">
        <v>1324</v>
      </c>
      <c r="S1237" t="s">
        <v>99</v>
      </c>
      <c r="T1237">
        <v>6</v>
      </c>
      <c r="U1237" t="s">
        <v>58</v>
      </c>
      <c r="V1237" t="s">
        <v>24</v>
      </c>
      <c r="W1237" t="s">
        <v>23</v>
      </c>
    </row>
    <row r="1238" spans="1:23" x14ac:dyDescent="0.3">
      <c r="A1238" t="s">
        <v>2598</v>
      </c>
      <c r="B1238" t="s">
        <v>85</v>
      </c>
      <c r="C1238" t="s">
        <v>124</v>
      </c>
      <c r="D1238" t="s">
        <v>15</v>
      </c>
      <c r="E1238" t="s">
        <v>5141</v>
      </c>
      <c r="F1238" t="s">
        <v>5133</v>
      </c>
      <c r="G1238" t="s">
        <v>18</v>
      </c>
      <c r="H1238" t="s">
        <v>31</v>
      </c>
      <c r="I1238" t="str">
        <f>LEFT(H1238,FIND(" (",H1238)-1)</f>
        <v>Staff/Principal</v>
      </c>
      <c r="J1238" t="str">
        <f>MID(H1238,FIND("(",H1238)+1,FIND(")",H1238)-FIND("(",H1238)-1)</f>
        <v>8+ yrs</v>
      </c>
      <c r="L1238">
        <v>260397</v>
      </c>
      <c r="M1238" t="s">
        <v>2599</v>
      </c>
      <c r="N1238" t="s">
        <v>89</v>
      </c>
      <c r="O1238" t="s">
        <v>22</v>
      </c>
      <c r="P1238" s="1">
        <v>45633</v>
      </c>
      <c r="Q1238">
        <v>1306</v>
      </c>
      <c r="R1238">
        <v>3664</v>
      </c>
      <c r="S1238" t="s">
        <v>23</v>
      </c>
      <c r="T1238">
        <v>6</v>
      </c>
      <c r="U1238" t="s">
        <v>5123</v>
      </c>
      <c r="V1238" t="s">
        <v>59</v>
      </c>
      <c r="W1238" t="s">
        <v>34</v>
      </c>
    </row>
    <row r="1239" spans="1:23" x14ac:dyDescent="0.3">
      <c r="A1239" t="s">
        <v>2600</v>
      </c>
      <c r="B1239" t="s">
        <v>81</v>
      </c>
      <c r="C1239" t="s">
        <v>158</v>
      </c>
      <c r="D1239" t="s">
        <v>75</v>
      </c>
      <c r="E1239" t="s">
        <v>133</v>
      </c>
      <c r="F1239" t="s">
        <v>134</v>
      </c>
      <c r="G1239" t="s">
        <v>18</v>
      </c>
      <c r="H1239" t="s">
        <v>19</v>
      </c>
      <c r="I1239" t="str">
        <f>LEFT(H1239,FIND(" (",H1239)-1)</f>
        <v>Entry</v>
      </c>
      <c r="J1239" t="str">
        <f>MID(H1239,FIND("(",H1239)+1,FIND(")",H1239)-FIND("(",H1239)-1)</f>
        <v>0-2 yrs</v>
      </c>
      <c r="L1239">
        <v>63024</v>
      </c>
      <c r="M1239" t="s">
        <v>2601</v>
      </c>
      <c r="N1239" t="s">
        <v>149</v>
      </c>
      <c r="O1239" t="s">
        <v>22</v>
      </c>
      <c r="P1239" s="1">
        <v>45301</v>
      </c>
      <c r="Q1239">
        <v>1156</v>
      </c>
      <c r="R1239">
        <v>2420</v>
      </c>
      <c r="S1239" t="s">
        <v>23</v>
      </c>
      <c r="T1239">
        <v>0</v>
      </c>
      <c r="U1239" t="s">
        <v>52</v>
      </c>
      <c r="V1239" t="s">
        <v>59</v>
      </c>
      <c r="W1239" t="s">
        <v>23</v>
      </c>
    </row>
    <row r="1240" spans="1:23" x14ac:dyDescent="0.3">
      <c r="A1240" t="s">
        <v>2602</v>
      </c>
      <c r="B1240" t="s">
        <v>229</v>
      </c>
      <c r="C1240" t="s">
        <v>74</v>
      </c>
      <c r="D1240" t="s">
        <v>75</v>
      </c>
      <c r="E1240" t="s">
        <v>76</v>
      </c>
      <c r="F1240" t="s">
        <v>77</v>
      </c>
      <c r="G1240" t="s">
        <v>18</v>
      </c>
      <c r="H1240" t="s">
        <v>56</v>
      </c>
      <c r="I1240" t="str">
        <f>LEFT(H1240,FIND(" (",H1240)-1)</f>
        <v>Mid</v>
      </c>
      <c r="J1240" t="str">
        <f>MID(H1240,FIND("(",H1240)+1,FIND(")",H1240)-FIND("(",H1240)-1)</f>
        <v>2-5 yrs</v>
      </c>
      <c r="L1240">
        <v>121265</v>
      </c>
      <c r="M1240" t="s">
        <v>2603</v>
      </c>
      <c r="N1240" t="s">
        <v>33</v>
      </c>
      <c r="O1240" t="s">
        <v>22</v>
      </c>
      <c r="P1240" s="1">
        <v>45712</v>
      </c>
      <c r="Q1240">
        <v>1904</v>
      </c>
      <c r="R1240">
        <v>1327</v>
      </c>
      <c r="S1240" t="s">
        <v>34</v>
      </c>
      <c r="T1240">
        <v>2</v>
      </c>
      <c r="U1240" t="s">
        <v>45</v>
      </c>
      <c r="V1240" t="s">
        <v>24</v>
      </c>
      <c r="W1240" t="s">
        <v>23</v>
      </c>
    </row>
    <row r="1241" spans="1:23" x14ac:dyDescent="0.3">
      <c r="A1241" t="s">
        <v>2604</v>
      </c>
      <c r="B1241" t="s">
        <v>81</v>
      </c>
      <c r="C1241" t="s">
        <v>195</v>
      </c>
      <c r="D1241" t="s">
        <v>63</v>
      </c>
      <c r="E1241" t="s">
        <v>216</v>
      </c>
      <c r="F1241" t="s">
        <v>217</v>
      </c>
      <c r="G1241" t="s">
        <v>18</v>
      </c>
      <c r="H1241" t="s">
        <v>31</v>
      </c>
      <c r="I1241" t="str">
        <f>LEFT(H1241,FIND(" (",H1241)-1)</f>
        <v>Staff/Principal</v>
      </c>
      <c r="J1241" t="str">
        <f>MID(H1241,FIND("(",H1241)+1,FIND(")",H1241)-FIND("(",H1241)-1)</f>
        <v>8+ yrs</v>
      </c>
      <c r="L1241">
        <v>258622</v>
      </c>
      <c r="M1241" t="s">
        <v>2605</v>
      </c>
      <c r="N1241" t="s">
        <v>245</v>
      </c>
      <c r="O1241" t="s">
        <v>22</v>
      </c>
      <c r="P1241" s="1">
        <v>45396</v>
      </c>
      <c r="Q1241">
        <v>384</v>
      </c>
      <c r="R1241">
        <v>2070</v>
      </c>
      <c r="S1241" t="s">
        <v>99</v>
      </c>
      <c r="T1241">
        <v>6</v>
      </c>
      <c r="U1241" t="s">
        <v>5123</v>
      </c>
      <c r="V1241" t="s">
        <v>59</v>
      </c>
      <c r="W1241" t="s">
        <v>23</v>
      </c>
    </row>
    <row r="1242" spans="1:23" x14ac:dyDescent="0.3">
      <c r="A1242" t="s">
        <v>2606</v>
      </c>
      <c r="B1242" t="s">
        <v>96</v>
      </c>
      <c r="C1242" t="s">
        <v>110</v>
      </c>
      <c r="D1242" t="s">
        <v>75</v>
      </c>
      <c r="E1242" t="s">
        <v>76</v>
      </c>
      <c r="F1242" t="s">
        <v>77</v>
      </c>
      <c r="G1242" t="s">
        <v>41</v>
      </c>
      <c r="H1242" t="s">
        <v>19</v>
      </c>
      <c r="I1242" t="str">
        <f>LEFT(H1242,FIND(" (",H1242)-1)</f>
        <v>Entry</v>
      </c>
      <c r="J1242" t="str">
        <f>MID(H1242,FIND("(",H1242)+1,FIND(")",H1242)-FIND("(",H1242)-1)</f>
        <v>0-2 yrs</v>
      </c>
      <c r="L1242">
        <v>65222</v>
      </c>
      <c r="M1242" t="s">
        <v>2607</v>
      </c>
      <c r="N1242" t="s">
        <v>21</v>
      </c>
      <c r="O1242" t="s">
        <v>44</v>
      </c>
      <c r="P1242" s="1">
        <v>45601</v>
      </c>
      <c r="Q1242">
        <v>1455</v>
      </c>
      <c r="R1242">
        <v>3555</v>
      </c>
      <c r="S1242" t="s">
        <v>34</v>
      </c>
      <c r="T1242">
        <v>0</v>
      </c>
      <c r="U1242" t="s">
        <v>5123</v>
      </c>
      <c r="V1242" t="s">
        <v>24</v>
      </c>
      <c r="W1242" t="s">
        <v>23</v>
      </c>
    </row>
    <row r="1243" spans="1:23" x14ac:dyDescent="0.3">
      <c r="A1243" t="s">
        <v>2608</v>
      </c>
      <c r="B1243" t="s">
        <v>61</v>
      </c>
      <c r="C1243" t="s">
        <v>92</v>
      </c>
      <c r="D1243" t="s">
        <v>125</v>
      </c>
      <c r="E1243" t="s">
        <v>5134</v>
      </c>
      <c r="F1243" t="s">
        <v>5133</v>
      </c>
      <c r="G1243" t="s">
        <v>18</v>
      </c>
      <c r="H1243" t="s">
        <v>31</v>
      </c>
      <c r="I1243" t="str">
        <f>LEFT(H1243,FIND(" (",H1243)-1)</f>
        <v>Staff/Principal</v>
      </c>
      <c r="J1243" t="str">
        <f>MID(H1243,FIND("(",H1243)+1,FIND(")",H1243)-FIND("(",H1243)-1)</f>
        <v>8+ yrs</v>
      </c>
      <c r="L1243">
        <v>192671</v>
      </c>
      <c r="M1243" t="s">
        <v>2609</v>
      </c>
      <c r="N1243" t="s">
        <v>33</v>
      </c>
      <c r="O1243" t="s">
        <v>51</v>
      </c>
      <c r="P1243" s="1">
        <v>45463</v>
      </c>
      <c r="Q1243">
        <v>756</v>
      </c>
      <c r="R1243">
        <v>2443</v>
      </c>
      <c r="S1243" t="s">
        <v>23</v>
      </c>
      <c r="T1243">
        <v>6</v>
      </c>
      <c r="U1243" t="s">
        <v>5123</v>
      </c>
      <c r="V1243" t="s">
        <v>24</v>
      </c>
      <c r="W1243" t="s">
        <v>23</v>
      </c>
    </row>
    <row r="1244" spans="1:23" x14ac:dyDescent="0.3">
      <c r="A1244" t="s">
        <v>2610</v>
      </c>
      <c r="B1244" t="s">
        <v>222</v>
      </c>
      <c r="C1244" t="s">
        <v>179</v>
      </c>
      <c r="D1244" t="s">
        <v>63</v>
      </c>
      <c r="E1244" t="s">
        <v>5140</v>
      </c>
      <c r="F1244" t="s">
        <v>5133</v>
      </c>
      <c r="G1244" t="s">
        <v>18</v>
      </c>
      <c r="H1244" t="s">
        <v>56</v>
      </c>
      <c r="I1244" t="str">
        <f>LEFT(H1244,FIND(" (",H1244)-1)</f>
        <v>Mid</v>
      </c>
      <c r="J1244" t="str">
        <f>MID(H1244,FIND("(",H1244)+1,FIND(")",H1244)-FIND("(",H1244)-1)</f>
        <v>2-5 yrs</v>
      </c>
      <c r="L1244">
        <v>98482</v>
      </c>
      <c r="M1244" t="s">
        <v>2611</v>
      </c>
      <c r="N1244" t="s">
        <v>33</v>
      </c>
      <c r="O1244" t="s">
        <v>44</v>
      </c>
      <c r="P1244" s="1">
        <v>45599</v>
      </c>
      <c r="Q1244">
        <v>532</v>
      </c>
      <c r="R1244">
        <v>3547</v>
      </c>
      <c r="S1244" t="s">
        <v>23</v>
      </c>
      <c r="T1244">
        <v>2</v>
      </c>
      <c r="U1244" t="s">
        <v>52</v>
      </c>
      <c r="V1244" t="s">
        <v>59</v>
      </c>
      <c r="W1244" t="s">
        <v>23</v>
      </c>
    </row>
    <row r="1245" spans="1:23" x14ac:dyDescent="0.3">
      <c r="A1245" t="s">
        <v>2612</v>
      </c>
      <c r="B1245" t="s">
        <v>70</v>
      </c>
      <c r="C1245" t="s">
        <v>37</v>
      </c>
      <c r="D1245" t="s">
        <v>28</v>
      </c>
      <c r="E1245" t="s">
        <v>5136</v>
      </c>
      <c r="F1245" t="s">
        <v>5133</v>
      </c>
      <c r="G1245" t="s">
        <v>18</v>
      </c>
      <c r="H1245" t="s">
        <v>31</v>
      </c>
      <c r="I1245" t="str">
        <f>LEFT(H1245,FIND(" (",H1245)-1)</f>
        <v>Staff/Principal</v>
      </c>
      <c r="J1245" t="str">
        <f>MID(H1245,FIND("(",H1245)+1,FIND(")",H1245)-FIND("(",H1245)-1)</f>
        <v>8+ yrs</v>
      </c>
      <c r="L1245">
        <v>163468</v>
      </c>
      <c r="M1245" t="s">
        <v>2613</v>
      </c>
      <c r="N1245" t="s">
        <v>245</v>
      </c>
      <c r="O1245" t="s">
        <v>51</v>
      </c>
      <c r="P1245" s="1">
        <v>45673</v>
      </c>
      <c r="Q1245">
        <v>2290</v>
      </c>
      <c r="R1245">
        <v>3302</v>
      </c>
      <c r="S1245" t="s">
        <v>23</v>
      </c>
      <c r="T1245">
        <v>6</v>
      </c>
      <c r="U1245" t="s">
        <v>58</v>
      </c>
      <c r="V1245" t="s">
        <v>24</v>
      </c>
      <c r="W1245" t="s">
        <v>34</v>
      </c>
    </row>
    <row r="1246" spans="1:23" x14ac:dyDescent="0.3">
      <c r="A1246" t="s">
        <v>2614</v>
      </c>
      <c r="B1246" t="s">
        <v>91</v>
      </c>
      <c r="C1246" t="s">
        <v>179</v>
      </c>
      <c r="D1246" t="s">
        <v>15</v>
      </c>
      <c r="E1246" t="s">
        <v>200</v>
      </c>
      <c r="F1246" t="s">
        <v>201</v>
      </c>
      <c r="G1246" t="s">
        <v>18</v>
      </c>
      <c r="H1246" t="s">
        <v>66</v>
      </c>
      <c r="I1246" t="str">
        <f>LEFT(H1246,FIND(" (",H1246)-1)</f>
        <v>Senior</v>
      </c>
      <c r="J1246" t="str">
        <f>MID(H1246,FIND("(",H1246)+1,FIND(")",H1246)-FIND("(",H1246)-1)</f>
        <v>5-8 yrs</v>
      </c>
      <c r="L1246">
        <v>132469</v>
      </c>
      <c r="M1246" t="s">
        <v>2615</v>
      </c>
      <c r="N1246" t="s">
        <v>94</v>
      </c>
      <c r="O1246" t="s">
        <v>22</v>
      </c>
      <c r="P1246" s="1">
        <v>45293</v>
      </c>
      <c r="Q1246">
        <v>2291</v>
      </c>
      <c r="R1246">
        <v>3339</v>
      </c>
      <c r="S1246" t="s">
        <v>23</v>
      </c>
      <c r="T1246">
        <v>4</v>
      </c>
      <c r="U1246" t="s">
        <v>58</v>
      </c>
      <c r="V1246" t="s">
        <v>24</v>
      </c>
      <c r="W1246" t="s">
        <v>23</v>
      </c>
    </row>
    <row r="1247" spans="1:23" x14ac:dyDescent="0.3">
      <c r="A1247" t="s">
        <v>2616</v>
      </c>
      <c r="B1247" t="s">
        <v>131</v>
      </c>
      <c r="C1247" t="s">
        <v>14</v>
      </c>
      <c r="D1247" t="s">
        <v>15</v>
      </c>
      <c r="E1247" t="s">
        <v>5135</v>
      </c>
      <c r="F1247" t="s">
        <v>5133</v>
      </c>
      <c r="G1247" t="s">
        <v>18</v>
      </c>
      <c r="H1247" t="s">
        <v>31</v>
      </c>
      <c r="I1247" t="str">
        <f>LEFT(H1247,FIND(" (",H1247)-1)</f>
        <v>Staff/Principal</v>
      </c>
      <c r="J1247" t="str">
        <f>MID(H1247,FIND("(",H1247)+1,FIND(")",H1247)-FIND("(",H1247)-1)</f>
        <v>8+ yrs</v>
      </c>
      <c r="L1247">
        <v>155938</v>
      </c>
      <c r="M1247" t="s">
        <v>2617</v>
      </c>
      <c r="N1247" t="s">
        <v>245</v>
      </c>
      <c r="O1247" t="s">
        <v>51</v>
      </c>
      <c r="P1247" s="1">
        <v>45708</v>
      </c>
      <c r="Q1247">
        <v>829</v>
      </c>
      <c r="R1247">
        <v>3003</v>
      </c>
      <c r="S1247" t="s">
        <v>23</v>
      </c>
      <c r="T1247">
        <v>6</v>
      </c>
      <c r="U1247" t="s">
        <v>5123</v>
      </c>
      <c r="V1247" t="s">
        <v>24</v>
      </c>
      <c r="W1247" t="s">
        <v>34</v>
      </c>
    </row>
    <row r="1248" spans="1:23" x14ac:dyDescent="0.3">
      <c r="A1248" t="s">
        <v>2618</v>
      </c>
      <c r="B1248" t="s">
        <v>151</v>
      </c>
      <c r="C1248" t="s">
        <v>97</v>
      </c>
      <c r="D1248" t="s">
        <v>15</v>
      </c>
      <c r="E1248" t="s">
        <v>5140</v>
      </c>
      <c r="F1248" t="s">
        <v>5133</v>
      </c>
      <c r="G1248" t="s">
        <v>55</v>
      </c>
      <c r="H1248" t="s">
        <v>19</v>
      </c>
      <c r="I1248" t="str">
        <f>LEFT(H1248,FIND(" (",H1248)-1)</f>
        <v>Entry</v>
      </c>
      <c r="J1248" t="str">
        <f>MID(H1248,FIND("(",H1248)+1,FIND(")",H1248)-FIND("(",H1248)-1)</f>
        <v>0-2 yrs</v>
      </c>
      <c r="L1248">
        <v>70429</v>
      </c>
      <c r="M1248" t="s">
        <v>2619</v>
      </c>
      <c r="N1248" t="s">
        <v>245</v>
      </c>
      <c r="O1248" t="s">
        <v>22</v>
      </c>
      <c r="P1248" s="1">
        <v>45592</v>
      </c>
      <c r="Q1248">
        <v>854</v>
      </c>
      <c r="R1248">
        <v>105</v>
      </c>
      <c r="S1248" t="s">
        <v>23</v>
      </c>
      <c r="T1248">
        <v>0</v>
      </c>
      <c r="U1248" t="s">
        <v>45</v>
      </c>
      <c r="V1248" t="s">
        <v>24</v>
      </c>
      <c r="W1248" t="s">
        <v>34</v>
      </c>
    </row>
    <row r="1249" spans="1:23" x14ac:dyDescent="0.3">
      <c r="A1249" t="s">
        <v>2620</v>
      </c>
      <c r="B1249" t="s">
        <v>172</v>
      </c>
      <c r="C1249" t="s">
        <v>54</v>
      </c>
      <c r="D1249" t="s">
        <v>15</v>
      </c>
      <c r="E1249" t="s">
        <v>200</v>
      </c>
      <c r="F1249" t="s">
        <v>201</v>
      </c>
      <c r="G1249" t="s">
        <v>41</v>
      </c>
      <c r="H1249" t="s">
        <v>66</v>
      </c>
      <c r="I1249" t="str">
        <f>LEFT(H1249,FIND(" (",H1249)-1)</f>
        <v>Senior</v>
      </c>
      <c r="J1249" t="str">
        <f>MID(H1249,FIND("(",H1249)+1,FIND(")",H1249)-FIND("(",H1249)-1)</f>
        <v>5-8 yrs</v>
      </c>
      <c r="L1249">
        <v>129210</v>
      </c>
      <c r="M1249" t="s">
        <v>2621</v>
      </c>
      <c r="N1249" t="s">
        <v>33</v>
      </c>
      <c r="O1249" t="s">
        <v>22</v>
      </c>
      <c r="P1249" s="1">
        <v>45597</v>
      </c>
      <c r="Q1249">
        <v>2484</v>
      </c>
      <c r="R1249">
        <v>1772</v>
      </c>
      <c r="S1249" t="s">
        <v>34</v>
      </c>
      <c r="T1249">
        <v>4</v>
      </c>
      <c r="U1249" t="s">
        <v>58</v>
      </c>
      <c r="V1249" t="s">
        <v>24</v>
      </c>
      <c r="W1249" t="s">
        <v>23</v>
      </c>
    </row>
    <row r="1250" spans="1:23" x14ac:dyDescent="0.3">
      <c r="A1250" t="s">
        <v>2622</v>
      </c>
      <c r="B1250" t="s">
        <v>96</v>
      </c>
      <c r="C1250" t="s">
        <v>239</v>
      </c>
      <c r="D1250" t="s">
        <v>174</v>
      </c>
      <c r="E1250" t="s">
        <v>5132</v>
      </c>
      <c r="F1250" t="s">
        <v>5133</v>
      </c>
      <c r="G1250" t="s">
        <v>18</v>
      </c>
      <c r="H1250" t="s">
        <v>66</v>
      </c>
      <c r="I1250" t="str">
        <f>LEFT(H1250,FIND(" (",H1250)-1)</f>
        <v>Senior</v>
      </c>
      <c r="J1250" t="str">
        <f>MID(H1250,FIND("(",H1250)+1,FIND(")",H1250)-FIND("(",H1250)-1)</f>
        <v>5-8 yrs</v>
      </c>
      <c r="L1250">
        <v>156312</v>
      </c>
      <c r="M1250" t="s">
        <v>2623</v>
      </c>
      <c r="N1250" t="s">
        <v>120</v>
      </c>
      <c r="O1250" t="s">
        <v>22</v>
      </c>
      <c r="P1250" s="1">
        <v>45431</v>
      </c>
      <c r="Q1250">
        <v>670</v>
      </c>
      <c r="R1250">
        <v>519</v>
      </c>
      <c r="S1250" t="s">
        <v>23</v>
      </c>
      <c r="T1250">
        <v>4</v>
      </c>
      <c r="U1250" t="s">
        <v>83</v>
      </c>
      <c r="V1250" t="s">
        <v>24</v>
      </c>
      <c r="W1250" t="s">
        <v>23</v>
      </c>
    </row>
    <row r="1251" spans="1:23" x14ac:dyDescent="0.3">
      <c r="A1251" t="s">
        <v>2624</v>
      </c>
      <c r="B1251" t="s">
        <v>137</v>
      </c>
      <c r="C1251" t="s">
        <v>209</v>
      </c>
      <c r="D1251" t="s">
        <v>49</v>
      </c>
      <c r="E1251" t="s">
        <v>5141</v>
      </c>
      <c r="F1251" t="s">
        <v>5133</v>
      </c>
      <c r="G1251" t="s">
        <v>41</v>
      </c>
      <c r="H1251" t="s">
        <v>66</v>
      </c>
      <c r="I1251" t="str">
        <f>LEFT(H1251,FIND(" (",H1251)-1)</f>
        <v>Senior</v>
      </c>
      <c r="J1251" t="str">
        <f>MID(H1251,FIND("(",H1251)+1,FIND(")",H1251)-FIND("(",H1251)-1)</f>
        <v>5-8 yrs</v>
      </c>
      <c r="L1251">
        <v>107990</v>
      </c>
      <c r="M1251" t="s">
        <v>2625</v>
      </c>
      <c r="N1251" t="s">
        <v>43</v>
      </c>
      <c r="O1251" t="s">
        <v>51</v>
      </c>
      <c r="P1251" s="1">
        <v>45437</v>
      </c>
      <c r="Q1251">
        <v>2327</v>
      </c>
      <c r="R1251">
        <v>224</v>
      </c>
      <c r="S1251" t="s">
        <v>23</v>
      </c>
      <c r="T1251">
        <v>4</v>
      </c>
      <c r="U1251" t="s">
        <v>58</v>
      </c>
      <c r="V1251" t="s">
        <v>24</v>
      </c>
      <c r="W1251" t="s">
        <v>34</v>
      </c>
    </row>
    <row r="1252" spans="1:23" x14ac:dyDescent="0.3">
      <c r="A1252" t="s">
        <v>2626</v>
      </c>
      <c r="B1252" t="s">
        <v>329</v>
      </c>
      <c r="C1252" t="s">
        <v>86</v>
      </c>
      <c r="D1252" t="s">
        <v>147</v>
      </c>
      <c r="E1252" t="s">
        <v>5139</v>
      </c>
      <c r="F1252" t="s">
        <v>5133</v>
      </c>
      <c r="G1252" t="s">
        <v>55</v>
      </c>
      <c r="H1252" t="s">
        <v>19</v>
      </c>
      <c r="I1252" t="str">
        <f>LEFT(H1252,FIND(" (",H1252)-1)</f>
        <v>Entry</v>
      </c>
      <c r="J1252" t="str">
        <f>MID(H1252,FIND("(",H1252)+1,FIND(")",H1252)-FIND("(",H1252)-1)</f>
        <v>0-2 yrs</v>
      </c>
      <c r="L1252">
        <v>74169</v>
      </c>
      <c r="M1252" t="s">
        <v>2627</v>
      </c>
      <c r="N1252" t="s">
        <v>141</v>
      </c>
      <c r="O1252" t="s">
        <v>22</v>
      </c>
      <c r="P1252" s="1">
        <v>45450</v>
      </c>
      <c r="Q1252">
        <v>1105</v>
      </c>
      <c r="R1252">
        <v>1457</v>
      </c>
      <c r="S1252" t="s">
        <v>23</v>
      </c>
      <c r="T1252">
        <v>0</v>
      </c>
      <c r="U1252" t="s">
        <v>5123</v>
      </c>
      <c r="V1252" t="s">
        <v>24</v>
      </c>
      <c r="W1252" t="s">
        <v>34</v>
      </c>
    </row>
    <row r="1253" spans="1:23" x14ac:dyDescent="0.3">
      <c r="A1253" t="s">
        <v>2628</v>
      </c>
      <c r="B1253" t="s">
        <v>70</v>
      </c>
      <c r="C1253" t="s">
        <v>27</v>
      </c>
      <c r="D1253" t="s">
        <v>147</v>
      </c>
      <c r="E1253" t="s">
        <v>87</v>
      </c>
      <c r="F1253" t="s">
        <v>87</v>
      </c>
      <c r="G1253" t="s">
        <v>41</v>
      </c>
      <c r="H1253" t="s">
        <v>66</v>
      </c>
      <c r="I1253" t="str">
        <f>LEFT(H1253,FIND(" (",H1253)-1)</f>
        <v>Senior</v>
      </c>
      <c r="J1253" t="str">
        <f>MID(H1253,FIND("(",H1253)+1,FIND(")",H1253)-FIND("(",H1253)-1)</f>
        <v>5-8 yrs</v>
      </c>
      <c r="L1253">
        <v>172505</v>
      </c>
      <c r="M1253" t="s">
        <v>2629</v>
      </c>
      <c r="N1253" t="s">
        <v>149</v>
      </c>
      <c r="O1253" t="s">
        <v>22</v>
      </c>
      <c r="P1253" s="1">
        <v>45326</v>
      </c>
      <c r="Q1253">
        <v>2456</v>
      </c>
      <c r="R1253">
        <v>1812</v>
      </c>
      <c r="S1253" t="s">
        <v>23</v>
      </c>
      <c r="T1253">
        <v>4</v>
      </c>
      <c r="U1253" t="s">
        <v>45</v>
      </c>
      <c r="V1253" t="s">
        <v>24</v>
      </c>
      <c r="W1253" t="s">
        <v>34</v>
      </c>
    </row>
    <row r="1254" spans="1:23" x14ac:dyDescent="0.3">
      <c r="A1254" t="s">
        <v>2630</v>
      </c>
      <c r="B1254" t="s">
        <v>70</v>
      </c>
      <c r="C1254" t="s">
        <v>226</v>
      </c>
      <c r="D1254" t="s">
        <v>38</v>
      </c>
      <c r="E1254" t="s">
        <v>29</v>
      </c>
      <c r="F1254" t="s">
        <v>30</v>
      </c>
      <c r="G1254" t="s">
        <v>41</v>
      </c>
      <c r="H1254" t="s">
        <v>56</v>
      </c>
      <c r="I1254" t="str">
        <f>LEFT(H1254,FIND(" (",H1254)-1)</f>
        <v>Mid</v>
      </c>
      <c r="J1254" t="str">
        <f>MID(H1254,FIND("(",H1254)+1,FIND(")",H1254)-FIND("(",H1254)-1)</f>
        <v>2-5 yrs</v>
      </c>
      <c r="L1254">
        <v>70524</v>
      </c>
      <c r="M1254" t="s">
        <v>2631</v>
      </c>
      <c r="N1254" t="s">
        <v>33</v>
      </c>
      <c r="O1254" t="s">
        <v>22</v>
      </c>
      <c r="P1254" s="1">
        <v>45449</v>
      </c>
      <c r="Q1254">
        <v>1610</v>
      </c>
      <c r="R1254">
        <v>2854</v>
      </c>
      <c r="S1254" t="s">
        <v>99</v>
      </c>
      <c r="T1254">
        <v>2</v>
      </c>
      <c r="U1254" t="s">
        <v>58</v>
      </c>
      <c r="V1254" t="s">
        <v>24</v>
      </c>
      <c r="W1254" t="s">
        <v>34</v>
      </c>
    </row>
    <row r="1255" spans="1:23" x14ac:dyDescent="0.3">
      <c r="A1255" t="s">
        <v>2632</v>
      </c>
      <c r="B1255" t="s">
        <v>172</v>
      </c>
      <c r="C1255" t="s">
        <v>54</v>
      </c>
      <c r="D1255" t="s">
        <v>111</v>
      </c>
      <c r="E1255" t="s">
        <v>200</v>
      </c>
      <c r="F1255" t="s">
        <v>201</v>
      </c>
      <c r="G1255" t="s">
        <v>55</v>
      </c>
      <c r="H1255" t="s">
        <v>19</v>
      </c>
      <c r="I1255" t="str">
        <f>LEFT(H1255,FIND(" (",H1255)-1)</f>
        <v>Entry</v>
      </c>
      <c r="J1255" t="str">
        <f>MID(H1255,FIND("(",H1255)+1,FIND(")",H1255)-FIND("(",H1255)-1)</f>
        <v>0-2 yrs</v>
      </c>
      <c r="L1255">
        <v>74713</v>
      </c>
      <c r="M1255" t="s">
        <v>2633</v>
      </c>
      <c r="N1255" t="s">
        <v>33</v>
      </c>
      <c r="O1255" t="s">
        <v>22</v>
      </c>
      <c r="P1255" s="1">
        <v>45332</v>
      </c>
      <c r="Q1255">
        <v>1652</v>
      </c>
      <c r="R1255">
        <v>1600</v>
      </c>
      <c r="S1255" t="s">
        <v>99</v>
      </c>
      <c r="T1255">
        <v>0</v>
      </c>
      <c r="U1255" t="s">
        <v>83</v>
      </c>
      <c r="V1255" t="s">
        <v>24</v>
      </c>
      <c r="W1255" t="s">
        <v>23</v>
      </c>
    </row>
    <row r="1256" spans="1:23" x14ac:dyDescent="0.3">
      <c r="A1256" t="s">
        <v>2634</v>
      </c>
      <c r="B1256" t="s">
        <v>85</v>
      </c>
      <c r="C1256" t="s">
        <v>92</v>
      </c>
      <c r="D1256" t="s">
        <v>63</v>
      </c>
      <c r="E1256" t="s">
        <v>16</v>
      </c>
      <c r="F1256" t="s">
        <v>17</v>
      </c>
      <c r="G1256" t="s">
        <v>41</v>
      </c>
      <c r="H1256" t="s">
        <v>31</v>
      </c>
      <c r="I1256" t="str">
        <f>LEFT(H1256,FIND(" (",H1256)-1)</f>
        <v>Staff/Principal</v>
      </c>
      <c r="J1256" t="str">
        <f>MID(H1256,FIND("(",H1256)+1,FIND(")",H1256)-FIND("(",H1256)-1)</f>
        <v>8+ yrs</v>
      </c>
      <c r="L1256">
        <v>244196</v>
      </c>
      <c r="M1256" t="s">
        <v>2635</v>
      </c>
      <c r="N1256" t="s">
        <v>68</v>
      </c>
      <c r="O1256" t="s">
        <v>44</v>
      </c>
      <c r="P1256" s="1">
        <v>45578</v>
      </c>
      <c r="Q1256">
        <v>663</v>
      </c>
      <c r="R1256">
        <v>2230</v>
      </c>
      <c r="S1256" t="s">
        <v>23</v>
      </c>
      <c r="T1256">
        <v>6</v>
      </c>
      <c r="U1256" t="s">
        <v>5123</v>
      </c>
      <c r="V1256" t="s">
        <v>59</v>
      </c>
      <c r="W1256" t="s">
        <v>34</v>
      </c>
    </row>
    <row r="1257" spans="1:23" x14ac:dyDescent="0.3">
      <c r="A1257" t="s">
        <v>2636</v>
      </c>
      <c r="B1257" t="s">
        <v>222</v>
      </c>
      <c r="C1257" t="s">
        <v>204</v>
      </c>
      <c r="D1257" t="s">
        <v>125</v>
      </c>
      <c r="E1257" t="s">
        <v>5140</v>
      </c>
      <c r="F1257" t="s">
        <v>5133</v>
      </c>
      <c r="G1257" t="s">
        <v>41</v>
      </c>
      <c r="H1257" t="s">
        <v>56</v>
      </c>
      <c r="I1257" t="str">
        <f>LEFT(H1257,FIND(" (",H1257)-1)</f>
        <v>Mid</v>
      </c>
      <c r="J1257" t="str">
        <f>MID(H1257,FIND("(",H1257)+1,FIND(")",H1257)-FIND("(",H1257)-1)</f>
        <v>2-5 yrs</v>
      </c>
      <c r="L1257">
        <v>86049</v>
      </c>
      <c r="M1257" t="s">
        <v>2637</v>
      </c>
      <c r="N1257" t="s">
        <v>89</v>
      </c>
      <c r="O1257" t="s">
        <v>22</v>
      </c>
      <c r="P1257" s="1">
        <v>45513</v>
      </c>
      <c r="Q1257">
        <v>1958</v>
      </c>
      <c r="R1257">
        <v>1194</v>
      </c>
      <c r="S1257" t="s">
        <v>23</v>
      </c>
      <c r="T1257">
        <v>2</v>
      </c>
      <c r="U1257" t="s">
        <v>52</v>
      </c>
      <c r="V1257" t="s">
        <v>59</v>
      </c>
      <c r="W1257" t="s">
        <v>23</v>
      </c>
    </row>
    <row r="1258" spans="1:23" x14ac:dyDescent="0.3">
      <c r="A1258" t="s">
        <v>2638</v>
      </c>
      <c r="B1258" t="s">
        <v>236</v>
      </c>
      <c r="C1258" t="s">
        <v>239</v>
      </c>
      <c r="D1258" t="s">
        <v>38</v>
      </c>
      <c r="E1258" t="s">
        <v>102</v>
      </c>
      <c r="F1258" t="s">
        <v>103</v>
      </c>
      <c r="G1258" t="s">
        <v>55</v>
      </c>
      <c r="H1258" t="s">
        <v>56</v>
      </c>
      <c r="I1258" t="str">
        <f>LEFT(H1258,FIND(" (",H1258)-1)</f>
        <v>Mid</v>
      </c>
      <c r="J1258" t="str">
        <f>MID(H1258,FIND("(",H1258)+1,FIND(")",H1258)-FIND("(",H1258)-1)</f>
        <v>2-5 yrs</v>
      </c>
      <c r="L1258">
        <v>143116</v>
      </c>
      <c r="M1258" t="s">
        <v>2639</v>
      </c>
      <c r="N1258" t="s">
        <v>89</v>
      </c>
      <c r="O1258" t="s">
        <v>51</v>
      </c>
      <c r="P1258" s="1">
        <v>45703</v>
      </c>
      <c r="Q1258">
        <v>953</v>
      </c>
      <c r="R1258">
        <v>926</v>
      </c>
      <c r="S1258" t="s">
        <v>23</v>
      </c>
      <c r="T1258">
        <v>2</v>
      </c>
      <c r="U1258" t="s">
        <v>45</v>
      </c>
      <c r="V1258" t="s">
        <v>24</v>
      </c>
      <c r="W1258" t="s">
        <v>34</v>
      </c>
    </row>
    <row r="1259" spans="1:23" x14ac:dyDescent="0.3">
      <c r="A1259" t="s">
        <v>2640</v>
      </c>
      <c r="B1259" t="s">
        <v>91</v>
      </c>
      <c r="C1259" t="s">
        <v>62</v>
      </c>
      <c r="D1259" t="s">
        <v>28</v>
      </c>
      <c r="E1259" t="s">
        <v>5140</v>
      </c>
      <c r="F1259" t="s">
        <v>5133</v>
      </c>
      <c r="G1259" t="s">
        <v>41</v>
      </c>
      <c r="H1259" t="s">
        <v>56</v>
      </c>
      <c r="I1259" t="str">
        <f>LEFT(H1259,FIND(" (",H1259)-1)</f>
        <v>Mid</v>
      </c>
      <c r="J1259" t="str">
        <f>MID(H1259,FIND("(",H1259)+1,FIND(")",H1259)-FIND("(",H1259)-1)</f>
        <v>2-5 yrs</v>
      </c>
      <c r="L1259">
        <v>118296</v>
      </c>
      <c r="M1259" t="s">
        <v>2641</v>
      </c>
      <c r="N1259" t="s">
        <v>68</v>
      </c>
      <c r="O1259" t="s">
        <v>22</v>
      </c>
      <c r="P1259" s="1">
        <v>45420</v>
      </c>
      <c r="Q1259">
        <v>1170</v>
      </c>
      <c r="R1259">
        <v>3948</v>
      </c>
      <c r="S1259" t="s">
        <v>23</v>
      </c>
      <c r="T1259">
        <v>2</v>
      </c>
      <c r="U1259" t="s">
        <v>5123</v>
      </c>
      <c r="V1259" t="s">
        <v>24</v>
      </c>
      <c r="W1259" t="s">
        <v>23</v>
      </c>
    </row>
    <row r="1260" spans="1:23" x14ac:dyDescent="0.3">
      <c r="A1260" t="s">
        <v>2642</v>
      </c>
      <c r="B1260" t="s">
        <v>85</v>
      </c>
      <c r="C1260" t="s">
        <v>209</v>
      </c>
      <c r="D1260" t="s">
        <v>147</v>
      </c>
      <c r="E1260" t="s">
        <v>159</v>
      </c>
      <c r="F1260" t="s">
        <v>160</v>
      </c>
      <c r="G1260" t="s">
        <v>18</v>
      </c>
      <c r="H1260" t="s">
        <v>19</v>
      </c>
      <c r="I1260" t="str">
        <f>LEFT(H1260,FIND(" (",H1260)-1)</f>
        <v>Entry</v>
      </c>
      <c r="J1260" t="str">
        <f>MID(H1260,FIND("(",H1260)+1,FIND(")",H1260)-FIND("(",H1260)-1)</f>
        <v>0-2 yrs</v>
      </c>
      <c r="L1260">
        <v>61116</v>
      </c>
      <c r="M1260" t="s">
        <v>2643</v>
      </c>
      <c r="N1260" t="s">
        <v>33</v>
      </c>
      <c r="O1260" t="s">
        <v>22</v>
      </c>
      <c r="P1260" s="1">
        <v>45456</v>
      </c>
      <c r="Q1260">
        <v>2112</v>
      </c>
      <c r="R1260">
        <v>1335</v>
      </c>
      <c r="S1260" t="s">
        <v>23</v>
      </c>
      <c r="T1260">
        <v>0</v>
      </c>
      <c r="U1260" t="s">
        <v>83</v>
      </c>
      <c r="V1260" t="s">
        <v>24</v>
      </c>
      <c r="W1260" t="s">
        <v>34</v>
      </c>
    </row>
    <row r="1261" spans="1:23" x14ac:dyDescent="0.3">
      <c r="A1261" t="s">
        <v>2644</v>
      </c>
      <c r="B1261" t="s">
        <v>91</v>
      </c>
      <c r="C1261" t="s">
        <v>97</v>
      </c>
      <c r="D1261" t="s">
        <v>125</v>
      </c>
      <c r="E1261" t="s">
        <v>5140</v>
      </c>
      <c r="F1261" t="s">
        <v>5133</v>
      </c>
      <c r="G1261" t="s">
        <v>18</v>
      </c>
      <c r="H1261" t="s">
        <v>19</v>
      </c>
      <c r="I1261" t="str">
        <f>LEFT(H1261,FIND(" (",H1261)-1)</f>
        <v>Entry</v>
      </c>
      <c r="J1261" t="str">
        <f>MID(H1261,FIND("(",H1261)+1,FIND(")",H1261)-FIND("(",H1261)-1)</f>
        <v>0-2 yrs</v>
      </c>
      <c r="L1261">
        <v>69297</v>
      </c>
      <c r="M1261" t="s">
        <v>2645</v>
      </c>
      <c r="N1261" t="s">
        <v>141</v>
      </c>
      <c r="O1261" t="s">
        <v>79</v>
      </c>
      <c r="P1261" s="1">
        <v>45718</v>
      </c>
      <c r="Q1261">
        <v>2318</v>
      </c>
      <c r="R1261">
        <v>1850</v>
      </c>
      <c r="S1261" t="s">
        <v>23</v>
      </c>
      <c r="T1261">
        <v>0</v>
      </c>
      <c r="U1261" t="s">
        <v>52</v>
      </c>
      <c r="V1261" t="s">
        <v>24</v>
      </c>
      <c r="W1261" t="s">
        <v>34</v>
      </c>
    </row>
    <row r="1262" spans="1:23" x14ac:dyDescent="0.3">
      <c r="A1262" t="s">
        <v>2646</v>
      </c>
      <c r="B1262" t="s">
        <v>131</v>
      </c>
      <c r="C1262" t="s">
        <v>54</v>
      </c>
      <c r="D1262" t="s">
        <v>15</v>
      </c>
      <c r="E1262" t="s">
        <v>5134</v>
      </c>
      <c r="F1262" t="s">
        <v>5133</v>
      </c>
      <c r="G1262" t="s">
        <v>18</v>
      </c>
      <c r="H1262" t="s">
        <v>19</v>
      </c>
      <c r="I1262" t="str">
        <f>LEFT(H1262,FIND(" (",H1262)-1)</f>
        <v>Entry</v>
      </c>
      <c r="J1262" t="str">
        <f>MID(H1262,FIND("(",H1262)+1,FIND(")",H1262)-FIND("(",H1262)-1)</f>
        <v>0-2 yrs</v>
      </c>
      <c r="L1262">
        <v>77034</v>
      </c>
      <c r="M1262" t="s">
        <v>2647</v>
      </c>
      <c r="N1262" t="s">
        <v>245</v>
      </c>
      <c r="O1262" t="s">
        <v>51</v>
      </c>
      <c r="P1262" s="1">
        <v>45444</v>
      </c>
      <c r="Q1262">
        <v>1582</v>
      </c>
      <c r="R1262">
        <v>704</v>
      </c>
      <c r="S1262" t="s">
        <v>23</v>
      </c>
      <c r="T1262">
        <v>0</v>
      </c>
      <c r="U1262" t="s">
        <v>45</v>
      </c>
      <c r="V1262" t="s">
        <v>24</v>
      </c>
      <c r="W1262" t="s">
        <v>34</v>
      </c>
    </row>
    <row r="1263" spans="1:23" x14ac:dyDescent="0.3">
      <c r="A1263" t="s">
        <v>2648</v>
      </c>
      <c r="B1263" t="s">
        <v>229</v>
      </c>
      <c r="C1263" t="s">
        <v>226</v>
      </c>
      <c r="D1263" t="s">
        <v>75</v>
      </c>
      <c r="E1263" t="s">
        <v>230</v>
      </c>
      <c r="F1263" t="s">
        <v>231</v>
      </c>
      <c r="G1263" t="s">
        <v>41</v>
      </c>
      <c r="H1263" t="s">
        <v>31</v>
      </c>
      <c r="I1263" t="str">
        <f>LEFT(H1263,FIND(" (",H1263)-1)</f>
        <v>Staff/Principal</v>
      </c>
      <c r="J1263" t="str">
        <f>MID(H1263,FIND("(",H1263)+1,FIND(")",H1263)-FIND("(",H1263)-1)</f>
        <v>8+ yrs</v>
      </c>
      <c r="L1263">
        <v>202736</v>
      </c>
      <c r="M1263" t="s">
        <v>2649</v>
      </c>
      <c r="N1263" t="s">
        <v>33</v>
      </c>
      <c r="O1263" t="s">
        <v>22</v>
      </c>
      <c r="P1263" s="1">
        <v>45359</v>
      </c>
      <c r="Q1263">
        <v>2157</v>
      </c>
      <c r="R1263">
        <v>1731</v>
      </c>
      <c r="S1263" t="s">
        <v>34</v>
      </c>
      <c r="T1263">
        <v>6</v>
      </c>
      <c r="U1263" t="s">
        <v>83</v>
      </c>
      <c r="V1263" t="s">
        <v>46</v>
      </c>
      <c r="W1263" t="s">
        <v>23</v>
      </c>
    </row>
    <row r="1264" spans="1:23" x14ac:dyDescent="0.3">
      <c r="A1264" t="s">
        <v>2650</v>
      </c>
      <c r="B1264" t="s">
        <v>329</v>
      </c>
      <c r="C1264" t="s">
        <v>158</v>
      </c>
      <c r="D1264" t="s">
        <v>147</v>
      </c>
      <c r="E1264" t="s">
        <v>5140</v>
      </c>
      <c r="F1264" t="s">
        <v>5133</v>
      </c>
      <c r="G1264" t="s">
        <v>55</v>
      </c>
      <c r="H1264" t="s">
        <v>56</v>
      </c>
      <c r="I1264" t="str">
        <f>LEFT(H1264,FIND(" (",H1264)-1)</f>
        <v>Mid</v>
      </c>
      <c r="J1264" t="str">
        <f>MID(H1264,FIND("(",H1264)+1,FIND(")",H1264)-FIND("(",H1264)-1)</f>
        <v>2-5 yrs</v>
      </c>
      <c r="L1264">
        <v>120667</v>
      </c>
      <c r="M1264" t="s">
        <v>2651</v>
      </c>
      <c r="N1264" t="s">
        <v>33</v>
      </c>
      <c r="O1264" t="s">
        <v>44</v>
      </c>
      <c r="P1264" s="1">
        <v>45417</v>
      </c>
      <c r="Q1264">
        <v>1374</v>
      </c>
      <c r="R1264">
        <v>3884</v>
      </c>
      <c r="S1264" t="s">
        <v>23</v>
      </c>
      <c r="T1264">
        <v>2</v>
      </c>
      <c r="U1264" t="s">
        <v>5123</v>
      </c>
      <c r="V1264" t="s">
        <v>24</v>
      </c>
      <c r="W1264" t="s">
        <v>34</v>
      </c>
    </row>
    <row r="1265" spans="1:23" x14ac:dyDescent="0.3">
      <c r="A1265" t="s">
        <v>2652</v>
      </c>
      <c r="B1265" t="s">
        <v>236</v>
      </c>
      <c r="C1265" t="s">
        <v>116</v>
      </c>
      <c r="D1265" t="s">
        <v>75</v>
      </c>
      <c r="E1265" t="s">
        <v>200</v>
      </c>
      <c r="F1265" t="s">
        <v>201</v>
      </c>
      <c r="G1265" t="s">
        <v>18</v>
      </c>
      <c r="H1265" t="s">
        <v>31</v>
      </c>
      <c r="I1265" t="str">
        <f>LEFT(H1265,FIND(" (",H1265)-1)</f>
        <v>Staff/Principal</v>
      </c>
      <c r="J1265" t="str">
        <f>MID(H1265,FIND("(",H1265)+1,FIND(")",H1265)-FIND("(",H1265)-1)</f>
        <v>8+ yrs</v>
      </c>
      <c r="L1265">
        <v>166855</v>
      </c>
      <c r="M1265" t="s">
        <v>2653</v>
      </c>
      <c r="N1265" t="s">
        <v>21</v>
      </c>
      <c r="O1265" t="s">
        <v>44</v>
      </c>
      <c r="P1265" s="1">
        <v>45559</v>
      </c>
      <c r="Q1265">
        <v>616</v>
      </c>
      <c r="R1265">
        <v>1065</v>
      </c>
      <c r="S1265" t="s">
        <v>23</v>
      </c>
      <c r="T1265">
        <v>6</v>
      </c>
      <c r="U1265" t="s">
        <v>83</v>
      </c>
      <c r="V1265" t="s">
        <v>24</v>
      </c>
      <c r="W1265" t="s">
        <v>23</v>
      </c>
    </row>
    <row r="1266" spans="1:23" x14ac:dyDescent="0.3">
      <c r="A1266" t="s">
        <v>2654</v>
      </c>
      <c r="B1266" t="s">
        <v>85</v>
      </c>
      <c r="C1266" t="s">
        <v>209</v>
      </c>
      <c r="D1266" t="s">
        <v>38</v>
      </c>
      <c r="E1266" t="s">
        <v>5132</v>
      </c>
      <c r="F1266" t="s">
        <v>5133</v>
      </c>
      <c r="G1266" t="s">
        <v>18</v>
      </c>
      <c r="H1266" t="s">
        <v>66</v>
      </c>
      <c r="I1266" t="str">
        <f>LEFT(H1266,FIND(" (",H1266)-1)</f>
        <v>Senior</v>
      </c>
      <c r="J1266" t="str">
        <f>MID(H1266,FIND("(",H1266)+1,FIND(")",H1266)-FIND("(",H1266)-1)</f>
        <v>5-8 yrs</v>
      </c>
      <c r="L1266">
        <v>154572</v>
      </c>
      <c r="M1266" t="s">
        <v>2655</v>
      </c>
      <c r="N1266" t="s">
        <v>68</v>
      </c>
      <c r="O1266" t="s">
        <v>79</v>
      </c>
      <c r="P1266" s="1">
        <v>45436</v>
      </c>
      <c r="Q1266">
        <v>1353</v>
      </c>
      <c r="R1266">
        <v>3668</v>
      </c>
      <c r="S1266" t="s">
        <v>23</v>
      </c>
      <c r="T1266">
        <v>4</v>
      </c>
      <c r="U1266" t="s">
        <v>52</v>
      </c>
      <c r="V1266" t="s">
        <v>24</v>
      </c>
      <c r="W1266" t="s">
        <v>23</v>
      </c>
    </row>
    <row r="1267" spans="1:23" x14ac:dyDescent="0.3">
      <c r="A1267" t="s">
        <v>2656</v>
      </c>
      <c r="B1267" t="s">
        <v>143</v>
      </c>
      <c r="C1267" t="s">
        <v>14</v>
      </c>
      <c r="D1267" t="s">
        <v>125</v>
      </c>
      <c r="E1267" t="s">
        <v>5137</v>
      </c>
      <c r="F1267" t="s">
        <v>5138</v>
      </c>
      <c r="G1267" t="s">
        <v>18</v>
      </c>
      <c r="H1267" t="s">
        <v>19</v>
      </c>
      <c r="I1267" t="str">
        <f>LEFT(H1267,FIND(" (",H1267)-1)</f>
        <v>Entry</v>
      </c>
      <c r="J1267" t="str">
        <f>MID(H1267,FIND("(",H1267)+1,FIND(")",H1267)-FIND("(",H1267)-1)</f>
        <v>0-2 yrs</v>
      </c>
      <c r="L1267">
        <v>52187</v>
      </c>
      <c r="M1267" t="s">
        <v>2657</v>
      </c>
      <c r="N1267" t="s">
        <v>89</v>
      </c>
      <c r="O1267" t="s">
        <v>22</v>
      </c>
      <c r="P1267" s="1">
        <v>45439</v>
      </c>
      <c r="Q1267">
        <v>1090</v>
      </c>
      <c r="R1267">
        <v>3354</v>
      </c>
      <c r="S1267" t="s">
        <v>23</v>
      </c>
      <c r="T1267">
        <v>0</v>
      </c>
      <c r="U1267" t="s">
        <v>83</v>
      </c>
      <c r="V1267" t="s">
        <v>59</v>
      </c>
      <c r="W1267" t="s">
        <v>34</v>
      </c>
    </row>
    <row r="1268" spans="1:23" x14ac:dyDescent="0.3">
      <c r="A1268" t="s">
        <v>2658</v>
      </c>
      <c r="B1268" t="s">
        <v>96</v>
      </c>
      <c r="C1268" t="s">
        <v>182</v>
      </c>
      <c r="D1268" t="s">
        <v>63</v>
      </c>
      <c r="E1268" t="s">
        <v>102</v>
      </c>
      <c r="F1268" t="s">
        <v>103</v>
      </c>
      <c r="G1268" t="s">
        <v>55</v>
      </c>
      <c r="H1268" t="s">
        <v>66</v>
      </c>
      <c r="I1268" t="str">
        <f>LEFT(H1268,FIND(" (",H1268)-1)</f>
        <v>Senior</v>
      </c>
      <c r="J1268" t="str">
        <f>MID(H1268,FIND("(",H1268)+1,FIND(")",H1268)-FIND("(",H1268)-1)</f>
        <v>5-8 yrs</v>
      </c>
      <c r="L1268">
        <v>146996</v>
      </c>
      <c r="M1268" t="s">
        <v>2659</v>
      </c>
      <c r="N1268" t="s">
        <v>33</v>
      </c>
      <c r="O1268" t="s">
        <v>22</v>
      </c>
      <c r="P1268" s="1">
        <v>45618</v>
      </c>
      <c r="Q1268">
        <v>2402</v>
      </c>
      <c r="R1268">
        <v>3181</v>
      </c>
      <c r="S1268" t="s">
        <v>23</v>
      </c>
      <c r="T1268">
        <v>4</v>
      </c>
      <c r="U1268" t="s">
        <v>52</v>
      </c>
      <c r="V1268" t="s">
        <v>59</v>
      </c>
      <c r="W1268" t="s">
        <v>34</v>
      </c>
    </row>
    <row r="1269" spans="1:23" x14ac:dyDescent="0.3">
      <c r="A1269" t="s">
        <v>2660</v>
      </c>
      <c r="B1269" t="s">
        <v>172</v>
      </c>
      <c r="C1269" t="s">
        <v>182</v>
      </c>
      <c r="D1269" t="s">
        <v>28</v>
      </c>
      <c r="E1269" t="s">
        <v>5135</v>
      </c>
      <c r="F1269" t="s">
        <v>5133</v>
      </c>
      <c r="G1269" t="s">
        <v>18</v>
      </c>
      <c r="H1269" t="s">
        <v>31</v>
      </c>
      <c r="I1269" t="str">
        <f>LEFT(H1269,FIND(" (",H1269)-1)</f>
        <v>Staff/Principal</v>
      </c>
      <c r="J1269" t="str">
        <f>MID(H1269,FIND("(",H1269)+1,FIND(")",H1269)-FIND("(",H1269)-1)</f>
        <v>8+ yrs</v>
      </c>
      <c r="L1269">
        <v>167459</v>
      </c>
      <c r="M1269" t="s">
        <v>2661</v>
      </c>
      <c r="N1269" t="s">
        <v>245</v>
      </c>
      <c r="O1269" t="s">
        <v>51</v>
      </c>
      <c r="P1269" s="1">
        <v>45571</v>
      </c>
      <c r="Q1269">
        <v>1815</v>
      </c>
      <c r="R1269">
        <v>1651</v>
      </c>
      <c r="S1269" t="s">
        <v>23</v>
      </c>
      <c r="T1269">
        <v>6</v>
      </c>
      <c r="U1269" t="s">
        <v>83</v>
      </c>
      <c r="V1269" t="s">
        <v>24</v>
      </c>
      <c r="W1269" t="s">
        <v>23</v>
      </c>
    </row>
    <row r="1270" spans="1:23" x14ac:dyDescent="0.3">
      <c r="A1270" t="s">
        <v>2662</v>
      </c>
      <c r="B1270" t="s">
        <v>36</v>
      </c>
      <c r="C1270" t="s">
        <v>92</v>
      </c>
      <c r="D1270" t="s">
        <v>15</v>
      </c>
      <c r="E1270" t="s">
        <v>5140</v>
      </c>
      <c r="F1270" t="s">
        <v>5133</v>
      </c>
      <c r="G1270" t="s">
        <v>41</v>
      </c>
      <c r="H1270" t="s">
        <v>31</v>
      </c>
      <c r="I1270" t="str">
        <f>LEFT(H1270,FIND(" (",H1270)-1)</f>
        <v>Staff/Principal</v>
      </c>
      <c r="J1270" t="str">
        <f>MID(H1270,FIND("(",H1270)+1,FIND(")",H1270)-FIND("(",H1270)-1)</f>
        <v>8+ yrs</v>
      </c>
      <c r="L1270">
        <v>173520</v>
      </c>
      <c r="M1270" t="s">
        <v>2663</v>
      </c>
      <c r="N1270" t="s">
        <v>94</v>
      </c>
      <c r="O1270" t="s">
        <v>44</v>
      </c>
      <c r="P1270" s="1">
        <v>45458</v>
      </c>
      <c r="Q1270">
        <v>2121</v>
      </c>
      <c r="R1270">
        <v>641</v>
      </c>
      <c r="S1270" t="s">
        <v>34</v>
      </c>
      <c r="T1270">
        <v>6</v>
      </c>
      <c r="U1270" t="s">
        <v>5123</v>
      </c>
      <c r="V1270" t="s">
        <v>24</v>
      </c>
      <c r="W1270" t="s">
        <v>23</v>
      </c>
    </row>
    <row r="1271" spans="1:23" x14ac:dyDescent="0.3">
      <c r="A1271" t="s">
        <v>2664</v>
      </c>
      <c r="B1271" t="s">
        <v>143</v>
      </c>
      <c r="C1271" t="s">
        <v>107</v>
      </c>
      <c r="D1271" t="s">
        <v>63</v>
      </c>
      <c r="E1271" t="s">
        <v>5139</v>
      </c>
      <c r="F1271" t="s">
        <v>5133</v>
      </c>
      <c r="G1271" t="s">
        <v>18</v>
      </c>
      <c r="H1271" t="s">
        <v>56</v>
      </c>
      <c r="I1271" t="str">
        <f>LEFT(H1271,FIND(" (",H1271)-1)</f>
        <v>Mid</v>
      </c>
      <c r="J1271" t="str">
        <f>MID(H1271,FIND("(",H1271)+1,FIND(")",H1271)-FIND("(",H1271)-1)</f>
        <v>2-5 yrs</v>
      </c>
      <c r="L1271">
        <v>134474</v>
      </c>
      <c r="M1271" t="s">
        <v>2665</v>
      </c>
      <c r="N1271" t="s">
        <v>43</v>
      </c>
      <c r="O1271" t="s">
        <v>51</v>
      </c>
      <c r="P1271" s="1">
        <v>45497</v>
      </c>
      <c r="Q1271">
        <v>1964</v>
      </c>
      <c r="R1271">
        <v>3905</v>
      </c>
      <c r="S1271" t="s">
        <v>23</v>
      </c>
      <c r="T1271">
        <v>2</v>
      </c>
      <c r="U1271" t="s">
        <v>58</v>
      </c>
      <c r="V1271" t="s">
        <v>24</v>
      </c>
      <c r="W1271" t="s">
        <v>23</v>
      </c>
    </row>
    <row r="1272" spans="1:23" x14ac:dyDescent="0.3">
      <c r="A1272" t="s">
        <v>2666</v>
      </c>
      <c r="B1272" t="s">
        <v>137</v>
      </c>
      <c r="C1272" t="s">
        <v>132</v>
      </c>
      <c r="D1272" t="s">
        <v>147</v>
      </c>
      <c r="E1272" t="s">
        <v>5132</v>
      </c>
      <c r="F1272" t="s">
        <v>5133</v>
      </c>
      <c r="G1272" t="s">
        <v>41</v>
      </c>
      <c r="H1272" t="s">
        <v>66</v>
      </c>
      <c r="I1272" t="str">
        <f>LEFT(H1272,FIND(" (",H1272)-1)</f>
        <v>Senior</v>
      </c>
      <c r="J1272" t="str">
        <f>MID(H1272,FIND("(",H1272)+1,FIND(")",H1272)-FIND("(",H1272)-1)</f>
        <v>5-8 yrs</v>
      </c>
      <c r="L1272">
        <v>179465</v>
      </c>
      <c r="M1272" t="s">
        <v>2667</v>
      </c>
      <c r="N1272" t="s">
        <v>186</v>
      </c>
      <c r="O1272" t="s">
        <v>51</v>
      </c>
      <c r="P1272" s="1">
        <v>45475</v>
      </c>
      <c r="Q1272">
        <v>1682</v>
      </c>
      <c r="R1272">
        <v>2144</v>
      </c>
      <c r="S1272" t="s">
        <v>23</v>
      </c>
      <c r="T1272">
        <v>4</v>
      </c>
      <c r="U1272" t="s">
        <v>58</v>
      </c>
      <c r="V1272" t="s">
        <v>59</v>
      </c>
      <c r="W1272" t="s">
        <v>23</v>
      </c>
    </row>
    <row r="1273" spans="1:23" x14ac:dyDescent="0.3">
      <c r="A1273" t="s">
        <v>2668</v>
      </c>
      <c r="B1273" t="s">
        <v>81</v>
      </c>
      <c r="C1273" t="s">
        <v>128</v>
      </c>
      <c r="D1273" t="s">
        <v>28</v>
      </c>
      <c r="E1273" t="s">
        <v>5141</v>
      </c>
      <c r="F1273" t="s">
        <v>5133</v>
      </c>
      <c r="G1273" t="s">
        <v>18</v>
      </c>
      <c r="H1273" t="s">
        <v>19</v>
      </c>
      <c r="I1273" t="str">
        <f>LEFT(H1273,FIND(" (",H1273)-1)</f>
        <v>Entry</v>
      </c>
      <c r="J1273" t="str">
        <f>MID(H1273,FIND("(",H1273)+1,FIND(")",H1273)-FIND("(",H1273)-1)</f>
        <v>0-2 yrs</v>
      </c>
      <c r="L1273">
        <v>77675</v>
      </c>
      <c r="M1273" t="s">
        <v>2669</v>
      </c>
      <c r="N1273" t="s">
        <v>33</v>
      </c>
      <c r="O1273" t="s">
        <v>22</v>
      </c>
      <c r="P1273" s="1">
        <v>45487</v>
      </c>
      <c r="Q1273">
        <v>2398</v>
      </c>
      <c r="R1273">
        <v>2421</v>
      </c>
      <c r="S1273" t="s">
        <v>23</v>
      </c>
      <c r="T1273">
        <v>0</v>
      </c>
      <c r="U1273" t="s">
        <v>45</v>
      </c>
      <c r="V1273" t="s">
        <v>24</v>
      </c>
      <c r="W1273" t="s">
        <v>23</v>
      </c>
    </row>
    <row r="1274" spans="1:23" x14ac:dyDescent="0.3">
      <c r="A1274" t="s">
        <v>2670</v>
      </c>
      <c r="B1274" t="s">
        <v>106</v>
      </c>
      <c r="C1274" t="s">
        <v>107</v>
      </c>
      <c r="D1274" t="s">
        <v>49</v>
      </c>
      <c r="E1274" t="s">
        <v>76</v>
      </c>
      <c r="F1274" t="s">
        <v>77</v>
      </c>
      <c r="G1274" t="s">
        <v>18</v>
      </c>
      <c r="H1274" t="s">
        <v>56</v>
      </c>
      <c r="I1274" t="str">
        <f>LEFT(H1274,FIND(" (",H1274)-1)</f>
        <v>Mid</v>
      </c>
      <c r="J1274" t="str">
        <f>MID(H1274,FIND("(",H1274)+1,FIND(")",H1274)-FIND("(",H1274)-1)</f>
        <v>2-5 yrs</v>
      </c>
      <c r="L1274">
        <v>88372</v>
      </c>
      <c r="M1274" t="s">
        <v>2671</v>
      </c>
      <c r="N1274" t="s">
        <v>33</v>
      </c>
      <c r="O1274" t="s">
        <v>51</v>
      </c>
      <c r="P1274" s="1">
        <v>45565</v>
      </c>
      <c r="Q1274">
        <v>1304</v>
      </c>
      <c r="R1274">
        <v>1682</v>
      </c>
      <c r="S1274" t="s">
        <v>34</v>
      </c>
      <c r="T1274">
        <v>2</v>
      </c>
      <c r="U1274" t="s">
        <v>83</v>
      </c>
      <c r="V1274" t="s">
        <v>24</v>
      </c>
      <c r="W1274" t="s">
        <v>23</v>
      </c>
    </row>
    <row r="1275" spans="1:23" x14ac:dyDescent="0.3">
      <c r="A1275" t="s">
        <v>2672</v>
      </c>
      <c r="B1275" t="s">
        <v>61</v>
      </c>
      <c r="C1275" t="s">
        <v>74</v>
      </c>
      <c r="D1275" t="s">
        <v>111</v>
      </c>
      <c r="E1275" t="s">
        <v>76</v>
      </c>
      <c r="F1275" t="s">
        <v>77</v>
      </c>
      <c r="G1275" t="s">
        <v>41</v>
      </c>
      <c r="H1275" t="s">
        <v>56</v>
      </c>
      <c r="I1275" t="str">
        <f>LEFT(H1275,FIND(" (",H1275)-1)</f>
        <v>Mid</v>
      </c>
      <c r="J1275" t="str">
        <f>MID(H1275,FIND("(",H1275)+1,FIND(")",H1275)-FIND("(",H1275)-1)</f>
        <v>2-5 yrs</v>
      </c>
      <c r="L1275">
        <v>103735</v>
      </c>
      <c r="M1275" t="s">
        <v>2673</v>
      </c>
      <c r="N1275" t="s">
        <v>33</v>
      </c>
      <c r="O1275" t="s">
        <v>44</v>
      </c>
      <c r="P1275" s="1">
        <v>45323</v>
      </c>
      <c r="Q1275">
        <v>1214</v>
      </c>
      <c r="R1275">
        <v>134</v>
      </c>
      <c r="S1275" t="s">
        <v>99</v>
      </c>
      <c r="T1275">
        <v>2</v>
      </c>
      <c r="U1275" t="s">
        <v>45</v>
      </c>
      <c r="V1275" t="s">
        <v>59</v>
      </c>
      <c r="W1275" t="s">
        <v>34</v>
      </c>
    </row>
    <row r="1276" spans="1:23" x14ac:dyDescent="0.3">
      <c r="A1276" t="s">
        <v>2674</v>
      </c>
      <c r="B1276" t="s">
        <v>143</v>
      </c>
      <c r="C1276" t="s">
        <v>86</v>
      </c>
      <c r="D1276" t="s">
        <v>63</v>
      </c>
      <c r="E1276" t="s">
        <v>200</v>
      </c>
      <c r="F1276" t="s">
        <v>201</v>
      </c>
      <c r="G1276" t="s">
        <v>41</v>
      </c>
      <c r="H1276" t="s">
        <v>19</v>
      </c>
      <c r="I1276" t="str">
        <f>LEFT(H1276,FIND(" (",H1276)-1)</f>
        <v>Entry</v>
      </c>
      <c r="J1276" t="str">
        <f>MID(H1276,FIND("(",H1276)+1,FIND(")",H1276)-FIND("(",H1276)-1)</f>
        <v>0-2 yrs</v>
      </c>
      <c r="L1276">
        <v>85285</v>
      </c>
      <c r="M1276" t="s">
        <v>2675</v>
      </c>
      <c r="N1276" t="s">
        <v>21</v>
      </c>
      <c r="O1276" t="s">
        <v>22</v>
      </c>
      <c r="P1276" s="1">
        <v>45618</v>
      </c>
      <c r="Q1276">
        <v>1417</v>
      </c>
      <c r="R1276">
        <v>1388</v>
      </c>
      <c r="S1276" t="s">
        <v>99</v>
      </c>
      <c r="T1276">
        <v>0</v>
      </c>
      <c r="U1276" t="s">
        <v>83</v>
      </c>
      <c r="V1276" t="s">
        <v>24</v>
      </c>
      <c r="W1276" t="s">
        <v>34</v>
      </c>
    </row>
    <row r="1277" spans="1:23" x14ac:dyDescent="0.3">
      <c r="A1277" t="s">
        <v>2676</v>
      </c>
      <c r="B1277" t="s">
        <v>137</v>
      </c>
      <c r="C1277" t="s">
        <v>54</v>
      </c>
      <c r="D1277" t="s">
        <v>63</v>
      </c>
      <c r="E1277" t="s">
        <v>76</v>
      </c>
      <c r="F1277" t="s">
        <v>77</v>
      </c>
      <c r="G1277" t="s">
        <v>18</v>
      </c>
      <c r="H1277" t="s">
        <v>66</v>
      </c>
      <c r="I1277" t="str">
        <f>LEFT(H1277,FIND(" (",H1277)-1)</f>
        <v>Senior</v>
      </c>
      <c r="J1277" t="str">
        <f>MID(H1277,FIND("(",H1277)+1,FIND(")",H1277)-FIND("(",H1277)-1)</f>
        <v>5-8 yrs</v>
      </c>
      <c r="L1277">
        <v>153826</v>
      </c>
      <c r="M1277" t="s">
        <v>2677</v>
      </c>
      <c r="N1277" t="s">
        <v>33</v>
      </c>
      <c r="O1277" t="s">
        <v>22</v>
      </c>
      <c r="P1277" s="1">
        <v>45454</v>
      </c>
      <c r="Q1277">
        <v>2386</v>
      </c>
      <c r="R1277">
        <v>3998</v>
      </c>
      <c r="S1277" t="s">
        <v>99</v>
      </c>
      <c r="T1277">
        <v>4</v>
      </c>
      <c r="U1277" t="s">
        <v>83</v>
      </c>
      <c r="V1277" t="s">
        <v>24</v>
      </c>
      <c r="W1277" t="s">
        <v>23</v>
      </c>
    </row>
    <row r="1278" spans="1:23" x14ac:dyDescent="0.3">
      <c r="A1278" t="s">
        <v>2678</v>
      </c>
      <c r="B1278" t="s">
        <v>91</v>
      </c>
      <c r="C1278" t="s">
        <v>209</v>
      </c>
      <c r="D1278" t="s">
        <v>15</v>
      </c>
      <c r="E1278" t="s">
        <v>5140</v>
      </c>
      <c r="F1278" t="s">
        <v>5133</v>
      </c>
      <c r="G1278" t="s">
        <v>55</v>
      </c>
      <c r="H1278" t="s">
        <v>66</v>
      </c>
      <c r="I1278" t="str">
        <f>LEFT(H1278,FIND(" (",H1278)-1)</f>
        <v>Senior</v>
      </c>
      <c r="J1278" t="str">
        <f>MID(H1278,FIND("(",H1278)+1,FIND(")",H1278)-FIND("(",H1278)-1)</f>
        <v>5-8 yrs</v>
      </c>
      <c r="L1278">
        <v>212621</v>
      </c>
      <c r="M1278" t="s">
        <v>2679</v>
      </c>
      <c r="N1278" t="s">
        <v>120</v>
      </c>
      <c r="O1278" t="s">
        <v>44</v>
      </c>
      <c r="P1278" s="1">
        <v>45591</v>
      </c>
      <c r="Q1278">
        <v>668</v>
      </c>
      <c r="R1278">
        <v>1459</v>
      </c>
      <c r="S1278" t="s">
        <v>99</v>
      </c>
      <c r="T1278">
        <v>4</v>
      </c>
      <c r="U1278" t="s">
        <v>83</v>
      </c>
      <c r="V1278" t="s">
        <v>46</v>
      </c>
      <c r="W1278" t="s">
        <v>34</v>
      </c>
    </row>
    <row r="1279" spans="1:23" x14ac:dyDescent="0.3">
      <c r="A1279" t="s">
        <v>2680</v>
      </c>
      <c r="B1279" t="s">
        <v>131</v>
      </c>
      <c r="C1279" t="s">
        <v>48</v>
      </c>
      <c r="D1279" t="s">
        <v>63</v>
      </c>
      <c r="E1279" t="s">
        <v>216</v>
      </c>
      <c r="F1279" t="s">
        <v>217</v>
      </c>
      <c r="G1279" t="s">
        <v>55</v>
      </c>
      <c r="H1279" t="s">
        <v>66</v>
      </c>
      <c r="I1279" t="str">
        <f>LEFT(H1279,FIND(" (",H1279)-1)</f>
        <v>Senior</v>
      </c>
      <c r="J1279" t="str">
        <f>MID(H1279,FIND("(",H1279)+1,FIND(")",H1279)-FIND("(",H1279)-1)</f>
        <v>5-8 yrs</v>
      </c>
      <c r="L1279">
        <v>160619</v>
      </c>
      <c r="M1279" t="s">
        <v>2681</v>
      </c>
      <c r="N1279" t="s">
        <v>89</v>
      </c>
      <c r="O1279" t="s">
        <v>51</v>
      </c>
      <c r="P1279" s="1">
        <v>45300</v>
      </c>
      <c r="Q1279">
        <v>2481</v>
      </c>
      <c r="R1279">
        <v>1799</v>
      </c>
      <c r="S1279" t="s">
        <v>23</v>
      </c>
      <c r="T1279">
        <v>4</v>
      </c>
      <c r="U1279" t="s">
        <v>83</v>
      </c>
      <c r="V1279" t="s">
        <v>24</v>
      </c>
      <c r="W1279" t="s">
        <v>23</v>
      </c>
    </row>
    <row r="1280" spans="1:23" x14ac:dyDescent="0.3">
      <c r="A1280" t="s">
        <v>2682</v>
      </c>
      <c r="B1280" t="s">
        <v>81</v>
      </c>
      <c r="C1280" t="s">
        <v>71</v>
      </c>
      <c r="D1280" t="s">
        <v>125</v>
      </c>
      <c r="E1280" t="s">
        <v>76</v>
      </c>
      <c r="F1280" t="s">
        <v>77</v>
      </c>
      <c r="G1280" t="s">
        <v>55</v>
      </c>
      <c r="H1280" t="s">
        <v>19</v>
      </c>
      <c r="I1280" t="str">
        <f>LEFT(H1280,FIND(" (",H1280)-1)</f>
        <v>Entry</v>
      </c>
      <c r="J1280" t="str">
        <f>MID(H1280,FIND("(",H1280)+1,FIND(")",H1280)-FIND("(",H1280)-1)</f>
        <v>0-2 yrs</v>
      </c>
      <c r="L1280">
        <v>72419</v>
      </c>
      <c r="M1280" t="s">
        <v>2683</v>
      </c>
      <c r="N1280" t="s">
        <v>94</v>
      </c>
      <c r="O1280" t="s">
        <v>44</v>
      </c>
      <c r="P1280" s="1">
        <v>45669</v>
      </c>
      <c r="Q1280">
        <v>1610</v>
      </c>
      <c r="R1280">
        <v>3232</v>
      </c>
      <c r="S1280" t="s">
        <v>23</v>
      </c>
      <c r="T1280">
        <v>0</v>
      </c>
      <c r="U1280" t="s">
        <v>58</v>
      </c>
      <c r="V1280" t="s">
        <v>24</v>
      </c>
      <c r="W1280" t="s">
        <v>23</v>
      </c>
    </row>
    <row r="1281" spans="1:23" x14ac:dyDescent="0.3">
      <c r="A1281" t="s">
        <v>2684</v>
      </c>
      <c r="B1281" t="s">
        <v>36</v>
      </c>
      <c r="C1281" t="s">
        <v>226</v>
      </c>
      <c r="D1281" t="s">
        <v>75</v>
      </c>
      <c r="E1281" t="s">
        <v>200</v>
      </c>
      <c r="F1281" t="s">
        <v>201</v>
      </c>
      <c r="G1281" t="s">
        <v>18</v>
      </c>
      <c r="H1281" t="s">
        <v>19</v>
      </c>
      <c r="I1281" t="str">
        <f>LEFT(H1281,FIND(" (",H1281)-1)</f>
        <v>Entry</v>
      </c>
      <c r="J1281" t="str">
        <f>MID(H1281,FIND("(",H1281)+1,FIND(")",H1281)-FIND("(",H1281)-1)</f>
        <v>0-2 yrs</v>
      </c>
      <c r="L1281">
        <v>66105</v>
      </c>
      <c r="M1281" t="s">
        <v>2685</v>
      </c>
      <c r="N1281" t="s">
        <v>33</v>
      </c>
      <c r="O1281" t="s">
        <v>51</v>
      </c>
      <c r="P1281" s="1">
        <v>45417</v>
      </c>
      <c r="Q1281">
        <v>1446</v>
      </c>
      <c r="R1281">
        <v>688</v>
      </c>
      <c r="S1281" t="s">
        <v>23</v>
      </c>
      <c r="T1281">
        <v>0</v>
      </c>
      <c r="U1281" t="s">
        <v>58</v>
      </c>
      <c r="V1281" t="s">
        <v>24</v>
      </c>
      <c r="W1281" t="s">
        <v>23</v>
      </c>
    </row>
    <row r="1282" spans="1:23" x14ac:dyDescent="0.3">
      <c r="A1282" t="s">
        <v>2686</v>
      </c>
      <c r="B1282" t="s">
        <v>13</v>
      </c>
      <c r="C1282" t="s">
        <v>110</v>
      </c>
      <c r="D1282" t="s">
        <v>174</v>
      </c>
      <c r="E1282" t="s">
        <v>87</v>
      </c>
      <c r="F1282" t="s">
        <v>87</v>
      </c>
      <c r="G1282" t="s">
        <v>41</v>
      </c>
      <c r="H1282" t="s">
        <v>31</v>
      </c>
      <c r="I1282" t="str">
        <f>LEFT(H1282,FIND(" (",H1282)-1)</f>
        <v>Staff/Principal</v>
      </c>
      <c r="J1282" t="str">
        <f>MID(H1282,FIND("(",H1282)+1,FIND(")",H1282)-FIND("(",H1282)-1)</f>
        <v>8+ yrs</v>
      </c>
      <c r="L1282">
        <v>204807</v>
      </c>
      <c r="M1282" t="s">
        <v>2687</v>
      </c>
      <c r="N1282" t="s">
        <v>33</v>
      </c>
      <c r="O1282" t="s">
        <v>22</v>
      </c>
      <c r="P1282" s="1">
        <v>45488</v>
      </c>
      <c r="Q1282">
        <v>2469</v>
      </c>
      <c r="R1282">
        <v>3791</v>
      </c>
      <c r="S1282" t="s">
        <v>99</v>
      </c>
      <c r="T1282">
        <v>6</v>
      </c>
      <c r="U1282" t="s">
        <v>5123</v>
      </c>
      <c r="V1282" t="s">
        <v>24</v>
      </c>
      <c r="W1282" t="s">
        <v>23</v>
      </c>
    </row>
    <row r="1283" spans="1:23" x14ac:dyDescent="0.3">
      <c r="A1283" t="s">
        <v>2688</v>
      </c>
      <c r="B1283" t="s">
        <v>81</v>
      </c>
      <c r="C1283" t="s">
        <v>239</v>
      </c>
      <c r="D1283" t="s">
        <v>147</v>
      </c>
      <c r="E1283" t="s">
        <v>5134</v>
      </c>
      <c r="F1283" t="s">
        <v>5133</v>
      </c>
      <c r="G1283" t="s">
        <v>55</v>
      </c>
      <c r="H1283" t="s">
        <v>56</v>
      </c>
      <c r="I1283" t="str">
        <f>LEFT(H1283,FIND(" (",H1283)-1)</f>
        <v>Mid</v>
      </c>
      <c r="J1283" t="str">
        <f>MID(H1283,FIND("(",H1283)+1,FIND(")",H1283)-FIND("(",H1283)-1)</f>
        <v>2-5 yrs</v>
      </c>
      <c r="L1283">
        <v>106981</v>
      </c>
      <c r="M1283" t="s">
        <v>2689</v>
      </c>
      <c r="N1283" t="s">
        <v>186</v>
      </c>
      <c r="O1283" t="s">
        <v>79</v>
      </c>
      <c r="P1283" s="1">
        <v>45712</v>
      </c>
      <c r="Q1283">
        <v>1264</v>
      </c>
      <c r="R1283">
        <v>556</v>
      </c>
      <c r="S1283" t="s">
        <v>23</v>
      </c>
      <c r="T1283">
        <v>2</v>
      </c>
      <c r="U1283" t="s">
        <v>52</v>
      </c>
      <c r="V1283" t="s">
        <v>24</v>
      </c>
      <c r="W1283" t="s">
        <v>23</v>
      </c>
    </row>
    <row r="1284" spans="1:23" x14ac:dyDescent="0.3">
      <c r="A1284" t="s">
        <v>2690</v>
      </c>
      <c r="B1284" t="s">
        <v>172</v>
      </c>
      <c r="C1284" t="s">
        <v>71</v>
      </c>
      <c r="D1284" t="s">
        <v>147</v>
      </c>
      <c r="E1284" t="s">
        <v>64</v>
      </c>
      <c r="F1284" t="s">
        <v>65</v>
      </c>
      <c r="G1284" t="s">
        <v>55</v>
      </c>
      <c r="H1284" t="s">
        <v>19</v>
      </c>
      <c r="I1284" t="str">
        <f>LEFT(H1284,FIND(" (",H1284)-1)</f>
        <v>Entry</v>
      </c>
      <c r="J1284" t="str">
        <f>MID(H1284,FIND("(",H1284)+1,FIND(")",H1284)-FIND("(",H1284)-1)</f>
        <v>0-2 yrs</v>
      </c>
      <c r="L1284">
        <v>78922</v>
      </c>
      <c r="M1284" t="s">
        <v>2691</v>
      </c>
      <c r="N1284" t="s">
        <v>33</v>
      </c>
      <c r="O1284" t="s">
        <v>51</v>
      </c>
      <c r="P1284" s="1">
        <v>45408</v>
      </c>
      <c r="Q1284">
        <v>1417</v>
      </c>
      <c r="R1284">
        <v>3585</v>
      </c>
      <c r="S1284" t="s">
        <v>23</v>
      </c>
      <c r="T1284">
        <v>0</v>
      </c>
      <c r="U1284" t="s">
        <v>83</v>
      </c>
      <c r="V1284" t="s">
        <v>24</v>
      </c>
      <c r="W1284" t="s">
        <v>34</v>
      </c>
    </row>
    <row r="1285" spans="1:23" x14ac:dyDescent="0.3">
      <c r="A1285" t="s">
        <v>2692</v>
      </c>
      <c r="B1285" t="s">
        <v>26</v>
      </c>
      <c r="C1285" t="s">
        <v>27</v>
      </c>
      <c r="D1285" t="s">
        <v>174</v>
      </c>
      <c r="E1285" t="s">
        <v>39</v>
      </c>
      <c r="F1285" t="s">
        <v>40</v>
      </c>
      <c r="G1285" t="s">
        <v>55</v>
      </c>
      <c r="H1285" t="s">
        <v>66</v>
      </c>
      <c r="I1285" t="str">
        <f>LEFT(H1285,FIND(" (",H1285)-1)</f>
        <v>Senior</v>
      </c>
      <c r="J1285" t="str">
        <f>MID(H1285,FIND("(",H1285)+1,FIND(")",H1285)-FIND("(",H1285)-1)</f>
        <v>5-8 yrs</v>
      </c>
      <c r="L1285">
        <v>175830</v>
      </c>
      <c r="M1285" t="s">
        <v>2693</v>
      </c>
      <c r="N1285" t="s">
        <v>89</v>
      </c>
      <c r="O1285" t="s">
        <v>22</v>
      </c>
      <c r="P1285" s="1">
        <v>45589</v>
      </c>
      <c r="Q1285">
        <v>2449</v>
      </c>
      <c r="R1285">
        <v>327</v>
      </c>
      <c r="S1285" t="s">
        <v>99</v>
      </c>
      <c r="T1285">
        <v>4</v>
      </c>
      <c r="U1285" t="s">
        <v>83</v>
      </c>
      <c r="V1285" t="s">
        <v>24</v>
      </c>
      <c r="W1285" t="s">
        <v>23</v>
      </c>
    </row>
    <row r="1286" spans="1:23" x14ac:dyDescent="0.3">
      <c r="A1286" t="s">
        <v>2694</v>
      </c>
      <c r="B1286" t="s">
        <v>172</v>
      </c>
      <c r="C1286" t="s">
        <v>195</v>
      </c>
      <c r="D1286" t="s">
        <v>147</v>
      </c>
      <c r="E1286" t="s">
        <v>39</v>
      </c>
      <c r="F1286" t="s">
        <v>40</v>
      </c>
      <c r="G1286" t="s">
        <v>41</v>
      </c>
      <c r="H1286" t="s">
        <v>56</v>
      </c>
      <c r="I1286" t="str">
        <f>LEFT(H1286,FIND(" (",H1286)-1)</f>
        <v>Mid</v>
      </c>
      <c r="J1286" t="str">
        <f>MID(H1286,FIND("(",H1286)+1,FIND(")",H1286)-FIND("(",H1286)-1)</f>
        <v>2-5 yrs</v>
      </c>
      <c r="L1286">
        <v>94437</v>
      </c>
      <c r="M1286" t="s">
        <v>2695</v>
      </c>
      <c r="N1286" t="s">
        <v>94</v>
      </c>
      <c r="O1286" t="s">
        <v>22</v>
      </c>
      <c r="P1286" s="1">
        <v>45472</v>
      </c>
      <c r="Q1286">
        <v>1160</v>
      </c>
      <c r="R1286">
        <v>2080</v>
      </c>
      <c r="S1286" t="s">
        <v>23</v>
      </c>
      <c r="T1286">
        <v>2</v>
      </c>
      <c r="U1286" t="s">
        <v>83</v>
      </c>
      <c r="V1286" t="s">
        <v>24</v>
      </c>
      <c r="W1286" t="s">
        <v>34</v>
      </c>
    </row>
    <row r="1287" spans="1:23" x14ac:dyDescent="0.3">
      <c r="A1287" t="s">
        <v>2696</v>
      </c>
      <c r="B1287" t="s">
        <v>151</v>
      </c>
      <c r="C1287" t="s">
        <v>167</v>
      </c>
      <c r="D1287" t="s">
        <v>49</v>
      </c>
      <c r="E1287" t="s">
        <v>5140</v>
      </c>
      <c r="F1287" t="s">
        <v>5133</v>
      </c>
      <c r="G1287" t="s">
        <v>41</v>
      </c>
      <c r="H1287" t="s">
        <v>56</v>
      </c>
      <c r="I1287" t="str">
        <f>LEFT(H1287,FIND(" (",H1287)-1)</f>
        <v>Mid</v>
      </c>
      <c r="J1287" t="str">
        <f>MID(H1287,FIND("(",H1287)+1,FIND(")",H1287)-FIND("(",H1287)-1)</f>
        <v>2-5 yrs</v>
      </c>
      <c r="L1287">
        <v>83641</v>
      </c>
      <c r="M1287" t="s">
        <v>2697</v>
      </c>
      <c r="N1287" t="s">
        <v>149</v>
      </c>
      <c r="O1287" t="s">
        <v>79</v>
      </c>
      <c r="P1287" s="1">
        <v>45496</v>
      </c>
      <c r="Q1287">
        <v>414</v>
      </c>
      <c r="R1287">
        <v>2598</v>
      </c>
      <c r="S1287" t="s">
        <v>23</v>
      </c>
      <c r="T1287">
        <v>2</v>
      </c>
      <c r="U1287" t="s">
        <v>5123</v>
      </c>
      <c r="V1287" t="s">
        <v>24</v>
      </c>
      <c r="W1287" t="s">
        <v>23</v>
      </c>
    </row>
    <row r="1288" spans="1:23" x14ac:dyDescent="0.3">
      <c r="A1288" t="s">
        <v>2698</v>
      </c>
      <c r="B1288" t="s">
        <v>13</v>
      </c>
      <c r="C1288" t="s">
        <v>116</v>
      </c>
      <c r="D1288" t="s">
        <v>15</v>
      </c>
      <c r="E1288" t="s">
        <v>200</v>
      </c>
      <c r="F1288" t="s">
        <v>201</v>
      </c>
      <c r="G1288" t="s">
        <v>41</v>
      </c>
      <c r="H1288" t="s">
        <v>56</v>
      </c>
      <c r="I1288" t="str">
        <f>LEFT(H1288,FIND(" (",H1288)-1)</f>
        <v>Mid</v>
      </c>
      <c r="J1288" t="str">
        <f>MID(H1288,FIND("(",H1288)+1,FIND(")",H1288)-FIND("(",H1288)-1)</f>
        <v>2-5 yrs</v>
      </c>
      <c r="L1288">
        <v>73643</v>
      </c>
      <c r="M1288" t="s">
        <v>2699</v>
      </c>
      <c r="N1288" t="s">
        <v>33</v>
      </c>
      <c r="O1288" t="s">
        <v>51</v>
      </c>
      <c r="P1288" s="1">
        <v>45568</v>
      </c>
      <c r="Q1288">
        <v>2300</v>
      </c>
      <c r="R1288">
        <v>38</v>
      </c>
      <c r="S1288" t="s">
        <v>99</v>
      </c>
      <c r="T1288">
        <v>2</v>
      </c>
      <c r="U1288" t="s">
        <v>58</v>
      </c>
      <c r="V1288" t="s">
        <v>59</v>
      </c>
      <c r="W1288" t="s">
        <v>23</v>
      </c>
    </row>
    <row r="1289" spans="1:23" x14ac:dyDescent="0.3">
      <c r="A1289" t="s">
        <v>2700</v>
      </c>
      <c r="B1289" t="s">
        <v>85</v>
      </c>
      <c r="C1289" t="s">
        <v>54</v>
      </c>
      <c r="D1289" t="s">
        <v>75</v>
      </c>
      <c r="E1289" t="s">
        <v>5137</v>
      </c>
      <c r="F1289" t="s">
        <v>5138</v>
      </c>
      <c r="G1289" t="s">
        <v>18</v>
      </c>
      <c r="H1289" t="s">
        <v>19</v>
      </c>
      <c r="I1289" t="str">
        <f>LEFT(H1289,FIND(" (",H1289)-1)</f>
        <v>Entry</v>
      </c>
      <c r="J1289" t="str">
        <f>MID(H1289,FIND("(",H1289)+1,FIND(")",H1289)-FIND("(",H1289)-1)</f>
        <v>0-2 yrs</v>
      </c>
      <c r="L1289">
        <v>76400</v>
      </c>
      <c r="M1289" t="s">
        <v>2701</v>
      </c>
      <c r="N1289" t="s">
        <v>68</v>
      </c>
      <c r="O1289" t="s">
        <v>51</v>
      </c>
      <c r="P1289" s="1">
        <v>45592</v>
      </c>
      <c r="Q1289">
        <v>1246</v>
      </c>
      <c r="R1289">
        <v>927</v>
      </c>
      <c r="S1289" t="s">
        <v>23</v>
      </c>
      <c r="T1289">
        <v>0</v>
      </c>
      <c r="U1289" t="s">
        <v>83</v>
      </c>
      <c r="V1289" t="s">
        <v>24</v>
      </c>
      <c r="W1289" t="s">
        <v>23</v>
      </c>
    </row>
    <row r="1290" spans="1:23" x14ac:dyDescent="0.3">
      <c r="A1290" t="s">
        <v>2702</v>
      </c>
      <c r="B1290" t="s">
        <v>81</v>
      </c>
      <c r="C1290" t="s">
        <v>14</v>
      </c>
      <c r="D1290" t="s">
        <v>75</v>
      </c>
      <c r="E1290" t="s">
        <v>5135</v>
      </c>
      <c r="F1290" t="s">
        <v>5133</v>
      </c>
      <c r="G1290" t="s">
        <v>18</v>
      </c>
      <c r="H1290" t="s">
        <v>31</v>
      </c>
      <c r="I1290" t="str">
        <f>LEFT(H1290,FIND(" (",H1290)-1)</f>
        <v>Staff/Principal</v>
      </c>
      <c r="J1290" t="str">
        <f>MID(H1290,FIND("(",H1290)+1,FIND(")",H1290)-FIND("(",H1290)-1)</f>
        <v>8+ yrs</v>
      </c>
      <c r="L1290">
        <v>160278</v>
      </c>
      <c r="M1290" t="s">
        <v>2703</v>
      </c>
      <c r="N1290" t="s">
        <v>21</v>
      </c>
      <c r="O1290" t="s">
        <v>44</v>
      </c>
      <c r="P1290" s="1">
        <v>45453</v>
      </c>
      <c r="Q1290">
        <v>1222</v>
      </c>
      <c r="R1290">
        <v>792</v>
      </c>
      <c r="S1290" t="s">
        <v>23</v>
      </c>
      <c r="T1290">
        <v>6</v>
      </c>
      <c r="U1290" t="s">
        <v>58</v>
      </c>
      <c r="V1290" t="s">
        <v>24</v>
      </c>
      <c r="W1290" t="s">
        <v>23</v>
      </c>
    </row>
    <row r="1291" spans="1:23" x14ac:dyDescent="0.3">
      <c r="A1291" t="s">
        <v>2704</v>
      </c>
      <c r="B1291" t="s">
        <v>91</v>
      </c>
      <c r="C1291" t="s">
        <v>71</v>
      </c>
      <c r="D1291" t="s">
        <v>174</v>
      </c>
      <c r="E1291" t="s">
        <v>102</v>
      </c>
      <c r="F1291" t="s">
        <v>103</v>
      </c>
      <c r="G1291" t="s">
        <v>55</v>
      </c>
      <c r="H1291" t="s">
        <v>19</v>
      </c>
      <c r="I1291" t="str">
        <f>LEFT(H1291,FIND(" (",H1291)-1)</f>
        <v>Entry</v>
      </c>
      <c r="J1291" t="str">
        <f>MID(H1291,FIND("(",H1291)+1,FIND(")",H1291)-FIND("(",H1291)-1)</f>
        <v>0-2 yrs</v>
      </c>
      <c r="L1291">
        <v>50000</v>
      </c>
      <c r="M1291" t="s">
        <v>2705</v>
      </c>
      <c r="N1291" t="s">
        <v>33</v>
      </c>
      <c r="O1291" t="s">
        <v>51</v>
      </c>
      <c r="P1291" s="1">
        <v>45628</v>
      </c>
      <c r="Q1291">
        <v>434</v>
      </c>
      <c r="R1291">
        <v>1474</v>
      </c>
      <c r="S1291" t="s">
        <v>34</v>
      </c>
      <c r="T1291">
        <v>0</v>
      </c>
      <c r="U1291" t="s">
        <v>5123</v>
      </c>
      <c r="V1291" t="s">
        <v>24</v>
      </c>
      <c r="W1291" t="s">
        <v>23</v>
      </c>
    </row>
    <row r="1292" spans="1:23" x14ac:dyDescent="0.3">
      <c r="A1292" t="s">
        <v>2706</v>
      </c>
      <c r="B1292" t="s">
        <v>91</v>
      </c>
      <c r="C1292" t="s">
        <v>86</v>
      </c>
      <c r="D1292" t="s">
        <v>63</v>
      </c>
      <c r="E1292" t="s">
        <v>16</v>
      </c>
      <c r="F1292" t="s">
        <v>17</v>
      </c>
      <c r="G1292" t="s">
        <v>18</v>
      </c>
      <c r="H1292" t="s">
        <v>66</v>
      </c>
      <c r="I1292" t="str">
        <f>LEFT(H1292,FIND(" (",H1292)-1)</f>
        <v>Senior</v>
      </c>
      <c r="J1292" t="str">
        <f>MID(H1292,FIND("(",H1292)+1,FIND(")",H1292)-FIND("(",H1292)-1)</f>
        <v>5-8 yrs</v>
      </c>
      <c r="L1292">
        <v>160491</v>
      </c>
      <c r="M1292" t="s">
        <v>2707</v>
      </c>
      <c r="N1292" t="s">
        <v>120</v>
      </c>
      <c r="O1292" t="s">
        <v>79</v>
      </c>
      <c r="P1292" s="1">
        <v>45451</v>
      </c>
      <c r="Q1292">
        <v>719</v>
      </c>
      <c r="R1292">
        <v>3092</v>
      </c>
      <c r="S1292" t="s">
        <v>34</v>
      </c>
      <c r="T1292">
        <v>4</v>
      </c>
      <c r="U1292" t="s">
        <v>52</v>
      </c>
      <c r="V1292" t="s">
        <v>46</v>
      </c>
      <c r="W1292" t="s">
        <v>23</v>
      </c>
    </row>
    <row r="1293" spans="1:23" x14ac:dyDescent="0.3">
      <c r="A1293" t="s">
        <v>2708</v>
      </c>
      <c r="B1293" t="s">
        <v>229</v>
      </c>
      <c r="C1293" t="s">
        <v>195</v>
      </c>
      <c r="D1293" t="s">
        <v>49</v>
      </c>
      <c r="E1293" t="s">
        <v>5134</v>
      </c>
      <c r="F1293" t="s">
        <v>5133</v>
      </c>
      <c r="G1293" t="s">
        <v>41</v>
      </c>
      <c r="H1293" t="s">
        <v>56</v>
      </c>
      <c r="I1293" t="str">
        <f>LEFT(H1293,FIND(" (",H1293)-1)</f>
        <v>Mid</v>
      </c>
      <c r="J1293" t="str">
        <f>MID(H1293,FIND("(",H1293)+1,FIND(")",H1293)-FIND("(",H1293)-1)</f>
        <v>2-5 yrs</v>
      </c>
      <c r="L1293">
        <v>159361</v>
      </c>
      <c r="M1293" t="s">
        <v>2709</v>
      </c>
      <c r="N1293" t="s">
        <v>94</v>
      </c>
      <c r="O1293" t="s">
        <v>44</v>
      </c>
      <c r="P1293" s="1">
        <v>45519</v>
      </c>
      <c r="Q1293">
        <v>2093</v>
      </c>
      <c r="R1293">
        <v>3607</v>
      </c>
      <c r="S1293" t="s">
        <v>99</v>
      </c>
      <c r="T1293">
        <v>2</v>
      </c>
      <c r="U1293" t="s">
        <v>83</v>
      </c>
      <c r="V1293" t="s">
        <v>24</v>
      </c>
      <c r="W1293" t="s">
        <v>34</v>
      </c>
    </row>
    <row r="1294" spans="1:23" x14ac:dyDescent="0.3">
      <c r="A1294" t="s">
        <v>2710</v>
      </c>
      <c r="B1294" t="s">
        <v>61</v>
      </c>
      <c r="C1294" t="s">
        <v>37</v>
      </c>
      <c r="D1294" t="s">
        <v>28</v>
      </c>
      <c r="E1294" t="s">
        <v>230</v>
      </c>
      <c r="F1294" t="s">
        <v>231</v>
      </c>
      <c r="G1294" t="s">
        <v>55</v>
      </c>
      <c r="H1294" t="s">
        <v>56</v>
      </c>
      <c r="I1294" t="str">
        <f>LEFT(H1294,FIND(" (",H1294)-1)</f>
        <v>Mid</v>
      </c>
      <c r="J1294" t="str">
        <f>MID(H1294,FIND("(",H1294)+1,FIND(")",H1294)-FIND("(",H1294)-1)</f>
        <v>2-5 yrs</v>
      </c>
      <c r="L1294">
        <v>109879</v>
      </c>
      <c r="M1294" t="s">
        <v>2711</v>
      </c>
      <c r="N1294" t="s">
        <v>89</v>
      </c>
      <c r="O1294" t="s">
        <v>22</v>
      </c>
      <c r="P1294" s="1">
        <v>45613</v>
      </c>
      <c r="Q1294">
        <v>1249</v>
      </c>
      <c r="R1294">
        <v>3366</v>
      </c>
      <c r="S1294" t="s">
        <v>23</v>
      </c>
      <c r="T1294">
        <v>2</v>
      </c>
      <c r="U1294" t="s">
        <v>58</v>
      </c>
      <c r="V1294" t="s">
        <v>46</v>
      </c>
      <c r="W1294" t="s">
        <v>23</v>
      </c>
    </row>
    <row r="1295" spans="1:23" x14ac:dyDescent="0.3">
      <c r="A1295" t="s">
        <v>2712</v>
      </c>
      <c r="B1295" t="s">
        <v>70</v>
      </c>
      <c r="C1295" t="s">
        <v>226</v>
      </c>
      <c r="D1295" t="s">
        <v>111</v>
      </c>
      <c r="E1295" t="s">
        <v>87</v>
      </c>
      <c r="F1295" t="s">
        <v>87</v>
      </c>
      <c r="G1295" t="s">
        <v>55</v>
      </c>
      <c r="H1295" t="s">
        <v>31</v>
      </c>
      <c r="I1295" t="str">
        <f>LEFT(H1295,FIND(" (",H1295)-1)</f>
        <v>Staff/Principal</v>
      </c>
      <c r="J1295" t="str">
        <f>MID(H1295,FIND("(",H1295)+1,FIND(")",H1295)-FIND("(",H1295)-1)</f>
        <v>8+ yrs</v>
      </c>
      <c r="L1295">
        <v>230185</v>
      </c>
      <c r="M1295" t="s">
        <v>2713</v>
      </c>
      <c r="N1295" t="s">
        <v>149</v>
      </c>
      <c r="O1295" t="s">
        <v>79</v>
      </c>
      <c r="P1295" s="1">
        <v>45605</v>
      </c>
      <c r="Q1295">
        <v>1799</v>
      </c>
      <c r="R1295">
        <v>1865</v>
      </c>
      <c r="S1295" t="s">
        <v>23</v>
      </c>
      <c r="T1295">
        <v>6</v>
      </c>
      <c r="U1295" t="s">
        <v>52</v>
      </c>
      <c r="V1295" t="s">
        <v>24</v>
      </c>
      <c r="W1295" t="s">
        <v>23</v>
      </c>
    </row>
    <row r="1296" spans="1:23" x14ac:dyDescent="0.3">
      <c r="A1296" t="s">
        <v>2714</v>
      </c>
      <c r="B1296" t="s">
        <v>61</v>
      </c>
      <c r="C1296" t="s">
        <v>27</v>
      </c>
      <c r="D1296" t="s">
        <v>75</v>
      </c>
      <c r="E1296" t="s">
        <v>29</v>
      </c>
      <c r="F1296" t="s">
        <v>30</v>
      </c>
      <c r="G1296" t="s">
        <v>18</v>
      </c>
      <c r="H1296" t="s">
        <v>31</v>
      </c>
      <c r="I1296" t="str">
        <f>LEFT(H1296,FIND(" (",H1296)-1)</f>
        <v>Staff/Principal</v>
      </c>
      <c r="J1296" t="str">
        <f>MID(H1296,FIND("(",H1296)+1,FIND(")",H1296)-FIND("(",H1296)-1)</f>
        <v>8+ yrs</v>
      </c>
      <c r="L1296">
        <v>202945</v>
      </c>
      <c r="M1296" t="s">
        <v>2715</v>
      </c>
      <c r="N1296" t="s">
        <v>33</v>
      </c>
      <c r="O1296" t="s">
        <v>51</v>
      </c>
      <c r="P1296" s="1">
        <v>45493</v>
      </c>
      <c r="Q1296">
        <v>1546</v>
      </c>
      <c r="R1296">
        <v>2641</v>
      </c>
      <c r="S1296" t="s">
        <v>34</v>
      </c>
      <c r="T1296">
        <v>6</v>
      </c>
      <c r="U1296" t="s">
        <v>52</v>
      </c>
      <c r="V1296" t="s">
        <v>24</v>
      </c>
      <c r="W1296" t="s">
        <v>34</v>
      </c>
    </row>
    <row r="1297" spans="1:23" x14ac:dyDescent="0.3">
      <c r="A1297" t="s">
        <v>2716</v>
      </c>
      <c r="B1297" t="s">
        <v>137</v>
      </c>
      <c r="C1297" t="s">
        <v>239</v>
      </c>
      <c r="D1297" t="s">
        <v>38</v>
      </c>
      <c r="E1297" t="s">
        <v>5136</v>
      </c>
      <c r="F1297" t="s">
        <v>5133</v>
      </c>
      <c r="G1297" t="s">
        <v>41</v>
      </c>
      <c r="H1297" t="s">
        <v>66</v>
      </c>
      <c r="I1297" t="str">
        <f>LEFT(H1297,FIND(" (",H1297)-1)</f>
        <v>Senior</v>
      </c>
      <c r="J1297" t="str">
        <f>MID(H1297,FIND("(",H1297)+1,FIND(")",H1297)-FIND("(",H1297)-1)</f>
        <v>5-8 yrs</v>
      </c>
      <c r="L1297">
        <v>147329</v>
      </c>
      <c r="M1297" t="s">
        <v>2717</v>
      </c>
      <c r="N1297" t="s">
        <v>89</v>
      </c>
      <c r="O1297" t="s">
        <v>22</v>
      </c>
      <c r="P1297" s="1">
        <v>45612</v>
      </c>
      <c r="Q1297">
        <v>1874</v>
      </c>
      <c r="R1297">
        <v>3477</v>
      </c>
      <c r="S1297" t="s">
        <v>23</v>
      </c>
      <c r="T1297">
        <v>4</v>
      </c>
      <c r="U1297" t="s">
        <v>45</v>
      </c>
      <c r="V1297" t="s">
        <v>24</v>
      </c>
      <c r="W1297" t="s">
        <v>23</v>
      </c>
    </row>
    <row r="1298" spans="1:23" x14ac:dyDescent="0.3">
      <c r="A1298" t="s">
        <v>2718</v>
      </c>
      <c r="B1298" t="s">
        <v>225</v>
      </c>
      <c r="C1298" t="s">
        <v>124</v>
      </c>
      <c r="D1298" t="s">
        <v>125</v>
      </c>
      <c r="E1298" t="s">
        <v>133</v>
      </c>
      <c r="F1298" t="s">
        <v>134</v>
      </c>
      <c r="G1298" t="s">
        <v>18</v>
      </c>
      <c r="H1298" t="s">
        <v>66</v>
      </c>
      <c r="I1298" t="str">
        <f>LEFT(H1298,FIND(" (",H1298)-1)</f>
        <v>Senior</v>
      </c>
      <c r="J1298" t="str">
        <f>MID(H1298,FIND("(",H1298)+1,FIND(")",H1298)-FIND("(",H1298)-1)</f>
        <v>5-8 yrs</v>
      </c>
      <c r="L1298">
        <v>174815</v>
      </c>
      <c r="M1298" t="s">
        <v>2719</v>
      </c>
      <c r="N1298" t="s">
        <v>43</v>
      </c>
      <c r="O1298" t="s">
        <v>44</v>
      </c>
      <c r="P1298" s="1">
        <v>45334</v>
      </c>
      <c r="Q1298">
        <v>615</v>
      </c>
      <c r="R1298">
        <v>2113</v>
      </c>
      <c r="S1298" t="s">
        <v>23</v>
      </c>
      <c r="T1298">
        <v>4</v>
      </c>
      <c r="U1298" t="s">
        <v>58</v>
      </c>
      <c r="V1298" t="s">
        <v>24</v>
      </c>
      <c r="W1298" t="s">
        <v>34</v>
      </c>
    </row>
    <row r="1299" spans="1:23" x14ac:dyDescent="0.3">
      <c r="A1299" t="s">
        <v>2720</v>
      </c>
      <c r="B1299" t="s">
        <v>81</v>
      </c>
      <c r="C1299" t="s">
        <v>173</v>
      </c>
      <c r="D1299" t="s">
        <v>75</v>
      </c>
      <c r="E1299" t="s">
        <v>29</v>
      </c>
      <c r="F1299" t="s">
        <v>30</v>
      </c>
      <c r="G1299" t="s">
        <v>41</v>
      </c>
      <c r="H1299" t="s">
        <v>19</v>
      </c>
      <c r="I1299" t="str">
        <f>LEFT(H1299,FIND(" (",H1299)-1)</f>
        <v>Entry</v>
      </c>
      <c r="J1299" t="str">
        <f>MID(H1299,FIND("(",H1299)+1,FIND(")",H1299)-FIND("(",H1299)-1)</f>
        <v>0-2 yrs</v>
      </c>
      <c r="L1299">
        <v>66342</v>
      </c>
      <c r="M1299" t="s">
        <v>2721</v>
      </c>
      <c r="N1299" t="s">
        <v>21</v>
      </c>
      <c r="O1299" t="s">
        <v>22</v>
      </c>
      <c r="P1299" s="1">
        <v>45445</v>
      </c>
      <c r="Q1299">
        <v>2294</v>
      </c>
      <c r="R1299">
        <v>3331</v>
      </c>
      <c r="S1299" t="s">
        <v>23</v>
      </c>
      <c r="T1299">
        <v>0</v>
      </c>
      <c r="U1299" t="s">
        <v>5123</v>
      </c>
      <c r="V1299" t="s">
        <v>59</v>
      </c>
      <c r="W1299" t="s">
        <v>34</v>
      </c>
    </row>
    <row r="1300" spans="1:23" x14ac:dyDescent="0.3">
      <c r="A1300" t="s">
        <v>2722</v>
      </c>
      <c r="B1300" t="s">
        <v>61</v>
      </c>
      <c r="C1300" t="s">
        <v>239</v>
      </c>
      <c r="D1300" t="s">
        <v>15</v>
      </c>
      <c r="E1300" t="s">
        <v>230</v>
      </c>
      <c r="F1300" t="s">
        <v>231</v>
      </c>
      <c r="G1300" t="s">
        <v>41</v>
      </c>
      <c r="H1300" t="s">
        <v>31</v>
      </c>
      <c r="I1300" t="str">
        <f>LEFT(H1300,FIND(" (",H1300)-1)</f>
        <v>Staff/Principal</v>
      </c>
      <c r="J1300" t="str">
        <f>MID(H1300,FIND("(",H1300)+1,FIND(")",H1300)-FIND("(",H1300)-1)</f>
        <v>8+ yrs</v>
      </c>
      <c r="L1300">
        <v>209626</v>
      </c>
      <c r="M1300" t="s">
        <v>2723</v>
      </c>
      <c r="N1300" t="s">
        <v>43</v>
      </c>
      <c r="O1300" t="s">
        <v>51</v>
      </c>
      <c r="P1300" s="1">
        <v>45415</v>
      </c>
      <c r="Q1300">
        <v>1874</v>
      </c>
      <c r="R1300">
        <v>2906</v>
      </c>
      <c r="S1300" t="s">
        <v>23</v>
      </c>
      <c r="T1300">
        <v>6</v>
      </c>
      <c r="U1300" t="s">
        <v>5123</v>
      </c>
      <c r="V1300" t="s">
        <v>24</v>
      </c>
      <c r="W1300" t="s">
        <v>34</v>
      </c>
    </row>
    <row r="1301" spans="1:23" x14ac:dyDescent="0.3">
      <c r="A1301" t="s">
        <v>2724</v>
      </c>
      <c r="B1301" t="s">
        <v>137</v>
      </c>
      <c r="C1301" t="s">
        <v>107</v>
      </c>
      <c r="D1301" t="s">
        <v>147</v>
      </c>
      <c r="E1301" t="s">
        <v>39</v>
      </c>
      <c r="F1301" t="s">
        <v>40</v>
      </c>
      <c r="G1301" t="s">
        <v>18</v>
      </c>
      <c r="H1301" t="s">
        <v>31</v>
      </c>
      <c r="I1301" t="str">
        <f>LEFT(H1301,FIND(" (",H1301)-1)</f>
        <v>Staff/Principal</v>
      </c>
      <c r="J1301" t="str">
        <f>MID(H1301,FIND("(",H1301)+1,FIND(")",H1301)-FIND("(",H1301)-1)</f>
        <v>8+ yrs</v>
      </c>
      <c r="L1301">
        <v>211581</v>
      </c>
      <c r="M1301" t="s">
        <v>2725</v>
      </c>
      <c r="N1301" t="s">
        <v>33</v>
      </c>
      <c r="O1301" t="s">
        <v>79</v>
      </c>
      <c r="P1301" s="1">
        <v>45674</v>
      </c>
      <c r="Q1301">
        <v>1438</v>
      </c>
      <c r="R1301">
        <v>722</v>
      </c>
      <c r="S1301" t="s">
        <v>23</v>
      </c>
      <c r="T1301">
        <v>6</v>
      </c>
      <c r="U1301" t="s">
        <v>5123</v>
      </c>
      <c r="V1301" t="s">
        <v>24</v>
      </c>
      <c r="W1301" t="s">
        <v>23</v>
      </c>
    </row>
    <row r="1302" spans="1:23" x14ac:dyDescent="0.3">
      <c r="A1302" t="s">
        <v>2726</v>
      </c>
      <c r="B1302" t="s">
        <v>61</v>
      </c>
      <c r="C1302" t="s">
        <v>192</v>
      </c>
      <c r="D1302" t="s">
        <v>174</v>
      </c>
      <c r="E1302" t="s">
        <v>29</v>
      </c>
      <c r="F1302" t="s">
        <v>30</v>
      </c>
      <c r="G1302" t="s">
        <v>18</v>
      </c>
      <c r="H1302" t="s">
        <v>56</v>
      </c>
      <c r="I1302" t="str">
        <f>LEFT(H1302,FIND(" (",H1302)-1)</f>
        <v>Mid</v>
      </c>
      <c r="J1302" t="str">
        <f>MID(H1302,FIND("(",H1302)+1,FIND(")",H1302)-FIND("(",H1302)-1)</f>
        <v>2-5 yrs</v>
      </c>
      <c r="L1302">
        <v>96771</v>
      </c>
      <c r="M1302" t="s">
        <v>2727</v>
      </c>
      <c r="N1302" t="s">
        <v>141</v>
      </c>
      <c r="O1302" t="s">
        <v>51</v>
      </c>
      <c r="P1302" s="1">
        <v>45593</v>
      </c>
      <c r="Q1302">
        <v>366</v>
      </c>
      <c r="R1302">
        <v>394</v>
      </c>
      <c r="S1302" t="s">
        <v>23</v>
      </c>
      <c r="T1302">
        <v>2</v>
      </c>
      <c r="U1302" t="s">
        <v>58</v>
      </c>
      <c r="V1302" t="s">
        <v>24</v>
      </c>
      <c r="W1302" t="s">
        <v>34</v>
      </c>
    </row>
    <row r="1303" spans="1:23" x14ac:dyDescent="0.3">
      <c r="A1303" t="s">
        <v>2728</v>
      </c>
      <c r="B1303" t="s">
        <v>81</v>
      </c>
      <c r="C1303" t="s">
        <v>110</v>
      </c>
      <c r="D1303" t="s">
        <v>63</v>
      </c>
      <c r="E1303" t="s">
        <v>5134</v>
      </c>
      <c r="F1303" t="s">
        <v>5133</v>
      </c>
      <c r="G1303" t="s">
        <v>18</v>
      </c>
      <c r="H1303" t="s">
        <v>66</v>
      </c>
      <c r="I1303" t="str">
        <f>LEFT(H1303,FIND(" (",H1303)-1)</f>
        <v>Senior</v>
      </c>
      <c r="J1303" t="str">
        <f>MID(H1303,FIND("(",H1303)+1,FIND(")",H1303)-FIND("(",H1303)-1)</f>
        <v>5-8 yrs</v>
      </c>
      <c r="L1303">
        <v>176785</v>
      </c>
      <c r="M1303" t="s">
        <v>2729</v>
      </c>
      <c r="N1303" t="s">
        <v>43</v>
      </c>
      <c r="O1303" t="s">
        <v>51</v>
      </c>
      <c r="P1303" s="1">
        <v>45442</v>
      </c>
      <c r="Q1303">
        <v>1919</v>
      </c>
      <c r="R1303">
        <v>3729</v>
      </c>
      <c r="S1303" t="s">
        <v>23</v>
      </c>
      <c r="T1303">
        <v>4</v>
      </c>
      <c r="U1303" t="s">
        <v>45</v>
      </c>
      <c r="V1303" t="s">
        <v>24</v>
      </c>
      <c r="W1303" t="s">
        <v>23</v>
      </c>
    </row>
    <row r="1304" spans="1:23" x14ac:dyDescent="0.3">
      <c r="A1304" t="s">
        <v>2730</v>
      </c>
      <c r="B1304" t="s">
        <v>229</v>
      </c>
      <c r="C1304" t="s">
        <v>107</v>
      </c>
      <c r="D1304" t="s">
        <v>147</v>
      </c>
      <c r="E1304" t="s">
        <v>133</v>
      </c>
      <c r="F1304" t="s">
        <v>134</v>
      </c>
      <c r="G1304" t="s">
        <v>18</v>
      </c>
      <c r="H1304" t="s">
        <v>19</v>
      </c>
      <c r="I1304" t="str">
        <f>LEFT(H1304,FIND(" (",H1304)-1)</f>
        <v>Entry</v>
      </c>
      <c r="J1304" t="str">
        <f>MID(H1304,FIND("(",H1304)+1,FIND(")",H1304)-FIND("(",H1304)-1)</f>
        <v>0-2 yrs</v>
      </c>
      <c r="L1304">
        <v>67795</v>
      </c>
      <c r="M1304" t="s">
        <v>2731</v>
      </c>
      <c r="N1304" t="s">
        <v>43</v>
      </c>
      <c r="O1304" t="s">
        <v>44</v>
      </c>
      <c r="P1304" s="1">
        <v>45542</v>
      </c>
      <c r="Q1304">
        <v>1671</v>
      </c>
      <c r="R1304">
        <v>1468</v>
      </c>
      <c r="S1304" t="s">
        <v>23</v>
      </c>
      <c r="T1304">
        <v>0</v>
      </c>
      <c r="U1304" t="s">
        <v>52</v>
      </c>
      <c r="V1304" t="s">
        <v>24</v>
      </c>
      <c r="W1304" t="s">
        <v>23</v>
      </c>
    </row>
    <row r="1305" spans="1:23" x14ac:dyDescent="0.3">
      <c r="A1305" t="s">
        <v>2732</v>
      </c>
      <c r="B1305" t="s">
        <v>172</v>
      </c>
      <c r="C1305" t="s">
        <v>107</v>
      </c>
      <c r="D1305" t="s">
        <v>174</v>
      </c>
      <c r="E1305" t="s">
        <v>16</v>
      </c>
      <c r="F1305" t="s">
        <v>17</v>
      </c>
      <c r="G1305" t="s">
        <v>55</v>
      </c>
      <c r="H1305" t="s">
        <v>31</v>
      </c>
      <c r="I1305" t="str">
        <f>LEFT(H1305,FIND(" (",H1305)-1)</f>
        <v>Staff/Principal</v>
      </c>
      <c r="J1305" t="str">
        <f>MID(H1305,FIND("(",H1305)+1,FIND(")",H1305)-FIND("(",H1305)-1)</f>
        <v>8+ yrs</v>
      </c>
      <c r="L1305">
        <v>172793</v>
      </c>
      <c r="M1305" t="s">
        <v>2733</v>
      </c>
      <c r="N1305" t="s">
        <v>33</v>
      </c>
      <c r="O1305" t="s">
        <v>51</v>
      </c>
      <c r="P1305" s="1">
        <v>45444</v>
      </c>
      <c r="Q1305">
        <v>1153</v>
      </c>
      <c r="R1305">
        <v>3416</v>
      </c>
      <c r="S1305" t="s">
        <v>99</v>
      </c>
      <c r="T1305">
        <v>6</v>
      </c>
      <c r="U1305" t="s">
        <v>45</v>
      </c>
      <c r="V1305" t="s">
        <v>59</v>
      </c>
      <c r="W1305" t="s">
        <v>23</v>
      </c>
    </row>
    <row r="1306" spans="1:23" x14ac:dyDescent="0.3">
      <c r="A1306" t="s">
        <v>2734</v>
      </c>
      <c r="B1306" t="s">
        <v>36</v>
      </c>
      <c r="C1306" t="s">
        <v>173</v>
      </c>
      <c r="D1306" t="s">
        <v>147</v>
      </c>
      <c r="E1306" t="s">
        <v>159</v>
      </c>
      <c r="F1306" t="s">
        <v>160</v>
      </c>
      <c r="G1306" t="s">
        <v>18</v>
      </c>
      <c r="H1306" t="s">
        <v>31</v>
      </c>
      <c r="I1306" t="str">
        <f>LEFT(H1306,FIND(" (",H1306)-1)</f>
        <v>Staff/Principal</v>
      </c>
      <c r="J1306" t="str">
        <f>MID(H1306,FIND("(",H1306)+1,FIND(")",H1306)-FIND("(",H1306)-1)</f>
        <v>8+ yrs</v>
      </c>
      <c r="L1306">
        <v>219314</v>
      </c>
      <c r="M1306" t="s">
        <v>2735</v>
      </c>
      <c r="N1306" t="s">
        <v>43</v>
      </c>
      <c r="O1306" t="s">
        <v>44</v>
      </c>
      <c r="P1306" s="1">
        <v>45565</v>
      </c>
      <c r="Q1306">
        <v>642</v>
      </c>
      <c r="R1306">
        <v>1541</v>
      </c>
      <c r="S1306" t="s">
        <v>23</v>
      </c>
      <c r="T1306">
        <v>6</v>
      </c>
      <c r="U1306" t="s">
        <v>45</v>
      </c>
      <c r="V1306" t="s">
        <v>24</v>
      </c>
      <c r="W1306" t="s">
        <v>34</v>
      </c>
    </row>
    <row r="1307" spans="1:23" x14ac:dyDescent="0.3">
      <c r="A1307" t="s">
        <v>2736</v>
      </c>
      <c r="B1307" t="s">
        <v>225</v>
      </c>
      <c r="C1307" t="s">
        <v>179</v>
      </c>
      <c r="D1307" t="s">
        <v>15</v>
      </c>
      <c r="E1307" t="s">
        <v>5137</v>
      </c>
      <c r="F1307" t="s">
        <v>5138</v>
      </c>
      <c r="G1307" t="s">
        <v>18</v>
      </c>
      <c r="H1307" t="s">
        <v>19</v>
      </c>
      <c r="I1307" t="str">
        <f>LEFT(H1307,FIND(" (",H1307)-1)</f>
        <v>Entry</v>
      </c>
      <c r="J1307" t="str">
        <f>MID(H1307,FIND("(",H1307)+1,FIND(")",H1307)-FIND("(",H1307)-1)</f>
        <v>0-2 yrs</v>
      </c>
      <c r="L1307">
        <v>58679</v>
      </c>
      <c r="M1307" t="s">
        <v>2737</v>
      </c>
      <c r="N1307" t="s">
        <v>186</v>
      </c>
      <c r="O1307" t="s">
        <v>51</v>
      </c>
      <c r="P1307" s="1">
        <v>45692</v>
      </c>
      <c r="Q1307">
        <v>1469</v>
      </c>
      <c r="R1307">
        <v>1008</v>
      </c>
      <c r="S1307" t="s">
        <v>23</v>
      </c>
      <c r="T1307">
        <v>0</v>
      </c>
      <c r="U1307" t="s">
        <v>58</v>
      </c>
      <c r="V1307" t="s">
        <v>24</v>
      </c>
      <c r="W1307" t="s">
        <v>23</v>
      </c>
    </row>
    <row r="1308" spans="1:23" x14ac:dyDescent="0.3">
      <c r="A1308" t="s">
        <v>2738</v>
      </c>
      <c r="B1308" t="s">
        <v>229</v>
      </c>
      <c r="C1308" t="s">
        <v>173</v>
      </c>
      <c r="D1308" t="s">
        <v>38</v>
      </c>
      <c r="E1308" t="s">
        <v>76</v>
      </c>
      <c r="F1308" t="s">
        <v>77</v>
      </c>
      <c r="G1308" t="s">
        <v>18</v>
      </c>
      <c r="H1308" t="s">
        <v>66</v>
      </c>
      <c r="I1308" t="str">
        <f>LEFT(H1308,FIND(" (",H1308)-1)</f>
        <v>Senior</v>
      </c>
      <c r="J1308" t="str">
        <f>MID(H1308,FIND("(",H1308)+1,FIND(")",H1308)-FIND("(",H1308)-1)</f>
        <v>5-8 yrs</v>
      </c>
      <c r="L1308">
        <v>150760</v>
      </c>
      <c r="M1308" t="s">
        <v>2739</v>
      </c>
      <c r="N1308" t="s">
        <v>149</v>
      </c>
      <c r="O1308" t="s">
        <v>51</v>
      </c>
      <c r="P1308" s="1">
        <v>45343</v>
      </c>
      <c r="Q1308">
        <v>2490</v>
      </c>
      <c r="R1308">
        <v>1699</v>
      </c>
      <c r="S1308" t="s">
        <v>34</v>
      </c>
      <c r="T1308">
        <v>4</v>
      </c>
      <c r="U1308" t="s">
        <v>5123</v>
      </c>
      <c r="V1308" t="s">
        <v>46</v>
      </c>
      <c r="W1308" t="s">
        <v>34</v>
      </c>
    </row>
    <row r="1309" spans="1:23" x14ac:dyDescent="0.3">
      <c r="A1309" t="s">
        <v>2740</v>
      </c>
      <c r="B1309" t="s">
        <v>26</v>
      </c>
      <c r="C1309" t="s">
        <v>116</v>
      </c>
      <c r="D1309" t="s">
        <v>15</v>
      </c>
      <c r="E1309" t="s">
        <v>133</v>
      </c>
      <c r="F1309" t="s">
        <v>134</v>
      </c>
      <c r="G1309" t="s">
        <v>41</v>
      </c>
      <c r="H1309" t="s">
        <v>19</v>
      </c>
      <c r="I1309" t="str">
        <f>LEFT(H1309,FIND(" (",H1309)-1)</f>
        <v>Entry</v>
      </c>
      <c r="J1309" t="str">
        <f>MID(H1309,FIND("(",H1309)+1,FIND(")",H1309)-FIND("(",H1309)-1)</f>
        <v>0-2 yrs</v>
      </c>
      <c r="L1309">
        <v>69885</v>
      </c>
      <c r="M1309" t="s">
        <v>2741</v>
      </c>
      <c r="N1309" t="s">
        <v>89</v>
      </c>
      <c r="O1309" t="s">
        <v>51</v>
      </c>
      <c r="P1309" s="1">
        <v>45315</v>
      </c>
      <c r="Q1309">
        <v>309</v>
      </c>
      <c r="R1309">
        <v>594</v>
      </c>
      <c r="S1309" t="s">
        <v>99</v>
      </c>
      <c r="T1309">
        <v>0</v>
      </c>
      <c r="U1309" t="s">
        <v>83</v>
      </c>
      <c r="V1309" t="s">
        <v>24</v>
      </c>
      <c r="W1309" t="s">
        <v>34</v>
      </c>
    </row>
    <row r="1310" spans="1:23" x14ac:dyDescent="0.3">
      <c r="A1310" t="s">
        <v>2742</v>
      </c>
      <c r="B1310" t="s">
        <v>70</v>
      </c>
      <c r="C1310" t="s">
        <v>62</v>
      </c>
      <c r="D1310" t="s">
        <v>147</v>
      </c>
      <c r="E1310" t="s">
        <v>16</v>
      </c>
      <c r="F1310" t="s">
        <v>17</v>
      </c>
      <c r="G1310" t="s">
        <v>18</v>
      </c>
      <c r="H1310" t="s">
        <v>66</v>
      </c>
      <c r="I1310" t="str">
        <f>LEFT(H1310,FIND(" (",H1310)-1)</f>
        <v>Senior</v>
      </c>
      <c r="J1310" t="str">
        <f>MID(H1310,FIND("(",H1310)+1,FIND(")",H1310)-FIND("(",H1310)-1)</f>
        <v>5-8 yrs</v>
      </c>
      <c r="L1310">
        <v>179319</v>
      </c>
      <c r="M1310" t="s">
        <v>2743</v>
      </c>
      <c r="N1310" t="s">
        <v>68</v>
      </c>
      <c r="O1310" t="s">
        <v>44</v>
      </c>
      <c r="P1310" s="1">
        <v>45672</v>
      </c>
      <c r="Q1310">
        <v>1672</v>
      </c>
      <c r="R1310">
        <v>3737</v>
      </c>
      <c r="S1310" t="s">
        <v>23</v>
      </c>
      <c r="T1310">
        <v>4</v>
      </c>
      <c r="U1310" t="s">
        <v>45</v>
      </c>
      <c r="V1310" t="s">
        <v>59</v>
      </c>
      <c r="W1310" t="s">
        <v>34</v>
      </c>
    </row>
    <row r="1311" spans="1:23" x14ac:dyDescent="0.3">
      <c r="A1311" t="s">
        <v>2744</v>
      </c>
      <c r="B1311" t="s">
        <v>81</v>
      </c>
      <c r="C1311" t="s">
        <v>110</v>
      </c>
      <c r="D1311" t="s">
        <v>28</v>
      </c>
      <c r="E1311" t="s">
        <v>5137</v>
      </c>
      <c r="F1311" t="s">
        <v>5138</v>
      </c>
      <c r="G1311" t="s">
        <v>18</v>
      </c>
      <c r="H1311" t="s">
        <v>19</v>
      </c>
      <c r="I1311" t="str">
        <f>LEFT(H1311,FIND(" (",H1311)-1)</f>
        <v>Entry</v>
      </c>
      <c r="J1311" t="str">
        <f>MID(H1311,FIND("(",H1311)+1,FIND(")",H1311)-FIND("(",H1311)-1)</f>
        <v>0-2 yrs</v>
      </c>
      <c r="L1311">
        <v>75981</v>
      </c>
      <c r="M1311" t="s">
        <v>2745</v>
      </c>
      <c r="N1311" t="s">
        <v>43</v>
      </c>
      <c r="O1311" t="s">
        <v>51</v>
      </c>
      <c r="P1311" s="1">
        <v>45370</v>
      </c>
      <c r="Q1311">
        <v>880</v>
      </c>
      <c r="R1311">
        <v>88</v>
      </c>
      <c r="S1311" t="s">
        <v>34</v>
      </c>
      <c r="T1311">
        <v>0</v>
      </c>
      <c r="U1311" t="s">
        <v>58</v>
      </c>
      <c r="V1311" t="s">
        <v>24</v>
      </c>
      <c r="W1311" t="s">
        <v>34</v>
      </c>
    </row>
    <row r="1312" spans="1:23" x14ac:dyDescent="0.3">
      <c r="A1312" t="s">
        <v>2746</v>
      </c>
      <c r="B1312" t="s">
        <v>131</v>
      </c>
      <c r="C1312" t="s">
        <v>132</v>
      </c>
      <c r="D1312" t="s">
        <v>174</v>
      </c>
      <c r="E1312" t="s">
        <v>64</v>
      </c>
      <c r="F1312" t="s">
        <v>65</v>
      </c>
      <c r="G1312" t="s">
        <v>18</v>
      </c>
      <c r="H1312" t="s">
        <v>56</v>
      </c>
      <c r="I1312" t="str">
        <f>LEFT(H1312,FIND(" (",H1312)-1)</f>
        <v>Mid</v>
      </c>
      <c r="J1312" t="str">
        <f>MID(H1312,FIND("(",H1312)+1,FIND(")",H1312)-FIND("(",H1312)-1)</f>
        <v>2-5 yrs</v>
      </c>
      <c r="L1312">
        <v>109504</v>
      </c>
      <c r="M1312" t="s">
        <v>2747</v>
      </c>
      <c r="N1312" t="s">
        <v>68</v>
      </c>
      <c r="O1312" t="s">
        <v>51</v>
      </c>
      <c r="P1312" s="1">
        <v>45361</v>
      </c>
      <c r="Q1312">
        <v>412</v>
      </c>
      <c r="R1312">
        <v>401</v>
      </c>
      <c r="S1312" t="s">
        <v>99</v>
      </c>
      <c r="T1312">
        <v>2</v>
      </c>
      <c r="U1312" t="s">
        <v>83</v>
      </c>
      <c r="V1312" t="s">
        <v>59</v>
      </c>
      <c r="W1312" t="s">
        <v>23</v>
      </c>
    </row>
    <row r="1313" spans="1:23" x14ac:dyDescent="0.3">
      <c r="A1313" t="s">
        <v>2748</v>
      </c>
      <c r="B1313" t="s">
        <v>13</v>
      </c>
      <c r="C1313" t="s">
        <v>167</v>
      </c>
      <c r="D1313" t="s">
        <v>75</v>
      </c>
      <c r="E1313" t="s">
        <v>16</v>
      </c>
      <c r="F1313" t="s">
        <v>17</v>
      </c>
      <c r="G1313" t="s">
        <v>41</v>
      </c>
      <c r="H1313" t="s">
        <v>56</v>
      </c>
      <c r="I1313" t="str">
        <f>LEFT(H1313,FIND(" (",H1313)-1)</f>
        <v>Mid</v>
      </c>
      <c r="J1313" t="str">
        <f>MID(H1313,FIND("(",H1313)+1,FIND(")",H1313)-FIND("(",H1313)-1)</f>
        <v>2-5 yrs</v>
      </c>
      <c r="L1313">
        <v>126191</v>
      </c>
      <c r="M1313" t="s">
        <v>2749</v>
      </c>
      <c r="N1313" t="s">
        <v>43</v>
      </c>
      <c r="O1313" t="s">
        <v>51</v>
      </c>
      <c r="P1313" s="1">
        <v>45399</v>
      </c>
      <c r="Q1313">
        <v>778</v>
      </c>
      <c r="R1313">
        <v>3272</v>
      </c>
      <c r="S1313" t="s">
        <v>34</v>
      </c>
      <c r="T1313">
        <v>2</v>
      </c>
      <c r="U1313" t="s">
        <v>52</v>
      </c>
      <c r="V1313" t="s">
        <v>59</v>
      </c>
      <c r="W1313" t="s">
        <v>34</v>
      </c>
    </row>
    <row r="1314" spans="1:23" x14ac:dyDescent="0.3">
      <c r="A1314" t="s">
        <v>2750</v>
      </c>
      <c r="B1314" t="s">
        <v>329</v>
      </c>
      <c r="C1314" t="s">
        <v>195</v>
      </c>
      <c r="D1314" t="s">
        <v>63</v>
      </c>
      <c r="E1314" t="s">
        <v>5132</v>
      </c>
      <c r="F1314" t="s">
        <v>5133</v>
      </c>
      <c r="G1314" t="s">
        <v>18</v>
      </c>
      <c r="H1314" t="s">
        <v>66</v>
      </c>
      <c r="I1314" t="str">
        <f>LEFT(H1314,FIND(" (",H1314)-1)</f>
        <v>Senior</v>
      </c>
      <c r="J1314" t="str">
        <f>MID(H1314,FIND("(",H1314)+1,FIND(")",H1314)-FIND("(",H1314)-1)</f>
        <v>5-8 yrs</v>
      </c>
      <c r="L1314">
        <v>187535</v>
      </c>
      <c r="M1314" t="s">
        <v>2751</v>
      </c>
      <c r="N1314" t="s">
        <v>33</v>
      </c>
      <c r="O1314" t="s">
        <v>51</v>
      </c>
      <c r="P1314" s="1">
        <v>45447</v>
      </c>
      <c r="Q1314">
        <v>320</v>
      </c>
      <c r="R1314">
        <v>719</v>
      </c>
      <c r="S1314" t="s">
        <v>23</v>
      </c>
      <c r="T1314">
        <v>4</v>
      </c>
      <c r="U1314" t="s">
        <v>83</v>
      </c>
      <c r="V1314" t="s">
        <v>24</v>
      </c>
      <c r="W1314" t="s">
        <v>34</v>
      </c>
    </row>
    <row r="1315" spans="1:23" x14ac:dyDescent="0.3">
      <c r="A1315" t="s">
        <v>2752</v>
      </c>
      <c r="B1315" t="s">
        <v>222</v>
      </c>
      <c r="C1315" t="s">
        <v>116</v>
      </c>
      <c r="D1315" t="s">
        <v>38</v>
      </c>
      <c r="E1315" t="s">
        <v>200</v>
      </c>
      <c r="F1315" t="s">
        <v>201</v>
      </c>
      <c r="G1315" t="s">
        <v>55</v>
      </c>
      <c r="H1315" t="s">
        <v>19</v>
      </c>
      <c r="I1315" t="str">
        <f>LEFT(H1315,FIND(" (",H1315)-1)</f>
        <v>Entry</v>
      </c>
      <c r="J1315" t="str">
        <f>MID(H1315,FIND("(",H1315)+1,FIND(")",H1315)-FIND("(",H1315)-1)</f>
        <v>0-2 yrs</v>
      </c>
      <c r="L1315">
        <v>77028</v>
      </c>
      <c r="M1315" t="s">
        <v>2753</v>
      </c>
      <c r="N1315" t="s">
        <v>33</v>
      </c>
      <c r="O1315" t="s">
        <v>22</v>
      </c>
      <c r="P1315" s="1">
        <v>45418</v>
      </c>
      <c r="Q1315">
        <v>1776</v>
      </c>
      <c r="R1315">
        <v>736</v>
      </c>
      <c r="S1315" t="s">
        <v>23</v>
      </c>
      <c r="T1315">
        <v>0</v>
      </c>
      <c r="U1315" t="s">
        <v>52</v>
      </c>
      <c r="V1315" t="s">
        <v>24</v>
      </c>
      <c r="W1315" t="s">
        <v>23</v>
      </c>
    </row>
    <row r="1316" spans="1:23" x14ac:dyDescent="0.3">
      <c r="A1316" t="s">
        <v>2754</v>
      </c>
      <c r="B1316" t="s">
        <v>70</v>
      </c>
      <c r="C1316" t="s">
        <v>167</v>
      </c>
      <c r="D1316" t="s">
        <v>174</v>
      </c>
      <c r="E1316" t="s">
        <v>102</v>
      </c>
      <c r="F1316" t="s">
        <v>103</v>
      </c>
      <c r="G1316" t="s">
        <v>55</v>
      </c>
      <c r="H1316" t="s">
        <v>66</v>
      </c>
      <c r="I1316" t="str">
        <f>LEFT(H1316,FIND(" (",H1316)-1)</f>
        <v>Senior</v>
      </c>
      <c r="J1316" t="str">
        <f>MID(H1316,FIND("(",H1316)+1,FIND(")",H1316)-FIND("(",H1316)-1)</f>
        <v>5-8 yrs</v>
      </c>
      <c r="L1316">
        <v>150279</v>
      </c>
      <c r="M1316" t="s">
        <v>2755</v>
      </c>
      <c r="N1316" t="s">
        <v>141</v>
      </c>
      <c r="O1316" t="s">
        <v>44</v>
      </c>
      <c r="P1316" s="1">
        <v>45498</v>
      </c>
      <c r="Q1316">
        <v>2392</v>
      </c>
      <c r="R1316">
        <v>258</v>
      </c>
      <c r="S1316" t="s">
        <v>23</v>
      </c>
      <c r="T1316">
        <v>4</v>
      </c>
      <c r="U1316" t="s">
        <v>58</v>
      </c>
      <c r="V1316" t="s">
        <v>24</v>
      </c>
      <c r="W1316" t="s">
        <v>34</v>
      </c>
    </row>
    <row r="1317" spans="1:23" x14ac:dyDescent="0.3">
      <c r="A1317" t="s">
        <v>2756</v>
      </c>
      <c r="B1317" t="s">
        <v>96</v>
      </c>
      <c r="C1317" t="s">
        <v>48</v>
      </c>
      <c r="D1317" t="s">
        <v>38</v>
      </c>
      <c r="E1317" t="s">
        <v>29</v>
      </c>
      <c r="F1317" t="s">
        <v>30</v>
      </c>
      <c r="G1317" t="s">
        <v>18</v>
      </c>
      <c r="H1317" t="s">
        <v>66</v>
      </c>
      <c r="I1317" t="str">
        <f>LEFT(H1317,FIND(" (",H1317)-1)</f>
        <v>Senior</v>
      </c>
      <c r="J1317" t="str">
        <f>MID(H1317,FIND("(",H1317)+1,FIND(")",H1317)-FIND("(",H1317)-1)</f>
        <v>5-8 yrs</v>
      </c>
      <c r="L1317">
        <v>114580</v>
      </c>
      <c r="M1317" t="s">
        <v>2757</v>
      </c>
      <c r="N1317" t="s">
        <v>43</v>
      </c>
      <c r="O1317" t="s">
        <v>51</v>
      </c>
      <c r="P1317" s="1">
        <v>45726</v>
      </c>
      <c r="Q1317">
        <v>1970</v>
      </c>
      <c r="R1317">
        <v>531</v>
      </c>
      <c r="S1317" t="s">
        <v>23</v>
      </c>
      <c r="T1317">
        <v>4</v>
      </c>
      <c r="U1317" t="s">
        <v>83</v>
      </c>
      <c r="V1317" t="s">
        <v>24</v>
      </c>
      <c r="W1317" t="s">
        <v>34</v>
      </c>
    </row>
    <row r="1318" spans="1:23" x14ac:dyDescent="0.3">
      <c r="A1318" t="s">
        <v>2758</v>
      </c>
      <c r="B1318" t="s">
        <v>91</v>
      </c>
      <c r="C1318" t="s">
        <v>97</v>
      </c>
      <c r="D1318" t="s">
        <v>63</v>
      </c>
      <c r="E1318" t="s">
        <v>230</v>
      </c>
      <c r="F1318" t="s">
        <v>231</v>
      </c>
      <c r="G1318" t="s">
        <v>18</v>
      </c>
      <c r="H1318" t="s">
        <v>56</v>
      </c>
      <c r="I1318" t="str">
        <f>LEFT(H1318,FIND(" (",H1318)-1)</f>
        <v>Mid</v>
      </c>
      <c r="J1318" t="str">
        <f>MID(H1318,FIND("(",H1318)+1,FIND(")",H1318)-FIND("(",H1318)-1)</f>
        <v>2-5 yrs</v>
      </c>
      <c r="L1318">
        <v>88910</v>
      </c>
      <c r="M1318" t="s">
        <v>2759</v>
      </c>
      <c r="N1318" t="s">
        <v>68</v>
      </c>
      <c r="O1318" t="s">
        <v>44</v>
      </c>
      <c r="P1318" s="1">
        <v>45654</v>
      </c>
      <c r="Q1318">
        <v>2013</v>
      </c>
      <c r="R1318">
        <v>3904</v>
      </c>
      <c r="S1318" t="s">
        <v>34</v>
      </c>
      <c r="T1318">
        <v>2</v>
      </c>
      <c r="U1318" t="s">
        <v>83</v>
      </c>
      <c r="V1318" t="s">
        <v>46</v>
      </c>
      <c r="W1318" t="s">
        <v>34</v>
      </c>
    </row>
    <row r="1319" spans="1:23" x14ac:dyDescent="0.3">
      <c r="A1319" t="s">
        <v>2760</v>
      </c>
      <c r="B1319" t="s">
        <v>106</v>
      </c>
      <c r="C1319" t="s">
        <v>209</v>
      </c>
      <c r="D1319" t="s">
        <v>28</v>
      </c>
      <c r="E1319" t="s">
        <v>5139</v>
      </c>
      <c r="F1319" t="s">
        <v>5133</v>
      </c>
      <c r="G1319" t="s">
        <v>41</v>
      </c>
      <c r="H1319" t="s">
        <v>66</v>
      </c>
      <c r="I1319" t="str">
        <f>LEFT(H1319,FIND(" (",H1319)-1)</f>
        <v>Senior</v>
      </c>
      <c r="J1319" t="str">
        <f>MID(H1319,FIND("(",H1319)+1,FIND(")",H1319)-FIND("(",H1319)-1)</f>
        <v>5-8 yrs</v>
      </c>
      <c r="L1319">
        <v>141758</v>
      </c>
      <c r="M1319" t="s">
        <v>2761</v>
      </c>
      <c r="N1319" t="s">
        <v>94</v>
      </c>
      <c r="O1319" t="s">
        <v>51</v>
      </c>
      <c r="P1319" s="1">
        <v>45548</v>
      </c>
      <c r="Q1319">
        <v>1268</v>
      </c>
      <c r="R1319">
        <v>2532</v>
      </c>
      <c r="S1319" t="s">
        <v>23</v>
      </c>
      <c r="T1319">
        <v>4</v>
      </c>
      <c r="U1319" t="s">
        <v>83</v>
      </c>
      <c r="V1319" t="s">
        <v>59</v>
      </c>
      <c r="W1319" t="s">
        <v>34</v>
      </c>
    </row>
    <row r="1320" spans="1:23" x14ac:dyDescent="0.3">
      <c r="A1320" t="s">
        <v>2762</v>
      </c>
      <c r="B1320" t="s">
        <v>13</v>
      </c>
      <c r="C1320" t="s">
        <v>97</v>
      </c>
      <c r="D1320" t="s">
        <v>38</v>
      </c>
      <c r="E1320" t="s">
        <v>29</v>
      </c>
      <c r="F1320" t="s">
        <v>30</v>
      </c>
      <c r="G1320" t="s">
        <v>41</v>
      </c>
      <c r="H1320" t="s">
        <v>66</v>
      </c>
      <c r="I1320" t="str">
        <f>LEFT(H1320,FIND(" (",H1320)-1)</f>
        <v>Senior</v>
      </c>
      <c r="J1320" t="str">
        <f>MID(H1320,FIND("(",H1320)+1,FIND(")",H1320)-FIND("(",H1320)-1)</f>
        <v>5-8 yrs</v>
      </c>
      <c r="L1320">
        <v>133543</v>
      </c>
      <c r="M1320" t="s">
        <v>2763</v>
      </c>
      <c r="N1320" t="s">
        <v>33</v>
      </c>
      <c r="O1320" t="s">
        <v>51</v>
      </c>
      <c r="P1320" s="1">
        <v>45548</v>
      </c>
      <c r="Q1320">
        <v>662</v>
      </c>
      <c r="R1320">
        <v>129</v>
      </c>
      <c r="S1320" t="s">
        <v>34</v>
      </c>
      <c r="T1320">
        <v>4</v>
      </c>
      <c r="U1320" t="s">
        <v>58</v>
      </c>
      <c r="V1320" t="s">
        <v>59</v>
      </c>
      <c r="W1320" t="s">
        <v>23</v>
      </c>
    </row>
    <row r="1321" spans="1:23" x14ac:dyDescent="0.3">
      <c r="A1321" t="s">
        <v>2764</v>
      </c>
      <c r="B1321" t="s">
        <v>137</v>
      </c>
      <c r="C1321" t="s">
        <v>74</v>
      </c>
      <c r="D1321" t="s">
        <v>15</v>
      </c>
      <c r="E1321" t="s">
        <v>159</v>
      </c>
      <c r="F1321" t="s">
        <v>160</v>
      </c>
      <c r="G1321" t="s">
        <v>41</v>
      </c>
      <c r="H1321" t="s">
        <v>19</v>
      </c>
      <c r="I1321" t="str">
        <f>LEFT(H1321,FIND(" (",H1321)-1)</f>
        <v>Entry</v>
      </c>
      <c r="J1321" t="str">
        <f>MID(H1321,FIND("(",H1321)+1,FIND(")",H1321)-FIND("(",H1321)-1)</f>
        <v>0-2 yrs</v>
      </c>
      <c r="L1321">
        <v>67644</v>
      </c>
      <c r="M1321" t="s">
        <v>2765</v>
      </c>
      <c r="N1321" t="s">
        <v>89</v>
      </c>
      <c r="O1321" t="s">
        <v>51</v>
      </c>
      <c r="P1321" s="1">
        <v>45688</v>
      </c>
      <c r="Q1321">
        <v>873</v>
      </c>
      <c r="R1321">
        <v>1593</v>
      </c>
      <c r="S1321" t="s">
        <v>23</v>
      </c>
      <c r="T1321">
        <v>0</v>
      </c>
      <c r="U1321" t="s">
        <v>83</v>
      </c>
      <c r="V1321" t="s">
        <v>24</v>
      </c>
      <c r="W1321" t="s">
        <v>34</v>
      </c>
    </row>
    <row r="1322" spans="1:23" x14ac:dyDescent="0.3">
      <c r="A1322" t="s">
        <v>2766</v>
      </c>
      <c r="B1322" t="s">
        <v>13</v>
      </c>
      <c r="C1322" t="s">
        <v>116</v>
      </c>
      <c r="D1322" t="s">
        <v>125</v>
      </c>
      <c r="E1322" t="s">
        <v>5134</v>
      </c>
      <c r="F1322" t="s">
        <v>5133</v>
      </c>
      <c r="G1322" t="s">
        <v>41</v>
      </c>
      <c r="H1322" t="s">
        <v>66</v>
      </c>
      <c r="I1322" t="str">
        <f>LEFT(H1322,FIND(" (",H1322)-1)</f>
        <v>Senior</v>
      </c>
      <c r="J1322" t="str">
        <f>MID(H1322,FIND("(",H1322)+1,FIND(")",H1322)-FIND("(",H1322)-1)</f>
        <v>5-8 yrs</v>
      </c>
      <c r="L1322">
        <v>151529</v>
      </c>
      <c r="M1322" t="s">
        <v>2767</v>
      </c>
      <c r="N1322" t="s">
        <v>120</v>
      </c>
      <c r="O1322" t="s">
        <v>44</v>
      </c>
      <c r="P1322" s="1">
        <v>45595</v>
      </c>
      <c r="Q1322">
        <v>973</v>
      </c>
      <c r="R1322">
        <v>1601</v>
      </c>
      <c r="S1322" t="s">
        <v>23</v>
      </c>
      <c r="T1322">
        <v>4</v>
      </c>
      <c r="U1322" t="s">
        <v>45</v>
      </c>
      <c r="V1322" t="s">
        <v>24</v>
      </c>
      <c r="W1322" t="s">
        <v>34</v>
      </c>
    </row>
    <row r="1323" spans="1:23" x14ac:dyDescent="0.3">
      <c r="A1323" t="s">
        <v>2768</v>
      </c>
      <c r="B1323" t="s">
        <v>106</v>
      </c>
      <c r="C1323" t="s">
        <v>48</v>
      </c>
      <c r="D1323" t="s">
        <v>49</v>
      </c>
      <c r="E1323" t="s">
        <v>39</v>
      </c>
      <c r="F1323" t="s">
        <v>40</v>
      </c>
      <c r="G1323" t="s">
        <v>18</v>
      </c>
      <c r="H1323" t="s">
        <v>19</v>
      </c>
      <c r="I1323" t="str">
        <f>LEFT(H1323,FIND(" (",H1323)-1)</f>
        <v>Entry</v>
      </c>
      <c r="J1323" t="str">
        <f>MID(H1323,FIND("(",H1323)+1,FIND(")",H1323)-FIND("(",H1323)-1)</f>
        <v>0-2 yrs</v>
      </c>
      <c r="L1323">
        <v>76674</v>
      </c>
      <c r="M1323" t="s">
        <v>2769</v>
      </c>
      <c r="N1323" t="s">
        <v>149</v>
      </c>
      <c r="O1323" t="s">
        <v>22</v>
      </c>
      <c r="P1323" s="1">
        <v>45591</v>
      </c>
      <c r="Q1323">
        <v>1994</v>
      </c>
      <c r="R1323">
        <v>2887</v>
      </c>
      <c r="S1323" t="s">
        <v>99</v>
      </c>
      <c r="T1323">
        <v>0</v>
      </c>
      <c r="U1323" t="s">
        <v>45</v>
      </c>
      <c r="V1323" t="s">
        <v>24</v>
      </c>
      <c r="W1323" t="s">
        <v>34</v>
      </c>
    </row>
    <row r="1324" spans="1:23" x14ac:dyDescent="0.3">
      <c r="A1324" t="s">
        <v>2770</v>
      </c>
      <c r="B1324" t="s">
        <v>329</v>
      </c>
      <c r="C1324" t="s">
        <v>101</v>
      </c>
      <c r="D1324" t="s">
        <v>125</v>
      </c>
      <c r="E1324" t="s">
        <v>5140</v>
      </c>
      <c r="F1324" t="s">
        <v>5133</v>
      </c>
      <c r="G1324" t="s">
        <v>18</v>
      </c>
      <c r="H1324" t="s">
        <v>31</v>
      </c>
      <c r="I1324" t="str">
        <f>LEFT(H1324,FIND(" (",H1324)-1)</f>
        <v>Staff/Principal</v>
      </c>
      <c r="J1324" t="str">
        <f>MID(H1324,FIND("(",H1324)+1,FIND(")",H1324)-FIND("(",H1324)-1)</f>
        <v>8+ yrs</v>
      </c>
      <c r="L1324">
        <v>197462</v>
      </c>
      <c r="M1324" t="s">
        <v>2771</v>
      </c>
      <c r="N1324" t="s">
        <v>141</v>
      </c>
      <c r="O1324" t="s">
        <v>51</v>
      </c>
      <c r="P1324" s="1">
        <v>45747</v>
      </c>
      <c r="Q1324">
        <v>412</v>
      </c>
      <c r="R1324">
        <v>475</v>
      </c>
      <c r="S1324" t="s">
        <v>23</v>
      </c>
      <c r="T1324">
        <v>6</v>
      </c>
      <c r="U1324" t="s">
        <v>52</v>
      </c>
      <c r="V1324" t="s">
        <v>24</v>
      </c>
      <c r="W1324" t="s">
        <v>34</v>
      </c>
    </row>
    <row r="1325" spans="1:23" x14ac:dyDescent="0.3">
      <c r="A1325" t="s">
        <v>2772</v>
      </c>
      <c r="B1325" t="s">
        <v>143</v>
      </c>
      <c r="C1325" t="s">
        <v>48</v>
      </c>
      <c r="D1325" t="s">
        <v>38</v>
      </c>
      <c r="E1325" t="s">
        <v>5136</v>
      </c>
      <c r="F1325" t="s">
        <v>5133</v>
      </c>
      <c r="G1325" t="s">
        <v>18</v>
      </c>
      <c r="H1325" t="s">
        <v>19</v>
      </c>
      <c r="I1325" t="str">
        <f>LEFT(H1325,FIND(" (",H1325)-1)</f>
        <v>Entry</v>
      </c>
      <c r="J1325" t="str">
        <f>MID(H1325,FIND("(",H1325)+1,FIND(")",H1325)-FIND("(",H1325)-1)</f>
        <v>0-2 yrs</v>
      </c>
      <c r="L1325">
        <v>76129</v>
      </c>
      <c r="M1325" t="s">
        <v>2773</v>
      </c>
      <c r="N1325" t="s">
        <v>33</v>
      </c>
      <c r="O1325" t="s">
        <v>79</v>
      </c>
      <c r="P1325" s="1">
        <v>45410</v>
      </c>
      <c r="Q1325">
        <v>1420</v>
      </c>
      <c r="R1325">
        <v>2195</v>
      </c>
      <c r="S1325" t="s">
        <v>23</v>
      </c>
      <c r="T1325">
        <v>0</v>
      </c>
      <c r="U1325" t="s">
        <v>45</v>
      </c>
      <c r="V1325" t="s">
        <v>24</v>
      </c>
      <c r="W1325" t="s">
        <v>23</v>
      </c>
    </row>
    <row r="1326" spans="1:23" x14ac:dyDescent="0.3">
      <c r="A1326" t="s">
        <v>2774</v>
      </c>
      <c r="B1326" t="s">
        <v>36</v>
      </c>
      <c r="C1326" t="s">
        <v>110</v>
      </c>
      <c r="D1326" t="s">
        <v>49</v>
      </c>
      <c r="E1326" t="s">
        <v>5135</v>
      </c>
      <c r="F1326" t="s">
        <v>5133</v>
      </c>
      <c r="G1326" t="s">
        <v>55</v>
      </c>
      <c r="H1326" t="s">
        <v>19</v>
      </c>
      <c r="I1326" t="str">
        <f>LEFT(H1326,FIND(" (",H1326)-1)</f>
        <v>Entry</v>
      </c>
      <c r="J1326" t="str">
        <f>MID(H1326,FIND("(",H1326)+1,FIND(")",H1326)-FIND("(",H1326)-1)</f>
        <v>0-2 yrs</v>
      </c>
      <c r="L1326">
        <v>70812</v>
      </c>
      <c r="M1326" t="s">
        <v>2775</v>
      </c>
      <c r="N1326" t="s">
        <v>33</v>
      </c>
      <c r="O1326" t="s">
        <v>51</v>
      </c>
      <c r="P1326" s="1">
        <v>45734</v>
      </c>
      <c r="Q1326">
        <v>1458</v>
      </c>
      <c r="R1326">
        <v>2378</v>
      </c>
      <c r="S1326" t="s">
        <v>23</v>
      </c>
      <c r="T1326">
        <v>0</v>
      </c>
      <c r="U1326" t="s">
        <v>83</v>
      </c>
      <c r="V1326" t="s">
        <v>24</v>
      </c>
      <c r="W1326" t="s">
        <v>34</v>
      </c>
    </row>
    <row r="1327" spans="1:23" x14ac:dyDescent="0.3">
      <c r="A1327" t="s">
        <v>2776</v>
      </c>
      <c r="B1327" t="s">
        <v>151</v>
      </c>
      <c r="C1327" t="s">
        <v>14</v>
      </c>
      <c r="D1327" t="s">
        <v>147</v>
      </c>
      <c r="E1327" t="s">
        <v>230</v>
      </c>
      <c r="F1327" t="s">
        <v>231</v>
      </c>
      <c r="G1327" t="s">
        <v>41</v>
      </c>
      <c r="H1327" t="s">
        <v>19</v>
      </c>
      <c r="I1327" t="str">
        <f>LEFT(H1327,FIND(" (",H1327)-1)</f>
        <v>Entry</v>
      </c>
      <c r="J1327" t="str">
        <f>MID(H1327,FIND("(",H1327)+1,FIND(")",H1327)-FIND("(",H1327)-1)</f>
        <v>0-2 yrs</v>
      </c>
      <c r="L1327">
        <v>50000</v>
      </c>
      <c r="M1327" t="s">
        <v>2777</v>
      </c>
      <c r="N1327" t="s">
        <v>33</v>
      </c>
      <c r="O1327" t="s">
        <v>79</v>
      </c>
      <c r="P1327" s="1">
        <v>45374</v>
      </c>
      <c r="Q1327">
        <v>1955</v>
      </c>
      <c r="R1327">
        <v>3761</v>
      </c>
      <c r="S1327" t="s">
        <v>23</v>
      </c>
      <c r="T1327">
        <v>0</v>
      </c>
      <c r="U1327" t="s">
        <v>5123</v>
      </c>
      <c r="V1327" t="s">
        <v>59</v>
      </c>
      <c r="W1327" t="s">
        <v>34</v>
      </c>
    </row>
    <row r="1328" spans="1:23" x14ac:dyDescent="0.3">
      <c r="A1328" t="s">
        <v>2778</v>
      </c>
      <c r="B1328" t="s">
        <v>85</v>
      </c>
      <c r="C1328" t="s">
        <v>179</v>
      </c>
      <c r="D1328" t="s">
        <v>75</v>
      </c>
      <c r="E1328" t="s">
        <v>29</v>
      </c>
      <c r="F1328" t="s">
        <v>30</v>
      </c>
      <c r="G1328" t="s">
        <v>18</v>
      </c>
      <c r="H1328" t="s">
        <v>19</v>
      </c>
      <c r="I1328" t="str">
        <f>LEFT(H1328,FIND(" (",H1328)-1)</f>
        <v>Entry</v>
      </c>
      <c r="J1328" t="str">
        <f>MID(H1328,FIND("(",H1328)+1,FIND(")",H1328)-FIND("(",H1328)-1)</f>
        <v>0-2 yrs</v>
      </c>
      <c r="L1328">
        <v>58164</v>
      </c>
      <c r="M1328" t="s">
        <v>2779</v>
      </c>
      <c r="N1328" t="s">
        <v>33</v>
      </c>
      <c r="O1328" t="s">
        <v>22</v>
      </c>
      <c r="P1328" s="1">
        <v>45354</v>
      </c>
      <c r="Q1328">
        <v>938</v>
      </c>
      <c r="R1328">
        <v>255</v>
      </c>
      <c r="S1328" t="s">
        <v>34</v>
      </c>
      <c r="T1328">
        <v>0</v>
      </c>
      <c r="U1328" t="s">
        <v>52</v>
      </c>
      <c r="V1328" t="s">
        <v>24</v>
      </c>
      <c r="W1328" t="s">
        <v>34</v>
      </c>
    </row>
    <row r="1329" spans="1:23" x14ac:dyDescent="0.3">
      <c r="A1329" t="s">
        <v>2780</v>
      </c>
      <c r="B1329" t="s">
        <v>96</v>
      </c>
      <c r="C1329" t="s">
        <v>158</v>
      </c>
      <c r="D1329" t="s">
        <v>63</v>
      </c>
      <c r="E1329" t="s">
        <v>159</v>
      </c>
      <c r="F1329" t="s">
        <v>160</v>
      </c>
      <c r="G1329" t="s">
        <v>55</v>
      </c>
      <c r="H1329" t="s">
        <v>19</v>
      </c>
      <c r="I1329" t="str">
        <f>LEFT(H1329,FIND(" (",H1329)-1)</f>
        <v>Entry</v>
      </c>
      <c r="J1329" t="str">
        <f>MID(H1329,FIND("(",H1329)+1,FIND(")",H1329)-FIND("(",H1329)-1)</f>
        <v>0-2 yrs</v>
      </c>
      <c r="L1329">
        <v>68184</v>
      </c>
      <c r="M1329" t="s">
        <v>2781</v>
      </c>
      <c r="N1329" t="s">
        <v>43</v>
      </c>
      <c r="O1329" t="s">
        <v>22</v>
      </c>
      <c r="P1329" s="1">
        <v>45594</v>
      </c>
      <c r="Q1329">
        <v>653</v>
      </c>
      <c r="R1329">
        <v>3248</v>
      </c>
      <c r="S1329" t="s">
        <v>23</v>
      </c>
      <c r="T1329">
        <v>0</v>
      </c>
      <c r="U1329" t="s">
        <v>52</v>
      </c>
      <c r="V1329" t="s">
        <v>59</v>
      </c>
      <c r="W1329" t="s">
        <v>23</v>
      </c>
    </row>
    <row r="1330" spans="1:23" x14ac:dyDescent="0.3">
      <c r="A1330" t="s">
        <v>2782</v>
      </c>
      <c r="B1330" t="s">
        <v>13</v>
      </c>
      <c r="C1330" t="s">
        <v>110</v>
      </c>
      <c r="D1330" t="s">
        <v>28</v>
      </c>
      <c r="E1330" t="s">
        <v>5140</v>
      </c>
      <c r="F1330" t="s">
        <v>5133</v>
      </c>
      <c r="G1330" t="s">
        <v>55</v>
      </c>
      <c r="H1330" t="s">
        <v>66</v>
      </c>
      <c r="I1330" t="str">
        <f>LEFT(H1330,FIND(" (",H1330)-1)</f>
        <v>Senior</v>
      </c>
      <c r="J1330" t="str">
        <f>MID(H1330,FIND("(",H1330)+1,FIND(")",H1330)-FIND("(",H1330)-1)</f>
        <v>5-8 yrs</v>
      </c>
      <c r="L1330">
        <v>117338</v>
      </c>
      <c r="M1330" t="s">
        <v>2783</v>
      </c>
      <c r="N1330" t="s">
        <v>33</v>
      </c>
      <c r="O1330" t="s">
        <v>22</v>
      </c>
      <c r="P1330" s="1">
        <v>45447</v>
      </c>
      <c r="Q1330">
        <v>842</v>
      </c>
      <c r="R1330">
        <v>3452</v>
      </c>
      <c r="S1330" t="s">
        <v>23</v>
      </c>
      <c r="T1330">
        <v>4</v>
      </c>
      <c r="U1330" t="s">
        <v>45</v>
      </c>
      <c r="V1330" t="s">
        <v>24</v>
      </c>
      <c r="W1330" t="s">
        <v>23</v>
      </c>
    </row>
    <row r="1331" spans="1:23" x14ac:dyDescent="0.3">
      <c r="A1331" t="s">
        <v>2784</v>
      </c>
      <c r="B1331" t="s">
        <v>70</v>
      </c>
      <c r="C1331" t="s">
        <v>92</v>
      </c>
      <c r="D1331" t="s">
        <v>75</v>
      </c>
      <c r="E1331" t="s">
        <v>5139</v>
      </c>
      <c r="F1331" t="s">
        <v>5133</v>
      </c>
      <c r="G1331" t="s">
        <v>41</v>
      </c>
      <c r="H1331" t="s">
        <v>56</v>
      </c>
      <c r="I1331" t="str">
        <f>LEFT(H1331,FIND(" (",H1331)-1)</f>
        <v>Mid</v>
      </c>
      <c r="J1331" t="str">
        <f>MID(H1331,FIND("(",H1331)+1,FIND(")",H1331)-FIND("(",H1331)-1)</f>
        <v>2-5 yrs</v>
      </c>
      <c r="L1331">
        <v>121878</v>
      </c>
      <c r="M1331" t="s">
        <v>2785</v>
      </c>
      <c r="N1331" t="s">
        <v>149</v>
      </c>
      <c r="O1331" t="s">
        <v>44</v>
      </c>
      <c r="P1331" s="1">
        <v>45553</v>
      </c>
      <c r="Q1331">
        <v>626</v>
      </c>
      <c r="R1331">
        <v>163</v>
      </c>
      <c r="S1331" t="s">
        <v>99</v>
      </c>
      <c r="T1331">
        <v>2</v>
      </c>
      <c r="U1331" t="s">
        <v>58</v>
      </c>
      <c r="V1331" t="s">
        <v>24</v>
      </c>
      <c r="W1331" t="s">
        <v>23</v>
      </c>
    </row>
    <row r="1332" spans="1:23" x14ac:dyDescent="0.3">
      <c r="A1332" t="s">
        <v>2786</v>
      </c>
      <c r="B1332" t="s">
        <v>137</v>
      </c>
      <c r="C1332" t="s">
        <v>110</v>
      </c>
      <c r="D1332" t="s">
        <v>38</v>
      </c>
      <c r="E1332" t="s">
        <v>200</v>
      </c>
      <c r="F1332" t="s">
        <v>201</v>
      </c>
      <c r="G1332" t="s">
        <v>55</v>
      </c>
      <c r="H1332" t="s">
        <v>19</v>
      </c>
      <c r="I1332" t="str">
        <f>LEFT(H1332,FIND(" (",H1332)-1)</f>
        <v>Entry</v>
      </c>
      <c r="J1332" t="str">
        <f>MID(H1332,FIND("(",H1332)+1,FIND(")",H1332)-FIND("(",H1332)-1)</f>
        <v>0-2 yrs</v>
      </c>
      <c r="L1332">
        <v>89287</v>
      </c>
      <c r="M1332" t="s">
        <v>2787</v>
      </c>
      <c r="N1332" t="s">
        <v>186</v>
      </c>
      <c r="O1332" t="s">
        <v>22</v>
      </c>
      <c r="P1332" s="1">
        <v>45378</v>
      </c>
      <c r="Q1332">
        <v>1674</v>
      </c>
      <c r="R1332">
        <v>902</v>
      </c>
      <c r="S1332" t="s">
        <v>23</v>
      </c>
      <c r="T1332">
        <v>0</v>
      </c>
      <c r="U1332" t="s">
        <v>58</v>
      </c>
      <c r="V1332" t="s">
        <v>24</v>
      </c>
      <c r="W1332" t="s">
        <v>34</v>
      </c>
    </row>
    <row r="1333" spans="1:23" x14ac:dyDescent="0.3">
      <c r="A1333" t="s">
        <v>2788</v>
      </c>
      <c r="B1333" t="s">
        <v>222</v>
      </c>
      <c r="C1333" t="s">
        <v>86</v>
      </c>
      <c r="D1333" t="s">
        <v>49</v>
      </c>
      <c r="E1333" t="s">
        <v>5136</v>
      </c>
      <c r="F1333" t="s">
        <v>5133</v>
      </c>
      <c r="G1333" t="s">
        <v>18</v>
      </c>
      <c r="H1333" t="s">
        <v>31</v>
      </c>
      <c r="I1333" t="str">
        <f>LEFT(H1333,FIND(" (",H1333)-1)</f>
        <v>Staff/Principal</v>
      </c>
      <c r="J1333" t="str">
        <f>MID(H1333,FIND("(",H1333)+1,FIND(")",H1333)-FIND("(",H1333)-1)</f>
        <v>8+ yrs</v>
      </c>
      <c r="L1333">
        <v>243875</v>
      </c>
      <c r="M1333" t="s">
        <v>2789</v>
      </c>
      <c r="N1333" t="s">
        <v>33</v>
      </c>
      <c r="O1333" t="s">
        <v>22</v>
      </c>
      <c r="P1333" s="1">
        <v>45421</v>
      </c>
      <c r="Q1333">
        <v>1788</v>
      </c>
      <c r="R1333">
        <v>1169</v>
      </c>
      <c r="S1333" t="s">
        <v>23</v>
      </c>
      <c r="T1333">
        <v>6</v>
      </c>
      <c r="U1333" t="s">
        <v>5123</v>
      </c>
      <c r="V1333" t="s">
        <v>46</v>
      </c>
      <c r="W1333" t="s">
        <v>23</v>
      </c>
    </row>
    <row r="1334" spans="1:23" x14ac:dyDescent="0.3">
      <c r="A1334" t="s">
        <v>2790</v>
      </c>
      <c r="B1334" t="s">
        <v>26</v>
      </c>
      <c r="C1334" t="s">
        <v>124</v>
      </c>
      <c r="D1334" t="s">
        <v>174</v>
      </c>
      <c r="E1334" t="s">
        <v>76</v>
      </c>
      <c r="F1334" t="s">
        <v>77</v>
      </c>
      <c r="G1334" t="s">
        <v>41</v>
      </c>
      <c r="H1334" t="s">
        <v>66</v>
      </c>
      <c r="I1334" t="str">
        <f>LEFT(H1334,FIND(" (",H1334)-1)</f>
        <v>Senior</v>
      </c>
      <c r="J1334" t="str">
        <f>MID(H1334,FIND("(",H1334)+1,FIND(")",H1334)-FIND("(",H1334)-1)</f>
        <v>5-8 yrs</v>
      </c>
      <c r="L1334">
        <v>144237</v>
      </c>
      <c r="M1334" t="s">
        <v>2791</v>
      </c>
      <c r="N1334" t="s">
        <v>186</v>
      </c>
      <c r="O1334" t="s">
        <v>22</v>
      </c>
      <c r="P1334" s="1">
        <v>45475</v>
      </c>
      <c r="Q1334">
        <v>1695</v>
      </c>
      <c r="R1334">
        <v>1782</v>
      </c>
      <c r="S1334" t="s">
        <v>23</v>
      </c>
      <c r="T1334">
        <v>4</v>
      </c>
      <c r="U1334" t="s">
        <v>58</v>
      </c>
      <c r="V1334" t="s">
        <v>24</v>
      </c>
      <c r="W1334" t="s">
        <v>34</v>
      </c>
    </row>
    <row r="1335" spans="1:23" x14ac:dyDescent="0.3">
      <c r="A1335" t="s">
        <v>2792</v>
      </c>
      <c r="B1335" t="s">
        <v>131</v>
      </c>
      <c r="C1335" t="s">
        <v>54</v>
      </c>
      <c r="D1335" t="s">
        <v>174</v>
      </c>
      <c r="E1335" t="s">
        <v>64</v>
      </c>
      <c r="F1335" t="s">
        <v>65</v>
      </c>
      <c r="G1335" t="s">
        <v>55</v>
      </c>
      <c r="H1335" t="s">
        <v>66</v>
      </c>
      <c r="I1335" t="str">
        <f>LEFT(H1335,FIND(" (",H1335)-1)</f>
        <v>Senior</v>
      </c>
      <c r="J1335" t="str">
        <f>MID(H1335,FIND("(",H1335)+1,FIND(")",H1335)-FIND("(",H1335)-1)</f>
        <v>5-8 yrs</v>
      </c>
      <c r="L1335">
        <v>190249</v>
      </c>
      <c r="M1335" t="s">
        <v>2793</v>
      </c>
      <c r="N1335" t="s">
        <v>43</v>
      </c>
      <c r="O1335" t="s">
        <v>22</v>
      </c>
      <c r="P1335" s="1">
        <v>45386</v>
      </c>
      <c r="Q1335">
        <v>1867</v>
      </c>
      <c r="R1335">
        <v>3589</v>
      </c>
      <c r="S1335" t="s">
        <v>34</v>
      </c>
      <c r="T1335">
        <v>4</v>
      </c>
      <c r="U1335" t="s">
        <v>5123</v>
      </c>
      <c r="V1335" t="s">
        <v>24</v>
      </c>
      <c r="W1335" t="s">
        <v>34</v>
      </c>
    </row>
    <row r="1336" spans="1:23" x14ac:dyDescent="0.3">
      <c r="A1336" t="s">
        <v>2794</v>
      </c>
      <c r="B1336" t="s">
        <v>36</v>
      </c>
      <c r="C1336" t="s">
        <v>62</v>
      </c>
      <c r="D1336" t="s">
        <v>63</v>
      </c>
      <c r="E1336" t="s">
        <v>29</v>
      </c>
      <c r="F1336" t="s">
        <v>30</v>
      </c>
      <c r="G1336" t="s">
        <v>18</v>
      </c>
      <c r="H1336" t="s">
        <v>19</v>
      </c>
      <c r="I1336" t="str">
        <f>LEFT(H1336,FIND(" (",H1336)-1)</f>
        <v>Entry</v>
      </c>
      <c r="J1336" t="str">
        <f>MID(H1336,FIND("(",H1336)+1,FIND(")",H1336)-FIND("(",H1336)-1)</f>
        <v>0-2 yrs</v>
      </c>
      <c r="L1336">
        <v>71873</v>
      </c>
      <c r="M1336" t="s">
        <v>2795</v>
      </c>
      <c r="N1336" t="s">
        <v>33</v>
      </c>
      <c r="O1336" t="s">
        <v>44</v>
      </c>
      <c r="P1336" s="1">
        <v>45711</v>
      </c>
      <c r="Q1336">
        <v>720</v>
      </c>
      <c r="R1336">
        <v>3601</v>
      </c>
      <c r="S1336" t="s">
        <v>34</v>
      </c>
      <c r="T1336">
        <v>0</v>
      </c>
      <c r="U1336" t="s">
        <v>58</v>
      </c>
      <c r="V1336" t="s">
        <v>24</v>
      </c>
      <c r="W1336" t="s">
        <v>23</v>
      </c>
    </row>
    <row r="1337" spans="1:23" x14ac:dyDescent="0.3">
      <c r="A1337" t="s">
        <v>2796</v>
      </c>
      <c r="B1337" t="s">
        <v>36</v>
      </c>
      <c r="C1337" t="s">
        <v>101</v>
      </c>
      <c r="D1337" t="s">
        <v>174</v>
      </c>
      <c r="E1337" t="s">
        <v>159</v>
      </c>
      <c r="F1337" t="s">
        <v>160</v>
      </c>
      <c r="G1337" t="s">
        <v>18</v>
      </c>
      <c r="H1337" t="s">
        <v>19</v>
      </c>
      <c r="I1337" t="str">
        <f>LEFT(H1337,FIND(" (",H1337)-1)</f>
        <v>Entry</v>
      </c>
      <c r="J1337" t="str">
        <f>MID(H1337,FIND("(",H1337)+1,FIND(")",H1337)-FIND("(",H1337)-1)</f>
        <v>0-2 yrs</v>
      </c>
      <c r="L1337">
        <v>65752</v>
      </c>
      <c r="M1337" t="s">
        <v>2797</v>
      </c>
      <c r="N1337" t="s">
        <v>149</v>
      </c>
      <c r="O1337" t="s">
        <v>44</v>
      </c>
      <c r="P1337" s="1">
        <v>45364</v>
      </c>
      <c r="Q1337">
        <v>960</v>
      </c>
      <c r="R1337">
        <v>583</v>
      </c>
      <c r="S1337" t="s">
        <v>34</v>
      </c>
      <c r="T1337">
        <v>0</v>
      </c>
      <c r="U1337" t="s">
        <v>83</v>
      </c>
      <c r="V1337" t="s">
        <v>24</v>
      </c>
      <c r="W1337" t="s">
        <v>34</v>
      </c>
    </row>
    <row r="1338" spans="1:23" x14ac:dyDescent="0.3">
      <c r="A1338" t="s">
        <v>2798</v>
      </c>
      <c r="B1338" t="s">
        <v>61</v>
      </c>
      <c r="C1338" t="s">
        <v>37</v>
      </c>
      <c r="D1338" t="s">
        <v>111</v>
      </c>
      <c r="E1338" t="s">
        <v>5140</v>
      </c>
      <c r="F1338" t="s">
        <v>5133</v>
      </c>
      <c r="G1338" t="s">
        <v>41</v>
      </c>
      <c r="H1338" t="s">
        <v>66</v>
      </c>
      <c r="I1338" t="str">
        <f>LEFT(H1338,FIND(" (",H1338)-1)</f>
        <v>Senior</v>
      </c>
      <c r="J1338" t="str">
        <f>MID(H1338,FIND("(",H1338)+1,FIND(")",H1338)-FIND("(",H1338)-1)</f>
        <v>5-8 yrs</v>
      </c>
      <c r="L1338">
        <v>133438</v>
      </c>
      <c r="M1338" t="s">
        <v>2799</v>
      </c>
      <c r="N1338" t="s">
        <v>33</v>
      </c>
      <c r="O1338" t="s">
        <v>22</v>
      </c>
      <c r="P1338" s="1">
        <v>45533</v>
      </c>
      <c r="Q1338">
        <v>305</v>
      </c>
      <c r="R1338">
        <v>1127</v>
      </c>
      <c r="S1338" t="s">
        <v>34</v>
      </c>
      <c r="T1338">
        <v>4</v>
      </c>
      <c r="U1338" t="s">
        <v>83</v>
      </c>
      <c r="V1338" t="s">
        <v>24</v>
      </c>
      <c r="W1338" t="s">
        <v>23</v>
      </c>
    </row>
    <row r="1339" spans="1:23" x14ac:dyDescent="0.3">
      <c r="A1339" t="s">
        <v>2800</v>
      </c>
      <c r="B1339" t="s">
        <v>13</v>
      </c>
      <c r="C1339" t="s">
        <v>204</v>
      </c>
      <c r="D1339" t="s">
        <v>174</v>
      </c>
      <c r="E1339" t="s">
        <v>5141</v>
      </c>
      <c r="F1339" t="s">
        <v>5133</v>
      </c>
      <c r="G1339" t="s">
        <v>55</v>
      </c>
      <c r="H1339" t="s">
        <v>56</v>
      </c>
      <c r="I1339" t="str">
        <f>LEFT(H1339,FIND(" (",H1339)-1)</f>
        <v>Mid</v>
      </c>
      <c r="J1339" t="str">
        <f>MID(H1339,FIND("(",H1339)+1,FIND(")",H1339)-FIND("(",H1339)-1)</f>
        <v>2-5 yrs</v>
      </c>
      <c r="L1339">
        <v>104011</v>
      </c>
      <c r="M1339" t="s">
        <v>2801</v>
      </c>
      <c r="N1339" t="s">
        <v>43</v>
      </c>
      <c r="O1339" t="s">
        <v>79</v>
      </c>
      <c r="P1339" s="1">
        <v>45344</v>
      </c>
      <c r="Q1339">
        <v>2114</v>
      </c>
      <c r="R1339">
        <v>3809</v>
      </c>
      <c r="S1339" t="s">
        <v>34</v>
      </c>
      <c r="T1339">
        <v>2</v>
      </c>
      <c r="U1339" t="s">
        <v>83</v>
      </c>
      <c r="V1339" t="s">
        <v>24</v>
      </c>
      <c r="W1339" t="s">
        <v>23</v>
      </c>
    </row>
    <row r="1340" spans="1:23" x14ac:dyDescent="0.3">
      <c r="A1340" t="s">
        <v>2802</v>
      </c>
      <c r="B1340" t="s">
        <v>151</v>
      </c>
      <c r="C1340" t="s">
        <v>124</v>
      </c>
      <c r="D1340" t="s">
        <v>125</v>
      </c>
      <c r="E1340" t="s">
        <v>230</v>
      </c>
      <c r="F1340" t="s">
        <v>231</v>
      </c>
      <c r="G1340" t="s">
        <v>18</v>
      </c>
      <c r="H1340" t="s">
        <v>31</v>
      </c>
      <c r="I1340" t="str">
        <f>LEFT(H1340,FIND(" (",H1340)-1)</f>
        <v>Staff/Principal</v>
      </c>
      <c r="J1340" t="str">
        <f>MID(H1340,FIND("(",H1340)+1,FIND(")",H1340)-FIND("(",H1340)-1)</f>
        <v>8+ yrs</v>
      </c>
      <c r="L1340">
        <v>186025</v>
      </c>
      <c r="M1340" t="s">
        <v>2803</v>
      </c>
      <c r="N1340" t="s">
        <v>245</v>
      </c>
      <c r="O1340" t="s">
        <v>79</v>
      </c>
      <c r="P1340" s="1">
        <v>45650</v>
      </c>
      <c r="Q1340">
        <v>370</v>
      </c>
      <c r="R1340">
        <v>3497</v>
      </c>
      <c r="S1340" t="s">
        <v>34</v>
      </c>
      <c r="T1340">
        <v>6</v>
      </c>
      <c r="U1340" t="s">
        <v>45</v>
      </c>
      <c r="V1340" t="s">
        <v>24</v>
      </c>
      <c r="W1340" t="s">
        <v>34</v>
      </c>
    </row>
    <row r="1341" spans="1:23" x14ac:dyDescent="0.3">
      <c r="A1341" t="s">
        <v>2804</v>
      </c>
      <c r="B1341" t="s">
        <v>236</v>
      </c>
      <c r="C1341" t="s">
        <v>173</v>
      </c>
      <c r="D1341" t="s">
        <v>28</v>
      </c>
      <c r="E1341" t="s">
        <v>230</v>
      </c>
      <c r="F1341" t="s">
        <v>231</v>
      </c>
      <c r="G1341" t="s">
        <v>18</v>
      </c>
      <c r="H1341" t="s">
        <v>56</v>
      </c>
      <c r="I1341" t="str">
        <f>LEFT(H1341,FIND(" (",H1341)-1)</f>
        <v>Mid</v>
      </c>
      <c r="J1341" t="str">
        <f>MID(H1341,FIND("(",H1341)+1,FIND(")",H1341)-FIND("(",H1341)-1)</f>
        <v>2-5 yrs</v>
      </c>
      <c r="L1341">
        <v>113374</v>
      </c>
      <c r="M1341" t="s">
        <v>2805</v>
      </c>
      <c r="N1341" t="s">
        <v>33</v>
      </c>
      <c r="O1341" t="s">
        <v>51</v>
      </c>
      <c r="P1341" s="1">
        <v>45462</v>
      </c>
      <c r="Q1341">
        <v>1979</v>
      </c>
      <c r="R1341">
        <v>3286</v>
      </c>
      <c r="S1341" t="s">
        <v>23</v>
      </c>
      <c r="T1341">
        <v>2</v>
      </c>
      <c r="U1341" t="s">
        <v>52</v>
      </c>
      <c r="V1341" t="s">
        <v>24</v>
      </c>
      <c r="W1341" t="s">
        <v>34</v>
      </c>
    </row>
    <row r="1342" spans="1:23" x14ac:dyDescent="0.3">
      <c r="A1342" t="s">
        <v>2806</v>
      </c>
      <c r="B1342" t="s">
        <v>131</v>
      </c>
      <c r="C1342" t="s">
        <v>92</v>
      </c>
      <c r="D1342" t="s">
        <v>63</v>
      </c>
      <c r="E1342" t="s">
        <v>5140</v>
      </c>
      <c r="F1342" t="s">
        <v>5133</v>
      </c>
      <c r="G1342" t="s">
        <v>18</v>
      </c>
      <c r="H1342" t="s">
        <v>56</v>
      </c>
      <c r="I1342" t="str">
        <f>LEFT(H1342,FIND(" (",H1342)-1)</f>
        <v>Mid</v>
      </c>
      <c r="J1342" t="str">
        <f>MID(H1342,FIND("(",H1342)+1,FIND(")",H1342)-FIND("(",H1342)-1)</f>
        <v>2-5 yrs</v>
      </c>
      <c r="L1342">
        <v>113179</v>
      </c>
      <c r="M1342" t="s">
        <v>2807</v>
      </c>
      <c r="N1342" t="s">
        <v>33</v>
      </c>
      <c r="O1342" t="s">
        <v>51</v>
      </c>
      <c r="P1342" s="1">
        <v>45679</v>
      </c>
      <c r="Q1342">
        <v>772</v>
      </c>
      <c r="R1342">
        <v>2744</v>
      </c>
      <c r="S1342" t="s">
        <v>34</v>
      </c>
      <c r="T1342">
        <v>2</v>
      </c>
      <c r="U1342" t="s">
        <v>52</v>
      </c>
      <c r="V1342" t="s">
        <v>59</v>
      </c>
      <c r="W1342" t="s">
        <v>23</v>
      </c>
    </row>
    <row r="1343" spans="1:23" x14ac:dyDescent="0.3">
      <c r="A1343" t="s">
        <v>2808</v>
      </c>
      <c r="B1343" t="s">
        <v>172</v>
      </c>
      <c r="C1343" t="s">
        <v>158</v>
      </c>
      <c r="D1343" t="s">
        <v>174</v>
      </c>
      <c r="E1343" t="s">
        <v>29</v>
      </c>
      <c r="F1343" t="s">
        <v>30</v>
      </c>
      <c r="G1343" t="s">
        <v>55</v>
      </c>
      <c r="H1343" t="s">
        <v>66</v>
      </c>
      <c r="I1343" t="str">
        <f>LEFT(H1343,FIND(" (",H1343)-1)</f>
        <v>Senior</v>
      </c>
      <c r="J1343" t="str">
        <f>MID(H1343,FIND("(",H1343)+1,FIND(")",H1343)-FIND("(",H1343)-1)</f>
        <v>5-8 yrs</v>
      </c>
      <c r="L1343">
        <v>150082</v>
      </c>
      <c r="M1343" t="s">
        <v>2809</v>
      </c>
      <c r="N1343" t="s">
        <v>33</v>
      </c>
      <c r="O1343" t="s">
        <v>51</v>
      </c>
      <c r="P1343" s="1">
        <v>45498</v>
      </c>
      <c r="Q1343">
        <v>1553</v>
      </c>
      <c r="R1343">
        <v>2868</v>
      </c>
      <c r="S1343" t="s">
        <v>23</v>
      </c>
      <c r="T1343">
        <v>4</v>
      </c>
      <c r="U1343" t="s">
        <v>83</v>
      </c>
      <c r="V1343" t="s">
        <v>59</v>
      </c>
      <c r="W1343" t="s">
        <v>34</v>
      </c>
    </row>
    <row r="1344" spans="1:23" x14ac:dyDescent="0.3">
      <c r="A1344" t="s">
        <v>2810</v>
      </c>
      <c r="B1344" t="s">
        <v>151</v>
      </c>
      <c r="C1344" t="s">
        <v>62</v>
      </c>
      <c r="D1344" t="s">
        <v>111</v>
      </c>
      <c r="E1344" t="s">
        <v>216</v>
      </c>
      <c r="F1344" t="s">
        <v>217</v>
      </c>
      <c r="G1344" t="s">
        <v>55</v>
      </c>
      <c r="H1344" t="s">
        <v>31</v>
      </c>
      <c r="I1344" t="str">
        <f>LEFT(H1344,FIND(" (",H1344)-1)</f>
        <v>Staff/Principal</v>
      </c>
      <c r="J1344" t="str">
        <f>MID(H1344,FIND("(",H1344)+1,FIND(")",H1344)-FIND("(",H1344)-1)</f>
        <v>8+ yrs</v>
      </c>
      <c r="L1344">
        <v>215729</v>
      </c>
      <c r="M1344" t="s">
        <v>2811</v>
      </c>
      <c r="N1344" t="s">
        <v>33</v>
      </c>
      <c r="O1344" t="s">
        <v>44</v>
      </c>
      <c r="P1344" s="1">
        <v>45582</v>
      </c>
      <c r="Q1344">
        <v>2057</v>
      </c>
      <c r="R1344">
        <v>70</v>
      </c>
      <c r="S1344" t="s">
        <v>23</v>
      </c>
      <c r="T1344">
        <v>6</v>
      </c>
      <c r="U1344" t="s">
        <v>5123</v>
      </c>
      <c r="V1344" t="s">
        <v>24</v>
      </c>
      <c r="W1344" t="s">
        <v>34</v>
      </c>
    </row>
    <row r="1345" spans="1:23" x14ac:dyDescent="0.3">
      <c r="A1345" t="s">
        <v>2812</v>
      </c>
      <c r="B1345" t="s">
        <v>91</v>
      </c>
      <c r="C1345" t="s">
        <v>239</v>
      </c>
      <c r="D1345" t="s">
        <v>38</v>
      </c>
      <c r="E1345" t="s">
        <v>39</v>
      </c>
      <c r="F1345" t="s">
        <v>40</v>
      </c>
      <c r="G1345" t="s">
        <v>41</v>
      </c>
      <c r="H1345" t="s">
        <v>56</v>
      </c>
      <c r="I1345" t="str">
        <f>LEFT(H1345,FIND(" (",H1345)-1)</f>
        <v>Mid</v>
      </c>
      <c r="J1345" t="str">
        <f>MID(H1345,FIND("(",H1345)+1,FIND(")",H1345)-FIND("(",H1345)-1)</f>
        <v>2-5 yrs</v>
      </c>
      <c r="L1345">
        <v>133574</v>
      </c>
      <c r="M1345" t="s">
        <v>2813</v>
      </c>
      <c r="N1345" t="s">
        <v>149</v>
      </c>
      <c r="O1345" t="s">
        <v>51</v>
      </c>
      <c r="P1345" s="1">
        <v>45482</v>
      </c>
      <c r="Q1345">
        <v>583</v>
      </c>
      <c r="R1345">
        <v>1234</v>
      </c>
      <c r="S1345" t="s">
        <v>23</v>
      </c>
      <c r="T1345">
        <v>2</v>
      </c>
      <c r="U1345" t="s">
        <v>83</v>
      </c>
      <c r="V1345" t="s">
        <v>24</v>
      </c>
      <c r="W1345" t="s">
        <v>34</v>
      </c>
    </row>
    <row r="1346" spans="1:23" x14ac:dyDescent="0.3">
      <c r="A1346" t="s">
        <v>2814</v>
      </c>
      <c r="B1346" t="s">
        <v>151</v>
      </c>
      <c r="C1346" t="s">
        <v>128</v>
      </c>
      <c r="D1346" t="s">
        <v>125</v>
      </c>
      <c r="E1346" t="s">
        <v>87</v>
      </c>
      <c r="F1346" t="s">
        <v>87</v>
      </c>
      <c r="G1346" t="s">
        <v>41</v>
      </c>
      <c r="H1346" t="s">
        <v>66</v>
      </c>
      <c r="I1346" t="str">
        <f>LEFT(H1346,FIND(" (",H1346)-1)</f>
        <v>Senior</v>
      </c>
      <c r="J1346" t="str">
        <f>MID(H1346,FIND("(",H1346)+1,FIND(")",H1346)-FIND("(",H1346)-1)</f>
        <v>5-8 yrs</v>
      </c>
      <c r="L1346">
        <v>175637</v>
      </c>
      <c r="M1346" t="s">
        <v>2815</v>
      </c>
      <c r="N1346" t="s">
        <v>89</v>
      </c>
      <c r="O1346" t="s">
        <v>51</v>
      </c>
      <c r="P1346" s="1">
        <v>45496</v>
      </c>
      <c r="Q1346">
        <v>337</v>
      </c>
      <c r="R1346">
        <v>2187</v>
      </c>
      <c r="S1346" t="s">
        <v>23</v>
      </c>
      <c r="T1346">
        <v>4</v>
      </c>
      <c r="U1346" t="s">
        <v>52</v>
      </c>
      <c r="V1346" t="s">
        <v>24</v>
      </c>
      <c r="W1346" t="s">
        <v>34</v>
      </c>
    </row>
    <row r="1347" spans="1:23" x14ac:dyDescent="0.3">
      <c r="A1347" t="s">
        <v>2816</v>
      </c>
      <c r="B1347" t="s">
        <v>36</v>
      </c>
      <c r="C1347" t="s">
        <v>179</v>
      </c>
      <c r="D1347" t="s">
        <v>49</v>
      </c>
      <c r="E1347" t="s">
        <v>87</v>
      </c>
      <c r="F1347" t="s">
        <v>87</v>
      </c>
      <c r="G1347" t="s">
        <v>18</v>
      </c>
      <c r="H1347" t="s">
        <v>56</v>
      </c>
      <c r="I1347" t="str">
        <f>LEFT(H1347,FIND(" (",H1347)-1)</f>
        <v>Mid</v>
      </c>
      <c r="J1347" t="str">
        <f>MID(H1347,FIND("(",H1347)+1,FIND(")",H1347)-FIND("(",H1347)-1)</f>
        <v>2-5 yrs</v>
      </c>
      <c r="L1347">
        <v>80599</v>
      </c>
      <c r="M1347" t="s">
        <v>2817</v>
      </c>
      <c r="N1347" t="s">
        <v>33</v>
      </c>
      <c r="O1347" t="s">
        <v>44</v>
      </c>
      <c r="P1347" s="1">
        <v>45294</v>
      </c>
      <c r="Q1347">
        <v>1700</v>
      </c>
      <c r="R1347">
        <v>1020</v>
      </c>
      <c r="S1347" t="s">
        <v>99</v>
      </c>
      <c r="T1347">
        <v>2</v>
      </c>
      <c r="U1347" t="s">
        <v>58</v>
      </c>
      <c r="V1347" t="s">
        <v>24</v>
      </c>
      <c r="W1347" t="s">
        <v>34</v>
      </c>
    </row>
    <row r="1348" spans="1:23" x14ac:dyDescent="0.3">
      <c r="A1348" t="s">
        <v>2818</v>
      </c>
      <c r="B1348" t="s">
        <v>236</v>
      </c>
      <c r="C1348" t="s">
        <v>124</v>
      </c>
      <c r="D1348" t="s">
        <v>125</v>
      </c>
      <c r="E1348" t="s">
        <v>39</v>
      </c>
      <c r="F1348" t="s">
        <v>40</v>
      </c>
      <c r="G1348" t="s">
        <v>18</v>
      </c>
      <c r="H1348" t="s">
        <v>66</v>
      </c>
      <c r="I1348" t="str">
        <f>LEFT(H1348,FIND(" (",H1348)-1)</f>
        <v>Senior</v>
      </c>
      <c r="J1348" t="str">
        <f>MID(H1348,FIND("(",H1348)+1,FIND(")",H1348)-FIND("(",H1348)-1)</f>
        <v>5-8 yrs</v>
      </c>
      <c r="L1348">
        <v>81044</v>
      </c>
      <c r="M1348" t="s">
        <v>2819</v>
      </c>
      <c r="N1348" t="s">
        <v>141</v>
      </c>
      <c r="O1348" t="s">
        <v>22</v>
      </c>
      <c r="P1348" s="1">
        <v>45591</v>
      </c>
      <c r="Q1348">
        <v>1811</v>
      </c>
      <c r="R1348">
        <v>1862</v>
      </c>
      <c r="S1348" t="s">
        <v>34</v>
      </c>
      <c r="T1348">
        <v>4</v>
      </c>
      <c r="U1348" t="s">
        <v>52</v>
      </c>
      <c r="V1348" t="s">
        <v>24</v>
      </c>
      <c r="W1348" t="s">
        <v>34</v>
      </c>
    </row>
    <row r="1349" spans="1:23" x14ac:dyDescent="0.3">
      <c r="A1349" t="s">
        <v>2820</v>
      </c>
      <c r="B1349" t="s">
        <v>236</v>
      </c>
      <c r="C1349" t="s">
        <v>209</v>
      </c>
      <c r="D1349" t="s">
        <v>75</v>
      </c>
      <c r="E1349" t="s">
        <v>5141</v>
      </c>
      <c r="F1349" t="s">
        <v>5133</v>
      </c>
      <c r="G1349" t="s">
        <v>18</v>
      </c>
      <c r="H1349" t="s">
        <v>66</v>
      </c>
      <c r="I1349" t="str">
        <f>LEFT(H1349,FIND(" (",H1349)-1)</f>
        <v>Senior</v>
      </c>
      <c r="J1349" t="str">
        <f>MID(H1349,FIND("(",H1349)+1,FIND(")",H1349)-FIND("(",H1349)-1)</f>
        <v>5-8 yrs</v>
      </c>
      <c r="L1349">
        <v>175226</v>
      </c>
      <c r="M1349" t="s">
        <v>2821</v>
      </c>
      <c r="N1349" t="s">
        <v>33</v>
      </c>
      <c r="O1349" t="s">
        <v>51</v>
      </c>
      <c r="P1349" s="1">
        <v>45405</v>
      </c>
      <c r="Q1349">
        <v>488</v>
      </c>
      <c r="R1349">
        <v>1154</v>
      </c>
      <c r="S1349" t="s">
        <v>34</v>
      </c>
      <c r="T1349">
        <v>4</v>
      </c>
      <c r="U1349" t="s">
        <v>52</v>
      </c>
      <c r="V1349" t="s">
        <v>24</v>
      </c>
      <c r="W1349" t="s">
        <v>34</v>
      </c>
    </row>
    <row r="1350" spans="1:23" x14ac:dyDescent="0.3">
      <c r="A1350" t="s">
        <v>2822</v>
      </c>
      <c r="B1350" t="s">
        <v>85</v>
      </c>
      <c r="C1350" t="s">
        <v>146</v>
      </c>
      <c r="D1350" t="s">
        <v>75</v>
      </c>
      <c r="E1350" t="s">
        <v>39</v>
      </c>
      <c r="F1350" t="s">
        <v>40</v>
      </c>
      <c r="G1350" t="s">
        <v>18</v>
      </c>
      <c r="H1350" t="s">
        <v>19</v>
      </c>
      <c r="I1350" t="str">
        <f>LEFT(H1350,FIND(" (",H1350)-1)</f>
        <v>Entry</v>
      </c>
      <c r="J1350" t="str">
        <f>MID(H1350,FIND("(",H1350)+1,FIND(")",H1350)-FIND("(",H1350)-1)</f>
        <v>0-2 yrs</v>
      </c>
      <c r="L1350">
        <v>52777</v>
      </c>
      <c r="M1350" t="s">
        <v>2823</v>
      </c>
      <c r="N1350" t="s">
        <v>141</v>
      </c>
      <c r="O1350" t="s">
        <v>79</v>
      </c>
      <c r="P1350" s="1">
        <v>45540</v>
      </c>
      <c r="Q1350">
        <v>1024</v>
      </c>
      <c r="R1350">
        <v>3717</v>
      </c>
      <c r="S1350" t="s">
        <v>34</v>
      </c>
      <c r="T1350">
        <v>0</v>
      </c>
      <c r="U1350" t="s">
        <v>52</v>
      </c>
      <c r="V1350" t="s">
        <v>24</v>
      </c>
      <c r="W1350" t="s">
        <v>23</v>
      </c>
    </row>
    <row r="1351" spans="1:23" x14ac:dyDescent="0.3">
      <c r="A1351" t="s">
        <v>2824</v>
      </c>
      <c r="B1351" t="s">
        <v>137</v>
      </c>
      <c r="C1351" t="s">
        <v>71</v>
      </c>
      <c r="D1351" t="s">
        <v>15</v>
      </c>
      <c r="E1351" t="s">
        <v>159</v>
      </c>
      <c r="F1351" t="s">
        <v>160</v>
      </c>
      <c r="G1351" t="s">
        <v>55</v>
      </c>
      <c r="H1351" t="s">
        <v>56</v>
      </c>
      <c r="I1351" t="str">
        <f>LEFT(H1351,FIND(" (",H1351)-1)</f>
        <v>Mid</v>
      </c>
      <c r="J1351" t="str">
        <f>MID(H1351,FIND("(",H1351)+1,FIND(")",H1351)-FIND("(",H1351)-1)</f>
        <v>2-5 yrs</v>
      </c>
      <c r="L1351">
        <v>105549</v>
      </c>
      <c r="M1351" t="s">
        <v>2825</v>
      </c>
      <c r="N1351" t="s">
        <v>33</v>
      </c>
      <c r="O1351" t="s">
        <v>79</v>
      </c>
      <c r="P1351" s="1">
        <v>45719</v>
      </c>
      <c r="Q1351">
        <v>796</v>
      </c>
      <c r="R1351">
        <v>3446</v>
      </c>
      <c r="S1351" t="s">
        <v>34</v>
      </c>
      <c r="T1351">
        <v>2</v>
      </c>
      <c r="U1351" t="s">
        <v>52</v>
      </c>
      <c r="V1351" t="s">
        <v>24</v>
      </c>
      <c r="W1351" t="s">
        <v>34</v>
      </c>
    </row>
    <row r="1352" spans="1:23" x14ac:dyDescent="0.3">
      <c r="A1352" t="s">
        <v>2826</v>
      </c>
      <c r="B1352" t="s">
        <v>225</v>
      </c>
      <c r="C1352" t="s">
        <v>97</v>
      </c>
      <c r="D1352" t="s">
        <v>38</v>
      </c>
      <c r="E1352" t="s">
        <v>102</v>
      </c>
      <c r="F1352" t="s">
        <v>103</v>
      </c>
      <c r="G1352" t="s">
        <v>18</v>
      </c>
      <c r="H1352" t="s">
        <v>19</v>
      </c>
      <c r="I1352" t="str">
        <f>LEFT(H1352,FIND(" (",H1352)-1)</f>
        <v>Entry</v>
      </c>
      <c r="J1352" t="str">
        <f>MID(H1352,FIND("(",H1352)+1,FIND(")",H1352)-FIND("(",H1352)-1)</f>
        <v>0-2 yrs</v>
      </c>
      <c r="L1352">
        <v>55256</v>
      </c>
      <c r="M1352" t="s">
        <v>2827</v>
      </c>
      <c r="N1352" t="s">
        <v>245</v>
      </c>
      <c r="O1352" t="s">
        <v>22</v>
      </c>
      <c r="P1352" s="1">
        <v>45506</v>
      </c>
      <c r="Q1352">
        <v>1224</v>
      </c>
      <c r="R1352">
        <v>2014</v>
      </c>
      <c r="S1352" t="s">
        <v>23</v>
      </c>
      <c r="T1352">
        <v>0</v>
      </c>
      <c r="U1352" t="s">
        <v>5123</v>
      </c>
      <c r="V1352" t="s">
        <v>24</v>
      </c>
      <c r="W1352" t="s">
        <v>34</v>
      </c>
    </row>
    <row r="1353" spans="1:23" x14ac:dyDescent="0.3">
      <c r="A1353" t="s">
        <v>2828</v>
      </c>
      <c r="B1353" t="s">
        <v>151</v>
      </c>
      <c r="C1353" t="s">
        <v>54</v>
      </c>
      <c r="D1353" t="s">
        <v>28</v>
      </c>
      <c r="E1353" t="s">
        <v>200</v>
      </c>
      <c r="F1353" t="s">
        <v>201</v>
      </c>
      <c r="G1353" t="s">
        <v>41</v>
      </c>
      <c r="H1353" t="s">
        <v>56</v>
      </c>
      <c r="I1353" t="str">
        <f>LEFT(H1353,FIND(" (",H1353)-1)</f>
        <v>Mid</v>
      </c>
      <c r="J1353" t="str">
        <f>MID(H1353,FIND("(",H1353)+1,FIND(")",H1353)-FIND("(",H1353)-1)</f>
        <v>2-5 yrs</v>
      </c>
      <c r="L1353">
        <v>74320</v>
      </c>
      <c r="M1353" t="s">
        <v>2829</v>
      </c>
      <c r="N1353" t="s">
        <v>33</v>
      </c>
      <c r="O1353" t="s">
        <v>44</v>
      </c>
      <c r="P1353" s="1">
        <v>45512</v>
      </c>
      <c r="Q1353">
        <v>562</v>
      </c>
      <c r="R1353">
        <v>2115</v>
      </c>
      <c r="S1353" t="s">
        <v>23</v>
      </c>
      <c r="T1353">
        <v>2</v>
      </c>
      <c r="U1353" t="s">
        <v>45</v>
      </c>
      <c r="V1353" t="s">
        <v>46</v>
      </c>
      <c r="W1353" t="s">
        <v>34</v>
      </c>
    </row>
    <row r="1354" spans="1:23" x14ac:dyDescent="0.3">
      <c r="A1354" t="s">
        <v>2830</v>
      </c>
      <c r="B1354" t="s">
        <v>172</v>
      </c>
      <c r="C1354" t="s">
        <v>97</v>
      </c>
      <c r="D1354" t="s">
        <v>63</v>
      </c>
      <c r="E1354" t="s">
        <v>29</v>
      </c>
      <c r="F1354" t="s">
        <v>30</v>
      </c>
      <c r="G1354" t="s">
        <v>18</v>
      </c>
      <c r="H1354" t="s">
        <v>56</v>
      </c>
      <c r="I1354" t="str">
        <f>LEFT(H1354,FIND(" (",H1354)-1)</f>
        <v>Mid</v>
      </c>
      <c r="J1354" t="str">
        <f>MID(H1354,FIND("(",H1354)+1,FIND(")",H1354)-FIND("(",H1354)-1)</f>
        <v>2-5 yrs</v>
      </c>
      <c r="L1354">
        <v>120720</v>
      </c>
      <c r="M1354" t="s">
        <v>2831</v>
      </c>
      <c r="N1354" t="s">
        <v>141</v>
      </c>
      <c r="O1354" t="s">
        <v>51</v>
      </c>
      <c r="P1354" s="1">
        <v>45698</v>
      </c>
      <c r="Q1354">
        <v>2489</v>
      </c>
      <c r="R1354">
        <v>3157</v>
      </c>
      <c r="S1354" t="s">
        <v>34</v>
      </c>
      <c r="T1354">
        <v>2</v>
      </c>
      <c r="U1354" t="s">
        <v>45</v>
      </c>
      <c r="V1354" t="s">
        <v>24</v>
      </c>
      <c r="W1354" t="s">
        <v>34</v>
      </c>
    </row>
    <row r="1355" spans="1:23" x14ac:dyDescent="0.3">
      <c r="A1355" t="s">
        <v>2832</v>
      </c>
      <c r="B1355" t="s">
        <v>81</v>
      </c>
      <c r="C1355" t="s">
        <v>182</v>
      </c>
      <c r="D1355" t="s">
        <v>49</v>
      </c>
      <c r="E1355" t="s">
        <v>39</v>
      </c>
      <c r="F1355" t="s">
        <v>40</v>
      </c>
      <c r="G1355" t="s">
        <v>18</v>
      </c>
      <c r="H1355" t="s">
        <v>56</v>
      </c>
      <c r="I1355" t="str">
        <f>LEFT(H1355,FIND(" (",H1355)-1)</f>
        <v>Mid</v>
      </c>
      <c r="J1355" t="str">
        <f>MID(H1355,FIND("(",H1355)+1,FIND(")",H1355)-FIND("(",H1355)-1)</f>
        <v>2-5 yrs</v>
      </c>
      <c r="L1355">
        <v>125031</v>
      </c>
      <c r="M1355" t="s">
        <v>2833</v>
      </c>
      <c r="N1355" t="s">
        <v>21</v>
      </c>
      <c r="O1355" t="s">
        <v>79</v>
      </c>
      <c r="P1355" s="1">
        <v>45670</v>
      </c>
      <c r="Q1355">
        <v>2148</v>
      </c>
      <c r="R1355">
        <v>3999</v>
      </c>
      <c r="S1355" t="s">
        <v>23</v>
      </c>
      <c r="T1355">
        <v>2</v>
      </c>
      <c r="U1355" t="s">
        <v>58</v>
      </c>
      <c r="V1355" t="s">
        <v>59</v>
      </c>
      <c r="W1355" t="s">
        <v>34</v>
      </c>
    </row>
    <row r="1356" spans="1:23" x14ac:dyDescent="0.3">
      <c r="A1356" t="s">
        <v>2834</v>
      </c>
      <c r="B1356" t="s">
        <v>225</v>
      </c>
      <c r="C1356" t="s">
        <v>192</v>
      </c>
      <c r="D1356" t="s">
        <v>75</v>
      </c>
      <c r="E1356" t="s">
        <v>159</v>
      </c>
      <c r="F1356" t="s">
        <v>160</v>
      </c>
      <c r="G1356" t="s">
        <v>41</v>
      </c>
      <c r="H1356" t="s">
        <v>56</v>
      </c>
      <c r="I1356" t="str">
        <f>LEFT(H1356,FIND(" (",H1356)-1)</f>
        <v>Mid</v>
      </c>
      <c r="J1356" t="str">
        <f>MID(H1356,FIND("(",H1356)+1,FIND(")",H1356)-FIND("(",H1356)-1)</f>
        <v>2-5 yrs</v>
      </c>
      <c r="L1356">
        <v>98585</v>
      </c>
      <c r="M1356" t="s">
        <v>2835</v>
      </c>
      <c r="N1356" t="s">
        <v>43</v>
      </c>
      <c r="O1356" t="s">
        <v>22</v>
      </c>
      <c r="P1356" s="1">
        <v>45680</v>
      </c>
      <c r="Q1356">
        <v>603</v>
      </c>
      <c r="R1356">
        <v>3275</v>
      </c>
      <c r="S1356" t="s">
        <v>23</v>
      </c>
      <c r="T1356">
        <v>2</v>
      </c>
      <c r="U1356" t="s">
        <v>5123</v>
      </c>
      <c r="V1356" t="s">
        <v>24</v>
      </c>
      <c r="W1356" t="s">
        <v>34</v>
      </c>
    </row>
    <row r="1357" spans="1:23" x14ac:dyDescent="0.3">
      <c r="A1357" t="s">
        <v>2836</v>
      </c>
      <c r="B1357" t="s">
        <v>13</v>
      </c>
      <c r="C1357" t="s">
        <v>209</v>
      </c>
      <c r="D1357" t="s">
        <v>125</v>
      </c>
      <c r="E1357" t="s">
        <v>159</v>
      </c>
      <c r="F1357" t="s">
        <v>160</v>
      </c>
      <c r="G1357" t="s">
        <v>41</v>
      </c>
      <c r="H1357" t="s">
        <v>31</v>
      </c>
      <c r="I1357" t="str">
        <f>LEFT(H1357,FIND(" (",H1357)-1)</f>
        <v>Staff/Principal</v>
      </c>
      <c r="J1357" t="str">
        <f>MID(H1357,FIND("(",H1357)+1,FIND(")",H1357)-FIND("(",H1357)-1)</f>
        <v>8+ yrs</v>
      </c>
      <c r="L1357">
        <v>106722</v>
      </c>
      <c r="M1357" t="s">
        <v>2837</v>
      </c>
      <c r="N1357" t="s">
        <v>245</v>
      </c>
      <c r="O1357" t="s">
        <v>22</v>
      </c>
      <c r="P1357" s="1">
        <v>45640</v>
      </c>
      <c r="Q1357">
        <v>2291</v>
      </c>
      <c r="R1357">
        <v>514</v>
      </c>
      <c r="S1357" t="s">
        <v>23</v>
      </c>
      <c r="T1357">
        <v>6</v>
      </c>
      <c r="U1357" t="s">
        <v>83</v>
      </c>
      <c r="V1357" t="s">
        <v>24</v>
      </c>
      <c r="W1357" t="s">
        <v>23</v>
      </c>
    </row>
    <row r="1358" spans="1:23" x14ac:dyDescent="0.3">
      <c r="A1358" t="s">
        <v>2838</v>
      </c>
      <c r="B1358" t="s">
        <v>137</v>
      </c>
      <c r="C1358" t="s">
        <v>124</v>
      </c>
      <c r="D1358" t="s">
        <v>38</v>
      </c>
      <c r="E1358" t="s">
        <v>76</v>
      </c>
      <c r="F1358" t="s">
        <v>77</v>
      </c>
      <c r="G1358" t="s">
        <v>18</v>
      </c>
      <c r="H1358" t="s">
        <v>66</v>
      </c>
      <c r="I1358" t="str">
        <f>LEFT(H1358,FIND(" (",H1358)-1)</f>
        <v>Senior</v>
      </c>
      <c r="J1358" t="str">
        <f>MID(H1358,FIND("(",H1358)+1,FIND(")",H1358)-FIND("(",H1358)-1)</f>
        <v>5-8 yrs</v>
      </c>
      <c r="L1358">
        <v>135251</v>
      </c>
      <c r="M1358" t="s">
        <v>2839</v>
      </c>
      <c r="N1358" t="s">
        <v>186</v>
      </c>
      <c r="O1358" t="s">
        <v>51</v>
      </c>
      <c r="P1358" s="1">
        <v>45404</v>
      </c>
      <c r="Q1358">
        <v>1678</v>
      </c>
      <c r="R1358">
        <v>3175</v>
      </c>
      <c r="S1358" t="s">
        <v>99</v>
      </c>
      <c r="T1358">
        <v>4</v>
      </c>
      <c r="U1358" t="s">
        <v>83</v>
      </c>
      <c r="V1358" t="s">
        <v>59</v>
      </c>
      <c r="W1358" t="s">
        <v>23</v>
      </c>
    </row>
    <row r="1359" spans="1:23" x14ac:dyDescent="0.3">
      <c r="A1359" t="s">
        <v>2840</v>
      </c>
      <c r="B1359" t="s">
        <v>61</v>
      </c>
      <c r="C1359" t="s">
        <v>209</v>
      </c>
      <c r="D1359" t="s">
        <v>63</v>
      </c>
      <c r="E1359" t="s">
        <v>5136</v>
      </c>
      <c r="F1359" t="s">
        <v>5133</v>
      </c>
      <c r="G1359" t="s">
        <v>18</v>
      </c>
      <c r="H1359" t="s">
        <v>56</v>
      </c>
      <c r="I1359" t="str">
        <f>LEFT(H1359,FIND(" (",H1359)-1)</f>
        <v>Mid</v>
      </c>
      <c r="J1359" t="str">
        <f>MID(H1359,FIND("(",H1359)+1,FIND(")",H1359)-FIND("(",H1359)-1)</f>
        <v>2-5 yrs</v>
      </c>
      <c r="L1359">
        <v>117757</v>
      </c>
      <c r="M1359" t="s">
        <v>2841</v>
      </c>
      <c r="N1359" t="s">
        <v>245</v>
      </c>
      <c r="O1359" t="s">
        <v>44</v>
      </c>
      <c r="P1359" s="1">
        <v>45424</v>
      </c>
      <c r="Q1359">
        <v>2492</v>
      </c>
      <c r="R1359">
        <v>2932</v>
      </c>
      <c r="S1359" t="s">
        <v>23</v>
      </c>
      <c r="T1359">
        <v>2</v>
      </c>
      <c r="U1359" t="s">
        <v>58</v>
      </c>
      <c r="V1359" t="s">
        <v>24</v>
      </c>
      <c r="W1359" t="s">
        <v>34</v>
      </c>
    </row>
    <row r="1360" spans="1:23" x14ac:dyDescent="0.3">
      <c r="A1360" t="s">
        <v>2842</v>
      </c>
      <c r="B1360" t="s">
        <v>96</v>
      </c>
      <c r="C1360" t="s">
        <v>48</v>
      </c>
      <c r="D1360" t="s">
        <v>15</v>
      </c>
      <c r="E1360" t="s">
        <v>5132</v>
      </c>
      <c r="F1360" t="s">
        <v>5133</v>
      </c>
      <c r="G1360" t="s">
        <v>41</v>
      </c>
      <c r="H1360" t="s">
        <v>31</v>
      </c>
      <c r="I1360" t="str">
        <f>LEFT(H1360,FIND(" (",H1360)-1)</f>
        <v>Staff/Principal</v>
      </c>
      <c r="J1360" t="str">
        <f>MID(H1360,FIND("(",H1360)+1,FIND(")",H1360)-FIND("(",H1360)-1)</f>
        <v>8+ yrs</v>
      </c>
      <c r="L1360">
        <v>146759</v>
      </c>
      <c r="M1360" t="s">
        <v>2843</v>
      </c>
      <c r="N1360" t="s">
        <v>120</v>
      </c>
      <c r="O1360" t="s">
        <v>44</v>
      </c>
      <c r="P1360" s="1">
        <v>45743</v>
      </c>
      <c r="Q1360">
        <v>1746</v>
      </c>
      <c r="R1360">
        <v>680</v>
      </c>
      <c r="S1360" t="s">
        <v>23</v>
      </c>
      <c r="T1360">
        <v>6</v>
      </c>
      <c r="U1360" t="s">
        <v>58</v>
      </c>
      <c r="V1360" t="s">
        <v>24</v>
      </c>
      <c r="W1360" t="s">
        <v>34</v>
      </c>
    </row>
    <row r="1361" spans="1:23" x14ac:dyDescent="0.3">
      <c r="A1361" t="s">
        <v>2844</v>
      </c>
      <c r="B1361" t="s">
        <v>91</v>
      </c>
      <c r="C1361" t="s">
        <v>239</v>
      </c>
      <c r="D1361" t="s">
        <v>38</v>
      </c>
      <c r="E1361" t="s">
        <v>5136</v>
      </c>
      <c r="F1361" t="s">
        <v>5133</v>
      </c>
      <c r="G1361" t="s">
        <v>55</v>
      </c>
      <c r="H1361" t="s">
        <v>66</v>
      </c>
      <c r="I1361" t="str">
        <f>LEFT(H1361,FIND(" (",H1361)-1)</f>
        <v>Senior</v>
      </c>
      <c r="J1361" t="str">
        <f>MID(H1361,FIND("(",H1361)+1,FIND(")",H1361)-FIND("(",H1361)-1)</f>
        <v>5-8 yrs</v>
      </c>
      <c r="L1361">
        <v>154950</v>
      </c>
      <c r="M1361" t="s">
        <v>2845</v>
      </c>
      <c r="N1361" t="s">
        <v>33</v>
      </c>
      <c r="O1361" t="s">
        <v>51</v>
      </c>
      <c r="P1361" s="1">
        <v>45541</v>
      </c>
      <c r="Q1361">
        <v>1796</v>
      </c>
      <c r="R1361">
        <v>2765</v>
      </c>
      <c r="S1361" t="s">
        <v>23</v>
      </c>
      <c r="T1361">
        <v>4</v>
      </c>
      <c r="U1361" t="s">
        <v>58</v>
      </c>
      <c r="V1361" t="s">
        <v>24</v>
      </c>
      <c r="W1361" t="s">
        <v>23</v>
      </c>
    </row>
    <row r="1362" spans="1:23" x14ac:dyDescent="0.3">
      <c r="A1362" t="s">
        <v>2846</v>
      </c>
      <c r="B1362" t="s">
        <v>36</v>
      </c>
      <c r="C1362" t="s">
        <v>116</v>
      </c>
      <c r="D1362" t="s">
        <v>49</v>
      </c>
      <c r="E1362" t="s">
        <v>76</v>
      </c>
      <c r="F1362" t="s">
        <v>77</v>
      </c>
      <c r="G1362" t="s">
        <v>18</v>
      </c>
      <c r="H1362" t="s">
        <v>31</v>
      </c>
      <c r="I1362" t="str">
        <f>LEFT(H1362,FIND(" (",H1362)-1)</f>
        <v>Staff/Principal</v>
      </c>
      <c r="J1362" t="str">
        <f>MID(H1362,FIND("(",H1362)+1,FIND(")",H1362)-FIND("(",H1362)-1)</f>
        <v>8+ yrs</v>
      </c>
      <c r="L1362">
        <v>199448</v>
      </c>
      <c r="M1362" t="s">
        <v>2847</v>
      </c>
      <c r="N1362" t="s">
        <v>43</v>
      </c>
      <c r="O1362" t="s">
        <v>22</v>
      </c>
      <c r="P1362" s="1">
        <v>45510</v>
      </c>
      <c r="Q1362">
        <v>1966</v>
      </c>
      <c r="R1362">
        <v>2571</v>
      </c>
      <c r="S1362" t="s">
        <v>34</v>
      </c>
      <c r="T1362">
        <v>6</v>
      </c>
      <c r="U1362" t="s">
        <v>5123</v>
      </c>
      <c r="V1362" t="s">
        <v>46</v>
      </c>
      <c r="W1362" t="s">
        <v>23</v>
      </c>
    </row>
    <row r="1363" spans="1:23" x14ac:dyDescent="0.3">
      <c r="A1363" t="s">
        <v>2848</v>
      </c>
      <c r="B1363" t="s">
        <v>143</v>
      </c>
      <c r="C1363" t="s">
        <v>71</v>
      </c>
      <c r="D1363" t="s">
        <v>125</v>
      </c>
      <c r="E1363" t="s">
        <v>5132</v>
      </c>
      <c r="F1363" t="s">
        <v>5133</v>
      </c>
      <c r="G1363" t="s">
        <v>18</v>
      </c>
      <c r="H1363" t="s">
        <v>31</v>
      </c>
      <c r="I1363" t="str">
        <f>LEFT(H1363,FIND(" (",H1363)-1)</f>
        <v>Staff/Principal</v>
      </c>
      <c r="J1363" t="str">
        <f>MID(H1363,FIND("(",H1363)+1,FIND(")",H1363)-FIND("(",H1363)-1)</f>
        <v>8+ yrs</v>
      </c>
      <c r="L1363">
        <v>220854</v>
      </c>
      <c r="M1363" t="s">
        <v>2849</v>
      </c>
      <c r="N1363" t="s">
        <v>141</v>
      </c>
      <c r="O1363" t="s">
        <v>44</v>
      </c>
      <c r="P1363" s="1">
        <v>45462</v>
      </c>
      <c r="Q1363">
        <v>2011</v>
      </c>
      <c r="R1363">
        <v>2922</v>
      </c>
      <c r="S1363" t="s">
        <v>23</v>
      </c>
      <c r="T1363">
        <v>6</v>
      </c>
      <c r="U1363" t="s">
        <v>83</v>
      </c>
      <c r="V1363" t="s">
        <v>46</v>
      </c>
      <c r="W1363" t="s">
        <v>23</v>
      </c>
    </row>
    <row r="1364" spans="1:23" x14ac:dyDescent="0.3">
      <c r="A1364" t="s">
        <v>2850</v>
      </c>
      <c r="B1364" t="s">
        <v>151</v>
      </c>
      <c r="C1364" t="s">
        <v>86</v>
      </c>
      <c r="D1364" t="s">
        <v>15</v>
      </c>
      <c r="E1364" t="s">
        <v>200</v>
      </c>
      <c r="F1364" t="s">
        <v>201</v>
      </c>
      <c r="G1364" t="s">
        <v>41</v>
      </c>
      <c r="H1364" t="s">
        <v>31</v>
      </c>
      <c r="I1364" t="str">
        <f>LEFT(H1364,FIND(" (",H1364)-1)</f>
        <v>Staff/Principal</v>
      </c>
      <c r="J1364" t="str">
        <f>MID(H1364,FIND("(",H1364)+1,FIND(")",H1364)-FIND("(",H1364)-1)</f>
        <v>8+ yrs</v>
      </c>
      <c r="L1364">
        <v>204304</v>
      </c>
      <c r="M1364" t="s">
        <v>2851</v>
      </c>
      <c r="N1364" t="s">
        <v>43</v>
      </c>
      <c r="O1364" t="s">
        <v>22</v>
      </c>
      <c r="P1364" s="1">
        <v>45423</v>
      </c>
      <c r="Q1364">
        <v>1102</v>
      </c>
      <c r="R1364">
        <v>1208</v>
      </c>
      <c r="S1364" t="s">
        <v>99</v>
      </c>
      <c r="T1364">
        <v>6</v>
      </c>
      <c r="U1364" t="s">
        <v>58</v>
      </c>
      <c r="V1364" t="s">
        <v>24</v>
      </c>
      <c r="W1364" t="s">
        <v>23</v>
      </c>
    </row>
    <row r="1365" spans="1:23" x14ac:dyDescent="0.3">
      <c r="A1365" t="s">
        <v>2852</v>
      </c>
      <c r="B1365" t="s">
        <v>151</v>
      </c>
      <c r="C1365" t="s">
        <v>132</v>
      </c>
      <c r="D1365" t="s">
        <v>63</v>
      </c>
      <c r="E1365" t="s">
        <v>5141</v>
      </c>
      <c r="F1365" t="s">
        <v>5133</v>
      </c>
      <c r="G1365" t="s">
        <v>55</v>
      </c>
      <c r="H1365" t="s">
        <v>66</v>
      </c>
      <c r="I1365" t="str">
        <f>LEFT(H1365,FIND(" (",H1365)-1)</f>
        <v>Senior</v>
      </c>
      <c r="J1365" t="str">
        <f>MID(H1365,FIND("(",H1365)+1,FIND(")",H1365)-FIND("(",H1365)-1)</f>
        <v>5-8 yrs</v>
      </c>
      <c r="L1365">
        <v>123727</v>
      </c>
      <c r="M1365" t="s">
        <v>2853</v>
      </c>
      <c r="N1365" t="s">
        <v>33</v>
      </c>
      <c r="O1365" t="s">
        <v>22</v>
      </c>
      <c r="P1365" s="1">
        <v>45662</v>
      </c>
      <c r="Q1365">
        <v>1242</v>
      </c>
      <c r="R1365">
        <v>2671</v>
      </c>
      <c r="S1365" t="s">
        <v>23</v>
      </c>
      <c r="T1365">
        <v>4</v>
      </c>
      <c r="U1365" t="s">
        <v>52</v>
      </c>
      <c r="V1365" t="s">
        <v>24</v>
      </c>
      <c r="W1365" t="s">
        <v>23</v>
      </c>
    </row>
    <row r="1366" spans="1:23" x14ac:dyDescent="0.3">
      <c r="A1366" t="s">
        <v>2854</v>
      </c>
      <c r="B1366" t="s">
        <v>61</v>
      </c>
      <c r="C1366" t="s">
        <v>192</v>
      </c>
      <c r="D1366" t="s">
        <v>147</v>
      </c>
      <c r="E1366" t="s">
        <v>87</v>
      </c>
      <c r="F1366" t="s">
        <v>87</v>
      </c>
      <c r="G1366" t="s">
        <v>18</v>
      </c>
      <c r="H1366" t="s">
        <v>56</v>
      </c>
      <c r="I1366" t="str">
        <f>LEFT(H1366,FIND(" (",H1366)-1)</f>
        <v>Mid</v>
      </c>
      <c r="J1366" t="str">
        <f>MID(H1366,FIND("(",H1366)+1,FIND(")",H1366)-FIND("(",H1366)-1)</f>
        <v>2-5 yrs</v>
      </c>
      <c r="L1366">
        <v>133692</v>
      </c>
      <c r="M1366" t="s">
        <v>2855</v>
      </c>
      <c r="N1366" t="s">
        <v>141</v>
      </c>
      <c r="O1366" t="s">
        <v>44</v>
      </c>
      <c r="P1366" s="1">
        <v>45666</v>
      </c>
      <c r="Q1366">
        <v>2123</v>
      </c>
      <c r="R1366">
        <v>58</v>
      </c>
      <c r="S1366" t="s">
        <v>23</v>
      </c>
      <c r="T1366">
        <v>2</v>
      </c>
      <c r="U1366" t="s">
        <v>58</v>
      </c>
      <c r="V1366" t="s">
        <v>24</v>
      </c>
      <c r="W1366" t="s">
        <v>23</v>
      </c>
    </row>
    <row r="1367" spans="1:23" x14ac:dyDescent="0.3">
      <c r="A1367" t="s">
        <v>2856</v>
      </c>
      <c r="B1367" t="s">
        <v>131</v>
      </c>
      <c r="C1367" t="s">
        <v>86</v>
      </c>
      <c r="D1367" t="s">
        <v>75</v>
      </c>
      <c r="E1367" t="s">
        <v>87</v>
      </c>
      <c r="F1367" t="s">
        <v>87</v>
      </c>
      <c r="G1367" t="s">
        <v>18</v>
      </c>
      <c r="H1367" t="s">
        <v>31</v>
      </c>
      <c r="I1367" t="str">
        <f>LEFT(H1367,FIND(" (",H1367)-1)</f>
        <v>Staff/Principal</v>
      </c>
      <c r="J1367" t="str">
        <f>MID(H1367,FIND("(",H1367)+1,FIND(")",H1367)-FIND("(",H1367)-1)</f>
        <v>8+ yrs</v>
      </c>
      <c r="L1367">
        <v>194292</v>
      </c>
      <c r="M1367" t="s">
        <v>2857</v>
      </c>
      <c r="N1367" t="s">
        <v>186</v>
      </c>
      <c r="O1367" t="s">
        <v>22</v>
      </c>
      <c r="P1367" s="1">
        <v>45326</v>
      </c>
      <c r="Q1367">
        <v>1399</v>
      </c>
      <c r="R1367">
        <v>528</v>
      </c>
      <c r="S1367" t="s">
        <v>23</v>
      </c>
      <c r="T1367">
        <v>6</v>
      </c>
      <c r="U1367" t="s">
        <v>45</v>
      </c>
      <c r="V1367" t="s">
        <v>59</v>
      </c>
      <c r="W1367" t="s">
        <v>23</v>
      </c>
    </row>
    <row r="1368" spans="1:23" x14ac:dyDescent="0.3">
      <c r="A1368" t="s">
        <v>2858</v>
      </c>
      <c r="B1368" t="s">
        <v>106</v>
      </c>
      <c r="C1368" t="s">
        <v>107</v>
      </c>
      <c r="D1368" t="s">
        <v>49</v>
      </c>
      <c r="E1368" t="s">
        <v>87</v>
      </c>
      <c r="F1368" t="s">
        <v>87</v>
      </c>
      <c r="G1368" t="s">
        <v>18</v>
      </c>
      <c r="H1368" t="s">
        <v>56</v>
      </c>
      <c r="I1368" t="str">
        <f>LEFT(H1368,FIND(" (",H1368)-1)</f>
        <v>Mid</v>
      </c>
      <c r="J1368" t="str">
        <f>MID(H1368,FIND("(",H1368)+1,FIND(")",H1368)-FIND("(",H1368)-1)</f>
        <v>2-5 yrs</v>
      </c>
      <c r="L1368">
        <v>109459</v>
      </c>
      <c r="M1368" t="s">
        <v>2859</v>
      </c>
      <c r="N1368" t="s">
        <v>89</v>
      </c>
      <c r="O1368" t="s">
        <v>51</v>
      </c>
      <c r="P1368" s="1">
        <v>45523</v>
      </c>
      <c r="Q1368">
        <v>1861</v>
      </c>
      <c r="R1368">
        <v>45</v>
      </c>
      <c r="S1368" t="s">
        <v>99</v>
      </c>
      <c r="T1368">
        <v>2</v>
      </c>
      <c r="U1368" t="s">
        <v>45</v>
      </c>
      <c r="V1368" t="s">
        <v>24</v>
      </c>
      <c r="W1368" t="s">
        <v>34</v>
      </c>
    </row>
    <row r="1369" spans="1:23" x14ac:dyDescent="0.3">
      <c r="A1369" t="s">
        <v>2860</v>
      </c>
      <c r="B1369" t="s">
        <v>329</v>
      </c>
      <c r="C1369" t="s">
        <v>226</v>
      </c>
      <c r="D1369" t="s">
        <v>49</v>
      </c>
      <c r="E1369" t="s">
        <v>5140</v>
      </c>
      <c r="F1369" t="s">
        <v>5133</v>
      </c>
      <c r="G1369" t="s">
        <v>41</v>
      </c>
      <c r="H1369" t="s">
        <v>56</v>
      </c>
      <c r="I1369" t="str">
        <f>LEFT(H1369,FIND(" (",H1369)-1)</f>
        <v>Mid</v>
      </c>
      <c r="J1369" t="str">
        <f>MID(H1369,FIND("(",H1369)+1,FIND(")",H1369)-FIND("(",H1369)-1)</f>
        <v>2-5 yrs</v>
      </c>
      <c r="L1369">
        <v>91521</v>
      </c>
      <c r="M1369" t="s">
        <v>2861</v>
      </c>
      <c r="N1369" t="s">
        <v>21</v>
      </c>
      <c r="O1369" t="s">
        <v>79</v>
      </c>
      <c r="P1369" s="1">
        <v>45481</v>
      </c>
      <c r="Q1369">
        <v>1181</v>
      </c>
      <c r="R1369">
        <v>1542</v>
      </c>
      <c r="S1369" t="s">
        <v>34</v>
      </c>
      <c r="T1369">
        <v>2</v>
      </c>
      <c r="U1369" t="s">
        <v>5123</v>
      </c>
      <c r="V1369" t="s">
        <v>24</v>
      </c>
      <c r="W1369" t="s">
        <v>23</v>
      </c>
    </row>
    <row r="1370" spans="1:23" x14ac:dyDescent="0.3">
      <c r="A1370" t="s">
        <v>2862</v>
      </c>
      <c r="B1370" t="s">
        <v>81</v>
      </c>
      <c r="C1370" t="s">
        <v>107</v>
      </c>
      <c r="D1370" t="s">
        <v>75</v>
      </c>
      <c r="E1370" t="s">
        <v>5137</v>
      </c>
      <c r="F1370" t="s">
        <v>5138</v>
      </c>
      <c r="G1370" t="s">
        <v>41</v>
      </c>
      <c r="H1370" t="s">
        <v>31</v>
      </c>
      <c r="I1370" t="str">
        <f>LEFT(H1370,FIND(" (",H1370)-1)</f>
        <v>Staff/Principal</v>
      </c>
      <c r="J1370" t="str">
        <f>MID(H1370,FIND("(",H1370)+1,FIND(")",H1370)-FIND("(",H1370)-1)</f>
        <v>8+ yrs</v>
      </c>
      <c r="L1370">
        <v>184041</v>
      </c>
      <c r="M1370" t="s">
        <v>2863</v>
      </c>
      <c r="N1370" t="s">
        <v>94</v>
      </c>
      <c r="O1370" t="s">
        <v>51</v>
      </c>
      <c r="P1370" s="1">
        <v>45694</v>
      </c>
      <c r="Q1370">
        <v>446</v>
      </c>
      <c r="R1370">
        <v>1180</v>
      </c>
      <c r="S1370" t="s">
        <v>23</v>
      </c>
      <c r="T1370">
        <v>6</v>
      </c>
      <c r="U1370" t="s">
        <v>5123</v>
      </c>
      <c r="V1370" t="s">
        <v>24</v>
      </c>
      <c r="W1370" t="s">
        <v>34</v>
      </c>
    </row>
    <row r="1371" spans="1:23" x14ac:dyDescent="0.3">
      <c r="A1371" t="s">
        <v>2864</v>
      </c>
      <c r="B1371" t="s">
        <v>91</v>
      </c>
      <c r="C1371" t="s">
        <v>173</v>
      </c>
      <c r="D1371" t="s">
        <v>75</v>
      </c>
      <c r="E1371" t="s">
        <v>5141</v>
      </c>
      <c r="F1371" t="s">
        <v>5133</v>
      </c>
      <c r="G1371" t="s">
        <v>18</v>
      </c>
      <c r="H1371" t="s">
        <v>19</v>
      </c>
      <c r="I1371" t="str">
        <f>LEFT(H1371,FIND(" (",H1371)-1)</f>
        <v>Entry</v>
      </c>
      <c r="J1371" t="str">
        <f>MID(H1371,FIND("(",H1371)+1,FIND(")",H1371)-FIND("(",H1371)-1)</f>
        <v>0-2 yrs</v>
      </c>
      <c r="L1371">
        <v>58851</v>
      </c>
      <c r="M1371" t="s">
        <v>2865</v>
      </c>
      <c r="N1371" t="s">
        <v>149</v>
      </c>
      <c r="O1371" t="s">
        <v>51</v>
      </c>
      <c r="P1371" s="1">
        <v>45552</v>
      </c>
      <c r="Q1371">
        <v>2255</v>
      </c>
      <c r="R1371">
        <v>1280</v>
      </c>
      <c r="S1371" t="s">
        <v>23</v>
      </c>
      <c r="T1371">
        <v>0</v>
      </c>
      <c r="U1371" t="s">
        <v>45</v>
      </c>
      <c r="V1371" t="s">
        <v>24</v>
      </c>
      <c r="W1371" t="s">
        <v>34</v>
      </c>
    </row>
    <row r="1372" spans="1:23" x14ac:dyDescent="0.3">
      <c r="A1372" t="s">
        <v>2866</v>
      </c>
      <c r="B1372" t="s">
        <v>85</v>
      </c>
      <c r="C1372" t="s">
        <v>146</v>
      </c>
      <c r="D1372" t="s">
        <v>75</v>
      </c>
      <c r="E1372" t="s">
        <v>5137</v>
      </c>
      <c r="F1372" t="s">
        <v>5138</v>
      </c>
      <c r="G1372" t="s">
        <v>55</v>
      </c>
      <c r="H1372" t="s">
        <v>19</v>
      </c>
      <c r="I1372" t="str">
        <f>LEFT(H1372,FIND(" (",H1372)-1)</f>
        <v>Entry</v>
      </c>
      <c r="J1372" t="str">
        <f>MID(H1372,FIND("(",H1372)+1,FIND(")",H1372)-FIND("(",H1372)-1)</f>
        <v>0-2 yrs</v>
      </c>
      <c r="L1372">
        <v>67820</v>
      </c>
      <c r="M1372" t="s">
        <v>2867</v>
      </c>
      <c r="N1372" t="s">
        <v>33</v>
      </c>
      <c r="O1372" t="s">
        <v>22</v>
      </c>
      <c r="P1372" s="1">
        <v>45556</v>
      </c>
      <c r="Q1372">
        <v>673</v>
      </c>
      <c r="R1372">
        <v>3950</v>
      </c>
      <c r="S1372" t="s">
        <v>99</v>
      </c>
      <c r="T1372">
        <v>0</v>
      </c>
      <c r="U1372" t="s">
        <v>5123</v>
      </c>
      <c r="V1372" t="s">
        <v>24</v>
      </c>
      <c r="W1372" t="s">
        <v>23</v>
      </c>
    </row>
    <row r="1373" spans="1:23" x14ac:dyDescent="0.3">
      <c r="A1373" t="s">
        <v>2868</v>
      </c>
      <c r="B1373" t="s">
        <v>13</v>
      </c>
      <c r="C1373" t="s">
        <v>62</v>
      </c>
      <c r="D1373" t="s">
        <v>147</v>
      </c>
      <c r="E1373" t="s">
        <v>216</v>
      </c>
      <c r="F1373" t="s">
        <v>217</v>
      </c>
      <c r="G1373" t="s">
        <v>41</v>
      </c>
      <c r="H1373" t="s">
        <v>31</v>
      </c>
      <c r="I1373" t="str">
        <f>LEFT(H1373,FIND(" (",H1373)-1)</f>
        <v>Staff/Principal</v>
      </c>
      <c r="J1373" t="str">
        <f>MID(H1373,FIND("(",H1373)+1,FIND(")",H1373)-FIND("(",H1373)-1)</f>
        <v>8+ yrs</v>
      </c>
      <c r="L1373">
        <v>261621</v>
      </c>
      <c r="M1373" t="s">
        <v>2869</v>
      </c>
      <c r="N1373" t="s">
        <v>43</v>
      </c>
      <c r="O1373" t="s">
        <v>51</v>
      </c>
      <c r="P1373" s="1">
        <v>45578</v>
      </c>
      <c r="Q1373">
        <v>2419</v>
      </c>
      <c r="R1373">
        <v>1740</v>
      </c>
      <c r="S1373" t="s">
        <v>34</v>
      </c>
      <c r="T1373">
        <v>6</v>
      </c>
      <c r="U1373" t="s">
        <v>83</v>
      </c>
      <c r="V1373" t="s">
        <v>24</v>
      </c>
      <c r="W1373" t="s">
        <v>23</v>
      </c>
    </row>
    <row r="1374" spans="1:23" x14ac:dyDescent="0.3">
      <c r="A1374" t="s">
        <v>2870</v>
      </c>
      <c r="B1374" t="s">
        <v>137</v>
      </c>
      <c r="C1374" t="s">
        <v>107</v>
      </c>
      <c r="D1374" t="s">
        <v>174</v>
      </c>
      <c r="E1374" t="s">
        <v>5141</v>
      </c>
      <c r="F1374" t="s">
        <v>5133</v>
      </c>
      <c r="G1374" t="s">
        <v>41</v>
      </c>
      <c r="H1374" t="s">
        <v>31</v>
      </c>
      <c r="I1374" t="str">
        <f>LEFT(H1374,FIND(" (",H1374)-1)</f>
        <v>Staff/Principal</v>
      </c>
      <c r="J1374" t="str">
        <f>MID(H1374,FIND("(",H1374)+1,FIND(")",H1374)-FIND("(",H1374)-1)</f>
        <v>8+ yrs</v>
      </c>
      <c r="L1374">
        <v>150611</v>
      </c>
      <c r="M1374" t="s">
        <v>2871</v>
      </c>
      <c r="N1374" t="s">
        <v>33</v>
      </c>
      <c r="O1374" t="s">
        <v>44</v>
      </c>
      <c r="P1374" s="1">
        <v>45656</v>
      </c>
      <c r="Q1374">
        <v>1663</v>
      </c>
      <c r="R1374">
        <v>3981</v>
      </c>
      <c r="S1374" t="s">
        <v>99</v>
      </c>
      <c r="T1374">
        <v>6</v>
      </c>
      <c r="U1374" t="s">
        <v>52</v>
      </c>
      <c r="V1374" t="s">
        <v>24</v>
      </c>
      <c r="W1374" t="s">
        <v>34</v>
      </c>
    </row>
    <row r="1375" spans="1:23" x14ac:dyDescent="0.3">
      <c r="A1375" t="s">
        <v>2872</v>
      </c>
      <c r="B1375" t="s">
        <v>26</v>
      </c>
      <c r="C1375" t="s">
        <v>92</v>
      </c>
      <c r="D1375" t="s">
        <v>111</v>
      </c>
      <c r="E1375" t="s">
        <v>200</v>
      </c>
      <c r="F1375" t="s">
        <v>201</v>
      </c>
      <c r="G1375" t="s">
        <v>18</v>
      </c>
      <c r="H1375" t="s">
        <v>19</v>
      </c>
      <c r="I1375" t="str">
        <f>LEFT(H1375,FIND(" (",H1375)-1)</f>
        <v>Entry</v>
      </c>
      <c r="J1375" t="str">
        <f>MID(H1375,FIND("(",H1375)+1,FIND(")",H1375)-FIND("(",H1375)-1)</f>
        <v>0-2 yrs</v>
      </c>
      <c r="L1375">
        <v>50000</v>
      </c>
      <c r="M1375" t="s">
        <v>2873</v>
      </c>
      <c r="N1375" t="s">
        <v>33</v>
      </c>
      <c r="O1375" t="s">
        <v>51</v>
      </c>
      <c r="P1375" s="1">
        <v>45459</v>
      </c>
      <c r="Q1375">
        <v>2385</v>
      </c>
      <c r="R1375">
        <v>678</v>
      </c>
      <c r="S1375" t="s">
        <v>23</v>
      </c>
      <c r="T1375">
        <v>0</v>
      </c>
      <c r="U1375" t="s">
        <v>58</v>
      </c>
      <c r="V1375" t="s">
        <v>24</v>
      </c>
      <c r="W1375" t="s">
        <v>34</v>
      </c>
    </row>
    <row r="1376" spans="1:23" x14ac:dyDescent="0.3">
      <c r="A1376" t="s">
        <v>2874</v>
      </c>
      <c r="B1376" t="s">
        <v>172</v>
      </c>
      <c r="C1376" t="s">
        <v>124</v>
      </c>
      <c r="D1376" t="s">
        <v>38</v>
      </c>
      <c r="E1376" t="s">
        <v>5132</v>
      </c>
      <c r="F1376" t="s">
        <v>5133</v>
      </c>
      <c r="G1376" t="s">
        <v>41</v>
      </c>
      <c r="H1376" t="s">
        <v>31</v>
      </c>
      <c r="I1376" t="str">
        <f>LEFT(H1376,FIND(" (",H1376)-1)</f>
        <v>Staff/Principal</v>
      </c>
      <c r="J1376" t="str">
        <f>MID(H1376,FIND("(",H1376)+1,FIND(")",H1376)-FIND("(",H1376)-1)</f>
        <v>8+ yrs</v>
      </c>
      <c r="L1376">
        <v>252962</v>
      </c>
      <c r="M1376" t="s">
        <v>2875</v>
      </c>
      <c r="N1376" t="s">
        <v>245</v>
      </c>
      <c r="O1376" t="s">
        <v>22</v>
      </c>
      <c r="P1376" s="1">
        <v>45326</v>
      </c>
      <c r="Q1376">
        <v>2411</v>
      </c>
      <c r="R1376">
        <v>1406</v>
      </c>
      <c r="S1376" t="s">
        <v>34</v>
      </c>
      <c r="T1376">
        <v>6</v>
      </c>
      <c r="U1376" t="s">
        <v>58</v>
      </c>
      <c r="V1376" t="s">
        <v>24</v>
      </c>
      <c r="W1376" t="s">
        <v>23</v>
      </c>
    </row>
    <row r="1377" spans="1:23" x14ac:dyDescent="0.3">
      <c r="A1377" t="s">
        <v>2876</v>
      </c>
      <c r="B1377" t="s">
        <v>329</v>
      </c>
      <c r="C1377" t="s">
        <v>226</v>
      </c>
      <c r="D1377" t="s">
        <v>28</v>
      </c>
      <c r="E1377" t="s">
        <v>16</v>
      </c>
      <c r="F1377" t="s">
        <v>17</v>
      </c>
      <c r="G1377" t="s">
        <v>18</v>
      </c>
      <c r="H1377" t="s">
        <v>56</v>
      </c>
      <c r="I1377" t="str">
        <f>LEFT(H1377,FIND(" (",H1377)-1)</f>
        <v>Mid</v>
      </c>
      <c r="J1377" t="str">
        <f>MID(H1377,FIND("(",H1377)+1,FIND(")",H1377)-FIND("(",H1377)-1)</f>
        <v>2-5 yrs</v>
      </c>
      <c r="L1377">
        <v>105855</v>
      </c>
      <c r="M1377" t="s">
        <v>2877</v>
      </c>
      <c r="N1377" t="s">
        <v>94</v>
      </c>
      <c r="O1377" t="s">
        <v>51</v>
      </c>
      <c r="P1377" s="1">
        <v>45618</v>
      </c>
      <c r="Q1377">
        <v>1277</v>
      </c>
      <c r="R1377">
        <v>28</v>
      </c>
      <c r="S1377" t="s">
        <v>23</v>
      </c>
      <c r="T1377">
        <v>2</v>
      </c>
      <c r="U1377" t="s">
        <v>58</v>
      </c>
      <c r="V1377" t="s">
        <v>59</v>
      </c>
      <c r="W1377" t="s">
        <v>23</v>
      </c>
    </row>
    <row r="1378" spans="1:23" x14ac:dyDescent="0.3">
      <c r="A1378" t="s">
        <v>2878</v>
      </c>
      <c r="B1378" t="s">
        <v>151</v>
      </c>
      <c r="C1378" t="s">
        <v>74</v>
      </c>
      <c r="D1378" t="s">
        <v>125</v>
      </c>
      <c r="E1378" t="s">
        <v>64</v>
      </c>
      <c r="F1378" t="s">
        <v>65</v>
      </c>
      <c r="G1378" t="s">
        <v>55</v>
      </c>
      <c r="H1378" t="s">
        <v>31</v>
      </c>
      <c r="I1378" t="str">
        <f>LEFT(H1378,FIND(" (",H1378)-1)</f>
        <v>Staff/Principal</v>
      </c>
      <c r="J1378" t="str">
        <f>MID(H1378,FIND("(",H1378)+1,FIND(")",H1378)-FIND("(",H1378)-1)</f>
        <v>8+ yrs</v>
      </c>
      <c r="L1378">
        <v>175913</v>
      </c>
      <c r="M1378" t="s">
        <v>2879</v>
      </c>
      <c r="N1378" t="s">
        <v>33</v>
      </c>
      <c r="O1378" t="s">
        <v>79</v>
      </c>
      <c r="P1378" s="1">
        <v>45723</v>
      </c>
      <c r="Q1378">
        <v>2246</v>
      </c>
      <c r="R1378">
        <v>1931</v>
      </c>
      <c r="S1378" t="s">
        <v>23</v>
      </c>
      <c r="T1378">
        <v>6</v>
      </c>
      <c r="U1378" t="s">
        <v>5123</v>
      </c>
      <c r="V1378" t="s">
        <v>24</v>
      </c>
      <c r="W1378" t="s">
        <v>23</v>
      </c>
    </row>
    <row r="1379" spans="1:23" x14ac:dyDescent="0.3">
      <c r="A1379" t="s">
        <v>2880</v>
      </c>
      <c r="B1379" t="s">
        <v>81</v>
      </c>
      <c r="C1379" t="s">
        <v>239</v>
      </c>
      <c r="D1379" t="s">
        <v>49</v>
      </c>
      <c r="E1379" t="s">
        <v>5132</v>
      </c>
      <c r="F1379" t="s">
        <v>5133</v>
      </c>
      <c r="G1379" t="s">
        <v>18</v>
      </c>
      <c r="H1379" t="s">
        <v>56</v>
      </c>
      <c r="I1379" t="str">
        <f>LEFT(H1379,FIND(" (",H1379)-1)</f>
        <v>Mid</v>
      </c>
      <c r="J1379" t="str">
        <f>MID(H1379,FIND("(",H1379)+1,FIND(")",H1379)-FIND("(",H1379)-1)</f>
        <v>2-5 yrs</v>
      </c>
      <c r="L1379">
        <v>130590</v>
      </c>
      <c r="M1379" t="s">
        <v>2881</v>
      </c>
      <c r="N1379" t="s">
        <v>89</v>
      </c>
      <c r="O1379" t="s">
        <v>22</v>
      </c>
      <c r="P1379" s="1">
        <v>45667</v>
      </c>
      <c r="Q1379">
        <v>496</v>
      </c>
      <c r="R1379">
        <v>3398</v>
      </c>
      <c r="S1379" t="s">
        <v>34</v>
      </c>
      <c r="T1379">
        <v>2</v>
      </c>
      <c r="U1379" t="s">
        <v>45</v>
      </c>
      <c r="V1379" t="s">
        <v>24</v>
      </c>
      <c r="W1379" t="s">
        <v>34</v>
      </c>
    </row>
    <row r="1380" spans="1:23" x14ac:dyDescent="0.3">
      <c r="A1380" t="s">
        <v>2882</v>
      </c>
      <c r="B1380" t="s">
        <v>81</v>
      </c>
      <c r="C1380" t="s">
        <v>146</v>
      </c>
      <c r="D1380" t="s">
        <v>63</v>
      </c>
      <c r="E1380" t="s">
        <v>87</v>
      </c>
      <c r="F1380" t="s">
        <v>87</v>
      </c>
      <c r="G1380" t="s">
        <v>55</v>
      </c>
      <c r="H1380" t="s">
        <v>31</v>
      </c>
      <c r="I1380" t="str">
        <f>LEFT(H1380,FIND(" (",H1380)-1)</f>
        <v>Staff/Principal</v>
      </c>
      <c r="J1380" t="str">
        <f>MID(H1380,FIND("(",H1380)+1,FIND(")",H1380)-FIND("(",H1380)-1)</f>
        <v>8+ yrs</v>
      </c>
      <c r="L1380">
        <v>178197</v>
      </c>
      <c r="M1380" t="s">
        <v>2883</v>
      </c>
      <c r="N1380" t="s">
        <v>33</v>
      </c>
      <c r="O1380" t="s">
        <v>22</v>
      </c>
      <c r="P1380" s="1">
        <v>45318</v>
      </c>
      <c r="Q1380">
        <v>2049</v>
      </c>
      <c r="R1380">
        <v>3838</v>
      </c>
      <c r="S1380" t="s">
        <v>34</v>
      </c>
      <c r="T1380">
        <v>6</v>
      </c>
      <c r="U1380" t="s">
        <v>83</v>
      </c>
      <c r="V1380" t="s">
        <v>24</v>
      </c>
      <c r="W1380" t="s">
        <v>23</v>
      </c>
    </row>
    <row r="1381" spans="1:23" x14ac:dyDescent="0.3">
      <c r="A1381" t="s">
        <v>2884</v>
      </c>
      <c r="B1381" t="s">
        <v>137</v>
      </c>
      <c r="C1381" t="s">
        <v>62</v>
      </c>
      <c r="D1381" t="s">
        <v>38</v>
      </c>
      <c r="E1381" t="s">
        <v>216</v>
      </c>
      <c r="F1381" t="s">
        <v>217</v>
      </c>
      <c r="G1381" t="s">
        <v>18</v>
      </c>
      <c r="H1381" t="s">
        <v>66</v>
      </c>
      <c r="I1381" t="str">
        <f>LEFT(H1381,FIND(" (",H1381)-1)</f>
        <v>Senior</v>
      </c>
      <c r="J1381" t="str">
        <f>MID(H1381,FIND("(",H1381)+1,FIND(")",H1381)-FIND("(",H1381)-1)</f>
        <v>5-8 yrs</v>
      </c>
      <c r="L1381">
        <v>199302</v>
      </c>
      <c r="M1381" t="s">
        <v>2885</v>
      </c>
      <c r="N1381" t="s">
        <v>141</v>
      </c>
      <c r="O1381" t="s">
        <v>22</v>
      </c>
      <c r="P1381" s="1">
        <v>45687</v>
      </c>
      <c r="Q1381">
        <v>1389</v>
      </c>
      <c r="R1381">
        <v>75</v>
      </c>
      <c r="S1381" t="s">
        <v>34</v>
      </c>
      <c r="T1381">
        <v>4</v>
      </c>
      <c r="U1381" t="s">
        <v>45</v>
      </c>
      <c r="V1381" t="s">
        <v>24</v>
      </c>
      <c r="W1381" t="s">
        <v>23</v>
      </c>
    </row>
    <row r="1382" spans="1:23" x14ac:dyDescent="0.3">
      <c r="A1382" t="s">
        <v>2886</v>
      </c>
      <c r="B1382" t="s">
        <v>81</v>
      </c>
      <c r="C1382" t="s">
        <v>167</v>
      </c>
      <c r="D1382" t="s">
        <v>125</v>
      </c>
      <c r="E1382" t="s">
        <v>5134</v>
      </c>
      <c r="F1382" t="s">
        <v>5133</v>
      </c>
      <c r="G1382" t="s">
        <v>41</v>
      </c>
      <c r="H1382" t="s">
        <v>56</v>
      </c>
      <c r="I1382" t="str">
        <f>LEFT(H1382,FIND(" (",H1382)-1)</f>
        <v>Mid</v>
      </c>
      <c r="J1382" t="str">
        <f>MID(H1382,FIND("(",H1382)+1,FIND(")",H1382)-FIND("(",H1382)-1)</f>
        <v>2-5 yrs</v>
      </c>
      <c r="L1382">
        <v>123422</v>
      </c>
      <c r="M1382" t="s">
        <v>2887</v>
      </c>
      <c r="N1382" t="s">
        <v>33</v>
      </c>
      <c r="O1382" t="s">
        <v>44</v>
      </c>
      <c r="P1382" s="1">
        <v>45478</v>
      </c>
      <c r="Q1382">
        <v>611</v>
      </c>
      <c r="R1382">
        <v>3123</v>
      </c>
      <c r="S1382" t="s">
        <v>23</v>
      </c>
      <c r="T1382">
        <v>2</v>
      </c>
      <c r="U1382" t="s">
        <v>83</v>
      </c>
      <c r="V1382" t="s">
        <v>59</v>
      </c>
      <c r="W1382" t="s">
        <v>23</v>
      </c>
    </row>
    <row r="1383" spans="1:23" x14ac:dyDescent="0.3">
      <c r="A1383" t="s">
        <v>2888</v>
      </c>
      <c r="B1383" t="s">
        <v>225</v>
      </c>
      <c r="C1383" t="s">
        <v>101</v>
      </c>
      <c r="D1383" t="s">
        <v>49</v>
      </c>
      <c r="E1383" t="s">
        <v>159</v>
      </c>
      <c r="F1383" t="s">
        <v>160</v>
      </c>
      <c r="G1383" t="s">
        <v>41</v>
      </c>
      <c r="H1383" t="s">
        <v>66</v>
      </c>
      <c r="I1383" t="str">
        <f>LEFT(H1383,FIND(" (",H1383)-1)</f>
        <v>Senior</v>
      </c>
      <c r="J1383" t="str">
        <f>MID(H1383,FIND("(",H1383)+1,FIND(")",H1383)-FIND("(",H1383)-1)</f>
        <v>5-8 yrs</v>
      </c>
      <c r="L1383">
        <v>136826</v>
      </c>
      <c r="M1383" t="s">
        <v>2889</v>
      </c>
      <c r="N1383" t="s">
        <v>21</v>
      </c>
      <c r="O1383" t="s">
        <v>79</v>
      </c>
      <c r="P1383" s="1">
        <v>45507</v>
      </c>
      <c r="Q1383">
        <v>1646</v>
      </c>
      <c r="R1383">
        <v>162</v>
      </c>
      <c r="S1383" t="s">
        <v>23</v>
      </c>
      <c r="T1383">
        <v>4</v>
      </c>
      <c r="U1383" t="s">
        <v>5123</v>
      </c>
      <c r="V1383" t="s">
        <v>24</v>
      </c>
      <c r="W1383" t="s">
        <v>34</v>
      </c>
    </row>
    <row r="1384" spans="1:23" x14ac:dyDescent="0.3">
      <c r="A1384" t="s">
        <v>2890</v>
      </c>
      <c r="B1384" t="s">
        <v>61</v>
      </c>
      <c r="C1384" t="s">
        <v>48</v>
      </c>
      <c r="D1384" t="s">
        <v>28</v>
      </c>
      <c r="E1384" t="s">
        <v>5140</v>
      </c>
      <c r="F1384" t="s">
        <v>5133</v>
      </c>
      <c r="G1384" t="s">
        <v>18</v>
      </c>
      <c r="H1384" t="s">
        <v>31</v>
      </c>
      <c r="I1384" t="str">
        <f>LEFT(H1384,FIND(" (",H1384)-1)</f>
        <v>Staff/Principal</v>
      </c>
      <c r="J1384" t="str">
        <f>MID(H1384,FIND("(",H1384)+1,FIND(")",H1384)-FIND("(",H1384)-1)</f>
        <v>8+ yrs</v>
      </c>
      <c r="L1384">
        <v>277663</v>
      </c>
      <c r="M1384" t="s">
        <v>2891</v>
      </c>
      <c r="N1384" t="s">
        <v>33</v>
      </c>
      <c r="O1384" t="s">
        <v>44</v>
      </c>
      <c r="P1384" s="1">
        <v>45308</v>
      </c>
      <c r="Q1384">
        <v>1677</v>
      </c>
      <c r="R1384">
        <v>2458</v>
      </c>
      <c r="S1384" t="s">
        <v>23</v>
      </c>
      <c r="T1384">
        <v>6</v>
      </c>
      <c r="U1384" t="s">
        <v>83</v>
      </c>
      <c r="V1384" t="s">
        <v>59</v>
      </c>
      <c r="W1384" t="s">
        <v>34</v>
      </c>
    </row>
    <row r="1385" spans="1:23" x14ac:dyDescent="0.3">
      <c r="A1385" t="s">
        <v>2892</v>
      </c>
      <c r="B1385" t="s">
        <v>236</v>
      </c>
      <c r="C1385" t="s">
        <v>54</v>
      </c>
      <c r="D1385" t="s">
        <v>63</v>
      </c>
      <c r="E1385" t="s">
        <v>76</v>
      </c>
      <c r="F1385" t="s">
        <v>77</v>
      </c>
      <c r="G1385" t="s">
        <v>41</v>
      </c>
      <c r="H1385" t="s">
        <v>66</v>
      </c>
      <c r="I1385" t="str">
        <f>LEFT(H1385,FIND(" (",H1385)-1)</f>
        <v>Senior</v>
      </c>
      <c r="J1385" t="str">
        <f>MID(H1385,FIND("(",H1385)+1,FIND(")",H1385)-FIND("(",H1385)-1)</f>
        <v>5-8 yrs</v>
      </c>
      <c r="L1385">
        <v>133645</v>
      </c>
      <c r="M1385" t="s">
        <v>2893</v>
      </c>
      <c r="N1385" t="s">
        <v>21</v>
      </c>
      <c r="O1385" t="s">
        <v>51</v>
      </c>
      <c r="P1385" s="1">
        <v>45397</v>
      </c>
      <c r="Q1385">
        <v>1332</v>
      </c>
      <c r="R1385">
        <v>1584</v>
      </c>
      <c r="S1385" t="s">
        <v>34</v>
      </c>
      <c r="T1385">
        <v>4</v>
      </c>
      <c r="U1385" t="s">
        <v>83</v>
      </c>
      <c r="V1385" t="s">
        <v>46</v>
      </c>
      <c r="W1385" t="s">
        <v>23</v>
      </c>
    </row>
    <row r="1386" spans="1:23" x14ac:dyDescent="0.3">
      <c r="A1386" t="s">
        <v>2894</v>
      </c>
      <c r="B1386" t="s">
        <v>137</v>
      </c>
      <c r="C1386" t="s">
        <v>14</v>
      </c>
      <c r="D1386" t="s">
        <v>147</v>
      </c>
      <c r="E1386" t="s">
        <v>29</v>
      </c>
      <c r="F1386" t="s">
        <v>30</v>
      </c>
      <c r="G1386" t="s">
        <v>55</v>
      </c>
      <c r="H1386" t="s">
        <v>66</v>
      </c>
      <c r="I1386" t="str">
        <f>LEFT(H1386,FIND(" (",H1386)-1)</f>
        <v>Senior</v>
      </c>
      <c r="J1386" t="str">
        <f>MID(H1386,FIND("(",H1386)+1,FIND(")",H1386)-FIND("(",H1386)-1)</f>
        <v>5-8 yrs</v>
      </c>
      <c r="L1386">
        <v>170036</v>
      </c>
      <c r="M1386" t="s">
        <v>2895</v>
      </c>
      <c r="N1386" t="s">
        <v>33</v>
      </c>
      <c r="O1386" t="s">
        <v>51</v>
      </c>
      <c r="P1386" s="1">
        <v>45303</v>
      </c>
      <c r="Q1386">
        <v>2423</v>
      </c>
      <c r="R1386">
        <v>591</v>
      </c>
      <c r="S1386" t="s">
        <v>23</v>
      </c>
      <c r="T1386">
        <v>4</v>
      </c>
      <c r="U1386" t="s">
        <v>83</v>
      </c>
      <c r="V1386" t="s">
        <v>24</v>
      </c>
      <c r="W1386" t="s">
        <v>23</v>
      </c>
    </row>
    <row r="1387" spans="1:23" x14ac:dyDescent="0.3">
      <c r="A1387" t="s">
        <v>2896</v>
      </c>
      <c r="B1387" t="s">
        <v>143</v>
      </c>
      <c r="C1387" t="s">
        <v>48</v>
      </c>
      <c r="D1387" t="s">
        <v>125</v>
      </c>
      <c r="E1387" t="s">
        <v>159</v>
      </c>
      <c r="F1387" t="s">
        <v>160</v>
      </c>
      <c r="G1387" t="s">
        <v>41</v>
      </c>
      <c r="H1387" t="s">
        <v>56</v>
      </c>
      <c r="I1387" t="str">
        <f>LEFT(H1387,FIND(" (",H1387)-1)</f>
        <v>Mid</v>
      </c>
      <c r="J1387" t="str">
        <f>MID(H1387,FIND("(",H1387)+1,FIND(")",H1387)-FIND("(",H1387)-1)</f>
        <v>2-5 yrs</v>
      </c>
      <c r="L1387">
        <v>115925</v>
      </c>
      <c r="M1387" t="s">
        <v>2897</v>
      </c>
      <c r="N1387" t="s">
        <v>33</v>
      </c>
      <c r="O1387" t="s">
        <v>22</v>
      </c>
      <c r="P1387" s="1">
        <v>45440</v>
      </c>
      <c r="Q1387">
        <v>1902</v>
      </c>
      <c r="R1387">
        <v>2730</v>
      </c>
      <c r="S1387" t="s">
        <v>34</v>
      </c>
      <c r="T1387">
        <v>2</v>
      </c>
      <c r="U1387" t="s">
        <v>45</v>
      </c>
      <c r="V1387" t="s">
        <v>24</v>
      </c>
      <c r="W1387" t="s">
        <v>34</v>
      </c>
    </row>
    <row r="1388" spans="1:23" x14ac:dyDescent="0.3">
      <c r="A1388" t="s">
        <v>2898</v>
      </c>
      <c r="B1388" t="s">
        <v>151</v>
      </c>
      <c r="C1388" t="s">
        <v>54</v>
      </c>
      <c r="D1388" t="s">
        <v>38</v>
      </c>
      <c r="E1388" t="s">
        <v>5136</v>
      </c>
      <c r="F1388" t="s">
        <v>5133</v>
      </c>
      <c r="G1388" t="s">
        <v>41</v>
      </c>
      <c r="H1388" t="s">
        <v>66</v>
      </c>
      <c r="I1388" t="str">
        <f>LEFT(H1388,FIND(" (",H1388)-1)</f>
        <v>Senior</v>
      </c>
      <c r="J1388" t="str">
        <f>MID(H1388,FIND("(",H1388)+1,FIND(")",H1388)-FIND("(",H1388)-1)</f>
        <v>5-8 yrs</v>
      </c>
      <c r="L1388">
        <v>185147</v>
      </c>
      <c r="M1388" t="s">
        <v>2899</v>
      </c>
      <c r="N1388" t="s">
        <v>33</v>
      </c>
      <c r="O1388" t="s">
        <v>44</v>
      </c>
      <c r="P1388" s="1">
        <v>45578</v>
      </c>
      <c r="Q1388">
        <v>1111</v>
      </c>
      <c r="R1388">
        <v>970</v>
      </c>
      <c r="S1388" t="s">
        <v>23</v>
      </c>
      <c r="T1388">
        <v>4</v>
      </c>
      <c r="U1388" t="s">
        <v>58</v>
      </c>
      <c r="V1388" t="s">
        <v>59</v>
      </c>
      <c r="W1388" t="s">
        <v>23</v>
      </c>
    </row>
    <row r="1389" spans="1:23" x14ac:dyDescent="0.3">
      <c r="A1389" t="s">
        <v>2900</v>
      </c>
      <c r="B1389" t="s">
        <v>137</v>
      </c>
      <c r="C1389" t="s">
        <v>37</v>
      </c>
      <c r="D1389" t="s">
        <v>38</v>
      </c>
      <c r="E1389" t="s">
        <v>5140</v>
      </c>
      <c r="F1389" t="s">
        <v>5133</v>
      </c>
      <c r="G1389" t="s">
        <v>18</v>
      </c>
      <c r="H1389" t="s">
        <v>56</v>
      </c>
      <c r="I1389" t="str">
        <f>LEFT(H1389,FIND(" (",H1389)-1)</f>
        <v>Mid</v>
      </c>
      <c r="J1389" t="str">
        <f>MID(H1389,FIND("(",H1389)+1,FIND(")",H1389)-FIND("(",H1389)-1)</f>
        <v>2-5 yrs</v>
      </c>
      <c r="L1389">
        <v>140917</v>
      </c>
      <c r="M1389" t="s">
        <v>2901</v>
      </c>
      <c r="N1389" t="s">
        <v>21</v>
      </c>
      <c r="O1389" t="s">
        <v>22</v>
      </c>
      <c r="P1389" s="1">
        <v>45321</v>
      </c>
      <c r="Q1389">
        <v>2116</v>
      </c>
      <c r="R1389">
        <v>2144</v>
      </c>
      <c r="S1389" t="s">
        <v>34</v>
      </c>
      <c r="T1389">
        <v>2</v>
      </c>
      <c r="U1389" t="s">
        <v>5123</v>
      </c>
      <c r="V1389" t="s">
        <v>59</v>
      </c>
      <c r="W1389" t="s">
        <v>34</v>
      </c>
    </row>
    <row r="1390" spans="1:23" x14ac:dyDescent="0.3">
      <c r="A1390" t="s">
        <v>2902</v>
      </c>
      <c r="B1390" t="s">
        <v>26</v>
      </c>
      <c r="C1390" t="s">
        <v>195</v>
      </c>
      <c r="D1390" t="s">
        <v>125</v>
      </c>
      <c r="E1390" t="s">
        <v>102</v>
      </c>
      <c r="F1390" t="s">
        <v>103</v>
      </c>
      <c r="G1390" t="s">
        <v>41</v>
      </c>
      <c r="H1390" t="s">
        <v>19</v>
      </c>
      <c r="I1390" t="str">
        <f>LEFT(H1390,FIND(" (",H1390)-1)</f>
        <v>Entry</v>
      </c>
      <c r="J1390" t="str">
        <f>MID(H1390,FIND("(",H1390)+1,FIND(")",H1390)-FIND("(",H1390)-1)</f>
        <v>0-2 yrs</v>
      </c>
      <c r="L1390">
        <v>70403</v>
      </c>
      <c r="M1390" t="s">
        <v>2903</v>
      </c>
      <c r="N1390" t="s">
        <v>33</v>
      </c>
      <c r="O1390" t="s">
        <v>51</v>
      </c>
      <c r="P1390" s="1">
        <v>45410</v>
      </c>
      <c r="Q1390">
        <v>507</v>
      </c>
      <c r="R1390">
        <v>2556</v>
      </c>
      <c r="S1390" t="s">
        <v>23</v>
      </c>
      <c r="T1390">
        <v>0</v>
      </c>
      <c r="U1390" t="s">
        <v>5123</v>
      </c>
      <c r="V1390" t="s">
        <v>46</v>
      </c>
      <c r="W1390" t="s">
        <v>23</v>
      </c>
    </row>
    <row r="1391" spans="1:23" x14ac:dyDescent="0.3">
      <c r="A1391" t="s">
        <v>2904</v>
      </c>
      <c r="B1391" t="s">
        <v>172</v>
      </c>
      <c r="C1391" t="s">
        <v>110</v>
      </c>
      <c r="D1391" t="s">
        <v>125</v>
      </c>
      <c r="E1391" t="s">
        <v>5139</v>
      </c>
      <c r="F1391" t="s">
        <v>5133</v>
      </c>
      <c r="G1391" t="s">
        <v>18</v>
      </c>
      <c r="H1391" t="s">
        <v>31</v>
      </c>
      <c r="I1391" t="str">
        <f>LEFT(H1391,FIND(" (",H1391)-1)</f>
        <v>Staff/Principal</v>
      </c>
      <c r="J1391" t="str">
        <f>MID(H1391,FIND("(",H1391)+1,FIND(")",H1391)-FIND("(",H1391)-1)</f>
        <v>8+ yrs</v>
      </c>
      <c r="L1391">
        <v>172876</v>
      </c>
      <c r="M1391" t="s">
        <v>2905</v>
      </c>
      <c r="N1391" t="s">
        <v>33</v>
      </c>
      <c r="O1391" t="s">
        <v>79</v>
      </c>
      <c r="P1391" s="1">
        <v>45686</v>
      </c>
      <c r="Q1391">
        <v>2057</v>
      </c>
      <c r="R1391">
        <v>2139</v>
      </c>
      <c r="S1391" t="s">
        <v>34</v>
      </c>
      <c r="T1391">
        <v>6</v>
      </c>
      <c r="U1391" t="s">
        <v>83</v>
      </c>
      <c r="V1391" t="s">
        <v>24</v>
      </c>
      <c r="W1391" t="s">
        <v>23</v>
      </c>
    </row>
    <row r="1392" spans="1:23" x14ac:dyDescent="0.3">
      <c r="A1392" t="s">
        <v>2906</v>
      </c>
      <c r="B1392" t="s">
        <v>36</v>
      </c>
      <c r="C1392" t="s">
        <v>48</v>
      </c>
      <c r="D1392" t="s">
        <v>75</v>
      </c>
      <c r="E1392" t="s">
        <v>5140</v>
      </c>
      <c r="F1392" t="s">
        <v>5133</v>
      </c>
      <c r="G1392" t="s">
        <v>55</v>
      </c>
      <c r="H1392" t="s">
        <v>31</v>
      </c>
      <c r="I1392" t="str">
        <f>LEFT(H1392,FIND(" (",H1392)-1)</f>
        <v>Staff/Principal</v>
      </c>
      <c r="J1392" t="str">
        <f>MID(H1392,FIND("(",H1392)+1,FIND(")",H1392)-FIND("(",H1392)-1)</f>
        <v>8+ yrs</v>
      </c>
      <c r="L1392">
        <v>216558</v>
      </c>
      <c r="M1392" t="s">
        <v>2907</v>
      </c>
      <c r="N1392" t="s">
        <v>33</v>
      </c>
      <c r="O1392" t="s">
        <v>79</v>
      </c>
      <c r="P1392" s="1">
        <v>45659</v>
      </c>
      <c r="Q1392">
        <v>1301</v>
      </c>
      <c r="R1392">
        <v>44</v>
      </c>
      <c r="S1392" t="s">
        <v>99</v>
      </c>
      <c r="T1392">
        <v>6</v>
      </c>
      <c r="U1392" t="s">
        <v>58</v>
      </c>
      <c r="V1392" t="s">
        <v>24</v>
      </c>
      <c r="W1392" t="s">
        <v>34</v>
      </c>
    </row>
    <row r="1393" spans="1:23" x14ac:dyDescent="0.3">
      <c r="A1393" t="s">
        <v>2908</v>
      </c>
      <c r="B1393" t="s">
        <v>172</v>
      </c>
      <c r="C1393" t="s">
        <v>195</v>
      </c>
      <c r="D1393" t="s">
        <v>38</v>
      </c>
      <c r="E1393" t="s">
        <v>64</v>
      </c>
      <c r="F1393" t="s">
        <v>65</v>
      </c>
      <c r="G1393" t="s">
        <v>18</v>
      </c>
      <c r="H1393" t="s">
        <v>66</v>
      </c>
      <c r="I1393" t="str">
        <f>LEFT(H1393,FIND(" (",H1393)-1)</f>
        <v>Senior</v>
      </c>
      <c r="J1393" t="str">
        <f>MID(H1393,FIND("(",H1393)+1,FIND(")",H1393)-FIND("(",H1393)-1)</f>
        <v>5-8 yrs</v>
      </c>
      <c r="L1393">
        <v>131701</v>
      </c>
      <c r="M1393" t="s">
        <v>2909</v>
      </c>
      <c r="N1393" t="s">
        <v>33</v>
      </c>
      <c r="O1393" t="s">
        <v>51</v>
      </c>
      <c r="P1393" s="1">
        <v>45591</v>
      </c>
      <c r="Q1393">
        <v>1971</v>
      </c>
      <c r="R1393">
        <v>3014</v>
      </c>
      <c r="S1393" t="s">
        <v>99</v>
      </c>
      <c r="T1393">
        <v>4</v>
      </c>
      <c r="U1393" t="s">
        <v>5123</v>
      </c>
      <c r="V1393" t="s">
        <v>59</v>
      </c>
      <c r="W1393" t="s">
        <v>34</v>
      </c>
    </row>
    <row r="1394" spans="1:23" x14ac:dyDescent="0.3">
      <c r="A1394" t="s">
        <v>2910</v>
      </c>
      <c r="B1394" t="s">
        <v>96</v>
      </c>
      <c r="C1394" t="s">
        <v>204</v>
      </c>
      <c r="D1394" t="s">
        <v>147</v>
      </c>
      <c r="E1394" t="s">
        <v>159</v>
      </c>
      <c r="F1394" t="s">
        <v>160</v>
      </c>
      <c r="G1394" t="s">
        <v>41</v>
      </c>
      <c r="H1394" t="s">
        <v>31</v>
      </c>
      <c r="I1394" t="str">
        <f>LEFT(H1394,FIND(" (",H1394)-1)</f>
        <v>Staff/Principal</v>
      </c>
      <c r="J1394" t="str">
        <f>MID(H1394,FIND("(",H1394)+1,FIND(")",H1394)-FIND("(",H1394)-1)</f>
        <v>8+ yrs</v>
      </c>
      <c r="L1394">
        <v>272481</v>
      </c>
      <c r="M1394" t="s">
        <v>2911</v>
      </c>
      <c r="N1394" t="s">
        <v>33</v>
      </c>
      <c r="O1394" t="s">
        <v>79</v>
      </c>
      <c r="P1394" s="1">
        <v>45342</v>
      </c>
      <c r="Q1394">
        <v>2071</v>
      </c>
      <c r="R1394">
        <v>2241</v>
      </c>
      <c r="S1394" t="s">
        <v>23</v>
      </c>
      <c r="T1394">
        <v>6</v>
      </c>
      <c r="U1394" t="s">
        <v>45</v>
      </c>
      <c r="V1394" t="s">
        <v>24</v>
      </c>
      <c r="W1394" t="s">
        <v>23</v>
      </c>
    </row>
    <row r="1395" spans="1:23" x14ac:dyDescent="0.3">
      <c r="A1395" t="s">
        <v>2912</v>
      </c>
      <c r="B1395" t="s">
        <v>137</v>
      </c>
      <c r="C1395" t="s">
        <v>62</v>
      </c>
      <c r="D1395" t="s">
        <v>15</v>
      </c>
      <c r="E1395" t="s">
        <v>39</v>
      </c>
      <c r="F1395" t="s">
        <v>40</v>
      </c>
      <c r="G1395" t="s">
        <v>55</v>
      </c>
      <c r="H1395" t="s">
        <v>56</v>
      </c>
      <c r="I1395" t="str">
        <f>LEFT(H1395,FIND(" (",H1395)-1)</f>
        <v>Mid</v>
      </c>
      <c r="J1395" t="str">
        <f>MID(H1395,FIND("(",H1395)+1,FIND(")",H1395)-FIND("(",H1395)-1)</f>
        <v>2-5 yrs</v>
      </c>
      <c r="L1395">
        <v>112703</v>
      </c>
      <c r="M1395" t="s">
        <v>2913</v>
      </c>
      <c r="N1395" t="s">
        <v>33</v>
      </c>
      <c r="O1395" t="s">
        <v>51</v>
      </c>
      <c r="P1395" s="1">
        <v>45380</v>
      </c>
      <c r="Q1395">
        <v>1097</v>
      </c>
      <c r="R1395">
        <v>1843</v>
      </c>
      <c r="S1395" t="s">
        <v>23</v>
      </c>
      <c r="T1395">
        <v>2</v>
      </c>
      <c r="U1395" t="s">
        <v>5123</v>
      </c>
      <c r="V1395" t="s">
        <v>46</v>
      </c>
      <c r="W1395" t="s">
        <v>23</v>
      </c>
    </row>
    <row r="1396" spans="1:23" x14ac:dyDescent="0.3">
      <c r="A1396" t="s">
        <v>2914</v>
      </c>
      <c r="B1396" t="s">
        <v>236</v>
      </c>
      <c r="C1396" t="s">
        <v>158</v>
      </c>
      <c r="D1396" t="s">
        <v>174</v>
      </c>
      <c r="E1396" t="s">
        <v>102</v>
      </c>
      <c r="F1396" t="s">
        <v>103</v>
      </c>
      <c r="G1396" t="s">
        <v>41</v>
      </c>
      <c r="H1396" t="s">
        <v>56</v>
      </c>
      <c r="I1396" t="str">
        <f>LEFT(H1396,FIND(" (",H1396)-1)</f>
        <v>Mid</v>
      </c>
      <c r="J1396" t="str">
        <f>MID(H1396,FIND("(",H1396)+1,FIND(")",H1396)-FIND("(",H1396)-1)</f>
        <v>2-5 yrs</v>
      </c>
      <c r="L1396">
        <v>102766</v>
      </c>
      <c r="M1396" t="s">
        <v>2915</v>
      </c>
      <c r="N1396" t="s">
        <v>245</v>
      </c>
      <c r="O1396" t="s">
        <v>51</v>
      </c>
      <c r="P1396" s="1">
        <v>45620</v>
      </c>
      <c r="Q1396">
        <v>734</v>
      </c>
      <c r="R1396">
        <v>565</v>
      </c>
      <c r="S1396" t="s">
        <v>23</v>
      </c>
      <c r="T1396">
        <v>2</v>
      </c>
      <c r="U1396" t="s">
        <v>83</v>
      </c>
      <c r="V1396" t="s">
        <v>24</v>
      </c>
      <c r="W1396" t="s">
        <v>23</v>
      </c>
    </row>
    <row r="1397" spans="1:23" x14ac:dyDescent="0.3">
      <c r="A1397" t="s">
        <v>2916</v>
      </c>
      <c r="B1397" t="s">
        <v>329</v>
      </c>
      <c r="C1397" t="s">
        <v>74</v>
      </c>
      <c r="D1397" t="s">
        <v>15</v>
      </c>
      <c r="E1397" t="s">
        <v>216</v>
      </c>
      <c r="F1397" t="s">
        <v>217</v>
      </c>
      <c r="G1397" t="s">
        <v>55</v>
      </c>
      <c r="H1397" t="s">
        <v>66</v>
      </c>
      <c r="I1397" t="str">
        <f>LEFT(H1397,FIND(" (",H1397)-1)</f>
        <v>Senior</v>
      </c>
      <c r="J1397" t="str">
        <f>MID(H1397,FIND("(",H1397)+1,FIND(")",H1397)-FIND("(",H1397)-1)</f>
        <v>5-8 yrs</v>
      </c>
      <c r="L1397">
        <v>154986</v>
      </c>
      <c r="M1397" t="s">
        <v>2917</v>
      </c>
      <c r="N1397" t="s">
        <v>33</v>
      </c>
      <c r="O1397" t="s">
        <v>51</v>
      </c>
      <c r="P1397" s="1">
        <v>45486</v>
      </c>
      <c r="Q1397">
        <v>596</v>
      </c>
      <c r="R1397">
        <v>3771</v>
      </c>
      <c r="S1397" t="s">
        <v>23</v>
      </c>
      <c r="T1397">
        <v>4</v>
      </c>
      <c r="U1397" t="s">
        <v>45</v>
      </c>
      <c r="V1397" t="s">
        <v>24</v>
      </c>
      <c r="W1397" t="s">
        <v>34</v>
      </c>
    </row>
    <row r="1398" spans="1:23" x14ac:dyDescent="0.3">
      <c r="A1398" t="s">
        <v>2918</v>
      </c>
      <c r="B1398" t="s">
        <v>137</v>
      </c>
      <c r="C1398" t="s">
        <v>74</v>
      </c>
      <c r="D1398" t="s">
        <v>75</v>
      </c>
      <c r="E1398" t="s">
        <v>159</v>
      </c>
      <c r="F1398" t="s">
        <v>160</v>
      </c>
      <c r="G1398" t="s">
        <v>41</v>
      </c>
      <c r="H1398" t="s">
        <v>66</v>
      </c>
      <c r="I1398" t="str">
        <f>LEFT(H1398,FIND(" (",H1398)-1)</f>
        <v>Senior</v>
      </c>
      <c r="J1398" t="str">
        <f>MID(H1398,FIND("(",H1398)+1,FIND(")",H1398)-FIND("(",H1398)-1)</f>
        <v>5-8 yrs</v>
      </c>
      <c r="L1398">
        <v>113627</v>
      </c>
      <c r="M1398" t="s">
        <v>2919</v>
      </c>
      <c r="N1398" t="s">
        <v>33</v>
      </c>
      <c r="O1398" t="s">
        <v>51</v>
      </c>
      <c r="P1398" s="1">
        <v>45388</v>
      </c>
      <c r="Q1398">
        <v>767</v>
      </c>
      <c r="R1398">
        <v>3456</v>
      </c>
      <c r="S1398" t="s">
        <v>99</v>
      </c>
      <c r="T1398">
        <v>4</v>
      </c>
      <c r="U1398" t="s">
        <v>83</v>
      </c>
      <c r="V1398" t="s">
        <v>24</v>
      </c>
      <c r="W1398" t="s">
        <v>34</v>
      </c>
    </row>
    <row r="1399" spans="1:23" x14ac:dyDescent="0.3">
      <c r="A1399" t="s">
        <v>2920</v>
      </c>
      <c r="B1399" t="s">
        <v>225</v>
      </c>
      <c r="C1399" t="s">
        <v>74</v>
      </c>
      <c r="D1399" t="s">
        <v>63</v>
      </c>
      <c r="E1399" t="s">
        <v>5140</v>
      </c>
      <c r="F1399" t="s">
        <v>5133</v>
      </c>
      <c r="G1399" t="s">
        <v>41</v>
      </c>
      <c r="H1399" t="s">
        <v>19</v>
      </c>
      <c r="I1399" t="str">
        <f>LEFT(H1399,FIND(" (",H1399)-1)</f>
        <v>Entry</v>
      </c>
      <c r="J1399" t="str">
        <f>MID(H1399,FIND("(",H1399)+1,FIND(")",H1399)-FIND("(",H1399)-1)</f>
        <v>0-2 yrs</v>
      </c>
      <c r="L1399">
        <v>57757</v>
      </c>
      <c r="M1399" t="s">
        <v>2921</v>
      </c>
      <c r="N1399" t="s">
        <v>89</v>
      </c>
      <c r="O1399" t="s">
        <v>51</v>
      </c>
      <c r="P1399" s="1">
        <v>45386</v>
      </c>
      <c r="Q1399">
        <v>2196</v>
      </c>
      <c r="R1399">
        <v>213</v>
      </c>
      <c r="S1399" t="s">
        <v>23</v>
      </c>
      <c r="T1399">
        <v>0</v>
      </c>
      <c r="U1399" t="s">
        <v>5123</v>
      </c>
      <c r="V1399" t="s">
        <v>59</v>
      </c>
      <c r="W1399" t="s">
        <v>23</v>
      </c>
    </row>
    <row r="1400" spans="1:23" x14ac:dyDescent="0.3">
      <c r="A1400" t="s">
        <v>2922</v>
      </c>
      <c r="B1400" t="s">
        <v>151</v>
      </c>
      <c r="C1400" t="s">
        <v>132</v>
      </c>
      <c r="D1400" t="s">
        <v>63</v>
      </c>
      <c r="E1400" t="s">
        <v>5137</v>
      </c>
      <c r="F1400" t="s">
        <v>5138</v>
      </c>
      <c r="G1400" t="s">
        <v>41</v>
      </c>
      <c r="H1400" t="s">
        <v>19</v>
      </c>
      <c r="I1400" t="str">
        <f>LEFT(H1400,FIND(" (",H1400)-1)</f>
        <v>Entry</v>
      </c>
      <c r="J1400" t="str">
        <f>MID(H1400,FIND("(",H1400)+1,FIND(")",H1400)-FIND("(",H1400)-1)</f>
        <v>0-2 yrs</v>
      </c>
      <c r="L1400">
        <v>85125</v>
      </c>
      <c r="M1400" t="s">
        <v>2923</v>
      </c>
      <c r="N1400" t="s">
        <v>33</v>
      </c>
      <c r="O1400" t="s">
        <v>22</v>
      </c>
      <c r="P1400" s="1">
        <v>45368</v>
      </c>
      <c r="Q1400">
        <v>394</v>
      </c>
      <c r="R1400">
        <v>1654</v>
      </c>
      <c r="S1400" t="s">
        <v>23</v>
      </c>
      <c r="T1400">
        <v>0</v>
      </c>
      <c r="U1400" t="s">
        <v>83</v>
      </c>
      <c r="V1400" t="s">
        <v>24</v>
      </c>
      <c r="W1400" t="s">
        <v>23</v>
      </c>
    </row>
    <row r="1401" spans="1:23" x14ac:dyDescent="0.3">
      <c r="A1401" t="s">
        <v>2924</v>
      </c>
      <c r="B1401" t="s">
        <v>222</v>
      </c>
      <c r="C1401" t="s">
        <v>124</v>
      </c>
      <c r="D1401" t="s">
        <v>63</v>
      </c>
      <c r="E1401" t="s">
        <v>87</v>
      </c>
      <c r="F1401" t="s">
        <v>87</v>
      </c>
      <c r="G1401" t="s">
        <v>18</v>
      </c>
      <c r="H1401" t="s">
        <v>56</v>
      </c>
      <c r="I1401" t="str">
        <f>LEFT(H1401,FIND(" (",H1401)-1)</f>
        <v>Mid</v>
      </c>
      <c r="J1401" t="str">
        <f>MID(H1401,FIND("(",H1401)+1,FIND(")",H1401)-FIND("(",H1401)-1)</f>
        <v>2-5 yrs</v>
      </c>
      <c r="L1401">
        <v>96993</v>
      </c>
      <c r="M1401" t="s">
        <v>2925</v>
      </c>
      <c r="N1401" t="s">
        <v>186</v>
      </c>
      <c r="O1401" t="s">
        <v>51</v>
      </c>
      <c r="P1401" s="1">
        <v>45399</v>
      </c>
      <c r="Q1401">
        <v>381</v>
      </c>
      <c r="R1401">
        <v>3861</v>
      </c>
      <c r="S1401" t="s">
        <v>34</v>
      </c>
      <c r="T1401">
        <v>2</v>
      </c>
      <c r="U1401" t="s">
        <v>45</v>
      </c>
      <c r="V1401" t="s">
        <v>59</v>
      </c>
      <c r="W1401" t="s">
        <v>23</v>
      </c>
    </row>
    <row r="1402" spans="1:23" x14ac:dyDescent="0.3">
      <c r="A1402" t="s">
        <v>2926</v>
      </c>
      <c r="B1402" t="s">
        <v>329</v>
      </c>
      <c r="C1402" t="s">
        <v>182</v>
      </c>
      <c r="D1402" t="s">
        <v>174</v>
      </c>
      <c r="E1402" t="s">
        <v>16</v>
      </c>
      <c r="F1402" t="s">
        <v>17</v>
      </c>
      <c r="G1402" t="s">
        <v>41</v>
      </c>
      <c r="H1402" t="s">
        <v>56</v>
      </c>
      <c r="I1402" t="str">
        <f>LEFT(H1402,FIND(" (",H1402)-1)</f>
        <v>Mid</v>
      </c>
      <c r="J1402" t="str">
        <f>MID(H1402,FIND("(",H1402)+1,FIND(")",H1402)-FIND("(",H1402)-1)</f>
        <v>2-5 yrs</v>
      </c>
      <c r="L1402">
        <v>89271</v>
      </c>
      <c r="M1402" t="s">
        <v>2927</v>
      </c>
      <c r="N1402" t="s">
        <v>186</v>
      </c>
      <c r="O1402" t="s">
        <v>51</v>
      </c>
      <c r="P1402" s="1">
        <v>45585</v>
      </c>
      <c r="Q1402">
        <v>676</v>
      </c>
      <c r="R1402">
        <v>3314</v>
      </c>
      <c r="S1402" t="s">
        <v>23</v>
      </c>
      <c r="T1402">
        <v>2</v>
      </c>
      <c r="U1402" t="s">
        <v>45</v>
      </c>
      <c r="V1402" t="s">
        <v>24</v>
      </c>
      <c r="W1402" t="s">
        <v>23</v>
      </c>
    </row>
    <row r="1403" spans="1:23" x14ac:dyDescent="0.3">
      <c r="A1403" t="s">
        <v>2928</v>
      </c>
      <c r="B1403" t="s">
        <v>85</v>
      </c>
      <c r="C1403" t="s">
        <v>226</v>
      </c>
      <c r="D1403" t="s">
        <v>28</v>
      </c>
      <c r="E1403" t="s">
        <v>5139</v>
      </c>
      <c r="F1403" t="s">
        <v>5133</v>
      </c>
      <c r="G1403" t="s">
        <v>41</v>
      </c>
      <c r="H1403" t="s">
        <v>66</v>
      </c>
      <c r="I1403" t="str">
        <f>LEFT(H1403,FIND(" (",H1403)-1)</f>
        <v>Senior</v>
      </c>
      <c r="J1403" t="str">
        <f>MID(H1403,FIND("(",H1403)+1,FIND(")",H1403)-FIND("(",H1403)-1)</f>
        <v>5-8 yrs</v>
      </c>
      <c r="L1403">
        <v>164489</v>
      </c>
      <c r="M1403" t="s">
        <v>2929</v>
      </c>
      <c r="N1403" t="s">
        <v>245</v>
      </c>
      <c r="O1403" t="s">
        <v>22</v>
      </c>
      <c r="P1403" s="1">
        <v>45545</v>
      </c>
      <c r="Q1403">
        <v>1826</v>
      </c>
      <c r="R1403">
        <v>906</v>
      </c>
      <c r="S1403" t="s">
        <v>23</v>
      </c>
      <c r="T1403">
        <v>4</v>
      </c>
      <c r="U1403" t="s">
        <v>5123</v>
      </c>
      <c r="V1403" t="s">
        <v>24</v>
      </c>
      <c r="W1403" t="s">
        <v>23</v>
      </c>
    </row>
    <row r="1404" spans="1:23" x14ac:dyDescent="0.3">
      <c r="A1404" t="s">
        <v>2930</v>
      </c>
      <c r="B1404" t="s">
        <v>26</v>
      </c>
      <c r="C1404" t="s">
        <v>74</v>
      </c>
      <c r="D1404" t="s">
        <v>38</v>
      </c>
      <c r="E1404" t="s">
        <v>5141</v>
      </c>
      <c r="F1404" t="s">
        <v>5133</v>
      </c>
      <c r="G1404" t="s">
        <v>55</v>
      </c>
      <c r="H1404" t="s">
        <v>31</v>
      </c>
      <c r="I1404" t="str">
        <f>LEFT(H1404,FIND(" (",H1404)-1)</f>
        <v>Staff/Principal</v>
      </c>
      <c r="J1404" t="str">
        <f>MID(H1404,FIND("(",H1404)+1,FIND(")",H1404)-FIND("(",H1404)-1)</f>
        <v>8+ yrs</v>
      </c>
      <c r="L1404">
        <v>242685</v>
      </c>
      <c r="M1404" t="s">
        <v>2931</v>
      </c>
      <c r="N1404" t="s">
        <v>120</v>
      </c>
      <c r="O1404" t="s">
        <v>51</v>
      </c>
      <c r="P1404" s="1">
        <v>45555</v>
      </c>
      <c r="Q1404">
        <v>1746</v>
      </c>
      <c r="R1404">
        <v>2692</v>
      </c>
      <c r="S1404" t="s">
        <v>23</v>
      </c>
      <c r="T1404">
        <v>6</v>
      </c>
      <c r="U1404" t="s">
        <v>58</v>
      </c>
      <c r="V1404" t="s">
        <v>24</v>
      </c>
      <c r="W1404" t="s">
        <v>23</v>
      </c>
    </row>
    <row r="1405" spans="1:23" x14ac:dyDescent="0.3">
      <c r="A1405" t="s">
        <v>2932</v>
      </c>
      <c r="B1405" t="s">
        <v>96</v>
      </c>
      <c r="C1405" t="s">
        <v>158</v>
      </c>
      <c r="D1405" t="s">
        <v>63</v>
      </c>
      <c r="E1405" t="s">
        <v>5139</v>
      </c>
      <c r="F1405" t="s">
        <v>5133</v>
      </c>
      <c r="G1405" t="s">
        <v>55</v>
      </c>
      <c r="H1405" t="s">
        <v>56</v>
      </c>
      <c r="I1405" t="str">
        <f>LEFT(H1405,FIND(" (",H1405)-1)</f>
        <v>Mid</v>
      </c>
      <c r="J1405" t="str">
        <f>MID(H1405,FIND("(",H1405)+1,FIND(")",H1405)-FIND("(",H1405)-1)</f>
        <v>2-5 yrs</v>
      </c>
      <c r="L1405">
        <v>124235</v>
      </c>
      <c r="M1405" t="s">
        <v>2933</v>
      </c>
      <c r="N1405" t="s">
        <v>33</v>
      </c>
      <c r="O1405" t="s">
        <v>51</v>
      </c>
      <c r="P1405" s="1">
        <v>45716</v>
      </c>
      <c r="Q1405">
        <v>2448</v>
      </c>
      <c r="R1405">
        <v>1939</v>
      </c>
      <c r="S1405" t="s">
        <v>34</v>
      </c>
      <c r="T1405">
        <v>2</v>
      </c>
      <c r="U1405" t="s">
        <v>83</v>
      </c>
      <c r="V1405" t="s">
        <v>59</v>
      </c>
      <c r="W1405" t="s">
        <v>34</v>
      </c>
    </row>
    <row r="1406" spans="1:23" x14ac:dyDescent="0.3">
      <c r="A1406" t="s">
        <v>2934</v>
      </c>
      <c r="B1406" t="s">
        <v>222</v>
      </c>
      <c r="C1406" t="s">
        <v>182</v>
      </c>
      <c r="D1406" t="s">
        <v>174</v>
      </c>
      <c r="E1406" t="s">
        <v>216</v>
      </c>
      <c r="F1406" t="s">
        <v>217</v>
      </c>
      <c r="G1406" t="s">
        <v>41</v>
      </c>
      <c r="H1406" t="s">
        <v>31</v>
      </c>
      <c r="I1406" t="str">
        <f>LEFT(H1406,FIND(" (",H1406)-1)</f>
        <v>Staff/Principal</v>
      </c>
      <c r="J1406" t="str">
        <f>MID(H1406,FIND("(",H1406)+1,FIND(")",H1406)-FIND("(",H1406)-1)</f>
        <v>8+ yrs</v>
      </c>
      <c r="L1406">
        <v>235857</v>
      </c>
      <c r="M1406" t="s">
        <v>2935</v>
      </c>
      <c r="N1406" t="s">
        <v>33</v>
      </c>
      <c r="O1406" t="s">
        <v>44</v>
      </c>
      <c r="P1406" s="1">
        <v>45628</v>
      </c>
      <c r="Q1406">
        <v>429</v>
      </c>
      <c r="R1406">
        <v>1468</v>
      </c>
      <c r="S1406" t="s">
        <v>34</v>
      </c>
      <c r="T1406">
        <v>6</v>
      </c>
      <c r="U1406" t="s">
        <v>45</v>
      </c>
      <c r="V1406" t="s">
        <v>24</v>
      </c>
      <c r="W1406" t="s">
        <v>34</v>
      </c>
    </row>
    <row r="1407" spans="1:23" x14ac:dyDescent="0.3">
      <c r="A1407" t="s">
        <v>2936</v>
      </c>
      <c r="B1407" t="s">
        <v>229</v>
      </c>
      <c r="C1407" t="s">
        <v>167</v>
      </c>
      <c r="D1407" t="s">
        <v>111</v>
      </c>
      <c r="E1407" t="s">
        <v>133</v>
      </c>
      <c r="F1407" t="s">
        <v>134</v>
      </c>
      <c r="G1407" t="s">
        <v>18</v>
      </c>
      <c r="H1407" t="s">
        <v>56</v>
      </c>
      <c r="I1407" t="str">
        <f>LEFT(H1407,FIND(" (",H1407)-1)</f>
        <v>Mid</v>
      </c>
      <c r="J1407" t="str">
        <f>MID(H1407,FIND("(",H1407)+1,FIND(")",H1407)-FIND("(",H1407)-1)</f>
        <v>2-5 yrs</v>
      </c>
      <c r="L1407">
        <v>95015</v>
      </c>
      <c r="M1407" t="s">
        <v>2937</v>
      </c>
      <c r="N1407" t="s">
        <v>120</v>
      </c>
      <c r="O1407" t="s">
        <v>44</v>
      </c>
      <c r="P1407" s="1">
        <v>45529</v>
      </c>
      <c r="Q1407">
        <v>487</v>
      </c>
      <c r="R1407">
        <v>2864</v>
      </c>
      <c r="S1407" t="s">
        <v>23</v>
      </c>
      <c r="T1407">
        <v>2</v>
      </c>
      <c r="U1407" t="s">
        <v>52</v>
      </c>
      <c r="V1407" t="s">
        <v>59</v>
      </c>
      <c r="W1407" t="s">
        <v>23</v>
      </c>
    </row>
    <row r="1408" spans="1:23" x14ac:dyDescent="0.3">
      <c r="A1408" t="s">
        <v>2938</v>
      </c>
      <c r="B1408" t="s">
        <v>61</v>
      </c>
      <c r="C1408" t="s">
        <v>27</v>
      </c>
      <c r="D1408" t="s">
        <v>75</v>
      </c>
      <c r="E1408" t="s">
        <v>16</v>
      </c>
      <c r="F1408" t="s">
        <v>17</v>
      </c>
      <c r="G1408" t="s">
        <v>41</v>
      </c>
      <c r="H1408" t="s">
        <v>66</v>
      </c>
      <c r="I1408" t="str">
        <f>LEFT(H1408,FIND(" (",H1408)-1)</f>
        <v>Senior</v>
      </c>
      <c r="J1408" t="str">
        <f>MID(H1408,FIND("(",H1408)+1,FIND(")",H1408)-FIND("(",H1408)-1)</f>
        <v>5-8 yrs</v>
      </c>
      <c r="L1408">
        <v>111611</v>
      </c>
      <c r="M1408" t="s">
        <v>2939</v>
      </c>
      <c r="N1408" t="s">
        <v>68</v>
      </c>
      <c r="O1408" t="s">
        <v>79</v>
      </c>
      <c r="P1408" s="1">
        <v>45468</v>
      </c>
      <c r="Q1408">
        <v>750</v>
      </c>
      <c r="R1408">
        <v>1461</v>
      </c>
      <c r="S1408" t="s">
        <v>34</v>
      </c>
      <c r="T1408">
        <v>4</v>
      </c>
      <c r="U1408" t="s">
        <v>52</v>
      </c>
      <c r="V1408" t="s">
        <v>24</v>
      </c>
      <c r="W1408" t="s">
        <v>23</v>
      </c>
    </row>
    <row r="1409" spans="1:23" x14ac:dyDescent="0.3">
      <c r="A1409" t="s">
        <v>2940</v>
      </c>
      <c r="B1409" t="s">
        <v>81</v>
      </c>
      <c r="C1409" t="s">
        <v>209</v>
      </c>
      <c r="D1409" t="s">
        <v>63</v>
      </c>
      <c r="E1409" t="s">
        <v>5140</v>
      </c>
      <c r="F1409" t="s">
        <v>5133</v>
      </c>
      <c r="G1409" t="s">
        <v>41</v>
      </c>
      <c r="H1409" t="s">
        <v>66</v>
      </c>
      <c r="I1409" t="str">
        <f>LEFT(H1409,FIND(" (",H1409)-1)</f>
        <v>Senior</v>
      </c>
      <c r="J1409" t="str">
        <f>MID(H1409,FIND("(",H1409)+1,FIND(")",H1409)-FIND("(",H1409)-1)</f>
        <v>5-8 yrs</v>
      </c>
      <c r="L1409">
        <v>190536</v>
      </c>
      <c r="M1409" t="s">
        <v>2941</v>
      </c>
      <c r="N1409" t="s">
        <v>149</v>
      </c>
      <c r="O1409" t="s">
        <v>51</v>
      </c>
      <c r="P1409" s="1">
        <v>45579</v>
      </c>
      <c r="Q1409">
        <v>1252</v>
      </c>
      <c r="R1409">
        <v>3386</v>
      </c>
      <c r="S1409" t="s">
        <v>34</v>
      </c>
      <c r="T1409">
        <v>4</v>
      </c>
      <c r="U1409" t="s">
        <v>58</v>
      </c>
      <c r="V1409" t="s">
        <v>24</v>
      </c>
      <c r="W1409" t="s">
        <v>23</v>
      </c>
    </row>
    <row r="1410" spans="1:23" x14ac:dyDescent="0.3">
      <c r="A1410" t="s">
        <v>2942</v>
      </c>
      <c r="B1410" t="s">
        <v>236</v>
      </c>
      <c r="C1410" t="s">
        <v>37</v>
      </c>
      <c r="D1410" t="s">
        <v>15</v>
      </c>
      <c r="E1410" t="s">
        <v>5136</v>
      </c>
      <c r="F1410" t="s">
        <v>5133</v>
      </c>
      <c r="G1410" t="s">
        <v>41</v>
      </c>
      <c r="H1410" t="s">
        <v>56</v>
      </c>
      <c r="I1410" t="str">
        <f>LEFT(H1410,FIND(" (",H1410)-1)</f>
        <v>Mid</v>
      </c>
      <c r="J1410" t="str">
        <f>MID(H1410,FIND("(",H1410)+1,FIND(")",H1410)-FIND("(",H1410)-1)</f>
        <v>2-5 yrs</v>
      </c>
      <c r="L1410">
        <v>103610</v>
      </c>
      <c r="M1410" t="s">
        <v>2943</v>
      </c>
      <c r="N1410" t="s">
        <v>33</v>
      </c>
      <c r="O1410" t="s">
        <v>22</v>
      </c>
      <c r="P1410" s="1">
        <v>45663</v>
      </c>
      <c r="Q1410">
        <v>983</v>
      </c>
      <c r="R1410">
        <v>1652</v>
      </c>
      <c r="S1410" t="s">
        <v>23</v>
      </c>
      <c r="T1410">
        <v>2</v>
      </c>
      <c r="U1410" t="s">
        <v>58</v>
      </c>
      <c r="V1410" t="s">
        <v>59</v>
      </c>
      <c r="W1410" t="s">
        <v>34</v>
      </c>
    </row>
    <row r="1411" spans="1:23" x14ac:dyDescent="0.3">
      <c r="A1411" t="s">
        <v>2944</v>
      </c>
      <c r="B1411" t="s">
        <v>329</v>
      </c>
      <c r="C1411" t="s">
        <v>62</v>
      </c>
      <c r="D1411" t="s">
        <v>38</v>
      </c>
      <c r="E1411" t="s">
        <v>102</v>
      </c>
      <c r="F1411" t="s">
        <v>103</v>
      </c>
      <c r="G1411" t="s">
        <v>55</v>
      </c>
      <c r="H1411" t="s">
        <v>31</v>
      </c>
      <c r="I1411" t="str">
        <f>LEFT(H1411,FIND(" (",H1411)-1)</f>
        <v>Staff/Principal</v>
      </c>
      <c r="J1411" t="str">
        <f>MID(H1411,FIND("(",H1411)+1,FIND(")",H1411)-FIND("(",H1411)-1)</f>
        <v>8+ yrs</v>
      </c>
      <c r="L1411">
        <v>190970</v>
      </c>
      <c r="M1411" t="s">
        <v>2945</v>
      </c>
      <c r="N1411" t="s">
        <v>245</v>
      </c>
      <c r="O1411" t="s">
        <v>51</v>
      </c>
      <c r="P1411" s="1">
        <v>45468</v>
      </c>
      <c r="Q1411">
        <v>1733</v>
      </c>
      <c r="R1411">
        <v>1437</v>
      </c>
      <c r="S1411" t="s">
        <v>23</v>
      </c>
      <c r="T1411">
        <v>6</v>
      </c>
      <c r="U1411" t="s">
        <v>5123</v>
      </c>
      <c r="V1411" t="s">
        <v>24</v>
      </c>
      <c r="W1411" t="s">
        <v>23</v>
      </c>
    </row>
    <row r="1412" spans="1:23" x14ac:dyDescent="0.3">
      <c r="A1412" t="s">
        <v>2946</v>
      </c>
      <c r="B1412" t="s">
        <v>229</v>
      </c>
      <c r="C1412" t="s">
        <v>226</v>
      </c>
      <c r="D1412" t="s">
        <v>174</v>
      </c>
      <c r="E1412" t="s">
        <v>200</v>
      </c>
      <c r="F1412" t="s">
        <v>201</v>
      </c>
      <c r="G1412" t="s">
        <v>18</v>
      </c>
      <c r="H1412" t="s">
        <v>19</v>
      </c>
      <c r="I1412" t="str">
        <f>LEFT(H1412,FIND(" (",H1412)-1)</f>
        <v>Entry</v>
      </c>
      <c r="J1412" t="str">
        <f>MID(H1412,FIND("(",H1412)+1,FIND(")",H1412)-FIND("(",H1412)-1)</f>
        <v>0-2 yrs</v>
      </c>
      <c r="L1412">
        <v>86735</v>
      </c>
      <c r="M1412" t="s">
        <v>2947</v>
      </c>
      <c r="N1412" t="s">
        <v>33</v>
      </c>
      <c r="O1412" t="s">
        <v>51</v>
      </c>
      <c r="P1412" s="1">
        <v>45340</v>
      </c>
      <c r="Q1412">
        <v>1200</v>
      </c>
      <c r="R1412">
        <v>2830</v>
      </c>
      <c r="S1412" t="s">
        <v>23</v>
      </c>
      <c r="T1412">
        <v>0</v>
      </c>
      <c r="U1412" t="s">
        <v>5123</v>
      </c>
      <c r="V1412" t="s">
        <v>46</v>
      </c>
      <c r="W1412" t="s">
        <v>34</v>
      </c>
    </row>
    <row r="1413" spans="1:23" x14ac:dyDescent="0.3">
      <c r="A1413" t="s">
        <v>2948</v>
      </c>
      <c r="B1413" t="s">
        <v>96</v>
      </c>
      <c r="C1413" t="s">
        <v>209</v>
      </c>
      <c r="D1413" t="s">
        <v>49</v>
      </c>
      <c r="E1413" t="s">
        <v>133</v>
      </c>
      <c r="F1413" t="s">
        <v>134</v>
      </c>
      <c r="G1413" t="s">
        <v>55</v>
      </c>
      <c r="H1413" t="s">
        <v>56</v>
      </c>
      <c r="I1413" t="str">
        <f>LEFT(H1413,FIND(" (",H1413)-1)</f>
        <v>Mid</v>
      </c>
      <c r="J1413" t="str">
        <f>MID(H1413,FIND("(",H1413)+1,FIND(")",H1413)-FIND("(",H1413)-1)</f>
        <v>2-5 yrs</v>
      </c>
      <c r="L1413">
        <v>121013</v>
      </c>
      <c r="M1413" t="s">
        <v>2949</v>
      </c>
      <c r="N1413" t="s">
        <v>33</v>
      </c>
      <c r="O1413" t="s">
        <v>51</v>
      </c>
      <c r="P1413" s="1">
        <v>45504</v>
      </c>
      <c r="Q1413">
        <v>2248</v>
      </c>
      <c r="R1413">
        <v>1544</v>
      </c>
      <c r="S1413" t="s">
        <v>99</v>
      </c>
      <c r="T1413">
        <v>2</v>
      </c>
      <c r="U1413" t="s">
        <v>52</v>
      </c>
      <c r="V1413" t="s">
        <v>59</v>
      </c>
      <c r="W1413" t="s">
        <v>34</v>
      </c>
    </row>
    <row r="1414" spans="1:23" x14ac:dyDescent="0.3">
      <c r="A1414" t="s">
        <v>2950</v>
      </c>
      <c r="B1414" t="s">
        <v>13</v>
      </c>
      <c r="C1414" t="s">
        <v>239</v>
      </c>
      <c r="D1414" t="s">
        <v>15</v>
      </c>
      <c r="E1414" t="s">
        <v>5139</v>
      </c>
      <c r="F1414" t="s">
        <v>5133</v>
      </c>
      <c r="G1414" t="s">
        <v>18</v>
      </c>
      <c r="H1414" t="s">
        <v>56</v>
      </c>
      <c r="I1414" t="str">
        <f>LEFT(H1414,FIND(" (",H1414)-1)</f>
        <v>Mid</v>
      </c>
      <c r="J1414" t="str">
        <f>MID(H1414,FIND("(",H1414)+1,FIND(")",H1414)-FIND("(",H1414)-1)</f>
        <v>2-5 yrs</v>
      </c>
      <c r="L1414">
        <v>119026</v>
      </c>
      <c r="M1414" t="s">
        <v>2951</v>
      </c>
      <c r="N1414" t="s">
        <v>21</v>
      </c>
      <c r="O1414" t="s">
        <v>51</v>
      </c>
      <c r="P1414" s="1">
        <v>45423</v>
      </c>
      <c r="Q1414">
        <v>1258</v>
      </c>
      <c r="R1414">
        <v>353</v>
      </c>
      <c r="S1414" t="s">
        <v>23</v>
      </c>
      <c r="T1414">
        <v>2</v>
      </c>
      <c r="U1414" t="s">
        <v>58</v>
      </c>
      <c r="V1414" t="s">
        <v>24</v>
      </c>
      <c r="W1414" t="s">
        <v>23</v>
      </c>
    </row>
    <row r="1415" spans="1:23" x14ac:dyDescent="0.3">
      <c r="A1415" t="s">
        <v>2952</v>
      </c>
      <c r="B1415" t="s">
        <v>91</v>
      </c>
      <c r="C1415" t="s">
        <v>107</v>
      </c>
      <c r="D1415" t="s">
        <v>111</v>
      </c>
      <c r="E1415" t="s">
        <v>5136</v>
      </c>
      <c r="F1415" t="s">
        <v>5133</v>
      </c>
      <c r="G1415" t="s">
        <v>18</v>
      </c>
      <c r="H1415" t="s">
        <v>66</v>
      </c>
      <c r="I1415" t="str">
        <f>LEFT(H1415,FIND(" (",H1415)-1)</f>
        <v>Senior</v>
      </c>
      <c r="J1415" t="str">
        <f>MID(H1415,FIND("(",H1415)+1,FIND(")",H1415)-FIND("(",H1415)-1)</f>
        <v>5-8 yrs</v>
      </c>
      <c r="L1415">
        <v>208455</v>
      </c>
      <c r="M1415" t="s">
        <v>2953</v>
      </c>
      <c r="N1415" t="s">
        <v>33</v>
      </c>
      <c r="O1415" t="s">
        <v>44</v>
      </c>
      <c r="P1415" s="1">
        <v>45544</v>
      </c>
      <c r="Q1415">
        <v>885</v>
      </c>
      <c r="R1415">
        <v>3768</v>
      </c>
      <c r="S1415" t="s">
        <v>23</v>
      </c>
      <c r="T1415">
        <v>4</v>
      </c>
      <c r="U1415" t="s">
        <v>58</v>
      </c>
      <c r="V1415" t="s">
        <v>24</v>
      </c>
      <c r="W1415" t="s">
        <v>23</v>
      </c>
    </row>
    <row r="1416" spans="1:23" x14ac:dyDescent="0.3">
      <c r="A1416" t="s">
        <v>2954</v>
      </c>
      <c r="B1416" t="s">
        <v>13</v>
      </c>
      <c r="C1416" t="s">
        <v>97</v>
      </c>
      <c r="D1416" t="s">
        <v>125</v>
      </c>
      <c r="E1416" t="s">
        <v>87</v>
      </c>
      <c r="F1416" t="s">
        <v>87</v>
      </c>
      <c r="G1416" t="s">
        <v>18</v>
      </c>
      <c r="H1416" t="s">
        <v>56</v>
      </c>
      <c r="I1416" t="str">
        <f>LEFT(H1416,FIND(" (",H1416)-1)</f>
        <v>Mid</v>
      </c>
      <c r="J1416" t="str">
        <f>MID(H1416,FIND("(",H1416)+1,FIND(")",H1416)-FIND("(",H1416)-1)</f>
        <v>2-5 yrs</v>
      </c>
      <c r="L1416">
        <v>97258</v>
      </c>
      <c r="M1416" t="s">
        <v>2955</v>
      </c>
      <c r="N1416" t="s">
        <v>33</v>
      </c>
      <c r="O1416" t="s">
        <v>22</v>
      </c>
      <c r="P1416" s="1">
        <v>45409</v>
      </c>
      <c r="Q1416">
        <v>1812</v>
      </c>
      <c r="R1416">
        <v>2499</v>
      </c>
      <c r="S1416" t="s">
        <v>23</v>
      </c>
      <c r="T1416">
        <v>2</v>
      </c>
      <c r="U1416" t="s">
        <v>58</v>
      </c>
      <c r="V1416" t="s">
        <v>24</v>
      </c>
      <c r="W1416" t="s">
        <v>34</v>
      </c>
    </row>
    <row r="1417" spans="1:23" x14ac:dyDescent="0.3">
      <c r="A1417" t="s">
        <v>2956</v>
      </c>
      <c r="B1417" t="s">
        <v>61</v>
      </c>
      <c r="C1417" t="s">
        <v>195</v>
      </c>
      <c r="D1417" t="s">
        <v>111</v>
      </c>
      <c r="E1417" t="s">
        <v>29</v>
      </c>
      <c r="F1417" t="s">
        <v>30</v>
      </c>
      <c r="G1417" t="s">
        <v>18</v>
      </c>
      <c r="H1417" t="s">
        <v>56</v>
      </c>
      <c r="I1417" t="str">
        <f>LEFT(H1417,FIND(" (",H1417)-1)</f>
        <v>Mid</v>
      </c>
      <c r="J1417" t="str">
        <f>MID(H1417,FIND("(",H1417)+1,FIND(")",H1417)-FIND("(",H1417)-1)</f>
        <v>2-5 yrs</v>
      </c>
      <c r="L1417">
        <v>128371</v>
      </c>
      <c r="M1417" t="s">
        <v>2957</v>
      </c>
      <c r="N1417" t="s">
        <v>68</v>
      </c>
      <c r="O1417" t="s">
        <v>22</v>
      </c>
      <c r="P1417" s="1">
        <v>45422</v>
      </c>
      <c r="Q1417">
        <v>1656</v>
      </c>
      <c r="R1417">
        <v>1209</v>
      </c>
      <c r="S1417" t="s">
        <v>23</v>
      </c>
      <c r="T1417">
        <v>2</v>
      </c>
      <c r="U1417" t="s">
        <v>45</v>
      </c>
      <c r="V1417" t="s">
        <v>24</v>
      </c>
      <c r="W1417" t="s">
        <v>34</v>
      </c>
    </row>
    <row r="1418" spans="1:23" x14ac:dyDescent="0.3">
      <c r="A1418" t="s">
        <v>2958</v>
      </c>
      <c r="B1418" t="s">
        <v>70</v>
      </c>
      <c r="C1418" t="s">
        <v>48</v>
      </c>
      <c r="D1418" t="s">
        <v>111</v>
      </c>
      <c r="E1418" t="s">
        <v>230</v>
      </c>
      <c r="F1418" t="s">
        <v>231</v>
      </c>
      <c r="G1418" t="s">
        <v>18</v>
      </c>
      <c r="H1418" t="s">
        <v>56</v>
      </c>
      <c r="I1418" t="str">
        <f>LEFT(H1418,FIND(" (",H1418)-1)</f>
        <v>Mid</v>
      </c>
      <c r="J1418" t="str">
        <f>MID(H1418,FIND("(",H1418)+1,FIND(")",H1418)-FIND("(",H1418)-1)</f>
        <v>2-5 yrs</v>
      </c>
      <c r="L1418">
        <v>111128</v>
      </c>
      <c r="M1418" t="s">
        <v>2959</v>
      </c>
      <c r="N1418" t="s">
        <v>33</v>
      </c>
      <c r="O1418" t="s">
        <v>51</v>
      </c>
      <c r="P1418" s="1">
        <v>45744</v>
      </c>
      <c r="Q1418">
        <v>786</v>
      </c>
      <c r="R1418">
        <v>2787</v>
      </c>
      <c r="S1418" t="s">
        <v>23</v>
      </c>
      <c r="T1418">
        <v>2</v>
      </c>
      <c r="U1418" t="s">
        <v>45</v>
      </c>
      <c r="V1418" t="s">
        <v>24</v>
      </c>
      <c r="W1418" t="s">
        <v>34</v>
      </c>
    </row>
    <row r="1419" spans="1:23" x14ac:dyDescent="0.3">
      <c r="A1419" t="s">
        <v>2960</v>
      </c>
      <c r="B1419" t="s">
        <v>143</v>
      </c>
      <c r="C1419" t="s">
        <v>116</v>
      </c>
      <c r="D1419" t="s">
        <v>147</v>
      </c>
      <c r="E1419" t="s">
        <v>39</v>
      </c>
      <c r="F1419" t="s">
        <v>40</v>
      </c>
      <c r="G1419" t="s">
        <v>41</v>
      </c>
      <c r="H1419" t="s">
        <v>19</v>
      </c>
      <c r="I1419" t="str">
        <f>LEFT(H1419,FIND(" (",H1419)-1)</f>
        <v>Entry</v>
      </c>
      <c r="J1419" t="str">
        <f>MID(H1419,FIND("(",H1419)+1,FIND(")",H1419)-FIND("(",H1419)-1)</f>
        <v>0-2 yrs</v>
      </c>
      <c r="L1419">
        <v>73384</v>
      </c>
      <c r="M1419" t="s">
        <v>2961</v>
      </c>
      <c r="N1419" t="s">
        <v>149</v>
      </c>
      <c r="O1419" t="s">
        <v>22</v>
      </c>
      <c r="P1419" s="1">
        <v>45491</v>
      </c>
      <c r="Q1419">
        <v>641</v>
      </c>
      <c r="R1419">
        <v>3055</v>
      </c>
      <c r="S1419" t="s">
        <v>34</v>
      </c>
      <c r="T1419">
        <v>0</v>
      </c>
      <c r="U1419" t="s">
        <v>83</v>
      </c>
      <c r="V1419" t="s">
        <v>24</v>
      </c>
      <c r="W1419" t="s">
        <v>23</v>
      </c>
    </row>
    <row r="1420" spans="1:23" x14ac:dyDescent="0.3">
      <c r="A1420" t="s">
        <v>2962</v>
      </c>
      <c r="B1420" t="s">
        <v>61</v>
      </c>
      <c r="C1420" t="s">
        <v>14</v>
      </c>
      <c r="D1420" t="s">
        <v>63</v>
      </c>
      <c r="E1420" t="s">
        <v>5137</v>
      </c>
      <c r="F1420" t="s">
        <v>5138</v>
      </c>
      <c r="G1420" t="s">
        <v>41</v>
      </c>
      <c r="H1420" t="s">
        <v>56</v>
      </c>
      <c r="I1420" t="str">
        <f>LEFT(H1420,FIND(" (",H1420)-1)</f>
        <v>Mid</v>
      </c>
      <c r="J1420" t="str">
        <f>MID(H1420,FIND("(",H1420)+1,FIND(")",H1420)-FIND("(",H1420)-1)</f>
        <v>2-5 yrs</v>
      </c>
      <c r="L1420">
        <v>140263</v>
      </c>
      <c r="M1420" t="s">
        <v>2963</v>
      </c>
      <c r="N1420" t="s">
        <v>33</v>
      </c>
      <c r="O1420" t="s">
        <v>22</v>
      </c>
      <c r="P1420" s="1">
        <v>45418</v>
      </c>
      <c r="Q1420">
        <v>410</v>
      </c>
      <c r="R1420">
        <v>1480</v>
      </c>
      <c r="S1420" t="s">
        <v>34</v>
      </c>
      <c r="T1420">
        <v>2</v>
      </c>
      <c r="U1420" t="s">
        <v>83</v>
      </c>
      <c r="V1420" t="s">
        <v>24</v>
      </c>
      <c r="W1420" t="s">
        <v>23</v>
      </c>
    </row>
    <row r="1421" spans="1:23" x14ac:dyDescent="0.3">
      <c r="A1421" t="s">
        <v>2964</v>
      </c>
      <c r="B1421" t="s">
        <v>172</v>
      </c>
      <c r="C1421" t="s">
        <v>124</v>
      </c>
      <c r="D1421" t="s">
        <v>125</v>
      </c>
      <c r="E1421" t="s">
        <v>5141</v>
      </c>
      <c r="F1421" t="s">
        <v>5133</v>
      </c>
      <c r="G1421" t="s">
        <v>55</v>
      </c>
      <c r="H1421" t="s">
        <v>66</v>
      </c>
      <c r="I1421" t="str">
        <f>LEFT(H1421,FIND(" (",H1421)-1)</f>
        <v>Senior</v>
      </c>
      <c r="J1421" t="str">
        <f>MID(H1421,FIND("(",H1421)+1,FIND(")",H1421)-FIND("(",H1421)-1)</f>
        <v>5-8 yrs</v>
      </c>
      <c r="L1421">
        <v>163711</v>
      </c>
      <c r="M1421" t="s">
        <v>2965</v>
      </c>
      <c r="N1421" t="s">
        <v>186</v>
      </c>
      <c r="O1421" t="s">
        <v>22</v>
      </c>
      <c r="P1421" s="1">
        <v>45671</v>
      </c>
      <c r="Q1421">
        <v>1845</v>
      </c>
      <c r="R1421">
        <v>3050</v>
      </c>
      <c r="S1421" t="s">
        <v>23</v>
      </c>
      <c r="T1421">
        <v>4</v>
      </c>
      <c r="U1421" t="s">
        <v>52</v>
      </c>
      <c r="V1421" t="s">
        <v>24</v>
      </c>
      <c r="W1421" t="s">
        <v>23</v>
      </c>
    </row>
    <row r="1422" spans="1:23" x14ac:dyDescent="0.3">
      <c r="A1422" t="s">
        <v>2966</v>
      </c>
      <c r="B1422" t="s">
        <v>229</v>
      </c>
      <c r="C1422" t="s">
        <v>71</v>
      </c>
      <c r="D1422" t="s">
        <v>147</v>
      </c>
      <c r="E1422" t="s">
        <v>230</v>
      </c>
      <c r="F1422" t="s">
        <v>231</v>
      </c>
      <c r="G1422" t="s">
        <v>41</v>
      </c>
      <c r="H1422" t="s">
        <v>56</v>
      </c>
      <c r="I1422" t="str">
        <f>LEFT(H1422,FIND(" (",H1422)-1)</f>
        <v>Mid</v>
      </c>
      <c r="J1422" t="str">
        <f>MID(H1422,FIND("(",H1422)+1,FIND(")",H1422)-FIND("(",H1422)-1)</f>
        <v>2-5 yrs</v>
      </c>
      <c r="L1422">
        <v>120658</v>
      </c>
      <c r="M1422" t="s">
        <v>2967</v>
      </c>
      <c r="N1422" t="s">
        <v>89</v>
      </c>
      <c r="O1422" t="s">
        <v>22</v>
      </c>
      <c r="P1422" s="1">
        <v>45742</v>
      </c>
      <c r="Q1422">
        <v>494</v>
      </c>
      <c r="R1422">
        <v>1124</v>
      </c>
      <c r="S1422" t="s">
        <v>34</v>
      </c>
      <c r="T1422">
        <v>2</v>
      </c>
      <c r="U1422" t="s">
        <v>52</v>
      </c>
      <c r="V1422" t="s">
        <v>24</v>
      </c>
      <c r="W1422" t="s">
        <v>23</v>
      </c>
    </row>
    <row r="1423" spans="1:23" x14ac:dyDescent="0.3">
      <c r="A1423" t="s">
        <v>2968</v>
      </c>
      <c r="B1423" t="s">
        <v>172</v>
      </c>
      <c r="C1423" t="s">
        <v>110</v>
      </c>
      <c r="D1423" t="s">
        <v>38</v>
      </c>
      <c r="E1423" t="s">
        <v>230</v>
      </c>
      <c r="F1423" t="s">
        <v>231</v>
      </c>
      <c r="G1423" t="s">
        <v>41</v>
      </c>
      <c r="H1423" t="s">
        <v>66</v>
      </c>
      <c r="I1423" t="str">
        <f>LEFT(H1423,FIND(" (",H1423)-1)</f>
        <v>Senior</v>
      </c>
      <c r="J1423" t="str">
        <f>MID(H1423,FIND("(",H1423)+1,FIND(")",H1423)-FIND("(",H1423)-1)</f>
        <v>5-8 yrs</v>
      </c>
      <c r="L1423">
        <v>178957</v>
      </c>
      <c r="M1423" t="s">
        <v>2969</v>
      </c>
      <c r="N1423" t="s">
        <v>186</v>
      </c>
      <c r="O1423" t="s">
        <v>44</v>
      </c>
      <c r="P1423" s="1">
        <v>45566</v>
      </c>
      <c r="Q1423">
        <v>841</v>
      </c>
      <c r="R1423">
        <v>1838</v>
      </c>
      <c r="S1423" t="s">
        <v>34</v>
      </c>
      <c r="T1423">
        <v>4</v>
      </c>
      <c r="U1423" t="s">
        <v>5123</v>
      </c>
      <c r="V1423" t="s">
        <v>59</v>
      </c>
      <c r="W1423" t="s">
        <v>34</v>
      </c>
    </row>
    <row r="1424" spans="1:23" x14ac:dyDescent="0.3">
      <c r="A1424" t="s">
        <v>2970</v>
      </c>
      <c r="B1424" t="s">
        <v>91</v>
      </c>
      <c r="C1424" t="s">
        <v>167</v>
      </c>
      <c r="D1424" t="s">
        <v>174</v>
      </c>
      <c r="E1424" t="s">
        <v>16</v>
      </c>
      <c r="F1424" t="s">
        <v>17</v>
      </c>
      <c r="G1424" t="s">
        <v>18</v>
      </c>
      <c r="H1424" t="s">
        <v>56</v>
      </c>
      <c r="I1424" t="str">
        <f>LEFT(H1424,FIND(" (",H1424)-1)</f>
        <v>Mid</v>
      </c>
      <c r="J1424" t="str">
        <f>MID(H1424,FIND("(",H1424)+1,FIND(")",H1424)-FIND("(",H1424)-1)</f>
        <v>2-5 yrs</v>
      </c>
      <c r="L1424">
        <v>102773</v>
      </c>
      <c r="M1424" t="s">
        <v>2971</v>
      </c>
      <c r="N1424" t="s">
        <v>33</v>
      </c>
      <c r="O1424" t="s">
        <v>44</v>
      </c>
      <c r="P1424" s="1">
        <v>45343</v>
      </c>
      <c r="Q1424">
        <v>1011</v>
      </c>
      <c r="R1424">
        <v>139</v>
      </c>
      <c r="S1424" t="s">
        <v>23</v>
      </c>
      <c r="T1424">
        <v>2</v>
      </c>
      <c r="U1424" t="s">
        <v>52</v>
      </c>
      <c r="V1424" t="s">
        <v>24</v>
      </c>
      <c r="W1424" t="s">
        <v>34</v>
      </c>
    </row>
    <row r="1425" spans="1:23" x14ac:dyDescent="0.3">
      <c r="A1425" t="s">
        <v>2972</v>
      </c>
      <c r="B1425" t="s">
        <v>137</v>
      </c>
      <c r="C1425" t="s">
        <v>48</v>
      </c>
      <c r="D1425" t="s">
        <v>49</v>
      </c>
      <c r="E1425" t="s">
        <v>5139</v>
      </c>
      <c r="F1425" t="s">
        <v>5133</v>
      </c>
      <c r="G1425" t="s">
        <v>18</v>
      </c>
      <c r="H1425" t="s">
        <v>19</v>
      </c>
      <c r="I1425" t="str">
        <f>LEFT(H1425,FIND(" (",H1425)-1)</f>
        <v>Entry</v>
      </c>
      <c r="J1425" t="str">
        <f>MID(H1425,FIND("(",H1425)+1,FIND(")",H1425)-FIND("(",H1425)-1)</f>
        <v>0-2 yrs</v>
      </c>
      <c r="L1425">
        <v>59425</v>
      </c>
      <c r="M1425" t="s">
        <v>2973</v>
      </c>
      <c r="N1425" t="s">
        <v>33</v>
      </c>
      <c r="O1425" t="s">
        <v>51</v>
      </c>
      <c r="P1425" s="1">
        <v>45722</v>
      </c>
      <c r="Q1425">
        <v>2261</v>
      </c>
      <c r="R1425">
        <v>1015</v>
      </c>
      <c r="S1425" t="s">
        <v>23</v>
      </c>
      <c r="T1425">
        <v>0</v>
      </c>
      <c r="U1425" t="s">
        <v>83</v>
      </c>
      <c r="V1425" t="s">
        <v>24</v>
      </c>
      <c r="W1425" t="s">
        <v>23</v>
      </c>
    </row>
    <row r="1426" spans="1:23" x14ac:dyDescent="0.3">
      <c r="A1426" t="s">
        <v>2974</v>
      </c>
      <c r="B1426" t="s">
        <v>143</v>
      </c>
      <c r="C1426" t="s">
        <v>182</v>
      </c>
      <c r="D1426" t="s">
        <v>49</v>
      </c>
      <c r="E1426" t="s">
        <v>159</v>
      </c>
      <c r="F1426" t="s">
        <v>160</v>
      </c>
      <c r="G1426" t="s">
        <v>18</v>
      </c>
      <c r="H1426" t="s">
        <v>66</v>
      </c>
      <c r="I1426" t="str">
        <f>LEFT(H1426,FIND(" (",H1426)-1)</f>
        <v>Senior</v>
      </c>
      <c r="J1426" t="str">
        <f>MID(H1426,FIND("(",H1426)+1,FIND(")",H1426)-FIND("(",H1426)-1)</f>
        <v>5-8 yrs</v>
      </c>
      <c r="L1426">
        <v>121790</v>
      </c>
      <c r="M1426" t="s">
        <v>2975</v>
      </c>
      <c r="N1426" t="s">
        <v>120</v>
      </c>
      <c r="O1426" t="s">
        <v>44</v>
      </c>
      <c r="P1426" s="1">
        <v>45386</v>
      </c>
      <c r="Q1426">
        <v>2241</v>
      </c>
      <c r="R1426">
        <v>3750</v>
      </c>
      <c r="S1426" t="s">
        <v>34</v>
      </c>
      <c r="T1426">
        <v>4</v>
      </c>
      <c r="U1426" t="s">
        <v>5123</v>
      </c>
      <c r="V1426" t="s">
        <v>24</v>
      </c>
      <c r="W1426" t="s">
        <v>34</v>
      </c>
    </row>
    <row r="1427" spans="1:23" x14ac:dyDescent="0.3">
      <c r="A1427" t="s">
        <v>2976</v>
      </c>
      <c r="B1427" t="s">
        <v>225</v>
      </c>
      <c r="C1427" t="s">
        <v>110</v>
      </c>
      <c r="D1427" t="s">
        <v>49</v>
      </c>
      <c r="E1427" t="s">
        <v>133</v>
      </c>
      <c r="F1427" t="s">
        <v>134</v>
      </c>
      <c r="G1427" t="s">
        <v>55</v>
      </c>
      <c r="H1427" t="s">
        <v>19</v>
      </c>
      <c r="I1427" t="str">
        <f>LEFT(H1427,FIND(" (",H1427)-1)</f>
        <v>Entry</v>
      </c>
      <c r="J1427" t="str">
        <f>MID(H1427,FIND("(",H1427)+1,FIND(")",H1427)-FIND("(",H1427)-1)</f>
        <v>0-2 yrs</v>
      </c>
      <c r="L1427">
        <v>50000</v>
      </c>
      <c r="M1427" t="s">
        <v>2977</v>
      </c>
      <c r="N1427" t="s">
        <v>43</v>
      </c>
      <c r="O1427" t="s">
        <v>44</v>
      </c>
      <c r="P1427" s="1">
        <v>45456</v>
      </c>
      <c r="Q1427">
        <v>629</v>
      </c>
      <c r="R1427">
        <v>2558</v>
      </c>
      <c r="S1427" t="s">
        <v>23</v>
      </c>
      <c r="T1427">
        <v>0</v>
      </c>
      <c r="U1427" t="s">
        <v>45</v>
      </c>
      <c r="V1427" t="s">
        <v>24</v>
      </c>
      <c r="W1427" t="s">
        <v>23</v>
      </c>
    </row>
    <row r="1428" spans="1:23" x14ac:dyDescent="0.3">
      <c r="A1428" t="s">
        <v>2978</v>
      </c>
      <c r="B1428" t="s">
        <v>329</v>
      </c>
      <c r="C1428" t="s">
        <v>110</v>
      </c>
      <c r="D1428" t="s">
        <v>38</v>
      </c>
      <c r="E1428" t="s">
        <v>64</v>
      </c>
      <c r="F1428" t="s">
        <v>65</v>
      </c>
      <c r="G1428" t="s">
        <v>41</v>
      </c>
      <c r="H1428" t="s">
        <v>31</v>
      </c>
      <c r="I1428" t="str">
        <f>LEFT(H1428,FIND(" (",H1428)-1)</f>
        <v>Staff/Principal</v>
      </c>
      <c r="J1428" t="str">
        <f>MID(H1428,FIND("(",H1428)+1,FIND(")",H1428)-FIND("(",H1428)-1)</f>
        <v>8+ yrs</v>
      </c>
      <c r="L1428">
        <v>274023</v>
      </c>
      <c r="M1428" t="s">
        <v>2979</v>
      </c>
      <c r="N1428" t="s">
        <v>89</v>
      </c>
      <c r="O1428" t="s">
        <v>51</v>
      </c>
      <c r="P1428" s="1">
        <v>45468</v>
      </c>
      <c r="Q1428">
        <v>776</v>
      </c>
      <c r="R1428">
        <v>2828</v>
      </c>
      <c r="S1428" t="s">
        <v>23</v>
      </c>
      <c r="T1428">
        <v>6</v>
      </c>
      <c r="U1428" t="s">
        <v>83</v>
      </c>
      <c r="V1428" t="s">
        <v>24</v>
      </c>
      <c r="W1428" t="s">
        <v>23</v>
      </c>
    </row>
    <row r="1429" spans="1:23" x14ac:dyDescent="0.3">
      <c r="A1429" t="s">
        <v>2980</v>
      </c>
      <c r="B1429" t="s">
        <v>329</v>
      </c>
      <c r="C1429" t="s">
        <v>74</v>
      </c>
      <c r="D1429" t="s">
        <v>38</v>
      </c>
      <c r="E1429" t="s">
        <v>200</v>
      </c>
      <c r="F1429" t="s">
        <v>201</v>
      </c>
      <c r="G1429" t="s">
        <v>18</v>
      </c>
      <c r="H1429" t="s">
        <v>56</v>
      </c>
      <c r="I1429" t="str">
        <f>LEFT(H1429,FIND(" (",H1429)-1)</f>
        <v>Mid</v>
      </c>
      <c r="J1429" t="str">
        <f>MID(H1429,FIND("(",H1429)+1,FIND(")",H1429)-FIND("(",H1429)-1)</f>
        <v>2-5 yrs</v>
      </c>
      <c r="L1429">
        <v>88156</v>
      </c>
      <c r="M1429" t="s">
        <v>2981</v>
      </c>
      <c r="N1429" t="s">
        <v>89</v>
      </c>
      <c r="O1429" t="s">
        <v>79</v>
      </c>
      <c r="P1429" s="1">
        <v>45346</v>
      </c>
      <c r="Q1429">
        <v>1824</v>
      </c>
      <c r="R1429">
        <v>1498</v>
      </c>
      <c r="S1429" t="s">
        <v>23</v>
      </c>
      <c r="T1429">
        <v>2</v>
      </c>
      <c r="U1429" t="s">
        <v>58</v>
      </c>
      <c r="V1429" t="s">
        <v>24</v>
      </c>
      <c r="W1429" t="s">
        <v>23</v>
      </c>
    </row>
    <row r="1430" spans="1:23" x14ac:dyDescent="0.3">
      <c r="A1430" t="s">
        <v>2982</v>
      </c>
      <c r="B1430" t="s">
        <v>131</v>
      </c>
      <c r="C1430" t="s">
        <v>182</v>
      </c>
      <c r="D1430" t="s">
        <v>28</v>
      </c>
      <c r="E1430" t="s">
        <v>230</v>
      </c>
      <c r="F1430" t="s">
        <v>231</v>
      </c>
      <c r="G1430" t="s">
        <v>55</v>
      </c>
      <c r="H1430" t="s">
        <v>31</v>
      </c>
      <c r="I1430" t="str">
        <f>LEFT(H1430,FIND(" (",H1430)-1)</f>
        <v>Staff/Principal</v>
      </c>
      <c r="J1430" t="str">
        <f>MID(H1430,FIND("(",H1430)+1,FIND(")",H1430)-FIND("(",H1430)-1)</f>
        <v>8+ yrs</v>
      </c>
      <c r="L1430">
        <v>192034</v>
      </c>
      <c r="M1430" t="s">
        <v>2983</v>
      </c>
      <c r="N1430" t="s">
        <v>33</v>
      </c>
      <c r="O1430" t="s">
        <v>51</v>
      </c>
      <c r="P1430" s="1">
        <v>45315</v>
      </c>
      <c r="Q1430">
        <v>581</v>
      </c>
      <c r="R1430">
        <v>1246</v>
      </c>
      <c r="S1430" t="s">
        <v>23</v>
      </c>
      <c r="T1430">
        <v>6</v>
      </c>
      <c r="U1430" t="s">
        <v>58</v>
      </c>
      <c r="V1430" t="s">
        <v>59</v>
      </c>
      <c r="W1430" t="s">
        <v>34</v>
      </c>
    </row>
    <row r="1431" spans="1:23" x14ac:dyDescent="0.3">
      <c r="A1431" t="s">
        <v>2984</v>
      </c>
      <c r="B1431" t="s">
        <v>329</v>
      </c>
      <c r="C1431" t="s">
        <v>48</v>
      </c>
      <c r="D1431" t="s">
        <v>28</v>
      </c>
      <c r="E1431" t="s">
        <v>87</v>
      </c>
      <c r="F1431" t="s">
        <v>87</v>
      </c>
      <c r="G1431" t="s">
        <v>18</v>
      </c>
      <c r="H1431" t="s">
        <v>56</v>
      </c>
      <c r="I1431" t="str">
        <f>LEFT(H1431,FIND(" (",H1431)-1)</f>
        <v>Mid</v>
      </c>
      <c r="J1431" t="str">
        <f>MID(H1431,FIND("(",H1431)+1,FIND(")",H1431)-FIND("(",H1431)-1)</f>
        <v>2-5 yrs</v>
      </c>
      <c r="L1431">
        <v>104519</v>
      </c>
      <c r="M1431" t="s">
        <v>2985</v>
      </c>
      <c r="N1431" t="s">
        <v>149</v>
      </c>
      <c r="O1431" t="s">
        <v>22</v>
      </c>
      <c r="P1431" s="1">
        <v>45640</v>
      </c>
      <c r="Q1431">
        <v>718</v>
      </c>
      <c r="R1431">
        <v>1544</v>
      </c>
      <c r="S1431" t="s">
        <v>34</v>
      </c>
      <c r="T1431">
        <v>2</v>
      </c>
      <c r="U1431" t="s">
        <v>83</v>
      </c>
      <c r="V1431" t="s">
        <v>24</v>
      </c>
      <c r="W1431" t="s">
        <v>23</v>
      </c>
    </row>
    <row r="1432" spans="1:23" x14ac:dyDescent="0.3">
      <c r="A1432" t="s">
        <v>2986</v>
      </c>
      <c r="B1432" t="s">
        <v>26</v>
      </c>
      <c r="C1432" t="s">
        <v>37</v>
      </c>
      <c r="D1432" t="s">
        <v>147</v>
      </c>
      <c r="E1432" t="s">
        <v>87</v>
      </c>
      <c r="F1432" t="s">
        <v>87</v>
      </c>
      <c r="G1432" t="s">
        <v>55</v>
      </c>
      <c r="H1432" t="s">
        <v>31</v>
      </c>
      <c r="I1432" t="str">
        <f>LEFT(H1432,FIND(" (",H1432)-1)</f>
        <v>Staff/Principal</v>
      </c>
      <c r="J1432" t="str">
        <f>MID(H1432,FIND("(",H1432)+1,FIND(")",H1432)-FIND("(",H1432)-1)</f>
        <v>8+ yrs</v>
      </c>
      <c r="L1432">
        <v>211066</v>
      </c>
      <c r="M1432" t="s">
        <v>2987</v>
      </c>
      <c r="N1432" t="s">
        <v>94</v>
      </c>
      <c r="O1432" t="s">
        <v>51</v>
      </c>
      <c r="P1432" s="1">
        <v>45504</v>
      </c>
      <c r="Q1432">
        <v>2278</v>
      </c>
      <c r="R1432">
        <v>3806</v>
      </c>
      <c r="S1432" t="s">
        <v>34</v>
      </c>
      <c r="T1432">
        <v>6</v>
      </c>
      <c r="U1432" t="s">
        <v>58</v>
      </c>
      <c r="V1432" t="s">
        <v>24</v>
      </c>
      <c r="W1432" t="s">
        <v>23</v>
      </c>
    </row>
    <row r="1433" spans="1:23" x14ac:dyDescent="0.3">
      <c r="A1433" t="s">
        <v>2988</v>
      </c>
      <c r="B1433" t="s">
        <v>91</v>
      </c>
      <c r="C1433" t="s">
        <v>71</v>
      </c>
      <c r="D1433" t="s">
        <v>174</v>
      </c>
      <c r="E1433" t="s">
        <v>5140</v>
      </c>
      <c r="F1433" t="s">
        <v>5133</v>
      </c>
      <c r="G1433" t="s">
        <v>18</v>
      </c>
      <c r="H1433" t="s">
        <v>19</v>
      </c>
      <c r="I1433" t="str">
        <f>LEFT(H1433,FIND(" (",H1433)-1)</f>
        <v>Entry</v>
      </c>
      <c r="J1433" t="str">
        <f>MID(H1433,FIND("(",H1433)+1,FIND(")",H1433)-FIND("(",H1433)-1)</f>
        <v>0-2 yrs</v>
      </c>
      <c r="L1433">
        <v>80278</v>
      </c>
      <c r="M1433" t="s">
        <v>2989</v>
      </c>
      <c r="N1433" t="s">
        <v>149</v>
      </c>
      <c r="O1433" t="s">
        <v>51</v>
      </c>
      <c r="P1433" s="1">
        <v>45404</v>
      </c>
      <c r="Q1433">
        <v>1041</v>
      </c>
      <c r="R1433">
        <v>3068</v>
      </c>
      <c r="S1433" t="s">
        <v>99</v>
      </c>
      <c r="T1433">
        <v>0</v>
      </c>
      <c r="U1433" t="s">
        <v>83</v>
      </c>
      <c r="V1433" t="s">
        <v>24</v>
      </c>
      <c r="W1433" t="s">
        <v>23</v>
      </c>
    </row>
    <row r="1434" spans="1:23" x14ac:dyDescent="0.3">
      <c r="A1434" t="s">
        <v>2990</v>
      </c>
      <c r="B1434" t="s">
        <v>96</v>
      </c>
      <c r="C1434" t="s">
        <v>209</v>
      </c>
      <c r="D1434" t="s">
        <v>111</v>
      </c>
      <c r="E1434" t="s">
        <v>5134</v>
      </c>
      <c r="F1434" t="s">
        <v>5133</v>
      </c>
      <c r="G1434" t="s">
        <v>18</v>
      </c>
      <c r="H1434" t="s">
        <v>19</v>
      </c>
      <c r="I1434" t="str">
        <f>LEFT(H1434,FIND(" (",H1434)-1)</f>
        <v>Entry</v>
      </c>
      <c r="J1434" t="str">
        <f>MID(H1434,FIND("(",H1434)+1,FIND(")",H1434)-FIND("(",H1434)-1)</f>
        <v>0-2 yrs</v>
      </c>
      <c r="L1434">
        <v>80841</v>
      </c>
      <c r="M1434" t="s">
        <v>2991</v>
      </c>
      <c r="N1434" t="s">
        <v>33</v>
      </c>
      <c r="O1434" t="s">
        <v>22</v>
      </c>
      <c r="P1434" s="1">
        <v>45406</v>
      </c>
      <c r="Q1434">
        <v>2150</v>
      </c>
      <c r="R1434">
        <v>707</v>
      </c>
      <c r="S1434" t="s">
        <v>34</v>
      </c>
      <c r="T1434">
        <v>0</v>
      </c>
      <c r="U1434" t="s">
        <v>52</v>
      </c>
      <c r="V1434" t="s">
        <v>24</v>
      </c>
      <c r="W1434" t="s">
        <v>34</v>
      </c>
    </row>
    <row r="1435" spans="1:23" x14ac:dyDescent="0.3">
      <c r="A1435" t="s">
        <v>2992</v>
      </c>
      <c r="B1435" t="s">
        <v>106</v>
      </c>
      <c r="C1435" t="s">
        <v>107</v>
      </c>
      <c r="D1435" t="s">
        <v>75</v>
      </c>
      <c r="E1435" t="s">
        <v>5136</v>
      </c>
      <c r="F1435" t="s">
        <v>5133</v>
      </c>
      <c r="G1435" t="s">
        <v>41</v>
      </c>
      <c r="H1435" t="s">
        <v>19</v>
      </c>
      <c r="I1435" t="str">
        <f>LEFT(H1435,FIND(" (",H1435)-1)</f>
        <v>Entry</v>
      </c>
      <c r="J1435" t="str">
        <f>MID(H1435,FIND("(",H1435)+1,FIND(")",H1435)-FIND("(",H1435)-1)</f>
        <v>0-2 yrs</v>
      </c>
      <c r="L1435">
        <v>62653</v>
      </c>
      <c r="M1435" t="s">
        <v>2993</v>
      </c>
      <c r="N1435" t="s">
        <v>21</v>
      </c>
      <c r="O1435" t="s">
        <v>51</v>
      </c>
      <c r="P1435" s="1">
        <v>45520</v>
      </c>
      <c r="Q1435">
        <v>2254</v>
      </c>
      <c r="R1435">
        <v>3673</v>
      </c>
      <c r="S1435" t="s">
        <v>23</v>
      </c>
      <c r="T1435">
        <v>0</v>
      </c>
      <c r="U1435" t="s">
        <v>83</v>
      </c>
      <c r="V1435" t="s">
        <v>24</v>
      </c>
      <c r="W1435" t="s">
        <v>23</v>
      </c>
    </row>
    <row r="1436" spans="1:23" x14ac:dyDescent="0.3">
      <c r="A1436" t="s">
        <v>2994</v>
      </c>
      <c r="B1436" t="s">
        <v>236</v>
      </c>
      <c r="C1436" t="s">
        <v>14</v>
      </c>
      <c r="D1436" t="s">
        <v>174</v>
      </c>
      <c r="E1436" t="s">
        <v>64</v>
      </c>
      <c r="F1436" t="s">
        <v>65</v>
      </c>
      <c r="G1436" t="s">
        <v>18</v>
      </c>
      <c r="H1436" t="s">
        <v>56</v>
      </c>
      <c r="I1436" t="str">
        <f>LEFT(H1436,FIND(" (",H1436)-1)</f>
        <v>Mid</v>
      </c>
      <c r="J1436" t="str">
        <f>MID(H1436,FIND("(",H1436)+1,FIND(")",H1436)-FIND("(",H1436)-1)</f>
        <v>2-5 yrs</v>
      </c>
      <c r="L1436">
        <v>106690</v>
      </c>
      <c r="M1436" t="s">
        <v>2995</v>
      </c>
      <c r="N1436" t="s">
        <v>43</v>
      </c>
      <c r="O1436" t="s">
        <v>51</v>
      </c>
      <c r="P1436" s="1">
        <v>45355</v>
      </c>
      <c r="Q1436">
        <v>688</v>
      </c>
      <c r="R1436">
        <v>2274</v>
      </c>
      <c r="S1436" t="s">
        <v>23</v>
      </c>
      <c r="T1436">
        <v>2</v>
      </c>
      <c r="U1436" t="s">
        <v>5123</v>
      </c>
      <c r="V1436" t="s">
        <v>46</v>
      </c>
      <c r="W1436" t="s">
        <v>23</v>
      </c>
    </row>
    <row r="1437" spans="1:23" x14ac:dyDescent="0.3">
      <c r="A1437" t="s">
        <v>2996</v>
      </c>
      <c r="B1437" t="s">
        <v>151</v>
      </c>
      <c r="C1437" t="s">
        <v>167</v>
      </c>
      <c r="D1437" t="s">
        <v>111</v>
      </c>
      <c r="E1437" t="s">
        <v>5136</v>
      </c>
      <c r="F1437" t="s">
        <v>5133</v>
      </c>
      <c r="G1437" t="s">
        <v>41</v>
      </c>
      <c r="H1437" t="s">
        <v>31</v>
      </c>
      <c r="I1437" t="str">
        <f>LEFT(H1437,FIND(" (",H1437)-1)</f>
        <v>Staff/Principal</v>
      </c>
      <c r="J1437" t="str">
        <f>MID(H1437,FIND("(",H1437)+1,FIND(")",H1437)-FIND("(",H1437)-1)</f>
        <v>8+ yrs</v>
      </c>
      <c r="L1437">
        <v>210172</v>
      </c>
      <c r="M1437" t="s">
        <v>2997</v>
      </c>
      <c r="N1437" t="s">
        <v>33</v>
      </c>
      <c r="O1437" t="s">
        <v>51</v>
      </c>
      <c r="P1437" s="1">
        <v>45615</v>
      </c>
      <c r="Q1437">
        <v>1801</v>
      </c>
      <c r="R1437">
        <v>3421</v>
      </c>
      <c r="S1437" t="s">
        <v>23</v>
      </c>
      <c r="T1437">
        <v>6</v>
      </c>
      <c r="U1437" t="s">
        <v>52</v>
      </c>
      <c r="V1437" t="s">
        <v>59</v>
      </c>
      <c r="W1437" t="s">
        <v>23</v>
      </c>
    </row>
    <row r="1438" spans="1:23" x14ac:dyDescent="0.3">
      <c r="A1438" t="s">
        <v>2998</v>
      </c>
      <c r="B1438" t="s">
        <v>13</v>
      </c>
      <c r="C1438" t="s">
        <v>62</v>
      </c>
      <c r="D1438" t="s">
        <v>111</v>
      </c>
      <c r="E1438" t="s">
        <v>216</v>
      </c>
      <c r="F1438" t="s">
        <v>217</v>
      </c>
      <c r="G1438" t="s">
        <v>18</v>
      </c>
      <c r="H1438" t="s">
        <v>31</v>
      </c>
      <c r="I1438" t="str">
        <f>LEFT(H1438,FIND(" (",H1438)-1)</f>
        <v>Staff/Principal</v>
      </c>
      <c r="J1438" t="str">
        <f>MID(H1438,FIND("(",H1438)+1,FIND(")",H1438)-FIND("(",H1438)-1)</f>
        <v>8+ yrs</v>
      </c>
      <c r="L1438">
        <v>191047</v>
      </c>
      <c r="M1438" t="s">
        <v>2999</v>
      </c>
      <c r="N1438" t="s">
        <v>245</v>
      </c>
      <c r="O1438" t="s">
        <v>51</v>
      </c>
      <c r="P1438" s="1">
        <v>45502</v>
      </c>
      <c r="Q1438">
        <v>519</v>
      </c>
      <c r="R1438">
        <v>1615</v>
      </c>
      <c r="S1438" t="s">
        <v>23</v>
      </c>
      <c r="T1438">
        <v>6</v>
      </c>
      <c r="U1438" t="s">
        <v>52</v>
      </c>
      <c r="V1438" t="s">
        <v>24</v>
      </c>
      <c r="W1438" t="s">
        <v>34</v>
      </c>
    </row>
    <row r="1439" spans="1:23" x14ac:dyDescent="0.3">
      <c r="A1439" t="s">
        <v>3000</v>
      </c>
      <c r="B1439" t="s">
        <v>106</v>
      </c>
      <c r="C1439" t="s">
        <v>158</v>
      </c>
      <c r="D1439" t="s">
        <v>38</v>
      </c>
      <c r="E1439" t="s">
        <v>159</v>
      </c>
      <c r="F1439" t="s">
        <v>160</v>
      </c>
      <c r="G1439" t="s">
        <v>18</v>
      </c>
      <c r="H1439" t="s">
        <v>19</v>
      </c>
      <c r="I1439" t="str">
        <f>LEFT(H1439,FIND(" (",H1439)-1)</f>
        <v>Entry</v>
      </c>
      <c r="J1439" t="str">
        <f>MID(H1439,FIND("(",H1439)+1,FIND(")",H1439)-FIND("(",H1439)-1)</f>
        <v>0-2 yrs</v>
      </c>
      <c r="L1439">
        <v>90252</v>
      </c>
      <c r="M1439" t="s">
        <v>3001</v>
      </c>
      <c r="N1439" t="s">
        <v>245</v>
      </c>
      <c r="O1439" t="s">
        <v>51</v>
      </c>
      <c r="P1439" s="1">
        <v>45544</v>
      </c>
      <c r="Q1439">
        <v>793</v>
      </c>
      <c r="R1439">
        <v>3296</v>
      </c>
      <c r="S1439" t="s">
        <v>23</v>
      </c>
      <c r="T1439">
        <v>0</v>
      </c>
      <c r="U1439" t="s">
        <v>5123</v>
      </c>
      <c r="V1439" t="s">
        <v>24</v>
      </c>
      <c r="W1439" t="s">
        <v>23</v>
      </c>
    </row>
    <row r="1440" spans="1:23" x14ac:dyDescent="0.3">
      <c r="A1440" t="s">
        <v>3002</v>
      </c>
      <c r="B1440" t="s">
        <v>236</v>
      </c>
      <c r="C1440" t="s">
        <v>92</v>
      </c>
      <c r="D1440" t="s">
        <v>63</v>
      </c>
      <c r="E1440" t="s">
        <v>200</v>
      </c>
      <c r="F1440" t="s">
        <v>201</v>
      </c>
      <c r="G1440" t="s">
        <v>18</v>
      </c>
      <c r="H1440" t="s">
        <v>66</v>
      </c>
      <c r="I1440" t="str">
        <f>LEFT(H1440,FIND(" (",H1440)-1)</f>
        <v>Senior</v>
      </c>
      <c r="J1440" t="str">
        <f>MID(H1440,FIND("(",H1440)+1,FIND(")",H1440)-FIND("(",H1440)-1)</f>
        <v>5-8 yrs</v>
      </c>
      <c r="L1440">
        <v>163256</v>
      </c>
      <c r="M1440" t="s">
        <v>3003</v>
      </c>
      <c r="N1440" t="s">
        <v>33</v>
      </c>
      <c r="O1440" t="s">
        <v>51</v>
      </c>
      <c r="P1440" s="1">
        <v>45726</v>
      </c>
      <c r="Q1440">
        <v>1763</v>
      </c>
      <c r="R1440">
        <v>3080</v>
      </c>
      <c r="S1440" t="s">
        <v>23</v>
      </c>
      <c r="T1440">
        <v>4</v>
      </c>
      <c r="U1440" t="s">
        <v>83</v>
      </c>
      <c r="V1440" t="s">
        <v>59</v>
      </c>
      <c r="W1440" t="s">
        <v>23</v>
      </c>
    </row>
    <row r="1441" spans="1:23" x14ac:dyDescent="0.3">
      <c r="A1441" t="s">
        <v>3004</v>
      </c>
      <c r="B1441" t="s">
        <v>236</v>
      </c>
      <c r="C1441" t="s">
        <v>209</v>
      </c>
      <c r="D1441" t="s">
        <v>174</v>
      </c>
      <c r="E1441" t="s">
        <v>29</v>
      </c>
      <c r="F1441" t="s">
        <v>30</v>
      </c>
      <c r="G1441" t="s">
        <v>41</v>
      </c>
      <c r="H1441" t="s">
        <v>31</v>
      </c>
      <c r="I1441" t="str">
        <f>LEFT(H1441,FIND(" (",H1441)-1)</f>
        <v>Staff/Principal</v>
      </c>
      <c r="J1441" t="str">
        <f>MID(H1441,FIND("(",H1441)+1,FIND(")",H1441)-FIND("(",H1441)-1)</f>
        <v>8+ yrs</v>
      </c>
      <c r="L1441">
        <v>226455</v>
      </c>
      <c r="M1441" t="s">
        <v>3005</v>
      </c>
      <c r="N1441" t="s">
        <v>68</v>
      </c>
      <c r="O1441" t="s">
        <v>44</v>
      </c>
      <c r="P1441" s="1">
        <v>45592</v>
      </c>
      <c r="Q1441">
        <v>1700</v>
      </c>
      <c r="R1441">
        <v>443</v>
      </c>
      <c r="S1441" t="s">
        <v>23</v>
      </c>
      <c r="T1441">
        <v>6</v>
      </c>
      <c r="U1441" t="s">
        <v>45</v>
      </c>
      <c r="V1441" t="s">
        <v>24</v>
      </c>
      <c r="W1441" t="s">
        <v>23</v>
      </c>
    </row>
    <row r="1442" spans="1:23" x14ac:dyDescent="0.3">
      <c r="A1442" t="s">
        <v>3006</v>
      </c>
      <c r="B1442" t="s">
        <v>222</v>
      </c>
      <c r="C1442" t="s">
        <v>116</v>
      </c>
      <c r="D1442" t="s">
        <v>125</v>
      </c>
      <c r="E1442" t="s">
        <v>133</v>
      </c>
      <c r="F1442" t="s">
        <v>134</v>
      </c>
      <c r="G1442" t="s">
        <v>55</v>
      </c>
      <c r="H1442" t="s">
        <v>66</v>
      </c>
      <c r="I1442" t="str">
        <f>LEFT(H1442,FIND(" (",H1442)-1)</f>
        <v>Senior</v>
      </c>
      <c r="J1442" t="str">
        <f>MID(H1442,FIND("(",H1442)+1,FIND(")",H1442)-FIND("(",H1442)-1)</f>
        <v>5-8 yrs</v>
      </c>
      <c r="L1442">
        <v>167897</v>
      </c>
      <c r="M1442" t="s">
        <v>3007</v>
      </c>
      <c r="N1442" t="s">
        <v>149</v>
      </c>
      <c r="O1442" t="s">
        <v>44</v>
      </c>
      <c r="P1442" s="1">
        <v>45326</v>
      </c>
      <c r="Q1442">
        <v>1962</v>
      </c>
      <c r="R1442">
        <v>3332</v>
      </c>
      <c r="S1442" t="s">
        <v>34</v>
      </c>
      <c r="T1442">
        <v>4</v>
      </c>
      <c r="U1442" t="s">
        <v>83</v>
      </c>
      <c r="V1442" t="s">
        <v>24</v>
      </c>
      <c r="W1442" t="s">
        <v>23</v>
      </c>
    </row>
    <row r="1443" spans="1:23" x14ac:dyDescent="0.3">
      <c r="A1443" t="s">
        <v>3008</v>
      </c>
      <c r="B1443" t="s">
        <v>36</v>
      </c>
      <c r="C1443" t="s">
        <v>195</v>
      </c>
      <c r="D1443" t="s">
        <v>38</v>
      </c>
      <c r="E1443" t="s">
        <v>16</v>
      </c>
      <c r="F1443" t="s">
        <v>17</v>
      </c>
      <c r="G1443" t="s">
        <v>18</v>
      </c>
      <c r="H1443" t="s">
        <v>66</v>
      </c>
      <c r="I1443" t="str">
        <f>LEFT(H1443,FIND(" (",H1443)-1)</f>
        <v>Senior</v>
      </c>
      <c r="J1443" t="str">
        <f>MID(H1443,FIND("(",H1443)+1,FIND(")",H1443)-FIND("(",H1443)-1)</f>
        <v>5-8 yrs</v>
      </c>
      <c r="L1443">
        <v>181683</v>
      </c>
      <c r="M1443" t="s">
        <v>3009</v>
      </c>
      <c r="N1443" t="s">
        <v>33</v>
      </c>
      <c r="O1443" t="s">
        <v>22</v>
      </c>
      <c r="P1443" s="1">
        <v>45398</v>
      </c>
      <c r="Q1443">
        <v>2226</v>
      </c>
      <c r="R1443">
        <v>2458</v>
      </c>
      <c r="S1443" t="s">
        <v>23</v>
      </c>
      <c r="T1443">
        <v>4</v>
      </c>
      <c r="U1443" t="s">
        <v>45</v>
      </c>
      <c r="V1443" t="s">
        <v>59</v>
      </c>
      <c r="W1443" t="s">
        <v>23</v>
      </c>
    </row>
    <row r="1444" spans="1:23" x14ac:dyDescent="0.3">
      <c r="A1444" t="s">
        <v>3010</v>
      </c>
      <c r="B1444" t="s">
        <v>143</v>
      </c>
      <c r="C1444" t="s">
        <v>195</v>
      </c>
      <c r="D1444" t="s">
        <v>125</v>
      </c>
      <c r="E1444" t="s">
        <v>230</v>
      </c>
      <c r="F1444" t="s">
        <v>231</v>
      </c>
      <c r="G1444" t="s">
        <v>18</v>
      </c>
      <c r="H1444" t="s">
        <v>31</v>
      </c>
      <c r="I1444" t="str">
        <f>LEFT(H1444,FIND(" (",H1444)-1)</f>
        <v>Staff/Principal</v>
      </c>
      <c r="J1444" t="str">
        <f>MID(H1444,FIND("(",H1444)+1,FIND(")",H1444)-FIND("(",H1444)-1)</f>
        <v>8+ yrs</v>
      </c>
      <c r="L1444">
        <v>206516</v>
      </c>
      <c r="M1444" t="s">
        <v>3011</v>
      </c>
      <c r="N1444" t="s">
        <v>21</v>
      </c>
      <c r="O1444" t="s">
        <v>44</v>
      </c>
      <c r="P1444" s="1">
        <v>45695</v>
      </c>
      <c r="Q1444">
        <v>2187</v>
      </c>
      <c r="R1444">
        <v>1990</v>
      </c>
      <c r="S1444" t="s">
        <v>23</v>
      </c>
      <c r="T1444">
        <v>6</v>
      </c>
      <c r="U1444" t="s">
        <v>52</v>
      </c>
      <c r="V1444" t="s">
        <v>24</v>
      </c>
      <c r="W1444" t="s">
        <v>23</v>
      </c>
    </row>
    <row r="1445" spans="1:23" x14ac:dyDescent="0.3">
      <c r="A1445" t="s">
        <v>3012</v>
      </c>
      <c r="B1445" t="s">
        <v>70</v>
      </c>
      <c r="C1445" t="s">
        <v>182</v>
      </c>
      <c r="D1445" t="s">
        <v>125</v>
      </c>
      <c r="E1445" t="s">
        <v>5134</v>
      </c>
      <c r="F1445" t="s">
        <v>5133</v>
      </c>
      <c r="G1445" t="s">
        <v>41</v>
      </c>
      <c r="H1445" t="s">
        <v>31</v>
      </c>
      <c r="I1445" t="str">
        <f>LEFT(H1445,FIND(" (",H1445)-1)</f>
        <v>Staff/Principal</v>
      </c>
      <c r="J1445" t="str">
        <f>MID(H1445,FIND("(",H1445)+1,FIND(")",H1445)-FIND("(",H1445)-1)</f>
        <v>8+ yrs</v>
      </c>
      <c r="L1445">
        <v>153314</v>
      </c>
      <c r="M1445" t="s">
        <v>3013</v>
      </c>
      <c r="N1445" t="s">
        <v>89</v>
      </c>
      <c r="O1445" t="s">
        <v>22</v>
      </c>
      <c r="P1445" s="1">
        <v>45326</v>
      </c>
      <c r="Q1445">
        <v>1227</v>
      </c>
      <c r="R1445">
        <v>2904</v>
      </c>
      <c r="S1445" t="s">
        <v>23</v>
      </c>
      <c r="T1445">
        <v>6</v>
      </c>
      <c r="U1445" t="s">
        <v>5123</v>
      </c>
      <c r="V1445" t="s">
        <v>59</v>
      </c>
      <c r="W1445" t="s">
        <v>34</v>
      </c>
    </row>
    <row r="1446" spans="1:23" x14ac:dyDescent="0.3">
      <c r="A1446" t="s">
        <v>3014</v>
      </c>
      <c r="B1446" t="s">
        <v>61</v>
      </c>
      <c r="C1446" t="s">
        <v>116</v>
      </c>
      <c r="D1446" t="s">
        <v>38</v>
      </c>
      <c r="E1446" t="s">
        <v>102</v>
      </c>
      <c r="F1446" t="s">
        <v>103</v>
      </c>
      <c r="G1446" t="s">
        <v>41</v>
      </c>
      <c r="H1446" t="s">
        <v>56</v>
      </c>
      <c r="I1446" t="str">
        <f>LEFT(H1446,FIND(" (",H1446)-1)</f>
        <v>Mid</v>
      </c>
      <c r="J1446" t="str">
        <f>MID(H1446,FIND("(",H1446)+1,FIND(")",H1446)-FIND("(",H1446)-1)</f>
        <v>2-5 yrs</v>
      </c>
      <c r="L1446">
        <v>117913</v>
      </c>
      <c r="M1446" t="s">
        <v>3015</v>
      </c>
      <c r="N1446" t="s">
        <v>33</v>
      </c>
      <c r="O1446" t="s">
        <v>44</v>
      </c>
      <c r="P1446" s="1">
        <v>45430</v>
      </c>
      <c r="Q1446">
        <v>551</v>
      </c>
      <c r="R1446">
        <v>1696</v>
      </c>
      <c r="S1446" t="s">
        <v>23</v>
      </c>
      <c r="T1446">
        <v>2</v>
      </c>
      <c r="U1446" t="s">
        <v>52</v>
      </c>
      <c r="V1446" t="s">
        <v>24</v>
      </c>
      <c r="W1446" t="s">
        <v>34</v>
      </c>
    </row>
    <row r="1447" spans="1:23" x14ac:dyDescent="0.3">
      <c r="A1447" t="s">
        <v>3016</v>
      </c>
      <c r="B1447" t="s">
        <v>236</v>
      </c>
      <c r="C1447" t="s">
        <v>179</v>
      </c>
      <c r="D1447" t="s">
        <v>75</v>
      </c>
      <c r="E1447" t="s">
        <v>5140</v>
      </c>
      <c r="F1447" t="s">
        <v>5133</v>
      </c>
      <c r="G1447" t="s">
        <v>18</v>
      </c>
      <c r="H1447" t="s">
        <v>66</v>
      </c>
      <c r="I1447" t="str">
        <f>LEFT(H1447,FIND(" (",H1447)-1)</f>
        <v>Senior</v>
      </c>
      <c r="J1447" t="str">
        <f>MID(H1447,FIND("(",H1447)+1,FIND(")",H1447)-FIND("(",H1447)-1)</f>
        <v>5-8 yrs</v>
      </c>
      <c r="L1447">
        <v>132413</v>
      </c>
      <c r="M1447" t="s">
        <v>3017</v>
      </c>
      <c r="N1447" t="s">
        <v>68</v>
      </c>
      <c r="O1447" t="s">
        <v>44</v>
      </c>
      <c r="P1447" s="1">
        <v>45570</v>
      </c>
      <c r="Q1447">
        <v>1408</v>
      </c>
      <c r="R1447">
        <v>646</v>
      </c>
      <c r="S1447" t="s">
        <v>23</v>
      </c>
      <c r="T1447">
        <v>4</v>
      </c>
      <c r="U1447" t="s">
        <v>5123</v>
      </c>
      <c r="V1447" t="s">
        <v>24</v>
      </c>
      <c r="W1447" t="s">
        <v>34</v>
      </c>
    </row>
    <row r="1448" spans="1:23" x14ac:dyDescent="0.3">
      <c r="A1448" t="s">
        <v>3018</v>
      </c>
      <c r="B1448" t="s">
        <v>225</v>
      </c>
      <c r="C1448" t="s">
        <v>14</v>
      </c>
      <c r="D1448" t="s">
        <v>49</v>
      </c>
      <c r="E1448" t="s">
        <v>216</v>
      </c>
      <c r="F1448" t="s">
        <v>217</v>
      </c>
      <c r="G1448" t="s">
        <v>18</v>
      </c>
      <c r="H1448" t="s">
        <v>19</v>
      </c>
      <c r="I1448" t="str">
        <f>LEFT(H1448,FIND(" (",H1448)-1)</f>
        <v>Entry</v>
      </c>
      <c r="J1448" t="str">
        <f>MID(H1448,FIND("(",H1448)+1,FIND(")",H1448)-FIND("(",H1448)-1)</f>
        <v>0-2 yrs</v>
      </c>
      <c r="L1448">
        <v>63339</v>
      </c>
      <c r="M1448" t="s">
        <v>3019</v>
      </c>
      <c r="N1448" t="s">
        <v>33</v>
      </c>
      <c r="O1448" t="s">
        <v>79</v>
      </c>
      <c r="P1448" s="1">
        <v>45502</v>
      </c>
      <c r="Q1448">
        <v>2006</v>
      </c>
      <c r="R1448">
        <v>1132</v>
      </c>
      <c r="S1448" t="s">
        <v>34</v>
      </c>
      <c r="T1448">
        <v>0</v>
      </c>
      <c r="U1448" t="s">
        <v>83</v>
      </c>
      <c r="V1448" t="s">
        <v>24</v>
      </c>
      <c r="W1448" t="s">
        <v>34</v>
      </c>
    </row>
    <row r="1449" spans="1:23" x14ac:dyDescent="0.3">
      <c r="A1449" t="s">
        <v>3020</v>
      </c>
      <c r="B1449" t="s">
        <v>225</v>
      </c>
      <c r="C1449" t="s">
        <v>116</v>
      </c>
      <c r="D1449" t="s">
        <v>125</v>
      </c>
      <c r="E1449" t="s">
        <v>216</v>
      </c>
      <c r="F1449" t="s">
        <v>217</v>
      </c>
      <c r="G1449" t="s">
        <v>41</v>
      </c>
      <c r="H1449" t="s">
        <v>56</v>
      </c>
      <c r="I1449" t="str">
        <f>LEFT(H1449,FIND(" (",H1449)-1)</f>
        <v>Mid</v>
      </c>
      <c r="J1449" t="str">
        <f>MID(H1449,FIND("(",H1449)+1,FIND(")",H1449)-FIND("(",H1449)-1)</f>
        <v>2-5 yrs</v>
      </c>
      <c r="L1449">
        <v>121610</v>
      </c>
      <c r="M1449" t="s">
        <v>3021</v>
      </c>
      <c r="N1449" t="s">
        <v>120</v>
      </c>
      <c r="O1449" t="s">
        <v>51</v>
      </c>
      <c r="P1449" s="1">
        <v>45653</v>
      </c>
      <c r="Q1449">
        <v>1630</v>
      </c>
      <c r="R1449">
        <v>392</v>
      </c>
      <c r="S1449" t="s">
        <v>23</v>
      </c>
      <c r="T1449">
        <v>2</v>
      </c>
      <c r="U1449" t="s">
        <v>83</v>
      </c>
      <c r="V1449" t="s">
        <v>24</v>
      </c>
      <c r="W1449" t="s">
        <v>23</v>
      </c>
    </row>
    <row r="1450" spans="1:23" x14ac:dyDescent="0.3">
      <c r="A1450" t="s">
        <v>3022</v>
      </c>
      <c r="B1450" t="s">
        <v>222</v>
      </c>
      <c r="C1450" t="s">
        <v>195</v>
      </c>
      <c r="D1450" t="s">
        <v>28</v>
      </c>
      <c r="E1450" t="s">
        <v>5136</v>
      </c>
      <c r="F1450" t="s">
        <v>5133</v>
      </c>
      <c r="G1450" t="s">
        <v>41</v>
      </c>
      <c r="H1450" t="s">
        <v>31</v>
      </c>
      <c r="I1450" t="str">
        <f>LEFT(H1450,FIND(" (",H1450)-1)</f>
        <v>Staff/Principal</v>
      </c>
      <c r="J1450" t="str">
        <f>MID(H1450,FIND("(",H1450)+1,FIND(")",H1450)-FIND("(",H1450)-1)</f>
        <v>8+ yrs</v>
      </c>
      <c r="L1450">
        <v>244578</v>
      </c>
      <c r="M1450" t="s">
        <v>3023</v>
      </c>
      <c r="N1450" t="s">
        <v>43</v>
      </c>
      <c r="O1450" t="s">
        <v>22</v>
      </c>
      <c r="P1450" s="1">
        <v>45712</v>
      </c>
      <c r="Q1450">
        <v>1018</v>
      </c>
      <c r="R1450">
        <v>154</v>
      </c>
      <c r="S1450" t="s">
        <v>23</v>
      </c>
      <c r="T1450">
        <v>6</v>
      </c>
      <c r="U1450" t="s">
        <v>52</v>
      </c>
      <c r="V1450" t="s">
        <v>24</v>
      </c>
      <c r="W1450" t="s">
        <v>34</v>
      </c>
    </row>
    <row r="1451" spans="1:23" x14ac:dyDescent="0.3">
      <c r="A1451" t="s">
        <v>3024</v>
      </c>
      <c r="B1451" t="s">
        <v>137</v>
      </c>
      <c r="C1451" t="s">
        <v>37</v>
      </c>
      <c r="D1451" t="s">
        <v>28</v>
      </c>
      <c r="E1451" t="s">
        <v>200</v>
      </c>
      <c r="F1451" t="s">
        <v>201</v>
      </c>
      <c r="G1451" t="s">
        <v>41</v>
      </c>
      <c r="H1451" t="s">
        <v>31</v>
      </c>
      <c r="I1451" t="str">
        <f>LEFT(H1451,FIND(" (",H1451)-1)</f>
        <v>Staff/Principal</v>
      </c>
      <c r="J1451" t="str">
        <f>MID(H1451,FIND("(",H1451)+1,FIND(")",H1451)-FIND("(",H1451)-1)</f>
        <v>8+ yrs</v>
      </c>
      <c r="L1451">
        <v>200765</v>
      </c>
      <c r="M1451" t="s">
        <v>3025</v>
      </c>
      <c r="N1451" t="s">
        <v>149</v>
      </c>
      <c r="O1451" t="s">
        <v>22</v>
      </c>
      <c r="P1451" s="1">
        <v>45508</v>
      </c>
      <c r="Q1451">
        <v>567</v>
      </c>
      <c r="R1451">
        <v>2570</v>
      </c>
      <c r="S1451" t="s">
        <v>23</v>
      </c>
      <c r="T1451">
        <v>6</v>
      </c>
      <c r="U1451" t="s">
        <v>52</v>
      </c>
      <c r="V1451" t="s">
        <v>24</v>
      </c>
      <c r="W1451" t="s">
        <v>34</v>
      </c>
    </row>
    <row r="1452" spans="1:23" x14ac:dyDescent="0.3">
      <c r="A1452" t="s">
        <v>3026</v>
      </c>
      <c r="B1452" t="s">
        <v>85</v>
      </c>
      <c r="C1452" t="s">
        <v>62</v>
      </c>
      <c r="D1452" t="s">
        <v>38</v>
      </c>
      <c r="E1452" t="s">
        <v>230</v>
      </c>
      <c r="F1452" t="s">
        <v>231</v>
      </c>
      <c r="G1452" t="s">
        <v>18</v>
      </c>
      <c r="H1452" t="s">
        <v>56</v>
      </c>
      <c r="I1452" t="str">
        <f>LEFT(H1452,FIND(" (",H1452)-1)</f>
        <v>Mid</v>
      </c>
      <c r="J1452" t="str">
        <f>MID(H1452,FIND("(",H1452)+1,FIND(")",H1452)-FIND("(",H1452)-1)</f>
        <v>2-5 yrs</v>
      </c>
      <c r="L1452">
        <v>116114</v>
      </c>
      <c r="M1452" t="s">
        <v>3027</v>
      </c>
      <c r="N1452" t="s">
        <v>33</v>
      </c>
      <c r="O1452" t="s">
        <v>22</v>
      </c>
      <c r="P1452" s="1">
        <v>45626</v>
      </c>
      <c r="Q1452">
        <v>1083</v>
      </c>
      <c r="R1452">
        <v>835</v>
      </c>
      <c r="S1452" t="s">
        <v>23</v>
      </c>
      <c r="T1452">
        <v>2</v>
      </c>
      <c r="U1452" t="s">
        <v>83</v>
      </c>
      <c r="V1452" t="s">
        <v>24</v>
      </c>
      <c r="W1452" t="s">
        <v>34</v>
      </c>
    </row>
    <row r="1453" spans="1:23" x14ac:dyDescent="0.3">
      <c r="A1453" t="s">
        <v>3028</v>
      </c>
      <c r="B1453" t="s">
        <v>91</v>
      </c>
      <c r="C1453" t="s">
        <v>158</v>
      </c>
      <c r="D1453" t="s">
        <v>28</v>
      </c>
      <c r="E1453" t="s">
        <v>87</v>
      </c>
      <c r="F1453" t="s">
        <v>87</v>
      </c>
      <c r="G1453" t="s">
        <v>41</v>
      </c>
      <c r="H1453" t="s">
        <v>66</v>
      </c>
      <c r="I1453" t="str">
        <f>LEFT(H1453,FIND(" (",H1453)-1)</f>
        <v>Senior</v>
      </c>
      <c r="J1453" t="str">
        <f>MID(H1453,FIND("(",H1453)+1,FIND(")",H1453)-FIND("(",H1453)-1)</f>
        <v>5-8 yrs</v>
      </c>
      <c r="L1453">
        <v>195959</v>
      </c>
      <c r="M1453" t="s">
        <v>3029</v>
      </c>
      <c r="N1453" t="s">
        <v>43</v>
      </c>
      <c r="O1453" t="s">
        <v>22</v>
      </c>
      <c r="P1453" s="1">
        <v>45344</v>
      </c>
      <c r="Q1453">
        <v>1320</v>
      </c>
      <c r="R1453">
        <v>2989</v>
      </c>
      <c r="S1453" t="s">
        <v>23</v>
      </c>
      <c r="T1453">
        <v>4</v>
      </c>
      <c r="U1453" t="s">
        <v>58</v>
      </c>
      <c r="V1453" t="s">
        <v>46</v>
      </c>
      <c r="W1453" t="s">
        <v>23</v>
      </c>
    </row>
    <row r="1454" spans="1:23" x14ac:dyDescent="0.3">
      <c r="A1454" t="s">
        <v>3030</v>
      </c>
      <c r="B1454" t="s">
        <v>26</v>
      </c>
      <c r="C1454" t="s">
        <v>167</v>
      </c>
      <c r="D1454" t="s">
        <v>75</v>
      </c>
      <c r="E1454" t="s">
        <v>5132</v>
      </c>
      <c r="F1454" t="s">
        <v>5133</v>
      </c>
      <c r="G1454" t="s">
        <v>18</v>
      </c>
      <c r="H1454" t="s">
        <v>66</v>
      </c>
      <c r="I1454" t="str">
        <f>LEFT(H1454,FIND(" (",H1454)-1)</f>
        <v>Senior</v>
      </c>
      <c r="J1454" t="str">
        <f>MID(H1454,FIND("(",H1454)+1,FIND(")",H1454)-FIND("(",H1454)-1)</f>
        <v>5-8 yrs</v>
      </c>
      <c r="L1454">
        <v>156500</v>
      </c>
      <c r="M1454" t="s">
        <v>3031</v>
      </c>
      <c r="N1454" t="s">
        <v>33</v>
      </c>
      <c r="O1454" t="s">
        <v>51</v>
      </c>
      <c r="P1454" s="1">
        <v>45429</v>
      </c>
      <c r="Q1454">
        <v>2442</v>
      </c>
      <c r="R1454">
        <v>3315</v>
      </c>
      <c r="S1454" t="s">
        <v>23</v>
      </c>
      <c r="T1454">
        <v>4</v>
      </c>
      <c r="U1454" t="s">
        <v>45</v>
      </c>
      <c r="V1454" t="s">
        <v>24</v>
      </c>
      <c r="W1454" t="s">
        <v>23</v>
      </c>
    </row>
    <row r="1455" spans="1:23" x14ac:dyDescent="0.3">
      <c r="A1455" t="s">
        <v>3032</v>
      </c>
      <c r="B1455" t="s">
        <v>96</v>
      </c>
      <c r="C1455" t="s">
        <v>54</v>
      </c>
      <c r="D1455" t="s">
        <v>174</v>
      </c>
      <c r="E1455" t="s">
        <v>29</v>
      </c>
      <c r="F1455" t="s">
        <v>30</v>
      </c>
      <c r="G1455" t="s">
        <v>41</v>
      </c>
      <c r="H1455" t="s">
        <v>19</v>
      </c>
      <c r="I1455" t="str">
        <f>LEFT(H1455,FIND(" (",H1455)-1)</f>
        <v>Entry</v>
      </c>
      <c r="J1455" t="str">
        <f>MID(H1455,FIND("(",H1455)+1,FIND(")",H1455)-FIND("(",H1455)-1)</f>
        <v>0-2 yrs</v>
      </c>
      <c r="L1455">
        <v>102781</v>
      </c>
      <c r="M1455" t="s">
        <v>3033</v>
      </c>
      <c r="N1455" t="s">
        <v>89</v>
      </c>
      <c r="O1455" t="s">
        <v>22</v>
      </c>
      <c r="P1455" s="1">
        <v>45705</v>
      </c>
      <c r="Q1455">
        <v>2175</v>
      </c>
      <c r="R1455">
        <v>520</v>
      </c>
      <c r="S1455" t="s">
        <v>23</v>
      </c>
      <c r="T1455">
        <v>0</v>
      </c>
      <c r="U1455" t="s">
        <v>83</v>
      </c>
      <c r="V1455" t="s">
        <v>24</v>
      </c>
      <c r="W1455" t="s">
        <v>34</v>
      </c>
    </row>
    <row r="1456" spans="1:23" x14ac:dyDescent="0.3">
      <c r="A1456" t="s">
        <v>3034</v>
      </c>
      <c r="B1456" t="s">
        <v>143</v>
      </c>
      <c r="C1456" t="s">
        <v>62</v>
      </c>
      <c r="D1456" t="s">
        <v>147</v>
      </c>
      <c r="E1456" t="s">
        <v>16</v>
      </c>
      <c r="F1456" t="s">
        <v>17</v>
      </c>
      <c r="G1456" t="s">
        <v>18</v>
      </c>
      <c r="H1456" t="s">
        <v>66</v>
      </c>
      <c r="I1456" t="str">
        <f>LEFT(H1456,FIND(" (",H1456)-1)</f>
        <v>Senior</v>
      </c>
      <c r="J1456" t="str">
        <f>MID(H1456,FIND("(",H1456)+1,FIND(")",H1456)-FIND("(",H1456)-1)</f>
        <v>5-8 yrs</v>
      </c>
      <c r="L1456">
        <v>165268</v>
      </c>
      <c r="M1456" t="s">
        <v>3035</v>
      </c>
      <c r="N1456" t="s">
        <v>141</v>
      </c>
      <c r="O1456" t="s">
        <v>51</v>
      </c>
      <c r="P1456" s="1">
        <v>45552</v>
      </c>
      <c r="Q1456">
        <v>1357</v>
      </c>
      <c r="R1456">
        <v>1881</v>
      </c>
      <c r="S1456" t="s">
        <v>34</v>
      </c>
      <c r="T1456">
        <v>4</v>
      </c>
      <c r="U1456" t="s">
        <v>5123</v>
      </c>
      <c r="V1456" t="s">
        <v>24</v>
      </c>
      <c r="W1456" t="s">
        <v>23</v>
      </c>
    </row>
    <row r="1457" spans="1:23" x14ac:dyDescent="0.3">
      <c r="A1457" t="s">
        <v>3036</v>
      </c>
      <c r="B1457" t="s">
        <v>151</v>
      </c>
      <c r="C1457" t="s">
        <v>173</v>
      </c>
      <c r="D1457" t="s">
        <v>63</v>
      </c>
      <c r="E1457" t="s">
        <v>200</v>
      </c>
      <c r="F1457" t="s">
        <v>201</v>
      </c>
      <c r="G1457" t="s">
        <v>18</v>
      </c>
      <c r="H1457" t="s">
        <v>31</v>
      </c>
      <c r="I1457" t="str">
        <f>LEFT(H1457,FIND(" (",H1457)-1)</f>
        <v>Staff/Principal</v>
      </c>
      <c r="J1457" t="str">
        <f>MID(H1457,FIND("(",H1457)+1,FIND(")",H1457)-FIND("(",H1457)-1)</f>
        <v>8+ yrs</v>
      </c>
      <c r="L1457">
        <v>136612</v>
      </c>
      <c r="M1457" t="s">
        <v>3037</v>
      </c>
      <c r="N1457" t="s">
        <v>94</v>
      </c>
      <c r="O1457" t="s">
        <v>22</v>
      </c>
      <c r="P1457" s="1">
        <v>45725</v>
      </c>
      <c r="Q1457">
        <v>1906</v>
      </c>
      <c r="R1457">
        <v>1977</v>
      </c>
      <c r="S1457" t="s">
        <v>23</v>
      </c>
      <c r="T1457">
        <v>6</v>
      </c>
      <c r="U1457" t="s">
        <v>58</v>
      </c>
      <c r="V1457" t="s">
        <v>24</v>
      </c>
      <c r="W1457" t="s">
        <v>34</v>
      </c>
    </row>
    <row r="1458" spans="1:23" x14ac:dyDescent="0.3">
      <c r="A1458" t="s">
        <v>3038</v>
      </c>
      <c r="B1458" t="s">
        <v>236</v>
      </c>
      <c r="C1458" t="s">
        <v>173</v>
      </c>
      <c r="D1458" t="s">
        <v>111</v>
      </c>
      <c r="E1458" t="s">
        <v>133</v>
      </c>
      <c r="F1458" t="s">
        <v>134</v>
      </c>
      <c r="G1458" t="s">
        <v>41</v>
      </c>
      <c r="H1458" t="s">
        <v>19</v>
      </c>
      <c r="I1458" t="str">
        <f>LEFT(H1458,FIND(" (",H1458)-1)</f>
        <v>Entry</v>
      </c>
      <c r="J1458" t="str">
        <f>MID(H1458,FIND("(",H1458)+1,FIND(")",H1458)-FIND("(",H1458)-1)</f>
        <v>0-2 yrs</v>
      </c>
      <c r="L1458">
        <v>79492</v>
      </c>
      <c r="M1458" t="s">
        <v>3039</v>
      </c>
      <c r="N1458" t="s">
        <v>120</v>
      </c>
      <c r="O1458" t="s">
        <v>44</v>
      </c>
      <c r="P1458" s="1">
        <v>45508</v>
      </c>
      <c r="Q1458">
        <v>1040</v>
      </c>
      <c r="R1458">
        <v>847</v>
      </c>
      <c r="S1458" t="s">
        <v>23</v>
      </c>
      <c r="T1458">
        <v>0</v>
      </c>
      <c r="U1458" t="s">
        <v>52</v>
      </c>
      <c r="V1458" t="s">
        <v>46</v>
      </c>
      <c r="W1458" t="s">
        <v>34</v>
      </c>
    </row>
    <row r="1459" spans="1:23" x14ac:dyDescent="0.3">
      <c r="A1459" t="s">
        <v>3040</v>
      </c>
      <c r="B1459" t="s">
        <v>329</v>
      </c>
      <c r="C1459" t="s">
        <v>158</v>
      </c>
      <c r="D1459" t="s">
        <v>38</v>
      </c>
      <c r="E1459" t="s">
        <v>5140</v>
      </c>
      <c r="F1459" t="s">
        <v>5133</v>
      </c>
      <c r="G1459" t="s">
        <v>55</v>
      </c>
      <c r="H1459" t="s">
        <v>66</v>
      </c>
      <c r="I1459" t="str">
        <f>LEFT(H1459,FIND(" (",H1459)-1)</f>
        <v>Senior</v>
      </c>
      <c r="J1459" t="str">
        <f>MID(H1459,FIND("(",H1459)+1,FIND(")",H1459)-FIND("(",H1459)-1)</f>
        <v>5-8 yrs</v>
      </c>
      <c r="L1459">
        <v>160291</v>
      </c>
      <c r="M1459" t="s">
        <v>3041</v>
      </c>
      <c r="N1459" t="s">
        <v>21</v>
      </c>
      <c r="O1459" t="s">
        <v>51</v>
      </c>
      <c r="P1459" s="1">
        <v>45434</v>
      </c>
      <c r="Q1459">
        <v>1573</v>
      </c>
      <c r="R1459">
        <v>196</v>
      </c>
      <c r="S1459" t="s">
        <v>34</v>
      </c>
      <c r="T1459">
        <v>4</v>
      </c>
      <c r="U1459" t="s">
        <v>45</v>
      </c>
      <c r="V1459" t="s">
        <v>59</v>
      </c>
      <c r="W1459" t="s">
        <v>23</v>
      </c>
    </row>
    <row r="1460" spans="1:23" x14ac:dyDescent="0.3">
      <c r="A1460" t="s">
        <v>3042</v>
      </c>
      <c r="B1460" t="s">
        <v>329</v>
      </c>
      <c r="C1460" t="s">
        <v>27</v>
      </c>
      <c r="D1460" t="s">
        <v>15</v>
      </c>
      <c r="E1460" t="s">
        <v>159</v>
      </c>
      <c r="F1460" t="s">
        <v>160</v>
      </c>
      <c r="G1460" t="s">
        <v>55</v>
      </c>
      <c r="H1460" t="s">
        <v>19</v>
      </c>
      <c r="I1460" t="str">
        <f>LEFT(H1460,FIND(" (",H1460)-1)</f>
        <v>Entry</v>
      </c>
      <c r="J1460" t="str">
        <f>MID(H1460,FIND("(",H1460)+1,FIND(")",H1460)-FIND("(",H1460)-1)</f>
        <v>0-2 yrs</v>
      </c>
      <c r="L1460">
        <v>86250</v>
      </c>
      <c r="M1460" t="s">
        <v>3043</v>
      </c>
      <c r="N1460" t="s">
        <v>33</v>
      </c>
      <c r="O1460" t="s">
        <v>79</v>
      </c>
      <c r="P1460" s="1">
        <v>45566</v>
      </c>
      <c r="Q1460">
        <v>1285</v>
      </c>
      <c r="R1460">
        <v>2217</v>
      </c>
      <c r="S1460" t="s">
        <v>23</v>
      </c>
      <c r="T1460">
        <v>0</v>
      </c>
      <c r="U1460" t="s">
        <v>58</v>
      </c>
      <c r="V1460" t="s">
        <v>24</v>
      </c>
      <c r="W1460" t="s">
        <v>34</v>
      </c>
    </row>
    <row r="1461" spans="1:23" x14ac:dyDescent="0.3">
      <c r="A1461" t="s">
        <v>3044</v>
      </c>
      <c r="B1461" t="s">
        <v>137</v>
      </c>
      <c r="C1461" t="s">
        <v>128</v>
      </c>
      <c r="D1461" t="s">
        <v>75</v>
      </c>
      <c r="E1461" t="s">
        <v>76</v>
      </c>
      <c r="F1461" t="s">
        <v>77</v>
      </c>
      <c r="G1461" t="s">
        <v>55</v>
      </c>
      <c r="H1461" t="s">
        <v>66</v>
      </c>
      <c r="I1461" t="str">
        <f>LEFT(H1461,FIND(" (",H1461)-1)</f>
        <v>Senior</v>
      </c>
      <c r="J1461" t="str">
        <f>MID(H1461,FIND("(",H1461)+1,FIND(")",H1461)-FIND("(",H1461)-1)</f>
        <v>5-8 yrs</v>
      </c>
      <c r="L1461">
        <v>168175</v>
      </c>
      <c r="M1461" t="s">
        <v>3045</v>
      </c>
      <c r="N1461" t="s">
        <v>141</v>
      </c>
      <c r="O1461" t="s">
        <v>44</v>
      </c>
      <c r="P1461" s="1">
        <v>45328</v>
      </c>
      <c r="Q1461">
        <v>1878</v>
      </c>
      <c r="R1461">
        <v>812</v>
      </c>
      <c r="S1461" t="s">
        <v>23</v>
      </c>
      <c r="T1461">
        <v>4</v>
      </c>
      <c r="U1461" t="s">
        <v>45</v>
      </c>
      <c r="V1461" t="s">
        <v>24</v>
      </c>
      <c r="W1461" t="s">
        <v>23</v>
      </c>
    </row>
    <row r="1462" spans="1:23" x14ac:dyDescent="0.3">
      <c r="A1462" t="s">
        <v>3046</v>
      </c>
      <c r="B1462" t="s">
        <v>70</v>
      </c>
      <c r="C1462" t="s">
        <v>195</v>
      </c>
      <c r="D1462" t="s">
        <v>38</v>
      </c>
      <c r="E1462" t="s">
        <v>5136</v>
      </c>
      <c r="F1462" t="s">
        <v>5133</v>
      </c>
      <c r="G1462" t="s">
        <v>55</v>
      </c>
      <c r="H1462" t="s">
        <v>19</v>
      </c>
      <c r="I1462" t="str">
        <f>LEFT(H1462,FIND(" (",H1462)-1)</f>
        <v>Entry</v>
      </c>
      <c r="J1462" t="str">
        <f>MID(H1462,FIND("(",H1462)+1,FIND(")",H1462)-FIND("(",H1462)-1)</f>
        <v>0-2 yrs</v>
      </c>
      <c r="L1462">
        <v>68255</v>
      </c>
      <c r="M1462" t="s">
        <v>3047</v>
      </c>
      <c r="N1462" t="s">
        <v>33</v>
      </c>
      <c r="O1462" t="s">
        <v>22</v>
      </c>
      <c r="P1462" s="1">
        <v>45364</v>
      </c>
      <c r="Q1462">
        <v>1504</v>
      </c>
      <c r="R1462">
        <v>2642</v>
      </c>
      <c r="S1462" t="s">
        <v>99</v>
      </c>
      <c r="T1462">
        <v>0</v>
      </c>
      <c r="U1462" t="s">
        <v>45</v>
      </c>
      <c r="V1462" t="s">
        <v>24</v>
      </c>
      <c r="W1462" t="s">
        <v>23</v>
      </c>
    </row>
    <row r="1463" spans="1:23" x14ac:dyDescent="0.3">
      <c r="A1463" t="s">
        <v>3048</v>
      </c>
      <c r="B1463" t="s">
        <v>96</v>
      </c>
      <c r="C1463" t="s">
        <v>107</v>
      </c>
      <c r="D1463" t="s">
        <v>147</v>
      </c>
      <c r="E1463" t="s">
        <v>5141</v>
      </c>
      <c r="F1463" t="s">
        <v>5133</v>
      </c>
      <c r="G1463" t="s">
        <v>41</v>
      </c>
      <c r="H1463" t="s">
        <v>31</v>
      </c>
      <c r="I1463" t="str">
        <f>LEFT(H1463,FIND(" (",H1463)-1)</f>
        <v>Staff/Principal</v>
      </c>
      <c r="J1463" t="str">
        <f>MID(H1463,FIND("(",H1463)+1,FIND(")",H1463)-FIND("(",H1463)-1)</f>
        <v>8+ yrs</v>
      </c>
      <c r="L1463">
        <v>155925</v>
      </c>
      <c r="M1463" t="s">
        <v>3049</v>
      </c>
      <c r="N1463" t="s">
        <v>245</v>
      </c>
      <c r="O1463" t="s">
        <v>22</v>
      </c>
      <c r="P1463" s="1">
        <v>45680</v>
      </c>
      <c r="Q1463">
        <v>1545</v>
      </c>
      <c r="R1463">
        <v>2795</v>
      </c>
      <c r="S1463" t="s">
        <v>23</v>
      </c>
      <c r="T1463">
        <v>6</v>
      </c>
      <c r="U1463" t="s">
        <v>83</v>
      </c>
      <c r="V1463" t="s">
        <v>24</v>
      </c>
      <c r="W1463" t="s">
        <v>23</v>
      </c>
    </row>
    <row r="1464" spans="1:23" x14ac:dyDescent="0.3">
      <c r="A1464" t="s">
        <v>3050</v>
      </c>
      <c r="B1464" t="s">
        <v>85</v>
      </c>
      <c r="C1464" t="s">
        <v>48</v>
      </c>
      <c r="D1464" t="s">
        <v>147</v>
      </c>
      <c r="E1464" t="s">
        <v>29</v>
      </c>
      <c r="F1464" t="s">
        <v>30</v>
      </c>
      <c r="G1464" t="s">
        <v>18</v>
      </c>
      <c r="H1464" t="s">
        <v>31</v>
      </c>
      <c r="I1464" t="str">
        <f>LEFT(H1464,FIND(" (",H1464)-1)</f>
        <v>Staff/Principal</v>
      </c>
      <c r="J1464" t="str">
        <f>MID(H1464,FIND("(",H1464)+1,FIND(")",H1464)-FIND("(",H1464)-1)</f>
        <v>8+ yrs</v>
      </c>
      <c r="L1464">
        <v>192475</v>
      </c>
      <c r="M1464" t="s">
        <v>3051</v>
      </c>
      <c r="N1464" t="s">
        <v>89</v>
      </c>
      <c r="O1464" t="s">
        <v>22</v>
      </c>
      <c r="P1464" s="1">
        <v>45567</v>
      </c>
      <c r="Q1464">
        <v>495</v>
      </c>
      <c r="R1464">
        <v>1847</v>
      </c>
      <c r="S1464" t="s">
        <v>99</v>
      </c>
      <c r="T1464">
        <v>6</v>
      </c>
      <c r="U1464" t="s">
        <v>5123</v>
      </c>
      <c r="V1464" t="s">
        <v>59</v>
      </c>
      <c r="W1464" t="s">
        <v>34</v>
      </c>
    </row>
    <row r="1465" spans="1:23" x14ac:dyDescent="0.3">
      <c r="A1465" t="s">
        <v>3052</v>
      </c>
      <c r="B1465" t="s">
        <v>225</v>
      </c>
      <c r="C1465" t="s">
        <v>62</v>
      </c>
      <c r="D1465" t="s">
        <v>111</v>
      </c>
      <c r="E1465" t="s">
        <v>39</v>
      </c>
      <c r="F1465" t="s">
        <v>40</v>
      </c>
      <c r="G1465" t="s">
        <v>55</v>
      </c>
      <c r="H1465" t="s">
        <v>31</v>
      </c>
      <c r="I1465" t="str">
        <f>LEFT(H1465,FIND(" (",H1465)-1)</f>
        <v>Staff/Principal</v>
      </c>
      <c r="J1465" t="str">
        <f>MID(H1465,FIND("(",H1465)+1,FIND(")",H1465)-FIND("(",H1465)-1)</f>
        <v>8+ yrs</v>
      </c>
      <c r="L1465">
        <v>169381</v>
      </c>
      <c r="M1465" t="s">
        <v>3053</v>
      </c>
      <c r="N1465" t="s">
        <v>186</v>
      </c>
      <c r="O1465" t="s">
        <v>79</v>
      </c>
      <c r="P1465" s="1">
        <v>45380</v>
      </c>
      <c r="Q1465">
        <v>2300</v>
      </c>
      <c r="R1465">
        <v>3342</v>
      </c>
      <c r="S1465" t="s">
        <v>23</v>
      </c>
      <c r="T1465">
        <v>6</v>
      </c>
      <c r="U1465" t="s">
        <v>58</v>
      </c>
      <c r="V1465" t="s">
        <v>46</v>
      </c>
      <c r="W1465" t="s">
        <v>23</v>
      </c>
    </row>
    <row r="1466" spans="1:23" x14ac:dyDescent="0.3">
      <c r="A1466" t="s">
        <v>3054</v>
      </c>
      <c r="B1466" t="s">
        <v>85</v>
      </c>
      <c r="C1466" t="s">
        <v>158</v>
      </c>
      <c r="D1466" t="s">
        <v>28</v>
      </c>
      <c r="E1466" t="s">
        <v>230</v>
      </c>
      <c r="F1466" t="s">
        <v>231</v>
      </c>
      <c r="G1466" t="s">
        <v>41</v>
      </c>
      <c r="H1466" t="s">
        <v>66</v>
      </c>
      <c r="I1466" t="str">
        <f>LEFT(H1466,FIND(" (",H1466)-1)</f>
        <v>Senior</v>
      </c>
      <c r="J1466" t="str">
        <f>MID(H1466,FIND("(",H1466)+1,FIND(")",H1466)-FIND("(",H1466)-1)</f>
        <v>5-8 yrs</v>
      </c>
      <c r="L1466">
        <v>134325</v>
      </c>
      <c r="M1466" t="s">
        <v>3055</v>
      </c>
      <c r="N1466" t="s">
        <v>33</v>
      </c>
      <c r="O1466" t="s">
        <v>44</v>
      </c>
      <c r="P1466" s="1">
        <v>45438</v>
      </c>
      <c r="Q1466">
        <v>412</v>
      </c>
      <c r="R1466">
        <v>3951</v>
      </c>
      <c r="S1466" t="s">
        <v>23</v>
      </c>
      <c r="T1466">
        <v>4</v>
      </c>
      <c r="U1466" t="s">
        <v>52</v>
      </c>
      <c r="V1466" t="s">
        <v>24</v>
      </c>
      <c r="W1466" t="s">
        <v>23</v>
      </c>
    </row>
    <row r="1467" spans="1:23" x14ac:dyDescent="0.3">
      <c r="A1467" t="s">
        <v>3056</v>
      </c>
      <c r="B1467" t="s">
        <v>26</v>
      </c>
      <c r="C1467" t="s">
        <v>179</v>
      </c>
      <c r="D1467" t="s">
        <v>111</v>
      </c>
      <c r="E1467" t="s">
        <v>230</v>
      </c>
      <c r="F1467" t="s">
        <v>231</v>
      </c>
      <c r="G1467" t="s">
        <v>18</v>
      </c>
      <c r="H1467" t="s">
        <v>31</v>
      </c>
      <c r="I1467" t="str">
        <f>LEFT(H1467,FIND(" (",H1467)-1)</f>
        <v>Staff/Principal</v>
      </c>
      <c r="J1467" t="str">
        <f>MID(H1467,FIND("(",H1467)+1,FIND(")",H1467)-FIND("(",H1467)-1)</f>
        <v>8+ yrs</v>
      </c>
      <c r="L1467">
        <v>221188</v>
      </c>
      <c r="M1467" t="s">
        <v>3057</v>
      </c>
      <c r="N1467" t="s">
        <v>149</v>
      </c>
      <c r="O1467" t="s">
        <v>51</v>
      </c>
      <c r="P1467" s="1">
        <v>45738</v>
      </c>
      <c r="Q1467">
        <v>1118</v>
      </c>
      <c r="R1467">
        <v>1230</v>
      </c>
      <c r="S1467" t="s">
        <v>34</v>
      </c>
      <c r="T1467">
        <v>6</v>
      </c>
      <c r="U1467" t="s">
        <v>45</v>
      </c>
      <c r="V1467" t="s">
        <v>59</v>
      </c>
      <c r="W1467" t="s">
        <v>23</v>
      </c>
    </row>
    <row r="1468" spans="1:23" x14ac:dyDescent="0.3">
      <c r="A1468" t="s">
        <v>3058</v>
      </c>
      <c r="B1468" t="s">
        <v>106</v>
      </c>
      <c r="C1468" t="s">
        <v>107</v>
      </c>
      <c r="D1468" t="s">
        <v>15</v>
      </c>
      <c r="E1468" t="s">
        <v>216</v>
      </c>
      <c r="F1468" t="s">
        <v>217</v>
      </c>
      <c r="G1468" t="s">
        <v>41</v>
      </c>
      <c r="H1468" t="s">
        <v>19</v>
      </c>
      <c r="I1468" t="str">
        <f>LEFT(H1468,FIND(" (",H1468)-1)</f>
        <v>Entry</v>
      </c>
      <c r="J1468" t="str">
        <f>MID(H1468,FIND("(",H1468)+1,FIND(")",H1468)-FIND("(",H1468)-1)</f>
        <v>0-2 yrs</v>
      </c>
      <c r="L1468">
        <v>91040</v>
      </c>
      <c r="M1468" t="s">
        <v>3059</v>
      </c>
      <c r="N1468" t="s">
        <v>120</v>
      </c>
      <c r="O1468" t="s">
        <v>44</v>
      </c>
      <c r="P1468" s="1">
        <v>45695</v>
      </c>
      <c r="Q1468">
        <v>1826</v>
      </c>
      <c r="R1468">
        <v>1641</v>
      </c>
      <c r="S1468" t="s">
        <v>23</v>
      </c>
      <c r="T1468">
        <v>0</v>
      </c>
      <c r="U1468" t="s">
        <v>83</v>
      </c>
      <c r="V1468" t="s">
        <v>24</v>
      </c>
      <c r="W1468" t="s">
        <v>23</v>
      </c>
    </row>
    <row r="1469" spans="1:23" x14ac:dyDescent="0.3">
      <c r="A1469" t="s">
        <v>3060</v>
      </c>
      <c r="B1469" t="s">
        <v>36</v>
      </c>
      <c r="C1469" t="s">
        <v>239</v>
      </c>
      <c r="D1469" t="s">
        <v>38</v>
      </c>
      <c r="E1469" t="s">
        <v>29</v>
      </c>
      <c r="F1469" t="s">
        <v>30</v>
      </c>
      <c r="G1469" t="s">
        <v>41</v>
      </c>
      <c r="H1469" t="s">
        <v>66</v>
      </c>
      <c r="I1469" t="str">
        <f>LEFT(H1469,FIND(" (",H1469)-1)</f>
        <v>Senior</v>
      </c>
      <c r="J1469" t="str">
        <f>MID(H1469,FIND("(",H1469)+1,FIND(")",H1469)-FIND("(",H1469)-1)</f>
        <v>5-8 yrs</v>
      </c>
      <c r="L1469">
        <v>160656</v>
      </c>
      <c r="M1469" t="s">
        <v>3061</v>
      </c>
      <c r="N1469" t="s">
        <v>68</v>
      </c>
      <c r="O1469" t="s">
        <v>44</v>
      </c>
      <c r="P1469" s="1">
        <v>45701</v>
      </c>
      <c r="Q1469">
        <v>833</v>
      </c>
      <c r="R1469">
        <v>3866</v>
      </c>
      <c r="S1469" t="s">
        <v>23</v>
      </c>
      <c r="T1469">
        <v>4</v>
      </c>
      <c r="U1469" t="s">
        <v>5123</v>
      </c>
      <c r="V1469" t="s">
        <v>24</v>
      </c>
      <c r="W1469" t="s">
        <v>23</v>
      </c>
    </row>
    <row r="1470" spans="1:23" x14ac:dyDescent="0.3">
      <c r="A1470" t="s">
        <v>3062</v>
      </c>
      <c r="B1470" t="s">
        <v>151</v>
      </c>
      <c r="C1470" t="s">
        <v>116</v>
      </c>
      <c r="D1470" t="s">
        <v>147</v>
      </c>
      <c r="E1470" t="s">
        <v>16</v>
      </c>
      <c r="F1470" t="s">
        <v>17</v>
      </c>
      <c r="G1470" t="s">
        <v>41</v>
      </c>
      <c r="H1470" t="s">
        <v>19</v>
      </c>
      <c r="I1470" t="str">
        <f>LEFT(H1470,FIND(" (",H1470)-1)</f>
        <v>Entry</v>
      </c>
      <c r="J1470" t="str">
        <f>MID(H1470,FIND("(",H1470)+1,FIND(")",H1470)-FIND("(",H1470)-1)</f>
        <v>0-2 yrs</v>
      </c>
      <c r="L1470">
        <v>54931</v>
      </c>
      <c r="M1470" t="s">
        <v>3063</v>
      </c>
      <c r="N1470" t="s">
        <v>43</v>
      </c>
      <c r="O1470" t="s">
        <v>22</v>
      </c>
      <c r="P1470" s="1">
        <v>45729</v>
      </c>
      <c r="Q1470">
        <v>2355</v>
      </c>
      <c r="R1470">
        <v>2335</v>
      </c>
      <c r="S1470" t="s">
        <v>23</v>
      </c>
      <c r="T1470">
        <v>0</v>
      </c>
      <c r="U1470" t="s">
        <v>58</v>
      </c>
      <c r="V1470" t="s">
        <v>59</v>
      </c>
      <c r="W1470" t="s">
        <v>23</v>
      </c>
    </row>
    <row r="1471" spans="1:23" x14ac:dyDescent="0.3">
      <c r="A1471" t="s">
        <v>3064</v>
      </c>
      <c r="B1471" t="s">
        <v>70</v>
      </c>
      <c r="C1471" t="s">
        <v>192</v>
      </c>
      <c r="D1471" t="s">
        <v>63</v>
      </c>
      <c r="E1471" t="s">
        <v>5132</v>
      </c>
      <c r="F1471" t="s">
        <v>5133</v>
      </c>
      <c r="G1471" t="s">
        <v>41</v>
      </c>
      <c r="H1471" t="s">
        <v>19</v>
      </c>
      <c r="I1471" t="str">
        <f>LEFT(H1471,FIND(" (",H1471)-1)</f>
        <v>Entry</v>
      </c>
      <c r="J1471" t="str">
        <f>MID(H1471,FIND("(",H1471)+1,FIND(")",H1471)-FIND("(",H1471)-1)</f>
        <v>0-2 yrs</v>
      </c>
      <c r="L1471">
        <v>75601</v>
      </c>
      <c r="M1471" t="s">
        <v>3065</v>
      </c>
      <c r="N1471" t="s">
        <v>33</v>
      </c>
      <c r="O1471" t="s">
        <v>51</v>
      </c>
      <c r="P1471" s="1">
        <v>45675</v>
      </c>
      <c r="Q1471">
        <v>680</v>
      </c>
      <c r="R1471">
        <v>2101</v>
      </c>
      <c r="S1471" t="s">
        <v>23</v>
      </c>
      <c r="T1471">
        <v>0</v>
      </c>
      <c r="U1471" t="s">
        <v>58</v>
      </c>
      <c r="V1471" t="s">
        <v>24</v>
      </c>
      <c r="W1471" t="s">
        <v>23</v>
      </c>
    </row>
    <row r="1472" spans="1:23" x14ac:dyDescent="0.3">
      <c r="A1472" t="s">
        <v>3066</v>
      </c>
      <c r="B1472" t="s">
        <v>36</v>
      </c>
      <c r="C1472" t="s">
        <v>226</v>
      </c>
      <c r="D1472" t="s">
        <v>147</v>
      </c>
      <c r="E1472" t="s">
        <v>200</v>
      </c>
      <c r="F1472" t="s">
        <v>201</v>
      </c>
      <c r="G1472" t="s">
        <v>18</v>
      </c>
      <c r="H1472" t="s">
        <v>31</v>
      </c>
      <c r="I1472" t="str">
        <f>LEFT(H1472,FIND(" (",H1472)-1)</f>
        <v>Staff/Principal</v>
      </c>
      <c r="J1472" t="str">
        <f>MID(H1472,FIND("(",H1472)+1,FIND(")",H1472)-FIND("(",H1472)-1)</f>
        <v>8+ yrs</v>
      </c>
      <c r="L1472">
        <v>243078</v>
      </c>
      <c r="M1472" t="s">
        <v>3067</v>
      </c>
      <c r="N1472" t="s">
        <v>68</v>
      </c>
      <c r="O1472" t="s">
        <v>51</v>
      </c>
      <c r="P1472" s="1">
        <v>45635</v>
      </c>
      <c r="Q1472">
        <v>1835</v>
      </c>
      <c r="R1472">
        <v>78</v>
      </c>
      <c r="S1472" t="s">
        <v>23</v>
      </c>
      <c r="T1472">
        <v>6</v>
      </c>
      <c r="U1472" t="s">
        <v>83</v>
      </c>
      <c r="V1472" t="s">
        <v>24</v>
      </c>
      <c r="W1472" t="s">
        <v>23</v>
      </c>
    </row>
    <row r="1473" spans="1:23" x14ac:dyDescent="0.3">
      <c r="A1473" t="s">
        <v>3068</v>
      </c>
      <c r="B1473" t="s">
        <v>91</v>
      </c>
      <c r="C1473" t="s">
        <v>116</v>
      </c>
      <c r="D1473" t="s">
        <v>63</v>
      </c>
      <c r="E1473" t="s">
        <v>5140</v>
      </c>
      <c r="F1473" t="s">
        <v>5133</v>
      </c>
      <c r="G1473" t="s">
        <v>41</v>
      </c>
      <c r="H1473" t="s">
        <v>56</v>
      </c>
      <c r="I1473" t="str">
        <f>LEFT(H1473,FIND(" (",H1473)-1)</f>
        <v>Mid</v>
      </c>
      <c r="J1473" t="str">
        <f>MID(H1473,FIND("(",H1473)+1,FIND(")",H1473)-FIND("(",H1473)-1)</f>
        <v>2-5 yrs</v>
      </c>
      <c r="L1473">
        <v>97926</v>
      </c>
      <c r="M1473" t="s">
        <v>3069</v>
      </c>
      <c r="N1473" t="s">
        <v>120</v>
      </c>
      <c r="O1473" t="s">
        <v>51</v>
      </c>
      <c r="P1473" s="1">
        <v>45586</v>
      </c>
      <c r="Q1473">
        <v>2491</v>
      </c>
      <c r="R1473">
        <v>1739</v>
      </c>
      <c r="S1473" t="s">
        <v>34</v>
      </c>
      <c r="T1473">
        <v>2</v>
      </c>
      <c r="U1473" t="s">
        <v>52</v>
      </c>
      <c r="V1473" t="s">
        <v>24</v>
      </c>
      <c r="W1473" t="s">
        <v>34</v>
      </c>
    </row>
    <row r="1474" spans="1:23" x14ac:dyDescent="0.3">
      <c r="A1474" t="s">
        <v>3070</v>
      </c>
      <c r="B1474" t="s">
        <v>70</v>
      </c>
      <c r="C1474" t="s">
        <v>204</v>
      </c>
      <c r="D1474" t="s">
        <v>75</v>
      </c>
      <c r="E1474" t="s">
        <v>5136</v>
      </c>
      <c r="F1474" t="s">
        <v>5133</v>
      </c>
      <c r="G1474" t="s">
        <v>41</v>
      </c>
      <c r="H1474" t="s">
        <v>56</v>
      </c>
      <c r="I1474" t="str">
        <f>LEFT(H1474,FIND(" (",H1474)-1)</f>
        <v>Mid</v>
      </c>
      <c r="J1474" t="str">
        <f>MID(H1474,FIND("(",H1474)+1,FIND(")",H1474)-FIND("(",H1474)-1)</f>
        <v>2-5 yrs</v>
      </c>
      <c r="L1474">
        <v>107346</v>
      </c>
      <c r="M1474" t="s">
        <v>3071</v>
      </c>
      <c r="N1474" t="s">
        <v>33</v>
      </c>
      <c r="O1474" t="s">
        <v>51</v>
      </c>
      <c r="P1474" s="1">
        <v>45484</v>
      </c>
      <c r="Q1474">
        <v>669</v>
      </c>
      <c r="R1474">
        <v>1047</v>
      </c>
      <c r="S1474" t="s">
        <v>23</v>
      </c>
      <c r="T1474">
        <v>2</v>
      </c>
      <c r="U1474" t="s">
        <v>83</v>
      </c>
      <c r="V1474" t="s">
        <v>24</v>
      </c>
      <c r="W1474" t="s">
        <v>34</v>
      </c>
    </row>
    <row r="1475" spans="1:23" x14ac:dyDescent="0.3">
      <c r="A1475" t="s">
        <v>3072</v>
      </c>
      <c r="B1475" t="s">
        <v>81</v>
      </c>
      <c r="C1475" t="s">
        <v>92</v>
      </c>
      <c r="D1475" t="s">
        <v>75</v>
      </c>
      <c r="E1475" t="s">
        <v>64</v>
      </c>
      <c r="F1475" t="s">
        <v>65</v>
      </c>
      <c r="G1475" t="s">
        <v>18</v>
      </c>
      <c r="H1475" t="s">
        <v>66</v>
      </c>
      <c r="I1475" t="str">
        <f>LEFT(H1475,FIND(" (",H1475)-1)</f>
        <v>Senior</v>
      </c>
      <c r="J1475" t="str">
        <f>MID(H1475,FIND("(",H1475)+1,FIND(")",H1475)-FIND("(",H1475)-1)</f>
        <v>5-8 yrs</v>
      </c>
      <c r="L1475">
        <v>150396</v>
      </c>
      <c r="M1475" t="s">
        <v>3073</v>
      </c>
      <c r="N1475" t="s">
        <v>33</v>
      </c>
      <c r="O1475" t="s">
        <v>51</v>
      </c>
      <c r="P1475" s="1">
        <v>45459</v>
      </c>
      <c r="Q1475">
        <v>1224</v>
      </c>
      <c r="R1475">
        <v>3443</v>
      </c>
      <c r="S1475" t="s">
        <v>23</v>
      </c>
      <c r="T1475">
        <v>4</v>
      </c>
      <c r="U1475" t="s">
        <v>5123</v>
      </c>
      <c r="V1475" t="s">
        <v>24</v>
      </c>
      <c r="W1475" t="s">
        <v>23</v>
      </c>
    </row>
    <row r="1476" spans="1:23" x14ac:dyDescent="0.3">
      <c r="A1476" t="s">
        <v>3074</v>
      </c>
      <c r="B1476" t="s">
        <v>329</v>
      </c>
      <c r="C1476" t="s">
        <v>110</v>
      </c>
      <c r="D1476" t="s">
        <v>75</v>
      </c>
      <c r="E1476" t="s">
        <v>230</v>
      </c>
      <c r="F1476" t="s">
        <v>231</v>
      </c>
      <c r="G1476" t="s">
        <v>55</v>
      </c>
      <c r="H1476" t="s">
        <v>31</v>
      </c>
      <c r="I1476" t="str">
        <f>LEFT(H1476,FIND(" (",H1476)-1)</f>
        <v>Staff/Principal</v>
      </c>
      <c r="J1476" t="str">
        <f>MID(H1476,FIND("(",H1476)+1,FIND(")",H1476)-FIND("(",H1476)-1)</f>
        <v>8+ yrs</v>
      </c>
      <c r="L1476">
        <v>171743</v>
      </c>
      <c r="M1476" t="s">
        <v>3075</v>
      </c>
      <c r="N1476" t="s">
        <v>33</v>
      </c>
      <c r="O1476" t="s">
        <v>51</v>
      </c>
      <c r="P1476" s="1">
        <v>45734</v>
      </c>
      <c r="Q1476">
        <v>335</v>
      </c>
      <c r="R1476">
        <v>588</v>
      </c>
      <c r="S1476" t="s">
        <v>23</v>
      </c>
      <c r="T1476">
        <v>6</v>
      </c>
      <c r="U1476" t="s">
        <v>45</v>
      </c>
      <c r="V1476" t="s">
        <v>24</v>
      </c>
      <c r="W1476" t="s">
        <v>23</v>
      </c>
    </row>
    <row r="1477" spans="1:23" x14ac:dyDescent="0.3">
      <c r="A1477" t="s">
        <v>3076</v>
      </c>
      <c r="B1477" t="s">
        <v>329</v>
      </c>
      <c r="C1477" t="s">
        <v>182</v>
      </c>
      <c r="D1477" t="s">
        <v>49</v>
      </c>
      <c r="E1477" t="s">
        <v>133</v>
      </c>
      <c r="F1477" t="s">
        <v>134</v>
      </c>
      <c r="G1477" t="s">
        <v>55</v>
      </c>
      <c r="H1477" t="s">
        <v>66</v>
      </c>
      <c r="I1477" t="str">
        <f>LEFT(H1477,FIND(" (",H1477)-1)</f>
        <v>Senior</v>
      </c>
      <c r="J1477" t="str">
        <f>MID(H1477,FIND("(",H1477)+1,FIND(")",H1477)-FIND("(",H1477)-1)</f>
        <v>5-8 yrs</v>
      </c>
      <c r="L1477">
        <v>167503</v>
      </c>
      <c r="M1477" t="s">
        <v>3077</v>
      </c>
      <c r="N1477" t="s">
        <v>68</v>
      </c>
      <c r="O1477" t="s">
        <v>51</v>
      </c>
      <c r="P1477" s="1">
        <v>45470</v>
      </c>
      <c r="Q1477">
        <v>1642</v>
      </c>
      <c r="R1477">
        <v>1417</v>
      </c>
      <c r="S1477" t="s">
        <v>99</v>
      </c>
      <c r="T1477">
        <v>4</v>
      </c>
      <c r="U1477" t="s">
        <v>83</v>
      </c>
      <c r="V1477" t="s">
        <v>24</v>
      </c>
      <c r="W1477" t="s">
        <v>23</v>
      </c>
    </row>
    <row r="1478" spans="1:23" x14ac:dyDescent="0.3">
      <c r="A1478" t="s">
        <v>3078</v>
      </c>
      <c r="B1478" t="s">
        <v>81</v>
      </c>
      <c r="C1478" t="s">
        <v>167</v>
      </c>
      <c r="D1478" t="s">
        <v>38</v>
      </c>
      <c r="E1478" t="s">
        <v>102</v>
      </c>
      <c r="F1478" t="s">
        <v>103</v>
      </c>
      <c r="G1478" t="s">
        <v>55</v>
      </c>
      <c r="H1478" t="s">
        <v>19</v>
      </c>
      <c r="I1478" t="str">
        <f>LEFT(H1478,FIND(" (",H1478)-1)</f>
        <v>Entry</v>
      </c>
      <c r="J1478" t="str">
        <f>MID(H1478,FIND("(",H1478)+1,FIND(")",H1478)-FIND("(",H1478)-1)</f>
        <v>0-2 yrs</v>
      </c>
      <c r="L1478">
        <v>68476</v>
      </c>
      <c r="M1478" t="s">
        <v>3079</v>
      </c>
      <c r="N1478" t="s">
        <v>21</v>
      </c>
      <c r="O1478" t="s">
        <v>51</v>
      </c>
      <c r="P1478" s="1">
        <v>45575</v>
      </c>
      <c r="Q1478">
        <v>697</v>
      </c>
      <c r="R1478">
        <v>2416</v>
      </c>
      <c r="S1478" t="s">
        <v>34</v>
      </c>
      <c r="T1478">
        <v>0</v>
      </c>
      <c r="U1478" t="s">
        <v>83</v>
      </c>
      <c r="V1478" t="s">
        <v>59</v>
      </c>
      <c r="W1478" t="s">
        <v>23</v>
      </c>
    </row>
    <row r="1479" spans="1:23" x14ac:dyDescent="0.3">
      <c r="A1479" t="s">
        <v>3080</v>
      </c>
      <c r="B1479" t="s">
        <v>26</v>
      </c>
      <c r="C1479" t="s">
        <v>209</v>
      </c>
      <c r="D1479" t="s">
        <v>111</v>
      </c>
      <c r="E1479" t="s">
        <v>5135</v>
      </c>
      <c r="F1479" t="s">
        <v>5133</v>
      </c>
      <c r="G1479" t="s">
        <v>55</v>
      </c>
      <c r="H1479" t="s">
        <v>19</v>
      </c>
      <c r="I1479" t="str">
        <f>LEFT(H1479,FIND(" (",H1479)-1)</f>
        <v>Entry</v>
      </c>
      <c r="J1479" t="str">
        <f>MID(H1479,FIND("(",H1479)+1,FIND(")",H1479)-FIND("(",H1479)-1)</f>
        <v>0-2 yrs</v>
      </c>
      <c r="L1479">
        <v>75286</v>
      </c>
      <c r="M1479" t="s">
        <v>3081</v>
      </c>
      <c r="N1479" t="s">
        <v>120</v>
      </c>
      <c r="O1479" t="s">
        <v>79</v>
      </c>
      <c r="P1479" s="1">
        <v>45564</v>
      </c>
      <c r="Q1479">
        <v>1008</v>
      </c>
      <c r="R1479">
        <v>1286</v>
      </c>
      <c r="S1479" t="s">
        <v>99</v>
      </c>
      <c r="T1479">
        <v>0</v>
      </c>
      <c r="U1479" t="s">
        <v>5123</v>
      </c>
      <c r="V1479" t="s">
        <v>24</v>
      </c>
      <c r="W1479" t="s">
        <v>23</v>
      </c>
    </row>
    <row r="1480" spans="1:23" x14ac:dyDescent="0.3">
      <c r="A1480" t="s">
        <v>3082</v>
      </c>
      <c r="B1480" t="s">
        <v>143</v>
      </c>
      <c r="C1480" t="s">
        <v>167</v>
      </c>
      <c r="D1480" t="s">
        <v>49</v>
      </c>
      <c r="E1480" t="s">
        <v>29</v>
      </c>
      <c r="F1480" t="s">
        <v>30</v>
      </c>
      <c r="G1480" t="s">
        <v>55</v>
      </c>
      <c r="H1480" t="s">
        <v>31</v>
      </c>
      <c r="I1480" t="str">
        <f>LEFT(H1480,FIND(" (",H1480)-1)</f>
        <v>Staff/Principal</v>
      </c>
      <c r="J1480" t="str">
        <f>MID(H1480,FIND("(",H1480)+1,FIND(")",H1480)-FIND("(",H1480)-1)</f>
        <v>8+ yrs</v>
      </c>
      <c r="L1480">
        <v>168050</v>
      </c>
      <c r="M1480" t="s">
        <v>3083</v>
      </c>
      <c r="N1480" t="s">
        <v>33</v>
      </c>
      <c r="O1480" t="s">
        <v>51</v>
      </c>
      <c r="P1480" s="1">
        <v>45725</v>
      </c>
      <c r="Q1480">
        <v>933</v>
      </c>
      <c r="R1480">
        <v>1944</v>
      </c>
      <c r="S1480" t="s">
        <v>99</v>
      </c>
      <c r="T1480">
        <v>6</v>
      </c>
      <c r="U1480" t="s">
        <v>45</v>
      </c>
      <c r="V1480" t="s">
        <v>24</v>
      </c>
      <c r="W1480" t="s">
        <v>34</v>
      </c>
    </row>
    <row r="1481" spans="1:23" x14ac:dyDescent="0.3">
      <c r="A1481" t="s">
        <v>3084</v>
      </c>
      <c r="B1481" t="s">
        <v>137</v>
      </c>
      <c r="C1481" t="s">
        <v>204</v>
      </c>
      <c r="D1481" t="s">
        <v>15</v>
      </c>
      <c r="E1481" t="s">
        <v>87</v>
      </c>
      <c r="F1481" t="s">
        <v>87</v>
      </c>
      <c r="G1481" t="s">
        <v>18</v>
      </c>
      <c r="H1481" t="s">
        <v>19</v>
      </c>
      <c r="I1481" t="str">
        <f>LEFT(H1481,FIND(" (",H1481)-1)</f>
        <v>Entry</v>
      </c>
      <c r="J1481" t="str">
        <f>MID(H1481,FIND("(",H1481)+1,FIND(")",H1481)-FIND("(",H1481)-1)</f>
        <v>0-2 yrs</v>
      </c>
      <c r="L1481">
        <v>64488</v>
      </c>
      <c r="M1481" t="s">
        <v>3085</v>
      </c>
      <c r="N1481" t="s">
        <v>186</v>
      </c>
      <c r="O1481" t="s">
        <v>44</v>
      </c>
      <c r="P1481" s="1">
        <v>45462</v>
      </c>
      <c r="Q1481">
        <v>1515</v>
      </c>
      <c r="R1481">
        <v>52</v>
      </c>
      <c r="S1481" t="s">
        <v>23</v>
      </c>
      <c r="T1481">
        <v>0</v>
      </c>
      <c r="U1481" t="s">
        <v>83</v>
      </c>
      <c r="V1481" t="s">
        <v>24</v>
      </c>
      <c r="W1481" t="s">
        <v>23</v>
      </c>
    </row>
    <row r="1482" spans="1:23" x14ac:dyDescent="0.3">
      <c r="A1482" t="s">
        <v>3086</v>
      </c>
      <c r="B1482" t="s">
        <v>229</v>
      </c>
      <c r="C1482" t="s">
        <v>92</v>
      </c>
      <c r="D1482" t="s">
        <v>28</v>
      </c>
      <c r="E1482" t="s">
        <v>5141</v>
      </c>
      <c r="F1482" t="s">
        <v>5133</v>
      </c>
      <c r="G1482" t="s">
        <v>41</v>
      </c>
      <c r="H1482" t="s">
        <v>31</v>
      </c>
      <c r="I1482" t="str">
        <f>LEFT(H1482,FIND(" (",H1482)-1)</f>
        <v>Staff/Principal</v>
      </c>
      <c r="J1482" t="str">
        <f>MID(H1482,FIND("(",H1482)+1,FIND(")",H1482)-FIND("(",H1482)-1)</f>
        <v>8+ yrs</v>
      </c>
      <c r="L1482">
        <v>226005</v>
      </c>
      <c r="M1482" t="s">
        <v>3087</v>
      </c>
      <c r="N1482" t="s">
        <v>33</v>
      </c>
      <c r="O1482" t="s">
        <v>51</v>
      </c>
      <c r="P1482" s="1">
        <v>45447</v>
      </c>
      <c r="Q1482">
        <v>1543</v>
      </c>
      <c r="R1482">
        <v>500</v>
      </c>
      <c r="S1482" t="s">
        <v>23</v>
      </c>
      <c r="T1482">
        <v>6</v>
      </c>
      <c r="U1482" t="s">
        <v>52</v>
      </c>
      <c r="V1482" t="s">
        <v>24</v>
      </c>
      <c r="W1482" t="s">
        <v>34</v>
      </c>
    </row>
    <row r="1483" spans="1:23" x14ac:dyDescent="0.3">
      <c r="A1483" t="s">
        <v>3088</v>
      </c>
      <c r="B1483" t="s">
        <v>329</v>
      </c>
      <c r="C1483" t="s">
        <v>101</v>
      </c>
      <c r="D1483" t="s">
        <v>147</v>
      </c>
      <c r="E1483" t="s">
        <v>5132</v>
      </c>
      <c r="F1483" t="s">
        <v>5133</v>
      </c>
      <c r="G1483" t="s">
        <v>18</v>
      </c>
      <c r="H1483" t="s">
        <v>66</v>
      </c>
      <c r="I1483" t="str">
        <f>LEFT(H1483,FIND(" (",H1483)-1)</f>
        <v>Senior</v>
      </c>
      <c r="J1483" t="str">
        <f>MID(H1483,FIND("(",H1483)+1,FIND(")",H1483)-FIND("(",H1483)-1)</f>
        <v>5-8 yrs</v>
      </c>
      <c r="L1483">
        <v>139933</v>
      </c>
      <c r="M1483" t="s">
        <v>3089</v>
      </c>
      <c r="N1483" t="s">
        <v>141</v>
      </c>
      <c r="O1483" t="s">
        <v>79</v>
      </c>
      <c r="P1483" s="1">
        <v>45505</v>
      </c>
      <c r="Q1483">
        <v>1858</v>
      </c>
      <c r="R1483">
        <v>2836</v>
      </c>
      <c r="S1483" t="s">
        <v>23</v>
      </c>
      <c r="T1483">
        <v>4</v>
      </c>
      <c r="U1483" t="s">
        <v>5123</v>
      </c>
      <c r="V1483" t="s">
        <v>24</v>
      </c>
      <c r="W1483" t="s">
        <v>23</v>
      </c>
    </row>
    <row r="1484" spans="1:23" x14ac:dyDescent="0.3">
      <c r="A1484" t="s">
        <v>3090</v>
      </c>
      <c r="B1484" t="s">
        <v>131</v>
      </c>
      <c r="C1484" t="s">
        <v>239</v>
      </c>
      <c r="D1484" t="s">
        <v>125</v>
      </c>
      <c r="E1484" t="s">
        <v>102</v>
      </c>
      <c r="F1484" t="s">
        <v>103</v>
      </c>
      <c r="G1484" t="s">
        <v>41</v>
      </c>
      <c r="H1484" t="s">
        <v>56</v>
      </c>
      <c r="I1484" t="str">
        <f>LEFT(H1484,FIND(" (",H1484)-1)</f>
        <v>Mid</v>
      </c>
      <c r="J1484" t="str">
        <f>MID(H1484,FIND("(",H1484)+1,FIND(")",H1484)-FIND("(",H1484)-1)</f>
        <v>2-5 yrs</v>
      </c>
      <c r="L1484">
        <v>144193</v>
      </c>
      <c r="M1484" t="s">
        <v>3091</v>
      </c>
      <c r="N1484" t="s">
        <v>94</v>
      </c>
      <c r="O1484" t="s">
        <v>22</v>
      </c>
      <c r="P1484" s="1">
        <v>45360</v>
      </c>
      <c r="Q1484">
        <v>642</v>
      </c>
      <c r="R1484">
        <v>2602</v>
      </c>
      <c r="S1484" t="s">
        <v>23</v>
      </c>
      <c r="T1484">
        <v>2</v>
      </c>
      <c r="U1484" t="s">
        <v>45</v>
      </c>
      <c r="V1484" t="s">
        <v>46</v>
      </c>
      <c r="W1484" t="s">
        <v>34</v>
      </c>
    </row>
    <row r="1485" spans="1:23" x14ac:dyDescent="0.3">
      <c r="A1485" t="s">
        <v>3092</v>
      </c>
      <c r="B1485" t="s">
        <v>137</v>
      </c>
      <c r="C1485" t="s">
        <v>124</v>
      </c>
      <c r="D1485" t="s">
        <v>174</v>
      </c>
      <c r="E1485" t="s">
        <v>64</v>
      </c>
      <c r="F1485" t="s">
        <v>65</v>
      </c>
      <c r="G1485" t="s">
        <v>18</v>
      </c>
      <c r="H1485" t="s">
        <v>31</v>
      </c>
      <c r="I1485" t="str">
        <f>LEFT(H1485,FIND(" (",H1485)-1)</f>
        <v>Staff/Principal</v>
      </c>
      <c r="J1485" t="str">
        <f>MID(H1485,FIND("(",H1485)+1,FIND(")",H1485)-FIND("(",H1485)-1)</f>
        <v>8+ yrs</v>
      </c>
      <c r="L1485">
        <v>185613</v>
      </c>
      <c r="M1485" t="s">
        <v>3093</v>
      </c>
      <c r="N1485" t="s">
        <v>33</v>
      </c>
      <c r="O1485" t="s">
        <v>51</v>
      </c>
      <c r="P1485" s="1">
        <v>45391</v>
      </c>
      <c r="Q1485">
        <v>869</v>
      </c>
      <c r="R1485">
        <v>2721</v>
      </c>
      <c r="S1485" t="s">
        <v>23</v>
      </c>
      <c r="T1485">
        <v>6</v>
      </c>
      <c r="U1485" t="s">
        <v>45</v>
      </c>
      <c r="V1485" t="s">
        <v>24</v>
      </c>
      <c r="W1485" t="s">
        <v>23</v>
      </c>
    </row>
    <row r="1486" spans="1:23" x14ac:dyDescent="0.3">
      <c r="A1486" t="s">
        <v>3094</v>
      </c>
      <c r="B1486" t="s">
        <v>26</v>
      </c>
      <c r="C1486" t="s">
        <v>74</v>
      </c>
      <c r="D1486" t="s">
        <v>174</v>
      </c>
      <c r="E1486" t="s">
        <v>5135</v>
      </c>
      <c r="F1486" t="s">
        <v>5133</v>
      </c>
      <c r="G1486" t="s">
        <v>41</v>
      </c>
      <c r="H1486" t="s">
        <v>31</v>
      </c>
      <c r="I1486" t="str">
        <f>LEFT(H1486,FIND(" (",H1486)-1)</f>
        <v>Staff/Principal</v>
      </c>
      <c r="J1486" t="str">
        <f>MID(H1486,FIND("(",H1486)+1,FIND(")",H1486)-FIND("(",H1486)-1)</f>
        <v>8+ yrs</v>
      </c>
      <c r="L1486">
        <v>208088</v>
      </c>
      <c r="M1486" t="s">
        <v>3095</v>
      </c>
      <c r="N1486" t="s">
        <v>120</v>
      </c>
      <c r="O1486" t="s">
        <v>51</v>
      </c>
      <c r="P1486" s="1">
        <v>45372</v>
      </c>
      <c r="Q1486">
        <v>827</v>
      </c>
      <c r="R1486">
        <v>1050</v>
      </c>
      <c r="S1486" t="s">
        <v>23</v>
      </c>
      <c r="T1486">
        <v>6</v>
      </c>
      <c r="U1486" t="s">
        <v>83</v>
      </c>
      <c r="V1486" t="s">
        <v>24</v>
      </c>
      <c r="W1486" t="s">
        <v>34</v>
      </c>
    </row>
    <row r="1487" spans="1:23" x14ac:dyDescent="0.3">
      <c r="A1487" t="s">
        <v>3096</v>
      </c>
      <c r="B1487" t="s">
        <v>85</v>
      </c>
      <c r="C1487" t="s">
        <v>158</v>
      </c>
      <c r="D1487" t="s">
        <v>15</v>
      </c>
      <c r="E1487" t="s">
        <v>5136</v>
      </c>
      <c r="F1487" t="s">
        <v>5133</v>
      </c>
      <c r="G1487" t="s">
        <v>18</v>
      </c>
      <c r="H1487" t="s">
        <v>66</v>
      </c>
      <c r="I1487" t="str">
        <f>LEFT(H1487,FIND(" (",H1487)-1)</f>
        <v>Senior</v>
      </c>
      <c r="J1487" t="str">
        <f>MID(H1487,FIND("(",H1487)+1,FIND(")",H1487)-FIND("(",H1487)-1)</f>
        <v>5-8 yrs</v>
      </c>
      <c r="L1487">
        <v>175179</v>
      </c>
      <c r="M1487" t="s">
        <v>3097</v>
      </c>
      <c r="N1487" t="s">
        <v>33</v>
      </c>
      <c r="O1487" t="s">
        <v>44</v>
      </c>
      <c r="P1487" s="1">
        <v>45387</v>
      </c>
      <c r="Q1487">
        <v>903</v>
      </c>
      <c r="R1487">
        <v>3751</v>
      </c>
      <c r="S1487" t="s">
        <v>23</v>
      </c>
      <c r="T1487">
        <v>4</v>
      </c>
      <c r="U1487" t="s">
        <v>83</v>
      </c>
      <c r="V1487" t="s">
        <v>24</v>
      </c>
      <c r="W1487" t="s">
        <v>23</v>
      </c>
    </row>
    <row r="1488" spans="1:23" x14ac:dyDescent="0.3">
      <c r="A1488" t="s">
        <v>3098</v>
      </c>
      <c r="B1488" t="s">
        <v>229</v>
      </c>
      <c r="C1488" t="s">
        <v>86</v>
      </c>
      <c r="D1488" t="s">
        <v>63</v>
      </c>
      <c r="E1488" t="s">
        <v>133</v>
      </c>
      <c r="F1488" t="s">
        <v>134</v>
      </c>
      <c r="G1488" t="s">
        <v>18</v>
      </c>
      <c r="H1488" t="s">
        <v>66</v>
      </c>
      <c r="I1488" t="str">
        <f>LEFT(H1488,FIND(" (",H1488)-1)</f>
        <v>Senior</v>
      </c>
      <c r="J1488" t="str">
        <f>MID(H1488,FIND("(",H1488)+1,FIND(")",H1488)-FIND("(",H1488)-1)</f>
        <v>5-8 yrs</v>
      </c>
      <c r="L1488">
        <v>111704</v>
      </c>
      <c r="M1488" t="s">
        <v>3099</v>
      </c>
      <c r="N1488" t="s">
        <v>120</v>
      </c>
      <c r="O1488" t="s">
        <v>22</v>
      </c>
      <c r="P1488" s="1">
        <v>45697</v>
      </c>
      <c r="Q1488">
        <v>1934</v>
      </c>
      <c r="R1488">
        <v>2846</v>
      </c>
      <c r="S1488" t="s">
        <v>99</v>
      </c>
      <c r="T1488">
        <v>4</v>
      </c>
      <c r="U1488" t="s">
        <v>45</v>
      </c>
      <c r="V1488" t="s">
        <v>24</v>
      </c>
      <c r="W1488" t="s">
        <v>23</v>
      </c>
    </row>
    <row r="1489" spans="1:23" x14ac:dyDescent="0.3">
      <c r="A1489" t="s">
        <v>3100</v>
      </c>
      <c r="B1489" t="s">
        <v>36</v>
      </c>
      <c r="C1489" t="s">
        <v>27</v>
      </c>
      <c r="D1489" t="s">
        <v>174</v>
      </c>
      <c r="E1489" t="s">
        <v>76</v>
      </c>
      <c r="F1489" t="s">
        <v>77</v>
      </c>
      <c r="G1489" t="s">
        <v>55</v>
      </c>
      <c r="H1489" t="s">
        <v>19</v>
      </c>
      <c r="I1489" t="str">
        <f>LEFT(H1489,FIND(" (",H1489)-1)</f>
        <v>Entry</v>
      </c>
      <c r="J1489" t="str">
        <f>MID(H1489,FIND("(",H1489)+1,FIND(")",H1489)-FIND("(",H1489)-1)</f>
        <v>0-2 yrs</v>
      </c>
      <c r="L1489">
        <v>50000</v>
      </c>
      <c r="M1489" t="s">
        <v>3101</v>
      </c>
      <c r="N1489" t="s">
        <v>141</v>
      </c>
      <c r="O1489" t="s">
        <v>51</v>
      </c>
      <c r="P1489" s="1">
        <v>45591</v>
      </c>
      <c r="Q1489">
        <v>851</v>
      </c>
      <c r="R1489">
        <v>913</v>
      </c>
      <c r="S1489" t="s">
        <v>23</v>
      </c>
      <c r="T1489">
        <v>0</v>
      </c>
      <c r="U1489" t="s">
        <v>58</v>
      </c>
      <c r="V1489" t="s">
        <v>24</v>
      </c>
      <c r="W1489" t="s">
        <v>23</v>
      </c>
    </row>
    <row r="1490" spans="1:23" x14ac:dyDescent="0.3">
      <c r="A1490" t="s">
        <v>3102</v>
      </c>
      <c r="B1490" t="s">
        <v>172</v>
      </c>
      <c r="C1490" t="s">
        <v>86</v>
      </c>
      <c r="D1490" t="s">
        <v>125</v>
      </c>
      <c r="E1490" t="s">
        <v>5141</v>
      </c>
      <c r="F1490" t="s">
        <v>5133</v>
      </c>
      <c r="G1490" t="s">
        <v>18</v>
      </c>
      <c r="H1490" t="s">
        <v>31</v>
      </c>
      <c r="I1490" t="str">
        <f>LEFT(H1490,FIND(" (",H1490)-1)</f>
        <v>Staff/Principal</v>
      </c>
      <c r="J1490" t="str">
        <f>MID(H1490,FIND("(",H1490)+1,FIND(")",H1490)-FIND("(",H1490)-1)</f>
        <v>8+ yrs</v>
      </c>
      <c r="L1490">
        <v>145076</v>
      </c>
      <c r="M1490" t="s">
        <v>3103</v>
      </c>
      <c r="N1490" t="s">
        <v>68</v>
      </c>
      <c r="O1490" t="s">
        <v>44</v>
      </c>
      <c r="P1490" s="1">
        <v>45606</v>
      </c>
      <c r="Q1490">
        <v>394</v>
      </c>
      <c r="R1490">
        <v>3633</v>
      </c>
      <c r="S1490" t="s">
        <v>34</v>
      </c>
      <c r="T1490">
        <v>6</v>
      </c>
      <c r="U1490" t="s">
        <v>5123</v>
      </c>
      <c r="V1490" t="s">
        <v>59</v>
      </c>
      <c r="W1490" t="s">
        <v>23</v>
      </c>
    </row>
    <row r="1491" spans="1:23" x14ac:dyDescent="0.3">
      <c r="A1491" t="s">
        <v>3104</v>
      </c>
      <c r="B1491" t="s">
        <v>26</v>
      </c>
      <c r="C1491" t="s">
        <v>124</v>
      </c>
      <c r="D1491" t="s">
        <v>38</v>
      </c>
      <c r="E1491" t="s">
        <v>5140</v>
      </c>
      <c r="F1491" t="s">
        <v>5133</v>
      </c>
      <c r="G1491" t="s">
        <v>55</v>
      </c>
      <c r="H1491" t="s">
        <v>31</v>
      </c>
      <c r="I1491" t="str">
        <f>LEFT(H1491,FIND(" (",H1491)-1)</f>
        <v>Staff/Principal</v>
      </c>
      <c r="J1491" t="str">
        <f>MID(H1491,FIND("(",H1491)+1,FIND(")",H1491)-FIND("(",H1491)-1)</f>
        <v>8+ yrs</v>
      </c>
      <c r="L1491">
        <v>245453</v>
      </c>
      <c r="M1491" t="s">
        <v>3105</v>
      </c>
      <c r="N1491" t="s">
        <v>94</v>
      </c>
      <c r="O1491" t="s">
        <v>51</v>
      </c>
      <c r="P1491" s="1">
        <v>45538</v>
      </c>
      <c r="Q1491">
        <v>1350</v>
      </c>
      <c r="R1491">
        <v>3519</v>
      </c>
      <c r="S1491" t="s">
        <v>99</v>
      </c>
      <c r="T1491">
        <v>6</v>
      </c>
      <c r="U1491" t="s">
        <v>83</v>
      </c>
      <c r="V1491" t="s">
        <v>59</v>
      </c>
      <c r="W1491" t="s">
        <v>23</v>
      </c>
    </row>
    <row r="1492" spans="1:23" x14ac:dyDescent="0.3">
      <c r="A1492" t="s">
        <v>3106</v>
      </c>
      <c r="B1492" t="s">
        <v>91</v>
      </c>
      <c r="C1492" t="s">
        <v>92</v>
      </c>
      <c r="D1492" t="s">
        <v>28</v>
      </c>
      <c r="E1492" t="s">
        <v>200</v>
      </c>
      <c r="F1492" t="s">
        <v>201</v>
      </c>
      <c r="G1492" t="s">
        <v>18</v>
      </c>
      <c r="H1492" t="s">
        <v>56</v>
      </c>
      <c r="I1492" t="str">
        <f>LEFT(H1492,FIND(" (",H1492)-1)</f>
        <v>Mid</v>
      </c>
      <c r="J1492" t="str">
        <f>MID(H1492,FIND("(",H1492)+1,FIND(")",H1492)-FIND("(",H1492)-1)</f>
        <v>2-5 yrs</v>
      </c>
      <c r="L1492">
        <v>99073</v>
      </c>
      <c r="M1492" t="s">
        <v>3107</v>
      </c>
      <c r="N1492" t="s">
        <v>33</v>
      </c>
      <c r="O1492" t="s">
        <v>51</v>
      </c>
      <c r="P1492" s="1">
        <v>45329</v>
      </c>
      <c r="Q1492">
        <v>1280</v>
      </c>
      <c r="R1492">
        <v>2420</v>
      </c>
      <c r="S1492" t="s">
        <v>23</v>
      </c>
      <c r="T1492">
        <v>2</v>
      </c>
      <c r="U1492" t="s">
        <v>5123</v>
      </c>
      <c r="V1492" t="s">
        <v>46</v>
      </c>
      <c r="W1492" t="s">
        <v>34</v>
      </c>
    </row>
    <row r="1493" spans="1:23" x14ac:dyDescent="0.3">
      <c r="A1493" t="s">
        <v>3108</v>
      </c>
      <c r="B1493" t="s">
        <v>106</v>
      </c>
      <c r="C1493" t="s">
        <v>173</v>
      </c>
      <c r="D1493" t="s">
        <v>75</v>
      </c>
      <c r="E1493" t="s">
        <v>200</v>
      </c>
      <c r="F1493" t="s">
        <v>201</v>
      </c>
      <c r="G1493" t="s">
        <v>18</v>
      </c>
      <c r="H1493" t="s">
        <v>19</v>
      </c>
      <c r="I1493" t="str">
        <f>LEFT(H1493,FIND(" (",H1493)-1)</f>
        <v>Entry</v>
      </c>
      <c r="J1493" t="str">
        <f>MID(H1493,FIND("(",H1493)+1,FIND(")",H1493)-FIND("(",H1493)-1)</f>
        <v>0-2 yrs</v>
      </c>
      <c r="L1493">
        <v>102233</v>
      </c>
      <c r="M1493" t="s">
        <v>3109</v>
      </c>
      <c r="N1493" t="s">
        <v>94</v>
      </c>
      <c r="O1493" t="s">
        <v>44</v>
      </c>
      <c r="P1493" s="1">
        <v>45405</v>
      </c>
      <c r="Q1493">
        <v>1954</v>
      </c>
      <c r="R1493">
        <v>3346</v>
      </c>
      <c r="S1493" t="s">
        <v>23</v>
      </c>
      <c r="T1493">
        <v>0</v>
      </c>
      <c r="U1493" t="s">
        <v>58</v>
      </c>
      <c r="V1493" t="s">
        <v>59</v>
      </c>
      <c r="W1493" t="s">
        <v>34</v>
      </c>
    </row>
    <row r="1494" spans="1:23" x14ac:dyDescent="0.3">
      <c r="A1494" t="s">
        <v>3110</v>
      </c>
      <c r="B1494" t="s">
        <v>61</v>
      </c>
      <c r="C1494" t="s">
        <v>71</v>
      </c>
      <c r="D1494" t="s">
        <v>49</v>
      </c>
      <c r="E1494" t="s">
        <v>5141</v>
      </c>
      <c r="F1494" t="s">
        <v>5133</v>
      </c>
      <c r="G1494" t="s">
        <v>41</v>
      </c>
      <c r="H1494" t="s">
        <v>56</v>
      </c>
      <c r="I1494" t="str">
        <f>LEFT(H1494,FIND(" (",H1494)-1)</f>
        <v>Mid</v>
      </c>
      <c r="J1494" t="str">
        <f>MID(H1494,FIND("(",H1494)+1,FIND(")",H1494)-FIND("(",H1494)-1)</f>
        <v>2-5 yrs</v>
      </c>
      <c r="L1494">
        <v>98827</v>
      </c>
      <c r="M1494" t="s">
        <v>3111</v>
      </c>
      <c r="N1494" t="s">
        <v>33</v>
      </c>
      <c r="O1494" t="s">
        <v>51</v>
      </c>
      <c r="P1494" s="1">
        <v>45631</v>
      </c>
      <c r="Q1494">
        <v>931</v>
      </c>
      <c r="R1494">
        <v>1015</v>
      </c>
      <c r="S1494" t="s">
        <v>23</v>
      </c>
      <c r="T1494">
        <v>2</v>
      </c>
      <c r="U1494" t="s">
        <v>5123</v>
      </c>
      <c r="V1494" t="s">
        <v>24</v>
      </c>
      <c r="W1494" t="s">
        <v>23</v>
      </c>
    </row>
    <row r="1495" spans="1:23" x14ac:dyDescent="0.3">
      <c r="A1495" t="s">
        <v>3112</v>
      </c>
      <c r="B1495" t="s">
        <v>236</v>
      </c>
      <c r="C1495" t="s">
        <v>173</v>
      </c>
      <c r="D1495" t="s">
        <v>174</v>
      </c>
      <c r="E1495" t="s">
        <v>133</v>
      </c>
      <c r="F1495" t="s">
        <v>134</v>
      </c>
      <c r="G1495" t="s">
        <v>41</v>
      </c>
      <c r="H1495" t="s">
        <v>31</v>
      </c>
      <c r="I1495" t="str">
        <f>LEFT(H1495,FIND(" (",H1495)-1)</f>
        <v>Staff/Principal</v>
      </c>
      <c r="J1495" t="str">
        <f>MID(H1495,FIND("(",H1495)+1,FIND(")",H1495)-FIND("(",H1495)-1)</f>
        <v>8+ yrs</v>
      </c>
      <c r="L1495">
        <v>206643</v>
      </c>
      <c r="M1495" t="s">
        <v>3113</v>
      </c>
      <c r="N1495" t="s">
        <v>141</v>
      </c>
      <c r="O1495" t="s">
        <v>44</v>
      </c>
      <c r="P1495" s="1">
        <v>45640</v>
      </c>
      <c r="Q1495">
        <v>1196</v>
      </c>
      <c r="R1495">
        <v>1974</v>
      </c>
      <c r="S1495" t="s">
        <v>99</v>
      </c>
      <c r="T1495">
        <v>6</v>
      </c>
      <c r="U1495" t="s">
        <v>45</v>
      </c>
      <c r="V1495" t="s">
        <v>24</v>
      </c>
      <c r="W1495" t="s">
        <v>23</v>
      </c>
    </row>
    <row r="1496" spans="1:23" x14ac:dyDescent="0.3">
      <c r="A1496" t="s">
        <v>3114</v>
      </c>
      <c r="B1496" t="s">
        <v>96</v>
      </c>
      <c r="C1496" t="s">
        <v>195</v>
      </c>
      <c r="D1496" t="s">
        <v>125</v>
      </c>
      <c r="E1496" t="s">
        <v>64</v>
      </c>
      <c r="F1496" t="s">
        <v>65</v>
      </c>
      <c r="G1496" t="s">
        <v>18</v>
      </c>
      <c r="H1496" t="s">
        <v>66</v>
      </c>
      <c r="I1496" t="str">
        <f>LEFT(H1496,FIND(" (",H1496)-1)</f>
        <v>Senior</v>
      </c>
      <c r="J1496" t="str">
        <f>MID(H1496,FIND("(",H1496)+1,FIND(")",H1496)-FIND("(",H1496)-1)</f>
        <v>5-8 yrs</v>
      </c>
      <c r="L1496">
        <v>191636</v>
      </c>
      <c r="M1496" t="s">
        <v>3115</v>
      </c>
      <c r="N1496" t="s">
        <v>43</v>
      </c>
      <c r="O1496" t="s">
        <v>79</v>
      </c>
      <c r="P1496" s="1">
        <v>45474</v>
      </c>
      <c r="Q1496">
        <v>2301</v>
      </c>
      <c r="R1496">
        <v>1134</v>
      </c>
      <c r="S1496" t="s">
        <v>23</v>
      </c>
      <c r="T1496">
        <v>4</v>
      </c>
      <c r="U1496" t="s">
        <v>58</v>
      </c>
      <c r="V1496" t="s">
        <v>46</v>
      </c>
      <c r="W1496" t="s">
        <v>34</v>
      </c>
    </row>
    <row r="1497" spans="1:23" x14ac:dyDescent="0.3">
      <c r="A1497" t="s">
        <v>3116</v>
      </c>
      <c r="B1497" t="s">
        <v>70</v>
      </c>
      <c r="C1497" t="s">
        <v>158</v>
      </c>
      <c r="D1497" t="s">
        <v>111</v>
      </c>
      <c r="E1497" t="s">
        <v>76</v>
      </c>
      <c r="F1497" t="s">
        <v>77</v>
      </c>
      <c r="G1497" t="s">
        <v>18</v>
      </c>
      <c r="H1497" t="s">
        <v>66</v>
      </c>
      <c r="I1497" t="str">
        <f>LEFT(H1497,FIND(" (",H1497)-1)</f>
        <v>Senior</v>
      </c>
      <c r="J1497" t="str">
        <f>MID(H1497,FIND("(",H1497)+1,FIND(")",H1497)-FIND("(",H1497)-1)</f>
        <v>5-8 yrs</v>
      </c>
      <c r="L1497">
        <v>204164</v>
      </c>
      <c r="M1497" t="s">
        <v>3117</v>
      </c>
      <c r="N1497" t="s">
        <v>149</v>
      </c>
      <c r="O1497" t="s">
        <v>51</v>
      </c>
      <c r="P1497" s="1">
        <v>45746</v>
      </c>
      <c r="Q1497">
        <v>2038</v>
      </c>
      <c r="R1497">
        <v>1063</v>
      </c>
      <c r="S1497" t="s">
        <v>23</v>
      </c>
      <c r="T1497">
        <v>4</v>
      </c>
      <c r="U1497" t="s">
        <v>45</v>
      </c>
      <c r="V1497" t="s">
        <v>24</v>
      </c>
      <c r="W1497" t="s">
        <v>34</v>
      </c>
    </row>
    <row r="1498" spans="1:23" x14ac:dyDescent="0.3">
      <c r="A1498" t="s">
        <v>3118</v>
      </c>
      <c r="B1498" t="s">
        <v>236</v>
      </c>
      <c r="C1498" t="s">
        <v>92</v>
      </c>
      <c r="D1498" t="s">
        <v>15</v>
      </c>
      <c r="E1498" t="s">
        <v>5141</v>
      </c>
      <c r="F1498" t="s">
        <v>5133</v>
      </c>
      <c r="G1498" t="s">
        <v>41</v>
      </c>
      <c r="H1498" t="s">
        <v>19</v>
      </c>
      <c r="I1498" t="str">
        <f>LEFT(H1498,FIND(" (",H1498)-1)</f>
        <v>Entry</v>
      </c>
      <c r="J1498" t="str">
        <f>MID(H1498,FIND("(",H1498)+1,FIND(")",H1498)-FIND("(",H1498)-1)</f>
        <v>0-2 yrs</v>
      </c>
      <c r="L1498">
        <v>95974</v>
      </c>
      <c r="M1498" t="s">
        <v>3119</v>
      </c>
      <c r="N1498" t="s">
        <v>141</v>
      </c>
      <c r="O1498" t="s">
        <v>79</v>
      </c>
      <c r="P1498" s="1">
        <v>45515</v>
      </c>
      <c r="Q1498">
        <v>504</v>
      </c>
      <c r="R1498">
        <v>2327</v>
      </c>
      <c r="S1498" t="s">
        <v>99</v>
      </c>
      <c r="T1498">
        <v>0</v>
      </c>
      <c r="U1498" t="s">
        <v>45</v>
      </c>
      <c r="V1498" t="s">
        <v>59</v>
      </c>
      <c r="W1498" t="s">
        <v>23</v>
      </c>
    </row>
    <row r="1499" spans="1:23" x14ac:dyDescent="0.3">
      <c r="A1499" t="s">
        <v>3120</v>
      </c>
      <c r="B1499" t="s">
        <v>229</v>
      </c>
      <c r="C1499" t="s">
        <v>97</v>
      </c>
      <c r="D1499" t="s">
        <v>125</v>
      </c>
      <c r="E1499" t="s">
        <v>5134</v>
      </c>
      <c r="F1499" t="s">
        <v>5133</v>
      </c>
      <c r="G1499" t="s">
        <v>41</v>
      </c>
      <c r="H1499" t="s">
        <v>19</v>
      </c>
      <c r="I1499" t="str">
        <f>LEFT(H1499,FIND(" (",H1499)-1)</f>
        <v>Entry</v>
      </c>
      <c r="J1499" t="str">
        <f>MID(H1499,FIND("(",H1499)+1,FIND(")",H1499)-FIND("(",H1499)-1)</f>
        <v>0-2 yrs</v>
      </c>
      <c r="L1499">
        <v>85225</v>
      </c>
      <c r="M1499" t="s">
        <v>3121</v>
      </c>
      <c r="N1499" t="s">
        <v>89</v>
      </c>
      <c r="O1499" t="s">
        <v>22</v>
      </c>
      <c r="P1499" s="1">
        <v>45720</v>
      </c>
      <c r="Q1499">
        <v>1450</v>
      </c>
      <c r="R1499">
        <v>602</v>
      </c>
      <c r="S1499" t="s">
        <v>34</v>
      </c>
      <c r="T1499">
        <v>0</v>
      </c>
      <c r="U1499" t="s">
        <v>45</v>
      </c>
      <c r="V1499" t="s">
        <v>59</v>
      </c>
      <c r="W1499" t="s">
        <v>23</v>
      </c>
    </row>
    <row r="1500" spans="1:23" x14ac:dyDescent="0.3">
      <c r="A1500" t="s">
        <v>3122</v>
      </c>
      <c r="B1500" t="s">
        <v>106</v>
      </c>
      <c r="C1500" t="s">
        <v>110</v>
      </c>
      <c r="D1500" t="s">
        <v>75</v>
      </c>
      <c r="E1500" t="s">
        <v>216</v>
      </c>
      <c r="F1500" t="s">
        <v>217</v>
      </c>
      <c r="G1500" t="s">
        <v>18</v>
      </c>
      <c r="H1500" t="s">
        <v>66</v>
      </c>
      <c r="I1500" t="str">
        <f>LEFT(H1500,FIND(" (",H1500)-1)</f>
        <v>Senior</v>
      </c>
      <c r="J1500" t="str">
        <f>MID(H1500,FIND("(",H1500)+1,FIND(")",H1500)-FIND("(",H1500)-1)</f>
        <v>5-8 yrs</v>
      </c>
      <c r="L1500">
        <v>177649</v>
      </c>
      <c r="M1500" t="s">
        <v>3123</v>
      </c>
      <c r="N1500" t="s">
        <v>186</v>
      </c>
      <c r="O1500" t="s">
        <v>79</v>
      </c>
      <c r="P1500" s="1">
        <v>45487</v>
      </c>
      <c r="Q1500">
        <v>1424</v>
      </c>
      <c r="R1500">
        <v>43</v>
      </c>
      <c r="S1500" t="s">
        <v>23</v>
      </c>
      <c r="T1500">
        <v>4</v>
      </c>
      <c r="U1500" t="s">
        <v>52</v>
      </c>
      <c r="V1500" t="s">
        <v>59</v>
      </c>
      <c r="W1500" t="s">
        <v>23</v>
      </c>
    </row>
    <row r="1501" spans="1:23" x14ac:dyDescent="0.3">
      <c r="A1501" t="s">
        <v>3124</v>
      </c>
      <c r="B1501" t="s">
        <v>70</v>
      </c>
      <c r="C1501" t="s">
        <v>27</v>
      </c>
      <c r="D1501" t="s">
        <v>28</v>
      </c>
      <c r="E1501" t="s">
        <v>29</v>
      </c>
      <c r="F1501" t="s">
        <v>30</v>
      </c>
      <c r="G1501" t="s">
        <v>18</v>
      </c>
      <c r="H1501" t="s">
        <v>66</v>
      </c>
      <c r="I1501" t="str">
        <f>LEFT(H1501,FIND(" (",H1501)-1)</f>
        <v>Senior</v>
      </c>
      <c r="J1501" t="str">
        <f>MID(H1501,FIND("(",H1501)+1,FIND(")",H1501)-FIND("(",H1501)-1)</f>
        <v>5-8 yrs</v>
      </c>
      <c r="L1501">
        <v>165998</v>
      </c>
      <c r="M1501" t="s">
        <v>3125</v>
      </c>
      <c r="N1501" t="s">
        <v>43</v>
      </c>
      <c r="O1501" t="s">
        <v>22</v>
      </c>
      <c r="P1501" s="1">
        <v>45415</v>
      </c>
      <c r="Q1501">
        <v>364</v>
      </c>
      <c r="R1501">
        <v>1423</v>
      </c>
      <c r="S1501" t="s">
        <v>34</v>
      </c>
      <c r="T1501">
        <v>4</v>
      </c>
      <c r="U1501" t="s">
        <v>52</v>
      </c>
      <c r="V1501" t="s">
        <v>59</v>
      </c>
      <c r="W1501" t="s">
        <v>34</v>
      </c>
    </row>
    <row r="1502" spans="1:23" x14ac:dyDescent="0.3">
      <c r="A1502" t="s">
        <v>3126</v>
      </c>
      <c r="B1502" t="s">
        <v>329</v>
      </c>
      <c r="C1502" t="s">
        <v>54</v>
      </c>
      <c r="D1502" t="s">
        <v>28</v>
      </c>
      <c r="E1502" t="s">
        <v>16</v>
      </c>
      <c r="F1502" t="s">
        <v>17</v>
      </c>
      <c r="G1502" t="s">
        <v>55</v>
      </c>
      <c r="H1502" t="s">
        <v>31</v>
      </c>
      <c r="I1502" t="str">
        <f>LEFT(H1502,FIND(" (",H1502)-1)</f>
        <v>Staff/Principal</v>
      </c>
      <c r="J1502" t="str">
        <f>MID(H1502,FIND("(",H1502)+1,FIND(")",H1502)-FIND("(",H1502)-1)</f>
        <v>8+ yrs</v>
      </c>
      <c r="L1502">
        <v>228020</v>
      </c>
      <c r="M1502" t="s">
        <v>3127</v>
      </c>
      <c r="N1502" t="s">
        <v>245</v>
      </c>
      <c r="O1502" t="s">
        <v>51</v>
      </c>
      <c r="P1502" s="1">
        <v>45714</v>
      </c>
      <c r="Q1502">
        <v>557</v>
      </c>
      <c r="R1502">
        <v>448</v>
      </c>
      <c r="S1502" t="s">
        <v>23</v>
      </c>
      <c r="T1502">
        <v>6</v>
      </c>
      <c r="U1502" t="s">
        <v>52</v>
      </c>
      <c r="V1502" t="s">
        <v>59</v>
      </c>
      <c r="W1502" t="s">
        <v>23</v>
      </c>
    </row>
    <row r="1503" spans="1:23" x14ac:dyDescent="0.3">
      <c r="A1503" t="s">
        <v>3128</v>
      </c>
      <c r="B1503" t="s">
        <v>225</v>
      </c>
      <c r="C1503" t="s">
        <v>86</v>
      </c>
      <c r="D1503" t="s">
        <v>174</v>
      </c>
      <c r="E1503" t="s">
        <v>39</v>
      </c>
      <c r="F1503" t="s">
        <v>40</v>
      </c>
      <c r="G1503" t="s">
        <v>41</v>
      </c>
      <c r="H1503" t="s">
        <v>31</v>
      </c>
      <c r="I1503" t="str">
        <f>LEFT(H1503,FIND(" (",H1503)-1)</f>
        <v>Staff/Principal</v>
      </c>
      <c r="J1503" t="str">
        <f>MID(H1503,FIND("(",H1503)+1,FIND(")",H1503)-FIND("(",H1503)-1)</f>
        <v>8+ yrs</v>
      </c>
      <c r="L1503">
        <v>180157</v>
      </c>
      <c r="M1503" t="s">
        <v>3129</v>
      </c>
      <c r="N1503" t="s">
        <v>149</v>
      </c>
      <c r="O1503" t="s">
        <v>79</v>
      </c>
      <c r="P1503" s="1">
        <v>45641</v>
      </c>
      <c r="Q1503">
        <v>1190</v>
      </c>
      <c r="R1503">
        <v>2291</v>
      </c>
      <c r="S1503" t="s">
        <v>34</v>
      </c>
      <c r="T1503">
        <v>6</v>
      </c>
      <c r="U1503" t="s">
        <v>5123</v>
      </c>
      <c r="V1503" t="s">
        <v>24</v>
      </c>
      <c r="W1503" t="s">
        <v>23</v>
      </c>
    </row>
    <row r="1504" spans="1:23" x14ac:dyDescent="0.3">
      <c r="A1504" t="s">
        <v>3130</v>
      </c>
      <c r="B1504" t="s">
        <v>236</v>
      </c>
      <c r="C1504" t="s">
        <v>97</v>
      </c>
      <c r="D1504" t="s">
        <v>75</v>
      </c>
      <c r="E1504" t="s">
        <v>5136</v>
      </c>
      <c r="F1504" t="s">
        <v>5133</v>
      </c>
      <c r="G1504" t="s">
        <v>55</v>
      </c>
      <c r="H1504" t="s">
        <v>56</v>
      </c>
      <c r="I1504" t="str">
        <f>LEFT(H1504,FIND(" (",H1504)-1)</f>
        <v>Mid</v>
      </c>
      <c r="J1504" t="str">
        <f>MID(H1504,FIND("(",H1504)+1,FIND(")",H1504)-FIND("(",H1504)-1)</f>
        <v>2-5 yrs</v>
      </c>
      <c r="L1504">
        <v>93799</v>
      </c>
      <c r="M1504" t="s">
        <v>3131</v>
      </c>
      <c r="N1504" t="s">
        <v>89</v>
      </c>
      <c r="O1504" t="s">
        <v>22</v>
      </c>
      <c r="P1504" s="1">
        <v>45489</v>
      </c>
      <c r="Q1504">
        <v>1919</v>
      </c>
      <c r="R1504">
        <v>20</v>
      </c>
      <c r="S1504" t="s">
        <v>23</v>
      </c>
      <c r="T1504">
        <v>2</v>
      </c>
      <c r="U1504" t="s">
        <v>83</v>
      </c>
      <c r="V1504" t="s">
        <v>59</v>
      </c>
      <c r="W1504" t="s">
        <v>34</v>
      </c>
    </row>
    <row r="1505" spans="1:23" x14ac:dyDescent="0.3">
      <c r="A1505" t="s">
        <v>3132</v>
      </c>
      <c r="B1505" t="s">
        <v>96</v>
      </c>
      <c r="C1505" t="s">
        <v>37</v>
      </c>
      <c r="D1505" t="s">
        <v>28</v>
      </c>
      <c r="E1505" t="s">
        <v>5136</v>
      </c>
      <c r="F1505" t="s">
        <v>5133</v>
      </c>
      <c r="G1505" t="s">
        <v>41</v>
      </c>
      <c r="H1505" t="s">
        <v>66</v>
      </c>
      <c r="I1505" t="str">
        <f>LEFT(H1505,FIND(" (",H1505)-1)</f>
        <v>Senior</v>
      </c>
      <c r="J1505" t="str">
        <f>MID(H1505,FIND("(",H1505)+1,FIND(")",H1505)-FIND("(",H1505)-1)</f>
        <v>5-8 yrs</v>
      </c>
      <c r="L1505">
        <v>149908</v>
      </c>
      <c r="M1505" t="s">
        <v>3133</v>
      </c>
      <c r="N1505" t="s">
        <v>68</v>
      </c>
      <c r="O1505" t="s">
        <v>22</v>
      </c>
      <c r="P1505" s="1">
        <v>45580</v>
      </c>
      <c r="Q1505">
        <v>1556</v>
      </c>
      <c r="R1505">
        <v>2484</v>
      </c>
      <c r="S1505" t="s">
        <v>23</v>
      </c>
      <c r="T1505">
        <v>4</v>
      </c>
      <c r="U1505" t="s">
        <v>45</v>
      </c>
      <c r="V1505" t="s">
        <v>24</v>
      </c>
      <c r="W1505" t="s">
        <v>34</v>
      </c>
    </row>
    <row r="1506" spans="1:23" x14ac:dyDescent="0.3">
      <c r="A1506" t="s">
        <v>3134</v>
      </c>
      <c r="B1506" t="s">
        <v>36</v>
      </c>
      <c r="C1506" t="s">
        <v>192</v>
      </c>
      <c r="D1506" t="s">
        <v>28</v>
      </c>
      <c r="E1506" t="s">
        <v>76</v>
      </c>
      <c r="F1506" t="s">
        <v>77</v>
      </c>
      <c r="G1506" t="s">
        <v>41</v>
      </c>
      <c r="H1506" t="s">
        <v>56</v>
      </c>
      <c r="I1506" t="str">
        <f>LEFT(H1506,FIND(" (",H1506)-1)</f>
        <v>Mid</v>
      </c>
      <c r="J1506" t="str">
        <f>MID(H1506,FIND("(",H1506)+1,FIND(")",H1506)-FIND("(",H1506)-1)</f>
        <v>2-5 yrs</v>
      </c>
      <c r="L1506">
        <v>106630</v>
      </c>
      <c r="M1506" t="s">
        <v>3135</v>
      </c>
      <c r="N1506" t="s">
        <v>33</v>
      </c>
      <c r="O1506" t="s">
        <v>51</v>
      </c>
      <c r="P1506" s="1">
        <v>45681</v>
      </c>
      <c r="Q1506">
        <v>2079</v>
      </c>
      <c r="R1506">
        <v>1445</v>
      </c>
      <c r="S1506" t="s">
        <v>23</v>
      </c>
      <c r="T1506">
        <v>2</v>
      </c>
      <c r="U1506" t="s">
        <v>45</v>
      </c>
      <c r="V1506" t="s">
        <v>24</v>
      </c>
      <c r="W1506" t="s">
        <v>34</v>
      </c>
    </row>
    <row r="1507" spans="1:23" x14ac:dyDescent="0.3">
      <c r="A1507" t="s">
        <v>3136</v>
      </c>
      <c r="B1507" t="s">
        <v>151</v>
      </c>
      <c r="C1507" t="s">
        <v>74</v>
      </c>
      <c r="D1507" t="s">
        <v>63</v>
      </c>
      <c r="E1507" t="s">
        <v>5132</v>
      </c>
      <c r="F1507" t="s">
        <v>5133</v>
      </c>
      <c r="G1507" t="s">
        <v>18</v>
      </c>
      <c r="H1507" t="s">
        <v>66</v>
      </c>
      <c r="I1507" t="str">
        <f>LEFT(H1507,FIND(" (",H1507)-1)</f>
        <v>Senior</v>
      </c>
      <c r="J1507" t="str">
        <f>MID(H1507,FIND("(",H1507)+1,FIND(")",H1507)-FIND("(",H1507)-1)</f>
        <v>5-8 yrs</v>
      </c>
      <c r="L1507">
        <v>137762</v>
      </c>
      <c r="M1507" t="s">
        <v>3137</v>
      </c>
      <c r="N1507" t="s">
        <v>141</v>
      </c>
      <c r="O1507" t="s">
        <v>51</v>
      </c>
      <c r="P1507" s="1">
        <v>45605</v>
      </c>
      <c r="Q1507">
        <v>717</v>
      </c>
      <c r="R1507">
        <v>1387</v>
      </c>
      <c r="S1507" t="s">
        <v>99</v>
      </c>
      <c r="T1507">
        <v>4</v>
      </c>
      <c r="U1507" t="s">
        <v>83</v>
      </c>
      <c r="V1507" t="s">
        <v>24</v>
      </c>
      <c r="W1507" t="s">
        <v>34</v>
      </c>
    </row>
    <row r="1508" spans="1:23" x14ac:dyDescent="0.3">
      <c r="A1508" t="s">
        <v>3138</v>
      </c>
      <c r="B1508" t="s">
        <v>151</v>
      </c>
      <c r="C1508" t="s">
        <v>146</v>
      </c>
      <c r="D1508" t="s">
        <v>63</v>
      </c>
      <c r="E1508" t="s">
        <v>216</v>
      </c>
      <c r="F1508" t="s">
        <v>217</v>
      </c>
      <c r="G1508" t="s">
        <v>55</v>
      </c>
      <c r="H1508" t="s">
        <v>66</v>
      </c>
      <c r="I1508" t="str">
        <f>LEFT(H1508,FIND(" (",H1508)-1)</f>
        <v>Senior</v>
      </c>
      <c r="J1508" t="str">
        <f>MID(H1508,FIND("(",H1508)+1,FIND(")",H1508)-FIND("(",H1508)-1)</f>
        <v>5-8 yrs</v>
      </c>
      <c r="L1508">
        <v>168802</v>
      </c>
      <c r="M1508" t="s">
        <v>3139</v>
      </c>
      <c r="N1508" t="s">
        <v>21</v>
      </c>
      <c r="O1508" t="s">
        <v>22</v>
      </c>
      <c r="P1508" s="1">
        <v>45319</v>
      </c>
      <c r="Q1508">
        <v>508</v>
      </c>
      <c r="R1508">
        <v>2729</v>
      </c>
      <c r="S1508" t="s">
        <v>34</v>
      </c>
      <c r="T1508">
        <v>4</v>
      </c>
      <c r="U1508" t="s">
        <v>5123</v>
      </c>
      <c r="V1508" t="s">
        <v>46</v>
      </c>
      <c r="W1508" t="s">
        <v>23</v>
      </c>
    </row>
    <row r="1509" spans="1:23" x14ac:dyDescent="0.3">
      <c r="A1509" t="s">
        <v>3140</v>
      </c>
      <c r="B1509" t="s">
        <v>172</v>
      </c>
      <c r="C1509" t="s">
        <v>182</v>
      </c>
      <c r="D1509" t="s">
        <v>75</v>
      </c>
      <c r="E1509" t="s">
        <v>29</v>
      </c>
      <c r="F1509" t="s">
        <v>30</v>
      </c>
      <c r="G1509" t="s">
        <v>41</v>
      </c>
      <c r="H1509" t="s">
        <v>31</v>
      </c>
      <c r="I1509" t="str">
        <f>LEFT(H1509,FIND(" (",H1509)-1)</f>
        <v>Staff/Principal</v>
      </c>
      <c r="J1509" t="str">
        <f>MID(H1509,FIND("(",H1509)+1,FIND(")",H1509)-FIND("(",H1509)-1)</f>
        <v>8+ yrs</v>
      </c>
      <c r="L1509">
        <v>234390</v>
      </c>
      <c r="M1509" t="s">
        <v>3141</v>
      </c>
      <c r="N1509" t="s">
        <v>33</v>
      </c>
      <c r="O1509" t="s">
        <v>51</v>
      </c>
      <c r="P1509" s="1">
        <v>45606</v>
      </c>
      <c r="Q1509">
        <v>1008</v>
      </c>
      <c r="R1509">
        <v>1453</v>
      </c>
      <c r="S1509" t="s">
        <v>99</v>
      </c>
      <c r="T1509">
        <v>6</v>
      </c>
      <c r="U1509" t="s">
        <v>58</v>
      </c>
      <c r="V1509" t="s">
        <v>46</v>
      </c>
      <c r="W1509" t="s">
        <v>34</v>
      </c>
    </row>
    <row r="1510" spans="1:23" x14ac:dyDescent="0.3">
      <c r="A1510" t="s">
        <v>3142</v>
      </c>
      <c r="B1510" t="s">
        <v>36</v>
      </c>
      <c r="C1510" t="s">
        <v>195</v>
      </c>
      <c r="D1510" t="s">
        <v>174</v>
      </c>
      <c r="E1510" t="s">
        <v>29</v>
      </c>
      <c r="F1510" t="s">
        <v>30</v>
      </c>
      <c r="G1510" t="s">
        <v>18</v>
      </c>
      <c r="H1510" t="s">
        <v>19</v>
      </c>
      <c r="I1510" t="str">
        <f>LEFT(H1510,FIND(" (",H1510)-1)</f>
        <v>Entry</v>
      </c>
      <c r="J1510" t="str">
        <f>MID(H1510,FIND("(",H1510)+1,FIND(")",H1510)-FIND("(",H1510)-1)</f>
        <v>0-2 yrs</v>
      </c>
      <c r="L1510">
        <v>71113</v>
      </c>
      <c r="M1510" t="s">
        <v>3143</v>
      </c>
      <c r="N1510" t="s">
        <v>245</v>
      </c>
      <c r="O1510" t="s">
        <v>22</v>
      </c>
      <c r="P1510" s="1">
        <v>45623</v>
      </c>
      <c r="Q1510">
        <v>892</v>
      </c>
      <c r="R1510">
        <v>2207</v>
      </c>
      <c r="S1510" t="s">
        <v>23</v>
      </c>
      <c r="T1510">
        <v>0</v>
      </c>
      <c r="U1510" t="s">
        <v>45</v>
      </c>
      <c r="V1510" t="s">
        <v>24</v>
      </c>
      <c r="W1510" t="s">
        <v>34</v>
      </c>
    </row>
    <row r="1511" spans="1:23" x14ac:dyDescent="0.3">
      <c r="A1511" t="s">
        <v>3144</v>
      </c>
      <c r="B1511" t="s">
        <v>143</v>
      </c>
      <c r="C1511" t="s">
        <v>71</v>
      </c>
      <c r="D1511" t="s">
        <v>28</v>
      </c>
      <c r="E1511" t="s">
        <v>159</v>
      </c>
      <c r="F1511" t="s">
        <v>160</v>
      </c>
      <c r="G1511" t="s">
        <v>41</v>
      </c>
      <c r="H1511" t="s">
        <v>66</v>
      </c>
      <c r="I1511" t="str">
        <f>LEFT(H1511,FIND(" (",H1511)-1)</f>
        <v>Senior</v>
      </c>
      <c r="J1511" t="str">
        <f>MID(H1511,FIND("(",H1511)+1,FIND(")",H1511)-FIND("(",H1511)-1)</f>
        <v>5-8 yrs</v>
      </c>
      <c r="L1511">
        <v>189893</v>
      </c>
      <c r="M1511" t="s">
        <v>3145</v>
      </c>
      <c r="N1511" t="s">
        <v>94</v>
      </c>
      <c r="O1511" t="s">
        <v>51</v>
      </c>
      <c r="P1511" s="1">
        <v>45446</v>
      </c>
      <c r="Q1511">
        <v>781</v>
      </c>
      <c r="R1511">
        <v>3191</v>
      </c>
      <c r="S1511" t="s">
        <v>34</v>
      </c>
      <c r="T1511">
        <v>4</v>
      </c>
      <c r="U1511" t="s">
        <v>52</v>
      </c>
      <c r="V1511" t="s">
        <v>24</v>
      </c>
      <c r="W1511" t="s">
        <v>23</v>
      </c>
    </row>
    <row r="1512" spans="1:23" x14ac:dyDescent="0.3">
      <c r="A1512" t="s">
        <v>3146</v>
      </c>
      <c r="B1512" t="s">
        <v>81</v>
      </c>
      <c r="C1512" t="s">
        <v>97</v>
      </c>
      <c r="D1512" t="s">
        <v>49</v>
      </c>
      <c r="E1512" t="s">
        <v>5140</v>
      </c>
      <c r="F1512" t="s">
        <v>5133</v>
      </c>
      <c r="G1512" t="s">
        <v>18</v>
      </c>
      <c r="H1512" t="s">
        <v>31</v>
      </c>
      <c r="I1512" t="str">
        <f>LEFT(H1512,FIND(" (",H1512)-1)</f>
        <v>Staff/Principal</v>
      </c>
      <c r="J1512" t="str">
        <f>MID(H1512,FIND("(",H1512)+1,FIND(")",H1512)-FIND("(",H1512)-1)</f>
        <v>8+ yrs</v>
      </c>
      <c r="L1512">
        <v>158899</v>
      </c>
      <c r="M1512" t="s">
        <v>3147</v>
      </c>
      <c r="N1512" t="s">
        <v>89</v>
      </c>
      <c r="O1512" t="s">
        <v>22</v>
      </c>
      <c r="P1512" s="1">
        <v>45530</v>
      </c>
      <c r="Q1512">
        <v>2318</v>
      </c>
      <c r="R1512">
        <v>2752</v>
      </c>
      <c r="S1512" t="s">
        <v>23</v>
      </c>
      <c r="T1512">
        <v>6</v>
      </c>
      <c r="U1512" t="s">
        <v>52</v>
      </c>
      <c r="V1512" t="s">
        <v>46</v>
      </c>
      <c r="W1512" t="s">
        <v>34</v>
      </c>
    </row>
    <row r="1513" spans="1:23" x14ac:dyDescent="0.3">
      <c r="A1513" t="s">
        <v>3148</v>
      </c>
      <c r="B1513" t="s">
        <v>225</v>
      </c>
      <c r="C1513" t="s">
        <v>124</v>
      </c>
      <c r="D1513" t="s">
        <v>38</v>
      </c>
      <c r="E1513" t="s">
        <v>200</v>
      </c>
      <c r="F1513" t="s">
        <v>201</v>
      </c>
      <c r="G1513" t="s">
        <v>18</v>
      </c>
      <c r="H1513" t="s">
        <v>66</v>
      </c>
      <c r="I1513" t="str">
        <f>LEFT(H1513,FIND(" (",H1513)-1)</f>
        <v>Senior</v>
      </c>
      <c r="J1513" t="str">
        <f>MID(H1513,FIND("(",H1513)+1,FIND(")",H1513)-FIND("(",H1513)-1)</f>
        <v>5-8 yrs</v>
      </c>
      <c r="L1513">
        <v>144771</v>
      </c>
      <c r="M1513" t="s">
        <v>3149</v>
      </c>
      <c r="N1513" t="s">
        <v>89</v>
      </c>
      <c r="O1513" t="s">
        <v>51</v>
      </c>
      <c r="P1513" s="1">
        <v>45313</v>
      </c>
      <c r="Q1513">
        <v>1890</v>
      </c>
      <c r="R1513">
        <v>422</v>
      </c>
      <c r="S1513" t="s">
        <v>34</v>
      </c>
      <c r="T1513">
        <v>4</v>
      </c>
      <c r="U1513" t="s">
        <v>58</v>
      </c>
      <c r="V1513" t="s">
        <v>24</v>
      </c>
      <c r="W1513" t="s">
        <v>23</v>
      </c>
    </row>
    <row r="1514" spans="1:23" x14ac:dyDescent="0.3">
      <c r="A1514" t="s">
        <v>3150</v>
      </c>
      <c r="B1514" t="s">
        <v>229</v>
      </c>
      <c r="C1514" t="s">
        <v>182</v>
      </c>
      <c r="D1514" t="s">
        <v>111</v>
      </c>
      <c r="E1514" t="s">
        <v>39</v>
      </c>
      <c r="F1514" t="s">
        <v>40</v>
      </c>
      <c r="G1514" t="s">
        <v>41</v>
      </c>
      <c r="H1514" t="s">
        <v>19</v>
      </c>
      <c r="I1514" t="str">
        <f>LEFT(H1514,FIND(" (",H1514)-1)</f>
        <v>Entry</v>
      </c>
      <c r="J1514" t="str">
        <f>MID(H1514,FIND("(",H1514)+1,FIND(")",H1514)-FIND("(",H1514)-1)</f>
        <v>0-2 yrs</v>
      </c>
      <c r="L1514">
        <v>60968</v>
      </c>
      <c r="M1514" t="s">
        <v>3151</v>
      </c>
      <c r="N1514" t="s">
        <v>141</v>
      </c>
      <c r="O1514" t="s">
        <v>22</v>
      </c>
      <c r="P1514" s="1">
        <v>45488</v>
      </c>
      <c r="Q1514">
        <v>2466</v>
      </c>
      <c r="R1514">
        <v>1290</v>
      </c>
      <c r="S1514" t="s">
        <v>23</v>
      </c>
      <c r="T1514">
        <v>0</v>
      </c>
      <c r="U1514" t="s">
        <v>5123</v>
      </c>
      <c r="V1514" t="s">
        <v>24</v>
      </c>
      <c r="W1514" t="s">
        <v>23</v>
      </c>
    </row>
    <row r="1515" spans="1:23" x14ac:dyDescent="0.3">
      <c r="A1515" t="s">
        <v>3152</v>
      </c>
      <c r="B1515" t="s">
        <v>13</v>
      </c>
      <c r="C1515" t="s">
        <v>158</v>
      </c>
      <c r="D1515" t="s">
        <v>147</v>
      </c>
      <c r="E1515" t="s">
        <v>200</v>
      </c>
      <c r="F1515" t="s">
        <v>201</v>
      </c>
      <c r="G1515" t="s">
        <v>55</v>
      </c>
      <c r="H1515" t="s">
        <v>66</v>
      </c>
      <c r="I1515" t="str">
        <f>LEFT(H1515,FIND(" (",H1515)-1)</f>
        <v>Senior</v>
      </c>
      <c r="J1515" t="str">
        <f>MID(H1515,FIND("(",H1515)+1,FIND(")",H1515)-FIND("(",H1515)-1)</f>
        <v>5-8 yrs</v>
      </c>
      <c r="L1515">
        <v>99603</v>
      </c>
      <c r="M1515" t="s">
        <v>3153</v>
      </c>
      <c r="N1515" t="s">
        <v>245</v>
      </c>
      <c r="O1515" t="s">
        <v>51</v>
      </c>
      <c r="P1515" s="1">
        <v>45413</v>
      </c>
      <c r="Q1515">
        <v>1283</v>
      </c>
      <c r="R1515">
        <v>1517</v>
      </c>
      <c r="S1515" t="s">
        <v>99</v>
      </c>
      <c r="T1515">
        <v>4</v>
      </c>
      <c r="U1515" t="s">
        <v>45</v>
      </c>
      <c r="V1515" t="s">
        <v>59</v>
      </c>
      <c r="W1515" t="s">
        <v>23</v>
      </c>
    </row>
    <row r="1516" spans="1:23" x14ac:dyDescent="0.3">
      <c r="A1516" t="s">
        <v>3154</v>
      </c>
      <c r="B1516" t="s">
        <v>229</v>
      </c>
      <c r="C1516" t="s">
        <v>116</v>
      </c>
      <c r="D1516" t="s">
        <v>49</v>
      </c>
      <c r="E1516" t="s">
        <v>5135</v>
      </c>
      <c r="F1516" t="s">
        <v>5133</v>
      </c>
      <c r="G1516" t="s">
        <v>41</v>
      </c>
      <c r="H1516" t="s">
        <v>31</v>
      </c>
      <c r="I1516" t="str">
        <f>LEFT(H1516,FIND(" (",H1516)-1)</f>
        <v>Staff/Principal</v>
      </c>
      <c r="J1516" t="str">
        <f>MID(H1516,FIND("(",H1516)+1,FIND(")",H1516)-FIND("(",H1516)-1)</f>
        <v>8+ yrs</v>
      </c>
      <c r="L1516">
        <v>197023</v>
      </c>
      <c r="M1516" t="s">
        <v>3155</v>
      </c>
      <c r="N1516" t="s">
        <v>33</v>
      </c>
      <c r="O1516" t="s">
        <v>44</v>
      </c>
      <c r="P1516" s="1">
        <v>45360</v>
      </c>
      <c r="Q1516">
        <v>329</v>
      </c>
      <c r="R1516">
        <v>314</v>
      </c>
      <c r="S1516" t="s">
        <v>23</v>
      </c>
      <c r="T1516">
        <v>6</v>
      </c>
      <c r="U1516" t="s">
        <v>5123</v>
      </c>
      <c r="V1516" t="s">
        <v>24</v>
      </c>
      <c r="W1516" t="s">
        <v>23</v>
      </c>
    </row>
    <row r="1517" spans="1:23" x14ac:dyDescent="0.3">
      <c r="A1517" t="s">
        <v>3156</v>
      </c>
      <c r="B1517" t="s">
        <v>81</v>
      </c>
      <c r="C1517" t="s">
        <v>27</v>
      </c>
      <c r="D1517" t="s">
        <v>63</v>
      </c>
      <c r="E1517" t="s">
        <v>159</v>
      </c>
      <c r="F1517" t="s">
        <v>160</v>
      </c>
      <c r="G1517" t="s">
        <v>41</v>
      </c>
      <c r="H1517" t="s">
        <v>56</v>
      </c>
      <c r="I1517" t="str">
        <f>LEFT(H1517,FIND(" (",H1517)-1)</f>
        <v>Mid</v>
      </c>
      <c r="J1517" t="str">
        <f>MID(H1517,FIND("(",H1517)+1,FIND(")",H1517)-FIND("(",H1517)-1)</f>
        <v>2-5 yrs</v>
      </c>
      <c r="L1517">
        <v>107589</v>
      </c>
      <c r="M1517" t="s">
        <v>3157</v>
      </c>
      <c r="N1517" t="s">
        <v>33</v>
      </c>
      <c r="O1517" t="s">
        <v>44</v>
      </c>
      <c r="P1517" s="1">
        <v>45606</v>
      </c>
      <c r="Q1517">
        <v>1995</v>
      </c>
      <c r="R1517">
        <v>1818</v>
      </c>
      <c r="S1517" t="s">
        <v>23</v>
      </c>
      <c r="T1517">
        <v>2</v>
      </c>
      <c r="U1517" t="s">
        <v>5123</v>
      </c>
      <c r="V1517" t="s">
        <v>46</v>
      </c>
      <c r="W1517" t="s">
        <v>34</v>
      </c>
    </row>
    <row r="1518" spans="1:23" x14ac:dyDescent="0.3">
      <c r="A1518" t="s">
        <v>3158</v>
      </c>
      <c r="B1518" t="s">
        <v>151</v>
      </c>
      <c r="C1518" t="s">
        <v>74</v>
      </c>
      <c r="D1518" t="s">
        <v>125</v>
      </c>
      <c r="E1518" t="s">
        <v>5140</v>
      </c>
      <c r="F1518" t="s">
        <v>5133</v>
      </c>
      <c r="G1518" t="s">
        <v>41</v>
      </c>
      <c r="H1518" t="s">
        <v>56</v>
      </c>
      <c r="I1518" t="str">
        <f>LEFT(H1518,FIND(" (",H1518)-1)</f>
        <v>Mid</v>
      </c>
      <c r="J1518" t="str">
        <f>MID(H1518,FIND("(",H1518)+1,FIND(")",H1518)-FIND("(",H1518)-1)</f>
        <v>2-5 yrs</v>
      </c>
      <c r="L1518">
        <v>139966</v>
      </c>
      <c r="M1518" t="s">
        <v>3159</v>
      </c>
      <c r="N1518" t="s">
        <v>43</v>
      </c>
      <c r="O1518" t="s">
        <v>51</v>
      </c>
      <c r="P1518" s="1">
        <v>45525</v>
      </c>
      <c r="Q1518">
        <v>403</v>
      </c>
      <c r="R1518">
        <v>2113</v>
      </c>
      <c r="S1518" t="s">
        <v>34</v>
      </c>
      <c r="T1518">
        <v>2</v>
      </c>
      <c r="U1518" t="s">
        <v>45</v>
      </c>
      <c r="V1518" t="s">
        <v>24</v>
      </c>
      <c r="W1518" t="s">
        <v>23</v>
      </c>
    </row>
    <row r="1519" spans="1:23" x14ac:dyDescent="0.3">
      <c r="A1519" t="s">
        <v>3160</v>
      </c>
      <c r="B1519" t="s">
        <v>329</v>
      </c>
      <c r="C1519" t="s">
        <v>62</v>
      </c>
      <c r="D1519" t="s">
        <v>147</v>
      </c>
      <c r="E1519" t="s">
        <v>159</v>
      </c>
      <c r="F1519" t="s">
        <v>160</v>
      </c>
      <c r="G1519" t="s">
        <v>55</v>
      </c>
      <c r="H1519" t="s">
        <v>56</v>
      </c>
      <c r="I1519" t="str">
        <f>LEFT(H1519,FIND(" (",H1519)-1)</f>
        <v>Mid</v>
      </c>
      <c r="J1519" t="str">
        <f>MID(H1519,FIND("(",H1519)+1,FIND(")",H1519)-FIND("(",H1519)-1)</f>
        <v>2-5 yrs</v>
      </c>
      <c r="L1519">
        <v>122490</v>
      </c>
      <c r="M1519" t="s">
        <v>3161</v>
      </c>
      <c r="N1519" t="s">
        <v>33</v>
      </c>
      <c r="O1519" t="s">
        <v>51</v>
      </c>
      <c r="P1519" s="1">
        <v>45427</v>
      </c>
      <c r="Q1519">
        <v>724</v>
      </c>
      <c r="R1519">
        <v>372</v>
      </c>
      <c r="S1519" t="s">
        <v>23</v>
      </c>
      <c r="T1519">
        <v>2</v>
      </c>
      <c r="U1519" t="s">
        <v>52</v>
      </c>
      <c r="V1519" t="s">
        <v>46</v>
      </c>
      <c r="W1519" t="s">
        <v>23</v>
      </c>
    </row>
    <row r="1520" spans="1:23" x14ac:dyDescent="0.3">
      <c r="A1520" t="s">
        <v>3162</v>
      </c>
      <c r="B1520" t="s">
        <v>222</v>
      </c>
      <c r="C1520" t="s">
        <v>37</v>
      </c>
      <c r="D1520" t="s">
        <v>63</v>
      </c>
      <c r="E1520" t="s">
        <v>16</v>
      </c>
      <c r="F1520" t="s">
        <v>17</v>
      </c>
      <c r="G1520" t="s">
        <v>41</v>
      </c>
      <c r="H1520" t="s">
        <v>19</v>
      </c>
      <c r="I1520" t="str">
        <f>LEFT(H1520,FIND(" (",H1520)-1)</f>
        <v>Entry</v>
      </c>
      <c r="J1520" t="str">
        <f>MID(H1520,FIND("(",H1520)+1,FIND(")",H1520)-FIND("(",H1520)-1)</f>
        <v>0-2 yrs</v>
      </c>
      <c r="L1520">
        <v>57095</v>
      </c>
      <c r="M1520" t="s">
        <v>3163</v>
      </c>
      <c r="N1520" t="s">
        <v>33</v>
      </c>
      <c r="O1520" t="s">
        <v>44</v>
      </c>
      <c r="P1520" s="1">
        <v>45377</v>
      </c>
      <c r="Q1520">
        <v>901</v>
      </c>
      <c r="R1520">
        <v>3462</v>
      </c>
      <c r="S1520" t="s">
        <v>23</v>
      </c>
      <c r="T1520">
        <v>0</v>
      </c>
      <c r="U1520" t="s">
        <v>83</v>
      </c>
      <c r="V1520" t="s">
        <v>59</v>
      </c>
      <c r="W1520" t="s">
        <v>34</v>
      </c>
    </row>
    <row r="1521" spans="1:23" x14ac:dyDescent="0.3">
      <c r="A1521" t="s">
        <v>3164</v>
      </c>
      <c r="B1521" t="s">
        <v>236</v>
      </c>
      <c r="C1521" t="s">
        <v>173</v>
      </c>
      <c r="D1521" t="s">
        <v>28</v>
      </c>
      <c r="E1521" t="s">
        <v>16</v>
      </c>
      <c r="F1521" t="s">
        <v>17</v>
      </c>
      <c r="G1521" t="s">
        <v>41</v>
      </c>
      <c r="H1521" t="s">
        <v>31</v>
      </c>
      <c r="I1521" t="str">
        <f>LEFT(H1521,FIND(" (",H1521)-1)</f>
        <v>Staff/Principal</v>
      </c>
      <c r="J1521" t="str">
        <f>MID(H1521,FIND("(",H1521)+1,FIND(")",H1521)-FIND("(",H1521)-1)</f>
        <v>8+ yrs</v>
      </c>
      <c r="L1521">
        <v>266747</v>
      </c>
      <c r="M1521" t="s">
        <v>3165</v>
      </c>
      <c r="N1521" t="s">
        <v>33</v>
      </c>
      <c r="O1521" t="s">
        <v>79</v>
      </c>
      <c r="P1521" s="1">
        <v>45431</v>
      </c>
      <c r="Q1521">
        <v>748</v>
      </c>
      <c r="R1521">
        <v>2143</v>
      </c>
      <c r="S1521" t="s">
        <v>34</v>
      </c>
      <c r="T1521">
        <v>6</v>
      </c>
      <c r="U1521" t="s">
        <v>83</v>
      </c>
      <c r="V1521" t="s">
        <v>24</v>
      </c>
      <c r="W1521" t="s">
        <v>23</v>
      </c>
    </row>
    <row r="1522" spans="1:23" x14ac:dyDescent="0.3">
      <c r="A1522" t="s">
        <v>3166</v>
      </c>
      <c r="B1522" t="s">
        <v>236</v>
      </c>
      <c r="C1522" t="s">
        <v>74</v>
      </c>
      <c r="D1522" t="s">
        <v>75</v>
      </c>
      <c r="E1522" t="s">
        <v>87</v>
      </c>
      <c r="F1522" t="s">
        <v>87</v>
      </c>
      <c r="G1522" t="s">
        <v>18</v>
      </c>
      <c r="H1522" t="s">
        <v>19</v>
      </c>
      <c r="I1522" t="str">
        <f>LEFT(H1522,FIND(" (",H1522)-1)</f>
        <v>Entry</v>
      </c>
      <c r="J1522" t="str">
        <f>MID(H1522,FIND("(",H1522)+1,FIND(")",H1522)-FIND("(",H1522)-1)</f>
        <v>0-2 yrs</v>
      </c>
      <c r="L1522">
        <v>85385</v>
      </c>
      <c r="M1522" t="s">
        <v>3167</v>
      </c>
      <c r="N1522" t="s">
        <v>245</v>
      </c>
      <c r="O1522" t="s">
        <v>22</v>
      </c>
      <c r="P1522" s="1">
        <v>45522</v>
      </c>
      <c r="Q1522">
        <v>1186</v>
      </c>
      <c r="R1522">
        <v>1830</v>
      </c>
      <c r="S1522" t="s">
        <v>23</v>
      </c>
      <c r="T1522">
        <v>0</v>
      </c>
      <c r="U1522" t="s">
        <v>58</v>
      </c>
      <c r="V1522" t="s">
        <v>24</v>
      </c>
      <c r="W1522" t="s">
        <v>23</v>
      </c>
    </row>
    <row r="1523" spans="1:23" x14ac:dyDescent="0.3">
      <c r="A1523" t="s">
        <v>3168</v>
      </c>
      <c r="B1523" t="s">
        <v>26</v>
      </c>
      <c r="C1523" t="s">
        <v>92</v>
      </c>
      <c r="D1523" t="s">
        <v>38</v>
      </c>
      <c r="E1523" t="s">
        <v>159</v>
      </c>
      <c r="F1523" t="s">
        <v>160</v>
      </c>
      <c r="G1523" t="s">
        <v>55</v>
      </c>
      <c r="H1523" t="s">
        <v>66</v>
      </c>
      <c r="I1523" t="str">
        <f>LEFT(H1523,FIND(" (",H1523)-1)</f>
        <v>Senior</v>
      </c>
      <c r="J1523" t="str">
        <f>MID(H1523,FIND("(",H1523)+1,FIND(")",H1523)-FIND("(",H1523)-1)</f>
        <v>5-8 yrs</v>
      </c>
      <c r="L1523">
        <v>165716</v>
      </c>
      <c r="M1523" t="s">
        <v>3169</v>
      </c>
      <c r="N1523" t="s">
        <v>33</v>
      </c>
      <c r="O1523" t="s">
        <v>22</v>
      </c>
      <c r="P1523" s="1">
        <v>45425</v>
      </c>
      <c r="Q1523">
        <v>1393</v>
      </c>
      <c r="R1523">
        <v>254</v>
      </c>
      <c r="S1523" t="s">
        <v>99</v>
      </c>
      <c r="T1523">
        <v>4</v>
      </c>
      <c r="U1523" t="s">
        <v>5123</v>
      </c>
      <c r="V1523" t="s">
        <v>24</v>
      </c>
      <c r="W1523" t="s">
        <v>34</v>
      </c>
    </row>
    <row r="1524" spans="1:23" x14ac:dyDescent="0.3">
      <c r="A1524" t="s">
        <v>3170</v>
      </c>
      <c r="B1524" t="s">
        <v>106</v>
      </c>
      <c r="C1524" t="s">
        <v>124</v>
      </c>
      <c r="D1524" t="s">
        <v>147</v>
      </c>
      <c r="E1524" t="s">
        <v>5140</v>
      </c>
      <c r="F1524" t="s">
        <v>5133</v>
      </c>
      <c r="G1524" t="s">
        <v>18</v>
      </c>
      <c r="H1524" t="s">
        <v>31</v>
      </c>
      <c r="I1524" t="str">
        <f>LEFT(H1524,FIND(" (",H1524)-1)</f>
        <v>Staff/Principal</v>
      </c>
      <c r="J1524" t="str">
        <f>MID(H1524,FIND("(",H1524)+1,FIND(")",H1524)-FIND("(",H1524)-1)</f>
        <v>8+ yrs</v>
      </c>
      <c r="L1524">
        <v>191846</v>
      </c>
      <c r="M1524" t="s">
        <v>3171</v>
      </c>
      <c r="N1524" t="s">
        <v>21</v>
      </c>
      <c r="O1524" t="s">
        <v>51</v>
      </c>
      <c r="P1524" s="1">
        <v>45552</v>
      </c>
      <c r="Q1524">
        <v>2279</v>
      </c>
      <c r="R1524">
        <v>1793</v>
      </c>
      <c r="S1524" t="s">
        <v>34</v>
      </c>
      <c r="T1524">
        <v>6</v>
      </c>
      <c r="U1524" t="s">
        <v>83</v>
      </c>
      <c r="V1524" t="s">
        <v>24</v>
      </c>
      <c r="W1524" t="s">
        <v>23</v>
      </c>
    </row>
    <row r="1525" spans="1:23" x14ac:dyDescent="0.3">
      <c r="A1525" t="s">
        <v>3172</v>
      </c>
      <c r="B1525" t="s">
        <v>61</v>
      </c>
      <c r="C1525" t="s">
        <v>192</v>
      </c>
      <c r="D1525" t="s">
        <v>125</v>
      </c>
      <c r="E1525" t="s">
        <v>5140</v>
      </c>
      <c r="F1525" t="s">
        <v>5133</v>
      </c>
      <c r="G1525" t="s">
        <v>41</v>
      </c>
      <c r="H1525" t="s">
        <v>66</v>
      </c>
      <c r="I1525" t="str">
        <f>LEFT(H1525,FIND(" (",H1525)-1)</f>
        <v>Senior</v>
      </c>
      <c r="J1525" t="str">
        <f>MID(H1525,FIND("(",H1525)+1,FIND(")",H1525)-FIND("(",H1525)-1)</f>
        <v>5-8 yrs</v>
      </c>
      <c r="L1525">
        <v>124095</v>
      </c>
      <c r="M1525" t="s">
        <v>3173</v>
      </c>
      <c r="N1525" t="s">
        <v>33</v>
      </c>
      <c r="O1525" t="s">
        <v>22</v>
      </c>
      <c r="P1525" s="1">
        <v>45626</v>
      </c>
      <c r="Q1525">
        <v>2444</v>
      </c>
      <c r="R1525">
        <v>3473</v>
      </c>
      <c r="S1525" t="s">
        <v>23</v>
      </c>
      <c r="T1525">
        <v>4</v>
      </c>
      <c r="U1525" t="s">
        <v>83</v>
      </c>
      <c r="V1525" t="s">
        <v>24</v>
      </c>
      <c r="W1525" t="s">
        <v>34</v>
      </c>
    </row>
    <row r="1526" spans="1:23" x14ac:dyDescent="0.3">
      <c r="A1526" t="s">
        <v>3174</v>
      </c>
      <c r="B1526" t="s">
        <v>131</v>
      </c>
      <c r="C1526" t="s">
        <v>173</v>
      </c>
      <c r="D1526" t="s">
        <v>111</v>
      </c>
      <c r="E1526" t="s">
        <v>200</v>
      </c>
      <c r="F1526" t="s">
        <v>201</v>
      </c>
      <c r="G1526" t="s">
        <v>18</v>
      </c>
      <c r="H1526" t="s">
        <v>31</v>
      </c>
      <c r="I1526" t="str">
        <f>LEFT(H1526,FIND(" (",H1526)-1)</f>
        <v>Staff/Principal</v>
      </c>
      <c r="J1526" t="str">
        <f>MID(H1526,FIND("(",H1526)+1,FIND(")",H1526)-FIND("(",H1526)-1)</f>
        <v>8+ yrs</v>
      </c>
      <c r="L1526">
        <v>186600</v>
      </c>
      <c r="M1526" t="s">
        <v>3175</v>
      </c>
      <c r="N1526" t="s">
        <v>141</v>
      </c>
      <c r="O1526" t="s">
        <v>51</v>
      </c>
      <c r="P1526" s="1">
        <v>45407</v>
      </c>
      <c r="Q1526">
        <v>1522</v>
      </c>
      <c r="R1526">
        <v>457</v>
      </c>
      <c r="S1526" t="s">
        <v>23</v>
      </c>
      <c r="T1526">
        <v>6</v>
      </c>
      <c r="U1526" t="s">
        <v>5123</v>
      </c>
      <c r="V1526" t="s">
        <v>24</v>
      </c>
      <c r="W1526" t="s">
        <v>34</v>
      </c>
    </row>
    <row r="1527" spans="1:23" x14ac:dyDescent="0.3">
      <c r="A1527" t="s">
        <v>3176</v>
      </c>
      <c r="B1527" t="s">
        <v>91</v>
      </c>
      <c r="C1527" t="s">
        <v>209</v>
      </c>
      <c r="D1527" t="s">
        <v>174</v>
      </c>
      <c r="E1527" t="s">
        <v>5134</v>
      </c>
      <c r="F1527" t="s">
        <v>5133</v>
      </c>
      <c r="G1527" t="s">
        <v>41</v>
      </c>
      <c r="H1527" t="s">
        <v>19</v>
      </c>
      <c r="I1527" t="str">
        <f>LEFT(H1527,FIND(" (",H1527)-1)</f>
        <v>Entry</v>
      </c>
      <c r="J1527" t="str">
        <f>MID(H1527,FIND("(",H1527)+1,FIND(")",H1527)-FIND("(",H1527)-1)</f>
        <v>0-2 yrs</v>
      </c>
      <c r="L1527">
        <v>83718</v>
      </c>
      <c r="M1527" t="s">
        <v>3177</v>
      </c>
      <c r="N1527" t="s">
        <v>120</v>
      </c>
      <c r="O1527" t="s">
        <v>44</v>
      </c>
      <c r="P1527" s="1">
        <v>45420</v>
      </c>
      <c r="Q1527">
        <v>768</v>
      </c>
      <c r="R1527">
        <v>2898</v>
      </c>
      <c r="S1527" t="s">
        <v>99</v>
      </c>
      <c r="T1527">
        <v>0</v>
      </c>
      <c r="U1527" t="s">
        <v>58</v>
      </c>
      <c r="V1527" t="s">
        <v>24</v>
      </c>
      <c r="W1527" t="s">
        <v>34</v>
      </c>
    </row>
    <row r="1528" spans="1:23" x14ac:dyDescent="0.3">
      <c r="A1528" t="s">
        <v>3178</v>
      </c>
      <c r="B1528" t="s">
        <v>70</v>
      </c>
      <c r="C1528" t="s">
        <v>101</v>
      </c>
      <c r="D1528" t="s">
        <v>174</v>
      </c>
      <c r="E1528" t="s">
        <v>133</v>
      </c>
      <c r="F1528" t="s">
        <v>134</v>
      </c>
      <c r="G1528" t="s">
        <v>41</v>
      </c>
      <c r="H1528" t="s">
        <v>66</v>
      </c>
      <c r="I1528" t="str">
        <f>LEFT(H1528,FIND(" (",H1528)-1)</f>
        <v>Senior</v>
      </c>
      <c r="J1528" t="str">
        <f>MID(H1528,FIND("(",H1528)+1,FIND(")",H1528)-FIND("(",H1528)-1)</f>
        <v>5-8 yrs</v>
      </c>
      <c r="L1528">
        <v>200883</v>
      </c>
      <c r="M1528" t="s">
        <v>3179</v>
      </c>
      <c r="N1528" t="s">
        <v>68</v>
      </c>
      <c r="O1528" t="s">
        <v>79</v>
      </c>
      <c r="P1528" s="1">
        <v>45388</v>
      </c>
      <c r="Q1528">
        <v>574</v>
      </c>
      <c r="R1528">
        <v>2460</v>
      </c>
      <c r="S1528" t="s">
        <v>34</v>
      </c>
      <c r="T1528">
        <v>4</v>
      </c>
      <c r="U1528" t="s">
        <v>58</v>
      </c>
      <c r="V1528" t="s">
        <v>59</v>
      </c>
      <c r="W1528" t="s">
        <v>23</v>
      </c>
    </row>
    <row r="1529" spans="1:23" x14ac:dyDescent="0.3">
      <c r="A1529" t="s">
        <v>3180</v>
      </c>
      <c r="B1529" t="s">
        <v>236</v>
      </c>
      <c r="C1529" t="s">
        <v>124</v>
      </c>
      <c r="D1529" t="s">
        <v>75</v>
      </c>
      <c r="E1529" t="s">
        <v>5134</v>
      </c>
      <c r="F1529" t="s">
        <v>5133</v>
      </c>
      <c r="G1529" t="s">
        <v>41</v>
      </c>
      <c r="H1529" t="s">
        <v>56</v>
      </c>
      <c r="I1529" t="str">
        <f>LEFT(H1529,FIND(" (",H1529)-1)</f>
        <v>Mid</v>
      </c>
      <c r="J1529" t="str">
        <f>MID(H1529,FIND("(",H1529)+1,FIND(")",H1529)-FIND("(",H1529)-1)</f>
        <v>2-5 yrs</v>
      </c>
      <c r="L1529">
        <v>140556</v>
      </c>
      <c r="M1529" t="s">
        <v>3181</v>
      </c>
      <c r="N1529" t="s">
        <v>33</v>
      </c>
      <c r="O1529" t="s">
        <v>44</v>
      </c>
      <c r="P1529" s="1">
        <v>45363</v>
      </c>
      <c r="Q1529">
        <v>2165</v>
      </c>
      <c r="R1529">
        <v>1512</v>
      </c>
      <c r="S1529" t="s">
        <v>23</v>
      </c>
      <c r="T1529">
        <v>2</v>
      </c>
      <c r="U1529" t="s">
        <v>83</v>
      </c>
      <c r="V1529" t="s">
        <v>24</v>
      </c>
      <c r="W1529" t="s">
        <v>23</v>
      </c>
    </row>
    <row r="1530" spans="1:23" x14ac:dyDescent="0.3">
      <c r="A1530" t="s">
        <v>3182</v>
      </c>
      <c r="B1530" t="s">
        <v>85</v>
      </c>
      <c r="C1530" t="s">
        <v>14</v>
      </c>
      <c r="D1530" t="s">
        <v>174</v>
      </c>
      <c r="E1530" t="s">
        <v>87</v>
      </c>
      <c r="F1530" t="s">
        <v>87</v>
      </c>
      <c r="G1530" t="s">
        <v>41</v>
      </c>
      <c r="H1530" t="s">
        <v>56</v>
      </c>
      <c r="I1530" t="str">
        <f>LEFT(H1530,FIND(" (",H1530)-1)</f>
        <v>Mid</v>
      </c>
      <c r="J1530" t="str">
        <f>MID(H1530,FIND("(",H1530)+1,FIND(")",H1530)-FIND("(",H1530)-1)</f>
        <v>2-5 yrs</v>
      </c>
      <c r="L1530">
        <v>100320</v>
      </c>
      <c r="M1530" t="s">
        <v>3183</v>
      </c>
      <c r="N1530" t="s">
        <v>186</v>
      </c>
      <c r="O1530" t="s">
        <v>51</v>
      </c>
      <c r="P1530" s="1">
        <v>45480</v>
      </c>
      <c r="Q1530">
        <v>1636</v>
      </c>
      <c r="R1530">
        <v>3496</v>
      </c>
      <c r="S1530" t="s">
        <v>34</v>
      </c>
      <c r="T1530">
        <v>2</v>
      </c>
      <c r="U1530" t="s">
        <v>45</v>
      </c>
      <c r="V1530" t="s">
        <v>24</v>
      </c>
      <c r="W1530" t="s">
        <v>34</v>
      </c>
    </row>
    <row r="1531" spans="1:23" x14ac:dyDescent="0.3">
      <c r="A1531" t="s">
        <v>3184</v>
      </c>
      <c r="B1531" t="s">
        <v>143</v>
      </c>
      <c r="C1531" t="s">
        <v>71</v>
      </c>
      <c r="D1531" t="s">
        <v>49</v>
      </c>
      <c r="E1531" t="s">
        <v>5141</v>
      </c>
      <c r="F1531" t="s">
        <v>5133</v>
      </c>
      <c r="G1531" t="s">
        <v>18</v>
      </c>
      <c r="H1531" t="s">
        <v>56</v>
      </c>
      <c r="I1531" t="str">
        <f>LEFT(H1531,FIND(" (",H1531)-1)</f>
        <v>Mid</v>
      </c>
      <c r="J1531" t="str">
        <f>MID(H1531,FIND("(",H1531)+1,FIND(")",H1531)-FIND("(",H1531)-1)</f>
        <v>2-5 yrs</v>
      </c>
      <c r="L1531">
        <v>87831</v>
      </c>
      <c r="M1531" t="s">
        <v>3185</v>
      </c>
      <c r="N1531" t="s">
        <v>33</v>
      </c>
      <c r="O1531" t="s">
        <v>22</v>
      </c>
      <c r="P1531" s="1">
        <v>45740</v>
      </c>
      <c r="Q1531">
        <v>1301</v>
      </c>
      <c r="R1531">
        <v>785</v>
      </c>
      <c r="S1531" t="s">
        <v>34</v>
      </c>
      <c r="T1531">
        <v>2</v>
      </c>
      <c r="U1531" t="s">
        <v>45</v>
      </c>
      <c r="V1531" t="s">
        <v>24</v>
      </c>
      <c r="W1531" t="s">
        <v>23</v>
      </c>
    </row>
    <row r="1532" spans="1:23" x14ac:dyDescent="0.3">
      <c r="A1532" t="s">
        <v>3186</v>
      </c>
      <c r="B1532" t="s">
        <v>143</v>
      </c>
      <c r="C1532" t="s">
        <v>110</v>
      </c>
      <c r="D1532" t="s">
        <v>63</v>
      </c>
      <c r="E1532" t="s">
        <v>200</v>
      </c>
      <c r="F1532" t="s">
        <v>201</v>
      </c>
      <c r="G1532" t="s">
        <v>41</v>
      </c>
      <c r="H1532" t="s">
        <v>31</v>
      </c>
      <c r="I1532" t="str">
        <f>LEFT(H1532,FIND(" (",H1532)-1)</f>
        <v>Staff/Principal</v>
      </c>
      <c r="J1532" t="str">
        <f>MID(H1532,FIND("(",H1532)+1,FIND(")",H1532)-FIND("(",H1532)-1)</f>
        <v>8+ yrs</v>
      </c>
      <c r="L1532">
        <v>205071</v>
      </c>
      <c r="M1532" t="s">
        <v>3187</v>
      </c>
      <c r="N1532" t="s">
        <v>89</v>
      </c>
      <c r="O1532" t="s">
        <v>51</v>
      </c>
      <c r="P1532" s="1">
        <v>45404</v>
      </c>
      <c r="Q1532">
        <v>1087</v>
      </c>
      <c r="R1532">
        <v>143</v>
      </c>
      <c r="S1532" t="s">
        <v>23</v>
      </c>
      <c r="T1532">
        <v>6</v>
      </c>
      <c r="U1532" t="s">
        <v>83</v>
      </c>
      <c r="V1532" t="s">
        <v>24</v>
      </c>
      <c r="W1532" t="s">
        <v>34</v>
      </c>
    </row>
    <row r="1533" spans="1:23" x14ac:dyDescent="0.3">
      <c r="A1533" t="s">
        <v>3188</v>
      </c>
      <c r="B1533" t="s">
        <v>143</v>
      </c>
      <c r="C1533" t="s">
        <v>71</v>
      </c>
      <c r="D1533" t="s">
        <v>75</v>
      </c>
      <c r="E1533" t="s">
        <v>5136</v>
      </c>
      <c r="F1533" t="s">
        <v>5133</v>
      </c>
      <c r="G1533" t="s">
        <v>18</v>
      </c>
      <c r="H1533" t="s">
        <v>66</v>
      </c>
      <c r="I1533" t="str">
        <f>LEFT(H1533,FIND(" (",H1533)-1)</f>
        <v>Senior</v>
      </c>
      <c r="J1533" t="str">
        <f>MID(H1533,FIND("(",H1533)+1,FIND(")",H1533)-FIND("(",H1533)-1)</f>
        <v>5-8 yrs</v>
      </c>
      <c r="L1533">
        <v>102252</v>
      </c>
      <c r="M1533" t="s">
        <v>3189</v>
      </c>
      <c r="N1533" t="s">
        <v>33</v>
      </c>
      <c r="O1533" t="s">
        <v>51</v>
      </c>
      <c r="P1533" s="1">
        <v>45649</v>
      </c>
      <c r="Q1533">
        <v>1155</v>
      </c>
      <c r="R1533">
        <v>989</v>
      </c>
      <c r="S1533" t="s">
        <v>23</v>
      </c>
      <c r="T1533">
        <v>4</v>
      </c>
      <c r="U1533" t="s">
        <v>83</v>
      </c>
      <c r="V1533" t="s">
        <v>24</v>
      </c>
      <c r="W1533" t="s">
        <v>23</v>
      </c>
    </row>
    <row r="1534" spans="1:23" x14ac:dyDescent="0.3">
      <c r="A1534" t="s">
        <v>3190</v>
      </c>
      <c r="B1534" t="s">
        <v>172</v>
      </c>
      <c r="C1534" t="s">
        <v>158</v>
      </c>
      <c r="D1534" t="s">
        <v>63</v>
      </c>
      <c r="E1534" t="s">
        <v>39</v>
      </c>
      <c r="F1534" t="s">
        <v>40</v>
      </c>
      <c r="G1534" t="s">
        <v>41</v>
      </c>
      <c r="H1534" t="s">
        <v>31</v>
      </c>
      <c r="I1534" t="str">
        <f>LEFT(H1534,FIND(" (",H1534)-1)</f>
        <v>Staff/Principal</v>
      </c>
      <c r="J1534" t="str">
        <f>MID(H1534,FIND("(",H1534)+1,FIND(")",H1534)-FIND("(",H1534)-1)</f>
        <v>8+ yrs</v>
      </c>
      <c r="L1534">
        <v>211634</v>
      </c>
      <c r="M1534" t="s">
        <v>3191</v>
      </c>
      <c r="N1534" t="s">
        <v>21</v>
      </c>
      <c r="O1534" t="s">
        <v>51</v>
      </c>
      <c r="P1534" s="1">
        <v>45633</v>
      </c>
      <c r="Q1534">
        <v>1255</v>
      </c>
      <c r="R1534">
        <v>3461</v>
      </c>
      <c r="S1534" t="s">
        <v>34</v>
      </c>
      <c r="T1534">
        <v>6</v>
      </c>
      <c r="U1534" t="s">
        <v>58</v>
      </c>
      <c r="V1534" t="s">
        <v>59</v>
      </c>
      <c r="W1534" t="s">
        <v>34</v>
      </c>
    </row>
    <row r="1535" spans="1:23" x14ac:dyDescent="0.3">
      <c r="A1535" t="s">
        <v>3192</v>
      </c>
      <c r="B1535" t="s">
        <v>91</v>
      </c>
      <c r="C1535" t="s">
        <v>179</v>
      </c>
      <c r="D1535" t="s">
        <v>75</v>
      </c>
      <c r="E1535" t="s">
        <v>16</v>
      </c>
      <c r="F1535" t="s">
        <v>17</v>
      </c>
      <c r="G1535" t="s">
        <v>41</v>
      </c>
      <c r="H1535" t="s">
        <v>56</v>
      </c>
      <c r="I1535" t="str">
        <f>LEFT(H1535,FIND(" (",H1535)-1)</f>
        <v>Mid</v>
      </c>
      <c r="J1535" t="str">
        <f>MID(H1535,FIND("(",H1535)+1,FIND(")",H1535)-FIND("(",H1535)-1)</f>
        <v>2-5 yrs</v>
      </c>
      <c r="L1535">
        <v>107077</v>
      </c>
      <c r="M1535" t="s">
        <v>3193</v>
      </c>
      <c r="N1535" t="s">
        <v>33</v>
      </c>
      <c r="O1535" t="s">
        <v>22</v>
      </c>
      <c r="P1535" s="1">
        <v>45507</v>
      </c>
      <c r="Q1535">
        <v>2484</v>
      </c>
      <c r="R1535">
        <v>3527</v>
      </c>
      <c r="S1535" t="s">
        <v>34</v>
      </c>
      <c r="T1535">
        <v>2</v>
      </c>
      <c r="U1535" t="s">
        <v>45</v>
      </c>
      <c r="V1535" t="s">
        <v>59</v>
      </c>
      <c r="W1535" t="s">
        <v>23</v>
      </c>
    </row>
    <row r="1536" spans="1:23" x14ac:dyDescent="0.3">
      <c r="A1536" t="s">
        <v>3194</v>
      </c>
      <c r="B1536" t="s">
        <v>106</v>
      </c>
      <c r="C1536" t="s">
        <v>71</v>
      </c>
      <c r="D1536" t="s">
        <v>111</v>
      </c>
      <c r="E1536" t="s">
        <v>133</v>
      </c>
      <c r="F1536" t="s">
        <v>134</v>
      </c>
      <c r="G1536" t="s">
        <v>18</v>
      </c>
      <c r="H1536" t="s">
        <v>19</v>
      </c>
      <c r="I1536" t="str">
        <f>LEFT(H1536,FIND(" (",H1536)-1)</f>
        <v>Entry</v>
      </c>
      <c r="J1536" t="str">
        <f>MID(H1536,FIND("(",H1536)+1,FIND(")",H1536)-FIND("(",H1536)-1)</f>
        <v>0-2 yrs</v>
      </c>
      <c r="L1536">
        <v>64127</v>
      </c>
      <c r="M1536" t="s">
        <v>3195</v>
      </c>
      <c r="N1536" t="s">
        <v>21</v>
      </c>
      <c r="O1536" t="s">
        <v>44</v>
      </c>
      <c r="P1536" s="1">
        <v>45468</v>
      </c>
      <c r="Q1536">
        <v>1774</v>
      </c>
      <c r="R1536">
        <v>3359</v>
      </c>
      <c r="S1536" t="s">
        <v>23</v>
      </c>
      <c r="T1536">
        <v>0</v>
      </c>
      <c r="U1536" t="s">
        <v>45</v>
      </c>
      <c r="V1536" t="s">
        <v>59</v>
      </c>
      <c r="W1536" t="s">
        <v>34</v>
      </c>
    </row>
    <row r="1537" spans="1:23" x14ac:dyDescent="0.3">
      <c r="A1537" t="s">
        <v>3196</v>
      </c>
      <c r="B1537" t="s">
        <v>13</v>
      </c>
      <c r="C1537" t="s">
        <v>14</v>
      </c>
      <c r="D1537" t="s">
        <v>174</v>
      </c>
      <c r="E1537" t="s">
        <v>5137</v>
      </c>
      <c r="F1537" t="s">
        <v>5138</v>
      </c>
      <c r="G1537" t="s">
        <v>18</v>
      </c>
      <c r="H1537" t="s">
        <v>19</v>
      </c>
      <c r="I1537" t="str">
        <f>LEFT(H1537,FIND(" (",H1537)-1)</f>
        <v>Entry</v>
      </c>
      <c r="J1537" t="str">
        <f>MID(H1537,FIND("(",H1537)+1,FIND(")",H1537)-FIND("(",H1537)-1)</f>
        <v>0-2 yrs</v>
      </c>
      <c r="L1537">
        <v>50000</v>
      </c>
      <c r="M1537" t="s">
        <v>3197</v>
      </c>
      <c r="N1537" t="s">
        <v>33</v>
      </c>
      <c r="O1537" t="s">
        <v>51</v>
      </c>
      <c r="P1537" s="1">
        <v>45586</v>
      </c>
      <c r="Q1537">
        <v>2396</v>
      </c>
      <c r="R1537">
        <v>2325</v>
      </c>
      <c r="S1537" t="s">
        <v>23</v>
      </c>
      <c r="T1537">
        <v>0</v>
      </c>
      <c r="U1537" t="s">
        <v>52</v>
      </c>
      <c r="V1537" t="s">
        <v>24</v>
      </c>
      <c r="W1537" t="s">
        <v>23</v>
      </c>
    </row>
    <row r="1538" spans="1:23" x14ac:dyDescent="0.3">
      <c r="A1538" t="s">
        <v>3198</v>
      </c>
      <c r="B1538" t="s">
        <v>106</v>
      </c>
      <c r="C1538" t="s">
        <v>173</v>
      </c>
      <c r="D1538" t="s">
        <v>147</v>
      </c>
      <c r="E1538" t="s">
        <v>76</v>
      </c>
      <c r="F1538" t="s">
        <v>77</v>
      </c>
      <c r="G1538" t="s">
        <v>18</v>
      </c>
      <c r="H1538" t="s">
        <v>66</v>
      </c>
      <c r="I1538" t="str">
        <f>LEFT(H1538,FIND(" (",H1538)-1)</f>
        <v>Senior</v>
      </c>
      <c r="J1538" t="str">
        <f>MID(H1538,FIND("(",H1538)+1,FIND(")",H1538)-FIND("(",H1538)-1)</f>
        <v>5-8 yrs</v>
      </c>
      <c r="L1538">
        <v>163867</v>
      </c>
      <c r="M1538" t="s">
        <v>3199</v>
      </c>
      <c r="N1538" t="s">
        <v>94</v>
      </c>
      <c r="O1538" t="s">
        <v>51</v>
      </c>
      <c r="P1538" s="1">
        <v>45640</v>
      </c>
      <c r="Q1538">
        <v>1728</v>
      </c>
      <c r="R1538">
        <v>3047</v>
      </c>
      <c r="S1538" t="s">
        <v>23</v>
      </c>
      <c r="T1538">
        <v>4</v>
      </c>
      <c r="U1538" t="s">
        <v>58</v>
      </c>
      <c r="V1538" t="s">
        <v>24</v>
      </c>
      <c r="W1538" t="s">
        <v>23</v>
      </c>
    </row>
    <row r="1539" spans="1:23" x14ac:dyDescent="0.3">
      <c r="A1539" t="s">
        <v>3200</v>
      </c>
      <c r="B1539" t="s">
        <v>85</v>
      </c>
      <c r="C1539" t="s">
        <v>86</v>
      </c>
      <c r="D1539" t="s">
        <v>63</v>
      </c>
      <c r="E1539" t="s">
        <v>5139</v>
      </c>
      <c r="F1539" t="s">
        <v>5133</v>
      </c>
      <c r="G1539" t="s">
        <v>18</v>
      </c>
      <c r="H1539" t="s">
        <v>56</v>
      </c>
      <c r="I1539" t="str">
        <f>LEFT(H1539,FIND(" (",H1539)-1)</f>
        <v>Mid</v>
      </c>
      <c r="J1539" t="str">
        <f>MID(H1539,FIND("(",H1539)+1,FIND(")",H1539)-FIND("(",H1539)-1)</f>
        <v>2-5 yrs</v>
      </c>
      <c r="L1539">
        <v>99452</v>
      </c>
      <c r="M1539" t="s">
        <v>3201</v>
      </c>
      <c r="N1539" t="s">
        <v>89</v>
      </c>
      <c r="O1539" t="s">
        <v>44</v>
      </c>
      <c r="P1539" s="1">
        <v>45557</v>
      </c>
      <c r="Q1539">
        <v>2098</v>
      </c>
      <c r="R1539">
        <v>2451</v>
      </c>
      <c r="S1539" t="s">
        <v>23</v>
      </c>
      <c r="T1539">
        <v>2</v>
      </c>
      <c r="U1539" t="s">
        <v>5123</v>
      </c>
      <c r="V1539" t="s">
        <v>59</v>
      </c>
      <c r="W1539" t="s">
        <v>34</v>
      </c>
    </row>
    <row r="1540" spans="1:23" x14ac:dyDescent="0.3">
      <c r="A1540" t="s">
        <v>3202</v>
      </c>
      <c r="B1540" t="s">
        <v>143</v>
      </c>
      <c r="C1540" t="s">
        <v>132</v>
      </c>
      <c r="D1540" t="s">
        <v>63</v>
      </c>
      <c r="E1540" t="s">
        <v>64</v>
      </c>
      <c r="F1540" t="s">
        <v>65</v>
      </c>
      <c r="G1540" t="s">
        <v>18</v>
      </c>
      <c r="H1540" t="s">
        <v>31</v>
      </c>
      <c r="I1540" t="str">
        <f>LEFT(H1540,FIND(" (",H1540)-1)</f>
        <v>Staff/Principal</v>
      </c>
      <c r="J1540" t="str">
        <f>MID(H1540,FIND("(",H1540)+1,FIND(")",H1540)-FIND("(",H1540)-1)</f>
        <v>8+ yrs</v>
      </c>
      <c r="L1540">
        <v>157882</v>
      </c>
      <c r="M1540" t="s">
        <v>3203</v>
      </c>
      <c r="N1540" t="s">
        <v>149</v>
      </c>
      <c r="O1540" t="s">
        <v>44</v>
      </c>
      <c r="P1540" s="1">
        <v>45546</v>
      </c>
      <c r="Q1540">
        <v>1764</v>
      </c>
      <c r="R1540">
        <v>514</v>
      </c>
      <c r="S1540" t="s">
        <v>34</v>
      </c>
      <c r="T1540">
        <v>6</v>
      </c>
      <c r="U1540" t="s">
        <v>83</v>
      </c>
      <c r="V1540" t="s">
        <v>24</v>
      </c>
      <c r="W1540" t="s">
        <v>34</v>
      </c>
    </row>
    <row r="1541" spans="1:23" x14ac:dyDescent="0.3">
      <c r="A1541" t="s">
        <v>3204</v>
      </c>
      <c r="B1541" t="s">
        <v>229</v>
      </c>
      <c r="C1541" t="s">
        <v>132</v>
      </c>
      <c r="D1541" t="s">
        <v>125</v>
      </c>
      <c r="E1541" t="s">
        <v>133</v>
      </c>
      <c r="F1541" t="s">
        <v>134</v>
      </c>
      <c r="G1541" t="s">
        <v>55</v>
      </c>
      <c r="H1541" t="s">
        <v>31</v>
      </c>
      <c r="I1541" t="str">
        <f>LEFT(H1541,FIND(" (",H1541)-1)</f>
        <v>Staff/Principal</v>
      </c>
      <c r="J1541" t="str">
        <f>MID(H1541,FIND("(",H1541)+1,FIND(")",H1541)-FIND("(",H1541)-1)</f>
        <v>8+ yrs</v>
      </c>
      <c r="L1541">
        <v>96598</v>
      </c>
      <c r="M1541" t="s">
        <v>3205</v>
      </c>
      <c r="N1541" t="s">
        <v>245</v>
      </c>
      <c r="O1541" t="s">
        <v>22</v>
      </c>
      <c r="P1541" s="1">
        <v>45626</v>
      </c>
      <c r="Q1541">
        <v>1241</v>
      </c>
      <c r="R1541">
        <v>1043</v>
      </c>
      <c r="S1541" t="s">
        <v>23</v>
      </c>
      <c r="T1541">
        <v>6</v>
      </c>
      <c r="U1541" t="s">
        <v>5123</v>
      </c>
      <c r="V1541" t="s">
        <v>59</v>
      </c>
      <c r="W1541" t="s">
        <v>23</v>
      </c>
    </row>
    <row r="1542" spans="1:23" x14ac:dyDescent="0.3">
      <c r="A1542" t="s">
        <v>3206</v>
      </c>
      <c r="B1542" t="s">
        <v>151</v>
      </c>
      <c r="C1542" t="s">
        <v>204</v>
      </c>
      <c r="D1542" t="s">
        <v>174</v>
      </c>
      <c r="E1542" t="s">
        <v>200</v>
      </c>
      <c r="F1542" t="s">
        <v>201</v>
      </c>
      <c r="G1542" t="s">
        <v>55</v>
      </c>
      <c r="H1542" t="s">
        <v>31</v>
      </c>
      <c r="I1542" t="str">
        <f>LEFT(H1542,FIND(" (",H1542)-1)</f>
        <v>Staff/Principal</v>
      </c>
      <c r="J1542" t="str">
        <f>MID(H1542,FIND("(",H1542)+1,FIND(")",H1542)-FIND("(",H1542)-1)</f>
        <v>8+ yrs</v>
      </c>
      <c r="L1542">
        <v>199009</v>
      </c>
      <c r="M1542" t="s">
        <v>3207</v>
      </c>
      <c r="N1542" t="s">
        <v>68</v>
      </c>
      <c r="O1542" t="s">
        <v>51</v>
      </c>
      <c r="P1542" s="1">
        <v>45424</v>
      </c>
      <c r="Q1542">
        <v>1904</v>
      </c>
      <c r="R1542">
        <v>1333</v>
      </c>
      <c r="S1542" t="s">
        <v>23</v>
      </c>
      <c r="T1542">
        <v>6</v>
      </c>
      <c r="U1542" t="s">
        <v>83</v>
      </c>
      <c r="V1542" t="s">
        <v>24</v>
      </c>
      <c r="W1542" t="s">
        <v>34</v>
      </c>
    </row>
    <row r="1543" spans="1:23" x14ac:dyDescent="0.3">
      <c r="A1543" t="s">
        <v>3208</v>
      </c>
      <c r="B1543" t="s">
        <v>236</v>
      </c>
      <c r="C1543" t="s">
        <v>173</v>
      </c>
      <c r="D1543" t="s">
        <v>75</v>
      </c>
      <c r="E1543" t="s">
        <v>159</v>
      </c>
      <c r="F1543" t="s">
        <v>160</v>
      </c>
      <c r="G1543" t="s">
        <v>41</v>
      </c>
      <c r="H1543" t="s">
        <v>56</v>
      </c>
      <c r="I1543" t="str">
        <f>LEFT(H1543,FIND(" (",H1543)-1)</f>
        <v>Mid</v>
      </c>
      <c r="J1543" t="str">
        <f>MID(H1543,FIND("(",H1543)+1,FIND(")",H1543)-FIND("(",H1543)-1)</f>
        <v>2-5 yrs</v>
      </c>
      <c r="L1543">
        <v>145090</v>
      </c>
      <c r="M1543" t="s">
        <v>3209</v>
      </c>
      <c r="N1543" t="s">
        <v>33</v>
      </c>
      <c r="O1543" t="s">
        <v>44</v>
      </c>
      <c r="P1543" s="1">
        <v>45316</v>
      </c>
      <c r="Q1543">
        <v>1677</v>
      </c>
      <c r="R1543">
        <v>1186</v>
      </c>
      <c r="S1543" t="s">
        <v>23</v>
      </c>
      <c r="T1543">
        <v>2</v>
      </c>
      <c r="U1543" t="s">
        <v>45</v>
      </c>
      <c r="V1543" t="s">
        <v>24</v>
      </c>
      <c r="W1543" t="s">
        <v>34</v>
      </c>
    </row>
    <row r="1544" spans="1:23" x14ac:dyDescent="0.3">
      <c r="A1544" t="s">
        <v>3210</v>
      </c>
      <c r="B1544" t="s">
        <v>143</v>
      </c>
      <c r="C1544" t="s">
        <v>14</v>
      </c>
      <c r="D1544" t="s">
        <v>28</v>
      </c>
      <c r="E1544" t="s">
        <v>16</v>
      </c>
      <c r="F1544" t="s">
        <v>17</v>
      </c>
      <c r="G1544" t="s">
        <v>18</v>
      </c>
      <c r="H1544" t="s">
        <v>19</v>
      </c>
      <c r="I1544" t="str">
        <f>LEFT(H1544,FIND(" (",H1544)-1)</f>
        <v>Entry</v>
      </c>
      <c r="J1544" t="str">
        <f>MID(H1544,FIND("(",H1544)+1,FIND(")",H1544)-FIND("(",H1544)-1)</f>
        <v>0-2 yrs</v>
      </c>
      <c r="L1544">
        <v>90931</v>
      </c>
      <c r="M1544" t="s">
        <v>3211</v>
      </c>
      <c r="N1544" t="s">
        <v>89</v>
      </c>
      <c r="O1544" t="s">
        <v>79</v>
      </c>
      <c r="P1544" s="1">
        <v>45471</v>
      </c>
      <c r="Q1544">
        <v>1795</v>
      </c>
      <c r="R1544">
        <v>1374</v>
      </c>
      <c r="S1544" t="s">
        <v>23</v>
      </c>
      <c r="T1544">
        <v>0</v>
      </c>
      <c r="U1544" t="s">
        <v>58</v>
      </c>
      <c r="V1544" t="s">
        <v>24</v>
      </c>
      <c r="W1544" t="s">
        <v>23</v>
      </c>
    </row>
    <row r="1545" spans="1:23" x14ac:dyDescent="0.3">
      <c r="A1545" t="s">
        <v>3212</v>
      </c>
      <c r="B1545" t="s">
        <v>329</v>
      </c>
      <c r="C1545" t="s">
        <v>167</v>
      </c>
      <c r="D1545" t="s">
        <v>49</v>
      </c>
      <c r="E1545" t="s">
        <v>133</v>
      </c>
      <c r="F1545" t="s">
        <v>134</v>
      </c>
      <c r="G1545" t="s">
        <v>18</v>
      </c>
      <c r="H1545" t="s">
        <v>31</v>
      </c>
      <c r="I1545" t="str">
        <f>LEFT(H1545,FIND(" (",H1545)-1)</f>
        <v>Staff/Principal</v>
      </c>
      <c r="J1545" t="str">
        <f>MID(H1545,FIND("(",H1545)+1,FIND(")",H1545)-FIND("(",H1545)-1)</f>
        <v>8+ yrs</v>
      </c>
      <c r="L1545">
        <v>183544</v>
      </c>
      <c r="M1545" t="s">
        <v>3213</v>
      </c>
      <c r="N1545" t="s">
        <v>33</v>
      </c>
      <c r="O1545" t="s">
        <v>22</v>
      </c>
      <c r="P1545" s="1">
        <v>45639</v>
      </c>
      <c r="Q1545">
        <v>607</v>
      </c>
      <c r="R1545">
        <v>3766</v>
      </c>
      <c r="S1545" t="s">
        <v>23</v>
      </c>
      <c r="T1545">
        <v>6</v>
      </c>
      <c r="U1545" t="s">
        <v>5123</v>
      </c>
      <c r="V1545" t="s">
        <v>24</v>
      </c>
      <c r="W1545" t="s">
        <v>23</v>
      </c>
    </row>
    <row r="1546" spans="1:23" x14ac:dyDescent="0.3">
      <c r="A1546" t="s">
        <v>3214</v>
      </c>
      <c r="B1546" t="s">
        <v>236</v>
      </c>
      <c r="C1546" t="s">
        <v>167</v>
      </c>
      <c r="D1546" t="s">
        <v>75</v>
      </c>
      <c r="E1546" t="s">
        <v>5139</v>
      </c>
      <c r="F1546" t="s">
        <v>5133</v>
      </c>
      <c r="G1546" t="s">
        <v>55</v>
      </c>
      <c r="H1546" t="s">
        <v>31</v>
      </c>
      <c r="I1546" t="str">
        <f>LEFT(H1546,FIND(" (",H1546)-1)</f>
        <v>Staff/Principal</v>
      </c>
      <c r="J1546" t="str">
        <f>MID(H1546,FIND("(",H1546)+1,FIND(")",H1546)-FIND("(",H1546)-1)</f>
        <v>8+ yrs</v>
      </c>
      <c r="L1546">
        <v>178320</v>
      </c>
      <c r="M1546" t="s">
        <v>3215</v>
      </c>
      <c r="N1546" t="s">
        <v>33</v>
      </c>
      <c r="O1546" t="s">
        <v>51</v>
      </c>
      <c r="P1546" s="1">
        <v>45595</v>
      </c>
      <c r="Q1546">
        <v>612</v>
      </c>
      <c r="R1546">
        <v>1040</v>
      </c>
      <c r="S1546" t="s">
        <v>23</v>
      </c>
      <c r="T1546">
        <v>6</v>
      </c>
      <c r="U1546" t="s">
        <v>45</v>
      </c>
      <c r="V1546" t="s">
        <v>24</v>
      </c>
      <c r="W1546" t="s">
        <v>23</v>
      </c>
    </row>
    <row r="1547" spans="1:23" x14ac:dyDescent="0.3">
      <c r="A1547" t="s">
        <v>3216</v>
      </c>
      <c r="B1547" t="s">
        <v>222</v>
      </c>
      <c r="C1547" t="s">
        <v>74</v>
      </c>
      <c r="D1547" t="s">
        <v>75</v>
      </c>
      <c r="E1547" t="s">
        <v>159</v>
      </c>
      <c r="F1547" t="s">
        <v>160</v>
      </c>
      <c r="G1547" t="s">
        <v>55</v>
      </c>
      <c r="H1547" t="s">
        <v>19</v>
      </c>
      <c r="I1547" t="str">
        <f>LEFT(H1547,FIND(" (",H1547)-1)</f>
        <v>Entry</v>
      </c>
      <c r="J1547" t="str">
        <f>MID(H1547,FIND("(",H1547)+1,FIND(")",H1547)-FIND("(",H1547)-1)</f>
        <v>0-2 yrs</v>
      </c>
      <c r="L1547">
        <v>75906</v>
      </c>
      <c r="M1547" t="s">
        <v>3217</v>
      </c>
      <c r="N1547" t="s">
        <v>68</v>
      </c>
      <c r="O1547" t="s">
        <v>51</v>
      </c>
      <c r="P1547" s="1">
        <v>45587</v>
      </c>
      <c r="Q1547">
        <v>2229</v>
      </c>
      <c r="R1547">
        <v>28</v>
      </c>
      <c r="S1547" t="s">
        <v>34</v>
      </c>
      <c r="T1547">
        <v>0</v>
      </c>
      <c r="U1547" t="s">
        <v>5123</v>
      </c>
      <c r="V1547" t="s">
        <v>59</v>
      </c>
      <c r="W1547" t="s">
        <v>34</v>
      </c>
    </row>
    <row r="1548" spans="1:23" x14ac:dyDescent="0.3">
      <c r="A1548" t="s">
        <v>3218</v>
      </c>
      <c r="B1548" t="s">
        <v>96</v>
      </c>
      <c r="C1548" t="s">
        <v>97</v>
      </c>
      <c r="D1548" t="s">
        <v>15</v>
      </c>
      <c r="E1548" t="s">
        <v>5132</v>
      </c>
      <c r="F1548" t="s">
        <v>5133</v>
      </c>
      <c r="G1548" t="s">
        <v>41</v>
      </c>
      <c r="H1548" t="s">
        <v>66</v>
      </c>
      <c r="I1548" t="str">
        <f>LEFT(H1548,FIND(" (",H1548)-1)</f>
        <v>Senior</v>
      </c>
      <c r="J1548" t="str">
        <f>MID(H1548,FIND("(",H1548)+1,FIND(")",H1548)-FIND("(",H1548)-1)</f>
        <v>5-8 yrs</v>
      </c>
      <c r="L1548">
        <v>123043</v>
      </c>
      <c r="M1548" t="s">
        <v>3219</v>
      </c>
      <c r="N1548" t="s">
        <v>33</v>
      </c>
      <c r="O1548" t="s">
        <v>22</v>
      </c>
      <c r="P1548" s="1">
        <v>45368</v>
      </c>
      <c r="Q1548">
        <v>2303</v>
      </c>
      <c r="R1548">
        <v>1488</v>
      </c>
      <c r="S1548" t="s">
        <v>23</v>
      </c>
      <c r="T1548">
        <v>4</v>
      </c>
      <c r="U1548" t="s">
        <v>45</v>
      </c>
      <c r="V1548" t="s">
        <v>24</v>
      </c>
      <c r="W1548" t="s">
        <v>34</v>
      </c>
    </row>
    <row r="1549" spans="1:23" x14ac:dyDescent="0.3">
      <c r="A1549" t="s">
        <v>3220</v>
      </c>
      <c r="B1549" t="s">
        <v>96</v>
      </c>
      <c r="C1549" t="s">
        <v>71</v>
      </c>
      <c r="D1549" t="s">
        <v>49</v>
      </c>
      <c r="E1549" t="s">
        <v>5136</v>
      </c>
      <c r="F1549" t="s">
        <v>5133</v>
      </c>
      <c r="G1549" t="s">
        <v>18</v>
      </c>
      <c r="H1549" t="s">
        <v>56</v>
      </c>
      <c r="I1549" t="str">
        <f>LEFT(H1549,FIND(" (",H1549)-1)</f>
        <v>Mid</v>
      </c>
      <c r="J1549" t="str">
        <f>MID(H1549,FIND("(",H1549)+1,FIND(")",H1549)-FIND("(",H1549)-1)</f>
        <v>2-5 yrs</v>
      </c>
      <c r="L1549">
        <v>115975</v>
      </c>
      <c r="M1549" t="s">
        <v>3221</v>
      </c>
      <c r="N1549" t="s">
        <v>186</v>
      </c>
      <c r="O1549" t="s">
        <v>51</v>
      </c>
      <c r="P1549" s="1">
        <v>45746</v>
      </c>
      <c r="Q1549">
        <v>1961</v>
      </c>
      <c r="R1549">
        <v>2799</v>
      </c>
      <c r="S1549" t="s">
        <v>23</v>
      </c>
      <c r="T1549">
        <v>2</v>
      </c>
      <c r="U1549" t="s">
        <v>58</v>
      </c>
      <c r="V1549" t="s">
        <v>24</v>
      </c>
      <c r="W1549" t="s">
        <v>34</v>
      </c>
    </row>
    <row r="1550" spans="1:23" x14ac:dyDescent="0.3">
      <c r="A1550" t="s">
        <v>3222</v>
      </c>
      <c r="B1550" t="s">
        <v>229</v>
      </c>
      <c r="C1550" t="s">
        <v>226</v>
      </c>
      <c r="D1550" t="s">
        <v>75</v>
      </c>
      <c r="E1550" t="s">
        <v>5134</v>
      </c>
      <c r="F1550" t="s">
        <v>5133</v>
      </c>
      <c r="G1550" t="s">
        <v>18</v>
      </c>
      <c r="H1550" t="s">
        <v>56</v>
      </c>
      <c r="I1550" t="str">
        <f>LEFT(H1550,FIND(" (",H1550)-1)</f>
        <v>Mid</v>
      </c>
      <c r="J1550" t="str">
        <f>MID(H1550,FIND("(",H1550)+1,FIND(")",H1550)-FIND("(",H1550)-1)</f>
        <v>2-5 yrs</v>
      </c>
      <c r="L1550">
        <v>125168</v>
      </c>
      <c r="M1550" t="s">
        <v>3223</v>
      </c>
      <c r="N1550" t="s">
        <v>21</v>
      </c>
      <c r="O1550" t="s">
        <v>79</v>
      </c>
      <c r="P1550" s="1">
        <v>45565</v>
      </c>
      <c r="Q1550">
        <v>880</v>
      </c>
      <c r="R1550">
        <v>3704</v>
      </c>
      <c r="S1550" t="s">
        <v>34</v>
      </c>
      <c r="T1550">
        <v>2</v>
      </c>
      <c r="U1550" t="s">
        <v>83</v>
      </c>
      <c r="V1550" t="s">
        <v>24</v>
      </c>
      <c r="W1550" t="s">
        <v>23</v>
      </c>
    </row>
    <row r="1551" spans="1:23" x14ac:dyDescent="0.3">
      <c r="A1551" t="s">
        <v>3224</v>
      </c>
      <c r="B1551" t="s">
        <v>151</v>
      </c>
      <c r="C1551" t="s">
        <v>110</v>
      </c>
      <c r="D1551" t="s">
        <v>28</v>
      </c>
      <c r="E1551" t="s">
        <v>5135</v>
      </c>
      <c r="F1551" t="s">
        <v>5133</v>
      </c>
      <c r="G1551" t="s">
        <v>41</v>
      </c>
      <c r="H1551" t="s">
        <v>31</v>
      </c>
      <c r="I1551" t="str">
        <f>LEFT(H1551,FIND(" (",H1551)-1)</f>
        <v>Staff/Principal</v>
      </c>
      <c r="J1551" t="str">
        <f>MID(H1551,FIND("(",H1551)+1,FIND(")",H1551)-FIND("(",H1551)-1)</f>
        <v>8+ yrs</v>
      </c>
      <c r="L1551">
        <v>244169</v>
      </c>
      <c r="M1551" t="s">
        <v>3225</v>
      </c>
      <c r="N1551" t="s">
        <v>89</v>
      </c>
      <c r="O1551" t="s">
        <v>44</v>
      </c>
      <c r="P1551" s="1">
        <v>45734</v>
      </c>
      <c r="Q1551">
        <v>2477</v>
      </c>
      <c r="R1551">
        <v>1411</v>
      </c>
      <c r="S1551" t="s">
        <v>23</v>
      </c>
      <c r="T1551">
        <v>6</v>
      </c>
      <c r="U1551" t="s">
        <v>5123</v>
      </c>
      <c r="V1551" t="s">
        <v>24</v>
      </c>
      <c r="W1551" t="s">
        <v>23</v>
      </c>
    </row>
    <row r="1552" spans="1:23" x14ac:dyDescent="0.3">
      <c r="A1552" t="s">
        <v>3226</v>
      </c>
      <c r="B1552" t="s">
        <v>13</v>
      </c>
      <c r="C1552" t="s">
        <v>110</v>
      </c>
      <c r="D1552" t="s">
        <v>111</v>
      </c>
      <c r="E1552" t="s">
        <v>5135</v>
      </c>
      <c r="F1552" t="s">
        <v>5133</v>
      </c>
      <c r="G1552" t="s">
        <v>41</v>
      </c>
      <c r="H1552" t="s">
        <v>66</v>
      </c>
      <c r="I1552" t="str">
        <f>LEFT(H1552,FIND(" (",H1552)-1)</f>
        <v>Senior</v>
      </c>
      <c r="J1552" t="str">
        <f>MID(H1552,FIND("(",H1552)+1,FIND(")",H1552)-FIND("(",H1552)-1)</f>
        <v>5-8 yrs</v>
      </c>
      <c r="L1552">
        <v>147295</v>
      </c>
      <c r="M1552" t="s">
        <v>3227</v>
      </c>
      <c r="N1552" t="s">
        <v>43</v>
      </c>
      <c r="O1552" t="s">
        <v>22</v>
      </c>
      <c r="P1552" s="1">
        <v>45581</v>
      </c>
      <c r="Q1552">
        <v>788</v>
      </c>
      <c r="R1552">
        <v>3484</v>
      </c>
      <c r="S1552" t="s">
        <v>23</v>
      </c>
      <c r="T1552">
        <v>4</v>
      </c>
      <c r="U1552" t="s">
        <v>83</v>
      </c>
      <c r="V1552" t="s">
        <v>59</v>
      </c>
      <c r="W1552" t="s">
        <v>34</v>
      </c>
    </row>
    <row r="1553" spans="1:23" x14ac:dyDescent="0.3">
      <c r="A1553" t="s">
        <v>3228</v>
      </c>
      <c r="B1553" t="s">
        <v>91</v>
      </c>
      <c r="C1553" t="s">
        <v>71</v>
      </c>
      <c r="D1553" t="s">
        <v>63</v>
      </c>
      <c r="E1553" t="s">
        <v>64</v>
      </c>
      <c r="F1553" t="s">
        <v>65</v>
      </c>
      <c r="G1553" t="s">
        <v>55</v>
      </c>
      <c r="H1553" t="s">
        <v>56</v>
      </c>
      <c r="I1553" t="str">
        <f>LEFT(H1553,FIND(" (",H1553)-1)</f>
        <v>Mid</v>
      </c>
      <c r="J1553" t="str">
        <f>MID(H1553,FIND("(",H1553)+1,FIND(")",H1553)-FIND("(",H1553)-1)</f>
        <v>2-5 yrs</v>
      </c>
      <c r="L1553">
        <v>105967</v>
      </c>
      <c r="M1553" t="s">
        <v>3229</v>
      </c>
      <c r="N1553" t="s">
        <v>245</v>
      </c>
      <c r="O1553" t="s">
        <v>51</v>
      </c>
      <c r="P1553" s="1">
        <v>45522</v>
      </c>
      <c r="Q1553">
        <v>2370</v>
      </c>
      <c r="R1553">
        <v>671</v>
      </c>
      <c r="S1553" t="s">
        <v>23</v>
      </c>
      <c r="T1553">
        <v>2</v>
      </c>
      <c r="U1553" t="s">
        <v>5123</v>
      </c>
      <c r="V1553" t="s">
        <v>24</v>
      </c>
      <c r="W1553" t="s">
        <v>23</v>
      </c>
    </row>
    <row r="1554" spans="1:23" x14ac:dyDescent="0.3">
      <c r="A1554" t="s">
        <v>3230</v>
      </c>
      <c r="B1554" t="s">
        <v>225</v>
      </c>
      <c r="C1554" t="s">
        <v>167</v>
      </c>
      <c r="D1554" t="s">
        <v>15</v>
      </c>
      <c r="E1554" t="s">
        <v>5137</v>
      </c>
      <c r="F1554" t="s">
        <v>5138</v>
      </c>
      <c r="G1554" t="s">
        <v>18</v>
      </c>
      <c r="H1554" t="s">
        <v>66</v>
      </c>
      <c r="I1554" t="str">
        <f>LEFT(H1554,FIND(" (",H1554)-1)</f>
        <v>Senior</v>
      </c>
      <c r="J1554" t="str">
        <f>MID(H1554,FIND("(",H1554)+1,FIND(")",H1554)-FIND("(",H1554)-1)</f>
        <v>5-8 yrs</v>
      </c>
      <c r="L1554">
        <v>126294</v>
      </c>
      <c r="M1554" t="s">
        <v>3231</v>
      </c>
      <c r="N1554" t="s">
        <v>21</v>
      </c>
      <c r="O1554" t="s">
        <v>79</v>
      </c>
      <c r="P1554" s="1">
        <v>45723</v>
      </c>
      <c r="Q1554">
        <v>2211</v>
      </c>
      <c r="R1554">
        <v>1379</v>
      </c>
      <c r="S1554" t="s">
        <v>23</v>
      </c>
      <c r="T1554">
        <v>4</v>
      </c>
      <c r="U1554" t="s">
        <v>58</v>
      </c>
      <c r="V1554" t="s">
        <v>24</v>
      </c>
      <c r="W1554" t="s">
        <v>23</v>
      </c>
    </row>
    <row r="1555" spans="1:23" x14ac:dyDescent="0.3">
      <c r="A1555" t="s">
        <v>3232</v>
      </c>
      <c r="B1555" t="s">
        <v>81</v>
      </c>
      <c r="C1555" t="s">
        <v>110</v>
      </c>
      <c r="D1555" t="s">
        <v>75</v>
      </c>
      <c r="E1555" t="s">
        <v>230</v>
      </c>
      <c r="F1555" t="s">
        <v>231</v>
      </c>
      <c r="G1555" t="s">
        <v>41</v>
      </c>
      <c r="H1555" t="s">
        <v>56</v>
      </c>
      <c r="I1555" t="str">
        <f>LEFT(H1555,FIND(" (",H1555)-1)</f>
        <v>Mid</v>
      </c>
      <c r="J1555" t="str">
        <f>MID(H1555,FIND("(",H1555)+1,FIND(")",H1555)-FIND("(",H1555)-1)</f>
        <v>2-5 yrs</v>
      </c>
      <c r="L1555">
        <v>93627</v>
      </c>
      <c r="M1555" t="s">
        <v>3233</v>
      </c>
      <c r="N1555" t="s">
        <v>21</v>
      </c>
      <c r="O1555" t="s">
        <v>79</v>
      </c>
      <c r="P1555" s="1">
        <v>45531</v>
      </c>
      <c r="Q1555">
        <v>1273</v>
      </c>
      <c r="R1555">
        <v>2848</v>
      </c>
      <c r="S1555" t="s">
        <v>34</v>
      </c>
      <c r="T1555">
        <v>2</v>
      </c>
      <c r="U1555" t="s">
        <v>45</v>
      </c>
      <c r="V1555" t="s">
        <v>24</v>
      </c>
      <c r="W1555" t="s">
        <v>23</v>
      </c>
    </row>
    <row r="1556" spans="1:23" x14ac:dyDescent="0.3">
      <c r="A1556" t="s">
        <v>3234</v>
      </c>
      <c r="B1556" t="s">
        <v>96</v>
      </c>
      <c r="C1556" t="s">
        <v>204</v>
      </c>
      <c r="D1556" t="s">
        <v>174</v>
      </c>
      <c r="E1556" t="s">
        <v>29</v>
      </c>
      <c r="F1556" t="s">
        <v>30</v>
      </c>
      <c r="G1556" t="s">
        <v>41</v>
      </c>
      <c r="H1556" t="s">
        <v>31</v>
      </c>
      <c r="I1556" t="str">
        <f>LEFT(H1556,FIND(" (",H1556)-1)</f>
        <v>Staff/Principal</v>
      </c>
      <c r="J1556" t="str">
        <f>MID(H1556,FIND("(",H1556)+1,FIND(")",H1556)-FIND("(",H1556)-1)</f>
        <v>8+ yrs</v>
      </c>
      <c r="L1556">
        <v>191846</v>
      </c>
      <c r="M1556" t="s">
        <v>3235</v>
      </c>
      <c r="N1556" t="s">
        <v>120</v>
      </c>
      <c r="O1556" t="s">
        <v>44</v>
      </c>
      <c r="P1556" s="1">
        <v>45622</v>
      </c>
      <c r="Q1556">
        <v>2194</v>
      </c>
      <c r="R1556">
        <v>2135</v>
      </c>
      <c r="S1556" t="s">
        <v>23</v>
      </c>
      <c r="T1556">
        <v>6</v>
      </c>
      <c r="U1556" t="s">
        <v>83</v>
      </c>
      <c r="V1556" t="s">
        <v>46</v>
      </c>
      <c r="W1556" t="s">
        <v>34</v>
      </c>
    </row>
    <row r="1557" spans="1:23" x14ac:dyDescent="0.3">
      <c r="A1557" t="s">
        <v>3236</v>
      </c>
      <c r="B1557" t="s">
        <v>96</v>
      </c>
      <c r="C1557" t="s">
        <v>195</v>
      </c>
      <c r="D1557" t="s">
        <v>111</v>
      </c>
      <c r="E1557" t="s">
        <v>5132</v>
      </c>
      <c r="F1557" t="s">
        <v>5133</v>
      </c>
      <c r="G1557" t="s">
        <v>55</v>
      </c>
      <c r="H1557" t="s">
        <v>19</v>
      </c>
      <c r="I1557" t="str">
        <f>LEFT(H1557,FIND(" (",H1557)-1)</f>
        <v>Entry</v>
      </c>
      <c r="J1557" t="str">
        <f>MID(H1557,FIND("(",H1557)+1,FIND(")",H1557)-FIND("(",H1557)-1)</f>
        <v>0-2 yrs</v>
      </c>
      <c r="L1557">
        <v>74628</v>
      </c>
      <c r="M1557" t="s">
        <v>3237</v>
      </c>
      <c r="N1557" t="s">
        <v>68</v>
      </c>
      <c r="O1557" t="s">
        <v>22</v>
      </c>
      <c r="P1557" s="1">
        <v>45677</v>
      </c>
      <c r="Q1557">
        <v>1227</v>
      </c>
      <c r="R1557">
        <v>1116</v>
      </c>
      <c r="S1557" t="s">
        <v>99</v>
      </c>
      <c r="T1557">
        <v>0</v>
      </c>
      <c r="U1557" t="s">
        <v>5123</v>
      </c>
      <c r="V1557" t="s">
        <v>24</v>
      </c>
      <c r="W1557" t="s">
        <v>34</v>
      </c>
    </row>
    <row r="1558" spans="1:23" x14ac:dyDescent="0.3">
      <c r="A1558" t="s">
        <v>3238</v>
      </c>
      <c r="B1558" t="s">
        <v>96</v>
      </c>
      <c r="C1558" t="s">
        <v>182</v>
      </c>
      <c r="D1558" t="s">
        <v>174</v>
      </c>
      <c r="E1558" t="s">
        <v>5135</v>
      </c>
      <c r="F1558" t="s">
        <v>5133</v>
      </c>
      <c r="G1558" t="s">
        <v>41</v>
      </c>
      <c r="H1558" t="s">
        <v>31</v>
      </c>
      <c r="I1558" t="str">
        <f>LEFT(H1558,FIND(" (",H1558)-1)</f>
        <v>Staff/Principal</v>
      </c>
      <c r="J1558" t="str">
        <f>MID(H1558,FIND("(",H1558)+1,FIND(")",H1558)-FIND("(",H1558)-1)</f>
        <v>8+ yrs</v>
      </c>
      <c r="L1558">
        <v>232889</v>
      </c>
      <c r="M1558" t="s">
        <v>3239</v>
      </c>
      <c r="N1558" t="s">
        <v>141</v>
      </c>
      <c r="O1558" t="s">
        <v>51</v>
      </c>
      <c r="P1558" s="1">
        <v>45661</v>
      </c>
      <c r="Q1558">
        <v>2257</v>
      </c>
      <c r="R1558">
        <v>1710</v>
      </c>
      <c r="S1558" t="s">
        <v>34</v>
      </c>
      <c r="T1558">
        <v>6</v>
      </c>
      <c r="U1558" t="s">
        <v>52</v>
      </c>
      <c r="V1558" t="s">
        <v>24</v>
      </c>
      <c r="W1558" t="s">
        <v>23</v>
      </c>
    </row>
    <row r="1559" spans="1:23" x14ac:dyDescent="0.3">
      <c r="A1559" t="s">
        <v>3240</v>
      </c>
      <c r="B1559" t="s">
        <v>61</v>
      </c>
      <c r="C1559" t="s">
        <v>195</v>
      </c>
      <c r="D1559" t="s">
        <v>49</v>
      </c>
      <c r="E1559" t="s">
        <v>5141</v>
      </c>
      <c r="F1559" t="s">
        <v>5133</v>
      </c>
      <c r="G1559" t="s">
        <v>18</v>
      </c>
      <c r="H1559" t="s">
        <v>56</v>
      </c>
      <c r="I1559" t="str">
        <f>LEFT(H1559,FIND(" (",H1559)-1)</f>
        <v>Mid</v>
      </c>
      <c r="J1559" t="str">
        <f>MID(H1559,FIND("(",H1559)+1,FIND(")",H1559)-FIND("(",H1559)-1)</f>
        <v>2-5 yrs</v>
      </c>
      <c r="L1559">
        <v>94097</v>
      </c>
      <c r="M1559" t="s">
        <v>3241</v>
      </c>
      <c r="N1559" t="s">
        <v>186</v>
      </c>
      <c r="O1559" t="s">
        <v>44</v>
      </c>
      <c r="P1559" s="1">
        <v>45370</v>
      </c>
      <c r="Q1559">
        <v>1399</v>
      </c>
      <c r="R1559">
        <v>3790</v>
      </c>
      <c r="S1559" t="s">
        <v>23</v>
      </c>
      <c r="T1559">
        <v>2</v>
      </c>
      <c r="U1559" t="s">
        <v>5123</v>
      </c>
      <c r="V1559" t="s">
        <v>59</v>
      </c>
      <c r="W1559" t="s">
        <v>23</v>
      </c>
    </row>
    <row r="1560" spans="1:23" x14ac:dyDescent="0.3">
      <c r="A1560" t="s">
        <v>3242</v>
      </c>
      <c r="B1560" t="s">
        <v>61</v>
      </c>
      <c r="C1560" t="s">
        <v>54</v>
      </c>
      <c r="D1560" t="s">
        <v>28</v>
      </c>
      <c r="E1560" t="s">
        <v>29</v>
      </c>
      <c r="F1560" t="s">
        <v>30</v>
      </c>
      <c r="G1560" t="s">
        <v>18</v>
      </c>
      <c r="H1560" t="s">
        <v>31</v>
      </c>
      <c r="I1560" t="str">
        <f>LEFT(H1560,FIND(" (",H1560)-1)</f>
        <v>Staff/Principal</v>
      </c>
      <c r="J1560" t="str">
        <f>MID(H1560,FIND("(",H1560)+1,FIND(")",H1560)-FIND("(",H1560)-1)</f>
        <v>8+ yrs</v>
      </c>
      <c r="L1560">
        <v>253736</v>
      </c>
      <c r="M1560" t="s">
        <v>3243</v>
      </c>
      <c r="N1560" t="s">
        <v>33</v>
      </c>
      <c r="O1560" t="s">
        <v>79</v>
      </c>
      <c r="P1560" s="1">
        <v>45655</v>
      </c>
      <c r="Q1560">
        <v>1359</v>
      </c>
      <c r="R1560">
        <v>2022</v>
      </c>
      <c r="S1560" t="s">
        <v>99</v>
      </c>
      <c r="T1560">
        <v>6</v>
      </c>
      <c r="U1560" t="s">
        <v>45</v>
      </c>
      <c r="V1560" t="s">
        <v>24</v>
      </c>
      <c r="W1560" t="s">
        <v>23</v>
      </c>
    </row>
    <row r="1561" spans="1:23" x14ac:dyDescent="0.3">
      <c r="A1561" t="s">
        <v>3244</v>
      </c>
      <c r="B1561" t="s">
        <v>151</v>
      </c>
      <c r="C1561" t="s">
        <v>167</v>
      </c>
      <c r="D1561" t="s">
        <v>125</v>
      </c>
      <c r="E1561" t="s">
        <v>5136</v>
      </c>
      <c r="F1561" t="s">
        <v>5133</v>
      </c>
      <c r="G1561" t="s">
        <v>41</v>
      </c>
      <c r="H1561" t="s">
        <v>19</v>
      </c>
      <c r="I1561" t="str">
        <f>LEFT(H1561,FIND(" (",H1561)-1)</f>
        <v>Entry</v>
      </c>
      <c r="J1561" t="str">
        <f>MID(H1561,FIND("(",H1561)+1,FIND(")",H1561)-FIND("(",H1561)-1)</f>
        <v>0-2 yrs</v>
      </c>
      <c r="L1561">
        <v>66583</v>
      </c>
      <c r="M1561" t="s">
        <v>3245</v>
      </c>
      <c r="N1561" t="s">
        <v>120</v>
      </c>
      <c r="O1561" t="s">
        <v>51</v>
      </c>
      <c r="P1561" s="1">
        <v>45356</v>
      </c>
      <c r="Q1561">
        <v>1292</v>
      </c>
      <c r="R1561">
        <v>3426</v>
      </c>
      <c r="S1561" t="s">
        <v>23</v>
      </c>
      <c r="T1561">
        <v>0</v>
      </c>
      <c r="U1561" t="s">
        <v>45</v>
      </c>
      <c r="V1561" t="s">
        <v>24</v>
      </c>
      <c r="W1561" t="s">
        <v>23</v>
      </c>
    </row>
    <row r="1562" spans="1:23" x14ac:dyDescent="0.3">
      <c r="A1562" t="s">
        <v>3246</v>
      </c>
      <c r="B1562" t="s">
        <v>96</v>
      </c>
      <c r="C1562" t="s">
        <v>54</v>
      </c>
      <c r="D1562" t="s">
        <v>174</v>
      </c>
      <c r="E1562" t="s">
        <v>5136</v>
      </c>
      <c r="F1562" t="s">
        <v>5133</v>
      </c>
      <c r="G1562" t="s">
        <v>55</v>
      </c>
      <c r="H1562" t="s">
        <v>31</v>
      </c>
      <c r="I1562" t="str">
        <f>LEFT(H1562,FIND(" (",H1562)-1)</f>
        <v>Staff/Principal</v>
      </c>
      <c r="J1562" t="str">
        <f>MID(H1562,FIND("(",H1562)+1,FIND(")",H1562)-FIND("(",H1562)-1)</f>
        <v>8+ yrs</v>
      </c>
      <c r="L1562">
        <v>199230</v>
      </c>
      <c r="M1562" t="s">
        <v>3247</v>
      </c>
      <c r="N1562" t="s">
        <v>245</v>
      </c>
      <c r="O1562" t="s">
        <v>22</v>
      </c>
      <c r="P1562" s="1">
        <v>45419</v>
      </c>
      <c r="Q1562">
        <v>1130</v>
      </c>
      <c r="R1562">
        <v>596</v>
      </c>
      <c r="S1562" t="s">
        <v>23</v>
      </c>
      <c r="T1562">
        <v>6</v>
      </c>
      <c r="U1562" t="s">
        <v>5123</v>
      </c>
      <c r="V1562" t="s">
        <v>24</v>
      </c>
      <c r="W1562" t="s">
        <v>23</v>
      </c>
    </row>
    <row r="1563" spans="1:23" x14ac:dyDescent="0.3">
      <c r="A1563" t="s">
        <v>3248</v>
      </c>
      <c r="B1563" t="s">
        <v>229</v>
      </c>
      <c r="C1563" t="s">
        <v>146</v>
      </c>
      <c r="D1563" t="s">
        <v>75</v>
      </c>
      <c r="E1563" t="s">
        <v>230</v>
      </c>
      <c r="F1563" t="s">
        <v>231</v>
      </c>
      <c r="G1563" t="s">
        <v>55</v>
      </c>
      <c r="H1563" t="s">
        <v>31</v>
      </c>
      <c r="I1563" t="str">
        <f>LEFT(H1563,FIND(" (",H1563)-1)</f>
        <v>Staff/Principal</v>
      </c>
      <c r="J1563" t="str">
        <f>MID(H1563,FIND("(",H1563)+1,FIND(")",H1563)-FIND("(",H1563)-1)</f>
        <v>8+ yrs</v>
      </c>
      <c r="L1563">
        <v>173100</v>
      </c>
      <c r="M1563" t="s">
        <v>3249</v>
      </c>
      <c r="N1563" t="s">
        <v>68</v>
      </c>
      <c r="O1563" t="s">
        <v>51</v>
      </c>
      <c r="P1563" s="1">
        <v>45500</v>
      </c>
      <c r="Q1563">
        <v>1630</v>
      </c>
      <c r="R1563">
        <v>1312</v>
      </c>
      <c r="S1563" t="s">
        <v>23</v>
      </c>
      <c r="T1563">
        <v>6</v>
      </c>
      <c r="U1563" t="s">
        <v>5123</v>
      </c>
      <c r="V1563" t="s">
        <v>59</v>
      </c>
      <c r="W1563" t="s">
        <v>34</v>
      </c>
    </row>
    <row r="1564" spans="1:23" x14ac:dyDescent="0.3">
      <c r="A1564" t="s">
        <v>3250</v>
      </c>
      <c r="B1564" t="s">
        <v>91</v>
      </c>
      <c r="C1564" t="s">
        <v>158</v>
      </c>
      <c r="D1564" t="s">
        <v>28</v>
      </c>
      <c r="E1564" t="s">
        <v>5134</v>
      </c>
      <c r="F1564" t="s">
        <v>5133</v>
      </c>
      <c r="G1564" t="s">
        <v>41</v>
      </c>
      <c r="H1564" t="s">
        <v>19</v>
      </c>
      <c r="I1564" t="str">
        <f>LEFT(H1564,FIND(" (",H1564)-1)</f>
        <v>Entry</v>
      </c>
      <c r="J1564" t="str">
        <f>MID(H1564,FIND("(",H1564)+1,FIND(")",H1564)-FIND("(",H1564)-1)</f>
        <v>0-2 yrs</v>
      </c>
      <c r="L1564">
        <v>50000</v>
      </c>
      <c r="M1564" t="s">
        <v>3251</v>
      </c>
      <c r="N1564" t="s">
        <v>43</v>
      </c>
      <c r="O1564" t="s">
        <v>79</v>
      </c>
      <c r="P1564" s="1">
        <v>45598</v>
      </c>
      <c r="Q1564">
        <v>1220</v>
      </c>
      <c r="R1564">
        <v>2557</v>
      </c>
      <c r="S1564" t="s">
        <v>34</v>
      </c>
      <c r="T1564">
        <v>0</v>
      </c>
      <c r="U1564" t="s">
        <v>52</v>
      </c>
      <c r="V1564" t="s">
        <v>24</v>
      </c>
      <c r="W1564" t="s">
        <v>34</v>
      </c>
    </row>
    <row r="1565" spans="1:23" x14ac:dyDescent="0.3">
      <c r="A1565" t="s">
        <v>3252</v>
      </c>
      <c r="B1565" t="s">
        <v>151</v>
      </c>
      <c r="C1565" t="s">
        <v>27</v>
      </c>
      <c r="D1565" t="s">
        <v>63</v>
      </c>
      <c r="E1565" t="s">
        <v>5132</v>
      </c>
      <c r="F1565" t="s">
        <v>5133</v>
      </c>
      <c r="G1565" t="s">
        <v>55</v>
      </c>
      <c r="H1565" t="s">
        <v>66</v>
      </c>
      <c r="I1565" t="str">
        <f>LEFT(H1565,FIND(" (",H1565)-1)</f>
        <v>Senior</v>
      </c>
      <c r="J1565" t="str">
        <f>MID(H1565,FIND("(",H1565)+1,FIND(")",H1565)-FIND("(",H1565)-1)</f>
        <v>5-8 yrs</v>
      </c>
      <c r="L1565">
        <v>173869</v>
      </c>
      <c r="M1565" t="s">
        <v>3253</v>
      </c>
      <c r="N1565" t="s">
        <v>245</v>
      </c>
      <c r="O1565" t="s">
        <v>22</v>
      </c>
      <c r="P1565" s="1">
        <v>45670</v>
      </c>
      <c r="Q1565">
        <v>2392</v>
      </c>
      <c r="R1565">
        <v>413</v>
      </c>
      <c r="S1565" t="s">
        <v>99</v>
      </c>
      <c r="T1565">
        <v>4</v>
      </c>
      <c r="U1565" t="s">
        <v>52</v>
      </c>
      <c r="V1565" t="s">
        <v>24</v>
      </c>
      <c r="W1565" t="s">
        <v>23</v>
      </c>
    </row>
    <row r="1566" spans="1:23" x14ac:dyDescent="0.3">
      <c r="A1566" t="s">
        <v>3254</v>
      </c>
      <c r="B1566" t="s">
        <v>36</v>
      </c>
      <c r="C1566" t="s">
        <v>209</v>
      </c>
      <c r="D1566" t="s">
        <v>28</v>
      </c>
      <c r="E1566" t="s">
        <v>29</v>
      </c>
      <c r="F1566" t="s">
        <v>30</v>
      </c>
      <c r="G1566" t="s">
        <v>41</v>
      </c>
      <c r="H1566" t="s">
        <v>66</v>
      </c>
      <c r="I1566" t="str">
        <f>LEFT(H1566,FIND(" (",H1566)-1)</f>
        <v>Senior</v>
      </c>
      <c r="J1566" t="str">
        <f>MID(H1566,FIND("(",H1566)+1,FIND(")",H1566)-FIND("(",H1566)-1)</f>
        <v>5-8 yrs</v>
      </c>
      <c r="L1566">
        <v>169894</v>
      </c>
      <c r="M1566" t="s">
        <v>3255</v>
      </c>
      <c r="N1566" t="s">
        <v>68</v>
      </c>
      <c r="O1566" t="s">
        <v>44</v>
      </c>
      <c r="P1566" s="1">
        <v>45721</v>
      </c>
      <c r="Q1566">
        <v>1338</v>
      </c>
      <c r="R1566">
        <v>98</v>
      </c>
      <c r="S1566" t="s">
        <v>23</v>
      </c>
      <c r="T1566">
        <v>4</v>
      </c>
      <c r="U1566" t="s">
        <v>83</v>
      </c>
      <c r="V1566" t="s">
        <v>24</v>
      </c>
      <c r="W1566" t="s">
        <v>23</v>
      </c>
    </row>
    <row r="1567" spans="1:23" x14ac:dyDescent="0.3">
      <c r="A1567" t="s">
        <v>3256</v>
      </c>
      <c r="B1567" t="s">
        <v>172</v>
      </c>
      <c r="C1567" t="s">
        <v>116</v>
      </c>
      <c r="D1567" t="s">
        <v>125</v>
      </c>
      <c r="E1567" t="s">
        <v>5135</v>
      </c>
      <c r="F1567" t="s">
        <v>5133</v>
      </c>
      <c r="G1567" t="s">
        <v>18</v>
      </c>
      <c r="H1567" t="s">
        <v>56</v>
      </c>
      <c r="I1567" t="str">
        <f>LEFT(H1567,FIND(" (",H1567)-1)</f>
        <v>Mid</v>
      </c>
      <c r="J1567" t="str">
        <f>MID(H1567,FIND("(",H1567)+1,FIND(")",H1567)-FIND("(",H1567)-1)</f>
        <v>2-5 yrs</v>
      </c>
      <c r="L1567">
        <v>104429</v>
      </c>
      <c r="M1567" t="s">
        <v>3257</v>
      </c>
      <c r="N1567" t="s">
        <v>245</v>
      </c>
      <c r="O1567" t="s">
        <v>51</v>
      </c>
      <c r="P1567" s="1">
        <v>45469</v>
      </c>
      <c r="Q1567">
        <v>416</v>
      </c>
      <c r="R1567">
        <v>2006</v>
      </c>
      <c r="S1567" t="s">
        <v>23</v>
      </c>
      <c r="T1567">
        <v>2</v>
      </c>
      <c r="U1567" t="s">
        <v>45</v>
      </c>
      <c r="V1567" t="s">
        <v>46</v>
      </c>
      <c r="W1567" t="s">
        <v>34</v>
      </c>
    </row>
    <row r="1568" spans="1:23" x14ac:dyDescent="0.3">
      <c r="A1568" t="s">
        <v>3258</v>
      </c>
      <c r="B1568" t="s">
        <v>96</v>
      </c>
      <c r="C1568" t="s">
        <v>27</v>
      </c>
      <c r="D1568" t="s">
        <v>147</v>
      </c>
      <c r="E1568" t="s">
        <v>200</v>
      </c>
      <c r="F1568" t="s">
        <v>201</v>
      </c>
      <c r="G1568" t="s">
        <v>55</v>
      </c>
      <c r="H1568" t="s">
        <v>19</v>
      </c>
      <c r="I1568" t="str">
        <f>LEFT(H1568,FIND(" (",H1568)-1)</f>
        <v>Entry</v>
      </c>
      <c r="J1568" t="str">
        <f>MID(H1568,FIND("(",H1568)+1,FIND(")",H1568)-FIND("(",H1568)-1)</f>
        <v>0-2 yrs</v>
      </c>
      <c r="L1568">
        <v>70844</v>
      </c>
      <c r="M1568" t="s">
        <v>3259</v>
      </c>
      <c r="N1568" t="s">
        <v>120</v>
      </c>
      <c r="O1568" t="s">
        <v>51</v>
      </c>
      <c r="P1568" s="1">
        <v>45428</v>
      </c>
      <c r="Q1568">
        <v>622</v>
      </c>
      <c r="R1568">
        <v>2441</v>
      </c>
      <c r="S1568" t="s">
        <v>23</v>
      </c>
      <c r="T1568">
        <v>0</v>
      </c>
      <c r="U1568" t="s">
        <v>45</v>
      </c>
      <c r="V1568" t="s">
        <v>59</v>
      </c>
      <c r="W1568" t="s">
        <v>23</v>
      </c>
    </row>
    <row r="1569" spans="1:23" x14ac:dyDescent="0.3">
      <c r="A1569" t="s">
        <v>3260</v>
      </c>
      <c r="B1569" t="s">
        <v>61</v>
      </c>
      <c r="C1569" t="s">
        <v>128</v>
      </c>
      <c r="D1569" t="s">
        <v>38</v>
      </c>
      <c r="E1569" t="s">
        <v>29</v>
      </c>
      <c r="F1569" t="s">
        <v>30</v>
      </c>
      <c r="G1569" t="s">
        <v>41</v>
      </c>
      <c r="H1569" t="s">
        <v>66</v>
      </c>
      <c r="I1569" t="str">
        <f>LEFT(H1569,FIND(" (",H1569)-1)</f>
        <v>Senior</v>
      </c>
      <c r="J1569" t="str">
        <f>MID(H1569,FIND("(",H1569)+1,FIND(")",H1569)-FIND("(",H1569)-1)</f>
        <v>5-8 yrs</v>
      </c>
      <c r="L1569">
        <v>163930</v>
      </c>
      <c r="M1569" t="s">
        <v>3261</v>
      </c>
      <c r="N1569" t="s">
        <v>149</v>
      </c>
      <c r="O1569" t="s">
        <v>44</v>
      </c>
      <c r="P1569" s="1">
        <v>45708</v>
      </c>
      <c r="Q1569">
        <v>1714</v>
      </c>
      <c r="R1569">
        <v>3710</v>
      </c>
      <c r="S1569" t="s">
        <v>34</v>
      </c>
      <c r="T1569">
        <v>4</v>
      </c>
      <c r="U1569" t="s">
        <v>52</v>
      </c>
      <c r="V1569" t="s">
        <v>59</v>
      </c>
      <c r="W1569" t="s">
        <v>34</v>
      </c>
    </row>
    <row r="1570" spans="1:23" x14ac:dyDescent="0.3">
      <c r="A1570" t="s">
        <v>3262</v>
      </c>
      <c r="B1570" t="s">
        <v>36</v>
      </c>
      <c r="C1570" t="s">
        <v>27</v>
      </c>
      <c r="D1570" t="s">
        <v>174</v>
      </c>
      <c r="E1570" t="s">
        <v>216</v>
      </c>
      <c r="F1570" t="s">
        <v>217</v>
      </c>
      <c r="G1570" t="s">
        <v>41</v>
      </c>
      <c r="H1570" t="s">
        <v>19</v>
      </c>
      <c r="I1570" t="str">
        <f>LEFT(H1570,FIND(" (",H1570)-1)</f>
        <v>Entry</v>
      </c>
      <c r="J1570" t="str">
        <f>MID(H1570,FIND("(",H1570)+1,FIND(")",H1570)-FIND("(",H1570)-1)</f>
        <v>0-2 yrs</v>
      </c>
      <c r="L1570">
        <v>50311</v>
      </c>
      <c r="M1570" t="s">
        <v>3263</v>
      </c>
      <c r="N1570" t="s">
        <v>33</v>
      </c>
      <c r="O1570" t="s">
        <v>51</v>
      </c>
      <c r="P1570" s="1">
        <v>45532</v>
      </c>
      <c r="Q1570">
        <v>796</v>
      </c>
      <c r="R1570">
        <v>3672</v>
      </c>
      <c r="S1570" t="s">
        <v>99</v>
      </c>
      <c r="T1570">
        <v>0</v>
      </c>
      <c r="U1570" t="s">
        <v>58</v>
      </c>
      <c r="V1570" t="s">
        <v>59</v>
      </c>
      <c r="W1570" t="s">
        <v>34</v>
      </c>
    </row>
    <row r="1571" spans="1:23" x14ac:dyDescent="0.3">
      <c r="A1571" t="s">
        <v>3264</v>
      </c>
      <c r="B1571" t="s">
        <v>131</v>
      </c>
      <c r="C1571" t="s">
        <v>74</v>
      </c>
      <c r="D1571" t="s">
        <v>174</v>
      </c>
      <c r="E1571" t="s">
        <v>16</v>
      </c>
      <c r="F1571" t="s">
        <v>17</v>
      </c>
      <c r="G1571" t="s">
        <v>18</v>
      </c>
      <c r="H1571" t="s">
        <v>56</v>
      </c>
      <c r="I1571" t="str">
        <f>LEFT(H1571,FIND(" (",H1571)-1)</f>
        <v>Mid</v>
      </c>
      <c r="J1571" t="str">
        <f>MID(H1571,FIND("(",H1571)+1,FIND(")",H1571)-FIND("(",H1571)-1)</f>
        <v>2-5 yrs</v>
      </c>
      <c r="L1571">
        <v>99524</v>
      </c>
      <c r="M1571" t="s">
        <v>3265</v>
      </c>
      <c r="N1571" t="s">
        <v>33</v>
      </c>
      <c r="O1571" t="s">
        <v>44</v>
      </c>
      <c r="P1571" s="1">
        <v>45300</v>
      </c>
      <c r="Q1571">
        <v>2071</v>
      </c>
      <c r="R1571">
        <v>982</v>
      </c>
      <c r="S1571" t="s">
        <v>23</v>
      </c>
      <c r="T1571">
        <v>2</v>
      </c>
      <c r="U1571" t="s">
        <v>5123</v>
      </c>
      <c r="V1571" t="s">
        <v>59</v>
      </c>
      <c r="W1571" t="s">
        <v>34</v>
      </c>
    </row>
    <row r="1572" spans="1:23" x14ac:dyDescent="0.3">
      <c r="A1572" t="s">
        <v>3266</v>
      </c>
      <c r="B1572" t="s">
        <v>329</v>
      </c>
      <c r="C1572" t="s">
        <v>62</v>
      </c>
      <c r="D1572" t="s">
        <v>174</v>
      </c>
      <c r="E1572" t="s">
        <v>5132</v>
      </c>
      <c r="F1572" t="s">
        <v>5133</v>
      </c>
      <c r="G1572" t="s">
        <v>18</v>
      </c>
      <c r="H1572" t="s">
        <v>19</v>
      </c>
      <c r="I1572" t="str">
        <f>LEFT(H1572,FIND(" (",H1572)-1)</f>
        <v>Entry</v>
      </c>
      <c r="J1572" t="str">
        <f>MID(H1572,FIND("(",H1572)+1,FIND(")",H1572)-FIND("(",H1572)-1)</f>
        <v>0-2 yrs</v>
      </c>
      <c r="L1572">
        <v>80007</v>
      </c>
      <c r="M1572" t="s">
        <v>3267</v>
      </c>
      <c r="N1572" t="s">
        <v>33</v>
      </c>
      <c r="O1572" t="s">
        <v>51</v>
      </c>
      <c r="P1572" s="1">
        <v>45370</v>
      </c>
      <c r="Q1572">
        <v>2020</v>
      </c>
      <c r="R1572">
        <v>2449</v>
      </c>
      <c r="S1572" t="s">
        <v>23</v>
      </c>
      <c r="T1572">
        <v>0</v>
      </c>
      <c r="U1572" t="s">
        <v>5123</v>
      </c>
      <c r="V1572" t="s">
        <v>24</v>
      </c>
      <c r="W1572" t="s">
        <v>23</v>
      </c>
    </row>
    <row r="1573" spans="1:23" x14ac:dyDescent="0.3">
      <c r="A1573" t="s">
        <v>3268</v>
      </c>
      <c r="B1573" t="s">
        <v>329</v>
      </c>
      <c r="C1573" t="s">
        <v>107</v>
      </c>
      <c r="D1573" t="s">
        <v>38</v>
      </c>
      <c r="E1573" t="s">
        <v>76</v>
      </c>
      <c r="F1573" t="s">
        <v>77</v>
      </c>
      <c r="G1573" t="s">
        <v>18</v>
      </c>
      <c r="H1573" t="s">
        <v>19</v>
      </c>
      <c r="I1573" t="str">
        <f>LEFT(H1573,FIND(" (",H1573)-1)</f>
        <v>Entry</v>
      </c>
      <c r="J1573" t="str">
        <f>MID(H1573,FIND("(",H1573)+1,FIND(")",H1573)-FIND("(",H1573)-1)</f>
        <v>0-2 yrs</v>
      </c>
      <c r="L1573">
        <v>54195</v>
      </c>
      <c r="M1573" t="s">
        <v>3269</v>
      </c>
      <c r="N1573" t="s">
        <v>33</v>
      </c>
      <c r="O1573" t="s">
        <v>51</v>
      </c>
      <c r="P1573" s="1">
        <v>45683</v>
      </c>
      <c r="Q1573">
        <v>2288</v>
      </c>
      <c r="R1573">
        <v>3414</v>
      </c>
      <c r="S1573" t="s">
        <v>23</v>
      </c>
      <c r="T1573">
        <v>0</v>
      </c>
      <c r="U1573" t="s">
        <v>83</v>
      </c>
      <c r="V1573" t="s">
        <v>24</v>
      </c>
      <c r="W1573" t="s">
        <v>23</v>
      </c>
    </row>
    <row r="1574" spans="1:23" x14ac:dyDescent="0.3">
      <c r="A1574" t="s">
        <v>3270</v>
      </c>
      <c r="B1574" t="s">
        <v>106</v>
      </c>
      <c r="C1574" t="s">
        <v>62</v>
      </c>
      <c r="D1574" t="s">
        <v>63</v>
      </c>
      <c r="E1574" t="s">
        <v>16</v>
      </c>
      <c r="F1574" t="s">
        <v>17</v>
      </c>
      <c r="G1574" t="s">
        <v>41</v>
      </c>
      <c r="H1574" t="s">
        <v>19</v>
      </c>
      <c r="I1574" t="str">
        <f>LEFT(H1574,FIND(" (",H1574)-1)</f>
        <v>Entry</v>
      </c>
      <c r="J1574" t="str">
        <f>MID(H1574,FIND("(",H1574)+1,FIND(")",H1574)-FIND("(",H1574)-1)</f>
        <v>0-2 yrs</v>
      </c>
      <c r="L1574">
        <v>73698</v>
      </c>
      <c r="M1574" t="s">
        <v>3271</v>
      </c>
      <c r="N1574" t="s">
        <v>141</v>
      </c>
      <c r="O1574" t="s">
        <v>44</v>
      </c>
      <c r="P1574" s="1">
        <v>45492</v>
      </c>
      <c r="Q1574">
        <v>1743</v>
      </c>
      <c r="R1574">
        <v>372</v>
      </c>
      <c r="S1574" t="s">
        <v>23</v>
      </c>
      <c r="T1574">
        <v>0</v>
      </c>
      <c r="U1574" t="s">
        <v>45</v>
      </c>
      <c r="V1574" t="s">
        <v>46</v>
      </c>
      <c r="W1574" t="s">
        <v>23</v>
      </c>
    </row>
    <row r="1575" spans="1:23" x14ac:dyDescent="0.3">
      <c r="A1575" t="s">
        <v>3272</v>
      </c>
      <c r="B1575" t="s">
        <v>229</v>
      </c>
      <c r="C1575" t="s">
        <v>124</v>
      </c>
      <c r="D1575" t="s">
        <v>63</v>
      </c>
      <c r="E1575" t="s">
        <v>5135</v>
      </c>
      <c r="F1575" t="s">
        <v>5133</v>
      </c>
      <c r="G1575" t="s">
        <v>41</v>
      </c>
      <c r="H1575" t="s">
        <v>66</v>
      </c>
      <c r="I1575" t="str">
        <f>LEFT(H1575,FIND(" (",H1575)-1)</f>
        <v>Senior</v>
      </c>
      <c r="J1575" t="str">
        <f>MID(H1575,FIND("(",H1575)+1,FIND(")",H1575)-FIND("(",H1575)-1)</f>
        <v>5-8 yrs</v>
      </c>
      <c r="L1575">
        <v>113372</v>
      </c>
      <c r="M1575" t="s">
        <v>3273</v>
      </c>
      <c r="N1575" t="s">
        <v>186</v>
      </c>
      <c r="O1575" t="s">
        <v>79</v>
      </c>
      <c r="P1575" s="1">
        <v>45487</v>
      </c>
      <c r="Q1575">
        <v>2299</v>
      </c>
      <c r="R1575">
        <v>651</v>
      </c>
      <c r="S1575" t="s">
        <v>23</v>
      </c>
      <c r="T1575">
        <v>4</v>
      </c>
      <c r="U1575" t="s">
        <v>83</v>
      </c>
      <c r="V1575" t="s">
        <v>24</v>
      </c>
      <c r="W1575" t="s">
        <v>23</v>
      </c>
    </row>
    <row r="1576" spans="1:23" x14ac:dyDescent="0.3">
      <c r="A1576" t="s">
        <v>3274</v>
      </c>
      <c r="B1576" t="s">
        <v>81</v>
      </c>
      <c r="C1576" t="s">
        <v>107</v>
      </c>
      <c r="D1576" t="s">
        <v>15</v>
      </c>
      <c r="E1576" t="s">
        <v>64</v>
      </c>
      <c r="F1576" t="s">
        <v>65</v>
      </c>
      <c r="G1576" t="s">
        <v>41</v>
      </c>
      <c r="H1576" t="s">
        <v>31</v>
      </c>
      <c r="I1576" t="str">
        <f>LEFT(H1576,FIND(" (",H1576)-1)</f>
        <v>Staff/Principal</v>
      </c>
      <c r="J1576" t="str">
        <f>MID(H1576,FIND("(",H1576)+1,FIND(")",H1576)-FIND("(",H1576)-1)</f>
        <v>8+ yrs</v>
      </c>
      <c r="L1576">
        <v>216791</v>
      </c>
      <c r="M1576" t="s">
        <v>3275</v>
      </c>
      <c r="N1576" t="s">
        <v>245</v>
      </c>
      <c r="O1576" t="s">
        <v>79</v>
      </c>
      <c r="P1576" s="1">
        <v>45526</v>
      </c>
      <c r="Q1576">
        <v>1209</v>
      </c>
      <c r="R1576">
        <v>213</v>
      </c>
      <c r="S1576" t="s">
        <v>23</v>
      </c>
      <c r="T1576">
        <v>6</v>
      </c>
      <c r="U1576" t="s">
        <v>83</v>
      </c>
      <c r="V1576" t="s">
        <v>24</v>
      </c>
      <c r="W1576" t="s">
        <v>23</v>
      </c>
    </row>
    <row r="1577" spans="1:23" x14ac:dyDescent="0.3">
      <c r="A1577" t="s">
        <v>3276</v>
      </c>
      <c r="B1577" t="s">
        <v>85</v>
      </c>
      <c r="C1577" t="s">
        <v>173</v>
      </c>
      <c r="D1577" t="s">
        <v>147</v>
      </c>
      <c r="E1577" t="s">
        <v>5137</v>
      </c>
      <c r="F1577" t="s">
        <v>5138</v>
      </c>
      <c r="G1577" t="s">
        <v>41</v>
      </c>
      <c r="H1577" t="s">
        <v>66</v>
      </c>
      <c r="I1577" t="str">
        <f>LEFT(H1577,FIND(" (",H1577)-1)</f>
        <v>Senior</v>
      </c>
      <c r="J1577" t="str">
        <f>MID(H1577,FIND("(",H1577)+1,FIND(")",H1577)-FIND("(",H1577)-1)</f>
        <v>5-8 yrs</v>
      </c>
      <c r="L1577">
        <v>149037</v>
      </c>
      <c r="M1577" t="s">
        <v>3277</v>
      </c>
      <c r="N1577" t="s">
        <v>33</v>
      </c>
      <c r="O1577" t="s">
        <v>51</v>
      </c>
      <c r="P1577" s="1">
        <v>45469</v>
      </c>
      <c r="Q1577">
        <v>444</v>
      </c>
      <c r="R1577">
        <v>3875</v>
      </c>
      <c r="S1577" t="s">
        <v>23</v>
      </c>
      <c r="T1577">
        <v>4</v>
      </c>
      <c r="U1577" t="s">
        <v>83</v>
      </c>
      <c r="V1577" t="s">
        <v>24</v>
      </c>
      <c r="W1577" t="s">
        <v>34</v>
      </c>
    </row>
    <row r="1578" spans="1:23" x14ac:dyDescent="0.3">
      <c r="A1578" t="s">
        <v>3278</v>
      </c>
      <c r="B1578" t="s">
        <v>225</v>
      </c>
      <c r="C1578" t="s">
        <v>226</v>
      </c>
      <c r="D1578" t="s">
        <v>111</v>
      </c>
      <c r="E1578" t="s">
        <v>133</v>
      </c>
      <c r="F1578" t="s">
        <v>134</v>
      </c>
      <c r="G1578" t="s">
        <v>18</v>
      </c>
      <c r="H1578" t="s">
        <v>19</v>
      </c>
      <c r="I1578" t="str">
        <f>LEFT(H1578,FIND(" (",H1578)-1)</f>
        <v>Entry</v>
      </c>
      <c r="J1578" t="str">
        <f>MID(H1578,FIND("(",H1578)+1,FIND(")",H1578)-FIND("(",H1578)-1)</f>
        <v>0-2 yrs</v>
      </c>
      <c r="L1578">
        <v>50000</v>
      </c>
      <c r="M1578" t="s">
        <v>3279</v>
      </c>
      <c r="N1578" t="s">
        <v>186</v>
      </c>
      <c r="O1578" t="s">
        <v>44</v>
      </c>
      <c r="P1578" s="1">
        <v>45543</v>
      </c>
      <c r="Q1578">
        <v>1947</v>
      </c>
      <c r="R1578">
        <v>858</v>
      </c>
      <c r="S1578" t="s">
        <v>99</v>
      </c>
      <c r="T1578">
        <v>0</v>
      </c>
      <c r="U1578" t="s">
        <v>52</v>
      </c>
      <c r="V1578" t="s">
        <v>46</v>
      </c>
      <c r="W1578" t="s">
        <v>34</v>
      </c>
    </row>
    <row r="1579" spans="1:23" x14ac:dyDescent="0.3">
      <c r="A1579" t="s">
        <v>3280</v>
      </c>
      <c r="B1579" t="s">
        <v>229</v>
      </c>
      <c r="C1579" t="s">
        <v>14</v>
      </c>
      <c r="D1579" t="s">
        <v>174</v>
      </c>
      <c r="E1579" t="s">
        <v>87</v>
      </c>
      <c r="F1579" t="s">
        <v>87</v>
      </c>
      <c r="G1579" t="s">
        <v>41</v>
      </c>
      <c r="H1579" t="s">
        <v>31</v>
      </c>
      <c r="I1579" t="str">
        <f>LEFT(H1579,FIND(" (",H1579)-1)</f>
        <v>Staff/Principal</v>
      </c>
      <c r="J1579" t="str">
        <f>MID(H1579,FIND("(",H1579)+1,FIND(")",H1579)-FIND("(",H1579)-1)</f>
        <v>8+ yrs</v>
      </c>
      <c r="L1579">
        <v>241930</v>
      </c>
      <c r="M1579" t="s">
        <v>3281</v>
      </c>
      <c r="N1579" t="s">
        <v>43</v>
      </c>
      <c r="O1579" t="s">
        <v>44</v>
      </c>
      <c r="P1579" s="1">
        <v>45367</v>
      </c>
      <c r="Q1579">
        <v>1176</v>
      </c>
      <c r="R1579">
        <v>993</v>
      </c>
      <c r="S1579" t="s">
        <v>23</v>
      </c>
      <c r="T1579">
        <v>6</v>
      </c>
      <c r="U1579" t="s">
        <v>58</v>
      </c>
      <c r="V1579" t="s">
        <v>24</v>
      </c>
      <c r="W1579" t="s">
        <v>34</v>
      </c>
    </row>
    <row r="1580" spans="1:23" x14ac:dyDescent="0.3">
      <c r="A1580" t="s">
        <v>3282</v>
      </c>
      <c r="B1580" t="s">
        <v>106</v>
      </c>
      <c r="C1580" t="s">
        <v>192</v>
      </c>
      <c r="D1580" t="s">
        <v>125</v>
      </c>
      <c r="E1580" t="s">
        <v>5134</v>
      </c>
      <c r="F1580" t="s">
        <v>5133</v>
      </c>
      <c r="G1580" t="s">
        <v>41</v>
      </c>
      <c r="H1580" t="s">
        <v>19</v>
      </c>
      <c r="I1580" t="str">
        <f>LEFT(H1580,FIND(" (",H1580)-1)</f>
        <v>Entry</v>
      </c>
      <c r="J1580" t="str">
        <f>MID(H1580,FIND("(",H1580)+1,FIND(")",H1580)-FIND("(",H1580)-1)</f>
        <v>0-2 yrs</v>
      </c>
      <c r="L1580">
        <v>60744</v>
      </c>
      <c r="M1580" t="s">
        <v>3283</v>
      </c>
      <c r="N1580" t="s">
        <v>94</v>
      </c>
      <c r="O1580" t="s">
        <v>22</v>
      </c>
      <c r="P1580" s="1">
        <v>45577</v>
      </c>
      <c r="Q1580">
        <v>723</v>
      </c>
      <c r="R1580">
        <v>598</v>
      </c>
      <c r="S1580" t="s">
        <v>23</v>
      </c>
      <c r="T1580">
        <v>0</v>
      </c>
      <c r="U1580" t="s">
        <v>5123</v>
      </c>
      <c r="V1580" t="s">
        <v>24</v>
      </c>
      <c r="W1580" t="s">
        <v>34</v>
      </c>
    </row>
    <row r="1581" spans="1:23" x14ac:dyDescent="0.3">
      <c r="A1581" t="s">
        <v>3284</v>
      </c>
      <c r="B1581" t="s">
        <v>81</v>
      </c>
      <c r="C1581" t="s">
        <v>48</v>
      </c>
      <c r="D1581" t="s">
        <v>111</v>
      </c>
      <c r="E1581" t="s">
        <v>5132</v>
      </c>
      <c r="F1581" t="s">
        <v>5133</v>
      </c>
      <c r="G1581" t="s">
        <v>18</v>
      </c>
      <c r="H1581" t="s">
        <v>66</v>
      </c>
      <c r="I1581" t="str">
        <f>LEFT(H1581,FIND(" (",H1581)-1)</f>
        <v>Senior</v>
      </c>
      <c r="J1581" t="str">
        <f>MID(H1581,FIND("(",H1581)+1,FIND(")",H1581)-FIND("(",H1581)-1)</f>
        <v>5-8 yrs</v>
      </c>
      <c r="L1581">
        <v>128123</v>
      </c>
      <c r="M1581" t="s">
        <v>3285</v>
      </c>
      <c r="N1581" t="s">
        <v>33</v>
      </c>
      <c r="O1581" t="s">
        <v>51</v>
      </c>
      <c r="P1581" s="1">
        <v>45321</v>
      </c>
      <c r="Q1581">
        <v>1155</v>
      </c>
      <c r="R1581">
        <v>2336</v>
      </c>
      <c r="S1581" t="s">
        <v>23</v>
      </c>
      <c r="T1581">
        <v>4</v>
      </c>
      <c r="U1581" t="s">
        <v>58</v>
      </c>
      <c r="V1581" t="s">
        <v>24</v>
      </c>
      <c r="W1581" t="s">
        <v>34</v>
      </c>
    </row>
    <row r="1582" spans="1:23" x14ac:dyDescent="0.3">
      <c r="A1582" t="s">
        <v>3286</v>
      </c>
      <c r="B1582" t="s">
        <v>131</v>
      </c>
      <c r="C1582" t="s">
        <v>71</v>
      </c>
      <c r="D1582" t="s">
        <v>15</v>
      </c>
      <c r="E1582" t="s">
        <v>64</v>
      </c>
      <c r="F1582" t="s">
        <v>65</v>
      </c>
      <c r="G1582" t="s">
        <v>18</v>
      </c>
      <c r="H1582" t="s">
        <v>31</v>
      </c>
      <c r="I1582" t="str">
        <f>LEFT(H1582,FIND(" (",H1582)-1)</f>
        <v>Staff/Principal</v>
      </c>
      <c r="J1582" t="str">
        <f>MID(H1582,FIND("(",H1582)+1,FIND(")",H1582)-FIND("(",H1582)-1)</f>
        <v>8+ yrs</v>
      </c>
      <c r="L1582">
        <v>207220</v>
      </c>
      <c r="M1582" t="s">
        <v>3287</v>
      </c>
      <c r="N1582" t="s">
        <v>245</v>
      </c>
      <c r="O1582" t="s">
        <v>22</v>
      </c>
      <c r="P1582" s="1">
        <v>45341</v>
      </c>
      <c r="Q1582">
        <v>625</v>
      </c>
      <c r="R1582">
        <v>1202</v>
      </c>
      <c r="S1582" t="s">
        <v>34</v>
      </c>
      <c r="T1582">
        <v>6</v>
      </c>
      <c r="U1582" t="s">
        <v>52</v>
      </c>
      <c r="V1582" t="s">
        <v>24</v>
      </c>
      <c r="W1582" t="s">
        <v>23</v>
      </c>
    </row>
    <row r="1583" spans="1:23" x14ac:dyDescent="0.3">
      <c r="A1583" t="s">
        <v>3288</v>
      </c>
      <c r="B1583" t="s">
        <v>91</v>
      </c>
      <c r="C1583" t="s">
        <v>14</v>
      </c>
      <c r="D1583" t="s">
        <v>147</v>
      </c>
      <c r="E1583" t="s">
        <v>159</v>
      </c>
      <c r="F1583" t="s">
        <v>160</v>
      </c>
      <c r="G1583" t="s">
        <v>41</v>
      </c>
      <c r="H1583" t="s">
        <v>19</v>
      </c>
      <c r="I1583" t="str">
        <f>LEFT(H1583,FIND(" (",H1583)-1)</f>
        <v>Entry</v>
      </c>
      <c r="J1583" t="str">
        <f>MID(H1583,FIND("(",H1583)+1,FIND(")",H1583)-FIND("(",H1583)-1)</f>
        <v>0-2 yrs</v>
      </c>
      <c r="L1583">
        <v>84472</v>
      </c>
      <c r="M1583" t="s">
        <v>3289</v>
      </c>
      <c r="N1583" t="s">
        <v>120</v>
      </c>
      <c r="O1583" t="s">
        <v>22</v>
      </c>
      <c r="P1583" s="1">
        <v>45657</v>
      </c>
      <c r="Q1583">
        <v>2333</v>
      </c>
      <c r="R1583">
        <v>2849</v>
      </c>
      <c r="S1583" t="s">
        <v>34</v>
      </c>
      <c r="T1583">
        <v>0</v>
      </c>
      <c r="U1583" t="s">
        <v>5123</v>
      </c>
      <c r="V1583" t="s">
        <v>24</v>
      </c>
      <c r="W1583" t="s">
        <v>23</v>
      </c>
    </row>
    <row r="1584" spans="1:23" x14ac:dyDescent="0.3">
      <c r="A1584" t="s">
        <v>3290</v>
      </c>
      <c r="B1584" t="s">
        <v>222</v>
      </c>
      <c r="C1584" t="s">
        <v>209</v>
      </c>
      <c r="D1584" t="s">
        <v>38</v>
      </c>
      <c r="E1584" t="s">
        <v>5132</v>
      </c>
      <c r="F1584" t="s">
        <v>5133</v>
      </c>
      <c r="G1584" t="s">
        <v>18</v>
      </c>
      <c r="H1584" t="s">
        <v>56</v>
      </c>
      <c r="I1584" t="str">
        <f>LEFT(H1584,FIND(" (",H1584)-1)</f>
        <v>Mid</v>
      </c>
      <c r="J1584" t="str">
        <f>MID(H1584,FIND("(",H1584)+1,FIND(")",H1584)-FIND("(",H1584)-1)</f>
        <v>2-5 yrs</v>
      </c>
      <c r="L1584">
        <v>89886</v>
      </c>
      <c r="M1584" t="s">
        <v>3291</v>
      </c>
      <c r="N1584" t="s">
        <v>186</v>
      </c>
      <c r="O1584" t="s">
        <v>44</v>
      </c>
      <c r="P1584" s="1">
        <v>45690</v>
      </c>
      <c r="Q1584">
        <v>1475</v>
      </c>
      <c r="R1584">
        <v>169</v>
      </c>
      <c r="S1584" t="s">
        <v>23</v>
      </c>
      <c r="T1584">
        <v>2</v>
      </c>
      <c r="U1584" t="s">
        <v>58</v>
      </c>
      <c r="V1584" t="s">
        <v>24</v>
      </c>
      <c r="W1584" t="s">
        <v>23</v>
      </c>
    </row>
    <row r="1585" spans="1:23" x14ac:dyDescent="0.3">
      <c r="A1585" t="s">
        <v>3292</v>
      </c>
      <c r="B1585" t="s">
        <v>13</v>
      </c>
      <c r="C1585" t="s">
        <v>86</v>
      </c>
      <c r="D1585" t="s">
        <v>15</v>
      </c>
      <c r="E1585" t="s">
        <v>5141</v>
      </c>
      <c r="F1585" t="s">
        <v>5133</v>
      </c>
      <c r="G1585" t="s">
        <v>18</v>
      </c>
      <c r="H1585" t="s">
        <v>56</v>
      </c>
      <c r="I1585" t="str">
        <f>LEFT(H1585,FIND(" (",H1585)-1)</f>
        <v>Mid</v>
      </c>
      <c r="J1585" t="str">
        <f>MID(H1585,FIND("(",H1585)+1,FIND(")",H1585)-FIND("(",H1585)-1)</f>
        <v>2-5 yrs</v>
      </c>
      <c r="L1585">
        <v>111221</v>
      </c>
      <c r="M1585" t="s">
        <v>3293</v>
      </c>
      <c r="N1585" t="s">
        <v>94</v>
      </c>
      <c r="O1585" t="s">
        <v>51</v>
      </c>
      <c r="P1585" s="1">
        <v>45480</v>
      </c>
      <c r="Q1585">
        <v>1990</v>
      </c>
      <c r="R1585">
        <v>1658</v>
      </c>
      <c r="S1585" t="s">
        <v>23</v>
      </c>
      <c r="T1585">
        <v>2</v>
      </c>
      <c r="U1585" t="s">
        <v>83</v>
      </c>
      <c r="V1585" t="s">
        <v>59</v>
      </c>
      <c r="W1585" t="s">
        <v>23</v>
      </c>
    </row>
    <row r="1586" spans="1:23" x14ac:dyDescent="0.3">
      <c r="A1586" t="s">
        <v>3294</v>
      </c>
      <c r="B1586" t="s">
        <v>106</v>
      </c>
      <c r="C1586" t="s">
        <v>14</v>
      </c>
      <c r="D1586" t="s">
        <v>49</v>
      </c>
      <c r="E1586" t="s">
        <v>159</v>
      </c>
      <c r="F1586" t="s">
        <v>160</v>
      </c>
      <c r="G1586" t="s">
        <v>41</v>
      </c>
      <c r="H1586" t="s">
        <v>56</v>
      </c>
      <c r="I1586" t="str">
        <f>LEFT(H1586,FIND(" (",H1586)-1)</f>
        <v>Mid</v>
      </c>
      <c r="J1586" t="str">
        <f>MID(H1586,FIND("(",H1586)+1,FIND(")",H1586)-FIND("(",H1586)-1)</f>
        <v>2-5 yrs</v>
      </c>
      <c r="L1586">
        <v>118490</v>
      </c>
      <c r="M1586" t="s">
        <v>3295</v>
      </c>
      <c r="N1586" t="s">
        <v>245</v>
      </c>
      <c r="O1586" t="s">
        <v>51</v>
      </c>
      <c r="P1586" s="1">
        <v>45442</v>
      </c>
      <c r="Q1586">
        <v>2240</v>
      </c>
      <c r="R1586">
        <v>1611</v>
      </c>
      <c r="S1586" t="s">
        <v>23</v>
      </c>
      <c r="T1586">
        <v>2</v>
      </c>
      <c r="U1586" t="s">
        <v>83</v>
      </c>
      <c r="V1586" t="s">
        <v>59</v>
      </c>
      <c r="W1586" t="s">
        <v>23</v>
      </c>
    </row>
    <row r="1587" spans="1:23" x14ac:dyDescent="0.3">
      <c r="A1587" t="s">
        <v>3296</v>
      </c>
      <c r="B1587" t="s">
        <v>81</v>
      </c>
      <c r="C1587" t="s">
        <v>74</v>
      </c>
      <c r="D1587" t="s">
        <v>147</v>
      </c>
      <c r="E1587" t="s">
        <v>230</v>
      </c>
      <c r="F1587" t="s">
        <v>231</v>
      </c>
      <c r="G1587" t="s">
        <v>18</v>
      </c>
      <c r="H1587" t="s">
        <v>66</v>
      </c>
      <c r="I1587" t="str">
        <f>LEFT(H1587,FIND(" (",H1587)-1)</f>
        <v>Senior</v>
      </c>
      <c r="J1587" t="str">
        <f>MID(H1587,FIND("(",H1587)+1,FIND(")",H1587)-FIND("(",H1587)-1)</f>
        <v>5-8 yrs</v>
      </c>
      <c r="L1587">
        <v>168713</v>
      </c>
      <c r="M1587" t="s">
        <v>3297</v>
      </c>
      <c r="N1587" t="s">
        <v>94</v>
      </c>
      <c r="O1587" t="s">
        <v>22</v>
      </c>
      <c r="P1587" s="1">
        <v>45366</v>
      </c>
      <c r="Q1587">
        <v>588</v>
      </c>
      <c r="R1587">
        <v>1010</v>
      </c>
      <c r="S1587" t="s">
        <v>99</v>
      </c>
      <c r="T1587">
        <v>4</v>
      </c>
      <c r="U1587" t="s">
        <v>52</v>
      </c>
      <c r="V1587" t="s">
        <v>24</v>
      </c>
      <c r="W1587" t="s">
        <v>34</v>
      </c>
    </row>
    <row r="1588" spans="1:23" x14ac:dyDescent="0.3">
      <c r="A1588" t="s">
        <v>3298</v>
      </c>
      <c r="B1588" t="s">
        <v>229</v>
      </c>
      <c r="C1588" t="s">
        <v>97</v>
      </c>
      <c r="D1588" t="s">
        <v>111</v>
      </c>
      <c r="E1588" t="s">
        <v>5136</v>
      </c>
      <c r="F1588" t="s">
        <v>5133</v>
      </c>
      <c r="G1588" t="s">
        <v>55</v>
      </c>
      <c r="H1588" t="s">
        <v>56</v>
      </c>
      <c r="I1588" t="str">
        <f>LEFT(H1588,FIND(" (",H1588)-1)</f>
        <v>Mid</v>
      </c>
      <c r="J1588" t="str">
        <f>MID(H1588,FIND("(",H1588)+1,FIND(")",H1588)-FIND("(",H1588)-1)</f>
        <v>2-5 yrs</v>
      </c>
      <c r="L1588">
        <v>113493</v>
      </c>
      <c r="M1588" t="s">
        <v>3299</v>
      </c>
      <c r="N1588" t="s">
        <v>141</v>
      </c>
      <c r="O1588" t="s">
        <v>44</v>
      </c>
      <c r="P1588" s="1">
        <v>45738</v>
      </c>
      <c r="Q1588">
        <v>1379</v>
      </c>
      <c r="R1588">
        <v>3237</v>
      </c>
      <c r="S1588" t="s">
        <v>34</v>
      </c>
      <c r="T1588">
        <v>2</v>
      </c>
      <c r="U1588" t="s">
        <v>52</v>
      </c>
      <c r="V1588" t="s">
        <v>24</v>
      </c>
      <c r="W1588" t="s">
        <v>34</v>
      </c>
    </row>
    <row r="1589" spans="1:23" x14ac:dyDescent="0.3">
      <c r="A1589" t="s">
        <v>3300</v>
      </c>
      <c r="B1589" t="s">
        <v>137</v>
      </c>
      <c r="C1589" t="s">
        <v>101</v>
      </c>
      <c r="D1589" t="s">
        <v>49</v>
      </c>
      <c r="E1589" t="s">
        <v>5140</v>
      </c>
      <c r="F1589" t="s">
        <v>5133</v>
      </c>
      <c r="G1589" t="s">
        <v>18</v>
      </c>
      <c r="H1589" t="s">
        <v>19</v>
      </c>
      <c r="I1589" t="str">
        <f>LEFT(H1589,FIND(" (",H1589)-1)</f>
        <v>Entry</v>
      </c>
      <c r="J1589" t="str">
        <f>MID(H1589,FIND("(",H1589)+1,FIND(")",H1589)-FIND("(",H1589)-1)</f>
        <v>0-2 yrs</v>
      </c>
      <c r="L1589">
        <v>65375</v>
      </c>
      <c r="M1589" t="s">
        <v>3301</v>
      </c>
      <c r="N1589" t="s">
        <v>33</v>
      </c>
      <c r="O1589" t="s">
        <v>44</v>
      </c>
      <c r="P1589" s="1">
        <v>45692</v>
      </c>
      <c r="Q1589">
        <v>812</v>
      </c>
      <c r="R1589">
        <v>3014</v>
      </c>
      <c r="S1589" t="s">
        <v>23</v>
      </c>
      <c r="T1589">
        <v>0</v>
      </c>
      <c r="U1589" t="s">
        <v>58</v>
      </c>
      <c r="V1589" t="s">
        <v>46</v>
      </c>
      <c r="W1589" t="s">
        <v>23</v>
      </c>
    </row>
    <row r="1590" spans="1:23" x14ac:dyDescent="0.3">
      <c r="A1590" t="s">
        <v>3302</v>
      </c>
      <c r="B1590" t="s">
        <v>61</v>
      </c>
      <c r="C1590" t="s">
        <v>110</v>
      </c>
      <c r="D1590" t="s">
        <v>38</v>
      </c>
      <c r="E1590" t="s">
        <v>159</v>
      </c>
      <c r="F1590" t="s">
        <v>160</v>
      </c>
      <c r="G1590" t="s">
        <v>18</v>
      </c>
      <c r="H1590" t="s">
        <v>66</v>
      </c>
      <c r="I1590" t="str">
        <f>LEFT(H1590,FIND(" (",H1590)-1)</f>
        <v>Senior</v>
      </c>
      <c r="J1590" t="str">
        <f>MID(H1590,FIND("(",H1590)+1,FIND(")",H1590)-FIND("(",H1590)-1)</f>
        <v>5-8 yrs</v>
      </c>
      <c r="L1590">
        <v>127655</v>
      </c>
      <c r="M1590" t="s">
        <v>3303</v>
      </c>
      <c r="N1590" t="s">
        <v>120</v>
      </c>
      <c r="O1590" t="s">
        <v>44</v>
      </c>
      <c r="P1590" s="1">
        <v>45574</v>
      </c>
      <c r="Q1590">
        <v>2412</v>
      </c>
      <c r="R1590">
        <v>434</v>
      </c>
      <c r="S1590" t="s">
        <v>34</v>
      </c>
      <c r="T1590">
        <v>4</v>
      </c>
      <c r="U1590" t="s">
        <v>83</v>
      </c>
      <c r="V1590" t="s">
        <v>24</v>
      </c>
      <c r="W1590" t="s">
        <v>34</v>
      </c>
    </row>
    <row r="1591" spans="1:23" x14ac:dyDescent="0.3">
      <c r="A1591" t="s">
        <v>3304</v>
      </c>
      <c r="B1591" t="s">
        <v>236</v>
      </c>
      <c r="C1591" t="s">
        <v>179</v>
      </c>
      <c r="D1591" t="s">
        <v>28</v>
      </c>
      <c r="E1591" t="s">
        <v>29</v>
      </c>
      <c r="F1591" t="s">
        <v>30</v>
      </c>
      <c r="G1591" t="s">
        <v>18</v>
      </c>
      <c r="H1591" t="s">
        <v>19</v>
      </c>
      <c r="I1591" t="str">
        <f>LEFT(H1591,FIND(" (",H1591)-1)</f>
        <v>Entry</v>
      </c>
      <c r="J1591" t="str">
        <f>MID(H1591,FIND("(",H1591)+1,FIND(")",H1591)-FIND("(",H1591)-1)</f>
        <v>0-2 yrs</v>
      </c>
      <c r="L1591">
        <v>71085</v>
      </c>
      <c r="M1591" t="s">
        <v>3305</v>
      </c>
      <c r="N1591" t="s">
        <v>33</v>
      </c>
      <c r="O1591" t="s">
        <v>51</v>
      </c>
      <c r="P1591" s="1">
        <v>45617</v>
      </c>
      <c r="Q1591">
        <v>2357</v>
      </c>
      <c r="R1591">
        <v>1489</v>
      </c>
      <c r="S1591" t="s">
        <v>23</v>
      </c>
      <c r="T1591">
        <v>0</v>
      </c>
      <c r="U1591" t="s">
        <v>83</v>
      </c>
      <c r="V1591" t="s">
        <v>59</v>
      </c>
      <c r="W1591" t="s">
        <v>23</v>
      </c>
    </row>
    <row r="1592" spans="1:23" x14ac:dyDescent="0.3">
      <c r="A1592" t="s">
        <v>3306</v>
      </c>
      <c r="B1592" t="s">
        <v>137</v>
      </c>
      <c r="C1592" t="s">
        <v>71</v>
      </c>
      <c r="D1592" t="s">
        <v>147</v>
      </c>
      <c r="E1592" t="s">
        <v>5137</v>
      </c>
      <c r="F1592" t="s">
        <v>5138</v>
      </c>
      <c r="G1592" t="s">
        <v>18</v>
      </c>
      <c r="H1592" t="s">
        <v>31</v>
      </c>
      <c r="I1592" t="str">
        <f>LEFT(H1592,FIND(" (",H1592)-1)</f>
        <v>Staff/Principal</v>
      </c>
      <c r="J1592" t="str">
        <f>MID(H1592,FIND("(",H1592)+1,FIND(")",H1592)-FIND("(",H1592)-1)</f>
        <v>8+ yrs</v>
      </c>
      <c r="L1592">
        <v>161402</v>
      </c>
      <c r="M1592" t="s">
        <v>3307</v>
      </c>
      <c r="N1592" t="s">
        <v>43</v>
      </c>
      <c r="O1592" t="s">
        <v>22</v>
      </c>
      <c r="P1592" s="1">
        <v>45710</v>
      </c>
      <c r="Q1592">
        <v>2240</v>
      </c>
      <c r="R1592">
        <v>522</v>
      </c>
      <c r="S1592" t="s">
        <v>99</v>
      </c>
      <c r="T1592">
        <v>6</v>
      </c>
      <c r="U1592" t="s">
        <v>52</v>
      </c>
      <c r="V1592" t="s">
        <v>24</v>
      </c>
      <c r="W1592" t="s">
        <v>23</v>
      </c>
    </row>
    <row r="1593" spans="1:23" x14ac:dyDescent="0.3">
      <c r="A1593" t="s">
        <v>3308</v>
      </c>
      <c r="B1593" t="s">
        <v>96</v>
      </c>
      <c r="C1593" t="s">
        <v>146</v>
      </c>
      <c r="D1593" t="s">
        <v>28</v>
      </c>
      <c r="E1593" t="s">
        <v>5135</v>
      </c>
      <c r="F1593" t="s">
        <v>5133</v>
      </c>
      <c r="G1593" t="s">
        <v>41</v>
      </c>
      <c r="H1593" t="s">
        <v>66</v>
      </c>
      <c r="I1593" t="str">
        <f>LEFT(H1593,FIND(" (",H1593)-1)</f>
        <v>Senior</v>
      </c>
      <c r="J1593" t="str">
        <f>MID(H1593,FIND("(",H1593)+1,FIND(")",H1593)-FIND("(",H1593)-1)</f>
        <v>5-8 yrs</v>
      </c>
      <c r="L1593">
        <v>71123</v>
      </c>
      <c r="M1593" t="s">
        <v>3309</v>
      </c>
      <c r="N1593" t="s">
        <v>33</v>
      </c>
      <c r="O1593" t="s">
        <v>22</v>
      </c>
      <c r="P1593" s="1">
        <v>45429</v>
      </c>
      <c r="Q1593">
        <v>2451</v>
      </c>
      <c r="R1593">
        <v>1852</v>
      </c>
      <c r="S1593" t="s">
        <v>34</v>
      </c>
      <c r="T1593">
        <v>4</v>
      </c>
      <c r="U1593" t="s">
        <v>52</v>
      </c>
      <c r="V1593" t="s">
        <v>24</v>
      </c>
      <c r="W1593" t="s">
        <v>34</v>
      </c>
    </row>
    <row r="1594" spans="1:23" x14ac:dyDescent="0.3">
      <c r="A1594" t="s">
        <v>3310</v>
      </c>
      <c r="B1594" t="s">
        <v>91</v>
      </c>
      <c r="C1594" t="s">
        <v>226</v>
      </c>
      <c r="D1594" t="s">
        <v>38</v>
      </c>
      <c r="E1594" t="s">
        <v>216</v>
      </c>
      <c r="F1594" t="s">
        <v>217</v>
      </c>
      <c r="G1594" t="s">
        <v>18</v>
      </c>
      <c r="H1594" t="s">
        <v>31</v>
      </c>
      <c r="I1594" t="str">
        <f>LEFT(H1594,FIND(" (",H1594)-1)</f>
        <v>Staff/Principal</v>
      </c>
      <c r="J1594" t="str">
        <f>MID(H1594,FIND("(",H1594)+1,FIND(")",H1594)-FIND("(",H1594)-1)</f>
        <v>8+ yrs</v>
      </c>
      <c r="L1594">
        <v>215716</v>
      </c>
      <c r="M1594" t="s">
        <v>3311</v>
      </c>
      <c r="N1594" t="s">
        <v>89</v>
      </c>
      <c r="O1594" t="s">
        <v>79</v>
      </c>
      <c r="P1594" s="1">
        <v>45387</v>
      </c>
      <c r="Q1594">
        <v>486</v>
      </c>
      <c r="R1594">
        <v>1434</v>
      </c>
      <c r="S1594" t="s">
        <v>23</v>
      </c>
      <c r="T1594">
        <v>6</v>
      </c>
      <c r="U1594" t="s">
        <v>58</v>
      </c>
      <c r="V1594" t="s">
        <v>24</v>
      </c>
      <c r="W1594" t="s">
        <v>23</v>
      </c>
    </row>
    <row r="1595" spans="1:23" x14ac:dyDescent="0.3">
      <c r="A1595" t="s">
        <v>3312</v>
      </c>
      <c r="B1595" t="s">
        <v>229</v>
      </c>
      <c r="C1595" t="s">
        <v>132</v>
      </c>
      <c r="D1595" t="s">
        <v>147</v>
      </c>
      <c r="E1595" t="s">
        <v>5140</v>
      </c>
      <c r="F1595" t="s">
        <v>5133</v>
      </c>
      <c r="G1595" t="s">
        <v>55</v>
      </c>
      <c r="H1595" t="s">
        <v>19</v>
      </c>
      <c r="I1595" t="str">
        <f>LEFT(H1595,FIND(" (",H1595)-1)</f>
        <v>Entry</v>
      </c>
      <c r="J1595" t="str">
        <f>MID(H1595,FIND("(",H1595)+1,FIND(")",H1595)-FIND("(",H1595)-1)</f>
        <v>0-2 yrs</v>
      </c>
      <c r="L1595">
        <v>81389</v>
      </c>
      <c r="M1595" t="s">
        <v>3313</v>
      </c>
      <c r="N1595" t="s">
        <v>141</v>
      </c>
      <c r="O1595" t="s">
        <v>79</v>
      </c>
      <c r="P1595" s="1">
        <v>45600</v>
      </c>
      <c r="Q1595">
        <v>387</v>
      </c>
      <c r="R1595">
        <v>261</v>
      </c>
      <c r="S1595" t="s">
        <v>23</v>
      </c>
      <c r="T1595">
        <v>0</v>
      </c>
      <c r="U1595" t="s">
        <v>45</v>
      </c>
      <c r="V1595" t="s">
        <v>46</v>
      </c>
      <c r="W1595" t="s">
        <v>34</v>
      </c>
    </row>
    <row r="1596" spans="1:23" x14ac:dyDescent="0.3">
      <c r="A1596" t="s">
        <v>3314</v>
      </c>
      <c r="B1596" t="s">
        <v>85</v>
      </c>
      <c r="C1596" t="s">
        <v>86</v>
      </c>
      <c r="D1596" t="s">
        <v>38</v>
      </c>
      <c r="E1596" t="s">
        <v>133</v>
      </c>
      <c r="F1596" t="s">
        <v>134</v>
      </c>
      <c r="G1596" t="s">
        <v>18</v>
      </c>
      <c r="H1596" t="s">
        <v>66</v>
      </c>
      <c r="I1596" t="str">
        <f>LEFT(H1596,FIND(" (",H1596)-1)</f>
        <v>Senior</v>
      </c>
      <c r="J1596" t="str">
        <f>MID(H1596,FIND("(",H1596)+1,FIND(")",H1596)-FIND("(",H1596)-1)</f>
        <v>5-8 yrs</v>
      </c>
      <c r="L1596">
        <v>86200</v>
      </c>
      <c r="M1596" t="s">
        <v>3315</v>
      </c>
      <c r="N1596" t="s">
        <v>186</v>
      </c>
      <c r="O1596" t="s">
        <v>51</v>
      </c>
      <c r="P1596" s="1">
        <v>45617</v>
      </c>
      <c r="Q1596">
        <v>736</v>
      </c>
      <c r="R1596">
        <v>113</v>
      </c>
      <c r="S1596" t="s">
        <v>99</v>
      </c>
      <c r="T1596">
        <v>4</v>
      </c>
      <c r="U1596" t="s">
        <v>58</v>
      </c>
      <c r="V1596" t="s">
        <v>59</v>
      </c>
      <c r="W1596" t="s">
        <v>34</v>
      </c>
    </row>
    <row r="1597" spans="1:23" x14ac:dyDescent="0.3">
      <c r="A1597" t="s">
        <v>3316</v>
      </c>
      <c r="B1597" t="s">
        <v>70</v>
      </c>
      <c r="C1597" t="s">
        <v>195</v>
      </c>
      <c r="D1597" t="s">
        <v>38</v>
      </c>
      <c r="E1597" t="s">
        <v>159</v>
      </c>
      <c r="F1597" t="s">
        <v>160</v>
      </c>
      <c r="G1597" t="s">
        <v>55</v>
      </c>
      <c r="H1597" t="s">
        <v>31</v>
      </c>
      <c r="I1597" t="str">
        <f>LEFT(H1597,FIND(" (",H1597)-1)</f>
        <v>Staff/Principal</v>
      </c>
      <c r="J1597" t="str">
        <f>MID(H1597,FIND("(",H1597)+1,FIND(")",H1597)-FIND("(",H1597)-1)</f>
        <v>8+ yrs</v>
      </c>
      <c r="L1597">
        <v>163649</v>
      </c>
      <c r="M1597" t="s">
        <v>3317</v>
      </c>
      <c r="N1597" t="s">
        <v>33</v>
      </c>
      <c r="O1597" t="s">
        <v>44</v>
      </c>
      <c r="P1597" s="1">
        <v>45683</v>
      </c>
      <c r="Q1597">
        <v>451</v>
      </c>
      <c r="R1597">
        <v>1829</v>
      </c>
      <c r="S1597" t="s">
        <v>23</v>
      </c>
      <c r="T1597">
        <v>6</v>
      </c>
      <c r="U1597" t="s">
        <v>5123</v>
      </c>
      <c r="V1597" t="s">
        <v>46</v>
      </c>
      <c r="W1597" t="s">
        <v>34</v>
      </c>
    </row>
    <row r="1598" spans="1:23" x14ac:dyDescent="0.3">
      <c r="A1598" t="s">
        <v>3318</v>
      </c>
      <c r="B1598" t="s">
        <v>13</v>
      </c>
      <c r="C1598" t="s">
        <v>158</v>
      </c>
      <c r="D1598" t="s">
        <v>174</v>
      </c>
      <c r="E1598" t="s">
        <v>5135</v>
      </c>
      <c r="F1598" t="s">
        <v>5133</v>
      </c>
      <c r="G1598" t="s">
        <v>55</v>
      </c>
      <c r="H1598" t="s">
        <v>31</v>
      </c>
      <c r="I1598" t="str">
        <f>LEFT(H1598,FIND(" (",H1598)-1)</f>
        <v>Staff/Principal</v>
      </c>
      <c r="J1598" t="str">
        <f>MID(H1598,FIND("(",H1598)+1,FIND(")",H1598)-FIND("(",H1598)-1)</f>
        <v>8+ yrs</v>
      </c>
      <c r="L1598">
        <v>222289</v>
      </c>
      <c r="M1598" t="s">
        <v>3319</v>
      </c>
      <c r="N1598" t="s">
        <v>33</v>
      </c>
      <c r="O1598" t="s">
        <v>51</v>
      </c>
      <c r="P1598" s="1">
        <v>45434</v>
      </c>
      <c r="Q1598">
        <v>2032</v>
      </c>
      <c r="R1598">
        <v>1843</v>
      </c>
      <c r="S1598" t="s">
        <v>23</v>
      </c>
      <c r="T1598">
        <v>6</v>
      </c>
      <c r="U1598" t="s">
        <v>52</v>
      </c>
      <c r="V1598" t="s">
        <v>24</v>
      </c>
      <c r="W1598" t="s">
        <v>23</v>
      </c>
    </row>
    <row r="1599" spans="1:23" x14ac:dyDescent="0.3">
      <c r="A1599" t="s">
        <v>3320</v>
      </c>
      <c r="B1599" t="s">
        <v>81</v>
      </c>
      <c r="C1599" t="s">
        <v>116</v>
      </c>
      <c r="D1599" t="s">
        <v>38</v>
      </c>
      <c r="E1599" t="s">
        <v>5132</v>
      </c>
      <c r="F1599" t="s">
        <v>5133</v>
      </c>
      <c r="G1599" t="s">
        <v>18</v>
      </c>
      <c r="H1599" t="s">
        <v>31</v>
      </c>
      <c r="I1599" t="str">
        <f>LEFT(H1599,FIND(" (",H1599)-1)</f>
        <v>Staff/Principal</v>
      </c>
      <c r="J1599" t="str">
        <f>MID(H1599,FIND("(",H1599)+1,FIND(")",H1599)-FIND("(",H1599)-1)</f>
        <v>8+ yrs</v>
      </c>
      <c r="L1599">
        <v>274069</v>
      </c>
      <c r="M1599" t="s">
        <v>3321</v>
      </c>
      <c r="N1599" t="s">
        <v>33</v>
      </c>
      <c r="O1599" t="s">
        <v>44</v>
      </c>
      <c r="P1599" s="1">
        <v>45374</v>
      </c>
      <c r="Q1599">
        <v>1775</v>
      </c>
      <c r="R1599">
        <v>1008</v>
      </c>
      <c r="S1599" t="s">
        <v>99</v>
      </c>
      <c r="T1599">
        <v>6</v>
      </c>
      <c r="U1599" t="s">
        <v>5123</v>
      </c>
      <c r="V1599" t="s">
        <v>24</v>
      </c>
      <c r="W1599" t="s">
        <v>23</v>
      </c>
    </row>
    <row r="1600" spans="1:23" x14ac:dyDescent="0.3">
      <c r="A1600" t="s">
        <v>3322</v>
      </c>
      <c r="B1600" t="s">
        <v>143</v>
      </c>
      <c r="C1600" t="s">
        <v>195</v>
      </c>
      <c r="D1600" t="s">
        <v>63</v>
      </c>
      <c r="E1600" t="s">
        <v>5134</v>
      </c>
      <c r="F1600" t="s">
        <v>5133</v>
      </c>
      <c r="G1600" t="s">
        <v>41</v>
      </c>
      <c r="H1600" t="s">
        <v>56</v>
      </c>
      <c r="I1600" t="str">
        <f>LEFT(H1600,FIND(" (",H1600)-1)</f>
        <v>Mid</v>
      </c>
      <c r="J1600" t="str">
        <f>MID(H1600,FIND("(",H1600)+1,FIND(")",H1600)-FIND("(",H1600)-1)</f>
        <v>2-5 yrs</v>
      </c>
      <c r="L1600">
        <v>110411</v>
      </c>
      <c r="M1600" t="s">
        <v>3323</v>
      </c>
      <c r="N1600" t="s">
        <v>33</v>
      </c>
      <c r="O1600" t="s">
        <v>51</v>
      </c>
      <c r="P1600" s="1">
        <v>45470</v>
      </c>
      <c r="Q1600">
        <v>2169</v>
      </c>
      <c r="R1600">
        <v>974</v>
      </c>
      <c r="S1600" t="s">
        <v>34</v>
      </c>
      <c r="T1600">
        <v>2</v>
      </c>
      <c r="U1600" t="s">
        <v>58</v>
      </c>
      <c r="V1600" t="s">
        <v>24</v>
      </c>
      <c r="W1600" t="s">
        <v>23</v>
      </c>
    </row>
    <row r="1601" spans="1:23" x14ac:dyDescent="0.3">
      <c r="A1601" t="s">
        <v>3324</v>
      </c>
      <c r="B1601" t="s">
        <v>81</v>
      </c>
      <c r="C1601" t="s">
        <v>128</v>
      </c>
      <c r="D1601" t="s">
        <v>75</v>
      </c>
      <c r="E1601" t="s">
        <v>64</v>
      </c>
      <c r="F1601" t="s">
        <v>65</v>
      </c>
      <c r="G1601" t="s">
        <v>18</v>
      </c>
      <c r="H1601" t="s">
        <v>31</v>
      </c>
      <c r="I1601" t="str">
        <f>LEFT(H1601,FIND(" (",H1601)-1)</f>
        <v>Staff/Principal</v>
      </c>
      <c r="J1601" t="str">
        <f>MID(H1601,FIND("(",H1601)+1,FIND(")",H1601)-FIND("(",H1601)-1)</f>
        <v>8+ yrs</v>
      </c>
      <c r="L1601">
        <v>173791</v>
      </c>
      <c r="M1601" t="s">
        <v>3325</v>
      </c>
      <c r="N1601" t="s">
        <v>33</v>
      </c>
      <c r="O1601" t="s">
        <v>51</v>
      </c>
      <c r="P1601" s="1">
        <v>45545</v>
      </c>
      <c r="Q1601">
        <v>1649</v>
      </c>
      <c r="R1601">
        <v>3982</v>
      </c>
      <c r="S1601" t="s">
        <v>23</v>
      </c>
      <c r="T1601">
        <v>6</v>
      </c>
      <c r="U1601" t="s">
        <v>83</v>
      </c>
      <c r="V1601" t="s">
        <v>24</v>
      </c>
      <c r="W1601" t="s">
        <v>23</v>
      </c>
    </row>
    <row r="1602" spans="1:23" x14ac:dyDescent="0.3">
      <c r="A1602" t="s">
        <v>3326</v>
      </c>
      <c r="B1602" t="s">
        <v>137</v>
      </c>
      <c r="C1602" t="s">
        <v>239</v>
      </c>
      <c r="D1602" t="s">
        <v>111</v>
      </c>
      <c r="E1602" t="s">
        <v>5136</v>
      </c>
      <c r="F1602" t="s">
        <v>5133</v>
      </c>
      <c r="G1602" t="s">
        <v>18</v>
      </c>
      <c r="H1602" t="s">
        <v>31</v>
      </c>
      <c r="I1602" t="str">
        <f>LEFT(H1602,FIND(" (",H1602)-1)</f>
        <v>Staff/Principal</v>
      </c>
      <c r="J1602" t="str">
        <f>MID(H1602,FIND("(",H1602)+1,FIND(")",H1602)-FIND("(",H1602)-1)</f>
        <v>8+ yrs</v>
      </c>
      <c r="L1602">
        <v>193415</v>
      </c>
      <c r="M1602" t="s">
        <v>3327</v>
      </c>
      <c r="N1602" t="s">
        <v>89</v>
      </c>
      <c r="O1602" t="s">
        <v>51</v>
      </c>
      <c r="P1602" s="1">
        <v>45332</v>
      </c>
      <c r="Q1602">
        <v>436</v>
      </c>
      <c r="R1602">
        <v>1773</v>
      </c>
      <c r="S1602" t="s">
        <v>34</v>
      </c>
      <c r="T1602">
        <v>6</v>
      </c>
      <c r="U1602" t="s">
        <v>45</v>
      </c>
      <c r="V1602" t="s">
        <v>24</v>
      </c>
      <c r="W1602" t="s">
        <v>34</v>
      </c>
    </row>
    <row r="1603" spans="1:23" x14ac:dyDescent="0.3">
      <c r="A1603" t="s">
        <v>3328</v>
      </c>
      <c r="B1603" t="s">
        <v>91</v>
      </c>
      <c r="C1603" t="s">
        <v>74</v>
      </c>
      <c r="D1603" t="s">
        <v>111</v>
      </c>
      <c r="E1603" t="s">
        <v>39</v>
      </c>
      <c r="F1603" t="s">
        <v>40</v>
      </c>
      <c r="G1603" t="s">
        <v>41</v>
      </c>
      <c r="H1603" t="s">
        <v>66</v>
      </c>
      <c r="I1603" t="str">
        <f>LEFT(H1603,FIND(" (",H1603)-1)</f>
        <v>Senior</v>
      </c>
      <c r="J1603" t="str">
        <f>MID(H1603,FIND("(",H1603)+1,FIND(")",H1603)-FIND("(",H1603)-1)</f>
        <v>5-8 yrs</v>
      </c>
      <c r="L1603">
        <v>187121</v>
      </c>
      <c r="M1603" t="s">
        <v>3329</v>
      </c>
      <c r="N1603" t="s">
        <v>21</v>
      </c>
      <c r="O1603" t="s">
        <v>22</v>
      </c>
      <c r="P1603" s="1">
        <v>45352</v>
      </c>
      <c r="Q1603">
        <v>1819</v>
      </c>
      <c r="R1603">
        <v>3082</v>
      </c>
      <c r="S1603" t="s">
        <v>23</v>
      </c>
      <c r="T1603">
        <v>4</v>
      </c>
      <c r="U1603" t="s">
        <v>45</v>
      </c>
      <c r="V1603" t="s">
        <v>24</v>
      </c>
      <c r="W1603" t="s">
        <v>23</v>
      </c>
    </row>
    <row r="1604" spans="1:23" x14ac:dyDescent="0.3">
      <c r="A1604" t="s">
        <v>3330</v>
      </c>
      <c r="B1604" t="s">
        <v>26</v>
      </c>
      <c r="C1604" t="s">
        <v>173</v>
      </c>
      <c r="D1604" t="s">
        <v>125</v>
      </c>
      <c r="E1604" t="s">
        <v>5140</v>
      </c>
      <c r="F1604" t="s">
        <v>5133</v>
      </c>
      <c r="G1604" t="s">
        <v>18</v>
      </c>
      <c r="H1604" t="s">
        <v>31</v>
      </c>
      <c r="I1604" t="str">
        <f>LEFT(H1604,FIND(" (",H1604)-1)</f>
        <v>Staff/Principal</v>
      </c>
      <c r="J1604" t="str">
        <f>MID(H1604,FIND("(",H1604)+1,FIND(")",H1604)-FIND("(",H1604)-1)</f>
        <v>8+ yrs</v>
      </c>
      <c r="L1604">
        <v>176745</v>
      </c>
      <c r="M1604" t="s">
        <v>3331</v>
      </c>
      <c r="N1604" t="s">
        <v>245</v>
      </c>
      <c r="O1604" t="s">
        <v>51</v>
      </c>
      <c r="P1604" s="1">
        <v>45443</v>
      </c>
      <c r="Q1604">
        <v>705</v>
      </c>
      <c r="R1604">
        <v>2976</v>
      </c>
      <c r="S1604" t="s">
        <v>23</v>
      </c>
      <c r="T1604">
        <v>6</v>
      </c>
      <c r="U1604" t="s">
        <v>58</v>
      </c>
      <c r="V1604" t="s">
        <v>24</v>
      </c>
      <c r="W1604" t="s">
        <v>23</v>
      </c>
    </row>
    <row r="1605" spans="1:23" x14ac:dyDescent="0.3">
      <c r="A1605" t="s">
        <v>3332</v>
      </c>
      <c r="B1605" t="s">
        <v>61</v>
      </c>
      <c r="C1605" t="s">
        <v>54</v>
      </c>
      <c r="D1605" t="s">
        <v>15</v>
      </c>
      <c r="E1605" t="s">
        <v>5132</v>
      </c>
      <c r="F1605" t="s">
        <v>5133</v>
      </c>
      <c r="G1605" t="s">
        <v>18</v>
      </c>
      <c r="H1605" t="s">
        <v>66</v>
      </c>
      <c r="I1605" t="str">
        <f>LEFT(H1605,FIND(" (",H1605)-1)</f>
        <v>Senior</v>
      </c>
      <c r="J1605" t="str">
        <f>MID(H1605,FIND("(",H1605)+1,FIND(")",H1605)-FIND("(",H1605)-1)</f>
        <v>5-8 yrs</v>
      </c>
      <c r="L1605">
        <v>128421</v>
      </c>
      <c r="M1605" t="s">
        <v>3333</v>
      </c>
      <c r="N1605" t="s">
        <v>33</v>
      </c>
      <c r="O1605" t="s">
        <v>22</v>
      </c>
      <c r="P1605" s="1">
        <v>45718</v>
      </c>
      <c r="Q1605">
        <v>628</v>
      </c>
      <c r="R1605">
        <v>3220</v>
      </c>
      <c r="S1605" t="s">
        <v>99</v>
      </c>
      <c r="T1605">
        <v>4</v>
      </c>
      <c r="U1605" t="s">
        <v>5123</v>
      </c>
      <c r="V1605" t="s">
        <v>24</v>
      </c>
      <c r="W1605" t="s">
        <v>23</v>
      </c>
    </row>
    <row r="1606" spans="1:23" x14ac:dyDescent="0.3">
      <c r="A1606" t="s">
        <v>3334</v>
      </c>
      <c r="B1606" t="s">
        <v>70</v>
      </c>
      <c r="C1606" t="s">
        <v>209</v>
      </c>
      <c r="D1606" t="s">
        <v>49</v>
      </c>
      <c r="E1606" t="s">
        <v>5139</v>
      </c>
      <c r="F1606" t="s">
        <v>5133</v>
      </c>
      <c r="G1606" t="s">
        <v>18</v>
      </c>
      <c r="H1606" t="s">
        <v>66</v>
      </c>
      <c r="I1606" t="str">
        <f>LEFT(H1606,FIND(" (",H1606)-1)</f>
        <v>Senior</v>
      </c>
      <c r="J1606" t="str">
        <f>MID(H1606,FIND("(",H1606)+1,FIND(")",H1606)-FIND("(",H1606)-1)</f>
        <v>5-8 yrs</v>
      </c>
      <c r="L1606">
        <v>136965</v>
      </c>
      <c r="M1606" t="s">
        <v>3335</v>
      </c>
      <c r="N1606" t="s">
        <v>149</v>
      </c>
      <c r="O1606" t="s">
        <v>44</v>
      </c>
      <c r="P1606" s="1">
        <v>45328</v>
      </c>
      <c r="Q1606">
        <v>304</v>
      </c>
      <c r="R1606">
        <v>202</v>
      </c>
      <c r="S1606" t="s">
        <v>23</v>
      </c>
      <c r="T1606">
        <v>4</v>
      </c>
      <c r="U1606" t="s">
        <v>83</v>
      </c>
      <c r="V1606" t="s">
        <v>24</v>
      </c>
      <c r="W1606" t="s">
        <v>23</v>
      </c>
    </row>
    <row r="1607" spans="1:23" x14ac:dyDescent="0.3">
      <c r="A1607" t="s">
        <v>3336</v>
      </c>
      <c r="B1607" t="s">
        <v>106</v>
      </c>
      <c r="C1607" t="s">
        <v>116</v>
      </c>
      <c r="D1607" t="s">
        <v>75</v>
      </c>
      <c r="E1607" t="s">
        <v>5134</v>
      </c>
      <c r="F1607" t="s">
        <v>5133</v>
      </c>
      <c r="G1607" t="s">
        <v>55</v>
      </c>
      <c r="H1607" t="s">
        <v>66</v>
      </c>
      <c r="I1607" t="str">
        <f>LEFT(H1607,FIND(" (",H1607)-1)</f>
        <v>Senior</v>
      </c>
      <c r="J1607" t="str">
        <f>MID(H1607,FIND("(",H1607)+1,FIND(")",H1607)-FIND("(",H1607)-1)</f>
        <v>5-8 yrs</v>
      </c>
      <c r="L1607">
        <v>124260</v>
      </c>
      <c r="M1607" t="s">
        <v>3337</v>
      </c>
      <c r="N1607" t="s">
        <v>33</v>
      </c>
      <c r="O1607" t="s">
        <v>44</v>
      </c>
      <c r="P1607" s="1">
        <v>45611</v>
      </c>
      <c r="Q1607">
        <v>2258</v>
      </c>
      <c r="R1607">
        <v>533</v>
      </c>
      <c r="S1607" t="s">
        <v>34</v>
      </c>
      <c r="T1607">
        <v>4</v>
      </c>
      <c r="U1607" t="s">
        <v>52</v>
      </c>
      <c r="V1607" t="s">
        <v>24</v>
      </c>
      <c r="W1607" t="s">
        <v>34</v>
      </c>
    </row>
    <row r="1608" spans="1:23" x14ac:dyDescent="0.3">
      <c r="A1608" t="s">
        <v>3338</v>
      </c>
      <c r="B1608" t="s">
        <v>36</v>
      </c>
      <c r="C1608" t="s">
        <v>27</v>
      </c>
      <c r="D1608" t="s">
        <v>147</v>
      </c>
      <c r="E1608" t="s">
        <v>159</v>
      </c>
      <c r="F1608" t="s">
        <v>160</v>
      </c>
      <c r="G1608" t="s">
        <v>41</v>
      </c>
      <c r="H1608" t="s">
        <v>19</v>
      </c>
      <c r="I1608" t="str">
        <f>LEFT(H1608,FIND(" (",H1608)-1)</f>
        <v>Entry</v>
      </c>
      <c r="J1608" t="str">
        <f>MID(H1608,FIND("(",H1608)+1,FIND(")",H1608)-FIND("(",H1608)-1)</f>
        <v>0-2 yrs</v>
      </c>
      <c r="L1608">
        <v>71545</v>
      </c>
      <c r="M1608" t="s">
        <v>3339</v>
      </c>
      <c r="N1608" t="s">
        <v>33</v>
      </c>
      <c r="O1608" t="s">
        <v>22</v>
      </c>
      <c r="P1608" s="1">
        <v>45530</v>
      </c>
      <c r="Q1608">
        <v>867</v>
      </c>
      <c r="R1608">
        <v>527</v>
      </c>
      <c r="S1608" t="s">
        <v>99</v>
      </c>
      <c r="T1608">
        <v>0</v>
      </c>
      <c r="U1608" t="s">
        <v>83</v>
      </c>
      <c r="V1608" t="s">
        <v>24</v>
      </c>
      <c r="W1608" t="s">
        <v>23</v>
      </c>
    </row>
    <row r="1609" spans="1:23" x14ac:dyDescent="0.3">
      <c r="A1609" t="s">
        <v>3340</v>
      </c>
      <c r="B1609" t="s">
        <v>151</v>
      </c>
      <c r="C1609" t="s">
        <v>116</v>
      </c>
      <c r="D1609" t="s">
        <v>15</v>
      </c>
      <c r="E1609" t="s">
        <v>87</v>
      </c>
      <c r="F1609" t="s">
        <v>87</v>
      </c>
      <c r="G1609" t="s">
        <v>41</v>
      </c>
      <c r="H1609" t="s">
        <v>31</v>
      </c>
      <c r="I1609" t="str">
        <f>LEFT(H1609,FIND(" (",H1609)-1)</f>
        <v>Staff/Principal</v>
      </c>
      <c r="J1609" t="str">
        <f>MID(H1609,FIND("(",H1609)+1,FIND(")",H1609)-FIND("(",H1609)-1)</f>
        <v>8+ yrs</v>
      </c>
      <c r="L1609">
        <v>258488</v>
      </c>
      <c r="M1609" t="s">
        <v>3341</v>
      </c>
      <c r="N1609" t="s">
        <v>245</v>
      </c>
      <c r="O1609" t="s">
        <v>22</v>
      </c>
      <c r="P1609" s="1">
        <v>45561</v>
      </c>
      <c r="Q1609">
        <v>1993</v>
      </c>
      <c r="R1609">
        <v>1082</v>
      </c>
      <c r="S1609" t="s">
        <v>23</v>
      </c>
      <c r="T1609">
        <v>6</v>
      </c>
      <c r="U1609" t="s">
        <v>58</v>
      </c>
      <c r="V1609" t="s">
        <v>24</v>
      </c>
      <c r="W1609" t="s">
        <v>34</v>
      </c>
    </row>
    <row r="1610" spans="1:23" x14ac:dyDescent="0.3">
      <c r="A1610" t="s">
        <v>3342</v>
      </c>
      <c r="B1610" t="s">
        <v>106</v>
      </c>
      <c r="C1610" t="s">
        <v>48</v>
      </c>
      <c r="D1610" t="s">
        <v>49</v>
      </c>
      <c r="E1610" t="s">
        <v>216</v>
      </c>
      <c r="F1610" t="s">
        <v>217</v>
      </c>
      <c r="G1610" t="s">
        <v>41</v>
      </c>
      <c r="H1610" t="s">
        <v>66</v>
      </c>
      <c r="I1610" t="str">
        <f>LEFT(H1610,FIND(" (",H1610)-1)</f>
        <v>Senior</v>
      </c>
      <c r="J1610" t="str">
        <f>MID(H1610,FIND("(",H1610)+1,FIND(")",H1610)-FIND("(",H1610)-1)</f>
        <v>5-8 yrs</v>
      </c>
      <c r="L1610">
        <v>158723</v>
      </c>
      <c r="M1610" t="s">
        <v>3343</v>
      </c>
      <c r="N1610" t="s">
        <v>33</v>
      </c>
      <c r="O1610" t="s">
        <v>44</v>
      </c>
      <c r="P1610" s="1">
        <v>45503</v>
      </c>
      <c r="Q1610">
        <v>1234</v>
      </c>
      <c r="R1610">
        <v>2707</v>
      </c>
      <c r="S1610" t="s">
        <v>34</v>
      </c>
      <c r="T1610">
        <v>4</v>
      </c>
      <c r="U1610" t="s">
        <v>45</v>
      </c>
      <c r="V1610" t="s">
        <v>24</v>
      </c>
      <c r="W1610" t="s">
        <v>23</v>
      </c>
    </row>
    <row r="1611" spans="1:23" x14ac:dyDescent="0.3">
      <c r="A1611" t="s">
        <v>3344</v>
      </c>
      <c r="B1611" t="s">
        <v>61</v>
      </c>
      <c r="C1611" t="s">
        <v>37</v>
      </c>
      <c r="D1611" t="s">
        <v>174</v>
      </c>
      <c r="E1611" t="s">
        <v>39</v>
      </c>
      <c r="F1611" t="s">
        <v>40</v>
      </c>
      <c r="G1611" t="s">
        <v>55</v>
      </c>
      <c r="H1611" t="s">
        <v>31</v>
      </c>
      <c r="I1611" t="str">
        <f>LEFT(H1611,FIND(" (",H1611)-1)</f>
        <v>Staff/Principal</v>
      </c>
      <c r="J1611" t="str">
        <f>MID(H1611,FIND("(",H1611)+1,FIND(")",H1611)-FIND("(",H1611)-1)</f>
        <v>8+ yrs</v>
      </c>
      <c r="L1611">
        <v>190915</v>
      </c>
      <c r="M1611" t="s">
        <v>3345</v>
      </c>
      <c r="N1611" t="s">
        <v>21</v>
      </c>
      <c r="O1611" t="s">
        <v>44</v>
      </c>
      <c r="P1611" s="1">
        <v>45381</v>
      </c>
      <c r="Q1611">
        <v>977</v>
      </c>
      <c r="R1611">
        <v>3845</v>
      </c>
      <c r="S1611" t="s">
        <v>34</v>
      </c>
      <c r="T1611">
        <v>6</v>
      </c>
      <c r="U1611" t="s">
        <v>52</v>
      </c>
      <c r="V1611" t="s">
        <v>59</v>
      </c>
      <c r="W1611" t="s">
        <v>34</v>
      </c>
    </row>
    <row r="1612" spans="1:23" x14ac:dyDescent="0.3">
      <c r="A1612" t="s">
        <v>3346</v>
      </c>
      <c r="B1612" t="s">
        <v>36</v>
      </c>
      <c r="C1612" t="s">
        <v>107</v>
      </c>
      <c r="D1612" t="s">
        <v>75</v>
      </c>
      <c r="E1612" t="s">
        <v>230</v>
      </c>
      <c r="F1612" t="s">
        <v>231</v>
      </c>
      <c r="G1612" t="s">
        <v>41</v>
      </c>
      <c r="H1612" t="s">
        <v>66</v>
      </c>
      <c r="I1612" t="str">
        <f>LEFT(H1612,FIND(" (",H1612)-1)</f>
        <v>Senior</v>
      </c>
      <c r="J1612" t="str">
        <f>MID(H1612,FIND("(",H1612)+1,FIND(")",H1612)-FIND("(",H1612)-1)</f>
        <v>5-8 yrs</v>
      </c>
      <c r="L1612">
        <v>142121</v>
      </c>
      <c r="M1612" t="s">
        <v>3347</v>
      </c>
      <c r="N1612" t="s">
        <v>33</v>
      </c>
      <c r="O1612" t="s">
        <v>51</v>
      </c>
      <c r="P1612" s="1">
        <v>45434</v>
      </c>
      <c r="Q1612">
        <v>762</v>
      </c>
      <c r="R1612">
        <v>3582</v>
      </c>
      <c r="S1612" t="s">
        <v>99</v>
      </c>
      <c r="T1612">
        <v>4</v>
      </c>
      <c r="U1612" t="s">
        <v>5123</v>
      </c>
      <c r="V1612" t="s">
        <v>24</v>
      </c>
      <c r="W1612" t="s">
        <v>23</v>
      </c>
    </row>
    <row r="1613" spans="1:23" x14ac:dyDescent="0.3">
      <c r="A1613" t="s">
        <v>3348</v>
      </c>
      <c r="B1613" t="s">
        <v>91</v>
      </c>
      <c r="C1613" t="s">
        <v>27</v>
      </c>
      <c r="D1613" t="s">
        <v>174</v>
      </c>
      <c r="E1613" t="s">
        <v>5135</v>
      </c>
      <c r="F1613" t="s">
        <v>5133</v>
      </c>
      <c r="G1613" t="s">
        <v>18</v>
      </c>
      <c r="H1613" t="s">
        <v>56</v>
      </c>
      <c r="I1613" t="str">
        <f>LEFT(H1613,FIND(" (",H1613)-1)</f>
        <v>Mid</v>
      </c>
      <c r="J1613" t="str">
        <f>MID(H1613,FIND("(",H1613)+1,FIND(")",H1613)-FIND("(",H1613)-1)</f>
        <v>2-5 yrs</v>
      </c>
      <c r="L1613">
        <v>79048</v>
      </c>
      <c r="M1613" t="s">
        <v>3349</v>
      </c>
      <c r="N1613" t="s">
        <v>43</v>
      </c>
      <c r="O1613" t="s">
        <v>51</v>
      </c>
      <c r="P1613" s="1">
        <v>45304</v>
      </c>
      <c r="Q1613">
        <v>528</v>
      </c>
      <c r="R1613">
        <v>3167</v>
      </c>
      <c r="S1613" t="s">
        <v>23</v>
      </c>
      <c r="T1613">
        <v>2</v>
      </c>
      <c r="U1613" t="s">
        <v>58</v>
      </c>
      <c r="V1613" t="s">
        <v>24</v>
      </c>
      <c r="W1613" t="s">
        <v>34</v>
      </c>
    </row>
    <row r="1614" spans="1:23" x14ac:dyDescent="0.3">
      <c r="A1614" t="s">
        <v>3350</v>
      </c>
      <c r="B1614" t="s">
        <v>96</v>
      </c>
      <c r="C1614" t="s">
        <v>92</v>
      </c>
      <c r="D1614" t="s">
        <v>63</v>
      </c>
      <c r="E1614" t="s">
        <v>216</v>
      </c>
      <c r="F1614" t="s">
        <v>217</v>
      </c>
      <c r="G1614" t="s">
        <v>18</v>
      </c>
      <c r="H1614" t="s">
        <v>31</v>
      </c>
      <c r="I1614" t="str">
        <f>LEFT(H1614,FIND(" (",H1614)-1)</f>
        <v>Staff/Principal</v>
      </c>
      <c r="J1614" t="str">
        <f>MID(H1614,FIND("(",H1614)+1,FIND(")",H1614)-FIND("(",H1614)-1)</f>
        <v>8+ yrs</v>
      </c>
      <c r="L1614">
        <v>231791</v>
      </c>
      <c r="M1614" t="s">
        <v>3351</v>
      </c>
      <c r="N1614" t="s">
        <v>33</v>
      </c>
      <c r="O1614" t="s">
        <v>22</v>
      </c>
      <c r="P1614" s="1">
        <v>45474</v>
      </c>
      <c r="Q1614">
        <v>1989</v>
      </c>
      <c r="R1614">
        <v>741</v>
      </c>
      <c r="S1614" t="s">
        <v>99</v>
      </c>
      <c r="T1614">
        <v>6</v>
      </c>
      <c r="U1614" t="s">
        <v>58</v>
      </c>
      <c r="V1614" t="s">
        <v>24</v>
      </c>
      <c r="W1614" t="s">
        <v>34</v>
      </c>
    </row>
    <row r="1615" spans="1:23" x14ac:dyDescent="0.3">
      <c r="A1615" t="s">
        <v>3352</v>
      </c>
      <c r="B1615" t="s">
        <v>61</v>
      </c>
      <c r="C1615" t="s">
        <v>192</v>
      </c>
      <c r="D1615" t="s">
        <v>63</v>
      </c>
      <c r="E1615" t="s">
        <v>5132</v>
      </c>
      <c r="F1615" t="s">
        <v>5133</v>
      </c>
      <c r="G1615" t="s">
        <v>41</v>
      </c>
      <c r="H1615" t="s">
        <v>56</v>
      </c>
      <c r="I1615" t="str">
        <f>LEFT(H1615,FIND(" (",H1615)-1)</f>
        <v>Mid</v>
      </c>
      <c r="J1615" t="str">
        <f>MID(H1615,FIND("(",H1615)+1,FIND(")",H1615)-FIND("(",H1615)-1)</f>
        <v>2-5 yrs</v>
      </c>
      <c r="L1615">
        <v>108458</v>
      </c>
      <c r="M1615" t="s">
        <v>3353</v>
      </c>
      <c r="N1615" t="s">
        <v>21</v>
      </c>
      <c r="O1615" t="s">
        <v>44</v>
      </c>
      <c r="P1615" s="1">
        <v>45329</v>
      </c>
      <c r="Q1615">
        <v>2165</v>
      </c>
      <c r="R1615">
        <v>3983</v>
      </c>
      <c r="S1615" t="s">
        <v>99</v>
      </c>
      <c r="T1615">
        <v>2</v>
      </c>
      <c r="U1615" t="s">
        <v>83</v>
      </c>
      <c r="V1615" t="s">
        <v>24</v>
      </c>
      <c r="W1615" t="s">
        <v>23</v>
      </c>
    </row>
    <row r="1616" spans="1:23" x14ac:dyDescent="0.3">
      <c r="A1616" t="s">
        <v>3354</v>
      </c>
      <c r="B1616" t="s">
        <v>96</v>
      </c>
      <c r="C1616" t="s">
        <v>192</v>
      </c>
      <c r="D1616" t="s">
        <v>38</v>
      </c>
      <c r="E1616" t="s">
        <v>5141</v>
      </c>
      <c r="F1616" t="s">
        <v>5133</v>
      </c>
      <c r="G1616" t="s">
        <v>18</v>
      </c>
      <c r="H1616" t="s">
        <v>66</v>
      </c>
      <c r="I1616" t="str">
        <f>LEFT(H1616,FIND(" (",H1616)-1)</f>
        <v>Senior</v>
      </c>
      <c r="J1616" t="str">
        <f>MID(H1616,FIND("(",H1616)+1,FIND(")",H1616)-FIND("(",H1616)-1)</f>
        <v>5-8 yrs</v>
      </c>
      <c r="L1616">
        <v>145127</v>
      </c>
      <c r="M1616" t="s">
        <v>3355</v>
      </c>
      <c r="N1616" t="s">
        <v>149</v>
      </c>
      <c r="O1616" t="s">
        <v>79</v>
      </c>
      <c r="P1616" s="1">
        <v>45621</v>
      </c>
      <c r="Q1616">
        <v>2167</v>
      </c>
      <c r="R1616">
        <v>58</v>
      </c>
      <c r="S1616" t="s">
        <v>34</v>
      </c>
      <c r="T1616">
        <v>4</v>
      </c>
      <c r="U1616" t="s">
        <v>83</v>
      </c>
      <c r="V1616" t="s">
        <v>24</v>
      </c>
      <c r="W1616" t="s">
        <v>23</v>
      </c>
    </row>
    <row r="1617" spans="1:23" x14ac:dyDescent="0.3">
      <c r="A1617" t="s">
        <v>3356</v>
      </c>
      <c r="B1617" t="s">
        <v>137</v>
      </c>
      <c r="C1617" t="s">
        <v>158</v>
      </c>
      <c r="D1617" t="s">
        <v>15</v>
      </c>
      <c r="E1617" t="s">
        <v>5139</v>
      </c>
      <c r="F1617" t="s">
        <v>5133</v>
      </c>
      <c r="G1617" t="s">
        <v>18</v>
      </c>
      <c r="H1617" t="s">
        <v>31</v>
      </c>
      <c r="I1617" t="str">
        <f>LEFT(H1617,FIND(" (",H1617)-1)</f>
        <v>Staff/Principal</v>
      </c>
      <c r="J1617" t="str">
        <f>MID(H1617,FIND("(",H1617)+1,FIND(")",H1617)-FIND("(",H1617)-1)</f>
        <v>8+ yrs</v>
      </c>
      <c r="L1617">
        <v>314951</v>
      </c>
      <c r="M1617" t="s">
        <v>3357</v>
      </c>
      <c r="N1617" t="s">
        <v>186</v>
      </c>
      <c r="O1617" t="s">
        <v>51</v>
      </c>
      <c r="P1617" s="1">
        <v>45374</v>
      </c>
      <c r="Q1617">
        <v>1780</v>
      </c>
      <c r="R1617">
        <v>1639</v>
      </c>
      <c r="S1617" t="s">
        <v>99</v>
      </c>
      <c r="T1617">
        <v>6</v>
      </c>
      <c r="U1617" t="s">
        <v>5123</v>
      </c>
      <c r="V1617" t="s">
        <v>59</v>
      </c>
      <c r="W1617" t="s">
        <v>23</v>
      </c>
    </row>
    <row r="1618" spans="1:23" x14ac:dyDescent="0.3">
      <c r="A1618" t="s">
        <v>3358</v>
      </c>
      <c r="B1618" t="s">
        <v>61</v>
      </c>
      <c r="C1618" t="s">
        <v>158</v>
      </c>
      <c r="D1618" t="s">
        <v>49</v>
      </c>
      <c r="E1618" t="s">
        <v>16</v>
      </c>
      <c r="F1618" t="s">
        <v>17</v>
      </c>
      <c r="G1618" t="s">
        <v>55</v>
      </c>
      <c r="H1618" t="s">
        <v>56</v>
      </c>
      <c r="I1618" t="str">
        <f>LEFT(H1618,FIND(" (",H1618)-1)</f>
        <v>Mid</v>
      </c>
      <c r="J1618" t="str">
        <f>MID(H1618,FIND("(",H1618)+1,FIND(")",H1618)-FIND("(",H1618)-1)</f>
        <v>2-5 yrs</v>
      </c>
      <c r="L1618">
        <v>115915</v>
      </c>
      <c r="M1618" t="s">
        <v>3359</v>
      </c>
      <c r="N1618" t="s">
        <v>33</v>
      </c>
      <c r="O1618" t="s">
        <v>22</v>
      </c>
      <c r="P1618" s="1">
        <v>45578</v>
      </c>
      <c r="Q1618">
        <v>2232</v>
      </c>
      <c r="R1618">
        <v>2807</v>
      </c>
      <c r="S1618" t="s">
        <v>23</v>
      </c>
      <c r="T1618">
        <v>2</v>
      </c>
      <c r="U1618" t="s">
        <v>83</v>
      </c>
      <c r="V1618" t="s">
        <v>24</v>
      </c>
      <c r="W1618" t="s">
        <v>34</v>
      </c>
    </row>
    <row r="1619" spans="1:23" x14ac:dyDescent="0.3">
      <c r="A1619" t="s">
        <v>3360</v>
      </c>
      <c r="B1619" t="s">
        <v>172</v>
      </c>
      <c r="C1619" t="s">
        <v>110</v>
      </c>
      <c r="D1619" t="s">
        <v>111</v>
      </c>
      <c r="E1619" t="s">
        <v>5139</v>
      </c>
      <c r="F1619" t="s">
        <v>5133</v>
      </c>
      <c r="G1619" t="s">
        <v>55</v>
      </c>
      <c r="H1619" t="s">
        <v>56</v>
      </c>
      <c r="I1619" t="str">
        <f>LEFT(H1619,FIND(" (",H1619)-1)</f>
        <v>Mid</v>
      </c>
      <c r="J1619" t="str">
        <f>MID(H1619,FIND("(",H1619)+1,FIND(")",H1619)-FIND("(",H1619)-1)</f>
        <v>2-5 yrs</v>
      </c>
      <c r="L1619">
        <v>95114</v>
      </c>
      <c r="M1619" t="s">
        <v>3361</v>
      </c>
      <c r="N1619" t="s">
        <v>186</v>
      </c>
      <c r="O1619" t="s">
        <v>51</v>
      </c>
      <c r="P1619" s="1">
        <v>45682</v>
      </c>
      <c r="Q1619">
        <v>392</v>
      </c>
      <c r="R1619">
        <v>2264</v>
      </c>
      <c r="S1619" t="s">
        <v>23</v>
      </c>
      <c r="T1619">
        <v>2</v>
      </c>
      <c r="U1619" t="s">
        <v>83</v>
      </c>
      <c r="V1619" t="s">
        <v>24</v>
      </c>
      <c r="W1619" t="s">
        <v>23</v>
      </c>
    </row>
    <row r="1620" spans="1:23" x14ac:dyDescent="0.3">
      <c r="A1620" t="s">
        <v>3362</v>
      </c>
      <c r="B1620" t="s">
        <v>70</v>
      </c>
      <c r="C1620" t="s">
        <v>226</v>
      </c>
      <c r="D1620" t="s">
        <v>174</v>
      </c>
      <c r="E1620" t="s">
        <v>102</v>
      </c>
      <c r="F1620" t="s">
        <v>103</v>
      </c>
      <c r="G1620" t="s">
        <v>41</v>
      </c>
      <c r="H1620" t="s">
        <v>31</v>
      </c>
      <c r="I1620" t="str">
        <f>LEFT(H1620,FIND(" (",H1620)-1)</f>
        <v>Staff/Principal</v>
      </c>
      <c r="J1620" t="str">
        <f>MID(H1620,FIND("(",H1620)+1,FIND(")",H1620)-FIND("(",H1620)-1)</f>
        <v>8+ yrs</v>
      </c>
      <c r="L1620">
        <v>184651</v>
      </c>
      <c r="M1620" t="s">
        <v>3363</v>
      </c>
      <c r="N1620" t="s">
        <v>43</v>
      </c>
      <c r="O1620" t="s">
        <v>22</v>
      </c>
      <c r="P1620" s="1">
        <v>45649</v>
      </c>
      <c r="Q1620">
        <v>379</v>
      </c>
      <c r="R1620">
        <v>85</v>
      </c>
      <c r="S1620" t="s">
        <v>99</v>
      </c>
      <c r="T1620">
        <v>6</v>
      </c>
      <c r="U1620" t="s">
        <v>5123</v>
      </c>
      <c r="V1620" t="s">
        <v>24</v>
      </c>
      <c r="W1620" t="s">
        <v>34</v>
      </c>
    </row>
    <row r="1621" spans="1:23" x14ac:dyDescent="0.3">
      <c r="A1621" t="s">
        <v>3364</v>
      </c>
      <c r="B1621" t="s">
        <v>81</v>
      </c>
      <c r="C1621" t="s">
        <v>146</v>
      </c>
      <c r="D1621" t="s">
        <v>125</v>
      </c>
      <c r="E1621" t="s">
        <v>64</v>
      </c>
      <c r="F1621" t="s">
        <v>65</v>
      </c>
      <c r="G1621" t="s">
        <v>18</v>
      </c>
      <c r="H1621" t="s">
        <v>66</v>
      </c>
      <c r="I1621" t="str">
        <f>LEFT(H1621,FIND(" (",H1621)-1)</f>
        <v>Senior</v>
      </c>
      <c r="J1621" t="str">
        <f>MID(H1621,FIND("(",H1621)+1,FIND(")",H1621)-FIND("(",H1621)-1)</f>
        <v>5-8 yrs</v>
      </c>
      <c r="L1621">
        <v>181008</v>
      </c>
      <c r="M1621" t="s">
        <v>3365</v>
      </c>
      <c r="N1621" t="s">
        <v>186</v>
      </c>
      <c r="O1621" t="s">
        <v>22</v>
      </c>
      <c r="P1621" s="1">
        <v>45741</v>
      </c>
      <c r="Q1621">
        <v>1619</v>
      </c>
      <c r="R1621">
        <v>166</v>
      </c>
      <c r="S1621" t="s">
        <v>34</v>
      </c>
      <c r="T1621">
        <v>4</v>
      </c>
      <c r="U1621" t="s">
        <v>83</v>
      </c>
      <c r="V1621" t="s">
        <v>24</v>
      </c>
      <c r="W1621" t="s">
        <v>23</v>
      </c>
    </row>
    <row r="1622" spans="1:23" x14ac:dyDescent="0.3">
      <c r="A1622" t="s">
        <v>3366</v>
      </c>
      <c r="B1622" t="s">
        <v>106</v>
      </c>
      <c r="C1622" t="s">
        <v>71</v>
      </c>
      <c r="D1622" t="s">
        <v>111</v>
      </c>
      <c r="E1622" t="s">
        <v>64</v>
      </c>
      <c r="F1622" t="s">
        <v>65</v>
      </c>
      <c r="G1622" t="s">
        <v>55</v>
      </c>
      <c r="H1622" t="s">
        <v>66</v>
      </c>
      <c r="I1622" t="str">
        <f>LEFT(H1622,FIND(" (",H1622)-1)</f>
        <v>Senior</v>
      </c>
      <c r="J1622" t="str">
        <f>MID(H1622,FIND("(",H1622)+1,FIND(")",H1622)-FIND("(",H1622)-1)</f>
        <v>5-8 yrs</v>
      </c>
      <c r="L1622">
        <v>153058</v>
      </c>
      <c r="M1622" t="s">
        <v>3367</v>
      </c>
      <c r="N1622" t="s">
        <v>141</v>
      </c>
      <c r="O1622" t="s">
        <v>22</v>
      </c>
      <c r="P1622" s="1">
        <v>45619</v>
      </c>
      <c r="Q1622">
        <v>423</v>
      </c>
      <c r="R1622">
        <v>3550</v>
      </c>
      <c r="S1622" t="s">
        <v>23</v>
      </c>
      <c r="T1622">
        <v>4</v>
      </c>
      <c r="U1622" t="s">
        <v>58</v>
      </c>
      <c r="V1622" t="s">
        <v>59</v>
      </c>
      <c r="W1622" t="s">
        <v>34</v>
      </c>
    </row>
    <row r="1623" spans="1:23" x14ac:dyDescent="0.3">
      <c r="A1623" t="s">
        <v>3368</v>
      </c>
      <c r="B1623" t="s">
        <v>329</v>
      </c>
      <c r="C1623" t="s">
        <v>173</v>
      </c>
      <c r="D1623" t="s">
        <v>174</v>
      </c>
      <c r="E1623" t="s">
        <v>216</v>
      </c>
      <c r="F1623" t="s">
        <v>217</v>
      </c>
      <c r="G1623" t="s">
        <v>18</v>
      </c>
      <c r="H1623" t="s">
        <v>31</v>
      </c>
      <c r="I1623" t="str">
        <f>LEFT(H1623,FIND(" (",H1623)-1)</f>
        <v>Staff/Principal</v>
      </c>
      <c r="J1623" t="str">
        <f>MID(H1623,FIND("(",H1623)+1,FIND(")",H1623)-FIND("(",H1623)-1)</f>
        <v>8+ yrs</v>
      </c>
      <c r="L1623">
        <v>148221</v>
      </c>
      <c r="M1623" t="s">
        <v>3369</v>
      </c>
      <c r="N1623" t="s">
        <v>33</v>
      </c>
      <c r="O1623" t="s">
        <v>22</v>
      </c>
      <c r="P1623" s="1">
        <v>45577</v>
      </c>
      <c r="Q1623">
        <v>1335</v>
      </c>
      <c r="R1623">
        <v>273</v>
      </c>
      <c r="S1623" t="s">
        <v>99</v>
      </c>
      <c r="T1623">
        <v>6</v>
      </c>
      <c r="U1623" t="s">
        <v>58</v>
      </c>
      <c r="V1623" t="s">
        <v>24</v>
      </c>
      <c r="W1623" t="s">
        <v>34</v>
      </c>
    </row>
    <row r="1624" spans="1:23" x14ac:dyDescent="0.3">
      <c r="A1624" t="s">
        <v>3370</v>
      </c>
      <c r="B1624" t="s">
        <v>143</v>
      </c>
      <c r="C1624" t="s">
        <v>107</v>
      </c>
      <c r="D1624" t="s">
        <v>49</v>
      </c>
      <c r="E1624" t="s">
        <v>5140</v>
      </c>
      <c r="F1624" t="s">
        <v>5133</v>
      </c>
      <c r="G1624" t="s">
        <v>18</v>
      </c>
      <c r="H1624" t="s">
        <v>31</v>
      </c>
      <c r="I1624" t="str">
        <f>LEFT(H1624,FIND(" (",H1624)-1)</f>
        <v>Staff/Principal</v>
      </c>
      <c r="J1624" t="str">
        <f>MID(H1624,FIND("(",H1624)+1,FIND(")",H1624)-FIND("(",H1624)-1)</f>
        <v>8+ yrs</v>
      </c>
      <c r="L1624">
        <v>233092</v>
      </c>
      <c r="M1624" t="s">
        <v>3371</v>
      </c>
      <c r="N1624" t="s">
        <v>43</v>
      </c>
      <c r="O1624" t="s">
        <v>51</v>
      </c>
      <c r="P1624" s="1">
        <v>45571</v>
      </c>
      <c r="Q1624">
        <v>1526</v>
      </c>
      <c r="R1624">
        <v>594</v>
      </c>
      <c r="S1624" t="s">
        <v>23</v>
      </c>
      <c r="T1624">
        <v>6</v>
      </c>
      <c r="U1624" t="s">
        <v>58</v>
      </c>
      <c r="V1624" t="s">
        <v>59</v>
      </c>
      <c r="W1624" t="s">
        <v>34</v>
      </c>
    </row>
    <row r="1625" spans="1:23" x14ac:dyDescent="0.3">
      <c r="A1625" t="s">
        <v>3372</v>
      </c>
      <c r="B1625" t="s">
        <v>151</v>
      </c>
      <c r="C1625" t="s">
        <v>158</v>
      </c>
      <c r="D1625" t="s">
        <v>147</v>
      </c>
      <c r="E1625" t="s">
        <v>230</v>
      </c>
      <c r="F1625" t="s">
        <v>231</v>
      </c>
      <c r="G1625" t="s">
        <v>18</v>
      </c>
      <c r="H1625" t="s">
        <v>56</v>
      </c>
      <c r="I1625" t="str">
        <f>LEFT(H1625,FIND(" (",H1625)-1)</f>
        <v>Mid</v>
      </c>
      <c r="J1625" t="str">
        <f>MID(H1625,FIND("(",H1625)+1,FIND(")",H1625)-FIND("(",H1625)-1)</f>
        <v>2-5 yrs</v>
      </c>
      <c r="L1625">
        <v>96770</v>
      </c>
      <c r="M1625" t="s">
        <v>3373</v>
      </c>
      <c r="N1625" t="s">
        <v>33</v>
      </c>
      <c r="O1625" t="s">
        <v>51</v>
      </c>
      <c r="P1625" s="1">
        <v>45475</v>
      </c>
      <c r="Q1625">
        <v>2002</v>
      </c>
      <c r="R1625">
        <v>414</v>
      </c>
      <c r="S1625" t="s">
        <v>23</v>
      </c>
      <c r="T1625">
        <v>2</v>
      </c>
      <c r="U1625" t="s">
        <v>52</v>
      </c>
      <c r="V1625" t="s">
        <v>24</v>
      </c>
      <c r="W1625" t="s">
        <v>23</v>
      </c>
    </row>
    <row r="1626" spans="1:23" x14ac:dyDescent="0.3">
      <c r="A1626" t="s">
        <v>3374</v>
      </c>
      <c r="B1626" t="s">
        <v>236</v>
      </c>
      <c r="C1626" t="s">
        <v>27</v>
      </c>
      <c r="D1626" t="s">
        <v>75</v>
      </c>
      <c r="E1626" t="s">
        <v>102</v>
      </c>
      <c r="F1626" t="s">
        <v>103</v>
      </c>
      <c r="G1626" t="s">
        <v>41</v>
      </c>
      <c r="H1626" t="s">
        <v>66</v>
      </c>
      <c r="I1626" t="str">
        <f>LEFT(H1626,FIND(" (",H1626)-1)</f>
        <v>Senior</v>
      </c>
      <c r="J1626" t="str">
        <f>MID(H1626,FIND("(",H1626)+1,FIND(")",H1626)-FIND("(",H1626)-1)</f>
        <v>5-8 yrs</v>
      </c>
      <c r="L1626">
        <v>200579</v>
      </c>
      <c r="M1626" t="s">
        <v>3375</v>
      </c>
      <c r="N1626" t="s">
        <v>33</v>
      </c>
      <c r="O1626" t="s">
        <v>44</v>
      </c>
      <c r="P1626" s="1">
        <v>45648</v>
      </c>
      <c r="Q1626">
        <v>1090</v>
      </c>
      <c r="R1626">
        <v>1877</v>
      </c>
      <c r="S1626" t="s">
        <v>23</v>
      </c>
      <c r="T1626">
        <v>4</v>
      </c>
      <c r="U1626" t="s">
        <v>45</v>
      </c>
      <c r="V1626" t="s">
        <v>24</v>
      </c>
      <c r="W1626" t="s">
        <v>23</v>
      </c>
    </row>
    <row r="1627" spans="1:23" x14ac:dyDescent="0.3">
      <c r="A1627" t="s">
        <v>3376</v>
      </c>
      <c r="B1627" t="s">
        <v>229</v>
      </c>
      <c r="C1627" t="s">
        <v>110</v>
      </c>
      <c r="D1627" t="s">
        <v>49</v>
      </c>
      <c r="E1627" t="s">
        <v>159</v>
      </c>
      <c r="F1627" t="s">
        <v>160</v>
      </c>
      <c r="G1627" t="s">
        <v>55</v>
      </c>
      <c r="H1627" t="s">
        <v>66</v>
      </c>
      <c r="I1627" t="str">
        <f>LEFT(H1627,FIND(" (",H1627)-1)</f>
        <v>Senior</v>
      </c>
      <c r="J1627" t="str">
        <f>MID(H1627,FIND("(",H1627)+1,FIND(")",H1627)-FIND("(",H1627)-1)</f>
        <v>5-8 yrs</v>
      </c>
      <c r="L1627">
        <v>179161</v>
      </c>
      <c r="M1627" t="s">
        <v>3377</v>
      </c>
      <c r="N1627" t="s">
        <v>149</v>
      </c>
      <c r="O1627" t="s">
        <v>79</v>
      </c>
      <c r="P1627" s="1">
        <v>45381</v>
      </c>
      <c r="Q1627">
        <v>951</v>
      </c>
      <c r="R1627">
        <v>3356</v>
      </c>
      <c r="S1627" t="s">
        <v>23</v>
      </c>
      <c r="T1627">
        <v>4</v>
      </c>
      <c r="U1627" t="s">
        <v>83</v>
      </c>
      <c r="V1627" t="s">
        <v>24</v>
      </c>
      <c r="W1627" t="s">
        <v>23</v>
      </c>
    </row>
    <row r="1628" spans="1:23" x14ac:dyDescent="0.3">
      <c r="A1628" t="s">
        <v>3378</v>
      </c>
      <c r="B1628" t="s">
        <v>172</v>
      </c>
      <c r="C1628" t="s">
        <v>124</v>
      </c>
      <c r="D1628" t="s">
        <v>28</v>
      </c>
      <c r="E1628" t="s">
        <v>133</v>
      </c>
      <c r="F1628" t="s">
        <v>134</v>
      </c>
      <c r="G1628" t="s">
        <v>41</v>
      </c>
      <c r="H1628" t="s">
        <v>31</v>
      </c>
      <c r="I1628" t="str">
        <f>LEFT(H1628,FIND(" (",H1628)-1)</f>
        <v>Staff/Principal</v>
      </c>
      <c r="J1628" t="str">
        <f>MID(H1628,FIND("(",H1628)+1,FIND(")",H1628)-FIND("(",H1628)-1)</f>
        <v>8+ yrs</v>
      </c>
      <c r="L1628">
        <v>183896</v>
      </c>
      <c r="M1628" t="s">
        <v>3379</v>
      </c>
      <c r="N1628" t="s">
        <v>245</v>
      </c>
      <c r="O1628" t="s">
        <v>79</v>
      </c>
      <c r="P1628" s="1">
        <v>45382</v>
      </c>
      <c r="Q1628">
        <v>1769</v>
      </c>
      <c r="R1628">
        <v>3296</v>
      </c>
      <c r="S1628" t="s">
        <v>99</v>
      </c>
      <c r="T1628">
        <v>6</v>
      </c>
      <c r="U1628" t="s">
        <v>83</v>
      </c>
      <c r="V1628" t="s">
        <v>24</v>
      </c>
      <c r="W1628" t="s">
        <v>23</v>
      </c>
    </row>
    <row r="1629" spans="1:23" x14ac:dyDescent="0.3">
      <c r="A1629" t="s">
        <v>3380</v>
      </c>
      <c r="B1629" t="s">
        <v>96</v>
      </c>
      <c r="C1629" t="s">
        <v>92</v>
      </c>
      <c r="D1629" t="s">
        <v>174</v>
      </c>
      <c r="E1629" t="s">
        <v>133</v>
      </c>
      <c r="F1629" t="s">
        <v>134</v>
      </c>
      <c r="G1629" t="s">
        <v>18</v>
      </c>
      <c r="H1629" t="s">
        <v>19</v>
      </c>
      <c r="I1629" t="str">
        <f>LEFT(H1629,FIND(" (",H1629)-1)</f>
        <v>Entry</v>
      </c>
      <c r="J1629" t="str">
        <f>MID(H1629,FIND("(",H1629)+1,FIND(")",H1629)-FIND("(",H1629)-1)</f>
        <v>0-2 yrs</v>
      </c>
      <c r="L1629">
        <v>86140</v>
      </c>
      <c r="M1629" t="s">
        <v>3381</v>
      </c>
      <c r="N1629" t="s">
        <v>33</v>
      </c>
      <c r="O1629" t="s">
        <v>79</v>
      </c>
      <c r="P1629" s="1">
        <v>45701</v>
      </c>
      <c r="Q1629">
        <v>1645</v>
      </c>
      <c r="R1629">
        <v>3940</v>
      </c>
      <c r="S1629" t="s">
        <v>23</v>
      </c>
      <c r="T1629">
        <v>0</v>
      </c>
      <c r="U1629" t="s">
        <v>45</v>
      </c>
      <c r="V1629" t="s">
        <v>24</v>
      </c>
      <c r="W1629" t="s">
        <v>34</v>
      </c>
    </row>
    <row r="1630" spans="1:23" x14ac:dyDescent="0.3">
      <c r="A1630" t="s">
        <v>3382</v>
      </c>
      <c r="B1630" t="s">
        <v>222</v>
      </c>
      <c r="C1630" t="s">
        <v>110</v>
      </c>
      <c r="D1630" t="s">
        <v>49</v>
      </c>
      <c r="E1630" t="s">
        <v>5132</v>
      </c>
      <c r="F1630" t="s">
        <v>5133</v>
      </c>
      <c r="G1630" t="s">
        <v>41</v>
      </c>
      <c r="H1630" t="s">
        <v>19</v>
      </c>
      <c r="I1630" t="str">
        <f>LEFT(H1630,FIND(" (",H1630)-1)</f>
        <v>Entry</v>
      </c>
      <c r="J1630" t="str">
        <f>MID(H1630,FIND("(",H1630)+1,FIND(")",H1630)-FIND("(",H1630)-1)</f>
        <v>0-2 yrs</v>
      </c>
      <c r="L1630">
        <v>70854</v>
      </c>
      <c r="M1630" t="s">
        <v>3383</v>
      </c>
      <c r="N1630" t="s">
        <v>33</v>
      </c>
      <c r="O1630" t="s">
        <v>51</v>
      </c>
      <c r="P1630" s="1">
        <v>45472</v>
      </c>
      <c r="Q1630">
        <v>2139</v>
      </c>
      <c r="R1630">
        <v>2436</v>
      </c>
      <c r="S1630" t="s">
        <v>23</v>
      </c>
      <c r="T1630">
        <v>0</v>
      </c>
      <c r="U1630" t="s">
        <v>52</v>
      </c>
      <c r="V1630" t="s">
        <v>24</v>
      </c>
      <c r="W1630" t="s">
        <v>34</v>
      </c>
    </row>
    <row r="1631" spans="1:23" x14ac:dyDescent="0.3">
      <c r="A1631" t="s">
        <v>3384</v>
      </c>
      <c r="B1631" t="s">
        <v>236</v>
      </c>
      <c r="C1631" t="s">
        <v>124</v>
      </c>
      <c r="D1631" t="s">
        <v>75</v>
      </c>
      <c r="E1631" t="s">
        <v>5139</v>
      </c>
      <c r="F1631" t="s">
        <v>5133</v>
      </c>
      <c r="G1631" t="s">
        <v>55</v>
      </c>
      <c r="H1631" t="s">
        <v>31</v>
      </c>
      <c r="I1631" t="str">
        <f>LEFT(H1631,FIND(" (",H1631)-1)</f>
        <v>Staff/Principal</v>
      </c>
      <c r="J1631" t="str">
        <f>MID(H1631,FIND("(",H1631)+1,FIND(")",H1631)-FIND("(",H1631)-1)</f>
        <v>8+ yrs</v>
      </c>
      <c r="L1631">
        <v>230699</v>
      </c>
      <c r="M1631" t="s">
        <v>3385</v>
      </c>
      <c r="N1631" t="s">
        <v>141</v>
      </c>
      <c r="O1631" t="s">
        <v>51</v>
      </c>
      <c r="P1631" s="1">
        <v>45518</v>
      </c>
      <c r="Q1631">
        <v>1760</v>
      </c>
      <c r="R1631">
        <v>3974</v>
      </c>
      <c r="S1631" t="s">
        <v>23</v>
      </c>
      <c r="T1631">
        <v>6</v>
      </c>
      <c r="U1631" t="s">
        <v>58</v>
      </c>
      <c r="V1631" t="s">
        <v>59</v>
      </c>
      <c r="W1631" t="s">
        <v>34</v>
      </c>
    </row>
    <row r="1632" spans="1:23" x14ac:dyDescent="0.3">
      <c r="A1632" t="s">
        <v>3386</v>
      </c>
      <c r="B1632" t="s">
        <v>13</v>
      </c>
      <c r="C1632" t="s">
        <v>132</v>
      </c>
      <c r="D1632" t="s">
        <v>15</v>
      </c>
      <c r="E1632" t="s">
        <v>102</v>
      </c>
      <c r="F1632" t="s">
        <v>103</v>
      </c>
      <c r="G1632" t="s">
        <v>18</v>
      </c>
      <c r="H1632" t="s">
        <v>66</v>
      </c>
      <c r="I1632" t="str">
        <f>LEFT(H1632,FIND(" (",H1632)-1)</f>
        <v>Senior</v>
      </c>
      <c r="J1632" t="str">
        <f>MID(H1632,FIND("(",H1632)+1,FIND(")",H1632)-FIND("(",H1632)-1)</f>
        <v>5-8 yrs</v>
      </c>
      <c r="L1632">
        <v>163087</v>
      </c>
      <c r="M1632" t="s">
        <v>3387</v>
      </c>
      <c r="N1632" t="s">
        <v>141</v>
      </c>
      <c r="O1632" t="s">
        <v>79</v>
      </c>
      <c r="P1632" s="1">
        <v>45689</v>
      </c>
      <c r="Q1632">
        <v>1101</v>
      </c>
      <c r="R1632">
        <v>1125</v>
      </c>
      <c r="S1632" t="s">
        <v>23</v>
      </c>
      <c r="T1632">
        <v>4</v>
      </c>
      <c r="U1632" t="s">
        <v>5123</v>
      </c>
      <c r="V1632" t="s">
        <v>24</v>
      </c>
      <c r="W1632" t="s">
        <v>23</v>
      </c>
    </row>
    <row r="1633" spans="1:23" x14ac:dyDescent="0.3">
      <c r="A1633" t="s">
        <v>3388</v>
      </c>
      <c r="B1633" t="s">
        <v>143</v>
      </c>
      <c r="C1633" t="s">
        <v>37</v>
      </c>
      <c r="D1633" t="s">
        <v>111</v>
      </c>
      <c r="E1633" t="s">
        <v>5140</v>
      </c>
      <c r="F1633" t="s">
        <v>5133</v>
      </c>
      <c r="G1633" t="s">
        <v>41</v>
      </c>
      <c r="H1633" t="s">
        <v>56</v>
      </c>
      <c r="I1633" t="str">
        <f>LEFT(H1633,FIND(" (",H1633)-1)</f>
        <v>Mid</v>
      </c>
      <c r="J1633" t="str">
        <f>MID(H1633,FIND("(",H1633)+1,FIND(")",H1633)-FIND("(",H1633)-1)</f>
        <v>2-5 yrs</v>
      </c>
      <c r="L1633">
        <v>93242</v>
      </c>
      <c r="M1633" t="s">
        <v>3389</v>
      </c>
      <c r="N1633" t="s">
        <v>33</v>
      </c>
      <c r="O1633" t="s">
        <v>44</v>
      </c>
      <c r="P1633" s="1">
        <v>45545</v>
      </c>
      <c r="Q1633">
        <v>2262</v>
      </c>
      <c r="R1633">
        <v>2374</v>
      </c>
      <c r="S1633" t="s">
        <v>99</v>
      </c>
      <c r="T1633">
        <v>2</v>
      </c>
      <c r="U1633" t="s">
        <v>83</v>
      </c>
      <c r="V1633" t="s">
        <v>24</v>
      </c>
      <c r="W1633" t="s">
        <v>34</v>
      </c>
    </row>
    <row r="1634" spans="1:23" x14ac:dyDescent="0.3">
      <c r="A1634" t="s">
        <v>3390</v>
      </c>
      <c r="B1634" t="s">
        <v>236</v>
      </c>
      <c r="C1634" t="s">
        <v>86</v>
      </c>
      <c r="D1634" t="s">
        <v>75</v>
      </c>
      <c r="E1634" t="s">
        <v>5135</v>
      </c>
      <c r="F1634" t="s">
        <v>5133</v>
      </c>
      <c r="G1634" t="s">
        <v>55</v>
      </c>
      <c r="H1634" t="s">
        <v>31</v>
      </c>
      <c r="I1634" t="str">
        <f>LEFT(H1634,FIND(" (",H1634)-1)</f>
        <v>Staff/Principal</v>
      </c>
      <c r="J1634" t="str">
        <f>MID(H1634,FIND("(",H1634)+1,FIND(")",H1634)-FIND("(",H1634)-1)</f>
        <v>8+ yrs</v>
      </c>
      <c r="L1634">
        <v>176832</v>
      </c>
      <c r="M1634" t="s">
        <v>3391</v>
      </c>
      <c r="N1634" t="s">
        <v>33</v>
      </c>
      <c r="O1634" t="s">
        <v>51</v>
      </c>
      <c r="P1634" s="1">
        <v>45730</v>
      </c>
      <c r="Q1634">
        <v>896</v>
      </c>
      <c r="R1634">
        <v>2112</v>
      </c>
      <c r="S1634" t="s">
        <v>23</v>
      </c>
      <c r="T1634">
        <v>6</v>
      </c>
      <c r="U1634" t="s">
        <v>83</v>
      </c>
      <c r="V1634" t="s">
        <v>59</v>
      </c>
      <c r="W1634" t="s">
        <v>23</v>
      </c>
    </row>
    <row r="1635" spans="1:23" x14ac:dyDescent="0.3">
      <c r="A1635" t="s">
        <v>3392</v>
      </c>
      <c r="B1635" t="s">
        <v>131</v>
      </c>
      <c r="C1635" t="s">
        <v>124</v>
      </c>
      <c r="D1635" t="s">
        <v>15</v>
      </c>
      <c r="E1635" t="s">
        <v>133</v>
      </c>
      <c r="F1635" t="s">
        <v>134</v>
      </c>
      <c r="G1635" t="s">
        <v>41</v>
      </c>
      <c r="H1635" t="s">
        <v>19</v>
      </c>
      <c r="I1635" t="str">
        <f>LEFT(H1635,FIND(" (",H1635)-1)</f>
        <v>Entry</v>
      </c>
      <c r="J1635" t="str">
        <f>MID(H1635,FIND("(",H1635)+1,FIND(")",H1635)-FIND("(",H1635)-1)</f>
        <v>0-2 yrs</v>
      </c>
      <c r="L1635">
        <v>82977</v>
      </c>
      <c r="M1635" t="s">
        <v>3393</v>
      </c>
      <c r="N1635" t="s">
        <v>21</v>
      </c>
      <c r="O1635" t="s">
        <v>51</v>
      </c>
      <c r="P1635" s="1">
        <v>45424</v>
      </c>
      <c r="Q1635">
        <v>2333</v>
      </c>
      <c r="R1635">
        <v>2415</v>
      </c>
      <c r="S1635" t="s">
        <v>23</v>
      </c>
      <c r="T1635">
        <v>0</v>
      </c>
      <c r="U1635" t="s">
        <v>83</v>
      </c>
      <c r="V1635" t="s">
        <v>46</v>
      </c>
      <c r="W1635" t="s">
        <v>23</v>
      </c>
    </row>
    <row r="1636" spans="1:23" x14ac:dyDescent="0.3">
      <c r="A1636" t="s">
        <v>3394</v>
      </c>
      <c r="B1636" t="s">
        <v>81</v>
      </c>
      <c r="C1636" t="s">
        <v>132</v>
      </c>
      <c r="D1636" t="s">
        <v>63</v>
      </c>
      <c r="E1636" t="s">
        <v>5132</v>
      </c>
      <c r="F1636" t="s">
        <v>5133</v>
      </c>
      <c r="G1636" t="s">
        <v>41</v>
      </c>
      <c r="H1636" t="s">
        <v>66</v>
      </c>
      <c r="I1636" t="str">
        <f>LEFT(H1636,FIND(" (",H1636)-1)</f>
        <v>Senior</v>
      </c>
      <c r="J1636" t="str">
        <f>MID(H1636,FIND("(",H1636)+1,FIND(")",H1636)-FIND("(",H1636)-1)</f>
        <v>5-8 yrs</v>
      </c>
      <c r="L1636">
        <v>140961</v>
      </c>
      <c r="M1636" t="s">
        <v>3395</v>
      </c>
      <c r="N1636" t="s">
        <v>33</v>
      </c>
      <c r="O1636" t="s">
        <v>51</v>
      </c>
      <c r="P1636" s="1">
        <v>45620</v>
      </c>
      <c r="Q1636">
        <v>997</v>
      </c>
      <c r="R1636">
        <v>3056</v>
      </c>
      <c r="S1636" t="s">
        <v>23</v>
      </c>
      <c r="T1636">
        <v>4</v>
      </c>
      <c r="U1636" t="s">
        <v>58</v>
      </c>
      <c r="V1636" t="s">
        <v>24</v>
      </c>
      <c r="W1636" t="s">
        <v>23</v>
      </c>
    </row>
    <row r="1637" spans="1:23" x14ac:dyDescent="0.3">
      <c r="A1637" t="s">
        <v>3396</v>
      </c>
      <c r="B1637" t="s">
        <v>81</v>
      </c>
      <c r="C1637" t="s">
        <v>107</v>
      </c>
      <c r="D1637" t="s">
        <v>28</v>
      </c>
      <c r="E1637" t="s">
        <v>230</v>
      </c>
      <c r="F1637" t="s">
        <v>231</v>
      </c>
      <c r="G1637" t="s">
        <v>41</v>
      </c>
      <c r="H1637" t="s">
        <v>56</v>
      </c>
      <c r="I1637" t="str">
        <f>LEFT(H1637,FIND(" (",H1637)-1)</f>
        <v>Mid</v>
      </c>
      <c r="J1637" t="str">
        <f>MID(H1637,FIND("(",H1637)+1,FIND(")",H1637)-FIND("(",H1637)-1)</f>
        <v>2-5 yrs</v>
      </c>
      <c r="L1637">
        <v>102007</v>
      </c>
      <c r="M1637" t="s">
        <v>3397</v>
      </c>
      <c r="N1637" t="s">
        <v>33</v>
      </c>
      <c r="O1637" t="s">
        <v>22</v>
      </c>
      <c r="P1637" s="1">
        <v>45717</v>
      </c>
      <c r="Q1637">
        <v>2411</v>
      </c>
      <c r="R1637">
        <v>867</v>
      </c>
      <c r="S1637" t="s">
        <v>99</v>
      </c>
      <c r="T1637">
        <v>2</v>
      </c>
      <c r="U1637" t="s">
        <v>83</v>
      </c>
      <c r="V1637" t="s">
        <v>24</v>
      </c>
      <c r="W1637" t="s">
        <v>23</v>
      </c>
    </row>
    <row r="1638" spans="1:23" x14ac:dyDescent="0.3">
      <c r="A1638" t="s">
        <v>3398</v>
      </c>
      <c r="B1638" t="s">
        <v>143</v>
      </c>
      <c r="C1638" t="s">
        <v>192</v>
      </c>
      <c r="D1638" t="s">
        <v>174</v>
      </c>
      <c r="E1638" t="s">
        <v>39</v>
      </c>
      <c r="F1638" t="s">
        <v>40</v>
      </c>
      <c r="G1638" t="s">
        <v>55</v>
      </c>
      <c r="H1638" t="s">
        <v>19</v>
      </c>
      <c r="I1638" t="str">
        <f>LEFT(H1638,FIND(" (",H1638)-1)</f>
        <v>Entry</v>
      </c>
      <c r="J1638" t="str">
        <f>MID(H1638,FIND("(",H1638)+1,FIND(")",H1638)-FIND("(",H1638)-1)</f>
        <v>0-2 yrs</v>
      </c>
      <c r="L1638">
        <v>57965</v>
      </c>
      <c r="M1638" t="s">
        <v>3399</v>
      </c>
      <c r="N1638" t="s">
        <v>33</v>
      </c>
      <c r="O1638" t="s">
        <v>51</v>
      </c>
      <c r="P1638" s="1">
        <v>45652</v>
      </c>
      <c r="Q1638">
        <v>595</v>
      </c>
      <c r="R1638">
        <v>1559</v>
      </c>
      <c r="S1638" t="s">
        <v>23</v>
      </c>
      <c r="T1638">
        <v>0</v>
      </c>
      <c r="U1638" t="s">
        <v>45</v>
      </c>
      <c r="V1638" t="s">
        <v>46</v>
      </c>
      <c r="W1638" t="s">
        <v>34</v>
      </c>
    </row>
    <row r="1639" spans="1:23" x14ac:dyDescent="0.3">
      <c r="A1639" t="s">
        <v>3400</v>
      </c>
      <c r="B1639" t="s">
        <v>81</v>
      </c>
      <c r="C1639" t="s">
        <v>146</v>
      </c>
      <c r="D1639" t="s">
        <v>147</v>
      </c>
      <c r="E1639" t="s">
        <v>159</v>
      </c>
      <c r="F1639" t="s">
        <v>160</v>
      </c>
      <c r="G1639" t="s">
        <v>55</v>
      </c>
      <c r="H1639" t="s">
        <v>19</v>
      </c>
      <c r="I1639" t="str">
        <f>LEFT(H1639,FIND(" (",H1639)-1)</f>
        <v>Entry</v>
      </c>
      <c r="J1639" t="str">
        <f>MID(H1639,FIND("(",H1639)+1,FIND(")",H1639)-FIND("(",H1639)-1)</f>
        <v>0-2 yrs</v>
      </c>
      <c r="L1639">
        <v>75337</v>
      </c>
      <c r="M1639" t="s">
        <v>3401</v>
      </c>
      <c r="N1639" t="s">
        <v>89</v>
      </c>
      <c r="O1639" t="s">
        <v>22</v>
      </c>
      <c r="P1639" s="1">
        <v>45647</v>
      </c>
      <c r="Q1639">
        <v>1091</v>
      </c>
      <c r="R1639">
        <v>1305</v>
      </c>
      <c r="S1639" t="s">
        <v>23</v>
      </c>
      <c r="T1639">
        <v>0</v>
      </c>
      <c r="U1639" t="s">
        <v>5123</v>
      </c>
      <c r="V1639" t="s">
        <v>24</v>
      </c>
      <c r="W1639" t="s">
        <v>23</v>
      </c>
    </row>
    <row r="1640" spans="1:23" x14ac:dyDescent="0.3">
      <c r="A1640" t="s">
        <v>3402</v>
      </c>
      <c r="B1640" t="s">
        <v>137</v>
      </c>
      <c r="C1640" t="s">
        <v>209</v>
      </c>
      <c r="D1640" t="s">
        <v>75</v>
      </c>
      <c r="E1640" t="s">
        <v>64</v>
      </c>
      <c r="F1640" t="s">
        <v>65</v>
      </c>
      <c r="G1640" t="s">
        <v>18</v>
      </c>
      <c r="H1640" t="s">
        <v>56</v>
      </c>
      <c r="I1640" t="str">
        <f>LEFT(H1640,FIND(" (",H1640)-1)</f>
        <v>Mid</v>
      </c>
      <c r="J1640" t="str">
        <f>MID(H1640,FIND("(",H1640)+1,FIND(")",H1640)-FIND("(",H1640)-1)</f>
        <v>2-5 yrs</v>
      </c>
      <c r="L1640">
        <v>150837</v>
      </c>
      <c r="M1640" t="s">
        <v>3403</v>
      </c>
      <c r="N1640" t="s">
        <v>43</v>
      </c>
      <c r="O1640" t="s">
        <v>51</v>
      </c>
      <c r="P1640" s="1">
        <v>45658</v>
      </c>
      <c r="Q1640">
        <v>477</v>
      </c>
      <c r="R1640">
        <v>2992</v>
      </c>
      <c r="S1640" t="s">
        <v>34</v>
      </c>
      <c r="T1640">
        <v>2</v>
      </c>
      <c r="U1640" t="s">
        <v>5123</v>
      </c>
      <c r="V1640" t="s">
        <v>59</v>
      </c>
      <c r="W1640" t="s">
        <v>23</v>
      </c>
    </row>
    <row r="1641" spans="1:23" x14ac:dyDescent="0.3">
      <c r="A1641" t="s">
        <v>3404</v>
      </c>
      <c r="B1641" t="s">
        <v>137</v>
      </c>
      <c r="C1641" t="s">
        <v>209</v>
      </c>
      <c r="D1641" t="s">
        <v>28</v>
      </c>
      <c r="E1641" t="s">
        <v>87</v>
      </c>
      <c r="F1641" t="s">
        <v>87</v>
      </c>
      <c r="G1641" t="s">
        <v>18</v>
      </c>
      <c r="H1641" t="s">
        <v>66</v>
      </c>
      <c r="I1641" t="str">
        <f>LEFT(H1641,FIND(" (",H1641)-1)</f>
        <v>Senior</v>
      </c>
      <c r="J1641" t="str">
        <f>MID(H1641,FIND("(",H1641)+1,FIND(")",H1641)-FIND("(",H1641)-1)</f>
        <v>5-8 yrs</v>
      </c>
      <c r="L1641">
        <v>121176</v>
      </c>
      <c r="M1641" t="s">
        <v>3405</v>
      </c>
      <c r="N1641" t="s">
        <v>89</v>
      </c>
      <c r="O1641" t="s">
        <v>51</v>
      </c>
      <c r="P1641" s="1">
        <v>45413</v>
      </c>
      <c r="Q1641">
        <v>519</v>
      </c>
      <c r="R1641">
        <v>781</v>
      </c>
      <c r="S1641" t="s">
        <v>34</v>
      </c>
      <c r="T1641">
        <v>4</v>
      </c>
      <c r="U1641" t="s">
        <v>52</v>
      </c>
      <c r="V1641" t="s">
        <v>24</v>
      </c>
      <c r="W1641" t="s">
        <v>23</v>
      </c>
    </row>
    <row r="1642" spans="1:23" x14ac:dyDescent="0.3">
      <c r="A1642" t="s">
        <v>3406</v>
      </c>
      <c r="B1642" t="s">
        <v>70</v>
      </c>
      <c r="C1642" t="s">
        <v>226</v>
      </c>
      <c r="D1642" t="s">
        <v>63</v>
      </c>
      <c r="E1642" t="s">
        <v>5139</v>
      </c>
      <c r="F1642" t="s">
        <v>5133</v>
      </c>
      <c r="G1642" t="s">
        <v>41</v>
      </c>
      <c r="H1642" t="s">
        <v>66</v>
      </c>
      <c r="I1642" t="str">
        <f>LEFT(H1642,FIND(" (",H1642)-1)</f>
        <v>Senior</v>
      </c>
      <c r="J1642" t="str">
        <f>MID(H1642,FIND("(",H1642)+1,FIND(")",H1642)-FIND("(",H1642)-1)</f>
        <v>5-8 yrs</v>
      </c>
      <c r="L1642">
        <v>150653</v>
      </c>
      <c r="M1642" t="s">
        <v>3407</v>
      </c>
      <c r="N1642" t="s">
        <v>43</v>
      </c>
      <c r="O1642" t="s">
        <v>79</v>
      </c>
      <c r="P1642" s="1">
        <v>45460</v>
      </c>
      <c r="Q1642">
        <v>471</v>
      </c>
      <c r="R1642">
        <v>3750</v>
      </c>
      <c r="S1642" t="s">
        <v>99</v>
      </c>
      <c r="T1642">
        <v>4</v>
      </c>
      <c r="U1642" t="s">
        <v>5123</v>
      </c>
      <c r="V1642" t="s">
        <v>24</v>
      </c>
      <c r="W1642" t="s">
        <v>34</v>
      </c>
    </row>
    <row r="1643" spans="1:23" x14ac:dyDescent="0.3">
      <c r="A1643" t="s">
        <v>3408</v>
      </c>
      <c r="B1643" t="s">
        <v>36</v>
      </c>
      <c r="C1643" t="s">
        <v>101</v>
      </c>
      <c r="D1643" t="s">
        <v>125</v>
      </c>
      <c r="E1643" t="s">
        <v>87</v>
      </c>
      <c r="F1643" t="s">
        <v>87</v>
      </c>
      <c r="G1643" t="s">
        <v>18</v>
      </c>
      <c r="H1643" t="s">
        <v>19</v>
      </c>
      <c r="I1643" t="str">
        <f>LEFT(H1643,FIND(" (",H1643)-1)</f>
        <v>Entry</v>
      </c>
      <c r="J1643" t="str">
        <f>MID(H1643,FIND("(",H1643)+1,FIND(")",H1643)-FIND("(",H1643)-1)</f>
        <v>0-2 yrs</v>
      </c>
      <c r="L1643">
        <v>87793</v>
      </c>
      <c r="M1643" t="s">
        <v>3409</v>
      </c>
      <c r="N1643" t="s">
        <v>33</v>
      </c>
      <c r="O1643" t="s">
        <v>22</v>
      </c>
      <c r="P1643" s="1">
        <v>45450</v>
      </c>
      <c r="Q1643">
        <v>1321</v>
      </c>
      <c r="R1643">
        <v>3807</v>
      </c>
      <c r="S1643" t="s">
        <v>23</v>
      </c>
      <c r="T1643">
        <v>0</v>
      </c>
      <c r="U1643" t="s">
        <v>5123</v>
      </c>
      <c r="V1643" t="s">
        <v>46</v>
      </c>
      <c r="W1643" t="s">
        <v>34</v>
      </c>
    </row>
    <row r="1644" spans="1:23" x14ac:dyDescent="0.3">
      <c r="A1644" t="s">
        <v>3410</v>
      </c>
      <c r="B1644" t="s">
        <v>151</v>
      </c>
      <c r="C1644" t="s">
        <v>226</v>
      </c>
      <c r="D1644" t="s">
        <v>147</v>
      </c>
      <c r="E1644" t="s">
        <v>5132</v>
      </c>
      <c r="F1644" t="s">
        <v>5133</v>
      </c>
      <c r="G1644" t="s">
        <v>18</v>
      </c>
      <c r="H1644" t="s">
        <v>31</v>
      </c>
      <c r="I1644" t="str">
        <f>LEFT(H1644,FIND(" (",H1644)-1)</f>
        <v>Staff/Principal</v>
      </c>
      <c r="J1644" t="str">
        <f>MID(H1644,FIND("(",H1644)+1,FIND(")",H1644)-FIND("(",H1644)-1)</f>
        <v>8+ yrs</v>
      </c>
      <c r="L1644">
        <v>197132</v>
      </c>
      <c r="M1644" t="s">
        <v>3411</v>
      </c>
      <c r="N1644" t="s">
        <v>186</v>
      </c>
      <c r="O1644" t="s">
        <v>22</v>
      </c>
      <c r="P1644" s="1">
        <v>45668</v>
      </c>
      <c r="Q1644">
        <v>2017</v>
      </c>
      <c r="R1644">
        <v>2293</v>
      </c>
      <c r="S1644" t="s">
        <v>23</v>
      </c>
      <c r="T1644">
        <v>6</v>
      </c>
      <c r="U1644" t="s">
        <v>52</v>
      </c>
      <c r="V1644" t="s">
        <v>24</v>
      </c>
      <c r="W1644" t="s">
        <v>23</v>
      </c>
    </row>
    <row r="1645" spans="1:23" x14ac:dyDescent="0.3">
      <c r="A1645" t="s">
        <v>3412</v>
      </c>
      <c r="B1645" t="s">
        <v>225</v>
      </c>
      <c r="C1645" t="s">
        <v>192</v>
      </c>
      <c r="D1645" t="s">
        <v>63</v>
      </c>
      <c r="E1645" t="s">
        <v>5132</v>
      </c>
      <c r="F1645" t="s">
        <v>5133</v>
      </c>
      <c r="G1645" t="s">
        <v>55</v>
      </c>
      <c r="H1645" t="s">
        <v>66</v>
      </c>
      <c r="I1645" t="str">
        <f>LEFT(H1645,FIND(" (",H1645)-1)</f>
        <v>Senior</v>
      </c>
      <c r="J1645" t="str">
        <f>MID(H1645,FIND("(",H1645)+1,FIND(")",H1645)-FIND("(",H1645)-1)</f>
        <v>5-8 yrs</v>
      </c>
      <c r="L1645">
        <v>162214</v>
      </c>
      <c r="M1645" t="s">
        <v>3413</v>
      </c>
      <c r="N1645" t="s">
        <v>89</v>
      </c>
      <c r="O1645" t="s">
        <v>44</v>
      </c>
      <c r="P1645" s="1">
        <v>45466</v>
      </c>
      <c r="Q1645">
        <v>1576</v>
      </c>
      <c r="R1645">
        <v>3790</v>
      </c>
      <c r="S1645" t="s">
        <v>23</v>
      </c>
      <c r="T1645">
        <v>4</v>
      </c>
      <c r="U1645" t="s">
        <v>52</v>
      </c>
      <c r="V1645" t="s">
        <v>24</v>
      </c>
      <c r="W1645" t="s">
        <v>23</v>
      </c>
    </row>
    <row r="1646" spans="1:23" x14ac:dyDescent="0.3">
      <c r="A1646" t="s">
        <v>3414</v>
      </c>
      <c r="B1646" t="s">
        <v>106</v>
      </c>
      <c r="C1646" t="s">
        <v>116</v>
      </c>
      <c r="D1646" t="s">
        <v>38</v>
      </c>
      <c r="E1646" t="s">
        <v>16</v>
      </c>
      <c r="F1646" t="s">
        <v>17</v>
      </c>
      <c r="G1646" t="s">
        <v>41</v>
      </c>
      <c r="H1646" t="s">
        <v>19</v>
      </c>
      <c r="I1646" t="str">
        <f>LEFT(H1646,FIND(" (",H1646)-1)</f>
        <v>Entry</v>
      </c>
      <c r="J1646" t="str">
        <f>MID(H1646,FIND("(",H1646)+1,FIND(")",H1646)-FIND("(",H1646)-1)</f>
        <v>0-2 yrs</v>
      </c>
      <c r="L1646">
        <v>56613</v>
      </c>
      <c r="M1646" t="s">
        <v>3415</v>
      </c>
      <c r="N1646" t="s">
        <v>33</v>
      </c>
      <c r="O1646" t="s">
        <v>51</v>
      </c>
      <c r="P1646" s="1">
        <v>45502</v>
      </c>
      <c r="Q1646">
        <v>1844</v>
      </c>
      <c r="R1646">
        <v>2962</v>
      </c>
      <c r="S1646" t="s">
        <v>23</v>
      </c>
      <c r="T1646">
        <v>0</v>
      </c>
      <c r="U1646" t="s">
        <v>52</v>
      </c>
      <c r="V1646" t="s">
        <v>46</v>
      </c>
      <c r="W1646" t="s">
        <v>34</v>
      </c>
    </row>
    <row r="1647" spans="1:23" x14ac:dyDescent="0.3">
      <c r="A1647" t="s">
        <v>3416</v>
      </c>
      <c r="B1647" t="s">
        <v>143</v>
      </c>
      <c r="C1647" t="s">
        <v>48</v>
      </c>
      <c r="D1647" t="s">
        <v>15</v>
      </c>
      <c r="E1647" t="s">
        <v>102</v>
      </c>
      <c r="F1647" t="s">
        <v>103</v>
      </c>
      <c r="G1647" t="s">
        <v>55</v>
      </c>
      <c r="H1647" t="s">
        <v>19</v>
      </c>
      <c r="I1647" t="str">
        <f>LEFT(H1647,FIND(" (",H1647)-1)</f>
        <v>Entry</v>
      </c>
      <c r="J1647" t="str">
        <f>MID(H1647,FIND("(",H1647)+1,FIND(")",H1647)-FIND("(",H1647)-1)</f>
        <v>0-2 yrs</v>
      </c>
      <c r="L1647">
        <v>75396</v>
      </c>
      <c r="M1647" t="s">
        <v>3417</v>
      </c>
      <c r="N1647" t="s">
        <v>33</v>
      </c>
      <c r="O1647" t="s">
        <v>51</v>
      </c>
      <c r="P1647" s="1">
        <v>45386</v>
      </c>
      <c r="Q1647">
        <v>2175</v>
      </c>
      <c r="R1647">
        <v>3177</v>
      </c>
      <c r="S1647" t="s">
        <v>23</v>
      </c>
      <c r="T1647">
        <v>0</v>
      </c>
      <c r="U1647" t="s">
        <v>58</v>
      </c>
      <c r="V1647" t="s">
        <v>24</v>
      </c>
      <c r="W1647" t="s">
        <v>23</v>
      </c>
    </row>
    <row r="1648" spans="1:23" x14ac:dyDescent="0.3">
      <c r="A1648" t="s">
        <v>3418</v>
      </c>
      <c r="B1648" t="s">
        <v>151</v>
      </c>
      <c r="C1648" t="s">
        <v>173</v>
      </c>
      <c r="D1648" t="s">
        <v>28</v>
      </c>
      <c r="E1648" t="s">
        <v>5132</v>
      </c>
      <c r="F1648" t="s">
        <v>5133</v>
      </c>
      <c r="G1648" t="s">
        <v>41</v>
      </c>
      <c r="H1648" t="s">
        <v>19</v>
      </c>
      <c r="I1648" t="str">
        <f>LEFT(H1648,FIND(" (",H1648)-1)</f>
        <v>Entry</v>
      </c>
      <c r="J1648" t="str">
        <f>MID(H1648,FIND("(",H1648)+1,FIND(")",H1648)-FIND("(",H1648)-1)</f>
        <v>0-2 yrs</v>
      </c>
      <c r="L1648">
        <v>67641</v>
      </c>
      <c r="M1648" t="s">
        <v>3419</v>
      </c>
      <c r="N1648" t="s">
        <v>33</v>
      </c>
      <c r="O1648" t="s">
        <v>51</v>
      </c>
      <c r="P1648" s="1">
        <v>45380</v>
      </c>
      <c r="Q1648">
        <v>2172</v>
      </c>
      <c r="R1648">
        <v>1797</v>
      </c>
      <c r="S1648" t="s">
        <v>23</v>
      </c>
      <c r="T1648">
        <v>0</v>
      </c>
      <c r="U1648" t="s">
        <v>52</v>
      </c>
      <c r="V1648" t="s">
        <v>59</v>
      </c>
      <c r="W1648" t="s">
        <v>34</v>
      </c>
    </row>
    <row r="1649" spans="1:23" x14ac:dyDescent="0.3">
      <c r="A1649" t="s">
        <v>3420</v>
      </c>
      <c r="B1649" t="s">
        <v>70</v>
      </c>
      <c r="C1649" t="s">
        <v>107</v>
      </c>
      <c r="D1649" t="s">
        <v>111</v>
      </c>
      <c r="E1649" t="s">
        <v>29</v>
      </c>
      <c r="F1649" t="s">
        <v>30</v>
      </c>
      <c r="G1649" t="s">
        <v>41</v>
      </c>
      <c r="H1649" t="s">
        <v>56</v>
      </c>
      <c r="I1649" t="str">
        <f>LEFT(H1649,FIND(" (",H1649)-1)</f>
        <v>Mid</v>
      </c>
      <c r="J1649" t="str">
        <f>MID(H1649,FIND("(",H1649)+1,FIND(")",H1649)-FIND("(",H1649)-1)</f>
        <v>2-5 yrs</v>
      </c>
      <c r="L1649">
        <v>129517</v>
      </c>
      <c r="M1649" t="s">
        <v>3421</v>
      </c>
      <c r="N1649" t="s">
        <v>33</v>
      </c>
      <c r="O1649" t="s">
        <v>22</v>
      </c>
      <c r="P1649" s="1">
        <v>45710</v>
      </c>
      <c r="Q1649">
        <v>1847</v>
      </c>
      <c r="R1649">
        <v>3217</v>
      </c>
      <c r="S1649" t="s">
        <v>23</v>
      </c>
      <c r="T1649">
        <v>2</v>
      </c>
      <c r="U1649" t="s">
        <v>52</v>
      </c>
      <c r="V1649" t="s">
        <v>24</v>
      </c>
      <c r="W1649" t="s">
        <v>23</v>
      </c>
    </row>
    <row r="1650" spans="1:23" x14ac:dyDescent="0.3">
      <c r="A1650" t="s">
        <v>3422</v>
      </c>
      <c r="B1650" t="s">
        <v>91</v>
      </c>
      <c r="C1650" t="s">
        <v>146</v>
      </c>
      <c r="D1650" t="s">
        <v>28</v>
      </c>
      <c r="E1650" t="s">
        <v>159</v>
      </c>
      <c r="F1650" t="s">
        <v>160</v>
      </c>
      <c r="G1650" t="s">
        <v>18</v>
      </c>
      <c r="H1650" t="s">
        <v>19</v>
      </c>
      <c r="I1650" t="str">
        <f>LEFT(H1650,FIND(" (",H1650)-1)</f>
        <v>Entry</v>
      </c>
      <c r="J1650" t="str">
        <f>MID(H1650,FIND("(",H1650)+1,FIND(")",H1650)-FIND("(",H1650)-1)</f>
        <v>0-2 yrs</v>
      </c>
      <c r="L1650">
        <v>84961</v>
      </c>
      <c r="M1650" t="s">
        <v>3423</v>
      </c>
      <c r="N1650" t="s">
        <v>89</v>
      </c>
      <c r="O1650" t="s">
        <v>22</v>
      </c>
      <c r="P1650" s="1">
        <v>45380</v>
      </c>
      <c r="Q1650">
        <v>521</v>
      </c>
      <c r="R1650">
        <v>1302</v>
      </c>
      <c r="S1650" t="s">
        <v>23</v>
      </c>
      <c r="T1650">
        <v>0</v>
      </c>
      <c r="U1650" t="s">
        <v>83</v>
      </c>
      <c r="V1650" t="s">
        <v>24</v>
      </c>
      <c r="W1650" t="s">
        <v>23</v>
      </c>
    </row>
    <row r="1651" spans="1:23" x14ac:dyDescent="0.3">
      <c r="A1651" t="s">
        <v>3424</v>
      </c>
      <c r="B1651" t="s">
        <v>26</v>
      </c>
      <c r="C1651" t="s">
        <v>116</v>
      </c>
      <c r="D1651" t="s">
        <v>15</v>
      </c>
      <c r="E1651" t="s">
        <v>102</v>
      </c>
      <c r="F1651" t="s">
        <v>103</v>
      </c>
      <c r="G1651" t="s">
        <v>55</v>
      </c>
      <c r="H1651" t="s">
        <v>31</v>
      </c>
      <c r="I1651" t="str">
        <f>LEFT(H1651,FIND(" (",H1651)-1)</f>
        <v>Staff/Principal</v>
      </c>
      <c r="J1651" t="str">
        <f>MID(H1651,FIND("(",H1651)+1,FIND(")",H1651)-FIND("(",H1651)-1)</f>
        <v>8+ yrs</v>
      </c>
      <c r="L1651">
        <v>293224</v>
      </c>
      <c r="M1651" t="s">
        <v>3425</v>
      </c>
      <c r="N1651" t="s">
        <v>94</v>
      </c>
      <c r="O1651" t="s">
        <v>79</v>
      </c>
      <c r="P1651" s="1">
        <v>45366</v>
      </c>
      <c r="Q1651">
        <v>985</v>
      </c>
      <c r="R1651">
        <v>1736</v>
      </c>
      <c r="S1651" t="s">
        <v>99</v>
      </c>
      <c r="T1651">
        <v>6</v>
      </c>
      <c r="U1651" t="s">
        <v>83</v>
      </c>
      <c r="V1651" t="s">
        <v>24</v>
      </c>
      <c r="W1651" t="s">
        <v>34</v>
      </c>
    </row>
    <row r="1652" spans="1:23" x14ac:dyDescent="0.3">
      <c r="A1652" t="s">
        <v>3426</v>
      </c>
      <c r="B1652" t="s">
        <v>329</v>
      </c>
      <c r="C1652" t="s">
        <v>14</v>
      </c>
      <c r="D1652" t="s">
        <v>15</v>
      </c>
      <c r="E1652" t="s">
        <v>5141</v>
      </c>
      <c r="F1652" t="s">
        <v>5133</v>
      </c>
      <c r="G1652" t="s">
        <v>41</v>
      </c>
      <c r="H1652" t="s">
        <v>31</v>
      </c>
      <c r="I1652" t="str">
        <f>LEFT(H1652,FIND(" (",H1652)-1)</f>
        <v>Staff/Principal</v>
      </c>
      <c r="J1652" t="str">
        <f>MID(H1652,FIND("(",H1652)+1,FIND(")",H1652)-FIND("(",H1652)-1)</f>
        <v>8+ yrs</v>
      </c>
      <c r="L1652">
        <v>220866</v>
      </c>
      <c r="M1652" t="s">
        <v>3427</v>
      </c>
      <c r="N1652" t="s">
        <v>21</v>
      </c>
      <c r="O1652" t="s">
        <v>51</v>
      </c>
      <c r="P1652" s="1">
        <v>45457</v>
      </c>
      <c r="Q1652">
        <v>1386</v>
      </c>
      <c r="R1652">
        <v>1812</v>
      </c>
      <c r="S1652" t="s">
        <v>34</v>
      </c>
      <c r="T1652">
        <v>6</v>
      </c>
      <c r="U1652" t="s">
        <v>45</v>
      </c>
      <c r="V1652" t="s">
        <v>59</v>
      </c>
      <c r="W1652" t="s">
        <v>23</v>
      </c>
    </row>
    <row r="1653" spans="1:23" x14ac:dyDescent="0.3">
      <c r="A1653" t="s">
        <v>3428</v>
      </c>
      <c r="B1653" t="s">
        <v>222</v>
      </c>
      <c r="C1653" t="s">
        <v>124</v>
      </c>
      <c r="D1653" t="s">
        <v>111</v>
      </c>
      <c r="E1653" t="s">
        <v>39</v>
      </c>
      <c r="F1653" t="s">
        <v>40</v>
      </c>
      <c r="G1653" t="s">
        <v>18</v>
      </c>
      <c r="H1653" t="s">
        <v>66</v>
      </c>
      <c r="I1653" t="str">
        <f>LEFT(H1653,FIND(" (",H1653)-1)</f>
        <v>Senior</v>
      </c>
      <c r="J1653" t="str">
        <f>MID(H1653,FIND("(",H1653)+1,FIND(")",H1653)-FIND("(",H1653)-1)</f>
        <v>5-8 yrs</v>
      </c>
      <c r="L1653">
        <v>158796</v>
      </c>
      <c r="M1653" t="s">
        <v>3429</v>
      </c>
      <c r="N1653" t="s">
        <v>89</v>
      </c>
      <c r="O1653" t="s">
        <v>22</v>
      </c>
      <c r="P1653" s="1">
        <v>45573</v>
      </c>
      <c r="Q1653">
        <v>1602</v>
      </c>
      <c r="R1653">
        <v>1970</v>
      </c>
      <c r="S1653" t="s">
        <v>23</v>
      </c>
      <c r="T1653">
        <v>4</v>
      </c>
      <c r="U1653" t="s">
        <v>5123</v>
      </c>
      <c r="V1653" t="s">
        <v>46</v>
      </c>
      <c r="W1653" t="s">
        <v>34</v>
      </c>
    </row>
    <row r="1654" spans="1:23" x14ac:dyDescent="0.3">
      <c r="A1654" t="s">
        <v>3430</v>
      </c>
      <c r="B1654" t="s">
        <v>85</v>
      </c>
      <c r="C1654" t="s">
        <v>209</v>
      </c>
      <c r="D1654" t="s">
        <v>147</v>
      </c>
      <c r="E1654" t="s">
        <v>64</v>
      </c>
      <c r="F1654" t="s">
        <v>65</v>
      </c>
      <c r="G1654" t="s">
        <v>41</v>
      </c>
      <c r="H1654" t="s">
        <v>31</v>
      </c>
      <c r="I1654" t="str">
        <f>LEFT(H1654,FIND(" (",H1654)-1)</f>
        <v>Staff/Principal</v>
      </c>
      <c r="J1654" t="str">
        <f>MID(H1654,FIND("(",H1654)+1,FIND(")",H1654)-FIND("(",H1654)-1)</f>
        <v>8+ yrs</v>
      </c>
      <c r="L1654">
        <v>206997</v>
      </c>
      <c r="M1654" t="s">
        <v>3431</v>
      </c>
      <c r="N1654" t="s">
        <v>33</v>
      </c>
      <c r="O1654" t="s">
        <v>51</v>
      </c>
      <c r="P1654" s="1">
        <v>45371</v>
      </c>
      <c r="Q1654">
        <v>591</v>
      </c>
      <c r="R1654">
        <v>2907</v>
      </c>
      <c r="S1654" t="s">
        <v>23</v>
      </c>
      <c r="T1654">
        <v>6</v>
      </c>
      <c r="U1654" t="s">
        <v>58</v>
      </c>
      <c r="V1654" t="s">
        <v>24</v>
      </c>
      <c r="W1654" t="s">
        <v>34</v>
      </c>
    </row>
    <row r="1655" spans="1:23" x14ac:dyDescent="0.3">
      <c r="A1655" t="s">
        <v>3432</v>
      </c>
      <c r="B1655" t="s">
        <v>151</v>
      </c>
      <c r="C1655" t="s">
        <v>158</v>
      </c>
      <c r="D1655" t="s">
        <v>38</v>
      </c>
      <c r="E1655" t="s">
        <v>87</v>
      </c>
      <c r="F1655" t="s">
        <v>87</v>
      </c>
      <c r="G1655" t="s">
        <v>55</v>
      </c>
      <c r="H1655" t="s">
        <v>66</v>
      </c>
      <c r="I1655" t="str">
        <f>LEFT(H1655,FIND(" (",H1655)-1)</f>
        <v>Senior</v>
      </c>
      <c r="J1655" t="str">
        <f>MID(H1655,FIND("(",H1655)+1,FIND(")",H1655)-FIND("(",H1655)-1)</f>
        <v>5-8 yrs</v>
      </c>
      <c r="L1655">
        <v>140464</v>
      </c>
      <c r="M1655" t="s">
        <v>3433</v>
      </c>
      <c r="N1655" t="s">
        <v>186</v>
      </c>
      <c r="O1655" t="s">
        <v>22</v>
      </c>
      <c r="P1655" s="1">
        <v>45330</v>
      </c>
      <c r="Q1655">
        <v>1944</v>
      </c>
      <c r="R1655">
        <v>1558</v>
      </c>
      <c r="S1655" t="s">
        <v>23</v>
      </c>
      <c r="T1655">
        <v>4</v>
      </c>
      <c r="U1655" t="s">
        <v>58</v>
      </c>
      <c r="V1655" t="s">
        <v>46</v>
      </c>
      <c r="W1655" t="s">
        <v>23</v>
      </c>
    </row>
    <row r="1656" spans="1:23" x14ac:dyDescent="0.3">
      <c r="A1656" t="s">
        <v>3434</v>
      </c>
      <c r="B1656" t="s">
        <v>225</v>
      </c>
      <c r="C1656" t="s">
        <v>173</v>
      </c>
      <c r="D1656" t="s">
        <v>125</v>
      </c>
      <c r="E1656" t="s">
        <v>64</v>
      </c>
      <c r="F1656" t="s">
        <v>65</v>
      </c>
      <c r="G1656" t="s">
        <v>41</v>
      </c>
      <c r="H1656" t="s">
        <v>19</v>
      </c>
      <c r="I1656" t="str">
        <f>LEFT(H1656,FIND(" (",H1656)-1)</f>
        <v>Entry</v>
      </c>
      <c r="J1656" t="str">
        <f>MID(H1656,FIND("(",H1656)+1,FIND(")",H1656)-FIND("(",H1656)-1)</f>
        <v>0-2 yrs</v>
      </c>
      <c r="L1656">
        <v>74264</v>
      </c>
      <c r="M1656" t="s">
        <v>3435</v>
      </c>
      <c r="N1656" t="s">
        <v>33</v>
      </c>
      <c r="O1656" t="s">
        <v>51</v>
      </c>
      <c r="P1656" s="1">
        <v>45560</v>
      </c>
      <c r="Q1656">
        <v>1778</v>
      </c>
      <c r="R1656">
        <v>985</v>
      </c>
      <c r="S1656" t="s">
        <v>99</v>
      </c>
      <c r="T1656">
        <v>0</v>
      </c>
      <c r="U1656" t="s">
        <v>45</v>
      </c>
      <c r="V1656" t="s">
        <v>24</v>
      </c>
      <c r="W1656" t="s">
        <v>34</v>
      </c>
    </row>
    <row r="1657" spans="1:23" x14ac:dyDescent="0.3">
      <c r="A1657" t="s">
        <v>3436</v>
      </c>
      <c r="B1657" t="s">
        <v>151</v>
      </c>
      <c r="C1657" t="s">
        <v>101</v>
      </c>
      <c r="D1657" t="s">
        <v>63</v>
      </c>
      <c r="E1657" t="s">
        <v>200</v>
      </c>
      <c r="F1657" t="s">
        <v>201</v>
      </c>
      <c r="G1657" t="s">
        <v>41</v>
      </c>
      <c r="H1657" t="s">
        <v>19</v>
      </c>
      <c r="I1657" t="str">
        <f>LEFT(H1657,FIND(" (",H1657)-1)</f>
        <v>Entry</v>
      </c>
      <c r="J1657" t="str">
        <f>MID(H1657,FIND("(",H1657)+1,FIND(")",H1657)-FIND("(",H1657)-1)</f>
        <v>0-2 yrs</v>
      </c>
      <c r="L1657">
        <v>66277</v>
      </c>
      <c r="M1657" t="s">
        <v>3437</v>
      </c>
      <c r="N1657" t="s">
        <v>33</v>
      </c>
      <c r="O1657" t="s">
        <v>22</v>
      </c>
      <c r="P1657" s="1">
        <v>45607</v>
      </c>
      <c r="Q1657">
        <v>2407</v>
      </c>
      <c r="R1657">
        <v>3202</v>
      </c>
      <c r="S1657" t="s">
        <v>23</v>
      </c>
      <c r="T1657">
        <v>0</v>
      </c>
      <c r="U1657" t="s">
        <v>58</v>
      </c>
      <c r="V1657" t="s">
        <v>24</v>
      </c>
      <c r="W1657" t="s">
        <v>23</v>
      </c>
    </row>
    <row r="1658" spans="1:23" x14ac:dyDescent="0.3">
      <c r="A1658" t="s">
        <v>3438</v>
      </c>
      <c r="B1658" t="s">
        <v>225</v>
      </c>
      <c r="C1658" t="s">
        <v>132</v>
      </c>
      <c r="D1658" t="s">
        <v>28</v>
      </c>
      <c r="E1658" t="s">
        <v>5135</v>
      </c>
      <c r="F1658" t="s">
        <v>5133</v>
      </c>
      <c r="G1658" t="s">
        <v>41</v>
      </c>
      <c r="H1658" t="s">
        <v>56</v>
      </c>
      <c r="I1658" t="str">
        <f>LEFT(H1658,FIND(" (",H1658)-1)</f>
        <v>Mid</v>
      </c>
      <c r="J1658" t="str">
        <f>MID(H1658,FIND("(",H1658)+1,FIND(")",H1658)-FIND("(",H1658)-1)</f>
        <v>2-5 yrs</v>
      </c>
      <c r="L1658">
        <v>113335</v>
      </c>
      <c r="M1658" t="s">
        <v>3439</v>
      </c>
      <c r="N1658" t="s">
        <v>33</v>
      </c>
      <c r="O1658" t="s">
        <v>22</v>
      </c>
      <c r="P1658" s="1">
        <v>45624</v>
      </c>
      <c r="Q1658">
        <v>2039</v>
      </c>
      <c r="R1658">
        <v>2254</v>
      </c>
      <c r="S1658" t="s">
        <v>23</v>
      </c>
      <c r="T1658">
        <v>2</v>
      </c>
      <c r="U1658" t="s">
        <v>58</v>
      </c>
      <c r="V1658" t="s">
        <v>24</v>
      </c>
      <c r="W1658" t="s">
        <v>23</v>
      </c>
    </row>
    <row r="1659" spans="1:23" x14ac:dyDescent="0.3">
      <c r="A1659" t="s">
        <v>3440</v>
      </c>
      <c r="B1659" t="s">
        <v>61</v>
      </c>
      <c r="C1659" t="s">
        <v>132</v>
      </c>
      <c r="D1659" t="s">
        <v>49</v>
      </c>
      <c r="E1659" t="s">
        <v>5139</v>
      </c>
      <c r="F1659" t="s">
        <v>5133</v>
      </c>
      <c r="G1659" t="s">
        <v>18</v>
      </c>
      <c r="H1659" t="s">
        <v>66</v>
      </c>
      <c r="I1659" t="str">
        <f>LEFT(H1659,FIND(" (",H1659)-1)</f>
        <v>Senior</v>
      </c>
      <c r="J1659" t="str">
        <f>MID(H1659,FIND("(",H1659)+1,FIND(")",H1659)-FIND("(",H1659)-1)</f>
        <v>5-8 yrs</v>
      </c>
      <c r="L1659">
        <v>185575</v>
      </c>
      <c r="M1659" t="s">
        <v>3441</v>
      </c>
      <c r="N1659" t="s">
        <v>89</v>
      </c>
      <c r="O1659" t="s">
        <v>51</v>
      </c>
      <c r="P1659" s="1">
        <v>45319</v>
      </c>
      <c r="Q1659">
        <v>1783</v>
      </c>
      <c r="R1659">
        <v>125</v>
      </c>
      <c r="S1659" t="s">
        <v>23</v>
      </c>
      <c r="T1659">
        <v>4</v>
      </c>
      <c r="U1659" t="s">
        <v>5123</v>
      </c>
      <c r="V1659" t="s">
        <v>24</v>
      </c>
      <c r="W1659" t="s">
        <v>34</v>
      </c>
    </row>
    <row r="1660" spans="1:23" x14ac:dyDescent="0.3">
      <c r="A1660" t="s">
        <v>3442</v>
      </c>
      <c r="B1660" t="s">
        <v>81</v>
      </c>
      <c r="C1660" t="s">
        <v>48</v>
      </c>
      <c r="D1660" t="s">
        <v>125</v>
      </c>
      <c r="E1660" t="s">
        <v>102</v>
      </c>
      <c r="F1660" t="s">
        <v>103</v>
      </c>
      <c r="G1660" t="s">
        <v>41</v>
      </c>
      <c r="H1660" t="s">
        <v>31</v>
      </c>
      <c r="I1660" t="str">
        <f>LEFT(H1660,FIND(" (",H1660)-1)</f>
        <v>Staff/Principal</v>
      </c>
      <c r="J1660" t="str">
        <f>MID(H1660,FIND("(",H1660)+1,FIND(")",H1660)-FIND("(",H1660)-1)</f>
        <v>8+ yrs</v>
      </c>
      <c r="L1660">
        <v>163764</v>
      </c>
      <c r="M1660" t="s">
        <v>3443</v>
      </c>
      <c r="N1660" t="s">
        <v>186</v>
      </c>
      <c r="O1660" t="s">
        <v>51</v>
      </c>
      <c r="P1660" s="1">
        <v>45612</v>
      </c>
      <c r="Q1660">
        <v>2227</v>
      </c>
      <c r="R1660">
        <v>1502</v>
      </c>
      <c r="S1660" t="s">
        <v>99</v>
      </c>
      <c r="T1660">
        <v>6</v>
      </c>
      <c r="U1660" t="s">
        <v>83</v>
      </c>
      <c r="V1660" t="s">
        <v>24</v>
      </c>
      <c r="W1660" t="s">
        <v>23</v>
      </c>
    </row>
    <row r="1661" spans="1:23" x14ac:dyDescent="0.3">
      <c r="A1661" t="s">
        <v>3444</v>
      </c>
      <c r="B1661" t="s">
        <v>236</v>
      </c>
      <c r="C1661" t="s">
        <v>71</v>
      </c>
      <c r="D1661" t="s">
        <v>28</v>
      </c>
      <c r="E1661" t="s">
        <v>216</v>
      </c>
      <c r="F1661" t="s">
        <v>217</v>
      </c>
      <c r="G1661" t="s">
        <v>18</v>
      </c>
      <c r="H1661" t="s">
        <v>56</v>
      </c>
      <c r="I1661" t="str">
        <f>LEFT(H1661,FIND(" (",H1661)-1)</f>
        <v>Mid</v>
      </c>
      <c r="J1661" t="str">
        <f>MID(H1661,FIND("(",H1661)+1,FIND(")",H1661)-FIND("(",H1661)-1)</f>
        <v>2-5 yrs</v>
      </c>
      <c r="L1661">
        <v>132569</v>
      </c>
      <c r="M1661" t="s">
        <v>3445</v>
      </c>
      <c r="N1661" t="s">
        <v>21</v>
      </c>
      <c r="O1661" t="s">
        <v>51</v>
      </c>
      <c r="P1661" s="1">
        <v>45596</v>
      </c>
      <c r="Q1661">
        <v>978</v>
      </c>
      <c r="R1661">
        <v>240</v>
      </c>
      <c r="S1661" t="s">
        <v>23</v>
      </c>
      <c r="T1661">
        <v>2</v>
      </c>
      <c r="U1661" t="s">
        <v>58</v>
      </c>
      <c r="V1661" t="s">
        <v>24</v>
      </c>
      <c r="W1661" t="s">
        <v>34</v>
      </c>
    </row>
    <row r="1662" spans="1:23" x14ac:dyDescent="0.3">
      <c r="A1662" t="s">
        <v>3446</v>
      </c>
      <c r="B1662" t="s">
        <v>106</v>
      </c>
      <c r="C1662" t="s">
        <v>195</v>
      </c>
      <c r="D1662" t="s">
        <v>38</v>
      </c>
      <c r="E1662" t="s">
        <v>230</v>
      </c>
      <c r="F1662" t="s">
        <v>231</v>
      </c>
      <c r="G1662" t="s">
        <v>18</v>
      </c>
      <c r="H1662" t="s">
        <v>31</v>
      </c>
      <c r="I1662" t="str">
        <f>LEFT(H1662,FIND(" (",H1662)-1)</f>
        <v>Staff/Principal</v>
      </c>
      <c r="J1662" t="str">
        <f>MID(H1662,FIND("(",H1662)+1,FIND(")",H1662)-FIND("(",H1662)-1)</f>
        <v>8+ yrs</v>
      </c>
      <c r="L1662">
        <v>247416</v>
      </c>
      <c r="M1662" t="s">
        <v>3447</v>
      </c>
      <c r="N1662" t="s">
        <v>33</v>
      </c>
      <c r="O1662" t="s">
        <v>44</v>
      </c>
      <c r="P1662" s="1">
        <v>45698</v>
      </c>
      <c r="Q1662">
        <v>2035</v>
      </c>
      <c r="R1662">
        <v>3271</v>
      </c>
      <c r="S1662" t="s">
        <v>23</v>
      </c>
      <c r="T1662">
        <v>6</v>
      </c>
      <c r="U1662" t="s">
        <v>83</v>
      </c>
      <c r="V1662" t="s">
        <v>59</v>
      </c>
      <c r="W1662" t="s">
        <v>23</v>
      </c>
    </row>
    <row r="1663" spans="1:23" x14ac:dyDescent="0.3">
      <c r="A1663" t="s">
        <v>3448</v>
      </c>
      <c r="B1663" t="s">
        <v>172</v>
      </c>
      <c r="C1663" t="s">
        <v>158</v>
      </c>
      <c r="D1663" t="s">
        <v>63</v>
      </c>
      <c r="E1663" t="s">
        <v>133</v>
      </c>
      <c r="F1663" t="s">
        <v>134</v>
      </c>
      <c r="G1663" t="s">
        <v>18</v>
      </c>
      <c r="H1663" t="s">
        <v>31</v>
      </c>
      <c r="I1663" t="str">
        <f>LEFT(H1663,FIND(" (",H1663)-1)</f>
        <v>Staff/Principal</v>
      </c>
      <c r="J1663" t="str">
        <f>MID(H1663,FIND("(",H1663)+1,FIND(")",H1663)-FIND("(",H1663)-1)</f>
        <v>8+ yrs</v>
      </c>
      <c r="L1663">
        <v>195749</v>
      </c>
      <c r="M1663" t="s">
        <v>3449</v>
      </c>
      <c r="N1663" t="s">
        <v>149</v>
      </c>
      <c r="O1663" t="s">
        <v>51</v>
      </c>
      <c r="P1663" s="1">
        <v>45638</v>
      </c>
      <c r="Q1663">
        <v>490</v>
      </c>
      <c r="R1663">
        <v>3286</v>
      </c>
      <c r="S1663" t="s">
        <v>23</v>
      </c>
      <c r="T1663">
        <v>6</v>
      </c>
      <c r="U1663" t="s">
        <v>45</v>
      </c>
      <c r="V1663" t="s">
        <v>24</v>
      </c>
      <c r="W1663" t="s">
        <v>34</v>
      </c>
    </row>
    <row r="1664" spans="1:23" x14ac:dyDescent="0.3">
      <c r="A1664" t="s">
        <v>3450</v>
      </c>
      <c r="B1664" t="s">
        <v>131</v>
      </c>
      <c r="C1664" t="s">
        <v>158</v>
      </c>
      <c r="D1664" t="s">
        <v>174</v>
      </c>
      <c r="E1664" t="s">
        <v>16</v>
      </c>
      <c r="F1664" t="s">
        <v>17</v>
      </c>
      <c r="G1664" t="s">
        <v>18</v>
      </c>
      <c r="H1664" t="s">
        <v>19</v>
      </c>
      <c r="I1664" t="str">
        <f>LEFT(H1664,FIND(" (",H1664)-1)</f>
        <v>Entry</v>
      </c>
      <c r="J1664" t="str">
        <f>MID(H1664,FIND("(",H1664)+1,FIND(")",H1664)-FIND("(",H1664)-1)</f>
        <v>0-2 yrs</v>
      </c>
      <c r="L1664">
        <v>50000</v>
      </c>
      <c r="M1664" t="s">
        <v>3451</v>
      </c>
      <c r="N1664" t="s">
        <v>33</v>
      </c>
      <c r="O1664" t="s">
        <v>51</v>
      </c>
      <c r="P1664" s="1">
        <v>45605</v>
      </c>
      <c r="Q1664">
        <v>1000</v>
      </c>
      <c r="R1664">
        <v>1170</v>
      </c>
      <c r="S1664" t="s">
        <v>23</v>
      </c>
      <c r="T1664">
        <v>0</v>
      </c>
      <c r="U1664" t="s">
        <v>45</v>
      </c>
      <c r="V1664" t="s">
        <v>24</v>
      </c>
      <c r="W1664" t="s">
        <v>34</v>
      </c>
    </row>
    <row r="1665" spans="1:23" x14ac:dyDescent="0.3">
      <c r="A1665" t="s">
        <v>3452</v>
      </c>
      <c r="B1665" t="s">
        <v>151</v>
      </c>
      <c r="C1665" t="s">
        <v>86</v>
      </c>
      <c r="D1665" t="s">
        <v>49</v>
      </c>
      <c r="E1665" t="s">
        <v>87</v>
      </c>
      <c r="F1665" t="s">
        <v>87</v>
      </c>
      <c r="G1665" t="s">
        <v>18</v>
      </c>
      <c r="H1665" t="s">
        <v>31</v>
      </c>
      <c r="I1665" t="str">
        <f>LEFT(H1665,FIND(" (",H1665)-1)</f>
        <v>Staff/Principal</v>
      </c>
      <c r="J1665" t="str">
        <f>MID(H1665,FIND("(",H1665)+1,FIND(")",H1665)-FIND("(",H1665)-1)</f>
        <v>8+ yrs</v>
      </c>
      <c r="L1665">
        <v>178118</v>
      </c>
      <c r="M1665" t="s">
        <v>3453</v>
      </c>
      <c r="N1665" t="s">
        <v>149</v>
      </c>
      <c r="O1665" t="s">
        <v>22</v>
      </c>
      <c r="P1665" s="1">
        <v>45483</v>
      </c>
      <c r="Q1665">
        <v>532</v>
      </c>
      <c r="R1665">
        <v>3741</v>
      </c>
      <c r="S1665" t="s">
        <v>23</v>
      </c>
      <c r="T1665">
        <v>6</v>
      </c>
      <c r="U1665" t="s">
        <v>45</v>
      </c>
      <c r="V1665" t="s">
        <v>59</v>
      </c>
      <c r="W1665" t="s">
        <v>23</v>
      </c>
    </row>
    <row r="1666" spans="1:23" x14ac:dyDescent="0.3">
      <c r="A1666" t="s">
        <v>3454</v>
      </c>
      <c r="B1666" t="s">
        <v>26</v>
      </c>
      <c r="C1666" t="s">
        <v>116</v>
      </c>
      <c r="D1666" t="s">
        <v>111</v>
      </c>
      <c r="E1666" t="s">
        <v>5139</v>
      </c>
      <c r="F1666" t="s">
        <v>5133</v>
      </c>
      <c r="G1666" t="s">
        <v>41</v>
      </c>
      <c r="H1666" t="s">
        <v>66</v>
      </c>
      <c r="I1666" t="str">
        <f>LEFT(H1666,FIND(" (",H1666)-1)</f>
        <v>Senior</v>
      </c>
      <c r="J1666" t="str">
        <f>MID(H1666,FIND("(",H1666)+1,FIND(")",H1666)-FIND("(",H1666)-1)</f>
        <v>5-8 yrs</v>
      </c>
      <c r="L1666">
        <v>185018</v>
      </c>
      <c r="M1666" t="s">
        <v>3455</v>
      </c>
      <c r="N1666" t="s">
        <v>43</v>
      </c>
      <c r="O1666" t="s">
        <v>51</v>
      </c>
      <c r="P1666" s="1">
        <v>45553</v>
      </c>
      <c r="Q1666">
        <v>2348</v>
      </c>
      <c r="R1666">
        <v>2737</v>
      </c>
      <c r="S1666" t="s">
        <v>34</v>
      </c>
      <c r="T1666">
        <v>4</v>
      </c>
      <c r="U1666" t="s">
        <v>58</v>
      </c>
      <c r="V1666" t="s">
        <v>59</v>
      </c>
      <c r="W1666" t="s">
        <v>34</v>
      </c>
    </row>
    <row r="1667" spans="1:23" x14ac:dyDescent="0.3">
      <c r="A1667" t="s">
        <v>3456</v>
      </c>
      <c r="B1667" t="s">
        <v>36</v>
      </c>
      <c r="C1667" t="s">
        <v>124</v>
      </c>
      <c r="D1667" t="s">
        <v>174</v>
      </c>
      <c r="E1667" t="s">
        <v>5135</v>
      </c>
      <c r="F1667" t="s">
        <v>5133</v>
      </c>
      <c r="G1667" t="s">
        <v>55</v>
      </c>
      <c r="H1667" t="s">
        <v>19</v>
      </c>
      <c r="I1667" t="str">
        <f>LEFT(H1667,FIND(" (",H1667)-1)</f>
        <v>Entry</v>
      </c>
      <c r="J1667" t="str">
        <f>MID(H1667,FIND("(",H1667)+1,FIND(")",H1667)-FIND("(",H1667)-1)</f>
        <v>0-2 yrs</v>
      </c>
      <c r="L1667">
        <v>69711</v>
      </c>
      <c r="M1667" t="s">
        <v>3457</v>
      </c>
      <c r="N1667" t="s">
        <v>33</v>
      </c>
      <c r="O1667" t="s">
        <v>44</v>
      </c>
      <c r="P1667" s="1">
        <v>45367</v>
      </c>
      <c r="Q1667">
        <v>1514</v>
      </c>
      <c r="R1667">
        <v>2249</v>
      </c>
      <c r="S1667" t="s">
        <v>23</v>
      </c>
      <c r="T1667">
        <v>0</v>
      </c>
      <c r="U1667" t="s">
        <v>83</v>
      </c>
      <c r="V1667" t="s">
        <v>24</v>
      </c>
      <c r="W1667" t="s">
        <v>23</v>
      </c>
    </row>
    <row r="1668" spans="1:23" x14ac:dyDescent="0.3">
      <c r="A1668" t="s">
        <v>3458</v>
      </c>
      <c r="B1668" t="s">
        <v>96</v>
      </c>
      <c r="C1668" t="s">
        <v>179</v>
      </c>
      <c r="D1668" t="s">
        <v>147</v>
      </c>
      <c r="E1668" t="s">
        <v>216</v>
      </c>
      <c r="F1668" t="s">
        <v>217</v>
      </c>
      <c r="G1668" t="s">
        <v>18</v>
      </c>
      <c r="H1668" t="s">
        <v>19</v>
      </c>
      <c r="I1668" t="str">
        <f>LEFT(H1668,FIND(" (",H1668)-1)</f>
        <v>Entry</v>
      </c>
      <c r="J1668" t="str">
        <f>MID(H1668,FIND("(",H1668)+1,FIND(")",H1668)-FIND("(",H1668)-1)</f>
        <v>0-2 yrs</v>
      </c>
      <c r="L1668">
        <v>57408</v>
      </c>
      <c r="M1668" t="s">
        <v>3459</v>
      </c>
      <c r="N1668" t="s">
        <v>89</v>
      </c>
      <c r="O1668" t="s">
        <v>22</v>
      </c>
      <c r="P1668" s="1">
        <v>45324</v>
      </c>
      <c r="Q1668">
        <v>1014</v>
      </c>
      <c r="R1668">
        <v>2401</v>
      </c>
      <c r="S1668" t="s">
        <v>34</v>
      </c>
      <c r="T1668">
        <v>0</v>
      </c>
      <c r="U1668" t="s">
        <v>58</v>
      </c>
      <c r="V1668" t="s">
        <v>46</v>
      </c>
      <c r="W1668" t="s">
        <v>23</v>
      </c>
    </row>
    <row r="1669" spans="1:23" x14ac:dyDescent="0.3">
      <c r="A1669" t="s">
        <v>3460</v>
      </c>
      <c r="B1669" t="s">
        <v>26</v>
      </c>
      <c r="C1669" t="s">
        <v>74</v>
      </c>
      <c r="D1669" t="s">
        <v>15</v>
      </c>
      <c r="E1669" t="s">
        <v>159</v>
      </c>
      <c r="F1669" t="s">
        <v>160</v>
      </c>
      <c r="G1669" t="s">
        <v>55</v>
      </c>
      <c r="H1669" t="s">
        <v>66</v>
      </c>
      <c r="I1669" t="str">
        <f>LEFT(H1669,FIND(" (",H1669)-1)</f>
        <v>Senior</v>
      </c>
      <c r="J1669" t="str">
        <f>MID(H1669,FIND("(",H1669)+1,FIND(")",H1669)-FIND("(",H1669)-1)</f>
        <v>5-8 yrs</v>
      </c>
      <c r="L1669">
        <v>136371</v>
      </c>
      <c r="M1669" t="s">
        <v>3461</v>
      </c>
      <c r="N1669" t="s">
        <v>43</v>
      </c>
      <c r="O1669" t="s">
        <v>44</v>
      </c>
      <c r="P1669" s="1">
        <v>45742</v>
      </c>
      <c r="Q1669">
        <v>1709</v>
      </c>
      <c r="R1669">
        <v>3289</v>
      </c>
      <c r="S1669" t="s">
        <v>34</v>
      </c>
      <c r="T1669">
        <v>4</v>
      </c>
      <c r="U1669" t="s">
        <v>52</v>
      </c>
      <c r="V1669" t="s">
        <v>24</v>
      </c>
      <c r="W1669" t="s">
        <v>23</v>
      </c>
    </row>
    <row r="1670" spans="1:23" x14ac:dyDescent="0.3">
      <c r="A1670" t="s">
        <v>3462</v>
      </c>
      <c r="B1670" t="s">
        <v>329</v>
      </c>
      <c r="C1670" t="s">
        <v>71</v>
      </c>
      <c r="D1670" t="s">
        <v>28</v>
      </c>
      <c r="E1670" t="s">
        <v>200</v>
      </c>
      <c r="F1670" t="s">
        <v>201</v>
      </c>
      <c r="G1670" t="s">
        <v>55</v>
      </c>
      <c r="H1670" t="s">
        <v>31</v>
      </c>
      <c r="I1670" t="str">
        <f>LEFT(H1670,FIND(" (",H1670)-1)</f>
        <v>Staff/Principal</v>
      </c>
      <c r="J1670" t="str">
        <f>MID(H1670,FIND("(",H1670)+1,FIND(")",H1670)-FIND("(",H1670)-1)</f>
        <v>8+ yrs</v>
      </c>
      <c r="L1670">
        <v>230262</v>
      </c>
      <c r="M1670" t="s">
        <v>3463</v>
      </c>
      <c r="N1670" t="s">
        <v>89</v>
      </c>
      <c r="O1670" t="s">
        <v>79</v>
      </c>
      <c r="P1670" s="1">
        <v>45560</v>
      </c>
      <c r="Q1670">
        <v>1265</v>
      </c>
      <c r="R1670">
        <v>1147</v>
      </c>
      <c r="S1670" t="s">
        <v>34</v>
      </c>
      <c r="T1670">
        <v>6</v>
      </c>
      <c r="U1670" t="s">
        <v>83</v>
      </c>
      <c r="V1670" t="s">
        <v>46</v>
      </c>
      <c r="W1670" t="s">
        <v>34</v>
      </c>
    </row>
    <row r="1671" spans="1:23" x14ac:dyDescent="0.3">
      <c r="A1671" t="s">
        <v>3464</v>
      </c>
      <c r="B1671" t="s">
        <v>143</v>
      </c>
      <c r="C1671" t="s">
        <v>182</v>
      </c>
      <c r="D1671" t="s">
        <v>111</v>
      </c>
      <c r="E1671" t="s">
        <v>5139</v>
      </c>
      <c r="F1671" t="s">
        <v>5133</v>
      </c>
      <c r="G1671" t="s">
        <v>55</v>
      </c>
      <c r="H1671" t="s">
        <v>56</v>
      </c>
      <c r="I1671" t="str">
        <f>LEFT(H1671,FIND(" (",H1671)-1)</f>
        <v>Mid</v>
      </c>
      <c r="J1671" t="str">
        <f>MID(H1671,FIND("(",H1671)+1,FIND(")",H1671)-FIND("(",H1671)-1)</f>
        <v>2-5 yrs</v>
      </c>
      <c r="L1671">
        <v>120825</v>
      </c>
      <c r="M1671" t="s">
        <v>3465</v>
      </c>
      <c r="N1671" t="s">
        <v>149</v>
      </c>
      <c r="O1671" t="s">
        <v>22</v>
      </c>
      <c r="P1671" s="1">
        <v>45293</v>
      </c>
      <c r="Q1671">
        <v>1843</v>
      </c>
      <c r="R1671">
        <v>3679</v>
      </c>
      <c r="S1671" t="s">
        <v>34</v>
      </c>
      <c r="T1671">
        <v>2</v>
      </c>
      <c r="U1671" t="s">
        <v>83</v>
      </c>
      <c r="V1671" t="s">
        <v>24</v>
      </c>
      <c r="W1671" t="s">
        <v>34</v>
      </c>
    </row>
    <row r="1672" spans="1:23" x14ac:dyDescent="0.3">
      <c r="A1672" t="s">
        <v>3466</v>
      </c>
      <c r="B1672" t="s">
        <v>36</v>
      </c>
      <c r="C1672" t="s">
        <v>110</v>
      </c>
      <c r="D1672" t="s">
        <v>174</v>
      </c>
      <c r="E1672" t="s">
        <v>230</v>
      </c>
      <c r="F1672" t="s">
        <v>231</v>
      </c>
      <c r="G1672" t="s">
        <v>41</v>
      </c>
      <c r="H1672" t="s">
        <v>66</v>
      </c>
      <c r="I1672" t="str">
        <f>LEFT(H1672,FIND(" (",H1672)-1)</f>
        <v>Senior</v>
      </c>
      <c r="J1672" t="str">
        <f>MID(H1672,FIND("(",H1672)+1,FIND(")",H1672)-FIND("(",H1672)-1)</f>
        <v>5-8 yrs</v>
      </c>
      <c r="L1672">
        <v>143548</v>
      </c>
      <c r="M1672" t="s">
        <v>3467</v>
      </c>
      <c r="N1672" t="s">
        <v>33</v>
      </c>
      <c r="O1672" t="s">
        <v>51</v>
      </c>
      <c r="P1672" s="1">
        <v>45416</v>
      </c>
      <c r="Q1672">
        <v>1946</v>
      </c>
      <c r="R1672">
        <v>567</v>
      </c>
      <c r="S1672" t="s">
        <v>23</v>
      </c>
      <c r="T1672">
        <v>4</v>
      </c>
      <c r="U1672" t="s">
        <v>52</v>
      </c>
      <c r="V1672" t="s">
        <v>59</v>
      </c>
      <c r="W1672" t="s">
        <v>34</v>
      </c>
    </row>
    <row r="1673" spans="1:23" x14ac:dyDescent="0.3">
      <c r="A1673" t="s">
        <v>3468</v>
      </c>
      <c r="B1673" t="s">
        <v>172</v>
      </c>
      <c r="C1673" t="s">
        <v>146</v>
      </c>
      <c r="D1673" t="s">
        <v>28</v>
      </c>
      <c r="E1673" t="s">
        <v>5139</v>
      </c>
      <c r="F1673" t="s">
        <v>5133</v>
      </c>
      <c r="G1673" t="s">
        <v>18</v>
      </c>
      <c r="H1673" t="s">
        <v>19</v>
      </c>
      <c r="I1673" t="str">
        <f>LEFT(H1673,FIND(" (",H1673)-1)</f>
        <v>Entry</v>
      </c>
      <c r="J1673" t="str">
        <f>MID(H1673,FIND("(",H1673)+1,FIND(")",H1673)-FIND("(",H1673)-1)</f>
        <v>0-2 yrs</v>
      </c>
      <c r="L1673">
        <v>65378</v>
      </c>
      <c r="M1673" t="s">
        <v>3469</v>
      </c>
      <c r="N1673" t="s">
        <v>68</v>
      </c>
      <c r="O1673" t="s">
        <v>22</v>
      </c>
      <c r="P1673" s="1">
        <v>45421</v>
      </c>
      <c r="Q1673">
        <v>516</v>
      </c>
      <c r="R1673">
        <v>883</v>
      </c>
      <c r="S1673" t="s">
        <v>23</v>
      </c>
      <c r="T1673">
        <v>0</v>
      </c>
      <c r="U1673" t="s">
        <v>52</v>
      </c>
      <c r="V1673" t="s">
        <v>59</v>
      </c>
      <c r="W1673" t="s">
        <v>23</v>
      </c>
    </row>
    <row r="1674" spans="1:23" x14ac:dyDescent="0.3">
      <c r="A1674" t="s">
        <v>3470</v>
      </c>
      <c r="B1674" t="s">
        <v>96</v>
      </c>
      <c r="C1674" t="s">
        <v>158</v>
      </c>
      <c r="D1674" t="s">
        <v>49</v>
      </c>
      <c r="E1674" t="s">
        <v>133</v>
      </c>
      <c r="F1674" t="s">
        <v>134</v>
      </c>
      <c r="G1674" t="s">
        <v>18</v>
      </c>
      <c r="H1674" t="s">
        <v>19</v>
      </c>
      <c r="I1674" t="str">
        <f>LEFT(H1674,FIND(" (",H1674)-1)</f>
        <v>Entry</v>
      </c>
      <c r="J1674" t="str">
        <f>MID(H1674,FIND("(",H1674)+1,FIND(")",H1674)-FIND("(",H1674)-1)</f>
        <v>0-2 yrs</v>
      </c>
      <c r="L1674">
        <v>65063</v>
      </c>
      <c r="M1674" t="s">
        <v>3471</v>
      </c>
      <c r="N1674" t="s">
        <v>149</v>
      </c>
      <c r="O1674" t="s">
        <v>22</v>
      </c>
      <c r="P1674" s="1">
        <v>45624</v>
      </c>
      <c r="Q1674">
        <v>613</v>
      </c>
      <c r="R1674">
        <v>868</v>
      </c>
      <c r="S1674" t="s">
        <v>23</v>
      </c>
      <c r="T1674">
        <v>0</v>
      </c>
      <c r="U1674" t="s">
        <v>5123</v>
      </c>
      <c r="V1674" t="s">
        <v>24</v>
      </c>
      <c r="W1674" t="s">
        <v>23</v>
      </c>
    </row>
    <row r="1675" spans="1:23" x14ac:dyDescent="0.3">
      <c r="A1675" t="s">
        <v>3472</v>
      </c>
      <c r="B1675" t="s">
        <v>26</v>
      </c>
      <c r="C1675" t="s">
        <v>27</v>
      </c>
      <c r="D1675" t="s">
        <v>75</v>
      </c>
      <c r="E1675" t="s">
        <v>133</v>
      </c>
      <c r="F1675" t="s">
        <v>134</v>
      </c>
      <c r="G1675" t="s">
        <v>41</v>
      </c>
      <c r="H1675" t="s">
        <v>31</v>
      </c>
      <c r="I1675" t="str">
        <f>LEFT(H1675,FIND(" (",H1675)-1)</f>
        <v>Staff/Principal</v>
      </c>
      <c r="J1675" t="str">
        <f>MID(H1675,FIND("(",H1675)+1,FIND(")",H1675)-FIND("(",H1675)-1)</f>
        <v>8+ yrs</v>
      </c>
      <c r="L1675">
        <v>166793</v>
      </c>
      <c r="M1675" t="s">
        <v>3473</v>
      </c>
      <c r="N1675" t="s">
        <v>94</v>
      </c>
      <c r="O1675" t="s">
        <v>51</v>
      </c>
      <c r="P1675" s="1">
        <v>45316</v>
      </c>
      <c r="Q1675">
        <v>1248</v>
      </c>
      <c r="R1675">
        <v>1458</v>
      </c>
      <c r="S1675" t="s">
        <v>23</v>
      </c>
      <c r="T1675">
        <v>6</v>
      </c>
      <c r="U1675" t="s">
        <v>45</v>
      </c>
      <c r="V1675" t="s">
        <v>24</v>
      </c>
      <c r="W1675" t="s">
        <v>23</v>
      </c>
    </row>
    <row r="1676" spans="1:23" x14ac:dyDescent="0.3">
      <c r="A1676" t="s">
        <v>3474</v>
      </c>
      <c r="B1676" t="s">
        <v>222</v>
      </c>
      <c r="C1676" t="s">
        <v>195</v>
      </c>
      <c r="D1676" t="s">
        <v>28</v>
      </c>
      <c r="E1676" t="s">
        <v>5132</v>
      </c>
      <c r="F1676" t="s">
        <v>5133</v>
      </c>
      <c r="G1676" t="s">
        <v>18</v>
      </c>
      <c r="H1676" t="s">
        <v>56</v>
      </c>
      <c r="I1676" t="str">
        <f>LEFT(H1676,FIND(" (",H1676)-1)</f>
        <v>Mid</v>
      </c>
      <c r="J1676" t="str">
        <f>MID(H1676,FIND("(",H1676)+1,FIND(")",H1676)-FIND("(",H1676)-1)</f>
        <v>2-5 yrs</v>
      </c>
      <c r="L1676">
        <v>141984</v>
      </c>
      <c r="M1676" t="s">
        <v>3475</v>
      </c>
      <c r="N1676" t="s">
        <v>33</v>
      </c>
      <c r="O1676" t="s">
        <v>51</v>
      </c>
      <c r="P1676" s="1">
        <v>45379</v>
      </c>
      <c r="Q1676">
        <v>2454</v>
      </c>
      <c r="R1676">
        <v>3127</v>
      </c>
      <c r="S1676" t="s">
        <v>23</v>
      </c>
      <c r="T1676">
        <v>2</v>
      </c>
      <c r="U1676" t="s">
        <v>83</v>
      </c>
      <c r="V1676" t="s">
        <v>24</v>
      </c>
      <c r="W1676" t="s">
        <v>34</v>
      </c>
    </row>
    <row r="1677" spans="1:23" x14ac:dyDescent="0.3">
      <c r="A1677" t="s">
        <v>3476</v>
      </c>
      <c r="B1677" t="s">
        <v>26</v>
      </c>
      <c r="C1677" t="s">
        <v>116</v>
      </c>
      <c r="D1677" t="s">
        <v>111</v>
      </c>
      <c r="E1677" t="s">
        <v>39</v>
      </c>
      <c r="F1677" t="s">
        <v>40</v>
      </c>
      <c r="G1677" t="s">
        <v>55</v>
      </c>
      <c r="H1677" t="s">
        <v>66</v>
      </c>
      <c r="I1677" t="str">
        <f>LEFT(H1677,FIND(" (",H1677)-1)</f>
        <v>Senior</v>
      </c>
      <c r="J1677" t="str">
        <f>MID(H1677,FIND("(",H1677)+1,FIND(")",H1677)-FIND("(",H1677)-1)</f>
        <v>5-8 yrs</v>
      </c>
      <c r="L1677">
        <v>141297</v>
      </c>
      <c r="M1677" t="s">
        <v>3477</v>
      </c>
      <c r="N1677" t="s">
        <v>68</v>
      </c>
      <c r="O1677" t="s">
        <v>51</v>
      </c>
      <c r="P1677" s="1">
        <v>45460</v>
      </c>
      <c r="Q1677">
        <v>2185</v>
      </c>
      <c r="R1677">
        <v>383</v>
      </c>
      <c r="S1677" t="s">
        <v>23</v>
      </c>
      <c r="T1677">
        <v>4</v>
      </c>
      <c r="U1677" t="s">
        <v>52</v>
      </c>
      <c r="V1677" t="s">
        <v>24</v>
      </c>
      <c r="W1677" t="s">
        <v>34</v>
      </c>
    </row>
    <row r="1678" spans="1:23" x14ac:dyDescent="0.3">
      <c r="A1678" t="s">
        <v>3478</v>
      </c>
      <c r="B1678" t="s">
        <v>151</v>
      </c>
      <c r="C1678" t="s">
        <v>14</v>
      </c>
      <c r="D1678" t="s">
        <v>75</v>
      </c>
      <c r="E1678" t="s">
        <v>5139</v>
      </c>
      <c r="F1678" t="s">
        <v>5133</v>
      </c>
      <c r="G1678" t="s">
        <v>55</v>
      </c>
      <c r="H1678" t="s">
        <v>56</v>
      </c>
      <c r="I1678" t="str">
        <f>LEFT(H1678,FIND(" (",H1678)-1)</f>
        <v>Mid</v>
      </c>
      <c r="J1678" t="str">
        <f>MID(H1678,FIND("(",H1678)+1,FIND(")",H1678)-FIND("(",H1678)-1)</f>
        <v>2-5 yrs</v>
      </c>
      <c r="L1678">
        <v>134099</v>
      </c>
      <c r="M1678" t="s">
        <v>3479</v>
      </c>
      <c r="N1678" t="s">
        <v>68</v>
      </c>
      <c r="O1678" t="s">
        <v>44</v>
      </c>
      <c r="P1678" s="1">
        <v>45559</v>
      </c>
      <c r="Q1678">
        <v>1684</v>
      </c>
      <c r="R1678">
        <v>772</v>
      </c>
      <c r="S1678" t="s">
        <v>23</v>
      </c>
      <c r="T1678">
        <v>2</v>
      </c>
      <c r="U1678" t="s">
        <v>83</v>
      </c>
      <c r="V1678" t="s">
        <v>24</v>
      </c>
      <c r="W1678" t="s">
        <v>34</v>
      </c>
    </row>
    <row r="1679" spans="1:23" x14ac:dyDescent="0.3">
      <c r="A1679" t="s">
        <v>3480</v>
      </c>
      <c r="B1679" t="s">
        <v>151</v>
      </c>
      <c r="C1679" t="s">
        <v>124</v>
      </c>
      <c r="D1679" t="s">
        <v>147</v>
      </c>
      <c r="E1679" t="s">
        <v>64</v>
      </c>
      <c r="F1679" t="s">
        <v>65</v>
      </c>
      <c r="G1679" t="s">
        <v>18</v>
      </c>
      <c r="H1679" t="s">
        <v>56</v>
      </c>
      <c r="I1679" t="str">
        <f>LEFT(H1679,FIND(" (",H1679)-1)</f>
        <v>Mid</v>
      </c>
      <c r="J1679" t="str">
        <f>MID(H1679,FIND("(",H1679)+1,FIND(")",H1679)-FIND("(",H1679)-1)</f>
        <v>2-5 yrs</v>
      </c>
      <c r="L1679">
        <v>140122</v>
      </c>
      <c r="M1679" t="s">
        <v>3481</v>
      </c>
      <c r="N1679" t="s">
        <v>33</v>
      </c>
      <c r="O1679" t="s">
        <v>22</v>
      </c>
      <c r="P1679" s="1">
        <v>45539</v>
      </c>
      <c r="Q1679">
        <v>2499</v>
      </c>
      <c r="R1679">
        <v>942</v>
      </c>
      <c r="S1679" t="s">
        <v>23</v>
      </c>
      <c r="T1679">
        <v>2</v>
      </c>
      <c r="U1679" t="s">
        <v>45</v>
      </c>
      <c r="V1679" t="s">
        <v>24</v>
      </c>
      <c r="W1679" t="s">
        <v>34</v>
      </c>
    </row>
    <row r="1680" spans="1:23" x14ac:dyDescent="0.3">
      <c r="A1680" t="s">
        <v>3482</v>
      </c>
      <c r="B1680" t="s">
        <v>225</v>
      </c>
      <c r="C1680" t="s">
        <v>116</v>
      </c>
      <c r="D1680" t="s">
        <v>63</v>
      </c>
      <c r="E1680" t="s">
        <v>29</v>
      </c>
      <c r="F1680" t="s">
        <v>30</v>
      </c>
      <c r="G1680" t="s">
        <v>18</v>
      </c>
      <c r="H1680" t="s">
        <v>31</v>
      </c>
      <c r="I1680" t="str">
        <f>LEFT(H1680,FIND(" (",H1680)-1)</f>
        <v>Staff/Principal</v>
      </c>
      <c r="J1680" t="str">
        <f>MID(H1680,FIND("(",H1680)+1,FIND(")",H1680)-FIND("(",H1680)-1)</f>
        <v>8+ yrs</v>
      </c>
      <c r="L1680">
        <v>235939</v>
      </c>
      <c r="M1680" t="s">
        <v>3483</v>
      </c>
      <c r="N1680" t="s">
        <v>33</v>
      </c>
      <c r="O1680" t="s">
        <v>51</v>
      </c>
      <c r="P1680" s="1">
        <v>45509</v>
      </c>
      <c r="Q1680">
        <v>449</v>
      </c>
      <c r="R1680">
        <v>239</v>
      </c>
      <c r="S1680" t="s">
        <v>23</v>
      </c>
      <c r="T1680">
        <v>6</v>
      </c>
      <c r="U1680" t="s">
        <v>52</v>
      </c>
      <c r="V1680" t="s">
        <v>24</v>
      </c>
      <c r="W1680" t="s">
        <v>34</v>
      </c>
    </row>
    <row r="1681" spans="1:23" x14ac:dyDescent="0.3">
      <c r="A1681" t="s">
        <v>3484</v>
      </c>
      <c r="B1681" t="s">
        <v>143</v>
      </c>
      <c r="C1681" t="s">
        <v>239</v>
      </c>
      <c r="D1681" t="s">
        <v>15</v>
      </c>
      <c r="E1681" t="s">
        <v>87</v>
      </c>
      <c r="F1681" t="s">
        <v>87</v>
      </c>
      <c r="G1681" t="s">
        <v>18</v>
      </c>
      <c r="H1681" t="s">
        <v>31</v>
      </c>
      <c r="I1681" t="str">
        <f>LEFT(H1681,FIND(" (",H1681)-1)</f>
        <v>Staff/Principal</v>
      </c>
      <c r="J1681" t="str">
        <f>MID(H1681,FIND("(",H1681)+1,FIND(")",H1681)-FIND("(",H1681)-1)</f>
        <v>8+ yrs</v>
      </c>
      <c r="L1681">
        <v>184461</v>
      </c>
      <c r="M1681" t="s">
        <v>3485</v>
      </c>
      <c r="N1681" t="s">
        <v>89</v>
      </c>
      <c r="O1681" t="s">
        <v>51</v>
      </c>
      <c r="P1681" s="1">
        <v>45356</v>
      </c>
      <c r="Q1681">
        <v>968</v>
      </c>
      <c r="R1681">
        <v>3240</v>
      </c>
      <c r="S1681" t="s">
        <v>23</v>
      </c>
      <c r="T1681">
        <v>6</v>
      </c>
      <c r="U1681" t="s">
        <v>52</v>
      </c>
      <c r="V1681" t="s">
        <v>24</v>
      </c>
      <c r="W1681" t="s">
        <v>34</v>
      </c>
    </row>
    <row r="1682" spans="1:23" x14ac:dyDescent="0.3">
      <c r="A1682" t="s">
        <v>3486</v>
      </c>
      <c r="B1682" t="s">
        <v>329</v>
      </c>
      <c r="C1682" t="s">
        <v>74</v>
      </c>
      <c r="D1682" t="s">
        <v>49</v>
      </c>
      <c r="E1682" t="s">
        <v>200</v>
      </c>
      <c r="F1682" t="s">
        <v>201</v>
      </c>
      <c r="G1682" t="s">
        <v>41</v>
      </c>
      <c r="H1682" t="s">
        <v>56</v>
      </c>
      <c r="I1682" t="str">
        <f>LEFT(H1682,FIND(" (",H1682)-1)</f>
        <v>Mid</v>
      </c>
      <c r="J1682" t="str">
        <f>MID(H1682,FIND("(",H1682)+1,FIND(")",H1682)-FIND("(",H1682)-1)</f>
        <v>2-5 yrs</v>
      </c>
      <c r="L1682">
        <v>117993</v>
      </c>
      <c r="M1682" t="s">
        <v>3487</v>
      </c>
      <c r="N1682" t="s">
        <v>94</v>
      </c>
      <c r="O1682" t="s">
        <v>51</v>
      </c>
      <c r="P1682" s="1">
        <v>45526</v>
      </c>
      <c r="Q1682">
        <v>2025</v>
      </c>
      <c r="R1682">
        <v>2621</v>
      </c>
      <c r="S1682" t="s">
        <v>23</v>
      </c>
      <c r="T1682">
        <v>2</v>
      </c>
      <c r="U1682" t="s">
        <v>45</v>
      </c>
      <c r="V1682" t="s">
        <v>24</v>
      </c>
      <c r="W1682" t="s">
        <v>23</v>
      </c>
    </row>
    <row r="1683" spans="1:23" x14ac:dyDescent="0.3">
      <c r="A1683" t="s">
        <v>3488</v>
      </c>
      <c r="B1683" t="s">
        <v>91</v>
      </c>
      <c r="C1683" t="s">
        <v>192</v>
      </c>
      <c r="D1683" t="s">
        <v>38</v>
      </c>
      <c r="E1683" t="s">
        <v>5132</v>
      </c>
      <c r="F1683" t="s">
        <v>5133</v>
      </c>
      <c r="G1683" t="s">
        <v>18</v>
      </c>
      <c r="H1683" t="s">
        <v>31</v>
      </c>
      <c r="I1683" t="str">
        <f>LEFT(H1683,FIND(" (",H1683)-1)</f>
        <v>Staff/Principal</v>
      </c>
      <c r="J1683" t="str">
        <f>MID(H1683,FIND("(",H1683)+1,FIND(")",H1683)-FIND("(",H1683)-1)</f>
        <v>8+ yrs</v>
      </c>
      <c r="L1683">
        <v>199128</v>
      </c>
      <c r="M1683" t="s">
        <v>3489</v>
      </c>
      <c r="N1683" t="s">
        <v>33</v>
      </c>
      <c r="O1683" t="s">
        <v>22</v>
      </c>
      <c r="P1683" s="1">
        <v>45297</v>
      </c>
      <c r="Q1683">
        <v>1030</v>
      </c>
      <c r="R1683">
        <v>2564</v>
      </c>
      <c r="S1683" t="s">
        <v>23</v>
      </c>
      <c r="T1683">
        <v>6</v>
      </c>
      <c r="U1683" t="s">
        <v>52</v>
      </c>
      <c r="V1683" t="s">
        <v>24</v>
      </c>
      <c r="W1683" t="s">
        <v>23</v>
      </c>
    </row>
    <row r="1684" spans="1:23" x14ac:dyDescent="0.3">
      <c r="A1684" t="s">
        <v>3490</v>
      </c>
      <c r="B1684" t="s">
        <v>225</v>
      </c>
      <c r="C1684" t="s">
        <v>37</v>
      </c>
      <c r="D1684" t="s">
        <v>111</v>
      </c>
      <c r="E1684" t="s">
        <v>39</v>
      </c>
      <c r="F1684" t="s">
        <v>40</v>
      </c>
      <c r="G1684" t="s">
        <v>18</v>
      </c>
      <c r="H1684" t="s">
        <v>31</v>
      </c>
      <c r="I1684" t="str">
        <f>LEFT(H1684,FIND(" (",H1684)-1)</f>
        <v>Staff/Principal</v>
      </c>
      <c r="J1684" t="str">
        <f>MID(H1684,FIND("(",H1684)+1,FIND(")",H1684)-FIND("(",H1684)-1)</f>
        <v>8+ yrs</v>
      </c>
      <c r="L1684">
        <v>167466</v>
      </c>
      <c r="M1684" t="s">
        <v>3491</v>
      </c>
      <c r="N1684" t="s">
        <v>33</v>
      </c>
      <c r="O1684" t="s">
        <v>51</v>
      </c>
      <c r="P1684" s="1">
        <v>45629</v>
      </c>
      <c r="Q1684">
        <v>1442</v>
      </c>
      <c r="R1684">
        <v>3937</v>
      </c>
      <c r="S1684" t="s">
        <v>34</v>
      </c>
      <c r="T1684">
        <v>6</v>
      </c>
      <c r="U1684" t="s">
        <v>45</v>
      </c>
      <c r="V1684" t="s">
        <v>24</v>
      </c>
      <c r="W1684" t="s">
        <v>34</v>
      </c>
    </row>
    <row r="1685" spans="1:23" x14ac:dyDescent="0.3">
      <c r="A1685" t="s">
        <v>3492</v>
      </c>
      <c r="B1685" t="s">
        <v>26</v>
      </c>
      <c r="C1685" t="s">
        <v>92</v>
      </c>
      <c r="D1685" t="s">
        <v>75</v>
      </c>
      <c r="E1685" t="s">
        <v>87</v>
      </c>
      <c r="F1685" t="s">
        <v>87</v>
      </c>
      <c r="G1685" t="s">
        <v>18</v>
      </c>
      <c r="H1685" t="s">
        <v>66</v>
      </c>
      <c r="I1685" t="str">
        <f>LEFT(H1685,FIND(" (",H1685)-1)</f>
        <v>Senior</v>
      </c>
      <c r="J1685" t="str">
        <f>MID(H1685,FIND("(",H1685)+1,FIND(")",H1685)-FIND("(",H1685)-1)</f>
        <v>5-8 yrs</v>
      </c>
      <c r="L1685">
        <v>158757</v>
      </c>
      <c r="M1685" t="s">
        <v>3493</v>
      </c>
      <c r="N1685" t="s">
        <v>149</v>
      </c>
      <c r="O1685" t="s">
        <v>51</v>
      </c>
      <c r="P1685" s="1">
        <v>45357</v>
      </c>
      <c r="Q1685">
        <v>1839</v>
      </c>
      <c r="R1685">
        <v>598</v>
      </c>
      <c r="S1685" t="s">
        <v>23</v>
      </c>
      <c r="T1685">
        <v>4</v>
      </c>
      <c r="U1685" t="s">
        <v>52</v>
      </c>
      <c r="V1685" t="s">
        <v>24</v>
      </c>
      <c r="W1685" t="s">
        <v>23</v>
      </c>
    </row>
    <row r="1686" spans="1:23" x14ac:dyDescent="0.3">
      <c r="A1686" t="s">
        <v>3494</v>
      </c>
      <c r="B1686" t="s">
        <v>229</v>
      </c>
      <c r="C1686" t="s">
        <v>226</v>
      </c>
      <c r="D1686" t="s">
        <v>38</v>
      </c>
      <c r="E1686" t="s">
        <v>133</v>
      </c>
      <c r="F1686" t="s">
        <v>134</v>
      </c>
      <c r="G1686" t="s">
        <v>41</v>
      </c>
      <c r="H1686" t="s">
        <v>66</v>
      </c>
      <c r="I1686" t="str">
        <f>LEFT(H1686,FIND(" (",H1686)-1)</f>
        <v>Senior</v>
      </c>
      <c r="J1686" t="str">
        <f>MID(H1686,FIND("(",H1686)+1,FIND(")",H1686)-FIND("(",H1686)-1)</f>
        <v>5-8 yrs</v>
      </c>
      <c r="L1686">
        <v>118165</v>
      </c>
      <c r="M1686" t="s">
        <v>3495</v>
      </c>
      <c r="N1686" t="s">
        <v>33</v>
      </c>
      <c r="O1686" t="s">
        <v>22</v>
      </c>
      <c r="P1686" s="1">
        <v>45330</v>
      </c>
      <c r="Q1686">
        <v>1447</v>
      </c>
      <c r="R1686">
        <v>3441</v>
      </c>
      <c r="S1686" t="s">
        <v>23</v>
      </c>
      <c r="T1686">
        <v>4</v>
      </c>
      <c r="U1686" t="s">
        <v>45</v>
      </c>
      <c r="V1686" t="s">
        <v>24</v>
      </c>
      <c r="W1686" t="s">
        <v>34</v>
      </c>
    </row>
    <row r="1687" spans="1:23" x14ac:dyDescent="0.3">
      <c r="A1687" t="s">
        <v>3496</v>
      </c>
      <c r="B1687" t="s">
        <v>172</v>
      </c>
      <c r="C1687" t="s">
        <v>226</v>
      </c>
      <c r="D1687" t="s">
        <v>63</v>
      </c>
      <c r="E1687" t="s">
        <v>102</v>
      </c>
      <c r="F1687" t="s">
        <v>103</v>
      </c>
      <c r="G1687" t="s">
        <v>41</v>
      </c>
      <c r="H1687" t="s">
        <v>31</v>
      </c>
      <c r="I1687" t="str">
        <f>LEFT(H1687,FIND(" (",H1687)-1)</f>
        <v>Staff/Principal</v>
      </c>
      <c r="J1687" t="str">
        <f>MID(H1687,FIND("(",H1687)+1,FIND(")",H1687)-FIND("(",H1687)-1)</f>
        <v>8+ yrs</v>
      </c>
      <c r="L1687">
        <v>242756</v>
      </c>
      <c r="M1687" t="s">
        <v>3497</v>
      </c>
      <c r="N1687" t="s">
        <v>21</v>
      </c>
      <c r="O1687" t="s">
        <v>51</v>
      </c>
      <c r="P1687" s="1">
        <v>45527</v>
      </c>
      <c r="Q1687">
        <v>1511</v>
      </c>
      <c r="R1687">
        <v>1457</v>
      </c>
      <c r="S1687" t="s">
        <v>99</v>
      </c>
      <c r="T1687">
        <v>6</v>
      </c>
      <c r="U1687" t="s">
        <v>45</v>
      </c>
      <c r="V1687" t="s">
        <v>24</v>
      </c>
      <c r="W1687" t="s">
        <v>23</v>
      </c>
    </row>
    <row r="1688" spans="1:23" x14ac:dyDescent="0.3">
      <c r="A1688" t="s">
        <v>3498</v>
      </c>
      <c r="B1688" t="s">
        <v>225</v>
      </c>
      <c r="C1688" t="s">
        <v>146</v>
      </c>
      <c r="D1688" t="s">
        <v>49</v>
      </c>
      <c r="E1688" t="s">
        <v>5140</v>
      </c>
      <c r="F1688" t="s">
        <v>5133</v>
      </c>
      <c r="G1688" t="s">
        <v>55</v>
      </c>
      <c r="H1688" t="s">
        <v>66</v>
      </c>
      <c r="I1688" t="str">
        <f>LEFT(H1688,FIND(" (",H1688)-1)</f>
        <v>Senior</v>
      </c>
      <c r="J1688" t="str">
        <f>MID(H1688,FIND("(",H1688)+1,FIND(")",H1688)-FIND("(",H1688)-1)</f>
        <v>5-8 yrs</v>
      </c>
      <c r="L1688">
        <v>137455</v>
      </c>
      <c r="M1688" t="s">
        <v>3499</v>
      </c>
      <c r="N1688" t="s">
        <v>149</v>
      </c>
      <c r="O1688" t="s">
        <v>51</v>
      </c>
      <c r="P1688" s="1">
        <v>45457</v>
      </c>
      <c r="Q1688">
        <v>1793</v>
      </c>
      <c r="R1688">
        <v>3595</v>
      </c>
      <c r="S1688" t="s">
        <v>99</v>
      </c>
      <c r="T1688">
        <v>4</v>
      </c>
      <c r="U1688" t="s">
        <v>45</v>
      </c>
      <c r="V1688" t="s">
        <v>59</v>
      </c>
      <c r="W1688" t="s">
        <v>23</v>
      </c>
    </row>
    <row r="1689" spans="1:23" x14ac:dyDescent="0.3">
      <c r="A1689" t="s">
        <v>3500</v>
      </c>
      <c r="B1689" t="s">
        <v>85</v>
      </c>
      <c r="C1689" t="s">
        <v>62</v>
      </c>
      <c r="D1689" t="s">
        <v>75</v>
      </c>
      <c r="E1689" t="s">
        <v>102</v>
      </c>
      <c r="F1689" t="s">
        <v>103</v>
      </c>
      <c r="G1689" t="s">
        <v>41</v>
      </c>
      <c r="H1689" t="s">
        <v>66</v>
      </c>
      <c r="I1689" t="str">
        <f>LEFT(H1689,FIND(" (",H1689)-1)</f>
        <v>Senior</v>
      </c>
      <c r="J1689" t="str">
        <f>MID(H1689,FIND("(",H1689)+1,FIND(")",H1689)-FIND("(",H1689)-1)</f>
        <v>5-8 yrs</v>
      </c>
      <c r="L1689">
        <v>155431</v>
      </c>
      <c r="M1689" t="s">
        <v>3501</v>
      </c>
      <c r="N1689" t="s">
        <v>33</v>
      </c>
      <c r="O1689" t="s">
        <v>22</v>
      </c>
      <c r="P1689" s="1">
        <v>45359</v>
      </c>
      <c r="Q1689">
        <v>604</v>
      </c>
      <c r="R1689">
        <v>1625</v>
      </c>
      <c r="S1689" t="s">
        <v>23</v>
      </c>
      <c r="T1689">
        <v>4</v>
      </c>
      <c r="U1689" t="s">
        <v>5123</v>
      </c>
      <c r="V1689" t="s">
        <v>59</v>
      </c>
      <c r="W1689" t="s">
        <v>23</v>
      </c>
    </row>
    <row r="1690" spans="1:23" x14ac:dyDescent="0.3">
      <c r="A1690" t="s">
        <v>3502</v>
      </c>
      <c r="B1690" t="s">
        <v>222</v>
      </c>
      <c r="C1690" t="s">
        <v>132</v>
      </c>
      <c r="D1690" t="s">
        <v>125</v>
      </c>
      <c r="E1690" t="s">
        <v>230</v>
      </c>
      <c r="F1690" t="s">
        <v>231</v>
      </c>
      <c r="G1690" t="s">
        <v>55</v>
      </c>
      <c r="H1690" t="s">
        <v>19</v>
      </c>
      <c r="I1690" t="str">
        <f>LEFT(H1690,FIND(" (",H1690)-1)</f>
        <v>Entry</v>
      </c>
      <c r="J1690" t="str">
        <f>MID(H1690,FIND("(",H1690)+1,FIND(")",H1690)-FIND("(",H1690)-1)</f>
        <v>0-2 yrs</v>
      </c>
      <c r="L1690">
        <v>73569</v>
      </c>
      <c r="M1690" t="s">
        <v>3503</v>
      </c>
      <c r="N1690" t="s">
        <v>33</v>
      </c>
      <c r="O1690" t="s">
        <v>51</v>
      </c>
      <c r="P1690" s="1">
        <v>45483</v>
      </c>
      <c r="Q1690">
        <v>1879</v>
      </c>
      <c r="R1690">
        <v>3143</v>
      </c>
      <c r="S1690" t="s">
        <v>23</v>
      </c>
      <c r="T1690">
        <v>0</v>
      </c>
      <c r="U1690" t="s">
        <v>45</v>
      </c>
      <c r="V1690" t="s">
        <v>24</v>
      </c>
      <c r="W1690" t="s">
        <v>34</v>
      </c>
    </row>
    <row r="1691" spans="1:23" x14ac:dyDescent="0.3">
      <c r="A1691" t="s">
        <v>3504</v>
      </c>
      <c r="B1691" t="s">
        <v>26</v>
      </c>
      <c r="C1691" t="s">
        <v>158</v>
      </c>
      <c r="D1691" t="s">
        <v>125</v>
      </c>
      <c r="E1691" t="s">
        <v>230</v>
      </c>
      <c r="F1691" t="s">
        <v>231</v>
      </c>
      <c r="G1691" t="s">
        <v>55</v>
      </c>
      <c r="H1691" t="s">
        <v>56</v>
      </c>
      <c r="I1691" t="str">
        <f>LEFT(H1691,FIND(" (",H1691)-1)</f>
        <v>Mid</v>
      </c>
      <c r="J1691" t="str">
        <f>MID(H1691,FIND("(",H1691)+1,FIND(")",H1691)-FIND("(",H1691)-1)</f>
        <v>2-5 yrs</v>
      </c>
      <c r="L1691">
        <v>104873</v>
      </c>
      <c r="M1691" t="s">
        <v>3505</v>
      </c>
      <c r="N1691" t="s">
        <v>33</v>
      </c>
      <c r="O1691" t="s">
        <v>44</v>
      </c>
      <c r="P1691" s="1">
        <v>45388</v>
      </c>
      <c r="Q1691">
        <v>1465</v>
      </c>
      <c r="R1691">
        <v>3606</v>
      </c>
      <c r="S1691" t="s">
        <v>99</v>
      </c>
      <c r="T1691">
        <v>2</v>
      </c>
      <c r="U1691" t="s">
        <v>5123</v>
      </c>
      <c r="V1691" t="s">
        <v>59</v>
      </c>
      <c r="W1691" t="s">
        <v>34</v>
      </c>
    </row>
    <row r="1692" spans="1:23" x14ac:dyDescent="0.3">
      <c r="A1692" t="s">
        <v>3506</v>
      </c>
      <c r="B1692" t="s">
        <v>106</v>
      </c>
      <c r="C1692" t="s">
        <v>116</v>
      </c>
      <c r="D1692" t="s">
        <v>75</v>
      </c>
      <c r="E1692" t="s">
        <v>29</v>
      </c>
      <c r="F1692" t="s">
        <v>30</v>
      </c>
      <c r="G1692" t="s">
        <v>18</v>
      </c>
      <c r="H1692" t="s">
        <v>31</v>
      </c>
      <c r="I1692" t="str">
        <f>LEFT(H1692,FIND(" (",H1692)-1)</f>
        <v>Staff/Principal</v>
      </c>
      <c r="J1692" t="str">
        <f>MID(H1692,FIND("(",H1692)+1,FIND(")",H1692)-FIND("(",H1692)-1)</f>
        <v>8+ yrs</v>
      </c>
      <c r="L1692">
        <v>221120</v>
      </c>
      <c r="M1692" t="s">
        <v>3507</v>
      </c>
      <c r="N1692" t="s">
        <v>149</v>
      </c>
      <c r="O1692" t="s">
        <v>79</v>
      </c>
      <c r="P1692" s="1">
        <v>45719</v>
      </c>
      <c r="Q1692">
        <v>1781</v>
      </c>
      <c r="R1692">
        <v>2952</v>
      </c>
      <c r="S1692" t="s">
        <v>23</v>
      </c>
      <c r="T1692">
        <v>6</v>
      </c>
      <c r="U1692" t="s">
        <v>52</v>
      </c>
      <c r="V1692" t="s">
        <v>24</v>
      </c>
      <c r="W1692" t="s">
        <v>23</v>
      </c>
    </row>
    <row r="1693" spans="1:23" x14ac:dyDescent="0.3">
      <c r="A1693" t="s">
        <v>3508</v>
      </c>
      <c r="B1693" t="s">
        <v>143</v>
      </c>
      <c r="C1693" t="s">
        <v>27</v>
      </c>
      <c r="D1693" t="s">
        <v>28</v>
      </c>
      <c r="E1693" t="s">
        <v>5140</v>
      </c>
      <c r="F1693" t="s">
        <v>5133</v>
      </c>
      <c r="G1693" t="s">
        <v>18</v>
      </c>
      <c r="H1693" t="s">
        <v>19</v>
      </c>
      <c r="I1693" t="str">
        <f>LEFT(H1693,FIND(" (",H1693)-1)</f>
        <v>Entry</v>
      </c>
      <c r="J1693" t="str">
        <f>MID(H1693,FIND("(",H1693)+1,FIND(")",H1693)-FIND("(",H1693)-1)</f>
        <v>0-2 yrs</v>
      </c>
      <c r="L1693">
        <v>64016</v>
      </c>
      <c r="M1693" t="s">
        <v>3509</v>
      </c>
      <c r="N1693" t="s">
        <v>33</v>
      </c>
      <c r="O1693" t="s">
        <v>51</v>
      </c>
      <c r="P1693" s="1">
        <v>45710</v>
      </c>
      <c r="Q1693">
        <v>653</v>
      </c>
      <c r="R1693">
        <v>2277</v>
      </c>
      <c r="S1693" t="s">
        <v>99</v>
      </c>
      <c r="T1693">
        <v>0</v>
      </c>
      <c r="U1693" t="s">
        <v>5123</v>
      </c>
      <c r="V1693" t="s">
        <v>46</v>
      </c>
      <c r="W1693" t="s">
        <v>23</v>
      </c>
    </row>
    <row r="1694" spans="1:23" x14ac:dyDescent="0.3">
      <c r="A1694" t="s">
        <v>3510</v>
      </c>
      <c r="B1694" t="s">
        <v>106</v>
      </c>
      <c r="C1694" t="s">
        <v>14</v>
      </c>
      <c r="D1694" t="s">
        <v>125</v>
      </c>
      <c r="E1694" t="s">
        <v>29</v>
      </c>
      <c r="F1694" t="s">
        <v>30</v>
      </c>
      <c r="G1694" t="s">
        <v>18</v>
      </c>
      <c r="H1694" t="s">
        <v>66</v>
      </c>
      <c r="I1694" t="str">
        <f>LEFT(H1694,FIND(" (",H1694)-1)</f>
        <v>Senior</v>
      </c>
      <c r="J1694" t="str">
        <f>MID(H1694,FIND("(",H1694)+1,FIND(")",H1694)-FIND("(",H1694)-1)</f>
        <v>5-8 yrs</v>
      </c>
      <c r="L1694">
        <v>173525</v>
      </c>
      <c r="M1694" t="s">
        <v>3511</v>
      </c>
      <c r="N1694" t="s">
        <v>33</v>
      </c>
      <c r="O1694" t="s">
        <v>44</v>
      </c>
      <c r="P1694" s="1">
        <v>45549</v>
      </c>
      <c r="Q1694">
        <v>2051</v>
      </c>
      <c r="R1694">
        <v>2249</v>
      </c>
      <c r="S1694" t="s">
        <v>23</v>
      </c>
      <c r="T1694">
        <v>4</v>
      </c>
      <c r="U1694" t="s">
        <v>52</v>
      </c>
      <c r="V1694" t="s">
        <v>24</v>
      </c>
      <c r="W1694" t="s">
        <v>34</v>
      </c>
    </row>
    <row r="1695" spans="1:23" x14ac:dyDescent="0.3">
      <c r="A1695" t="s">
        <v>3512</v>
      </c>
      <c r="B1695" t="s">
        <v>61</v>
      </c>
      <c r="C1695" t="s">
        <v>62</v>
      </c>
      <c r="D1695" t="s">
        <v>49</v>
      </c>
      <c r="E1695" t="s">
        <v>5137</v>
      </c>
      <c r="F1695" t="s">
        <v>5138</v>
      </c>
      <c r="G1695" t="s">
        <v>18</v>
      </c>
      <c r="H1695" t="s">
        <v>19</v>
      </c>
      <c r="I1695" t="str">
        <f>LEFT(H1695,FIND(" (",H1695)-1)</f>
        <v>Entry</v>
      </c>
      <c r="J1695" t="str">
        <f>MID(H1695,FIND("(",H1695)+1,FIND(")",H1695)-FIND("(",H1695)-1)</f>
        <v>0-2 yrs</v>
      </c>
      <c r="L1695">
        <v>53040</v>
      </c>
      <c r="M1695" t="s">
        <v>3513</v>
      </c>
      <c r="N1695" t="s">
        <v>33</v>
      </c>
      <c r="O1695" t="s">
        <v>79</v>
      </c>
      <c r="P1695" s="1">
        <v>45687</v>
      </c>
      <c r="Q1695">
        <v>461</v>
      </c>
      <c r="R1695">
        <v>387</v>
      </c>
      <c r="S1695" t="s">
        <v>23</v>
      </c>
      <c r="T1695">
        <v>0</v>
      </c>
      <c r="U1695" t="s">
        <v>45</v>
      </c>
      <c r="V1695" t="s">
        <v>24</v>
      </c>
      <c r="W1695" t="s">
        <v>34</v>
      </c>
    </row>
    <row r="1696" spans="1:23" x14ac:dyDescent="0.3">
      <c r="A1696" t="s">
        <v>3514</v>
      </c>
      <c r="B1696" t="s">
        <v>131</v>
      </c>
      <c r="C1696" t="s">
        <v>167</v>
      </c>
      <c r="D1696" t="s">
        <v>38</v>
      </c>
      <c r="E1696" t="s">
        <v>133</v>
      </c>
      <c r="F1696" t="s">
        <v>134</v>
      </c>
      <c r="G1696" t="s">
        <v>41</v>
      </c>
      <c r="H1696" t="s">
        <v>19</v>
      </c>
      <c r="I1696" t="str">
        <f>LEFT(H1696,FIND(" (",H1696)-1)</f>
        <v>Entry</v>
      </c>
      <c r="J1696" t="str">
        <f>MID(H1696,FIND("(",H1696)+1,FIND(")",H1696)-FIND("(",H1696)-1)</f>
        <v>0-2 yrs</v>
      </c>
      <c r="L1696">
        <v>71592</v>
      </c>
      <c r="M1696" t="s">
        <v>3515</v>
      </c>
      <c r="N1696" t="s">
        <v>43</v>
      </c>
      <c r="O1696" t="s">
        <v>22</v>
      </c>
      <c r="P1696" s="1">
        <v>45562</v>
      </c>
      <c r="Q1696">
        <v>741</v>
      </c>
      <c r="R1696">
        <v>2779</v>
      </c>
      <c r="S1696" t="s">
        <v>23</v>
      </c>
      <c r="T1696">
        <v>0</v>
      </c>
      <c r="U1696" t="s">
        <v>83</v>
      </c>
      <c r="V1696" t="s">
        <v>24</v>
      </c>
      <c r="W1696" t="s">
        <v>34</v>
      </c>
    </row>
    <row r="1697" spans="1:23" x14ac:dyDescent="0.3">
      <c r="A1697" t="s">
        <v>3516</v>
      </c>
      <c r="B1697" t="s">
        <v>106</v>
      </c>
      <c r="C1697" t="s">
        <v>86</v>
      </c>
      <c r="D1697" t="s">
        <v>147</v>
      </c>
      <c r="E1697" t="s">
        <v>5132</v>
      </c>
      <c r="F1697" t="s">
        <v>5133</v>
      </c>
      <c r="G1697" t="s">
        <v>18</v>
      </c>
      <c r="H1697" t="s">
        <v>56</v>
      </c>
      <c r="I1697" t="str">
        <f>LEFT(H1697,FIND(" (",H1697)-1)</f>
        <v>Mid</v>
      </c>
      <c r="J1697" t="str">
        <f>MID(H1697,FIND("(",H1697)+1,FIND(")",H1697)-FIND("(",H1697)-1)</f>
        <v>2-5 yrs</v>
      </c>
      <c r="L1697">
        <v>148390</v>
      </c>
      <c r="M1697" t="s">
        <v>3517</v>
      </c>
      <c r="N1697" t="s">
        <v>33</v>
      </c>
      <c r="O1697" t="s">
        <v>51</v>
      </c>
      <c r="P1697" s="1">
        <v>45579</v>
      </c>
      <c r="Q1697">
        <v>1530</v>
      </c>
      <c r="R1697">
        <v>3998</v>
      </c>
      <c r="S1697" t="s">
        <v>99</v>
      </c>
      <c r="T1697">
        <v>2</v>
      </c>
      <c r="U1697" t="s">
        <v>5123</v>
      </c>
      <c r="V1697" t="s">
        <v>59</v>
      </c>
      <c r="W1697" t="s">
        <v>34</v>
      </c>
    </row>
    <row r="1698" spans="1:23" x14ac:dyDescent="0.3">
      <c r="A1698" t="s">
        <v>3518</v>
      </c>
      <c r="B1698" t="s">
        <v>106</v>
      </c>
      <c r="C1698" t="s">
        <v>158</v>
      </c>
      <c r="D1698" t="s">
        <v>125</v>
      </c>
      <c r="E1698" t="s">
        <v>216</v>
      </c>
      <c r="F1698" t="s">
        <v>217</v>
      </c>
      <c r="G1698" t="s">
        <v>18</v>
      </c>
      <c r="H1698" t="s">
        <v>19</v>
      </c>
      <c r="I1698" t="str">
        <f>LEFT(H1698,FIND(" (",H1698)-1)</f>
        <v>Entry</v>
      </c>
      <c r="J1698" t="str">
        <f>MID(H1698,FIND("(",H1698)+1,FIND(")",H1698)-FIND("(",H1698)-1)</f>
        <v>0-2 yrs</v>
      </c>
      <c r="L1698">
        <v>57395</v>
      </c>
      <c r="M1698" t="s">
        <v>3519</v>
      </c>
      <c r="N1698" t="s">
        <v>33</v>
      </c>
      <c r="O1698" t="s">
        <v>22</v>
      </c>
      <c r="P1698" s="1">
        <v>45551</v>
      </c>
      <c r="Q1698">
        <v>1319</v>
      </c>
      <c r="R1698">
        <v>1125</v>
      </c>
      <c r="S1698" t="s">
        <v>99</v>
      </c>
      <c r="T1698">
        <v>0</v>
      </c>
      <c r="U1698" t="s">
        <v>45</v>
      </c>
      <c r="V1698" t="s">
        <v>24</v>
      </c>
      <c r="W1698" t="s">
        <v>34</v>
      </c>
    </row>
    <row r="1699" spans="1:23" x14ac:dyDescent="0.3">
      <c r="A1699" t="s">
        <v>3520</v>
      </c>
      <c r="B1699" t="s">
        <v>96</v>
      </c>
      <c r="C1699" t="s">
        <v>226</v>
      </c>
      <c r="D1699" t="s">
        <v>63</v>
      </c>
      <c r="E1699" t="s">
        <v>16</v>
      </c>
      <c r="F1699" t="s">
        <v>17</v>
      </c>
      <c r="G1699" t="s">
        <v>55</v>
      </c>
      <c r="H1699" t="s">
        <v>19</v>
      </c>
      <c r="I1699" t="str">
        <f>LEFT(H1699,FIND(" (",H1699)-1)</f>
        <v>Entry</v>
      </c>
      <c r="J1699" t="str">
        <f>MID(H1699,FIND("(",H1699)+1,FIND(")",H1699)-FIND("(",H1699)-1)</f>
        <v>0-2 yrs</v>
      </c>
      <c r="L1699">
        <v>61460</v>
      </c>
      <c r="M1699" t="s">
        <v>3521</v>
      </c>
      <c r="N1699" t="s">
        <v>68</v>
      </c>
      <c r="O1699" t="s">
        <v>22</v>
      </c>
      <c r="P1699" s="1">
        <v>45535</v>
      </c>
      <c r="Q1699">
        <v>608</v>
      </c>
      <c r="R1699">
        <v>3391</v>
      </c>
      <c r="S1699" t="s">
        <v>23</v>
      </c>
      <c r="T1699">
        <v>0</v>
      </c>
      <c r="U1699" t="s">
        <v>52</v>
      </c>
      <c r="V1699" t="s">
        <v>24</v>
      </c>
      <c r="W1699" t="s">
        <v>34</v>
      </c>
    </row>
    <row r="1700" spans="1:23" x14ac:dyDescent="0.3">
      <c r="A1700" t="s">
        <v>3522</v>
      </c>
      <c r="B1700" t="s">
        <v>106</v>
      </c>
      <c r="C1700" t="s">
        <v>146</v>
      </c>
      <c r="D1700" t="s">
        <v>15</v>
      </c>
      <c r="E1700" t="s">
        <v>76</v>
      </c>
      <c r="F1700" t="s">
        <v>77</v>
      </c>
      <c r="G1700" t="s">
        <v>41</v>
      </c>
      <c r="H1700" t="s">
        <v>31</v>
      </c>
      <c r="I1700" t="str">
        <f>LEFT(H1700,FIND(" (",H1700)-1)</f>
        <v>Staff/Principal</v>
      </c>
      <c r="J1700" t="str">
        <f>MID(H1700,FIND("(",H1700)+1,FIND(")",H1700)-FIND("(",H1700)-1)</f>
        <v>8+ yrs</v>
      </c>
      <c r="L1700">
        <v>218500</v>
      </c>
      <c r="M1700" t="s">
        <v>3523</v>
      </c>
      <c r="N1700" t="s">
        <v>33</v>
      </c>
      <c r="O1700" t="s">
        <v>79</v>
      </c>
      <c r="P1700" s="1">
        <v>45339</v>
      </c>
      <c r="Q1700">
        <v>1852</v>
      </c>
      <c r="R1700">
        <v>3531</v>
      </c>
      <c r="S1700" t="s">
        <v>23</v>
      </c>
      <c r="T1700">
        <v>6</v>
      </c>
      <c r="U1700" t="s">
        <v>5123</v>
      </c>
      <c r="V1700" t="s">
        <v>24</v>
      </c>
      <c r="W1700" t="s">
        <v>23</v>
      </c>
    </row>
    <row r="1701" spans="1:23" x14ac:dyDescent="0.3">
      <c r="A1701" t="s">
        <v>3524</v>
      </c>
      <c r="B1701" t="s">
        <v>151</v>
      </c>
      <c r="C1701" t="s">
        <v>71</v>
      </c>
      <c r="D1701" t="s">
        <v>38</v>
      </c>
      <c r="E1701" t="s">
        <v>5141</v>
      </c>
      <c r="F1701" t="s">
        <v>5133</v>
      </c>
      <c r="G1701" t="s">
        <v>41</v>
      </c>
      <c r="H1701" t="s">
        <v>19</v>
      </c>
      <c r="I1701" t="str">
        <f>LEFT(H1701,FIND(" (",H1701)-1)</f>
        <v>Entry</v>
      </c>
      <c r="J1701" t="str">
        <f>MID(H1701,FIND("(",H1701)+1,FIND(")",H1701)-FIND("(",H1701)-1)</f>
        <v>0-2 yrs</v>
      </c>
      <c r="L1701">
        <v>72262</v>
      </c>
      <c r="M1701" t="s">
        <v>3525</v>
      </c>
      <c r="N1701" t="s">
        <v>68</v>
      </c>
      <c r="O1701" t="s">
        <v>22</v>
      </c>
      <c r="P1701" s="1">
        <v>45435</v>
      </c>
      <c r="Q1701">
        <v>2189</v>
      </c>
      <c r="R1701">
        <v>252</v>
      </c>
      <c r="S1701" t="s">
        <v>34</v>
      </c>
      <c r="T1701">
        <v>0</v>
      </c>
      <c r="U1701" t="s">
        <v>5123</v>
      </c>
      <c r="V1701" t="s">
        <v>59</v>
      </c>
      <c r="W1701" t="s">
        <v>34</v>
      </c>
    </row>
    <row r="1702" spans="1:23" x14ac:dyDescent="0.3">
      <c r="A1702" t="s">
        <v>3526</v>
      </c>
      <c r="B1702" t="s">
        <v>151</v>
      </c>
      <c r="C1702" t="s">
        <v>179</v>
      </c>
      <c r="D1702" t="s">
        <v>38</v>
      </c>
      <c r="E1702" t="s">
        <v>200</v>
      </c>
      <c r="F1702" t="s">
        <v>201</v>
      </c>
      <c r="G1702" t="s">
        <v>41</v>
      </c>
      <c r="H1702" t="s">
        <v>19</v>
      </c>
      <c r="I1702" t="str">
        <f>LEFT(H1702,FIND(" (",H1702)-1)</f>
        <v>Entry</v>
      </c>
      <c r="J1702" t="str">
        <f>MID(H1702,FIND("(",H1702)+1,FIND(")",H1702)-FIND("(",H1702)-1)</f>
        <v>0-2 yrs</v>
      </c>
      <c r="L1702">
        <v>74417</v>
      </c>
      <c r="M1702" t="s">
        <v>3527</v>
      </c>
      <c r="N1702" t="s">
        <v>245</v>
      </c>
      <c r="O1702" t="s">
        <v>44</v>
      </c>
      <c r="P1702" s="1">
        <v>45325</v>
      </c>
      <c r="Q1702">
        <v>1963</v>
      </c>
      <c r="R1702">
        <v>1392</v>
      </c>
      <c r="S1702" t="s">
        <v>99</v>
      </c>
      <c r="T1702">
        <v>0</v>
      </c>
      <c r="U1702" t="s">
        <v>58</v>
      </c>
      <c r="V1702" t="s">
        <v>24</v>
      </c>
      <c r="W1702" t="s">
        <v>23</v>
      </c>
    </row>
    <row r="1703" spans="1:23" x14ac:dyDescent="0.3">
      <c r="A1703" t="s">
        <v>3528</v>
      </c>
      <c r="B1703" t="s">
        <v>26</v>
      </c>
      <c r="C1703" t="s">
        <v>192</v>
      </c>
      <c r="D1703" t="s">
        <v>125</v>
      </c>
      <c r="E1703" t="s">
        <v>216</v>
      </c>
      <c r="F1703" t="s">
        <v>217</v>
      </c>
      <c r="G1703" t="s">
        <v>55</v>
      </c>
      <c r="H1703" t="s">
        <v>56</v>
      </c>
      <c r="I1703" t="str">
        <f>LEFT(H1703,FIND(" (",H1703)-1)</f>
        <v>Mid</v>
      </c>
      <c r="J1703" t="str">
        <f>MID(H1703,FIND("(",H1703)+1,FIND(")",H1703)-FIND("(",H1703)-1)</f>
        <v>2-5 yrs</v>
      </c>
      <c r="L1703">
        <v>119685</v>
      </c>
      <c r="M1703" t="s">
        <v>3529</v>
      </c>
      <c r="N1703" t="s">
        <v>21</v>
      </c>
      <c r="O1703" t="s">
        <v>22</v>
      </c>
      <c r="P1703" s="1">
        <v>45379</v>
      </c>
      <c r="Q1703">
        <v>1631</v>
      </c>
      <c r="R1703">
        <v>3751</v>
      </c>
      <c r="S1703" t="s">
        <v>23</v>
      </c>
      <c r="T1703">
        <v>2</v>
      </c>
      <c r="U1703" t="s">
        <v>52</v>
      </c>
      <c r="V1703" t="s">
        <v>24</v>
      </c>
      <c r="W1703" t="s">
        <v>23</v>
      </c>
    </row>
    <row r="1704" spans="1:23" x14ac:dyDescent="0.3">
      <c r="A1704" t="s">
        <v>3530</v>
      </c>
      <c r="B1704" t="s">
        <v>236</v>
      </c>
      <c r="C1704" t="s">
        <v>14</v>
      </c>
      <c r="D1704" t="s">
        <v>15</v>
      </c>
      <c r="E1704" t="s">
        <v>5141</v>
      </c>
      <c r="F1704" t="s">
        <v>5133</v>
      </c>
      <c r="G1704" t="s">
        <v>18</v>
      </c>
      <c r="H1704" t="s">
        <v>66</v>
      </c>
      <c r="I1704" t="str">
        <f>LEFT(H1704,FIND(" (",H1704)-1)</f>
        <v>Senior</v>
      </c>
      <c r="J1704" t="str">
        <f>MID(H1704,FIND("(",H1704)+1,FIND(")",H1704)-FIND("(",H1704)-1)</f>
        <v>5-8 yrs</v>
      </c>
      <c r="L1704">
        <v>167137</v>
      </c>
      <c r="M1704" t="s">
        <v>3531</v>
      </c>
      <c r="N1704" t="s">
        <v>21</v>
      </c>
      <c r="O1704" t="s">
        <v>79</v>
      </c>
      <c r="P1704" s="1">
        <v>45737</v>
      </c>
      <c r="Q1704">
        <v>1573</v>
      </c>
      <c r="R1704">
        <v>2137</v>
      </c>
      <c r="S1704" t="s">
        <v>99</v>
      </c>
      <c r="T1704">
        <v>4</v>
      </c>
      <c r="U1704" t="s">
        <v>52</v>
      </c>
      <c r="V1704" t="s">
        <v>24</v>
      </c>
      <c r="W1704" t="s">
        <v>23</v>
      </c>
    </row>
    <row r="1705" spans="1:23" x14ac:dyDescent="0.3">
      <c r="A1705" t="s">
        <v>3532</v>
      </c>
      <c r="B1705" t="s">
        <v>106</v>
      </c>
      <c r="C1705" t="s">
        <v>14</v>
      </c>
      <c r="D1705" t="s">
        <v>28</v>
      </c>
      <c r="E1705" t="s">
        <v>87</v>
      </c>
      <c r="F1705" t="s">
        <v>87</v>
      </c>
      <c r="G1705" t="s">
        <v>18</v>
      </c>
      <c r="H1705" t="s">
        <v>31</v>
      </c>
      <c r="I1705" t="str">
        <f>LEFT(H1705,FIND(" (",H1705)-1)</f>
        <v>Staff/Principal</v>
      </c>
      <c r="J1705" t="str">
        <f>MID(H1705,FIND("(",H1705)+1,FIND(")",H1705)-FIND("(",H1705)-1)</f>
        <v>8+ yrs</v>
      </c>
      <c r="L1705">
        <v>239949</v>
      </c>
      <c r="M1705" t="s">
        <v>3533</v>
      </c>
      <c r="N1705" t="s">
        <v>245</v>
      </c>
      <c r="O1705" t="s">
        <v>51</v>
      </c>
      <c r="P1705" s="1">
        <v>45580</v>
      </c>
      <c r="Q1705">
        <v>2425</v>
      </c>
      <c r="R1705">
        <v>1284</v>
      </c>
      <c r="S1705" t="s">
        <v>23</v>
      </c>
      <c r="T1705">
        <v>6</v>
      </c>
      <c r="U1705" t="s">
        <v>45</v>
      </c>
      <c r="V1705" t="s">
        <v>24</v>
      </c>
      <c r="W1705" t="s">
        <v>23</v>
      </c>
    </row>
    <row r="1706" spans="1:23" x14ac:dyDescent="0.3">
      <c r="A1706" t="s">
        <v>3534</v>
      </c>
      <c r="B1706" t="s">
        <v>36</v>
      </c>
      <c r="C1706" t="s">
        <v>27</v>
      </c>
      <c r="D1706" t="s">
        <v>174</v>
      </c>
      <c r="E1706" t="s">
        <v>5134</v>
      </c>
      <c r="F1706" t="s">
        <v>5133</v>
      </c>
      <c r="G1706" t="s">
        <v>18</v>
      </c>
      <c r="H1706" t="s">
        <v>19</v>
      </c>
      <c r="I1706" t="str">
        <f>LEFT(H1706,FIND(" (",H1706)-1)</f>
        <v>Entry</v>
      </c>
      <c r="J1706" t="str">
        <f>MID(H1706,FIND("(",H1706)+1,FIND(")",H1706)-FIND("(",H1706)-1)</f>
        <v>0-2 yrs</v>
      </c>
      <c r="L1706">
        <v>75163</v>
      </c>
      <c r="M1706" t="s">
        <v>3535</v>
      </c>
      <c r="N1706" t="s">
        <v>89</v>
      </c>
      <c r="O1706" t="s">
        <v>44</v>
      </c>
      <c r="P1706" s="1">
        <v>45684</v>
      </c>
      <c r="Q1706">
        <v>2111</v>
      </c>
      <c r="R1706">
        <v>1979</v>
      </c>
      <c r="S1706" t="s">
        <v>23</v>
      </c>
      <c r="T1706">
        <v>0</v>
      </c>
      <c r="U1706" t="s">
        <v>5123</v>
      </c>
      <c r="V1706" t="s">
        <v>24</v>
      </c>
      <c r="W1706" t="s">
        <v>23</v>
      </c>
    </row>
    <row r="1707" spans="1:23" x14ac:dyDescent="0.3">
      <c r="A1707" t="s">
        <v>3536</v>
      </c>
      <c r="B1707" t="s">
        <v>151</v>
      </c>
      <c r="C1707" t="s">
        <v>182</v>
      </c>
      <c r="D1707" t="s">
        <v>38</v>
      </c>
      <c r="E1707" t="s">
        <v>5137</v>
      </c>
      <c r="F1707" t="s">
        <v>5138</v>
      </c>
      <c r="G1707" t="s">
        <v>41</v>
      </c>
      <c r="H1707" t="s">
        <v>19</v>
      </c>
      <c r="I1707" t="str">
        <f>LEFT(H1707,FIND(" (",H1707)-1)</f>
        <v>Entry</v>
      </c>
      <c r="J1707" t="str">
        <f>MID(H1707,FIND("(",H1707)+1,FIND(")",H1707)-FIND("(",H1707)-1)</f>
        <v>0-2 yrs</v>
      </c>
      <c r="L1707">
        <v>66960</v>
      </c>
      <c r="M1707" t="s">
        <v>3537</v>
      </c>
      <c r="N1707" t="s">
        <v>120</v>
      </c>
      <c r="O1707" t="s">
        <v>44</v>
      </c>
      <c r="P1707" s="1">
        <v>45429</v>
      </c>
      <c r="Q1707">
        <v>580</v>
      </c>
      <c r="R1707">
        <v>307</v>
      </c>
      <c r="S1707" t="s">
        <v>23</v>
      </c>
      <c r="T1707">
        <v>0</v>
      </c>
      <c r="U1707" t="s">
        <v>58</v>
      </c>
      <c r="V1707" t="s">
        <v>24</v>
      </c>
      <c r="W1707" t="s">
        <v>34</v>
      </c>
    </row>
    <row r="1708" spans="1:23" x14ac:dyDescent="0.3">
      <c r="A1708" t="s">
        <v>3538</v>
      </c>
      <c r="B1708" t="s">
        <v>151</v>
      </c>
      <c r="C1708" t="s">
        <v>54</v>
      </c>
      <c r="D1708" t="s">
        <v>174</v>
      </c>
      <c r="E1708" t="s">
        <v>5134</v>
      </c>
      <c r="F1708" t="s">
        <v>5133</v>
      </c>
      <c r="G1708" t="s">
        <v>18</v>
      </c>
      <c r="H1708" t="s">
        <v>56</v>
      </c>
      <c r="I1708" t="str">
        <f>LEFT(H1708,FIND(" (",H1708)-1)</f>
        <v>Mid</v>
      </c>
      <c r="J1708" t="str">
        <f>MID(H1708,FIND("(",H1708)+1,FIND(")",H1708)-FIND("(",H1708)-1)</f>
        <v>2-5 yrs</v>
      </c>
      <c r="L1708">
        <v>123316</v>
      </c>
      <c r="M1708" t="s">
        <v>3539</v>
      </c>
      <c r="N1708" t="s">
        <v>120</v>
      </c>
      <c r="O1708" t="s">
        <v>79</v>
      </c>
      <c r="P1708" s="1">
        <v>45556</v>
      </c>
      <c r="Q1708">
        <v>1018</v>
      </c>
      <c r="R1708">
        <v>3047</v>
      </c>
      <c r="S1708" t="s">
        <v>23</v>
      </c>
      <c r="T1708">
        <v>2</v>
      </c>
      <c r="U1708" t="s">
        <v>52</v>
      </c>
      <c r="V1708" t="s">
        <v>24</v>
      </c>
      <c r="W1708" t="s">
        <v>23</v>
      </c>
    </row>
    <row r="1709" spans="1:23" x14ac:dyDescent="0.3">
      <c r="A1709" t="s">
        <v>3540</v>
      </c>
      <c r="B1709" t="s">
        <v>91</v>
      </c>
      <c r="C1709" t="s">
        <v>173</v>
      </c>
      <c r="D1709" t="s">
        <v>174</v>
      </c>
      <c r="E1709" t="s">
        <v>39</v>
      </c>
      <c r="F1709" t="s">
        <v>40</v>
      </c>
      <c r="G1709" t="s">
        <v>18</v>
      </c>
      <c r="H1709" t="s">
        <v>31</v>
      </c>
      <c r="I1709" t="str">
        <f>LEFT(H1709,FIND(" (",H1709)-1)</f>
        <v>Staff/Principal</v>
      </c>
      <c r="J1709" t="str">
        <f>MID(H1709,FIND("(",H1709)+1,FIND(")",H1709)-FIND("(",H1709)-1)</f>
        <v>8+ yrs</v>
      </c>
      <c r="L1709">
        <v>268395</v>
      </c>
      <c r="M1709" t="s">
        <v>3541</v>
      </c>
      <c r="N1709" t="s">
        <v>33</v>
      </c>
      <c r="O1709" t="s">
        <v>22</v>
      </c>
      <c r="P1709" s="1">
        <v>45428</v>
      </c>
      <c r="Q1709">
        <v>1684</v>
      </c>
      <c r="R1709">
        <v>3481</v>
      </c>
      <c r="S1709" t="s">
        <v>23</v>
      </c>
      <c r="T1709">
        <v>6</v>
      </c>
      <c r="U1709" t="s">
        <v>58</v>
      </c>
      <c r="V1709" t="s">
        <v>59</v>
      </c>
      <c r="W1709" t="s">
        <v>34</v>
      </c>
    </row>
    <row r="1710" spans="1:23" x14ac:dyDescent="0.3">
      <c r="A1710" t="s">
        <v>3542</v>
      </c>
      <c r="B1710" t="s">
        <v>91</v>
      </c>
      <c r="C1710" t="s">
        <v>54</v>
      </c>
      <c r="D1710" t="s">
        <v>111</v>
      </c>
      <c r="E1710" t="s">
        <v>5136</v>
      </c>
      <c r="F1710" t="s">
        <v>5133</v>
      </c>
      <c r="G1710" t="s">
        <v>18</v>
      </c>
      <c r="H1710" t="s">
        <v>19</v>
      </c>
      <c r="I1710" t="str">
        <f>LEFT(H1710,FIND(" (",H1710)-1)</f>
        <v>Entry</v>
      </c>
      <c r="J1710" t="str">
        <f>MID(H1710,FIND("(",H1710)+1,FIND(")",H1710)-FIND("(",H1710)-1)</f>
        <v>0-2 yrs</v>
      </c>
      <c r="L1710">
        <v>68328</v>
      </c>
      <c r="M1710" t="s">
        <v>3543</v>
      </c>
      <c r="N1710" t="s">
        <v>33</v>
      </c>
      <c r="O1710" t="s">
        <v>51</v>
      </c>
      <c r="P1710" s="1">
        <v>45503</v>
      </c>
      <c r="Q1710">
        <v>1393</v>
      </c>
      <c r="R1710">
        <v>2823</v>
      </c>
      <c r="S1710" t="s">
        <v>34</v>
      </c>
      <c r="T1710">
        <v>0</v>
      </c>
      <c r="U1710" t="s">
        <v>5123</v>
      </c>
      <c r="V1710" t="s">
        <v>24</v>
      </c>
      <c r="W1710" t="s">
        <v>23</v>
      </c>
    </row>
    <row r="1711" spans="1:23" x14ac:dyDescent="0.3">
      <c r="A1711" t="s">
        <v>3544</v>
      </c>
      <c r="B1711" t="s">
        <v>172</v>
      </c>
      <c r="C1711" t="s">
        <v>158</v>
      </c>
      <c r="D1711" t="s">
        <v>111</v>
      </c>
      <c r="E1711" t="s">
        <v>5134</v>
      </c>
      <c r="F1711" t="s">
        <v>5133</v>
      </c>
      <c r="G1711" t="s">
        <v>41</v>
      </c>
      <c r="H1711" t="s">
        <v>56</v>
      </c>
      <c r="I1711" t="str">
        <f>LEFT(H1711,FIND(" (",H1711)-1)</f>
        <v>Mid</v>
      </c>
      <c r="J1711" t="str">
        <f>MID(H1711,FIND("(",H1711)+1,FIND(")",H1711)-FIND("(",H1711)-1)</f>
        <v>2-5 yrs</v>
      </c>
      <c r="L1711">
        <v>90704</v>
      </c>
      <c r="M1711" t="s">
        <v>3545</v>
      </c>
      <c r="N1711" t="s">
        <v>186</v>
      </c>
      <c r="O1711" t="s">
        <v>22</v>
      </c>
      <c r="P1711" s="1">
        <v>45410</v>
      </c>
      <c r="Q1711">
        <v>420</v>
      </c>
      <c r="R1711">
        <v>3208</v>
      </c>
      <c r="S1711" t="s">
        <v>23</v>
      </c>
      <c r="T1711">
        <v>2</v>
      </c>
      <c r="U1711" t="s">
        <v>83</v>
      </c>
      <c r="V1711" t="s">
        <v>24</v>
      </c>
      <c r="W1711" t="s">
        <v>23</v>
      </c>
    </row>
    <row r="1712" spans="1:23" x14ac:dyDescent="0.3">
      <c r="A1712" t="s">
        <v>3546</v>
      </c>
      <c r="B1712" t="s">
        <v>225</v>
      </c>
      <c r="C1712" t="s">
        <v>97</v>
      </c>
      <c r="D1712" t="s">
        <v>28</v>
      </c>
      <c r="E1712" t="s">
        <v>133</v>
      </c>
      <c r="F1712" t="s">
        <v>134</v>
      </c>
      <c r="G1712" t="s">
        <v>18</v>
      </c>
      <c r="H1712" t="s">
        <v>19</v>
      </c>
      <c r="I1712" t="str">
        <f>LEFT(H1712,FIND(" (",H1712)-1)</f>
        <v>Entry</v>
      </c>
      <c r="J1712" t="str">
        <f>MID(H1712,FIND("(",H1712)+1,FIND(")",H1712)-FIND("(",H1712)-1)</f>
        <v>0-2 yrs</v>
      </c>
      <c r="L1712">
        <v>83949</v>
      </c>
      <c r="M1712" t="s">
        <v>3547</v>
      </c>
      <c r="N1712" t="s">
        <v>94</v>
      </c>
      <c r="O1712" t="s">
        <v>51</v>
      </c>
      <c r="P1712" s="1">
        <v>45388</v>
      </c>
      <c r="Q1712">
        <v>1073</v>
      </c>
      <c r="R1712">
        <v>3580</v>
      </c>
      <c r="S1712" t="s">
        <v>23</v>
      </c>
      <c r="T1712">
        <v>0</v>
      </c>
      <c r="U1712" t="s">
        <v>58</v>
      </c>
      <c r="V1712" t="s">
        <v>59</v>
      </c>
      <c r="W1712" t="s">
        <v>34</v>
      </c>
    </row>
    <row r="1713" spans="1:23" x14ac:dyDescent="0.3">
      <c r="A1713" t="s">
        <v>3548</v>
      </c>
      <c r="B1713" t="s">
        <v>329</v>
      </c>
      <c r="C1713" t="s">
        <v>107</v>
      </c>
      <c r="D1713" t="s">
        <v>147</v>
      </c>
      <c r="E1713" t="s">
        <v>159</v>
      </c>
      <c r="F1713" t="s">
        <v>160</v>
      </c>
      <c r="G1713" t="s">
        <v>55</v>
      </c>
      <c r="H1713" t="s">
        <v>56</v>
      </c>
      <c r="I1713" t="str">
        <f>LEFT(H1713,FIND(" (",H1713)-1)</f>
        <v>Mid</v>
      </c>
      <c r="J1713" t="str">
        <f>MID(H1713,FIND("(",H1713)+1,FIND(")",H1713)-FIND("(",H1713)-1)</f>
        <v>2-5 yrs</v>
      </c>
      <c r="L1713">
        <v>107616</v>
      </c>
      <c r="M1713" t="s">
        <v>3549</v>
      </c>
      <c r="N1713" t="s">
        <v>21</v>
      </c>
      <c r="O1713" t="s">
        <v>51</v>
      </c>
      <c r="P1713" s="1">
        <v>45461</v>
      </c>
      <c r="Q1713">
        <v>1648</v>
      </c>
      <c r="R1713">
        <v>1212</v>
      </c>
      <c r="S1713" t="s">
        <v>34</v>
      </c>
      <c r="T1713">
        <v>2</v>
      </c>
      <c r="U1713" t="s">
        <v>5123</v>
      </c>
      <c r="V1713" t="s">
        <v>46</v>
      </c>
      <c r="W1713" t="s">
        <v>23</v>
      </c>
    </row>
    <row r="1714" spans="1:23" x14ac:dyDescent="0.3">
      <c r="A1714" t="s">
        <v>3550</v>
      </c>
      <c r="B1714" t="s">
        <v>96</v>
      </c>
      <c r="C1714" t="s">
        <v>107</v>
      </c>
      <c r="D1714" t="s">
        <v>49</v>
      </c>
      <c r="E1714" t="s">
        <v>5139</v>
      </c>
      <c r="F1714" t="s">
        <v>5133</v>
      </c>
      <c r="G1714" t="s">
        <v>18</v>
      </c>
      <c r="H1714" t="s">
        <v>66</v>
      </c>
      <c r="I1714" t="str">
        <f>LEFT(H1714,FIND(" (",H1714)-1)</f>
        <v>Senior</v>
      </c>
      <c r="J1714" t="str">
        <f>MID(H1714,FIND("(",H1714)+1,FIND(")",H1714)-FIND("(",H1714)-1)</f>
        <v>5-8 yrs</v>
      </c>
      <c r="L1714">
        <v>91337</v>
      </c>
      <c r="M1714" t="s">
        <v>3551</v>
      </c>
      <c r="N1714" t="s">
        <v>33</v>
      </c>
      <c r="O1714" t="s">
        <v>51</v>
      </c>
      <c r="P1714" s="1">
        <v>45467</v>
      </c>
      <c r="Q1714">
        <v>2130</v>
      </c>
      <c r="R1714">
        <v>848</v>
      </c>
      <c r="S1714" t="s">
        <v>23</v>
      </c>
      <c r="T1714">
        <v>4</v>
      </c>
      <c r="U1714" t="s">
        <v>58</v>
      </c>
      <c r="V1714" t="s">
        <v>24</v>
      </c>
      <c r="W1714" t="s">
        <v>23</v>
      </c>
    </row>
    <row r="1715" spans="1:23" x14ac:dyDescent="0.3">
      <c r="A1715" t="s">
        <v>3552</v>
      </c>
      <c r="B1715" t="s">
        <v>236</v>
      </c>
      <c r="C1715" t="s">
        <v>195</v>
      </c>
      <c r="D1715" t="s">
        <v>63</v>
      </c>
      <c r="E1715" t="s">
        <v>29</v>
      </c>
      <c r="F1715" t="s">
        <v>30</v>
      </c>
      <c r="G1715" t="s">
        <v>18</v>
      </c>
      <c r="H1715" t="s">
        <v>56</v>
      </c>
      <c r="I1715" t="str">
        <f>LEFT(H1715,FIND(" (",H1715)-1)</f>
        <v>Mid</v>
      </c>
      <c r="J1715" t="str">
        <f>MID(H1715,FIND("(",H1715)+1,FIND(")",H1715)-FIND("(",H1715)-1)</f>
        <v>2-5 yrs</v>
      </c>
      <c r="L1715">
        <v>126778</v>
      </c>
      <c r="M1715" t="s">
        <v>3553</v>
      </c>
      <c r="N1715" t="s">
        <v>94</v>
      </c>
      <c r="O1715" t="s">
        <v>44</v>
      </c>
      <c r="P1715" s="1">
        <v>45352</v>
      </c>
      <c r="Q1715">
        <v>489</v>
      </c>
      <c r="R1715">
        <v>227</v>
      </c>
      <c r="S1715" t="s">
        <v>34</v>
      </c>
      <c r="T1715">
        <v>2</v>
      </c>
      <c r="U1715" t="s">
        <v>5123</v>
      </c>
      <c r="V1715" t="s">
        <v>24</v>
      </c>
      <c r="W1715" t="s">
        <v>23</v>
      </c>
    </row>
    <row r="1716" spans="1:23" x14ac:dyDescent="0.3">
      <c r="A1716" t="s">
        <v>3554</v>
      </c>
      <c r="B1716" t="s">
        <v>13</v>
      </c>
      <c r="C1716" t="s">
        <v>128</v>
      </c>
      <c r="D1716" t="s">
        <v>111</v>
      </c>
      <c r="E1716" t="s">
        <v>216</v>
      </c>
      <c r="F1716" t="s">
        <v>217</v>
      </c>
      <c r="G1716" t="s">
        <v>18</v>
      </c>
      <c r="H1716" t="s">
        <v>56</v>
      </c>
      <c r="I1716" t="str">
        <f>LEFT(H1716,FIND(" (",H1716)-1)</f>
        <v>Mid</v>
      </c>
      <c r="J1716" t="str">
        <f>MID(H1716,FIND("(",H1716)+1,FIND(")",H1716)-FIND("(",H1716)-1)</f>
        <v>2-5 yrs</v>
      </c>
      <c r="L1716">
        <v>99400</v>
      </c>
      <c r="M1716" t="s">
        <v>3555</v>
      </c>
      <c r="N1716" t="s">
        <v>120</v>
      </c>
      <c r="O1716" t="s">
        <v>51</v>
      </c>
      <c r="P1716" s="1">
        <v>45627</v>
      </c>
      <c r="Q1716">
        <v>1454</v>
      </c>
      <c r="R1716">
        <v>378</v>
      </c>
      <c r="S1716" t="s">
        <v>23</v>
      </c>
      <c r="T1716">
        <v>2</v>
      </c>
      <c r="U1716" t="s">
        <v>45</v>
      </c>
      <c r="V1716" t="s">
        <v>24</v>
      </c>
      <c r="W1716" t="s">
        <v>23</v>
      </c>
    </row>
    <row r="1717" spans="1:23" x14ac:dyDescent="0.3">
      <c r="A1717" t="s">
        <v>3556</v>
      </c>
      <c r="B1717" t="s">
        <v>91</v>
      </c>
      <c r="C1717" t="s">
        <v>182</v>
      </c>
      <c r="D1717" t="s">
        <v>174</v>
      </c>
      <c r="E1717" t="s">
        <v>5141</v>
      </c>
      <c r="F1717" t="s">
        <v>5133</v>
      </c>
      <c r="G1717" t="s">
        <v>41</v>
      </c>
      <c r="H1717" t="s">
        <v>66</v>
      </c>
      <c r="I1717" t="str">
        <f>LEFT(H1717,FIND(" (",H1717)-1)</f>
        <v>Senior</v>
      </c>
      <c r="J1717" t="str">
        <f>MID(H1717,FIND("(",H1717)+1,FIND(")",H1717)-FIND("(",H1717)-1)</f>
        <v>5-8 yrs</v>
      </c>
      <c r="L1717">
        <v>147555</v>
      </c>
      <c r="M1717" t="s">
        <v>3557</v>
      </c>
      <c r="N1717" t="s">
        <v>33</v>
      </c>
      <c r="O1717" t="s">
        <v>44</v>
      </c>
      <c r="P1717" s="1">
        <v>45695</v>
      </c>
      <c r="Q1717">
        <v>2314</v>
      </c>
      <c r="R1717">
        <v>2360</v>
      </c>
      <c r="S1717" t="s">
        <v>99</v>
      </c>
      <c r="T1717">
        <v>4</v>
      </c>
      <c r="U1717" t="s">
        <v>5123</v>
      </c>
      <c r="V1717" t="s">
        <v>24</v>
      </c>
      <c r="W1717" t="s">
        <v>34</v>
      </c>
    </row>
    <row r="1718" spans="1:23" x14ac:dyDescent="0.3">
      <c r="A1718" t="s">
        <v>3558</v>
      </c>
      <c r="B1718" t="s">
        <v>61</v>
      </c>
      <c r="C1718" t="s">
        <v>116</v>
      </c>
      <c r="D1718" t="s">
        <v>75</v>
      </c>
      <c r="E1718" t="s">
        <v>5132</v>
      </c>
      <c r="F1718" t="s">
        <v>5133</v>
      </c>
      <c r="G1718" t="s">
        <v>18</v>
      </c>
      <c r="H1718" t="s">
        <v>31</v>
      </c>
      <c r="I1718" t="str">
        <f>LEFT(H1718,FIND(" (",H1718)-1)</f>
        <v>Staff/Principal</v>
      </c>
      <c r="J1718" t="str">
        <f>MID(H1718,FIND("(",H1718)+1,FIND(")",H1718)-FIND("(",H1718)-1)</f>
        <v>8+ yrs</v>
      </c>
      <c r="L1718">
        <v>211951</v>
      </c>
      <c r="M1718" t="s">
        <v>3559</v>
      </c>
      <c r="N1718" t="s">
        <v>149</v>
      </c>
      <c r="O1718" t="s">
        <v>44</v>
      </c>
      <c r="P1718" s="1">
        <v>45618</v>
      </c>
      <c r="Q1718">
        <v>2219</v>
      </c>
      <c r="R1718">
        <v>3941</v>
      </c>
      <c r="S1718" t="s">
        <v>34</v>
      </c>
      <c r="T1718">
        <v>6</v>
      </c>
      <c r="U1718" t="s">
        <v>83</v>
      </c>
      <c r="V1718" t="s">
        <v>59</v>
      </c>
      <c r="W1718" t="s">
        <v>34</v>
      </c>
    </row>
    <row r="1719" spans="1:23" x14ac:dyDescent="0.3">
      <c r="A1719" t="s">
        <v>3560</v>
      </c>
      <c r="B1719" t="s">
        <v>151</v>
      </c>
      <c r="C1719" t="s">
        <v>182</v>
      </c>
      <c r="D1719" t="s">
        <v>49</v>
      </c>
      <c r="E1719" t="s">
        <v>200</v>
      </c>
      <c r="F1719" t="s">
        <v>201</v>
      </c>
      <c r="G1719" t="s">
        <v>18</v>
      </c>
      <c r="H1719" t="s">
        <v>31</v>
      </c>
      <c r="I1719" t="str">
        <f>LEFT(H1719,FIND(" (",H1719)-1)</f>
        <v>Staff/Principal</v>
      </c>
      <c r="J1719" t="str">
        <f>MID(H1719,FIND("(",H1719)+1,FIND(")",H1719)-FIND("(",H1719)-1)</f>
        <v>8+ yrs</v>
      </c>
      <c r="L1719">
        <v>206857</v>
      </c>
      <c r="M1719" t="s">
        <v>3561</v>
      </c>
      <c r="N1719" t="s">
        <v>141</v>
      </c>
      <c r="O1719" t="s">
        <v>79</v>
      </c>
      <c r="P1719" s="1">
        <v>45505</v>
      </c>
      <c r="Q1719">
        <v>2367</v>
      </c>
      <c r="R1719">
        <v>997</v>
      </c>
      <c r="S1719" t="s">
        <v>34</v>
      </c>
      <c r="T1719">
        <v>6</v>
      </c>
      <c r="U1719" t="s">
        <v>83</v>
      </c>
      <c r="V1719" t="s">
        <v>24</v>
      </c>
      <c r="W1719" t="s">
        <v>23</v>
      </c>
    </row>
    <row r="1720" spans="1:23" x14ac:dyDescent="0.3">
      <c r="A1720" t="s">
        <v>3562</v>
      </c>
      <c r="B1720" t="s">
        <v>222</v>
      </c>
      <c r="C1720" t="s">
        <v>179</v>
      </c>
      <c r="D1720" t="s">
        <v>75</v>
      </c>
      <c r="E1720" t="s">
        <v>159</v>
      </c>
      <c r="F1720" t="s">
        <v>160</v>
      </c>
      <c r="G1720" t="s">
        <v>18</v>
      </c>
      <c r="H1720" t="s">
        <v>66</v>
      </c>
      <c r="I1720" t="str">
        <f>LEFT(H1720,FIND(" (",H1720)-1)</f>
        <v>Senior</v>
      </c>
      <c r="J1720" t="str">
        <f>MID(H1720,FIND("(",H1720)+1,FIND(")",H1720)-FIND("(",H1720)-1)</f>
        <v>5-8 yrs</v>
      </c>
      <c r="L1720">
        <v>169155</v>
      </c>
      <c r="M1720" t="s">
        <v>3563</v>
      </c>
      <c r="N1720" t="s">
        <v>89</v>
      </c>
      <c r="O1720" t="s">
        <v>51</v>
      </c>
      <c r="P1720" s="1">
        <v>45666</v>
      </c>
      <c r="Q1720">
        <v>2329</v>
      </c>
      <c r="R1720">
        <v>1887</v>
      </c>
      <c r="S1720" t="s">
        <v>34</v>
      </c>
      <c r="T1720">
        <v>4</v>
      </c>
      <c r="U1720" t="s">
        <v>58</v>
      </c>
      <c r="V1720" t="s">
        <v>24</v>
      </c>
      <c r="W1720" t="s">
        <v>23</v>
      </c>
    </row>
    <row r="1721" spans="1:23" x14ac:dyDescent="0.3">
      <c r="A1721" t="s">
        <v>3564</v>
      </c>
      <c r="B1721" t="s">
        <v>61</v>
      </c>
      <c r="C1721" t="s">
        <v>116</v>
      </c>
      <c r="D1721" t="s">
        <v>15</v>
      </c>
      <c r="E1721" t="s">
        <v>29</v>
      </c>
      <c r="F1721" t="s">
        <v>30</v>
      </c>
      <c r="G1721" t="s">
        <v>18</v>
      </c>
      <c r="H1721" t="s">
        <v>66</v>
      </c>
      <c r="I1721" t="str">
        <f>LEFT(H1721,FIND(" (",H1721)-1)</f>
        <v>Senior</v>
      </c>
      <c r="J1721" t="str">
        <f>MID(H1721,FIND("(",H1721)+1,FIND(")",H1721)-FIND("(",H1721)-1)</f>
        <v>5-8 yrs</v>
      </c>
      <c r="L1721">
        <v>138241</v>
      </c>
      <c r="M1721" t="s">
        <v>3565</v>
      </c>
      <c r="N1721" t="s">
        <v>33</v>
      </c>
      <c r="O1721" t="s">
        <v>51</v>
      </c>
      <c r="P1721" s="1">
        <v>45340</v>
      </c>
      <c r="Q1721">
        <v>969</v>
      </c>
      <c r="R1721">
        <v>3102</v>
      </c>
      <c r="S1721" t="s">
        <v>34</v>
      </c>
      <c r="T1721">
        <v>4</v>
      </c>
      <c r="U1721" t="s">
        <v>58</v>
      </c>
      <c r="V1721" t="s">
        <v>24</v>
      </c>
      <c r="W1721" t="s">
        <v>23</v>
      </c>
    </row>
    <row r="1722" spans="1:23" x14ac:dyDescent="0.3">
      <c r="A1722" t="s">
        <v>3566</v>
      </c>
      <c r="B1722" t="s">
        <v>85</v>
      </c>
      <c r="C1722" t="s">
        <v>74</v>
      </c>
      <c r="D1722" t="s">
        <v>38</v>
      </c>
      <c r="E1722" t="s">
        <v>5134</v>
      </c>
      <c r="F1722" t="s">
        <v>5133</v>
      </c>
      <c r="G1722" t="s">
        <v>18</v>
      </c>
      <c r="H1722" t="s">
        <v>31</v>
      </c>
      <c r="I1722" t="str">
        <f>LEFT(H1722,FIND(" (",H1722)-1)</f>
        <v>Staff/Principal</v>
      </c>
      <c r="J1722" t="str">
        <f>MID(H1722,FIND("(",H1722)+1,FIND(")",H1722)-FIND("(",H1722)-1)</f>
        <v>8+ yrs</v>
      </c>
      <c r="L1722">
        <v>218471</v>
      </c>
      <c r="M1722" t="s">
        <v>3567</v>
      </c>
      <c r="N1722" t="s">
        <v>33</v>
      </c>
      <c r="O1722" t="s">
        <v>44</v>
      </c>
      <c r="P1722" s="1">
        <v>45301</v>
      </c>
      <c r="Q1722">
        <v>1778</v>
      </c>
      <c r="R1722">
        <v>1891</v>
      </c>
      <c r="S1722" t="s">
        <v>34</v>
      </c>
      <c r="T1722">
        <v>6</v>
      </c>
      <c r="U1722" t="s">
        <v>45</v>
      </c>
      <c r="V1722" t="s">
        <v>24</v>
      </c>
      <c r="W1722" t="s">
        <v>23</v>
      </c>
    </row>
    <row r="1723" spans="1:23" x14ac:dyDescent="0.3">
      <c r="A1723" t="s">
        <v>3568</v>
      </c>
      <c r="B1723" t="s">
        <v>131</v>
      </c>
      <c r="C1723" t="s">
        <v>116</v>
      </c>
      <c r="D1723" t="s">
        <v>15</v>
      </c>
      <c r="E1723" t="s">
        <v>5137</v>
      </c>
      <c r="F1723" t="s">
        <v>5138</v>
      </c>
      <c r="G1723" t="s">
        <v>41</v>
      </c>
      <c r="H1723" t="s">
        <v>56</v>
      </c>
      <c r="I1723" t="str">
        <f>LEFT(H1723,FIND(" (",H1723)-1)</f>
        <v>Mid</v>
      </c>
      <c r="J1723" t="str">
        <f>MID(H1723,FIND("(",H1723)+1,FIND(")",H1723)-FIND("(",H1723)-1)</f>
        <v>2-5 yrs</v>
      </c>
      <c r="L1723">
        <v>104860</v>
      </c>
      <c r="M1723" t="s">
        <v>3569</v>
      </c>
      <c r="N1723" t="s">
        <v>21</v>
      </c>
      <c r="O1723" t="s">
        <v>51</v>
      </c>
      <c r="P1723" s="1">
        <v>45292</v>
      </c>
      <c r="Q1723">
        <v>1307</v>
      </c>
      <c r="R1723">
        <v>2006</v>
      </c>
      <c r="S1723" t="s">
        <v>23</v>
      </c>
      <c r="T1723">
        <v>2</v>
      </c>
      <c r="U1723" t="s">
        <v>5123</v>
      </c>
      <c r="V1723" t="s">
        <v>24</v>
      </c>
      <c r="W1723" t="s">
        <v>23</v>
      </c>
    </row>
    <row r="1724" spans="1:23" x14ac:dyDescent="0.3">
      <c r="A1724" t="s">
        <v>3570</v>
      </c>
      <c r="B1724" t="s">
        <v>329</v>
      </c>
      <c r="C1724" t="s">
        <v>92</v>
      </c>
      <c r="D1724" t="s">
        <v>28</v>
      </c>
      <c r="E1724" t="s">
        <v>200</v>
      </c>
      <c r="F1724" t="s">
        <v>201</v>
      </c>
      <c r="G1724" t="s">
        <v>18</v>
      </c>
      <c r="H1724" t="s">
        <v>31</v>
      </c>
      <c r="I1724" t="str">
        <f>LEFT(H1724,FIND(" (",H1724)-1)</f>
        <v>Staff/Principal</v>
      </c>
      <c r="J1724" t="str">
        <f>MID(H1724,FIND("(",H1724)+1,FIND(")",H1724)-FIND("(",H1724)-1)</f>
        <v>8+ yrs</v>
      </c>
      <c r="L1724">
        <v>226597</v>
      </c>
      <c r="M1724" t="s">
        <v>3571</v>
      </c>
      <c r="N1724" t="s">
        <v>94</v>
      </c>
      <c r="O1724" t="s">
        <v>51</v>
      </c>
      <c r="P1724" s="1">
        <v>45310</v>
      </c>
      <c r="Q1724">
        <v>933</v>
      </c>
      <c r="R1724">
        <v>2764</v>
      </c>
      <c r="S1724" t="s">
        <v>23</v>
      </c>
      <c r="T1724">
        <v>6</v>
      </c>
      <c r="U1724" t="s">
        <v>58</v>
      </c>
      <c r="V1724" t="s">
        <v>24</v>
      </c>
      <c r="W1724" t="s">
        <v>34</v>
      </c>
    </row>
    <row r="1725" spans="1:23" x14ac:dyDescent="0.3">
      <c r="A1725" t="s">
        <v>3572</v>
      </c>
      <c r="B1725" t="s">
        <v>172</v>
      </c>
      <c r="C1725" t="s">
        <v>158</v>
      </c>
      <c r="D1725" t="s">
        <v>174</v>
      </c>
      <c r="E1725" t="s">
        <v>102</v>
      </c>
      <c r="F1725" t="s">
        <v>103</v>
      </c>
      <c r="G1725" t="s">
        <v>41</v>
      </c>
      <c r="H1725" t="s">
        <v>31</v>
      </c>
      <c r="I1725" t="str">
        <f>LEFT(H1725,FIND(" (",H1725)-1)</f>
        <v>Staff/Principal</v>
      </c>
      <c r="J1725" t="str">
        <f>MID(H1725,FIND("(",H1725)+1,FIND(")",H1725)-FIND("(",H1725)-1)</f>
        <v>8+ yrs</v>
      </c>
      <c r="L1725">
        <v>222153</v>
      </c>
      <c r="M1725" t="s">
        <v>3573</v>
      </c>
      <c r="N1725" t="s">
        <v>120</v>
      </c>
      <c r="O1725" t="s">
        <v>51</v>
      </c>
      <c r="P1725" s="1">
        <v>45469</v>
      </c>
      <c r="Q1725">
        <v>2108</v>
      </c>
      <c r="R1725">
        <v>555</v>
      </c>
      <c r="S1725" t="s">
        <v>23</v>
      </c>
      <c r="T1725">
        <v>6</v>
      </c>
      <c r="U1725" t="s">
        <v>58</v>
      </c>
      <c r="V1725" t="s">
        <v>24</v>
      </c>
      <c r="W1725" t="s">
        <v>34</v>
      </c>
    </row>
    <row r="1726" spans="1:23" x14ac:dyDescent="0.3">
      <c r="A1726" t="s">
        <v>3574</v>
      </c>
      <c r="B1726" t="s">
        <v>85</v>
      </c>
      <c r="C1726" t="s">
        <v>132</v>
      </c>
      <c r="D1726" t="s">
        <v>38</v>
      </c>
      <c r="E1726" t="s">
        <v>76</v>
      </c>
      <c r="F1726" t="s">
        <v>77</v>
      </c>
      <c r="G1726" t="s">
        <v>18</v>
      </c>
      <c r="H1726" t="s">
        <v>56</v>
      </c>
      <c r="I1726" t="str">
        <f>LEFT(H1726,FIND(" (",H1726)-1)</f>
        <v>Mid</v>
      </c>
      <c r="J1726" t="str">
        <f>MID(H1726,FIND("(",H1726)+1,FIND(")",H1726)-FIND("(",H1726)-1)</f>
        <v>2-5 yrs</v>
      </c>
      <c r="L1726">
        <v>91478</v>
      </c>
      <c r="M1726" t="s">
        <v>3575</v>
      </c>
      <c r="N1726" t="s">
        <v>33</v>
      </c>
      <c r="O1726" t="s">
        <v>51</v>
      </c>
      <c r="P1726" s="1">
        <v>45592</v>
      </c>
      <c r="Q1726">
        <v>842</v>
      </c>
      <c r="R1726">
        <v>3101</v>
      </c>
      <c r="S1726" t="s">
        <v>34</v>
      </c>
      <c r="T1726">
        <v>2</v>
      </c>
      <c r="U1726" t="s">
        <v>52</v>
      </c>
      <c r="V1726" t="s">
        <v>24</v>
      </c>
      <c r="W1726" t="s">
        <v>34</v>
      </c>
    </row>
    <row r="1727" spans="1:23" x14ac:dyDescent="0.3">
      <c r="A1727" t="s">
        <v>3576</v>
      </c>
      <c r="B1727" t="s">
        <v>85</v>
      </c>
      <c r="C1727" t="s">
        <v>195</v>
      </c>
      <c r="D1727" t="s">
        <v>15</v>
      </c>
      <c r="E1727" t="s">
        <v>5135</v>
      </c>
      <c r="F1727" t="s">
        <v>5133</v>
      </c>
      <c r="G1727" t="s">
        <v>18</v>
      </c>
      <c r="H1727" t="s">
        <v>56</v>
      </c>
      <c r="I1727" t="str">
        <f>LEFT(H1727,FIND(" (",H1727)-1)</f>
        <v>Mid</v>
      </c>
      <c r="J1727" t="str">
        <f>MID(H1727,FIND("(",H1727)+1,FIND(")",H1727)-FIND("(",H1727)-1)</f>
        <v>2-5 yrs</v>
      </c>
      <c r="L1727">
        <v>131502</v>
      </c>
      <c r="M1727" t="s">
        <v>3577</v>
      </c>
      <c r="N1727" t="s">
        <v>186</v>
      </c>
      <c r="O1727" t="s">
        <v>79</v>
      </c>
      <c r="P1727" s="1">
        <v>45724</v>
      </c>
      <c r="Q1727">
        <v>2190</v>
      </c>
      <c r="R1727">
        <v>3096</v>
      </c>
      <c r="S1727" t="s">
        <v>23</v>
      </c>
      <c r="T1727">
        <v>2</v>
      </c>
      <c r="U1727" t="s">
        <v>45</v>
      </c>
      <c r="V1727" t="s">
        <v>59</v>
      </c>
      <c r="W1727" t="s">
        <v>34</v>
      </c>
    </row>
    <row r="1728" spans="1:23" x14ac:dyDescent="0.3">
      <c r="A1728" t="s">
        <v>3578</v>
      </c>
      <c r="B1728" t="s">
        <v>137</v>
      </c>
      <c r="C1728" t="s">
        <v>226</v>
      </c>
      <c r="D1728" t="s">
        <v>49</v>
      </c>
      <c r="E1728" t="s">
        <v>5132</v>
      </c>
      <c r="F1728" t="s">
        <v>5133</v>
      </c>
      <c r="G1728" t="s">
        <v>18</v>
      </c>
      <c r="H1728" t="s">
        <v>56</v>
      </c>
      <c r="I1728" t="str">
        <f>LEFT(H1728,FIND(" (",H1728)-1)</f>
        <v>Mid</v>
      </c>
      <c r="J1728" t="str">
        <f>MID(H1728,FIND("(",H1728)+1,FIND(")",H1728)-FIND("(",H1728)-1)</f>
        <v>2-5 yrs</v>
      </c>
      <c r="L1728">
        <v>99387</v>
      </c>
      <c r="M1728" t="s">
        <v>3579</v>
      </c>
      <c r="N1728" t="s">
        <v>33</v>
      </c>
      <c r="O1728" t="s">
        <v>22</v>
      </c>
      <c r="P1728" s="1">
        <v>45555</v>
      </c>
      <c r="Q1728">
        <v>1119</v>
      </c>
      <c r="R1728">
        <v>1985</v>
      </c>
      <c r="S1728" t="s">
        <v>23</v>
      </c>
      <c r="T1728">
        <v>2</v>
      </c>
      <c r="U1728" t="s">
        <v>83</v>
      </c>
      <c r="V1728" t="s">
        <v>24</v>
      </c>
      <c r="W1728" t="s">
        <v>34</v>
      </c>
    </row>
    <row r="1729" spans="1:23" x14ac:dyDescent="0.3">
      <c r="A1729" t="s">
        <v>3580</v>
      </c>
      <c r="B1729" t="s">
        <v>225</v>
      </c>
      <c r="C1729" t="s">
        <v>209</v>
      </c>
      <c r="D1729" t="s">
        <v>125</v>
      </c>
      <c r="E1729" t="s">
        <v>5134</v>
      </c>
      <c r="F1729" t="s">
        <v>5133</v>
      </c>
      <c r="G1729" t="s">
        <v>41</v>
      </c>
      <c r="H1729" t="s">
        <v>56</v>
      </c>
      <c r="I1729" t="str">
        <f>LEFT(H1729,FIND(" (",H1729)-1)</f>
        <v>Mid</v>
      </c>
      <c r="J1729" t="str">
        <f>MID(H1729,FIND("(",H1729)+1,FIND(")",H1729)-FIND("(",H1729)-1)</f>
        <v>2-5 yrs</v>
      </c>
      <c r="L1729">
        <v>125999</v>
      </c>
      <c r="M1729" t="s">
        <v>3581</v>
      </c>
      <c r="N1729" t="s">
        <v>120</v>
      </c>
      <c r="O1729" t="s">
        <v>51</v>
      </c>
      <c r="P1729" s="1">
        <v>45684</v>
      </c>
      <c r="Q1729">
        <v>1753</v>
      </c>
      <c r="R1729">
        <v>2865</v>
      </c>
      <c r="S1729" t="s">
        <v>23</v>
      </c>
      <c r="T1729">
        <v>2</v>
      </c>
      <c r="U1729" t="s">
        <v>83</v>
      </c>
      <c r="V1729" t="s">
        <v>24</v>
      </c>
      <c r="W1729" t="s">
        <v>34</v>
      </c>
    </row>
    <row r="1730" spans="1:23" x14ac:dyDescent="0.3">
      <c r="A1730" t="s">
        <v>3582</v>
      </c>
      <c r="B1730" t="s">
        <v>91</v>
      </c>
      <c r="C1730" t="s">
        <v>107</v>
      </c>
      <c r="D1730" t="s">
        <v>15</v>
      </c>
      <c r="E1730" t="s">
        <v>102</v>
      </c>
      <c r="F1730" t="s">
        <v>103</v>
      </c>
      <c r="G1730" t="s">
        <v>18</v>
      </c>
      <c r="H1730" t="s">
        <v>31</v>
      </c>
      <c r="I1730" t="str">
        <f>LEFT(H1730,FIND(" (",H1730)-1)</f>
        <v>Staff/Principal</v>
      </c>
      <c r="J1730" t="str">
        <f>MID(H1730,FIND("(",H1730)+1,FIND(")",H1730)-FIND("(",H1730)-1)</f>
        <v>8+ yrs</v>
      </c>
      <c r="L1730">
        <v>213222</v>
      </c>
      <c r="M1730" t="s">
        <v>3583</v>
      </c>
      <c r="N1730" t="s">
        <v>33</v>
      </c>
      <c r="O1730" t="s">
        <v>22</v>
      </c>
      <c r="P1730" s="1">
        <v>45676</v>
      </c>
      <c r="Q1730">
        <v>1578</v>
      </c>
      <c r="R1730">
        <v>593</v>
      </c>
      <c r="S1730" t="s">
        <v>23</v>
      </c>
      <c r="T1730">
        <v>6</v>
      </c>
      <c r="U1730" t="s">
        <v>45</v>
      </c>
      <c r="V1730" t="s">
        <v>46</v>
      </c>
      <c r="W1730" t="s">
        <v>34</v>
      </c>
    </row>
    <row r="1731" spans="1:23" x14ac:dyDescent="0.3">
      <c r="A1731" t="s">
        <v>3584</v>
      </c>
      <c r="B1731" t="s">
        <v>172</v>
      </c>
      <c r="C1731" t="s">
        <v>62</v>
      </c>
      <c r="D1731" t="s">
        <v>38</v>
      </c>
      <c r="E1731" t="s">
        <v>16</v>
      </c>
      <c r="F1731" t="s">
        <v>17</v>
      </c>
      <c r="G1731" t="s">
        <v>18</v>
      </c>
      <c r="H1731" t="s">
        <v>19</v>
      </c>
      <c r="I1731" t="str">
        <f>LEFT(H1731,FIND(" (",H1731)-1)</f>
        <v>Entry</v>
      </c>
      <c r="J1731" t="str">
        <f>MID(H1731,FIND("(",H1731)+1,FIND(")",H1731)-FIND("(",H1731)-1)</f>
        <v>0-2 yrs</v>
      </c>
      <c r="L1731">
        <v>93161</v>
      </c>
      <c r="M1731" t="s">
        <v>3585</v>
      </c>
      <c r="N1731" t="s">
        <v>33</v>
      </c>
      <c r="O1731" t="s">
        <v>51</v>
      </c>
      <c r="P1731" s="1">
        <v>45411</v>
      </c>
      <c r="Q1731">
        <v>1803</v>
      </c>
      <c r="R1731">
        <v>1642</v>
      </c>
      <c r="S1731" t="s">
        <v>23</v>
      </c>
      <c r="T1731">
        <v>0</v>
      </c>
      <c r="U1731" t="s">
        <v>5123</v>
      </c>
      <c r="V1731" t="s">
        <v>24</v>
      </c>
      <c r="W1731" t="s">
        <v>23</v>
      </c>
    </row>
    <row r="1732" spans="1:23" x14ac:dyDescent="0.3">
      <c r="A1732" t="s">
        <v>3586</v>
      </c>
      <c r="B1732" t="s">
        <v>26</v>
      </c>
      <c r="C1732" t="s">
        <v>97</v>
      </c>
      <c r="D1732" t="s">
        <v>174</v>
      </c>
      <c r="E1732" t="s">
        <v>16</v>
      </c>
      <c r="F1732" t="s">
        <v>17</v>
      </c>
      <c r="G1732" t="s">
        <v>41</v>
      </c>
      <c r="H1732" t="s">
        <v>19</v>
      </c>
      <c r="I1732" t="str">
        <f>LEFT(H1732,FIND(" (",H1732)-1)</f>
        <v>Entry</v>
      </c>
      <c r="J1732" t="str">
        <f>MID(H1732,FIND("(",H1732)+1,FIND(")",H1732)-FIND("(",H1732)-1)</f>
        <v>0-2 yrs</v>
      </c>
      <c r="L1732">
        <v>67184</v>
      </c>
      <c r="M1732" t="s">
        <v>3587</v>
      </c>
      <c r="N1732" t="s">
        <v>33</v>
      </c>
      <c r="O1732" t="s">
        <v>44</v>
      </c>
      <c r="P1732" s="1">
        <v>45517</v>
      </c>
      <c r="Q1732">
        <v>765</v>
      </c>
      <c r="R1732">
        <v>1965</v>
      </c>
      <c r="S1732" t="s">
        <v>99</v>
      </c>
      <c r="T1732">
        <v>0</v>
      </c>
      <c r="U1732" t="s">
        <v>83</v>
      </c>
      <c r="V1732" t="s">
        <v>24</v>
      </c>
      <c r="W1732" t="s">
        <v>23</v>
      </c>
    </row>
    <row r="1733" spans="1:23" x14ac:dyDescent="0.3">
      <c r="A1733" t="s">
        <v>3588</v>
      </c>
      <c r="B1733" t="s">
        <v>137</v>
      </c>
      <c r="C1733" t="s">
        <v>48</v>
      </c>
      <c r="D1733" t="s">
        <v>75</v>
      </c>
      <c r="E1733" t="s">
        <v>5141</v>
      </c>
      <c r="F1733" t="s">
        <v>5133</v>
      </c>
      <c r="G1733" t="s">
        <v>55</v>
      </c>
      <c r="H1733" t="s">
        <v>66</v>
      </c>
      <c r="I1733" t="str">
        <f>LEFT(H1733,FIND(" (",H1733)-1)</f>
        <v>Senior</v>
      </c>
      <c r="J1733" t="str">
        <f>MID(H1733,FIND("(",H1733)+1,FIND(")",H1733)-FIND("(",H1733)-1)</f>
        <v>5-8 yrs</v>
      </c>
      <c r="L1733">
        <v>140568</v>
      </c>
      <c r="M1733" t="s">
        <v>3589</v>
      </c>
      <c r="N1733" t="s">
        <v>89</v>
      </c>
      <c r="O1733" t="s">
        <v>44</v>
      </c>
      <c r="P1733" s="1">
        <v>45474</v>
      </c>
      <c r="Q1733">
        <v>2198</v>
      </c>
      <c r="R1733">
        <v>2552</v>
      </c>
      <c r="S1733" t="s">
        <v>23</v>
      </c>
      <c r="T1733">
        <v>4</v>
      </c>
      <c r="U1733" t="s">
        <v>58</v>
      </c>
      <c r="V1733" t="s">
        <v>24</v>
      </c>
      <c r="W1733" t="s">
        <v>34</v>
      </c>
    </row>
    <row r="1734" spans="1:23" x14ac:dyDescent="0.3">
      <c r="A1734" t="s">
        <v>3590</v>
      </c>
      <c r="B1734" t="s">
        <v>61</v>
      </c>
      <c r="C1734" t="s">
        <v>209</v>
      </c>
      <c r="D1734" t="s">
        <v>75</v>
      </c>
      <c r="E1734" t="s">
        <v>87</v>
      </c>
      <c r="F1734" t="s">
        <v>87</v>
      </c>
      <c r="G1734" t="s">
        <v>41</v>
      </c>
      <c r="H1734" t="s">
        <v>31</v>
      </c>
      <c r="I1734" t="str">
        <f>LEFT(H1734,FIND(" (",H1734)-1)</f>
        <v>Staff/Principal</v>
      </c>
      <c r="J1734" t="str">
        <f>MID(H1734,FIND("(",H1734)+1,FIND(")",H1734)-FIND("(",H1734)-1)</f>
        <v>8+ yrs</v>
      </c>
      <c r="L1734">
        <v>199300</v>
      </c>
      <c r="M1734" t="s">
        <v>3591</v>
      </c>
      <c r="N1734" t="s">
        <v>33</v>
      </c>
      <c r="O1734" t="s">
        <v>79</v>
      </c>
      <c r="P1734" s="1">
        <v>45600</v>
      </c>
      <c r="Q1734">
        <v>1174</v>
      </c>
      <c r="R1734">
        <v>2613</v>
      </c>
      <c r="S1734" t="s">
        <v>23</v>
      </c>
      <c r="T1734">
        <v>6</v>
      </c>
      <c r="U1734" t="s">
        <v>5123</v>
      </c>
      <c r="V1734" t="s">
        <v>24</v>
      </c>
      <c r="W1734" t="s">
        <v>23</v>
      </c>
    </row>
    <row r="1735" spans="1:23" x14ac:dyDescent="0.3">
      <c r="A1735" t="s">
        <v>3592</v>
      </c>
      <c r="B1735" t="s">
        <v>85</v>
      </c>
      <c r="C1735" t="s">
        <v>195</v>
      </c>
      <c r="D1735" t="s">
        <v>75</v>
      </c>
      <c r="E1735" t="s">
        <v>76</v>
      </c>
      <c r="F1735" t="s">
        <v>77</v>
      </c>
      <c r="G1735" t="s">
        <v>55</v>
      </c>
      <c r="H1735" t="s">
        <v>31</v>
      </c>
      <c r="I1735" t="str">
        <f>LEFT(H1735,FIND(" (",H1735)-1)</f>
        <v>Staff/Principal</v>
      </c>
      <c r="J1735" t="str">
        <f>MID(H1735,FIND("(",H1735)+1,FIND(")",H1735)-FIND("(",H1735)-1)</f>
        <v>8+ yrs</v>
      </c>
      <c r="L1735">
        <v>189085</v>
      </c>
      <c r="M1735" t="s">
        <v>3593</v>
      </c>
      <c r="N1735" t="s">
        <v>149</v>
      </c>
      <c r="O1735" t="s">
        <v>51</v>
      </c>
      <c r="P1735" s="1">
        <v>45638</v>
      </c>
      <c r="Q1735">
        <v>2022</v>
      </c>
      <c r="R1735">
        <v>3958</v>
      </c>
      <c r="S1735" t="s">
        <v>23</v>
      </c>
      <c r="T1735">
        <v>6</v>
      </c>
      <c r="U1735" t="s">
        <v>45</v>
      </c>
      <c r="V1735" t="s">
        <v>59</v>
      </c>
      <c r="W1735" t="s">
        <v>23</v>
      </c>
    </row>
    <row r="1736" spans="1:23" x14ac:dyDescent="0.3">
      <c r="A1736" t="s">
        <v>3594</v>
      </c>
      <c r="B1736" t="s">
        <v>151</v>
      </c>
      <c r="C1736" t="s">
        <v>132</v>
      </c>
      <c r="D1736" t="s">
        <v>147</v>
      </c>
      <c r="E1736" t="s">
        <v>5132</v>
      </c>
      <c r="F1736" t="s">
        <v>5133</v>
      </c>
      <c r="G1736" t="s">
        <v>18</v>
      </c>
      <c r="H1736" t="s">
        <v>56</v>
      </c>
      <c r="I1736" t="str">
        <f>LEFT(H1736,FIND(" (",H1736)-1)</f>
        <v>Mid</v>
      </c>
      <c r="J1736" t="str">
        <f>MID(H1736,FIND("(",H1736)+1,FIND(")",H1736)-FIND("(",H1736)-1)</f>
        <v>2-5 yrs</v>
      </c>
      <c r="L1736">
        <v>125838</v>
      </c>
      <c r="M1736" t="s">
        <v>3595</v>
      </c>
      <c r="N1736" t="s">
        <v>33</v>
      </c>
      <c r="O1736" t="s">
        <v>51</v>
      </c>
      <c r="P1736" s="1">
        <v>45515</v>
      </c>
      <c r="Q1736">
        <v>1214</v>
      </c>
      <c r="R1736">
        <v>1229</v>
      </c>
      <c r="S1736" t="s">
        <v>23</v>
      </c>
      <c r="T1736">
        <v>2</v>
      </c>
      <c r="U1736" t="s">
        <v>58</v>
      </c>
      <c r="V1736" t="s">
        <v>24</v>
      </c>
      <c r="W1736" t="s">
        <v>34</v>
      </c>
    </row>
    <row r="1737" spans="1:23" x14ac:dyDescent="0.3">
      <c r="A1737" t="s">
        <v>3596</v>
      </c>
      <c r="B1737" t="s">
        <v>143</v>
      </c>
      <c r="C1737" t="s">
        <v>167</v>
      </c>
      <c r="D1737" t="s">
        <v>28</v>
      </c>
      <c r="E1737" t="s">
        <v>29</v>
      </c>
      <c r="F1737" t="s">
        <v>30</v>
      </c>
      <c r="G1737" t="s">
        <v>18</v>
      </c>
      <c r="H1737" t="s">
        <v>31</v>
      </c>
      <c r="I1737" t="str">
        <f>LEFT(H1737,FIND(" (",H1737)-1)</f>
        <v>Staff/Principal</v>
      </c>
      <c r="J1737" t="str">
        <f>MID(H1737,FIND("(",H1737)+1,FIND(")",H1737)-FIND("(",H1737)-1)</f>
        <v>8+ yrs</v>
      </c>
      <c r="L1737">
        <v>141812</v>
      </c>
      <c r="M1737" t="s">
        <v>3597</v>
      </c>
      <c r="N1737" t="s">
        <v>43</v>
      </c>
      <c r="O1737" t="s">
        <v>22</v>
      </c>
      <c r="P1737" s="1">
        <v>45590</v>
      </c>
      <c r="Q1737">
        <v>2223</v>
      </c>
      <c r="R1737">
        <v>1571</v>
      </c>
      <c r="S1737" t="s">
        <v>34</v>
      </c>
      <c r="T1737">
        <v>6</v>
      </c>
      <c r="U1737" t="s">
        <v>5123</v>
      </c>
      <c r="V1737" t="s">
        <v>24</v>
      </c>
      <c r="W1737" t="s">
        <v>23</v>
      </c>
    </row>
    <row r="1738" spans="1:23" x14ac:dyDescent="0.3">
      <c r="A1738" t="s">
        <v>3598</v>
      </c>
      <c r="B1738" t="s">
        <v>137</v>
      </c>
      <c r="C1738" t="s">
        <v>179</v>
      </c>
      <c r="D1738" t="s">
        <v>15</v>
      </c>
      <c r="E1738" t="s">
        <v>39</v>
      </c>
      <c r="F1738" t="s">
        <v>40</v>
      </c>
      <c r="G1738" t="s">
        <v>18</v>
      </c>
      <c r="H1738" t="s">
        <v>56</v>
      </c>
      <c r="I1738" t="str">
        <f>LEFT(H1738,FIND(" (",H1738)-1)</f>
        <v>Mid</v>
      </c>
      <c r="J1738" t="str">
        <f>MID(H1738,FIND("(",H1738)+1,FIND(")",H1738)-FIND("(",H1738)-1)</f>
        <v>2-5 yrs</v>
      </c>
      <c r="L1738">
        <v>89137</v>
      </c>
      <c r="M1738" t="s">
        <v>3599</v>
      </c>
      <c r="N1738" t="s">
        <v>33</v>
      </c>
      <c r="O1738" t="s">
        <v>22</v>
      </c>
      <c r="P1738" s="1">
        <v>45585</v>
      </c>
      <c r="Q1738">
        <v>1724</v>
      </c>
      <c r="R1738">
        <v>1322</v>
      </c>
      <c r="S1738" t="s">
        <v>23</v>
      </c>
      <c r="T1738">
        <v>2</v>
      </c>
      <c r="U1738" t="s">
        <v>45</v>
      </c>
      <c r="V1738" t="s">
        <v>24</v>
      </c>
      <c r="W1738" t="s">
        <v>34</v>
      </c>
    </row>
    <row r="1739" spans="1:23" x14ac:dyDescent="0.3">
      <c r="A1739" t="s">
        <v>3600</v>
      </c>
      <c r="B1739" t="s">
        <v>225</v>
      </c>
      <c r="C1739" t="s">
        <v>107</v>
      </c>
      <c r="D1739" t="s">
        <v>63</v>
      </c>
      <c r="E1739" t="s">
        <v>5136</v>
      </c>
      <c r="F1739" t="s">
        <v>5133</v>
      </c>
      <c r="G1739" t="s">
        <v>41</v>
      </c>
      <c r="H1739" t="s">
        <v>56</v>
      </c>
      <c r="I1739" t="str">
        <f>LEFT(H1739,FIND(" (",H1739)-1)</f>
        <v>Mid</v>
      </c>
      <c r="J1739" t="str">
        <f>MID(H1739,FIND("(",H1739)+1,FIND(")",H1739)-FIND("(",H1739)-1)</f>
        <v>2-5 yrs</v>
      </c>
      <c r="L1739">
        <v>88857</v>
      </c>
      <c r="M1739" t="s">
        <v>3601</v>
      </c>
      <c r="N1739" t="s">
        <v>68</v>
      </c>
      <c r="O1739" t="s">
        <v>79</v>
      </c>
      <c r="P1739" s="1">
        <v>45554</v>
      </c>
      <c r="Q1739">
        <v>1857</v>
      </c>
      <c r="R1739">
        <v>2760</v>
      </c>
      <c r="S1739" t="s">
        <v>23</v>
      </c>
      <c r="T1739">
        <v>2</v>
      </c>
      <c r="U1739" t="s">
        <v>52</v>
      </c>
      <c r="V1739" t="s">
        <v>24</v>
      </c>
      <c r="W1739" t="s">
        <v>34</v>
      </c>
    </row>
    <row r="1740" spans="1:23" x14ac:dyDescent="0.3">
      <c r="A1740" t="s">
        <v>3602</v>
      </c>
      <c r="B1740" t="s">
        <v>172</v>
      </c>
      <c r="C1740" t="s">
        <v>110</v>
      </c>
      <c r="D1740" t="s">
        <v>147</v>
      </c>
      <c r="E1740" t="s">
        <v>102</v>
      </c>
      <c r="F1740" t="s">
        <v>103</v>
      </c>
      <c r="G1740" t="s">
        <v>18</v>
      </c>
      <c r="H1740" t="s">
        <v>56</v>
      </c>
      <c r="I1740" t="str">
        <f>LEFT(H1740,FIND(" (",H1740)-1)</f>
        <v>Mid</v>
      </c>
      <c r="J1740" t="str">
        <f>MID(H1740,FIND("(",H1740)+1,FIND(")",H1740)-FIND("(",H1740)-1)</f>
        <v>2-5 yrs</v>
      </c>
      <c r="L1740">
        <v>128816</v>
      </c>
      <c r="M1740" t="s">
        <v>3603</v>
      </c>
      <c r="N1740" t="s">
        <v>21</v>
      </c>
      <c r="O1740" t="s">
        <v>51</v>
      </c>
      <c r="P1740" s="1">
        <v>45665</v>
      </c>
      <c r="Q1740">
        <v>320</v>
      </c>
      <c r="R1740">
        <v>3274</v>
      </c>
      <c r="S1740" t="s">
        <v>34</v>
      </c>
      <c r="T1740">
        <v>2</v>
      </c>
      <c r="U1740" t="s">
        <v>5123</v>
      </c>
      <c r="V1740" t="s">
        <v>24</v>
      </c>
      <c r="W1740" t="s">
        <v>34</v>
      </c>
    </row>
    <row r="1741" spans="1:23" x14ac:dyDescent="0.3">
      <c r="A1741" t="s">
        <v>3604</v>
      </c>
      <c r="B1741" t="s">
        <v>26</v>
      </c>
      <c r="C1741" t="s">
        <v>107</v>
      </c>
      <c r="D1741" t="s">
        <v>125</v>
      </c>
      <c r="E1741" t="s">
        <v>5134</v>
      </c>
      <c r="F1741" t="s">
        <v>5133</v>
      </c>
      <c r="G1741" t="s">
        <v>41</v>
      </c>
      <c r="H1741" t="s">
        <v>31</v>
      </c>
      <c r="I1741" t="str">
        <f>LEFT(H1741,FIND(" (",H1741)-1)</f>
        <v>Staff/Principal</v>
      </c>
      <c r="J1741" t="str">
        <f>MID(H1741,FIND("(",H1741)+1,FIND(")",H1741)-FIND("(",H1741)-1)</f>
        <v>8+ yrs</v>
      </c>
      <c r="L1741">
        <v>261582</v>
      </c>
      <c r="M1741" t="s">
        <v>3605</v>
      </c>
      <c r="N1741" t="s">
        <v>33</v>
      </c>
      <c r="O1741" t="s">
        <v>51</v>
      </c>
      <c r="P1741" s="1">
        <v>45664</v>
      </c>
      <c r="Q1741">
        <v>1546</v>
      </c>
      <c r="R1741">
        <v>3794</v>
      </c>
      <c r="S1741" t="s">
        <v>23</v>
      </c>
      <c r="T1741">
        <v>6</v>
      </c>
      <c r="U1741" t="s">
        <v>83</v>
      </c>
      <c r="V1741" t="s">
        <v>59</v>
      </c>
      <c r="W1741" t="s">
        <v>23</v>
      </c>
    </row>
    <row r="1742" spans="1:23" x14ac:dyDescent="0.3">
      <c r="A1742" t="s">
        <v>3606</v>
      </c>
      <c r="B1742" t="s">
        <v>106</v>
      </c>
      <c r="C1742" t="s">
        <v>195</v>
      </c>
      <c r="D1742" t="s">
        <v>15</v>
      </c>
      <c r="E1742" t="s">
        <v>76</v>
      </c>
      <c r="F1742" t="s">
        <v>77</v>
      </c>
      <c r="G1742" t="s">
        <v>18</v>
      </c>
      <c r="H1742" t="s">
        <v>31</v>
      </c>
      <c r="I1742" t="str">
        <f>LEFT(H1742,FIND(" (",H1742)-1)</f>
        <v>Staff/Principal</v>
      </c>
      <c r="J1742" t="str">
        <f>MID(H1742,FIND("(",H1742)+1,FIND(")",H1742)-FIND("(",H1742)-1)</f>
        <v>8+ yrs</v>
      </c>
      <c r="L1742">
        <v>196239</v>
      </c>
      <c r="M1742" t="s">
        <v>3607</v>
      </c>
      <c r="N1742" t="s">
        <v>33</v>
      </c>
      <c r="O1742" t="s">
        <v>51</v>
      </c>
      <c r="P1742" s="1">
        <v>45477</v>
      </c>
      <c r="Q1742">
        <v>2330</v>
      </c>
      <c r="R1742">
        <v>406</v>
      </c>
      <c r="S1742" t="s">
        <v>99</v>
      </c>
      <c r="T1742">
        <v>6</v>
      </c>
      <c r="U1742" t="s">
        <v>45</v>
      </c>
      <c r="V1742" t="s">
        <v>59</v>
      </c>
      <c r="W1742" t="s">
        <v>23</v>
      </c>
    </row>
    <row r="1743" spans="1:23" x14ac:dyDescent="0.3">
      <c r="A1743" t="s">
        <v>3608</v>
      </c>
      <c r="B1743" t="s">
        <v>225</v>
      </c>
      <c r="C1743" t="s">
        <v>116</v>
      </c>
      <c r="D1743" t="s">
        <v>28</v>
      </c>
      <c r="E1743" t="s">
        <v>5140</v>
      </c>
      <c r="F1743" t="s">
        <v>5133</v>
      </c>
      <c r="G1743" t="s">
        <v>18</v>
      </c>
      <c r="H1743" t="s">
        <v>19</v>
      </c>
      <c r="I1743" t="str">
        <f>LEFT(H1743,FIND(" (",H1743)-1)</f>
        <v>Entry</v>
      </c>
      <c r="J1743" t="str">
        <f>MID(H1743,FIND("(",H1743)+1,FIND(")",H1743)-FIND("(",H1743)-1)</f>
        <v>0-2 yrs</v>
      </c>
      <c r="L1743">
        <v>67872</v>
      </c>
      <c r="M1743" t="s">
        <v>3609</v>
      </c>
      <c r="N1743" t="s">
        <v>33</v>
      </c>
      <c r="O1743" t="s">
        <v>22</v>
      </c>
      <c r="P1743" s="1">
        <v>45676</v>
      </c>
      <c r="Q1743">
        <v>2322</v>
      </c>
      <c r="R1743">
        <v>3257</v>
      </c>
      <c r="S1743" t="s">
        <v>34</v>
      </c>
      <c r="T1743">
        <v>0</v>
      </c>
      <c r="U1743" t="s">
        <v>52</v>
      </c>
      <c r="V1743" t="s">
        <v>24</v>
      </c>
      <c r="W1743" t="s">
        <v>23</v>
      </c>
    </row>
    <row r="1744" spans="1:23" x14ac:dyDescent="0.3">
      <c r="A1744" t="s">
        <v>3610</v>
      </c>
      <c r="B1744" t="s">
        <v>229</v>
      </c>
      <c r="C1744" t="s">
        <v>74</v>
      </c>
      <c r="D1744" t="s">
        <v>38</v>
      </c>
      <c r="E1744" t="s">
        <v>64</v>
      </c>
      <c r="F1744" t="s">
        <v>65</v>
      </c>
      <c r="G1744" t="s">
        <v>41</v>
      </c>
      <c r="H1744" t="s">
        <v>66</v>
      </c>
      <c r="I1744" t="str">
        <f>LEFT(H1744,FIND(" (",H1744)-1)</f>
        <v>Senior</v>
      </c>
      <c r="J1744" t="str">
        <f>MID(H1744,FIND("(",H1744)+1,FIND(")",H1744)-FIND("(",H1744)-1)</f>
        <v>5-8 yrs</v>
      </c>
      <c r="L1744">
        <v>151891</v>
      </c>
      <c r="M1744" t="s">
        <v>3611</v>
      </c>
      <c r="N1744" t="s">
        <v>149</v>
      </c>
      <c r="O1744" t="s">
        <v>51</v>
      </c>
      <c r="P1744" s="1">
        <v>45585</v>
      </c>
      <c r="Q1744">
        <v>1540</v>
      </c>
      <c r="R1744">
        <v>3041</v>
      </c>
      <c r="S1744" t="s">
        <v>23</v>
      </c>
      <c r="T1744">
        <v>4</v>
      </c>
      <c r="U1744" t="s">
        <v>5123</v>
      </c>
      <c r="V1744" t="s">
        <v>24</v>
      </c>
      <c r="W1744" t="s">
        <v>23</v>
      </c>
    </row>
    <row r="1745" spans="1:23" x14ac:dyDescent="0.3">
      <c r="A1745" t="s">
        <v>3612</v>
      </c>
      <c r="B1745" t="s">
        <v>26</v>
      </c>
      <c r="C1745" t="s">
        <v>204</v>
      </c>
      <c r="D1745" t="s">
        <v>75</v>
      </c>
      <c r="E1745" t="s">
        <v>39</v>
      </c>
      <c r="F1745" t="s">
        <v>40</v>
      </c>
      <c r="G1745" t="s">
        <v>18</v>
      </c>
      <c r="H1745" t="s">
        <v>56</v>
      </c>
      <c r="I1745" t="str">
        <f>LEFT(H1745,FIND(" (",H1745)-1)</f>
        <v>Mid</v>
      </c>
      <c r="J1745" t="str">
        <f>MID(H1745,FIND("(",H1745)+1,FIND(")",H1745)-FIND("(",H1745)-1)</f>
        <v>2-5 yrs</v>
      </c>
      <c r="L1745">
        <v>133005</v>
      </c>
      <c r="M1745" t="s">
        <v>3613</v>
      </c>
      <c r="N1745" t="s">
        <v>21</v>
      </c>
      <c r="O1745" t="s">
        <v>22</v>
      </c>
      <c r="P1745" s="1">
        <v>45709</v>
      </c>
      <c r="Q1745">
        <v>946</v>
      </c>
      <c r="R1745">
        <v>3069</v>
      </c>
      <c r="S1745" t="s">
        <v>23</v>
      </c>
      <c r="T1745">
        <v>2</v>
      </c>
      <c r="U1745" t="s">
        <v>52</v>
      </c>
      <c r="V1745" t="s">
        <v>24</v>
      </c>
      <c r="W1745" t="s">
        <v>23</v>
      </c>
    </row>
    <row r="1746" spans="1:23" x14ac:dyDescent="0.3">
      <c r="A1746" t="s">
        <v>3614</v>
      </c>
      <c r="B1746" t="s">
        <v>143</v>
      </c>
      <c r="C1746" t="s">
        <v>226</v>
      </c>
      <c r="D1746" t="s">
        <v>28</v>
      </c>
      <c r="E1746" t="s">
        <v>16</v>
      </c>
      <c r="F1746" t="s">
        <v>17</v>
      </c>
      <c r="G1746" t="s">
        <v>18</v>
      </c>
      <c r="H1746" t="s">
        <v>31</v>
      </c>
      <c r="I1746" t="str">
        <f>LEFT(H1746,FIND(" (",H1746)-1)</f>
        <v>Staff/Principal</v>
      </c>
      <c r="J1746" t="str">
        <f>MID(H1746,FIND("(",H1746)+1,FIND(")",H1746)-FIND("(",H1746)-1)</f>
        <v>8+ yrs</v>
      </c>
      <c r="L1746">
        <v>166615</v>
      </c>
      <c r="M1746" t="s">
        <v>3615</v>
      </c>
      <c r="N1746" t="s">
        <v>33</v>
      </c>
      <c r="O1746" t="s">
        <v>51</v>
      </c>
      <c r="P1746" s="1">
        <v>45603</v>
      </c>
      <c r="Q1746">
        <v>1651</v>
      </c>
      <c r="R1746">
        <v>734</v>
      </c>
      <c r="S1746" t="s">
        <v>99</v>
      </c>
      <c r="T1746">
        <v>6</v>
      </c>
      <c r="U1746" t="s">
        <v>52</v>
      </c>
      <c r="V1746" t="s">
        <v>59</v>
      </c>
      <c r="W1746" t="s">
        <v>23</v>
      </c>
    </row>
    <row r="1747" spans="1:23" x14ac:dyDescent="0.3">
      <c r="A1747" t="s">
        <v>3616</v>
      </c>
      <c r="B1747" t="s">
        <v>137</v>
      </c>
      <c r="C1747" t="s">
        <v>14</v>
      </c>
      <c r="D1747" t="s">
        <v>111</v>
      </c>
      <c r="E1747" t="s">
        <v>29</v>
      </c>
      <c r="F1747" t="s">
        <v>30</v>
      </c>
      <c r="G1747" t="s">
        <v>41</v>
      </c>
      <c r="H1747" t="s">
        <v>19</v>
      </c>
      <c r="I1747" t="str">
        <f>LEFT(H1747,FIND(" (",H1747)-1)</f>
        <v>Entry</v>
      </c>
      <c r="J1747" t="str">
        <f>MID(H1747,FIND("(",H1747)+1,FIND(")",H1747)-FIND("(",H1747)-1)</f>
        <v>0-2 yrs</v>
      </c>
      <c r="L1747">
        <v>73003</v>
      </c>
      <c r="M1747" t="s">
        <v>1668</v>
      </c>
      <c r="N1747" t="s">
        <v>120</v>
      </c>
      <c r="O1747" t="s">
        <v>22</v>
      </c>
      <c r="P1747" s="1">
        <v>45324</v>
      </c>
      <c r="Q1747">
        <v>2049</v>
      </c>
      <c r="R1747">
        <v>12</v>
      </c>
      <c r="S1747" t="s">
        <v>99</v>
      </c>
      <c r="T1747">
        <v>0</v>
      </c>
      <c r="U1747" t="s">
        <v>83</v>
      </c>
      <c r="V1747" t="s">
        <v>59</v>
      </c>
      <c r="W1747" t="s">
        <v>34</v>
      </c>
    </row>
    <row r="1748" spans="1:23" x14ac:dyDescent="0.3">
      <c r="A1748" t="s">
        <v>3617</v>
      </c>
      <c r="B1748" t="s">
        <v>137</v>
      </c>
      <c r="C1748" t="s">
        <v>132</v>
      </c>
      <c r="D1748" t="s">
        <v>38</v>
      </c>
      <c r="E1748" t="s">
        <v>39</v>
      </c>
      <c r="F1748" t="s">
        <v>40</v>
      </c>
      <c r="G1748" t="s">
        <v>18</v>
      </c>
      <c r="H1748" t="s">
        <v>66</v>
      </c>
      <c r="I1748" t="str">
        <f>LEFT(H1748,FIND(" (",H1748)-1)</f>
        <v>Senior</v>
      </c>
      <c r="J1748" t="str">
        <f>MID(H1748,FIND("(",H1748)+1,FIND(")",H1748)-FIND("(",H1748)-1)</f>
        <v>5-8 yrs</v>
      </c>
      <c r="L1748">
        <v>176330</v>
      </c>
      <c r="M1748" t="s">
        <v>3618</v>
      </c>
      <c r="N1748" t="s">
        <v>43</v>
      </c>
      <c r="O1748" t="s">
        <v>44</v>
      </c>
      <c r="P1748" s="1">
        <v>45512</v>
      </c>
      <c r="Q1748">
        <v>1959</v>
      </c>
      <c r="R1748">
        <v>2872</v>
      </c>
      <c r="S1748" t="s">
        <v>23</v>
      </c>
      <c r="T1748">
        <v>4</v>
      </c>
      <c r="U1748" t="s">
        <v>45</v>
      </c>
      <c r="V1748" t="s">
        <v>24</v>
      </c>
      <c r="W1748" t="s">
        <v>34</v>
      </c>
    </row>
    <row r="1749" spans="1:23" x14ac:dyDescent="0.3">
      <c r="A1749" t="s">
        <v>3619</v>
      </c>
      <c r="B1749" t="s">
        <v>131</v>
      </c>
      <c r="C1749" t="s">
        <v>195</v>
      </c>
      <c r="D1749" t="s">
        <v>38</v>
      </c>
      <c r="E1749" t="s">
        <v>200</v>
      </c>
      <c r="F1749" t="s">
        <v>201</v>
      </c>
      <c r="G1749" t="s">
        <v>55</v>
      </c>
      <c r="H1749" t="s">
        <v>19</v>
      </c>
      <c r="I1749" t="str">
        <f>LEFT(H1749,FIND(" (",H1749)-1)</f>
        <v>Entry</v>
      </c>
      <c r="J1749" t="str">
        <f>MID(H1749,FIND("(",H1749)+1,FIND(")",H1749)-FIND("(",H1749)-1)</f>
        <v>0-2 yrs</v>
      </c>
      <c r="L1749">
        <v>76313</v>
      </c>
      <c r="M1749" t="s">
        <v>3620</v>
      </c>
      <c r="N1749" t="s">
        <v>94</v>
      </c>
      <c r="O1749" t="s">
        <v>22</v>
      </c>
      <c r="P1749" s="1">
        <v>45314</v>
      </c>
      <c r="Q1749">
        <v>1827</v>
      </c>
      <c r="R1749">
        <v>546</v>
      </c>
      <c r="S1749" t="s">
        <v>23</v>
      </c>
      <c r="T1749">
        <v>0</v>
      </c>
      <c r="U1749" t="s">
        <v>58</v>
      </c>
      <c r="V1749" t="s">
        <v>59</v>
      </c>
      <c r="W1749" t="s">
        <v>23</v>
      </c>
    </row>
    <row r="1750" spans="1:23" x14ac:dyDescent="0.3">
      <c r="A1750" t="s">
        <v>3621</v>
      </c>
      <c r="B1750" t="s">
        <v>151</v>
      </c>
      <c r="C1750" t="s">
        <v>158</v>
      </c>
      <c r="D1750" t="s">
        <v>63</v>
      </c>
      <c r="E1750" t="s">
        <v>29</v>
      </c>
      <c r="F1750" t="s">
        <v>30</v>
      </c>
      <c r="G1750" t="s">
        <v>41</v>
      </c>
      <c r="H1750" t="s">
        <v>19</v>
      </c>
      <c r="I1750" t="str">
        <f>LEFT(H1750,FIND(" (",H1750)-1)</f>
        <v>Entry</v>
      </c>
      <c r="J1750" t="str">
        <f>MID(H1750,FIND("(",H1750)+1,FIND(")",H1750)-FIND("(",H1750)-1)</f>
        <v>0-2 yrs</v>
      </c>
      <c r="L1750">
        <v>72388</v>
      </c>
      <c r="M1750" t="s">
        <v>3622</v>
      </c>
      <c r="N1750" t="s">
        <v>43</v>
      </c>
      <c r="O1750" t="s">
        <v>22</v>
      </c>
      <c r="P1750" s="1">
        <v>45453</v>
      </c>
      <c r="Q1750">
        <v>2424</v>
      </c>
      <c r="R1750">
        <v>57</v>
      </c>
      <c r="S1750" t="s">
        <v>34</v>
      </c>
      <c r="T1750">
        <v>0</v>
      </c>
      <c r="U1750" t="s">
        <v>5123</v>
      </c>
      <c r="V1750" t="s">
        <v>24</v>
      </c>
      <c r="W1750" t="s">
        <v>23</v>
      </c>
    </row>
    <row r="1751" spans="1:23" x14ac:dyDescent="0.3">
      <c r="A1751" t="s">
        <v>3623</v>
      </c>
      <c r="B1751" t="s">
        <v>225</v>
      </c>
      <c r="C1751" t="s">
        <v>195</v>
      </c>
      <c r="D1751" t="s">
        <v>28</v>
      </c>
      <c r="E1751" t="s">
        <v>5137</v>
      </c>
      <c r="F1751" t="s">
        <v>5138</v>
      </c>
      <c r="G1751" t="s">
        <v>55</v>
      </c>
      <c r="H1751" t="s">
        <v>31</v>
      </c>
      <c r="I1751" t="str">
        <f>LEFT(H1751,FIND(" (",H1751)-1)</f>
        <v>Staff/Principal</v>
      </c>
      <c r="J1751" t="str">
        <f>MID(H1751,FIND("(",H1751)+1,FIND(")",H1751)-FIND("(",H1751)-1)</f>
        <v>8+ yrs</v>
      </c>
      <c r="L1751">
        <v>236037</v>
      </c>
      <c r="M1751" t="s">
        <v>3624</v>
      </c>
      <c r="N1751" t="s">
        <v>33</v>
      </c>
      <c r="O1751" t="s">
        <v>51</v>
      </c>
      <c r="P1751" s="1">
        <v>45339</v>
      </c>
      <c r="Q1751">
        <v>774</v>
      </c>
      <c r="R1751">
        <v>786</v>
      </c>
      <c r="S1751" t="s">
        <v>99</v>
      </c>
      <c r="T1751">
        <v>6</v>
      </c>
      <c r="U1751" t="s">
        <v>45</v>
      </c>
      <c r="V1751" t="s">
        <v>24</v>
      </c>
      <c r="W1751" t="s">
        <v>34</v>
      </c>
    </row>
    <row r="1752" spans="1:23" x14ac:dyDescent="0.3">
      <c r="A1752" t="s">
        <v>3625</v>
      </c>
      <c r="B1752" t="s">
        <v>13</v>
      </c>
      <c r="C1752" t="s">
        <v>124</v>
      </c>
      <c r="D1752" t="s">
        <v>75</v>
      </c>
      <c r="E1752" t="s">
        <v>200</v>
      </c>
      <c r="F1752" t="s">
        <v>201</v>
      </c>
      <c r="G1752" t="s">
        <v>18</v>
      </c>
      <c r="H1752" t="s">
        <v>19</v>
      </c>
      <c r="I1752" t="str">
        <f>LEFT(H1752,FIND(" (",H1752)-1)</f>
        <v>Entry</v>
      </c>
      <c r="J1752" t="str">
        <f>MID(H1752,FIND("(",H1752)+1,FIND(")",H1752)-FIND("(",H1752)-1)</f>
        <v>0-2 yrs</v>
      </c>
      <c r="L1752">
        <v>50000</v>
      </c>
      <c r="M1752" t="s">
        <v>3626</v>
      </c>
      <c r="N1752" t="s">
        <v>89</v>
      </c>
      <c r="O1752" t="s">
        <v>22</v>
      </c>
      <c r="P1752" s="1">
        <v>45587</v>
      </c>
      <c r="Q1752">
        <v>1574</v>
      </c>
      <c r="R1752">
        <v>2509</v>
      </c>
      <c r="S1752" t="s">
        <v>99</v>
      </c>
      <c r="T1752">
        <v>0</v>
      </c>
      <c r="U1752" t="s">
        <v>83</v>
      </c>
      <c r="V1752" t="s">
        <v>59</v>
      </c>
      <c r="W1752" t="s">
        <v>23</v>
      </c>
    </row>
    <row r="1753" spans="1:23" x14ac:dyDescent="0.3">
      <c r="A1753" t="s">
        <v>3627</v>
      </c>
      <c r="B1753" t="s">
        <v>26</v>
      </c>
      <c r="C1753" t="s">
        <v>92</v>
      </c>
      <c r="D1753" t="s">
        <v>38</v>
      </c>
      <c r="E1753" t="s">
        <v>5140</v>
      </c>
      <c r="F1753" t="s">
        <v>5133</v>
      </c>
      <c r="G1753" t="s">
        <v>41</v>
      </c>
      <c r="H1753" t="s">
        <v>66</v>
      </c>
      <c r="I1753" t="str">
        <f>LEFT(H1753,FIND(" (",H1753)-1)</f>
        <v>Senior</v>
      </c>
      <c r="J1753" t="str">
        <f>MID(H1753,FIND("(",H1753)+1,FIND(")",H1753)-FIND("(",H1753)-1)</f>
        <v>5-8 yrs</v>
      </c>
      <c r="L1753">
        <v>168302</v>
      </c>
      <c r="M1753" t="s">
        <v>3628</v>
      </c>
      <c r="N1753" t="s">
        <v>21</v>
      </c>
      <c r="O1753" t="s">
        <v>44</v>
      </c>
      <c r="P1753" s="1">
        <v>45651</v>
      </c>
      <c r="Q1753">
        <v>604</v>
      </c>
      <c r="R1753">
        <v>3132</v>
      </c>
      <c r="S1753" t="s">
        <v>34</v>
      </c>
      <c r="T1753">
        <v>4</v>
      </c>
      <c r="U1753" t="s">
        <v>83</v>
      </c>
      <c r="V1753" t="s">
        <v>24</v>
      </c>
      <c r="W1753" t="s">
        <v>23</v>
      </c>
    </row>
    <row r="1754" spans="1:23" x14ac:dyDescent="0.3">
      <c r="A1754" t="s">
        <v>3629</v>
      </c>
      <c r="B1754" t="s">
        <v>229</v>
      </c>
      <c r="C1754" t="s">
        <v>192</v>
      </c>
      <c r="D1754" t="s">
        <v>63</v>
      </c>
      <c r="E1754" t="s">
        <v>5135</v>
      </c>
      <c r="F1754" t="s">
        <v>5133</v>
      </c>
      <c r="G1754" t="s">
        <v>41</v>
      </c>
      <c r="H1754" t="s">
        <v>66</v>
      </c>
      <c r="I1754" t="str">
        <f>LEFT(H1754,FIND(" (",H1754)-1)</f>
        <v>Senior</v>
      </c>
      <c r="J1754" t="str">
        <f>MID(H1754,FIND("(",H1754)+1,FIND(")",H1754)-FIND("(",H1754)-1)</f>
        <v>5-8 yrs</v>
      </c>
      <c r="L1754">
        <v>132339</v>
      </c>
      <c r="M1754" t="s">
        <v>3630</v>
      </c>
      <c r="N1754" t="s">
        <v>33</v>
      </c>
      <c r="O1754" t="s">
        <v>51</v>
      </c>
      <c r="P1754" s="1">
        <v>45715</v>
      </c>
      <c r="Q1754">
        <v>1728</v>
      </c>
      <c r="R1754">
        <v>1588</v>
      </c>
      <c r="S1754" t="s">
        <v>34</v>
      </c>
      <c r="T1754">
        <v>4</v>
      </c>
      <c r="U1754" t="s">
        <v>58</v>
      </c>
      <c r="V1754" t="s">
        <v>24</v>
      </c>
      <c r="W1754" t="s">
        <v>34</v>
      </c>
    </row>
    <row r="1755" spans="1:23" x14ac:dyDescent="0.3">
      <c r="A1755" t="s">
        <v>3631</v>
      </c>
      <c r="B1755" t="s">
        <v>137</v>
      </c>
      <c r="C1755" t="s">
        <v>54</v>
      </c>
      <c r="D1755" t="s">
        <v>111</v>
      </c>
      <c r="E1755" t="s">
        <v>5136</v>
      </c>
      <c r="F1755" t="s">
        <v>5133</v>
      </c>
      <c r="G1755" t="s">
        <v>41</v>
      </c>
      <c r="H1755" t="s">
        <v>19</v>
      </c>
      <c r="I1755" t="str">
        <f>LEFT(H1755,FIND(" (",H1755)-1)</f>
        <v>Entry</v>
      </c>
      <c r="J1755" t="str">
        <f>MID(H1755,FIND("(",H1755)+1,FIND(")",H1755)-FIND("(",H1755)-1)</f>
        <v>0-2 yrs</v>
      </c>
      <c r="L1755">
        <v>50000</v>
      </c>
      <c r="M1755" t="s">
        <v>3632</v>
      </c>
      <c r="N1755" t="s">
        <v>186</v>
      </c>
      <c r="O1755" t="s">
        <v>79</v>
      </c>
      <c r="P1755" s="1">
        <v>45384</v>
      </c>
      <c r="Q1755">
        <v>1817</v>
      </c>
      <c r="R1755">
        <v>3873</v>
      </c>
      <c r="S1755" t="s">
        <v>34</v>
      </c>
      <c r="T1755">
        <v>0</v>
      </c>
      <c r="U1755" t="s">
        <v>45</v>
      </c>
      <c r="V1755" t="s">
        <v>24</v>
      </c>
      <c r="W1755" t="s">
        <v>34</v>
      </c>
    </row>
    <row r="1756" spans="1:23" x14ac:dyDescent="0.3">
      <c r="A1756" t="s">
        <v>3633</v>
      </c>
      <c r="B1756" t="s">
        <v>13</v>
      </c>
      <c r="C1756" t="s">
        <v>128</v>
      </c>
      <c r="D1756" t="s">
        <v>38</v>
      </c>
      <c r="E1756" t="s">
        <v>133</v>
      </c>
      <c r="F1756" t="s">
        <v>134</v>
      </c>
      <c r="G1756" t="s">
        <v>18</v>
      </c>
      <c r="H1756" t="s">
        <v>19</v>
      </c>
      <c r="I1756" t="str">
        <f>LEFT(H1756,FIND(" (",H1756)-1)</f>
        <v>Entry</v>
      </c>
      <c r="J1756" t="str">
        <f>MID(H1756,FIND("(",H1756)+1,FIND(")",H1756)-FIND("(",H1756)-1)</f>
        <v>0-2 yrs</v>
      </c>
      <c r="L1756">
        <v>76441</v>
      </c>
      <c r="M1756" t="s">
        <v>3634</v>
      </c>
      <c r="N1756" t="s">
        <v>68</v>
      </c>
      <c r="O1756" t="s">
        <v>44</v>
      </c>
      <c r="P1756" s="1">
        <v>45717</v>
      </c>
      <c r="Q1756">
        <v>1207</v>
      </c>
      <c r="R1756">
        <v>811</v>
      </c>
      <c r="S1756" t="s">
        <v>34</v>
      </c>
      <c r="T1756">
        <v>0</v>
      </c>
      <c r="U1756" t="s">
        <v>45</v>
      </c>
      <c r="V1756" t="s">
        <v>24</v>
      </c>
      <c r="W1756" t="s">
        <v>23</v>
      </c>
    </row>
    <row r="1757" spans="1:23" x14ac:dyDescent="0.3">
      <c r="A1757" t="s">
        <v>3635</v>
      </c>
      <c r="B1757" t="s">
        <v>131</v>
      </c>
      <c r="C1757" t="s">
        <v>116</v>
      </c>
      <c r="D1757" t="s">
        <v>174</v>
      </c>
      <c r="E1757" t="s">
        <v>200</v>
      </c>
      <c r="F1757" t="s">
        <v>201</v>
      </c>
      <c r="G1757" t="s">
        <v>41</v>
      </c>
      <c r="H1757" t="s">
        <v>31</v>
      </c>
      <c r="I1757" t="str">
        <f>LEFT(H1757,FIND(" (",H1757)-1)</f>
        <v>Staff/Principal</v>
      </c>
      <c r="J1757" t="str">
        <f>MID(H1757,FIND("(",H1757)+1,FIND(")",H1757)-FIND("(",H1757)-1)</f>
        <v>8+ yrs</v>
      </c>
      <c r="L1757">
        <v>249451</v>
      </c>
      <c r="M1757" t="s">
        <v>3636</v>
      </c>
      <c r="N1757" t="s">
        <v>120</v>
      </c>
      <c r="O1757" t="s">
        <v>51</v>
      </c>
      <c r="P1757" s="1">
        <v>45361</v>
      </c>
      <c r="Q1757">
        <v>2368</v>
      </c>
      <c r="R1757">
        <v>2881</v>
      </c>
      <c r="S1757" t="s">
        <v>23</v>
      </c>
      <c r="T1757">
        <v>6</v>
      </c>
      <c r="U1757" t="s">
        <v>5123</v>
      </c>
      <c r="V1757" t="s">
        <v>59</v>
      </c>
      <c r="W1757" t="s">
        <v>23</v>
      </c>
    </row>
    <row r="1758" spans="1:23" x14ac:dyDescent="0.3">
      <c r="A1758" t="s">
        <v>3637</v>
      </c>
      <c r="B1758" t="s">
        <v>137</v>
      </c>
      <c r="C1758" t="s">
        <v>116</v>
      </c>
      <c r="D1758" t="s">
        <v>38</v>
      </c>
      <c r="E1758" t="s">
        <v>200</v>
      </c>
      <c r="F1758" t="s">
        <v>201</v>
      </c>
      <c r="G1758" t="s">
        <v>41</v>
      </c>
      <c r="H1758" t="s">
        <v>19</v>
      </c>
      <c r="I1758" t="str">
        <f>LEFT(H1758,FIND(" (",H1758)-1)</f>
        <v>Entry</v>
      </c>
      <c r="J1758" t="str">
        <f>MID(H1758,FIND("(",H1758)+1,FIND(")",H1758)-FIND("(",H1758)-1)</f>
        <v>0-2 yrs</v>
      </c>
      <c r="L1758">
        <v>68268</v>
      </c>
      <c r="M1758" t="s">
        <v>3638</v>
      </c>
      <c r="N1758" t="s">
        <v>186</v>
      </c>
      <c r="O1758" t="s">
        <v>44</v>
      </c>
      <c r="P1758" s="1">
        <v>45732</v>
      </c>
      <c r="Q1758">
        <v>324</v>
      </c>
      <c r="R1758">
        <v>2135</v>
      </c>
      <c r="S1758" t="s">
        <v>34</v>
      </c>
      <c r="T1758">
        <v>0</v>
      </c>
      <c r="U1758" t="s">
        <v>45</v>
      </c>
      <c r="V1758" t="s">
        <v>59</v>
      </c>
      <c r="W1758" t="s">
        <v>23</v>
      </c>
    </row>
    <row r="1759" spans="1:23" x14ac:dyDescent="0.3">
      <c r="A1759" t="s">
        <v>3639</v>
      </c>
      <c r="B1759" t="s">
        <v>26</v>
      </c>
      <c r="C1759" t="s">
        <v>173</v>
      </c>
      <c r="D1759" t="s">
        <v>15</v>
      </c>
      <c r="E1759" t="s">
        <v>16</v>
      </c>
      <c r="F1759" t="s">
        <v>17</v>
      </c>
      <c r="G1759" t="s">
        <v>18</v>
      </c>
      <c r="H1759" t="s">
        <v>19</v>
      </c>
      <c r="I1759" t="str">
        <f>LEFT(H1759,FIND(" (",H1759)-1)</f>
        <v>Entry</v>
      </c>
      <c r="J1759" t="str">
        <f>MID(H1759,FIND("(",H1759)+1,FIND(")",H1759)-FIND("(",H1759)-1)</f>
        <v>0-2 yrs</v>
      </c>
      <c r="L1759">
        <v>82006</v>
      </c>
      <c r="M1759" t="s">
        <v>3640</v>
      </c>
      <c r="N1759" t="s">
        <v>149</v>
      </c>
      <c r="O1759" t="s">
        <v>44</v>
      </c>
      <c r="P1759" s="1">
        <v>45699</v>
      </c>
      <c r="Q1759">
        <v>1267</v>
      </c>
      <c r="R1759">
        <v>1128</v>
      </c>
      <c r="S1759" t="s">
        <v>23</v>
      </c>
      <c r="T1759">
        <v>0</v>
      </c>
      <c r="U1759" t="s">
        <v>45</v>
      </c>
      <c r="V1759" t="s">
        <v>24</v>
      </c>
      <c r="W1759" t="s">
        <v>23</v>
      </c>
    </row>
    <row r="1760" spans="1:23" x14ac:dyDescent="0.3">
      <c r="A1760" t="s">
        <v>3641</v>
      </c>
      <c r="B1760" t="s">
        <v>225</v>
      </c>
      <c r="C1760" t="s">
        <v>146</v>
      </c>
      <c r="D1760" t="s">
        <v>28</v>
      </c>
      <c r="E1760" t="s">
        <v>5134</v>
      </c>
      <c r="F1760" t="s">
        <v>5133</v>
      </c>
      <c r="G1760" t="s">
        <v>18</v>
      </c>
      <c r="H1760" t="s">
        <v>19</v>
      </c>
      <c r="I1760" t="str">
        <f>LEFT(H1760,FIND(" (",H1760)-1)</f>
        <v>Entry</v>
      </c>
      <c r="J1760" t="str">
        <f>MID(H1760,FIND("(",H1760)+1,FIND(")",H1760)-FIND("(",H1760)-1)</f>
        <v>0-2 yrs</v>
      </c>
      <c r="L1760">
        <v>90314</v>
      </c>
      <c r="M1760" t="s">
        <v>3642</v>
      </c>
      <c r="N1760" t="s">
        <v>33</v>
      </c>
      <c r="O1760" t="s">
        <v>51</v>
      </c>
      <c r="P1760" s="1">
        <v>45640</v>
      </c>
      <c r="Q1760">
        <v>2070</v>
      </c>
      <c r="R1760">
        <v>2443</v>
      </c>
      <c r="S1760" t="s">
        <v>23</v>
      </c>
      <c r="T1760">
        <v>0</v>
      </c>
      <c r="U1760" t="s">
        <v>83</v>
      </c>
      <c r="V1760" t="s">
        <v>24</v>
      </c>
      <c r="W1760" t="s">
        <v>23</v>
      </c>
    </row>
    <row r="1761" spans="1:23" x14ac:dyDescent="0.3">
      <c r="A1761" t="s">
        <v>3643</v>
      </c>
      <c r="B1761" t="s">
        <v>225</v>
      </c>
      <c r="C1761" t="s">
        <v>179</v>
      </c>
      <c r="D1761" t="s">
        <v>111</v>
      </c>
      <c r="E1761" t="s">
        <v>159</v>
      </c>
      <c r="F1761" t="s">
        <v>160</v>
      </c>
      <c r="G1761" t="s">
        <v>18</v>
      </c>
      <c r="H1761" t="s">
        <v>19</v>
      </c>
      <c r="I1761" t="str">
        <f>LEFT(H1761,FIND(" (",H1761)-1)</f>
        <v>Entry</v>
      </c>
      <c r="J1761" t="str">
        <f>MID(H1761,FIND("(",H1761)+1,FIND(")",H1761)-FIND("(",H1761)-1)</f>
        <v>0-2 yrs</v>
      </c>
      <c r="L1761">
        <v>86567</v>
      </c>
      <c r="M1761" t="s">
        <v>3644</v>
      </c>
      <c r="N1761" t="s">
        <v>33</v>
      </c>
      <c r="O1761" t="s">
        <v>51</v>
      </c>
      <c r="P1761" s="1">
        <v>45603</v>
      </c>
      <c r="Q1761">
        <v>2114</v>
      </c>
      <c r="R1761">
        <v>3727</v>
      </c>
      <c r="S1761" t="s">
        <v>23</v>
      </c>
      <c r="T1761">
        <v>0</v>
      </c>
      <c r="U1761" t="s">
        <v>45</v>
      </c>
      <c r="V1761" t="s">
        <v>59</v>
      </c>
      <c r="W1761" t="s">
        <v>23</v>
      </c>
    </row>
    <row r="1762" spans="1:23" x14ac:dyDescent="0.3">
      <c r="A1762" t="s">
        <v>3645</v>
      </c>
      <c r="B1762" t="s">
        <v>26</v>
      </c>
      <c r="C1762" t="s">
        <v>192</v>
      </c>
      <c r="D1762" t="s">
        <v>125</v>
      </c>
      <c r="E1762" t="s">
        <v>39</v>
      </c>
      <c r="F1762" t="s">
        <v>40</v>
      </c>
      <c r="G1762" t="s">
        <v>18</v>
      </c>
      <c r="H1762" t="s">
        <v>66</v>
      </c>
      <c r="I1762" t="str">
        <f>LEFT(H1762,FIND(" (",H1762)-1)</f>
        <v>Senior</v>
      </c>
      <c r="J1762" t="str">
        <f>MID(H1762,FIND("(",H1762)+1,FIND(")",H1762)-FIND("(",H1762)-1)</f>
        <v>5-8 yrs</v>
      </c>
      <c r="L1762">
        <v>194279</v>
      </c>
      <c r="M1762" t="s">
        <v>3646</v>
      </c>
      <c r="N1762" t="s">
        <v>120</v>
      </c>
      <c r="O1762" t="s">
        <v>51</v>
      </c>
      <c r="P1762" s="1">
        <v>45491</v>
      </c>
      <c r="Q1762">
        <v>1941</v>
      </c>
      <c r="R1762">
        <v>515</v>
      </c>
      <c r="S1762" t="s">
        <v>23</v>
      </c>
      <c r="T1762">
        <v>4</v>
      </c>
      <c r="U1762" t="s">
        <v>45</v>
      </c>
      <c r="V1762" t="s">
        <v>24</v>
      </c>
      <c r="W1762" t="s">
        <v>34</v>
      </c>
    </row>
    <row r="1763" spans="1:23" x14ac:dyDescent="0.3">
      <c r="A1763" t="s">
        <v>3647</v>
      </c>
      <c r="B1763" t="s">
        <v>131</v>
      </c>
      <c r="C1763" t="s">
        <v>54</v>
      </c>
      <c r="D1763" t="s">
        <v>125</v>
      </c>
      <c r="E1763" t="s">
        <v>200</v>
      </c>
      <c r="F1763" t="s">
        <v>201</v>
      </c>
      <c r="G1763" t="s">
        <v>55</v>
      </c>
      <c r="H1763" t="s">
        <v>66</v>
      </c>
      <c r="I1763" t="str">
        <f>LEFT(H1763,FIND(" (",H1763)-1)</f>
        <v>Senior</v>
      </c>
      <c r="J1763" t="str">
        <f>MID(H1763,FIND("(",H1763)+1,FIND(")",H1763)-FIND("(",H1763)-1)</f>
        <v>5-8 yrs</v>
      </c>
      <c r="L1763">
        <v>170037</v>
      </c>
      <c r="M1763" t="s">
        <v>3648</v>
      </c>
      <c r="N1763" t="s">
        <v>141</v>
      </c>
      <c r="O1763" t="s">
        <v>44</v>
      </c>
      <c r="P1763" s="1">
        <v>45360</v>
      </c>
      <c r="Q1763">
        <v>1934</v>
      </c>
      <c r="R1763">
        <v>1793</v>
      </c>
      <c r="S1763" t="s">
        <v>34</v>
      </c>
      <c r="T1763">
        <v>4</v>
      </c>
      <c r="U1763" t="s">
        <v>52</v>
      </c>
      <c r="V1763" t="s">
        <v>24</v>
      </c>
      <c r="W1763" t="s">
        <v>23</v>
      </c>
    </row>
    <row r="1764" spans="1:23" x14ac:dyDescent="0.3">
      <c r="A1764" t="s">
        <v>3649</v>
      </c>
      <c r="B1764" t="s">
        <v>36</v>
      </c>
      <c r="C1764" t="s">
        <v>107</v>
      </c>
      <c r="D1764" t="s">
        <v>63</v>
      </c>
      <c r="E1764" t="s">
        <v>133</v>
      </c>
      <c r="F1764" t="s">
        <v>134</v>
      </c>
      <c r="G1764" t="s">
        <v>41</v>
      </c>
      <c r="H1764" t="s">
        <v>31</v>
      </c>
      <c r="I1764" t="str">
        <f>LEFT(H1764,FIND(" (",H1764)-1)</f>
        <v>Staff/Principal</v>
      </c>
      <c r="J1764" t="str">
        <f>MID(H1764,FIND("(",H1764)+1,FIND(")",H1764)-FIND("(",H1764)-1)</f>
        <v>8+ yrs</v>
      </c>
      <c r="L1764">
        <v>202715</v>
      </c>
      <c r="M1764" t="s">
        <v>3650</v>
      </c>
      <c r="N1764" t="s">
        <v>89</v>
      </c>
      <c r="O1764" t="s">
        <v>44</v>
      </c>
      <c r="P1764" s="1">
        <v>45615</v>
      </c>
      <c r="Q1764">
        <v>1509</v>
      </c>
      <c r="R1764">
        <v>193</v>
      </c>
      <c r="S1764" t="s">
        <v>34</v>
      </c>
      <c r="T1764">
        <v>6</v>
      </c>
      <c r="U1764" t="s">
        <v>45</v>
      </c>
      <c r="V1764" t="s">
        <v>59</v>
      </c>
      <c r="W1764" t="s">
        <v>23</v>
      </c>
    </row>
    <row r="1765" spans="1:23" x14ac:dyDescent="0.3">
      <c r="A1765" t="s">
        <v>3651</v>
      </c>
      <c r="B1765" t="s">
        <v>61</v>
      </c>
      <c r="C1765" t="s">
        <v>116</v>
      </c>
      <c r="D1765" t="s">
        <v>15</v>
      </c>
      <c r="E1765" t="s">
        <v>5136</v>
      </c>
      <c r="F1765" t="s">
        <v>5133</v>
      </c>
      <c r="G1765" t="s">
        <v>41</v>
      </c>
      <c r="H1765" t="s">
        <v>56</v>
      </c>
      <c r="I1765" t="str">
        <f>LEFT(H1765,FIND(" (",H1765)-1)</f>
        <v>Mid</v>
      </c>
      <c r="J1765" t="str">
        <f>MID(H1765,FIND("(",H1765)+1,FIND(")",H1765)-FIND("(",H1765)-1)</f>
        <v>2-5 yrs</v>
      </c>
      <c r="L1765">
        <v>78281</v>
      </c>
      <c r="M1765" t="s">
        <v>3652</v>
      </c>
      <c r="N1765" t="s">
        <v>141</v>
      </c>
      <c r="O1765" t="s">
        <v>22</v>
      </c>
      <c r="P1765" s="1">
        <v>45367</v>
      </c>
      <c r="Q1765">
        <v>1614</v>
      </c>
      <c r="R1765">
        <v>3062</v>
      </c>
      <c r="S1765" t="s">
        <v>23</v>
      </c>
      <c r="T1765">
        <v>2</v>
      </c>
      <c r="U1765" t="s">
        <v>83</v>
      </c>
      <c r="V1765" t="s">
        <v>24</v>
      </c>
      <c r="W1765" t="s">
        <v>34</v>
      </c>
    </row>
    <row r="1766" spans="1:23" x14ac:dyDescent="0.3">
      <c r="A1766" t="s">
        <v>3653</v>
      </c>
      <c r="B1766" t="s">
        <v>70</v>
      </c>
      <c r="C1766" t="s">
        <v>239</v>
      </c>
      <c r="D1766" t="s">
        <v>38</v>
      </c>
      <c r="E1766" t="s">
        <v>102</v>
      </c>
      <c r="F1766" t="s">
        <v>103</v>
      </c>
      <c r="G1766" t="s">
        <v>18</v>
      </c>
      <c r="H1766" t="s">
        <v>31</v>
      </c>
      <c r="I1766" t="str">
        <f>LEFT(H1766,FIND(" (",H1766)-1)</f>
        <v>Staff/Principal</v>
      </c>
      <c r="J1766" t="str">
        <f>MID(H1766,FIND("(",H1766)+1,FIND(")",H1766)-FIND("(",H1766)-1)</f>
        <v>8+ yrs</v>
      </c>
      <c r="L1766">
        <v>191141</v>
      </c>
      <c r="M1766" t="s">
        <v>3654</v>
      </c>
      <c r="N1766" t="s">
        <v>43</v>
      </c>
      <c r="O1766" t="s">
        <v>51</v>
      </c>
      <c r="P1766" s="1">
        <v>45726</v>
      </c>
      <c r="Q1766">
        <v>659</v>
      </c>
      <c r="R1766">
        <v>781</v>
      </c>
      <c r="S1766" t="s">
        <v>23</v>
      </c>
      <c r="T1766">
        <v>6</v>
      </c>
      <c r="U1766" t="s">
        <v>83</v>
      </c>
      <c r="V1766" t="s">
        <v>24</v>
      </c>
      <c r="W1766" t="s">
        <v>23</v>
      </c>
    </row>
    <row r="1767" spans="1:23" x14ac:dyDescent="0.3">
      <c r="A1767" t="s">
        <v>3655</v>
      </c>
      <c r="B1767" t="s">
        <v>151</v>
      </c>
      <c r="C1767" t="s">
        <v>124</v>
      </c>
      <c r="D1767" t="s">
        <v>111</v>
      </c>
      <c r="E1767" t="s">
        <v>216</v>
      </c>
      <c r="F1767" t="s">
        <v>217</v>
      </c>
      <c r="G1767" t="s">
        <v>55</v>
      </c>
      <c r="H1767" t="s">
        <v>66</v>
      </c>
      <c r="I1767" t="str">
        <f>LEFT(H1767,FIND(" (",H1767)-1)</f>
        <v>Senior</v>
      </c>
      <c r="J1767" t="str">
        <f>MID(H1767,FIND("(",H1767)+1,FIND(")",H1767)-FIND("(",H1767)-1)</f>
        <v>5-8 yrs</v>
      </c>
      <c r="L1767">
        <v>127232</v>
      </c>
      <c r="M1767" t="s">
        <v>3656</v>
      </c>
      <c r="N1767" t="s">
        <v>149</v>
      </c>
      <c r="O1767" t="s">
        <v>22</v>
      </c>
      <c r="P1767" s="1">
        <v>45611</v>
      </c>
      <c r="Q1767">
        <v>901</v>
      </c>
      <c r="R1767">
        <v>3783</v>
      </c>
      <c r="S1767" t="s">
        <v>99</v>
      </c>
      <c r="T1767">
        <v>4</v>
      </c>
      <c r="U1767" t="s">
        <v>45</v>
      </c>
      <c r="V1767" t="s">
        <v>59</v>
      </c>
      <c r="W1767" t="s">
        <v>23</v>
      </c>
    </row>
    <row r="1768" spans="1:23" x14ac:dyDescent="0.3">
      <c r="A1768" t="s">
        <v>3657</v>
      </c>
      <c r="B1768" t="s">
        <v>91</v>
      </c>
      <c r="C1768" t="s">
        <v>74</v>
      </c>
      <c r="D1768" t="s">
        <v>63</v>
      </c>
      <c r="E1768" t="s">
        <v>16</v>
      </c>
      <c r="F1768" t="s">
        <v>17</v>
      </c>
      <c r="G1768" t="s">
        <v>55</v>
      </c>
      <c r="H1768" t="s">
        <v>19</v>
      </c>
      <c r="I1768" t="str">
        <f>LEFT(H1768,FIND(" (",H1768)-1)</f>
        <v>Entry</v>
      </c>
      <c r="J1768" t="str">
        <f>MID(H1768,FIND("(",H1768)+1,FIND(")",H1768)-FIND("(",H1768)-1)</f>
        <v>0-2 yrs</v>
      </c>
      <c r="L1768">
        <v>97353</v>
      </c>
      <c r="M1768" t="s">
        <v>3658</v>
      </c>
      <c r="N1768" t="s">
        <v>33</v>
      </c>
      <c r="O1768" t="s">
        <v>51</v>
      </c>
      <c r="P1768" s="1">
        <v>45620</v>
      </c>
      <c r="Q1768">
        <v>1386</v>
      </c>
      <c r="R1768">
        <v>2855</v>
      </c>
      <c r="S1768" t="s">
        <v>99</v>
      </c>
      <c r="T1768">
        <v>0</v>
      </c>
      <c r="U1768" t="s">
        <v>52</v>
      </c>
      <c r="V1768" t="s">
        <v>24</v>
      </c>
      <c r="W1768" t="s">
        <v>23</v>
      </c>
    </row>
    <row r="1769" spans="1:23" x14ac:dyDescent="0.3">
      <c r="A1769" t="s">
        <v>3659</v>
      </c>
      <c r="B1769" t="s">
        <v>96</v>
      </c>
      <c r="C1769" t="s">
        <v>204</v>
      </c>
      <c r="D1769" t="s">
        <v>63</v>
      </c>
      <c r="E1769" t="s">
        <v>230</v>
      </c>
      <c r="F1769" t="s">
        <v>231</v>
      </c>
      <c r="G1769" t="s">
        <v>18</v>
      </c>
      <c r="H1769" t="s">
        <v>56</v>
      </c>
      <c r="I1769" t="str">
        <f>LEFT(H1769,FIND(" (",H1769)-1)</f>
        <v>Mid</v>
      </c>
      <c r="J1769" t="str">
        <f>MID(H1769,FIND("(",H1769)+1,FIND(")",H1769)-FIND("(",H1769)-1)</f>
        <v>2-5 yrs</v>
      </c>
      <c r="L1769">
        <v>106517</v>
      </c>
      <c r="M1769" t="s">
        <v>3660</v>
      </c>
      <c r="N1769" t="s">
        <v>149</v>
      </c>
      <c r="O1769" t="s">
        <v>51</v>
      </c>
      <c r="P1769" s="1">
        <v>45368</v>
      </c>
      <c r="Q1769">
        <v>2417</v>
      </c>
      <c r="R1769">
        <v>340</v>
      </c>
      <c r="S1769" t="s">
        <v>23</v>
      </c>
      <c r="T1769">
        <v>2</v>
      </c>
      <c r="U1769" t="s">
        <v>5123</v>
      </c>
      <c r="V1769" t="s">
        <v>46</v>
      </c>
      <c r="W1769" t="s">
        <v>23</v>
      </c>
    </row>
    <row r="1770" spans="1:23" x14ac:dyDescent="0.3">
      <c r="A1770" t="s">
        <v>3661</v>
      </c>
      <c r="B1770" t="s">
        <v>143</v>
      </c>
      <c r="C1770" t="s">
        <v>48</v>
      </c>
      <c r="D1770" t="s">
        <v>174</v>
      </c>
      <c r="E1770" t="s">
        <v>64</v>
      </c>
      <c r="F1770" t="s">
        <v>65</v>
      </c>
      <c r="G1770" t="s">
        <v>55</v>
      </c>
      <c r="H1770" t="s">
        <v>31</v>
      </c>
      <c r="I1770" t="str">
        <f>LEFT(H1770,FIND(" (",H1770)-1)</f>
        <v>Staff/Principal</v>
      </c>
      <c r="J1770" t="str">
        <f>MID(H1770,FIND("(",H1770)+1,FIND(")",H1770)-FIND("(",H1770)-1)</f>
        <v>8+ yrs</v>
      </c>
      <c r="L1770">
        <v>204435</v>
      </c>
      <c r="M1770" t="s">
        <v>3662</v>
      </c>
      <c r="N1770" t="s">
        <v>33</v>
      </c>
      <c r="O1770" t="s">
        <v>51</v>
      </c>
      <c r="P1770" s="1">
        <v>45375</v>
      </c>
      <c r="Q1770">
        <v>2239</v>
      </c>
      <c r="R1770">
        <v>1859</v>
      </c>
      <c r="S1770" t="s">
        <v>99</v>
      </c>
      <c r="T1770">
        <v>6</v>
      </c>
      <c r="U1770" t="s">
        <v>45</v>
      </c>
      <c r="V1770" t="s">
        <v>59</v>
      </c>
      <c r="W1770" t="s">
        <v>34</v>
      </c>
    </row>
    <row r="1771" spans="1:23" x14ac:dyDescent="0.3">
      <c r="A1771" t="s">
        <v>3663</v>
      </c>
      <c r="B1771" t="s">
        <v>81</v>
      </c>
      <c r="C1771" t="s">
        <v>204</v>
      </c>
      <c r="D1771" t="s">
        <v>174</v>
      </c>
      <c r="E1771" t="s">
        <v>87</v>
      </c>
      <c r="F1771" t="s">
        <v>87</v>
      </c>
      <c r="G1771" t="s">
        <v>41</v>
      </c>
      <c r="H1771" t="s">
        <v>56</v>
      </c>
      <c r="I1771" t="str">
        <f>LEFT(H1771,FIND(" (",H1771)-1)</f>
        <v>Mid</v>
      </c>
      <c r="J1771" t="str">
        <f>MID(H1771,FIND("(",H1771)+1,FIND(")",H1771)-FIND("(",H1771)-1)</f>
        <v>2-5 yrs</v>
      </c>
      <c r="L1771">
        <v>120919</v>
      </c>
      <c r="M1771" t="s">
        <v>3664</v>
      </c>
      <c r="N1771" t="s">
        <v>43</v>
      </c>
      <c r="O1771" t="s">
        <v>22</v>
      </c>
      <c r="P1771" s="1">
        <v>45544</v>
      </c>
      <c r="Q1771">
        <v>2208</v>
      </c>
      <c r="R1771">
        <v>3983</v>
      </c>
      <c r="S1771" t="s">
        <v>23</v>
      </c>
      <c r="T1771">
        <v>2</v>
      </c>
      <c r="U1771" t="s">
        <v>83</v>
      </c>
      <c r="V1771" t="s">
        <v>59</v>
      </c>
      <c r="W1771" t="s">
        <v>23</v>
      </c>
    </row>
    <row r="1772" spans="1:23" x14ac:dyDescent="0.3">
      <c r="A1772" t="s">
        <v>3665</v>
      </c>
      <c r="B1772" t="s">
        <v>236</v>
      </c>
      <c r="C1772" t="s">
        <v>167</v>
      </c>
      <c r="D1772" t="s">
        <v>15</v>
      </c>
      <c r="E1772" t="s">
        <v>29</v>
      </c>
      <c r="F1772" t="s">
        <v>30</v>
      </c>
      <c r="G1772" t="s">
        <v>18</v>
      </c>
      <c r="H1772" t="s">
        <v>19</v>
      </c>
      <c r="I1772" t="str">
        <f>LEFT(H1772,FIND(" (",H1772)-1)</f>
        <v>Entry</v>
      </c>
      <c r="J1772" t="str">
        <f>MID(H1772,FIND("(",H1772)+1,FIND(")",H1772)-FIND("(",H1772)-1)</f>
        <v>0-2 yrs</v>
      </c>
      <c r="L1772">
        <v>70549</v>
      </c>
      <c r="M1772" t="s">
        <v>3666</v>
      </c>
      <c r="N1772" t="s">
        <v>89</v>
      </c>
      <c r="O1772" t="s">
        <v>79</v>
      </c>
      <c r="P1772" s="1">
        <v>45479</v>
      </c>
      <c r="Q1772">
        <v>2107</v>
      </c>
      <c r="R1772">
        <v>1634</v>
      </c>
      <c r="S1772" t="s">
        <v>23</v>
      </c>
      <c r="T1772">
        <v>0</v>
      </c>
      <c r="U1772" t="s">
        <v>58</v>
      </c>
      <c r="V1772" t="s">
        <v>59</v>
      </c>
      <c r="W1772" t="s">
        <v>23</v>
      </c>
    </row>
    <row r="1773" spans="1:23" x14ac:dyDescent="0.3">
      <c r="A1773" t="s">
        <v>3667</v>
      </c>
      <c r="B1773" t="s">
        <v>26</v>
      </c>
      <c r="C1773" t="s">
        <v>132</v>
      </c>
      <c r="D1773" t="s">
        <v>63</v>
      </c>
      <c r="E1773" t="s">
        <v>133</v>
      </c>
      <c r="F1773" t="s">
        <v>134</v>
      </c>
      <c r="G1773" t="s">
        <v>41</v>
      </c>
      <c r="H1773" t="s">
        <v>56</v>
      </c>
      <c r="I1773" t="str">
        <f>LEFT(H1773,FIND(" (",H1773)-1)</f>
        <v>Mid</v>
      </c>
      <c r="J1773" t="str">
        <f>MID(H1773,FIND("(",H1773)+1,FIND(")",H1773)-FIND("(",H1773)-1)</f>
        <v>2-5 yrs</v>
      </c>
      <c r="L1773">
        <v>143562</v>
      </c>
      <c r="M1773" t="s">
        <v>3668</v>
      </c>
      <c r="N1773" t="s">
        <v>68</v>
      </c>
      <c r="O1773" t="s">
        <v>51</v>
      </c>
      <c r="P1773" s="1">
        <v>45545</v>
      </c>
      <c r="Q1773">
        <v>595</v>
      </c>
      <c r="R1773">
        <v>2811</v>
      </c>
      <c r="S1773" t="s">
        <v>23</v>
      </c>
      <c r="T1773">
        <v>2</v>
      </c>
      <c r="U1773" t="s">
        <v>52</v>
      </c>
      <c r="V1773" t="s">
        <v>59</v>
      </c>
      <c r="W1773" t="s">
        <v>34</v>
      </c>
    </row>
    <row r="1774" spans="1:23" x14ac:dyDescent="0.3">
      <c r="A1774" t="s">
        <v>3669</v>
      </c>
      <c r="B1774" t="s">
        <v>225</v>
      </c>
      <c r="C1774" t="s">
        <v>192</v>
      </c>
      <c r="D1774" t="s">
        <v>28</v>
      </c>
      <c r="E1774" t="s">
        <v>5137</v>
      </c>
      <c r="F1774" t="s">
        <v>5138</v>
      </c>
      <c r="G1774" t="s">
        <v>18</v>
      </c>
      <c r="H1774" t="s">
        <v>56</v>
      </c>
      <c r="I1774" t="str">
        <f>LEFT(H1774,FIND(" (",H1774)-1)</f>
        <v>Mid</v>
      </c>
      <c r="J1774" t="str">
        <f>MID(H1774,FIND("(",H1774)+1,FIND(")",H1774)-FIND("(",H1774)-1)</f>
        <v>2-5 yrs</v>
      </c>
      <c r="L1774">
        <v>97671</v>
      </c>
      <c r="M1774" t="s">
        <v>3670</v>
      </c>
      <c r="N1774" t="s">
        <v>33</v>
      </c>
      <c r="O1774" t="s">
        <v>44</v>
      </c>
      <c r="P1774" s="1">
        <v>45676</v>
      </c>
      <c r="Q1774">
        <v>636</v>
      </c>
      <c r="R1774">
        <v>1062</v>
      </c>
      <c r="S1774" t="s">
        <v>23</v>
      </c>
      <c r="T1774">
        <v>2</v>
      </c>
      <c r="U1774" t="s">
        <v>45</v>
      </c>
      <c r="V1774" t="s">
        <v>24</v>
      </c>
      <c r="W1774" t="s">
        <v>23</v>
      </c>
    </row>
    <row r="1775" spans="1:23" x14ac:dyDescent="0.3">
      <c r="A1775" t="s">
        <v>3671</v>
      </c>
      <c r="B1775" t="s">
        <v>13</v>
      </c>
      <c r="C1775" t="s">
        <v>226</v>
      </c>
      <c r="D1775" t="s">
        <v>63</v>
      </c>
      <c r="E1775" t="s">
        <v>5134</v>
      </c>
      <c r="F1775" t="s">
        <v>5133</v>
      </c>
      <c r="G1775" t="s">
        <v>18</v>
      </c>
      <c r="H1775" t="s">
        <v>19</v>
      </c>
      <c r="I1775" t="str">
        <f>LEFT(H1775,FIND(" (",H1775)-1)</f>
        <v>Entry</v>
      </c>
      <c r="J1775" t="str">
        <f>MID(H1775,FIND("(",H1775)+1,FIND(")",H1775)-FIND("(",H1775)-1)</f>
        <v>0-2 yrs</v>
      </c>
      <c r="L1775">
        <v>72452</v>
      </c>
      <c r="M1775" t="s">
        <v>3672</v>
      </c>
      <c r="N1775" t="s">
        <v>120</v>
      </c>
      <c r="O1775" t="s">
        <v>51</v>
      </c>
      <c r="P1775" s="1">
        <v>45438</v>
      </c>
      <c r="Q1775">
        <v>1138</v>
      </c>
      <c r="R1775">
        <v>884</v>
      </c>
      <c r="S1775" t="s">
        <v>34</v>
      </c>
      <c r="T1775">
        <v>0</v>
      </c>
      <c r="U1775" t="s">
        <v>83</v>
      </c>
      <c r="V1775" t="s">
        <v>59</v>
      </c>
      <c r="W1775" t="s">
        <v>34</v>
      </c>
    </row>
    <row r="1776" spans="1:23" x14ac:dyDescent="0.3">
      <c r="A1776" t="s">
        <v>3673</v>
      </c>
      <c r="B1776" t="s">
        <v>13</v>
      </c>
      <c r="C1776" t="s">
        <v>146</v>
      </c>
      <c r="D1776" t="s">
        <v>15</v>
      </c>
      <c r="E1776" t="s">
        <v>29</v>
      </c>
      <c r="F1776" t="s">
        <v>30</v>
      </c>
      <c r="G1776" t="s">
        <v>18</v>
      </c>
      <c r="H1776" t="s">
        <v>66</v>
      </c>
      <c r="I1776" t="str">
        <f>LEFT(H1776,FIND(" (",H1776)-1)</f>
        <v>Senior</v>
      </c>
      <c r="J1776" t="str">
        <f>MID(H1776,FIND("(",H1776)+1,FIND(")",H1776)-FIND("(",H1776)-1)</f>
        <v>5-8 yrs</v>
      </c>
      <c r="L1776">
        <v>129953</v>
      </c>
      <c r="M1776" t="s">
        <v>3674</v>
      </c>
      <c r="N1776" t="s">
        <v>21</v>
      </c>
      <c r="O1776" t="s">
        <v>22</v>
      </c>
      <c r="P1776" s="1">
        <v>45416</v>
      </c>
      <c r="Q1776">
        <v>487</v>
      </c>
      <c r="R1776">
        <v>3066</v>
      </c>
      <c r="S1776" t="s">
        <v>34</v>
      </c>
      <c r="T1776">
        <v>4</v>
      </c>
      <c r="U1776" t="s">
        <v>45</v>
      </c>
      <c r="V1776" t="s">
        <v>24</v>
      </c>
      <c r="W1776" t="s">
        <v>34</v>
      </c>
    </row>
    <row r="1777" spans="1:23" x14ac:dyDescent="0.3">
      <c r="A1777" t="s">
        <v>3675</v>
      </c>
      <c r="B1777" t="s">
        <v>85</v>
      </c>
      <c r="C1777" t="s">
        <v>62</v>
      </c>
      <c r="D1777" t="s">
        <v>75</v>
      </c>
      <c r="E1777" t="s">
        <v>5141</v>
      </c>
      <c r="F1777" t="s">
        <v>5133</v>
      </c>
      <c r="G1777" t="s">
        <v>41</v>
      </c>
      <c r="H1777" t="s">
        <v>31</v>
      </c>
      <c r="I1777" t="str">
        <f>LEFT(H1777,FIND(" (",H1777)-1)</f>
        <v>Staff/Principal</v>
      </c>
      <c r="J1777" t="str">
        <f>MID(H1777,FIND("(",H1777)+1,FIND(")",H1777)-FIND("(",H1777)-1)</f>
        <v>8+ yrs</v>
      </c>
      <c r="L1777">
        <v>152479</v>
      </c>
      <c r="M1777" t="s">
        <v>3676</v>
      </c>
      <c r="N1777" t="s">
        <v>94</v>
      </c>
      <c r="O1777" t="s">
        <v>22</v>
      </c>
      <c r="P1777" s="1">
        <v>45569</v>
      </c>
      <c r="Q1777">
        <v>2250</v>
      </c>
      <c r="R1777">
        <v>2106</v>
      </c>
      <c r="S1777" t="s">
        <v>23</v>
      </c>
      <c r="T1777">
        <v>6</v>
      </c>
      <c r="U1777" t="s">
        <v>52</v>
      </c>
      <c r="V1777" t="s">
        <v>24</v>
      </c>
      <c r="W1777" t="s">
        <v>23</v>
      </c>
    </row>
    <row r="1778" spans="1:23" x14ac:dyDescent="0.3">
      <c r="A1778" t="s">
        <v>3677</v>
      </c>
      <c r="B1778" t="s">
        <v>61</v>
      </c>
      <c r="C1778" t="s">
        <v>239</v>
      </c>
      <c r="D1778" t="s">
        <v>38</v>
      </c>
      <c r="E1778" t="s">
        <v>216</v>
      </c>
      <c r="F1778" t="s">
        <v>217</v>
      </c>
      <c r="G1778" t="s">
        <v>18</v>
      </c>
      <c r="H1778" t="s">
        <v>31</v>
      </c>
      <c r="I1778" t="str">
        <f>LEFT(H1778,FIND(" (",H1778)-1)</f>
        <v>Staff/Principal</v>
      </c>
      <c r="J1778" t="str">
        <f>MID(H1778,FIND("(",H1778)+1,FIND(")",H1778)-FIND("(",H1778)-1)</f>
        <v>8+ yrs</v>
      </c>
      <c r="L1778">
        <v>177976</v>
      </c>
      <c r="M1778" t="s">
        <v>3678</v>
      </c>
      <c r="N1778" t="s">
        <v>33</v>
      </c>
      <c r="O1778" t="s">
        <v>22</v>
      </c>
      <c r="P1778" s="1">
        <v>45525</v>
      </c>
      <c r="Q1778">
        <v>956</v>
      </c>
      <c r="R1778">
        <v>695</v>
      </c>
      <c r="S1778" t="s">
        <v>34</v>
      </c>
      <c r="T1778">
        <v>6</v>
      </c>
      <c r="U1778" t="s">
        <v>83</v>
      </c>
      <c r="V1778" t="s">
        <v>24</v>
      </c>
      <c r="W1778" t="s">
        <v>23</v>
      </c>
    </row>
    <row r="1779" spans="1:23" x14ac:dyDescent="0.3">
      <c r="A1779" t="s">
        <v>3679</v>
      </c>
      <c r="B1779" t="s">
        <v>172</v>
      </c>
      <c r="C1779" t="s">
        <v>86</v>
      </c>
      <c r="D1779" t="s">
        <v>75</v>
      </c>
      <c r="E1779" t="s">
        <v>230</v>
      </c>
      <c r="F1779" t="s">
        <v>231</v>
      </c>
      <c r="G1779" t="s">
        <v>41</v>
      </c>
      <c r="H1779" t="s">
        <v>19</v>
      </c>
      <c r="I1779" t="str">
        <f>LEFT(H1779,FIND(" (",H1779)-1)</f>
        <v>Entry</v>
      </c>
      <c r="J1779" t="str">
        <f>MID(H1779,FIND("(",H1779)+1,FIND(")",H1779)-FIND("(",H1779)-1)</f>
        <v>0-2 yrs</v>
      </c>
      <c r="L1779">
        <v>69533</v>
      </c>
      <c r="M1779" t="s">
        <v>3680</v>
      </c>
      <c r="N1779" t="s">
        <v>33</v>
      </c>
      <c r="O1779" t="s">
        <v>22</v>
      </c>
      <c r="P1779" s="1">
        <v>45643</v>
      </c>
      <c r="Q1779">
        <v>1923</v>
      </c>
      <c r="R1779">
        <v>2285</v>
      </c>
      <c r="S1779" t="s">
        <v>23</v>
      </c>
      <c r="T1779">
        <v>0</v>
      </c>
      <c r="U1779" t="s">
        <v>58</v>
      </c>
      <c r="V1779" t="s">
        <v>24</v>
      </c>
      <c r="W1779" t="s">
        <v>23</v>
      </c>
    </row>
    <row r="1780" spans="1:23" x14ac:dyDescent="0.3">
      <c r="A1780" t="s">
        <v>3681</v>
      </c>
      <c r="B1780" t="s">
        <v>36</v>
      </c>
      <c r="C1780" t="s">
        <v>54</v>
      </c>
      <c r="D1780" t="s">
        <v>125</v>
      </c>
      <c r="E1780" t="s">
        <v>39</v>
      </c>
      <c r="F1780" t="s">
        <v>40</v>
      </c>
      <c r="G1780" t="s">
        <v>18</v>
      </c>
      <c r="H1780" t="s">
        <v>19</v>
      </c>
      <c r="I1780" t="str">
        <f>LEFT(H1780,FIND(" (",H1780)-1)</f>
        <v>Entry</v>
      </c>
      <c r="J1780" t="str">
        <f>MID(H1780,FIND("(",H1780)+1,FIND(")",H1780)-FIND("(",H1780)-1)</f>
        <v>0-2 yrs</v>
      </c>
      <c r="L1780">
        <v>64590</v>
      </c>
      <c r="M1780" t="s">
        <v>3682</v>
      </c>
      <c r="N1780" t="s">
        <v>89</v>
      </c>
      <c r="O1780" t="s">
        <v>22</v>
      </c>
      <c r="P1780" s="1">
        <v>45498</v>
      </c>
      <c r="Q1780">
        <v>933</v>
      </c>
      <c r="R1780">
        <v>502</v>
      </c>
      <c r="S1780" t="s">
        <v>99</v>
      </c>
      <c r="T1780">
        <v>0</v>
      </c>
      <c r="U1780" t="s">
        <v>52</v>
      </c>
      <c r="V1780" t="s">
        <v>59</v>
      </c>
      <c r="W1780" t="s">
        <v>23</v>
      </c>
    </row>
    <row r="1781" spans="1:23" x14ac:dyDescent="0.3">
      <c r="A1781" t="s">
        <v>3683</v>
      </c>
      <c r="B1781" t="s">
        <v>61</v>
      </c>
      <c r="C1781" t="s">
        <v>209</v>
      </c>
      <c r="D1781" t="s">
        <v>147</v>
      </c>
      <c r="E1781" t="s">
        <v>200</v>
      </c>
      <c r="F1781" t="s">
        <v>201</v>
      </c>
      <c r="G1781" t="s">
        <v>55</v>
      </c>
      <c r="H1781" t="s">
        <v>19</v>
      </c>
      <c r="I1781" t="str">
        <f>LEFT(H1781,FIND(" (",H1781)-1)</f>
        <v>Entry</v>
      </c>
      <c r="J1781" t="str">
        <f>MID(H1781,FIND("(",H1781)+1,FIND(")",H1781)-FIND("(",H1781)-1)</f>
        <v>0-2 yrs</v>
      </c>
      <c r="L1781">
        <v>61275</v>
      </c>
      <c r="M1781" t="s">
        <v>3684</v>
      </c>
      <c r="N1781" t="s">
        <v>33</v>
      </c>
      <c r="O1781" t="s">
        <v>22</v>
      </c>
      <c r="P1781" s="1">
        <v>45400</v>
      </c>
      <c r="Q1781">
        <v>1182</v>
      </c>
      <c r="R1781">
        <v>2462</v>
      </c>
      <c r="S1781" t="s">
        <v>34</v>
      </c>
      <c r="T1781">
        <v>0</v>
      </c>
      <c r="U1781" t="s">
        <v>5123</v>
      </c>
      <c r="V1781" t="s">
        <v>59</v>
      </c>
      <c r="W1781" t="s">
        <v>23</v>
      </c>
    </row>
    <row r="1782" spans="1:23" x14ac:dyDescent="0.3">
      <c r="A1782" t="s">
        <v>3685</v>
      </c>
      <c r="B1782" t="s">
        <v>225</v>
      </c>
      <c r="C1782" t="s">
        <v>132</v>
      </c>
      <c r="D1782" t="s">
        <v>28</v>
      </c>
      <c r="E1782" t="s">
        <v>200</v>
      </c>
      <c r="F1782" t="s">
        <v>201</v>
      </c>
      <c r="G1782" t="s">
        <v>18</v>
      </c>
      <c r="H1782" t="s">
        <v>31</v>
      </c>
      <c r="I1782" t="str">
        <f>LEFT(H1782,FIND(" (",H1782)-1)</f>
        <v>Staff/Principal</v>
      </c>
      <c r="J1782" t="str">
        <f>MID(H1782,FIND("(",H1782)+1,FIND(")",H1782)-FIND("(",H1782)-1)</f>
        <v>8+ yrs</v>
      </c>
      <c r="L1782">
        <v>149372</v>
      </c>
      <c r="M1782" t="s">
        <v>3686</v>
      </c>
      <c r="N1782" t="s">
        <v>33</v>
      </c>
      <c r="O1782" t="s">
        <v>51</v>
      </c>
      <c r="P1782" s="1">
        <v>45681</v>
      </c>
      <c r="Q1782">
        <v>1248</v>
      </c>
      <c r="R1782">
        <v>397</v>
      </c>
      <c r="S1782" t="s">
        <v>34</v>
      </c>
      <c r="T1782">
        <v>6</v>
      </c>
      <c r="U1782" t="s">
        <v>45</v>
      </c>
      <c r="V1782" t="s">
        <v>24</v>
      </c>
      <c r="W1782" t="s">
        <v>34</v>
      </c>
    </row>
    <row r="1783" spans="1:23" x14ac:dyDescent="0.3">
      <c r="A1783" t="s">
        <v>3687</v>
      </c>
      <c r="B1783" t="s">
        <v>236</v>
      </c>
      <c r="C1783" t="s">
        <v>226</v>
      </c>
      <c r="D1783" t="s">
        <v>49</v>
      </c>
      <c r="E1783" t="s">
        <v>200</v>
      </c>
      <c r="F1783" t="s">
        <v>201</v>
      </c>
      <c r="G1783" t="s">
        <v>55</v>
      </c>
      <c r="H1783" t="s">
        <v>66</v>
      </c>
      <c r="I1783" t="str">
        <f>LEFT(H1783,FIND(" (",H1783)-1)</f>
        <v>Senior</v>
      </c>
      <c r="J1783" t="str">
        <f>MID(H1783,FIND("(",H1783)+1,FIND(")",H1783)-FIND("(",H1783)-1)</f>
        <v>5-8 yrs</v>
      </c>
      <c r="L1783">
        <v>147756</v>
      </c>
      <c r="M1783" t="s">
        <v>3688</v>
      </c>
      <c r="N1783" t="s">
        <v>141</v>
      </c>
      <c r="O1783" t="s">
        <v>22</v>
      </c>
      <c r="P1783" s="1">
        <v>45579</v>
      </c>
      <c r="Q1783">
        <v>1370</v>
      </c>
      <c r="R1783">
        <v>752</v>
      </c>
      <c r="S1783" t="s">
        <v>34</v>
      </c>
      <c r="T1783">
        <v>4</v>
      </c>
      <c r="U1783" t="s">
        <v>58</v>
      </c>
      <c r="V1783" t="s">
        <v>59</v>
      </c>
      <c r="W1783" t="s">
        <v>23</v>
      </c>
    </row>
    <row r="1784" spans="1:23" x14ac:dyDescent="0.3">
      <c r="A1784" t="s">
        <v>3689</v>
      </c>
      <c r="B1784" t="s">
        <v>70</v>
      </c>
      <c r="C1784" t="s">
        <v>101</v>
      </c>
      <c r="D1784" t="s">
        <v>49</v>
      </c>
      <c r="E1784" t="s">
        <v>5140</v>
      </c>
      <c r="F1784" t="s">
        <v>5133</v>
      </c>
      <c r="G1784" t="s">
        <v>18</v>
      </c>
      <c r="H1784" t="s">
        <v>31</v>
      </c>
      <c r="I1784" t="str">
        <f>LEFT(H1784,FIND(" (",H1784)-1)</f>
        <v>Staff/Principal</v>
      </c>
      <c r="J1784" t="str">
        <f>MID(H1784,FIND("(",H1784)+1,FIND(")",H1784)-FIND("(",H1784)-1)</f>
        <v>8+ yrs</v>
      </c>
      <c r="L1784">
        <v>145830</v>
      </c>
      <c r="M1784" t="s">
        <v>3690</v>
      </c>
      <c r="N1784" t="s">
        <v>33</v>
      </c>
      <c r="O1784" t="s">
        <v>51</v>
      </c>
      <c r="P1784" s="1">
        <v>45655</v>
      </c>
      <c r="Q1784">
        <v>1684</v>
      </c>
      <c r="R1784">
        <v>2383</v>
      </c>
      <c r="S1784" t="s">
        <v>23</v>
      </c>
      <c r="T1784">
        <v>6</v>
      </c>
      <c r="U1784" t="s">
        <v>45</v>
      </c>
      <c r="V1784" t="s">
        <v>59</v>
      </c>
      <c r="W1784" t="s">
        <v>23</v>
      </c>
    </row>
    <row r="1785" spans="1:23" x14ac:dyDescent="0.3">
      <c r="A1785" t="s">
        <v>3691</v>
      </c>
      <c r="B1785" t="s">
        <v>225</v>
      </c>
      <c r="C1785" t="s">
        <v>27</v>
      </c>
      <c r="D1785" t="s">
        <v>111</v>
      </c>
      <c r="E1785" t="s">
        <v>102</v>
      </c>
      <c r="F1785" t="s">
        <v>103</v>
      </c>
      <c r="G1785" t="s">
        <v>18</v>
      </c>
      <c r="H1785" t="s">
        <v>66</v>
      </c>
      <c r="I1785" t="str">
        <f>LEFT(H1785,FIND(" (",H1785)-1)</f>
        <v>Senior</v>
      </c>
      <c r="J1785" t="str">
        <f>MID(H1785,FIND("(",H1785)+1,FIND(")",H1785)-FIND("(",H1785)-1)</f>
        <v>5-8 yrs</v>
      </c>
      <c r="L1785">
        <v>170521</v>
      </c>
      <c r="M1785" t="s">
        <v>3692</v>
      </c>
      <c r="N1785" t="s">
        <v>141</v>
      </c>
      <c r="O1785" t="s">
        <v>51</v>
      </c>
      <c r="P1785" s="1">
        <v>45418</v>
      </c>
      <c r="Q1785">
        <v>2302</v>
      </c>
      <c r="R1785">
        <v>1647</v>
      </c>
      <c r="S1785" t="s">
        <v>23</v>
      </c>
      <c r="T1785">
        <v>4</v>
      </c>
      <c r="U1785" t="s">
        <v>83</v>
      </c>
      <c r="V1785" t="s">
        <v>24</v>
      </c>
      <c r="W1785" t="s">
        <v>23</v>
      </c>
    </row>
    <row r="1786" spans="1:23" x14ac:dyDescent="0.3">
      <c r="A1786" t="s">
        <v>3693</v>
      </c>
      <c r="B1786" t="s">
        <v>143</v>
      </c>
      <c r="C1786" t="s">
        <v>173</v>
      </c>
      <c r="D1786" t="s">
        <v>111</v>
      </c>
      <c r="E1786" t="s">
        <v>5141</v>
      </c>
      <c r="F1786" t="s">
        <v>5133</v>
      </c>
      <c r="G1786" t="s">
        <v>41</v>
      </c>
      <c r="H1786" t="s">
        <v>56</v>
      </c>
      <c r="I1786" t="str">
        <f>LEFT(H1786,FIND(" (",H1786)-1)</f>
        <v>Mid</v>
      </c>
      <c r="J1786" t="str">
        <f>MID(H1786,FIND("(",H1786)+1,FIND(")",H1786)-FIND("(",H1786)-1)</f>
        <v>2-5 yrs</v>
      </c>
      <c r="L1786">
        <v>111632</v>
      </c>
      <c r="M1786" t="s">
        <v>3694</v>
      </c>
      <c r="N1786" t="s">
        <v>89</v>
      </c>
      <c r="O1786" t="s">
        <v>22</v>
      </c>
      <c r="P1786" s="1">
        <v>45509</v>
      </c>
      <c r="Q1786">
        <v>1717</v>
      </c>
      <c r="R1786">
        <v>911</v>
      </c>
      <c r="S1786" t="s">
        <v>23</v>
      </c>
      <c r="T1786">
        <v>2</v>
      </c>
      <c r="U1786" t="s">
        <v>83</v>
      </c>
      <c r="V1786" t="s">
        <v>24</v>
      </c>
      <c r="W1786" t="s">
        <v>23</v>
      </c>
    </row>
    <row r="1787" spans="1:23" x14ac:dyDescent="0.3">
      <c r="A1787" t="s">
        <v>3695</v>
      </c>
      <c r="B1787" t="s">
        <v>26</v>
      </c>
      <c r="C1787" t="s">
        <v>128</v>
      </c>
      <c r="D1787" t="s">
        <v>147</v>
      </c>
      <c r="E1787" t="s">
        <v>102</v>
      </c>
      <c r="F1787" t="s">
        <v>103</v>
      </c>
      <c r="G1787" t="s">
        <v>18</v>
      </c>
      <c r="H1787" t="s">
        <v>66</v>
      </c>
      <c r="I1787" t="str">
        <f>LEFT(H1787,FIND(" (",H1787)-1)</f>
        <v>Senior</v>
      </c>
      <c r="J1787" t="str">
        <f>MID(H1787,FIND("(",H1787)+1,FIND(")",H1787)-FIND("(",H1787)-1)</f>
        <v>5-8 yrs</v>
      </c>
      <c r="L1787">
        <v>110646</v>
      </c>
      <c r="M1787" t="s">
        <v>3696</v>
      </c>
      <c r="N1787" t="s">
        <v>33</v>
      </c>
      <c r="O1787" t="s">
        <v>22</v>
      </c>
      <c r="P1787" s="1">
        <v>45543</v>
      </c>
      <c r="Q1787">
        <v>412</v>
      </c>
      <c r="R1787">
        <v>145</v>
      </c>
      <c r="S1787" t="s">
        <v>34</v>
      </c>
      <c r="T1787">
        <v>4</v>
      </c>
      <c r="U1787" t="s">
        <v>5123</v>
      </c>
      <c r="V1787" t="s">
        <v>24</v>
      </c>
      <c r="W1787" t="s">
        <v>34</v>
      </c>
    </row>
    <row r="1788" spans="1:23" x14ac:dyDescent="0.3">
      <c r="A1788" t="s">
        <v>3697</v>
      </c>
      <c r="B1788" t="s">
        <v>81</v>
      </c>
      <c r="C1788" t="s">
        <v>173</v>
      </c>
      <c r="D1788" t="s">
        <v>111</v>
      </c>
      <c r="E1788" t="s">
        <v>230</v>
      </c>
      <c r="F1788" t="s">
        <v>231</v>
      </c>
      <c r="G1788" t="s">
        <v>18</v>
      </c>
      <c r="H1788" t="s">
        <v>19</v>
      </c>
      <c r="I1788" t="str">
        <f>LEFT(H1788,FIND(" (",H1788)-1)</f>
        <v>Entry</v>
      </c>
      <c r="J1788" t="str">
        <f>MID(H1788,FIND("(",H1788)+1,FIND(")",H1788)-FIND("(",H1788)-1)</f>
        <v>0-2 yrs</v>
      </c>
      <c r="L1788">
        <v>66103</v>
      </c>
      <c r="M1788" t="s">
        <v>3698</v>
      </c>
      <c r="N1788" t="s">
        <v>149</v>
      </c>
      <c r="O1788" t="s">
        <v>51</v>
      </c>
      <c r="P1788" s="1">
        <v>45675</v>
      </c>
      <c r="Q1788">
        <v>656</v>
      </c>
      <c r="R1788">
        <v>20</v>
      </c>
      <c r="S1788" t="s">
        <v>99</v>
      </c>
      <c r="T1788">
        <v>0</v>
      </c>
      <c r="U1788" t="s">
        <v>83</v>
      </c>
      <c r="V1788" t="s">
        <v>46</v>
      </c>
      <c r="W1788" t="s">
        <v>34</v>
      </c>
    </row>
    <row r="1789" spans="1:23" x14ac:dyDescent="0.3">
      <c r="A1789" t="s">
        <v>3699</v>
      </c>
      <c r="B1789" t="s">
        <v>137</v>
      </c>
      <c r="C1789" t="s">
        <v>27</v>
      </c>
      <c r="D1789" t="s">
        <v>63</v>
      </c>
      <c r="E1789" t="s">
        <v>39</v>
      </c>
      <c r="F1789" t="s">
        <v>40</v>
      </c>
      <c r="G1789" t="s">
        <v>41</v>
      </c>
      <c r="H1789" t="s">
        <v>66</v>
      </c>
      <c r="I1789" t="str">
        <f>LEFT(H1789,FIND(" (",H1789)-1)</f>
        <v>Senior</v>
      </c>
      <c r="J1789" t="str">
        <f>MID(H1789,FIND("(",H1789)+1,FIND(")",H1789)-FIND("(",H1789)-1)</f>
        <v>5-8 yrs</v>
      </c>
      <c r="L1789">
        <v>129691</v>
      </c>
      <c r="M1789" t="s">
        <v>3700</v>
      </c>
      <c r="N1789" t="s">
        <v>149</v>
      </c>
      <c r="O1789" t="s">
        <v>22</v>
      </c>
      <c r="P1789" s="1">
        <v>45301</v>
      </c>
      <c r="Q1789">
        <v>409</v>
      </c>
      <c r="R1789">
        <v>1572</v>
      </c>
      <c r="S1789" t="s">
        <v>23</v>
      </c>
      <c r="T1789">
        <v>4</v>
      </c>
      <c r="U1789" t="s">
        <v>83</v>
      </c>
      <c r="V1789" t="s">
        <v>24</v>
      </c>
      <c r="W1789" t="s">
        <v>23</v>
      </c>
    </row>
    <row r="1790" spans="1:23" x14ac:dyDescent="0.3">
      <c r="A1790" t="s">
        <v>3701</v>
      </c>
      <c r="B1790" t="s">
        <v>137</v>
      </c>
      <c r="C1790" t="s">
        <v>179</v>
      </c>
      <c r="D1790" t="s">
        <v>38</v>
      </c>
      <c r="E1790" t="s">
        <v>102</v>
      </c>
      <c r="F1790" t="s">
        <v>103</v>
      </c>
      <c r="G1790" t="s">
        <v>55</v>
      </c>
      <c r="H1790" t="s">
        <v>31</v>
      </c>
      <c r="I1790" t="str">
        <f>LEFT(H1790,FIND(" (",H1790)-1)</f>
        <v>Staff/Principal</v>
      </c>
      <c r="J1790" t="str">
        <f>MID(H1790,FIND("(",H1790)+1,FIND(")",H1790)-FIND("(",H1790)-1)</f>
        <v>8+ yrs</v>
      </c>
      <c r="L1790">
        <v>211490</v>
      </c>
      <c r="M1790" t="s">
        <v>3702</v>
      </c>
      <c r="N1790" t="s">
        <v>141</v>
      </c>
      <c r="O1790" t="s">
        <v>51</v>
      </c>
      <c r="P1790" s="1">
        <v>45591</v>
      </c>
      <c r="Q1790">
        <v>534</v>
      </c>
      <c r="R1790">
        <v>1500</v>
      </c>
      <c r="S1790" t="s">
        <v>23</v>
      </c>
      <c r="T1790">
        <v>6</v>
      </c>
      <c r="U1790" t="s">
        <v>58</v>
      </c>
      <c r="V1790" t="s">
        <v>24</v>
      </c>
      <c r="W1790" t="s">
        <v>34</v>
      </c>
    </row>
    <row r="1791" spans="1:23" x14ac:dyDescent="0.3">
      <c r="A1791" t="s">
        <v>3703</v>
      </c>
      <c r="B1791" t="s">
        <v>222</v>
      </c>
      <c r="C1791" t="s">
        <v>239</v>
      </c>
      <c r="D1791" t="s">
        <v>63</v>
      </c>
      <c r="E1791" t="s">
        <v>5141</v>
      </c>
      <c r="F1791" t="s">
        <v>5133</v>
      </c>
      <c r="G1791" t="s">
        <v>41</v>
      </c>
      <c r="H1791" t="s">
        <v>66</v>
      </c>
      <c r="I1791" t="str">
        <f>LEFT(H1791,FIND(" (",H1791)-1)</f>
        <v>Senior</v>
      </c>
      <c r="J1791" t="str">
        <f>MID(H1791,FIND("(",H1791)+1,FIND(")",H1791)-FIND("(",H1791)-1)</f>
        <v>5-8 yrs</v>
      </c>
      <c r="L1791">
        <v>186192</v>
      </c>
      <c r="M1791" t="s">
        <v>3704</v>
      </c>
      <c r="N1791" t="s">
        <v>43</v>
      </c>
      <c r="O1791" t="s">
        <v>51</v>
      </c>
      <c r="P1791" s="1">
        <v>45532</v>
      </c>
      <c r="Q1791">
        <v>942</v>
      </c>
      <c r="R1791">
        <v>3156</v>
      </c>
      <c r="S1791" t="s">
        <v>99</v>
      </c>
      <c r="T1791">
        <v>4</v>
      </c>
      <c r="U1791" t="s">
        <v>58</v>
      </c>
      <c r="V1791" t="s">
        <v>24</v>
      </c>
      <c r="W1791" t="s">
        <v>34</v>
      </c>
    </row>
    <row r="1792" spans="1:23" x14ac:dyDescent="0.3">
      <c r="A1792" t="s">
        <v>3705</v>
      </c>
      <c r="B1792" t="s">
        <v>236</v>
      </c>
      <c r="C1792" t="s">
        <v>14</v>
      </c>
      <c r="D1792" t="s">
        <v>75</v>
      </c>
      <c r="E1792" t="s">
        <v>216</v>
      </c>
      <c r="F1792" t="s">
        <v>217</v>
      </c>
      <c r="G1792" t="s">
        <v>18</v>
      </c>
      <c r="H1792" t="s">
        <v>66</v>
      </c>
      <c r="I1792" t="str">
        <f>LEFT(H1792,FIND(" (",H1792)-1)</f>
        <v>Senior</v>
      </c>
      <c r="J1792" t="str">
        <f>MID(H1792,FIND("(",H1792)+1,FIND(")",H1792)-FIND("(",H1792)-1)</f>
        <v>5-8 yrs</v>
      </c>
      <c r="L1792">
        <v>99370</v>
      </c>
      <c r="M1792" t="s">
        <v>3706</v>
      </c>
      <c r="N1792" t="s">
        <v>21</v>
      </c>
      <c r="O1792" t="s">
        <v>51</v>
      </c>
      <c r="P1792" s="1">
        <v>45530</v>
      </c>
      <c r="Q1792">
        <v>2382</v>
      </c>
      <c r="R1792">
        <v>2270</v>
      </c>
      <c r="S1792" t="s">
        <v>23</v>
      </c>
      <c r="T1792">
        <v>4</v>
      </c>
      <c r="U1792" t="s">
        <v>83</v>
      </c>
      <c r="V1792" t="s">
        <v>24</v>
      </c>
      <c r="W1792" t="s">
        <v>34</v>
      </c>
    </row>
    <row r="1793" spans="1:23" x14ac:dyDescent="0.3">
      <c r="A1793" t="s">
        <v>3707</v>
      </c>
      <c r="B1793" t="s">
        <v>131</v>
      </c>
      <c r="C1793" t="s">
        <v>128</v>
      </c>
      <c r="D1793" t="s">
        <v>147</v>
      </c>
      <c r="E1793" t="s">
        <v>216</v>
      </c>
      <c r="F1793" t="s">
        <v>217</v>
      </c>
      <c r="G1793" t="s">
        <v>41</v>
      </c>
      <c r="H1793" t="s">
        <v>66</v>
      </c>
      <c r="I1793" t="str">
        <f>LEFT(H1793,FIND(" (",H1793)-1)</f>
        <v>Senior</v>
      </c>
      <c r="J1793" t="str">
        <f>MID(H1793,FIND("(",H1793)+1,FIND(")",H1793)-FIND("(",H1793)-1)</f>
        <v>5-8 yrs</v>
      </c>
      <c r="L1793">
        <v>153105</v>
      </c>
      <c r="M1793" t="s">
        <v>3708</v>
      </c>
      <c r="N1793" t="s">
        <v>33</v>
      </c>
      <c r="O1793" t="s">
        <v>22</v>
      </c>
      <c r="P1793" s="1">
        <v>45469</v>
      </c>
      <c r="Q1793">
        <v>2332</v>
      </c>
      <c r="R1793">
        <v>219</v>
      </c>
      <c r="S1793" t="s">
        <v>34</v>
      </c>
      <c r="T1793">
        <v>4</v>
      </c>
      <c r="U1793" t="s">
        <v>52</v>
      </c>
      <c r="V1793" t="s">
        <v>24</v>
      </c>
      <c r="W1793" t="s">
        <v>34</v>
      </c>
    </row>
    <row r="1794" spans="1:23" x14ac:dyDescent="0.3">
      <c r="A1794" t="s">
        <v>3709</v>
      </c>
      <c r="B1794" t="s">
        <v>96</v>
      </c>
      <c r="C1794" t="s">
        <v>54</v>
      </c>
      <c r="D1794" t="s">
        <v>111</v>
      </c>
      <c r="E1794" t="s">
        <v>5141</v>
      </c>
      <c r="F1794" t="s">
        <v>5133</v>
      </c>
      <c r="G1794" t="s">
        <v>41</v>
      </c>
      <c r="H1794" t="s">
        <v>31</v>
      </c>
      <c r="I1794" t="str">
        <f>LEFT(H1794,FIND(" (",H1794)-1)</f>
        <v>Staff/Principal</v>
      </c>
      <c r="J1794" t="str">
        <f>MID(H1794,FIND("(",H1794)+1,FIND(")",H1794)-FIND("(",H1794)-1)</f>
        <v>8+ yrs</v>
      </c>
      <c r="L1794">
        <v>194235</v>
      </c>
      <c r="M1794" t="s">
        <v>3710</v>
      </c>
      <c r="N1794" t="s">
        <v>33</v>
      </c>
      <c r="O1794" t="s">
        <v>22</v>
      </c>
      <c r="P1794" s="1">
        <v>45705</v>
      </c>
      <c r="Q1794">
        <v>1385</v>
      </c>
      <c r="R1794">
        <v>3993</v>
      </c>
      <c r="S1794" t="s">
        <v>23</v>
      </c>
      <c r="T1794">
        <v>6</v>
      </c>
      <c r="U1794" t="s">
        <v>5123</v>
      </c>
      <c r="V1794" t="s">
        <v>24</v>
      </c>
      <c r="W1794" t="s">
        <v>23</v>
      </c>
    </row>
    <row r="1795" spans="1:23" x14ac:dyDescent="0.3">
      <c r="A1795" t="s">
        <v>3711</v>
      </c>
      <c r="B1795" t="s">
        <v>91</v>
      </c>
      <c r="C1795" t="s">
        <v>92</v>
      </c>
      <c r="D1795" t="s">
        <v>63</v>
      </c>
      <c r="E1795" t="s">
        <v>39</v>
      </c>
      <c r="F1795" t="s">
        <v>40</v>
      </c>
      <c r="G1795" t="s">
        <v>55</v>
      </c>
      <c r="H1795" t="s">
        <v>66</v>
      </c>
      <c r="I1795" t="str">
        <f>LEFT(H1795,FIND(" (",H1795)-1)</f>
        <v>Senior</v>
      </c>
      <c r="J1795" t="str">
        <f>MID(H1795,FIND("(",H1795)+1,FIND(")",H1795)-FIND("(",H1795)-1)</f>
        <v>5-8 yrs</v>
      </c>
      <c r="L1795">
        <v>168126</v>
      </c>
      <c r="M1795" t="s">
        <v>3712</v>
      </c>
      <c r="N1795" t="s">
        <v>43</v>
      </c>
      <c r="O1795" t="s">
        <v>51</v>
      </c>
      <c r="P1795" s="1">
        <v>45734</v>
      </c>
      <c r="Q1795">
        <v>322</v>
      </c>
      <c r="R1795">
        <v>2300</v>
      </c>
      <c r="S1795" t="s">
        <v>23</v>
      </c>
      <c r="T1795">
        <v>4</v>
      </c>
      <c r="U1795" t="s">
        <v>83</v>
      </c>
      <c r="V1795" t="s">
        <v>24</v>
      </c>
      <c r="W1795" t="s">
        <v>34</v>
      </c>
    </row>
    <row r="1796" spans="1:23" x14ac:dyDescent="0.3">
      <c r="A1796" t="s">
        <v>3713</v>
      </c>
      <c r="B1796" t="s">
        <v>91</v>
      </c>
      <c r="C1796" t="s">
        <v>192</v>
      </c>
      <c r="D1796" t="s">
        <v>75</v>
      </c>
      <c r="E1796" t="s">
        <v>5132</v>
      </c>
      <c r="F1796" t="s">
        <v>5133</v>
      </c>
      <c r="G1796" t="s">
        <v>55</v>
      </c>
      <c r="H1796" t="s">
        <v>66</v>
      </c>
      <c r="I1796" t="str">
        <f>LEFT(H1796,FIND(" (",H1796)-1)</f>
        <v>Senior</v>
      </c>
      <c r="J1796" t="str">
        <f>MID(H1796,FIND("(",H1796)+1,FIND(")",H1796)-FIND("(",H1796)-1)</f>
        <v>5-8 yrs</v>
      </c>
      <c r="L1796">
        <v>155756</v>
      </c>
      <c r="M1796" t="s">
        <v>3714</v>
      </c>
      <c r="N1796" t="s">
        <v>33</v>
      </c>
      <c r="O1796" t="s">
        <v>22</v>
      </c>
      <c r="P1796" s="1">
        <v>45413</v>
      </c>
      <c r="Q1796">
        <v>1240</v>
      </c>
      <c r="R1796">
        <v>2189</v>
      </c>
      <c r="S1796" t="s">
        <v>34</v>
      </c>
      <c r="T1796">
        <v>4</v>
      </c>
      <c r="U1796" t="s">
        <v>83</v>
      </c>
      <c r="V1796" t="s">
        <v>24</v>
      </c>
      <c r="W1796" t="s">
        <v>34</v>
      </c>
    </row>
    <row r="1797" spans="1:23" x14ac:dyDescent="0.3">
      <c r="A1797" t="s">
        <v>3715</v>
      </c>
      <c r="B1797" t="s">
        <v>106</v>
      </c>
      <c r="C1797" t="s">
        <v>124</v>
      </c>
      <c r="D1797" t="s">
        <v>63</v>
      </c>
      <c r="E1797" t="s">
        <v>216</v>
      </c>
      <c r="F1797" t="s">
        <v>217</v>
      </c>
      <c r="G1797" t="s">
        <v>18</v>
      </c>
      <c r="H1797" t="s">
        <v>56</v>
      </c>
      <c r="I1797" t="str">
        <f>LEFT(H1797,FIND(" (",H1797)-1)</f>
        <v>Mid</v>
      </c>
      <c r="J1797" t="str">
        <f>MID(H1797,FIND("(",H1797)+1,FIND(")",H1797)-FIND("(",H1797)-1)</f>
        <v>2-5 yrs</v>
      </c>
      <c r="L1797">
        <v>95111</v>
      </c>
      <c r="M1797" t="s">
        <v>3716</v>
      </c>
      <c r="N1797" t="s">
        <v>33</v>
      </c>
      <c r="O1797" t="s">
        <v>22</v>
      </c>
      <c r="P1797" s="1">
        <v>45500</v>
      </c>
      <c r="Q1797">
        <v>1156</v>
      </c>
      <c r="R1797">
        <v>236</v>
      </c>
      <c r="S1797" t="s">
        <v>99</v>
      </c>
      <c r="T1797">
        <v>2</v>
      </c>
      <c r="U1797" t="s">
        <v>45</v>
      </c>
      <c r="V1797" t="s">
        <v>24</v>
      </c>
      <c r="W1797" t="s">
        <v>34</v>
      </c>
    </row>
    <row r="1798" spans="1:23" x14ac:dyDescent="0.3">
      <c r="A1798" t="s">
        <v>3717</v>
      </c>
      <c r="B1798" t="s">
        <v>137</v>
      </c>
      <c r="C1798" t="s">
        <v>86</v>
      </c>
      <c r="D1798" t="s">
        <v>125</v>
      </c>
      <c r="E1798" t="s">
        <v>102</v>
      </c>
      <c r="F1798" t="s">
        <v>103</v>
      </c>
      <c r="G1798" t="s">
        <v>55</v>
      </c>
      <c r="H1798" t="s">
        <v>56</v>
      </c>
      <c r="I1798" t="str">
        <f>LEFT(H1798,FIND(" (",H1798)-1)</f>
        <v>Mid</v>
      </c>
      <c r="J1798" t="str">
        <f>MID(H1798,FIND("(",H1798)+1,FIND(")",H1798)-FIND("(",H1798)-1)</f>
        <v>2-5 yrs</v>
      </c>
      <c r="L1798">
        <v>103682</v>
      </c>
      <c r="M1798" t="s">
        <v>3718</v>
      </c>
      <c r="N1798" t="s">
        <v>33</v>
      </c>
      <c r="O1798" t="s">
        <v>51</v>
      </c>
      <c r="P1798" s="1">
        <v>45653</v>
      </c>
      <c r="Q1798">
        <v>2415</v>
      </c>
      <c r="R1798">
        <v>953</v>
      </c>
      <c r="S1798" t="s">
        <v>99</v>
      </c>
      <c r="T1798">
        <v>2</v>
      </c>
      <c r="U1798" t="s">
        <v>58</v>
      </c>
      <c r="V1798" t="s">
        <v>24</v>
      </c>
      <c r="W1798" t="s">
        <v>34</v>
      </c>
    </row>
    <row r="1799" spans="1:23" x14ac:dyDescent="0.3">
      <c r="A1799" t="s">
        <v>3719</v>
      </c>
      <c r="B1799" t="s">
        <v>106</v>
      </c>
      <c r="C1799" t="s">
        <v>128</v>
      </c>
      <c r="D1799" t="s">
        <v>125</v>
      </c>
      <c r="E1799" t="s">
        <v>5134</v>
      </c>
      <c r="F1799" t="s">
        <v>5133</v>
      </c>
      <c r="G1799" t="s">
        <v>41</v>
      </c>
      <c r="H1799" t="s">
        <v>66</v>
      </c>
      <c r="I1799" t="str">
        <f>LEFT(H1799,FIND(" (",H1799)-1)</f>
        <v>Senior</v>
      </c>
      <c r="J1799" t="str">
        <f>MID(H1799,FIND("(",H1799)+1,FIND(")",H1799)-FIND("(",H1799)-1)</f>
        <v>5-8 yrs</v>
      </c>
      <c r="L1799">
        <v>128507</v>
      </c>
      <c r="M1799" t="s">
        <v>3720</v>
      </c>
      <c r="N1799" t="s">
        <v>245</v>
      </c>
      <c r="O1799" t="s">
        <v>79</v>
      </c>
      <c r="P1799" s="1">
        <v>45623</v>
      </c>
      <c r="Q1799">
        <v>1105</v>
      </c>
      <c r="R1799">
        <v>3377</v>
      </c>
      <c r="S1799" t="s">
        <v>23</v>
      </c>
      <c r="T1799">
        <v>4</v>
      </c>
      <c r="U1799" t="s">
        <v>83</v>
      </c>
      <c r="V1799" t="s">
        <v>24</v>
      </c>
      <c r="W1799" t="s">
        <v>34</v>
      </c>
    </row>
    <row r="1800" spans="1:23" x14ac:dyDescent="0.3">
      <c r="A1800" t="s">
        <v>3721</v>
      </c>
      <c r="B1800" t="s">
        <v>85</v>
      </c>
      <c r="C1800" t="s">
        <v>14</v>
      </c>
      <c r="D1800" t="s">
        <v>15</v>
      </c>
      <c r="E1800" t="s">
        <v>5135</v>
      </c>
      <c r="F1800" t="s">
        <v>5133</v>
      </c>
      <c r="G1800" t="s">
        <v>41</v>
      </c>
      <c r="H1800" t="s">
        <v>56</v>
      </c>
      <c r="I1800" t="str">
        <f>LEFT(H1800,FIND(" (",H1800)-1)</f>
        <v>Mid</v>
      </c>
      <c r="J1800" t="str">
        <f>MID(H1800,FIND("(",H1800)+1,FIND(")",H1800)-FIND("(",H1800)-1)</f>
        <v>2-5 yrs</v>
      </c>
      <c r="L1800">
        <v>131304</v>
      </c>
      <c r="M1800" t="s">
        <v>3722</v>
      </c>
      <c r="N1800" t="s">
        <v>89</v>
      </c>
      <c r="O1800" t="s">
        <v>51</v>
      </c>
      <c r="P1800" s="1">
        <v>45680</v>
      </c>
      <c r="Q1800">
        <v>2484</v>
      </c>
      <c r="R1800">
        <v>461</v>
      </c>
      <c r="S1800" t="s">
        <v>23</v>
      </c>
      <c r="T1800">
        <v>2</v>
      </c>
      <c r="U1800" t="s">
        <v>83</v>
      </c>
      <c r="V1800" t="s">
        <v>24</v>
      </c>
      <c r="W1800" t="s">
        <v>34</v>
      </c>
    </row>
    <row r="1801" spans="1:23" x14ac:dyDescent="0.3">
      <c r="A1801" t="s">
        <v>3723</v>
      </c>
      <c r="B1801" t="s">
        <v>131</v>
      </c>
      <c r="C1801" t="s">
        <v>173</v>
      </c>
      <c r="D1801" t="s">
        <v>38</v>
      </c>
      <c r="E1801" t="s">
        <v>200</v>
      </c>
      <c r="F1801" t="s">
        <v>201</v>
      </c>
      <c r="G1801" t="s">
        <v>55</v>
      </c>
      <c r="H1801" t="s">
        <v>66</v>
      </c>
      <c r="I1801" t="str">
        <f>LEFT(H1801,FIND(" (",H1801)-1)</f>
        <v>Senior</v>
      </c>
      <c r="J1801" t="str">
        <f>MID(H1801,FIND("(",H1801)+1,FIND(")",H1801)-FIND("(",H1801)-1)</f>
        <v>5-8 yrs</v>
      </c>
      <c r="L1801">
        <v>150575</v>
      </c>
      <c r="M1801" t="s">
        <v>3724</v>
      </c>
      <c r="N1801" t="s">
        <v>120</v>
      </c>
      <c r="O1801" t="s">
        <v>44</v>
      </c>
      <c r="P1801" s="1">
        <v>45535</v>
      </c>
      <c r="Q1801">
        <v>2131</v>
      </c>
      <c r="R1801">
        <v>3541</v>
      </c>
      <c r="S1801" t="s">
        <v>23</v>
      </c>
      <c r="T1801">
        <v>4</v>
      </c>
      <c r="U1801" t="s">
        <v>45</v>
      </c>
      <c r="V1801" t="s">
        <v>59</v>
      </c>
      <c r="W1801" t="s">
        <v>23</v>
      </c>
    </row>
    <row r="1802" spans="1:23" x14ac:dyDescent="0.3">
      <c r="A1802" t="s">
        <v>3725</v>
      </c>
      <c r="B1802" t="s">
        <v>143</v>
      </c>
      <c r="C1802" t="s">
        <v>124</v>
      </c>
      <c r="D1802" t="s">
        <v>147</v>
      </c>
      <c r="E1802" t="s">
        <v>5132</v>
      </c>
      <c r="F1802" t="s">
        <v>5133</v>
      </c>
      <c r="G1802" t="s">
        <v>18</v>
      </c>
      <c r="H1802" t="s">
        <v>56</v>
      </c>
      <c r="I1802" t="str">
        <f>LEFT(H1802,FIND(" (",H1802)-1)</f>
        <v>Mid</v>
      </c>
      <c r="J1802" t="str">
        <f>MID(H1802,FIND("(",H1802)+1,FIND(")",H1802)-FIND("(",H1802)-1)</f>
        <v>2-5 yrs</v>
      </c>
      <c r="L1802">
        <v>147643</v>
      </c>
      <c r="M1802" t="s">
        <v>3726</v>
      </c>
      <c r="N1802" t="s">
        <v>89</v>
      </c>
      <c r="O1802" t="s">
        <v>44</v>
      </c>
      <c r="P1802" s="1">
        <v>45705</v>
      </c>
      <c r="Q1802">
        <v>2226</v>
      </c>
      <c r="R1802">
        <v>1378</v>
      </c>
      <c r="S1802" t="s">
        <v>23</v>
      </c>
      <c r="T1802">
        <v>2</v>
      </c>
      <c r="U1802" t="s">
        <v>58</v>
      </c>
      <c r="V1802" t="s">
        <v>24</v>
      </c>
      <c r="W1802" t="s">
        <v>34</v>
      </c>
    </row>
    <row r="1803" spans="1:23" x14ac:dyDescent="0.3">
      <c r="A1803" t="s">
        <v>3727</v>
      </c>
      <c r="B1803" t="s">
        <v>26</v>
      </c>
      <c r="C1803" t="s">
        <v>173</v>
      </c>
      <c r="D1803" t="s">
        <v>174</v>
      </c>
      <c r="E1803" t="s">
        <v>102</v>
      </c>
      <c r="F1803" t="s">
        <v>103</v>
      </c>
      <c r="G1803" t="s">
        <v>41</v>
      </c>
      <c r="H1803" t="s">
        <v>19</v>
      </c>
      <c r="I1803" t="str">
        <f>LEFT(H1803,FIND(" (",H1803)-1)</f>
        <v>Entry</v>
      </c>
      <c r="J1803" t="str">
        <f>MID(H1803,FIND("(",H1803)+1,FIND(")",H1803)-FIND("(",H1803)-1)</f>
        <v>0-2 yrs</v>
      </c>
      <c r="L1803">
        <v>69235</v>
      </c>
      <c r="M1803" t="s">
        <v>3728</v>
      </c>
      <c r="N1803" t="s">
        <v>89</v>
      </c>
      <c r="O1803" t="s">
        <v>51</v>
      </c>
      <c r="P1803" s="1">
        <v>45414</v>
      </c>
      <c r="Q1803">
        <v>2433</v>
      </c>
      <c r="R1803">
        <v>3964</v>
      </c>
      <c r="S1803" t="s">
        <v>23</v>
      </c>
      <c r="T1803">
        <v>0</v>
      </c>
      <c r="U1803" t="s">
        <v>5123</v>
      </c>
      <c r="V1803" t="s">
        <v>24</v>
      </c>
      <c r="W1803" t="s">
        <v>23</v>
      </c>
    </row>
    <row r="1804" spans="1:23" x14ac:dyDescent="0.3">
      <c r="A1804" t="s">
        <v>3729</v>
      </c>
      <c r="B1804" t="s">
        <v>91</v>
      </c>
      <c r="C1804" t="s">
        <v>124</v>
      </c>
      <c r="D1804" t="s">
        <v>63</v>
      </c>
      <c r="E1804" t="s">
        <v>5139</v>
      </c>
      <c r="F1804" t="s">
        <v>5133</v>
      </c>
      <c r="G1804" t="s">
        <v>55</v>
      </c>
      <c r="H1804" t="s">
        <v>31</v>
      </c>
      <c r="I1804" t="str">
        <f>LEFT(H1804,FIND(" (",H1804)-1)</f>
        <v>Staff/Principal</v>
      </c>
      <c r="J1804" t="str">
        <f>MID(H1804,FIND("(",H1804)+1,FIND(")",H1804)-FIND("(",H1804)-1)</f>
        <v>8+ yrs</v>
      </c>
      <c r="L1804">
        <v>174497</v>
      </c>
      <c r="M1804" t="s">
        <v>3730</v>
      </c>
      <c r="N1804" t="s">
        <v>33</v>
      </c>
      <c r="O1804" t="s">
        <v>51</v>
      </c>
      <c r="P1804" s="1">
        <v>45520</v>
      </c>
      <c r="Q1804">
        <v>483</v>
      </c>
      <c r="R1804">
        <v>2582</v>
      </c>
      <c r="S1804" t="s">
        <v>23</v>
      </c>
      <c r="T1804">
        <v>6</v>
      </c>
      <c r="U1804" t="s">
        <v>58</v>
      </c>
      <c r="V1804" t="s">
        <v>59</v>
      </c>
      <c r="W1804" t="s">
        <v>34</v>
      </c>
    </row>
    <row r="1805" spans="1:23" x14ac:dyDescent="0.3">
      <c r="A1805" t="s">
        <v>3731</v>
      </c>
      <c r="B1805" t="s">
        <v>151</v>
      </c>
      <c r="C1805" t="s">
        <v>107</v>
      </c>
      <c r="D1805" t="s">
        <v>28</v>
      </c>
      <c r="E1805" t="s">
        <v>16</v>
      </c>
      <c r="F1805" t="s">
        <v>17</v>
      </c>
      <c r="G1805" t="s">
        <v>18</v>
      </c>
      <c r="H1805" t="s">
        <v>31</v>
      </c>
      <c r="I1805" t="str">
        <f>LEFT(H1805,FIND(" (",H1805)-1)</f>
        <v>Staff/Principal</v>
      </c>
      <c r="J1805" t="str">
        <f>MID(H1805,FIND("(",H1805)+1,FIND(")",H1805)-FIND("(",H1805)-1)</f>
        <v>8+ yrs</v>
      </c>
      <c r="L1805">
        <v>145506</v>
      </c>
      <c r="M1805" t="s">
        <v>3732</v>
      </c>
      <c r="N1805" t="s">
        <v>94</v>
      </c>
      <c r="O1805" t="s">
        <v>51</v>
      </c>
      <c r="P1805" s="1">
        <v>45310</v>
      </c>
      <c r="Q1805">
        <v>1103</v>
      </c>
      <c r="R1805">
        <v>3309</v>
      </c>
      <c r="S1805" t="s">
        <v>34</v>
      </c>
      <c r="T1805">
        <v>6</v>
      </c>
      <c r="U1805" t="s">
        <v>45</v>
      </c>
      <c r="V1805" t="s">
        <v>24</v>
      </c>
      <c r="W1805" t="s">
        <v>23</v>
      </c>
    </row>
    <row r="1806" spans="1:23" x14ac:dyDescent="0.3">
      <c r="A1806" t="s">
        <v>3733</v>
      </c>
      <c r="B1806" t="s">
        <v>172</v>
      </c>
      <c r="C1806" t="s">
        <v>195</v>
      </c>
      <c r="D1806" t="s">
        <v>125</v>
      </c>
      <c r="E1806" t="s">
        <v>5139</v>
      </c>
      <c r="F1806" t="s">
        <v>5133</v>
      </c>
      <c r="G1806" t="s">
        <v>55</v>
      </c>
      <c r="H1806" t="s">
        <v>56</v>
      </c>
      <c r="I1806" t="str">
        <f>LEFT(H1806,FIND(" (",H1806)-1)</f>
        <v>Mid</v>
      </c>
      <c r="J1806" t="str">
        <f>MID(H1806,FIND("(",H1806)+1,FIND(")",H1806)-FIND("(",H1806)-1)</f>
        <v>2-5 yrs</v>
      </c>
      <c r="L1806">
        <v>74297</v>
      </c>
      <c r="M1806" t="s">
        <v>3734</v>
      </c>
      <c r="N1806" t="s">
        <v>33</v>
      </c>
      <c r="O1806" t="s">
        <v>51</v>
      </c>
      <c r="P1806" s="1">
        <v>45460</v>
      </c>
      <c r="Q1806">
        <v>2405</v>
      </c>
      <c r="R1806">
        <v>246</v>
      </c>
      <c r="S1806" t="s">
        <v>23</v>
      </c>
      <c r="T1806">
        <v>2</v>
      </c>
      <c r="U1806" t="s">
        <v>52</v>
      </c>
      <c r="V1806" t="s">
        <v>24</v>
      </c>
      <c r="W1806" t="s">
        <v>23</v>
      </c>
    </row>
    <row r="1807" spans="1:23" x14ac:dyDescent="0.3">
      <c r="A1807" t="s">
        <v>3735</v>
      </c>
      <c r="B1807" t="s">
        <v>131</v>
      </c>
      <c r="C1807" t="s">
        <v>27</v>
      </c>
      <c r="D1807" t="s">
        <v>111</v>
      </c>
      <c r="E1807" t="s">
        <v>5134</v>
      </c>
      <c r="F1807" t="s">
        <v>5133</v>
      </c>
      <c r="G1807" t="s">
        <v>55</v>
      </c>
      <c r="H1807" t="s">
        <v>56</v>
      </c>
      <c r="I1807" t="str">
        <f>LEFT(H1807,FIND(" (",H1807)-1)</f>
        <v>Mid</v>
      </c>
      <c r="J1807" t="str">
        <f>MID(H1807,FIND("(",H1807)+1,FIND(")",H1807)-FIND("(",H1807)-1)</f>
        <v>2-5 yrs</v>
      </c>
      <c r="L1807">
        <v>78634</v>
      </c>
      <c r="M1807" t="s">
        <v>3736</v>
      </c>
      <c r="N1807" t="s">
        <v>33</v>
      </c>
      <c r="O1807" t="s">
        <v>51</v>
      </c>
      <c r="P1807" s="1">
        <v>45423</v>
      </c>
      <c r="Q1807">
        <v>1393</v>
      </c>
      <c r="R1807">
        <v>3893</v>
      </c>
      <c r="S1807" t="s">
        <v>23</v>
      </c>
      <c r="T1807">
        <v>2</v>
      </c>
      <c r="U1807" t="s">
        <v>45</v>
      </c>
      <c r="V1807" t="s">
        <v>59</v>
      </c>
      <c r="W1807" t="s">
        <v>23</v>
      </c>
    </row>
    <row r="1808" spans="1:23" x14ac:dyDescent="0.3">
      <c r="A1808" t="s">
        <v>3737</v>
      </c>
      <c r="B1808" t="s">
        <v>143</v>
      </c>
      <c r="C1808" t="s">
        <v>128</v>
      </c>
      <c r="D1808" t="s">
        <v>174</v>
      </c>
      <c r="E1808" t="s">
        <v>200</v>
      </c>
      <c r="F1808" t="s">
        <v>201</v>
      </c>
      <c r="G1808" t="s">
        <v>18</v>
      </c>
      <c r="H1808" t="s">
        <v>66</v>
      </c>
      <c r="I1808" t="str">
        <f>LEFT(H1808,FIND(" (",H1808)-1)</f>
        <v>Senior</v>
      </c>
      <c r="J1808" t="str">
        <f>MID(H1808,FIND("(",H1808)+1,FIND(")",H1808)-FIND("(",H1808)-1)</f>
        <v>5-8 yrs</v>
      </c>
      <c r="L1808">
        <v>157212</v>
      </c>
      <c r="M1808" t="s">
        <v>3738</v>
      </c>
      <c r="N1808" t="s">
        <v>186</v>
      </c>
      <c r="O1808" t="s">
        <v>22</v>
      </c>
      <c r="P1808" s="1">
        <v>45394</v>
      </c>
      <c r="Q1808">
        <v>521</v>
      </c>
      <c r="R1808">
        <v>518</v>
      </c>
      <c r="S1808" t="s">
        <v>23</v>
      </c>
      <c r="T1808">
        <v>4</v>
      </c>
      <c r="U1808" t="s">
        <v>52</v>
      </c>
      <c r="V1808" t="s">
        <v>24</v>
      </c>
      <c r="W1808" t="s">
        <v>23</v>
      </c>
    </row>
    <row r="1809" spans="1:23" x14ac:dyDescent="0.3">
      <c r="A1809" t="s">
        <v>3739</v>
      </c>
      <c r="B1809" t="s">
        <v>229</v>
      </c>
      <c r="C1809" t="s">
        <v>226</v>
      </c>
      <c r="D1809" t="s">
        <v>147</v>
      </c>
      <c r="E1809" t="s">
        <v>216</v>
      </c>
      <c r="F1809" t="s">
        <v>217</v>
      </c>
      <c r="G1809" t="s">
        <v>55</v>
      </c>
      <c r="H1809" t="s">
        <v>56</v>
      </c>
      <c r="I1809" t="str">
        <f>LEFT(H1809,FIND(" (",H1809)-1)</f>
        <v>Mid</v>
      </c>
      <c r="J1809" t="str">
        <f>MID(H1809,FIND("(",H1809)+1,FIND(")",H1809)-FIND("(",H1809)-1)</f>
        <v>2-5 yrs</v>
      </c>
      <c r="L1809">
        <v>120072</v>
      </c>
      <c r="M1809" t="s">
        <v>3740</v>
      </c>
      <c r="N1809" t="s">
        <v>33</v>
      </c>
      <c r="O1809" t="s">
        <v>51</v>
      </c>
      <c r="P1809" s="1">
        <v>45629</v>
      </c>
      <c r="Q1809">
        <v>313</v>
      </c>
      <c r="R1809">
        <v>1012</v>
      </c>
      <c r="S1809" t="s">
        <v>34</v>
      </c>
      <c r="T1809">
        <v>2</v>
      </c>
      <c r="U1809" t="s">
        <v>83</v>
      </c>
      <c r="V1809" t="s">
        <v>24</v>
      </c>
      <c r="W1809" t="s">
        <v>34</v>
      </c>
    </row>
    <row r="1810" spans="1:23" x14ac:dyDescent="0.3">
      <c r="A1810" t="s">
        <v>3741</v>
      </c>
      <c r="B1810" t="s">
        <v>225</v>
      </c>
      <c r="C1810" t="s">
        <v>110</v>
      </c>
      <c r="D1810" t="s">
        <v>75</v>
      </c>
      <c r="E1810" t="s">
        <v>5135</v>
      </c>
      <c r="F1810" t="s">
        <v>5133</v>
      </c>
      <c r="G1810" t="s">
        <v>55</v>
      </c>
      <c r="H1810" t="s">
        <v>66</v>
      </c>
      <c r="I1810" t="str">
        <f>LEFT(H1810,FIND(" (",H1810)-1)</f>
        <v>Senior</v>
      </c>
      <c r="J1810" t="str">
        <f>MID(H1810,FIND("(",H1810)+1,FIND(")",H1810)-FIND("(",H1810)-1)</f>
        <v>5-8 yrs</v>
      </c>
      <c r="L1810">
        <v>107307</v>
      </c>
      <c r="M1810" t="s">
        <v>3742</v>
      </c>
      <c r="N1810" t="s">
        <v>245</v>
      </c>
      <c r="O1810" t="s">
        <v>79</v>
      </c>
      <c r="P1810" s="1">
        <v>45641</v>
      </c>
      <c r="Q1810">
        <v>1636</v>
      </c>
      <c r="R1810">
        <v>27</v>
      </c>
      <c r="S1810" t="s">
        <v>34</v>
      </c>
      <c r="T1810">
        <v>4</v>
      </c>
      <c r="U1810" t="s">
        <v>52</v>
      </c>
      <c r="V1810" t="s">
        <v>24</v>
      </c>
      <c r="W1810" t="s">
        <v>23</v>
      </c>
    </row>
    <row r="1811" spans="1:23" x14ac:dyDescent="0.3">
      <c r="A1811" t="s">
        <v>3743</v>
      </c>
      <c r="B1811" t="s">
        <v>26</v>
      </c>
      <c r="C1811" t="s">
        <v>158</v>
      </c>
      <c r="D1811" t="s">
        <v>15</v>
      </c>
      <c r="E1811" t="s">
        <v>5135</v>
      </c>
      <c r="F1811" t="s">
        <v>5133</v>
      </c>
      <c r="G1811" t="s">
        <v>41</v>
      </c>
      <c r="H1811" t="s">
        <v>56</v>
      </c>
      <c r="I1811" t="str">
        <f>LEFT(H1811,FIND(" (",H1811)-1)</f>
        <v>Mid</v>
      </c>
      <c r="J1811" t="str">
        <f>MID(H1811,FIND("(",H1811)+1,FIND(")",H1811)-FIND("(",H1811)-1)</f>
        <v>2-5 yrs</v>
      </c>
      <c r="L1811">
        <v>127721</v>
      </c>
      <c r="M1811" t="s">
        <v>3744</v>
      </c>
      <c r="N1811" t="s">
        <v>33</v>
      </c>
      <c r="O1811" t="s">
        <v>51</v>
      </c>
      <c r="P1811" s="1">
        <v>45646</v>
      </c>
      <c r="Q1811">
        <v>529</v>
      </c>
      <c r="R1811">
        <v>3735</v>
      </c>
      <c r="S1811" t="s">
        <v>99</v>
      </c>
      <c r="T1811">
        <v>2</v>
      </c>
      <c r="U1811" t="s">
        <v>45</v>
      </c>
      <c r="V1811" t="s">
        <v>24</v>
      </c>
      <c r="W1811" t="s">
        <v>23</v>
      </c>
    </row>
    <row r="1812" spans="1:23" x14ac:dyDescent="0.3">
      <c r="A1812" t="s">
        <v>3745</v>
      </c>
      <c r="B1812" t="s">
        <v>106</v>
      </c>
      <c r="C1812" t="s">
        <v>97</v>
      </c>
      <c r="D1812" t="s">
        <v>174</v>
      </c>
      <c r="E1812" t="s">
        <v>39</v>
      </c>
      <c r="F1812" t="s">
        <v>40</v>
      </c>
      <c r="G1812" t="s">
        <v>41</v>
      </c>
      <c r="H1812" t="s">
        <v>66</v>
      </c>
      <c r="I1812" t="str">
        <f>LEFT(H1812,FIND(" (",H1812)-1)</f>
        <v>Senior</v>
      </c>
      <c r="J1812" t="str">
        <f>MID(H1812,FIND("(",H1812)+1,FIND(")",H1812)-FIND("(",H1812)-1)</f>
        <v>5-8 yrs</v>
      </c>
      <c r="L1812">
        <v>136957</v>
      </c>
      <c r="M1812" t="s">
        <v>3746</v>
      </c>
      <c r="N1812" t="s">
        <v>43</v>
      </c>
      <c r="O1812" t="s">
        <v>22</v>
      </c>
      <c r="P1812" s="1">
        <v>45540</v>
      </c>
      <c r="Q1812">
        <v>729</v>
      </c>
      <c r="R1812">
        <v>1544</v>
      </c>
      <c r="S1812" t="s">
        <v>99</v>
      </c>
      <c r="T1812">
        <v>4</v>
      </c>
      <c r="U1812" t="s">
        <v>83</v>
      </c>
      <c r="V1812" t="s">
        <v>24</v>
      </c>
      <c r="W1812" t="s">
        <v>34</v>
      </c>
    </row>
    <row r="1813" spans="1:23" x14ac:dyDescent="0.3">
      <c r="A1813" t="s">
        <v>3747</v>
      </c>
      <c r="B1813" t="s">
        <v>106</v>
      </c>
      <c r="C1813" t="s">
        <v>128</v>
      </c>
      <c r="D1813" t="s">
        <v>174</v>
      </c>
      <c r="E1813" t="s">
        <v>5139</v>
      </c>
      <c r="F1813" t="s">
        <v>5133</v>
      </c>
      <c r="G1813" t="s">
        <v>55</v>
      </c>
      <c r="H1813" t="s">
        <v>56</v>
      </c>
      <c r="I1813" t="str">
        <f>LEFT(H1813,FIND(" (",H1813)-1)</f>
        <v>Mid</v>
      </c>
      <c r="J1813" t="str">
        <f>MID(H1813,FIND("(",H1813)+1,FIND(")",H1813)-FIND("(",H1813)-1)</f>
        <v>2-5 yrs</v>
      </c>
      <c r="L1813">
        <v>112906</v>
      </c>
      <c r="M1813" t="s">
        <v>3748</v>
      </c>
      <c r="N1813" t="s">
        <v>68</v>
      </c>
      <c r="O1813" t="s">
        <v>51</v>
      </c>
      <c r="P1813" s="1">
        <v>45728</v>
      </c>
      <c r="Q1813">
        <v>2212</v>
      </c>
      <c r="R1813">
        <v>2818</v>
      </c>
      <c r="S1813" t="s">
        <v>23</v>
      </c>
      <c r="T1813">
        <v>2</v>
      </c>
      <c r="U1813" t="s">
        <v>83</v>
      </c>
      <c r="V1813" t="s">
        <v>59</v>
      </c>
      <c r="W1813" t="s">
        <v>23</v>
      </c>
    </row>
    <row r="1814" spans="1:23" x14ac:dyDescent="0.3">
      <c r="A1814" t="s">
        <v>3749</v>
      </c>
      <c r="B1814" t="s">
        <v>70</v>
      </c>
      <c r="C1814" t="s">
        <v>27</v>
      </c>
      <c r="D1814" t="s">
        <v>28</v>
      </c>
      <c r="E1814" t="s">
        <v>5132</v>
      </c>
      <c r="F1814" t="s">
        <v>5133</v>
      </c>
      <c r="G1814" t="s">
        <v>41</v>
      </c>
      <c r="H1814" t="s">
        <v>66</v>
      </c>
      <c r="I1814" t="str">
        <f>LEFT(H1814,FIND(" (",H1814)-1)</f>
        <v>Senior</v>
      </c>
      <c r="J1814" t="str">
        <f>MID(H1814,FIND("(",H1814)+1,FIND(")",H1814)-FIND("(",H1814)-1)</f>
        <v>5-8 yrs</v>
      </c>
      <c r="L1814">
        <v>193529</v>
      </c>
      <c r="M1814" t="s">
        <v>3750</v>
      </c>
      <c r="N1814" t="s">
        <v>21</v>
      </c>
      <c r="O1814" t="s">
        <v>22</v>
      </c>
      <c r="P1814" s="1">
        <v>45416</v>
      </c>
      <c r="Q1814">
        <v>2355</v>
      </c>
      <c r="R1814">
        <v>1867</v>
      </c>
      <c r="S1814" t="s">
        <v>23</v>
      </c>
      <c r="T1814">
        <v>4</v>
      </c>
      <c r="U1814" t="s">
        <v>45</v>
      </c>
      <c r="V1814" t="s">
        <v>24</v>
      </c>
      <c r="W1814" t="s">
        <v>23</v>
      </c>
    </row>
    <row r="1815" spans="1:23" x14ac:dyDescent="0.3">
      <c r="A1815" t="s">
        <v>3751</v>
      </c>
      <c r="B1815" t="s">
        <v>81</v>
      </c>
      <c r="C1815" t="s">
        <v>179</v>
      </c>
      <c r="D1815" t="s">
        <v>147</v>
      </c>
      <c r="E1815" t="s">
        <v>200</v>
      </c>
      <c r="F1815" t="s">
        <v>201</v>
      </c>
      <c r="G1815" t="s">
        <v>41</v>
      </c>
      <c r="H1815" t="s">
        <v>66</v>
      </c>
      <c r="I1815" t="str">
        <f>LEFT(H1815,FIND(" (",H1815)-1)</f>
        <v>Senior</v>
      </c>
      <c r="J1815" t="str">
        <f>MID(H1815,FIND("(",H1815)+1,FIND(")",H1815)-FIND("(",H1815)-1)</f>
        <v>5-8 yrs</v>
      </c>
      <c r="L1815">
        <v>174214</v>
      </c>
      <c r="M1815" t="s">
        <v>3752</v>
      </c>
      <c r="N1815" t="s">
        <v>33</v>
      </c>
      <c r="O1815" t="s">
        <v>44</v>
      </c>
      <c r="P1815" s="1">
        <v>45745</v>
      </c>
      <c r="Q1815">
        <v>468</v>
      </c>
      <c r="R1815">
        <v>982</v>
      </c>
      <c r="S1815" t="s">
        <v>99</v>
      </c>
      <c r="T1815">
        <v>4</v>
      </c>
      <c r="U1815" t="s">
        <v>5123</v>
      </c>
      <c r="V1815" t="s">
        <v>24</v>
      </c>
      <c r="W1815" t="s">
        <v>23</v>
      </c>
    </row>
    <row r="1816" spans="1:23" x14ac:dyDescent="0.3">
      <c r="A1816" t="s">
        <v>3753</v>
      </c>
      <c r="B1816" t="s">
        <v>85</v>
      </c>
      <c r="C1816" t="s">
        <v>62</v>
      </c>
      <c r="D1816" t="s">
        <v>125</v>
      </c>
      <c r="E1816" t="s">
        <v>5141</v>
      </c>
      <c r="F1816" t="s">
        <v>5133</v>
      </c>
      <c r="G1816" t="s">
        <v>41</v>
      </c>
      <c r="H1816" t="s">
        <v>66</v>
      </c>
      <c r="I1816" t="str">
        <f>LEFT(H1816,FIND(" (",H1816)-1)</f>
        <v>Senior</v>
      </c>
      <c r="J1816" t="str">
        <f>MID(H1816,FIND("(",H1816)+1,FIND(")",H1816)-FIND("(",H1816)-1)</f>
        <v>5-8 yrs</v>
      </c>
      <c r="L1816">
        <v>142749</v>
      </c>
      <c r="M1816" t="s">
        <v>3754</v>
      </c>
      <c r="N1816" t="s">
        <v>186</v>
      </c>
      <c r="O1816" t="s">
        <v>51</v>
      </c>
      <c r="P1816" s="1">
        <v>45599</v>
      </c>
      <c r="Q1816">
        <v>2129</v>
      </c>
      <c r="R1816">
        <v>1806</v>
      </c>
      <c r="S1816" t="s">
        <v>23</v>
      </c>
      <c r="T1816">
        <v>4</v>
      </c>
      <c r="U1816" t="s">
        <v>45</v>
      </c>
      <c r="V1816" t="s">
        <v>24</v>
      </c>
      <c r="W1816" t="s">
        <v>23</v>
      </c>
    </row>
    <row r="1817" spans="1:23" x14ac:dyDescent="0.3">
      <c r="A1817" t="s">
        <v>3755</v>
      </c>
      <c r="B1817" t="s">
        <v>96</v>
      </c>
      <c r="C1817" t="s">
        <v>62</v>
      </c>
      <c r="D1817" t="s">
        <v>63</v>
      </c>
      <c r="E1817" t="s">
        <v>16</v>
      </c>
      <c r="F1817" t="s">
        <v>17</v>
      </c>
      <c r="G1817" t="s">
        <v>18</v>
      </c>
      <c r="H1817" t="s">
        <v>31</v>
      </c>
      <c r="I1817" t="str">
        <f>LEFT(H1817,FIND(" (",H1817)-1)</f>
        <v>Staff/Principal</v>
      </c>
      <c r="J1817" t="str">
        <f>MID(H1817,FIND("(",H1817)+1,FIND(")",H1817)-FIND("(",H1817)-1)</f>
        <v>8+ yrs</v>
      </c>
      <c r="L1817">
        <v>167917</v>
      </c>
      <c r="M1817" t="s">
        <v>3756</v>
      </c>
      <c r="N1817" t="s">
        <v>245</v>
      </c>
      <c r="O1817" t="s">
        <v>22</v>
      </c>
      <c r="P1817" s="1">
        <v>45739</v>
      </c>
      <c r="Q1817">
        <v>1481</v>
      </c>
      <c r="R1817">
        <v>3027</v>
      </c>
      <c r="S1817" t="s">
        <v>23</v>
      </c>
      <c r="T1817">
        <v>6</v>
      </c>
      <c r="U1817" t="s">
        <v>52</v>
      </c>
      <c r="V1817" t="s">
        <v>24</v>
      </c>
      <c r="W1817" t="s">
        <v>23</v>
      </c>
    </row>
    <row r="1818" spans="1:23" x14ac:dyDescent="0.3">
      <c r="A1818" t="s">
        <v>3757</v>
      </c>
      <c r="B1818" t="s">
        <v>229</v>
      </c>
      <c r="C1818" t="s">
        <v>37</v>
      </c>
      <c r="D1818" t="s">
        <v>147</v>
      </c>
      <c r="E1818" t="s">
        <v>159</v>
      </c>
      <c r="F1818" t="s">
        <v>160</v>
      </c>
      <c r="G1818" t="s">
        <v>18</v>
      </c>
      <c r="H1818" t="s">
        <v>19</v>
      </c>
      <c r="I1818" t="str">
        <f>LEFT(H1818,FIND(" (",H1818)-1)</f>
        <v>Entry</v>
      </c>
      <c r="J1818" t="str">
        <f>MID(H1818,FIND("(",H1818)+1,FIND(")",H1818)-FIND("(",H1818)-1)</f>
        <v>0-2 yrs</v>
      </c>
      <c r="L1818">
        <v>50000</v>
      </c>
      <c r="M1818" t="s">
        <v>3758</v>
      </c>
      <c r="N1818" t="s">
        <v>33</v>
      </c>
      <c r="O1818" t="s">
        <v>51</v>
      </c>
      <c r="P1818" s="1">
        <v>45437</v>
      </c>
      <c r="Q1818">
        <v>1386</v>
      </c>
      <c r="R1818">
        <v>3786</v>
      </c>
      <c r="S1818" t="s">
        <v>23</v>
      </c>
      <c r="T1818">
        <v>0</v>
      </c>
      <c r="U1818" t="s">
        <v>5123</v>
      </c>
      <c r="V1818" t="s">
        <v>24</v>
      </c>
      <c r="W1818" t="s">
        <v>34</v>
      </c>
    </row>
    <row r="1819" spans="1:23" x14ac:dyDescent="0.3">
      <c r="A1819" t="s">
        <v>3759</v>
      </c>
      <c r="B1819" t="s">
        <v>143</v>
      </c>
      <c r="C1819" t="s">
        <v>86</v>
      </c>
      <c r="D1819" t="s">
        <v>15</v>
      </c>
      <c r="E1819" t="s">
        <v>5139</v>
      </c>
      <c r="F1819" t="s">
        <v>5133</v>
      </c>
      <c r="G1819" t="s">
        <v>41</v>
      </c>
      <c r="H1819" t="s">
        <v>66</v>
      </c>
      <c r="I1819" t="str">
        <f>LEFT(H1819,FIND(" (",H1819)-1)</f>
        <v>Senior</v>
      </c>
      <c r="J1819" t="str">
        <f>MID(H1819,FIND("(",H1819)+1,FIND(")",H1819)-FIND("(",H1819)-1)</f>
        <v>5-8 yrs</v>
      </c>
      <c r="L1819">
        <v>130582</v>
      </c>
      <c r="M1819" t="s">
        <v>3760</v>
      </c>
      <c r="N1819" t="s">
        <v>43</v>
      </c>
      <c r="O1819" t="s">
        <v>79</v>
      </c>
      <c r="P1819" s="1">
        <v>45542</v>
      </c>
      <c r="Q1819">
        <v>2144</v>
      </c>
      <c r="R1819">
        <v>1775</v>
      </c>
      <c r="S1819" t="s">
        <v>23</v>
      </c>
      <c r="T1819">
        <v>4</v>
      </c>
      <c r="U1819" t="s">
        <v>83</v>
      </c>
      <c r="V1819" t="s">
        <v>59</v>
      </c>
      <c r="W1819" t="s">
        <v>34</v>
      </c>
    </row>
    <row r="1820" spans="1:23" x14ac:dyDescent="0.3">
      <c r="A1820" t="s">
        <v>3761</v>
      </c>
      <c r="B1820" t="s">
        <v>81</v>
      </c>
      <c r="C1820" t="s">
        <v>179</v>
      </c>
      <c r="D1820" t="s">
        <v>174</v>
      </c>
      <c r="E1820" t="s">
        <v>64</v>
      </c>
      <c r="F1820" t="s">
        <v>65</v>
      </c>
      <c r="G1820" t="s">
        <v>55</v>
      </c>
      <c r="H1820" t="s">
        <v>19</v>
      </c>
      <c r="I1820" t="str">
        <f>LEFT(H1820,FIND(" (",H1820)-1)</f>
        <v>Entry</v>
      </c>
      <c r="J1820" t="str">
        <f>MID(H1820,FIND("(",H1820)+1,FIND(")",H1820)-FIND("(",H1820)-1)</f>
        <v>0-2 yrs</v>
      </c>
      <c r="L1820">
        <v>67339</v>
      </c>
      <c r="M1820" t="s">
        <v>3762</v>
      </c>
      <c r="N1820" t="s">
        <v>33</v>
      </c>
      <c r="O1820" t="s">
        <v>79</v>
      </c>
      <c r="P1820" s="1">
        <v>45370</v>
      </c>
      <c r="Q1820">
        <v>1127</v>
      </c>
      <c r="R1820">
        <v>1141</v>
      </c>
      <c r="S1820" t="s">
        <v>34</v>
      </c>
      <c r="T1820">
        <v>0</v>
      </c>
      <c r="U1820" t="s">
        <v>5123</v>
      </c>
      <c r="V1820" t="s">
        <v>24</v>
      </c>
      <c r="W1820" t="s">
        <v>34</v>
      </c>
    </row>
    <row r="1821" spans="1:23" x14ac:dyDescent="0.3">
      <c r="A1821" t="s">
        <v>3763</v>
      </c>
      <c r="B1821" t="s">
        <v>225</v>
      </c>
      <c r="C1821" t="s">
        <v>158</v>
      </c>
      <c r="D1821" t="s">
        <v>125</v>
      </c>
      <c r="E1821" t="s">
        <v>133</v>
      </c>
      <c r="F1821" t="s">
        <v>134</v>
      </c>
      <c r="G1821" t="s">
        <v>18</v>
      </c>
      <c r="H1821" t="s">
        <v>66</v>
      </c>
      <c r="I1821" t="str">
        <f>LEFT(H1821,FIND(" (",H1821)-1)</f>
        <v>Senior</v>
      </c>
      <c r="J1821" t="str">
        <f>MID(H1821,FIND("(",H1821)+1,FIND(")",H1821)-FIND("(",H1821)-1)</f>
        <v>5-8 yrs</v>
      </c>
      <c r="L1821">
        <v>123346</v>
      </c>
      <c r="M1821" t="s">
        <v>3764</v>
      </c>
      <c r="N1821" t="s">
        <v>141</v>
      </c>
      <c r="O1821" t="s">
        <v>79</v>
      </c>
      <c r="P1821" s="1">
        <v>45440</v>
      </c>
      <c r="Q1821">
        <v>2036</v>
      </c>
      <c r="R1821">
        <v>2296</v>
      </c>
      <c r="S1821" t="s">
        <v>99</v>
      </c>
      <c r="T1821">
        <v>4</v>
      </c>
      <c r="U1821" t="s">
        <v>52</v>
      </c>
      <c r="V1821" t="s">
        <v>24</v>
      </c>
      <c r="W1821" t="s">
        <v>23</v>
      </c>
    </row>
    <row r="1822" spans="1:23" x14ac:dyDescent="0.3">
      <c r="A1822" t="s">
        <v>3765</v>
      </c>
      <c r="B1822" t="s">
        <v>96</v>
      </c>
      <c r="C1822" t="s">
        <v>71</v>
      </c>
      <c r="D1822" t="s">
        <v>15</v>
      </c>
      <c r="E1822" t="s">
        <v>5139</v>
      </c>
      <c r="F1822" t="s">
        <v>5133</v>
      </c>
      <c r="G1822" t="s">
        <v>41</v>
      </c>
      <c r="H1822" t="s">
        <v>31</v>
      </c>
      <c r="I1822" t="str">
        <f>LEFT(H1822,FIND(" (",H1822)-1)</f>
        <v>Staff/Principal</v>
      </c>
      <c r="J1822" t="str">
        <f>MID(H1822,FIND("(",H1822)+1,FIND(")",H1822)-FIND("(",H1822)-1)</f>
        <v>8+ yrs</v>
      </c>
      <c r="L1822">
        <v>195274</v>
      </c>
      <c r="M1822" t="s">
        <v>3766</v>
      </c>
      <c r="N1822" t="s">
        <v>141</v>
      </c>
      <c r="O1822" t="s">
        <v>22</v>
      </c>
      <c r="P1822" s="1">
        <v>45578</v>
      </c>
      <c r="Q1822">
        <v>625</v>
      </c>
      <c r="R1822">
        <v>1950</v>
      </c>
      <c r="S1822" t="s">
        <v>34</v>
      </c>
      <c r="T1822">
        <v>6</v>
      </c>
      <c r="U1822" t="s">
        <v>45</v>
      </c>
      <c r="V1822" t="s">
        <v>24</v>
      </c>
      <c r="W1822" t="s">
        <v>23</v>
      </c>
    </row>
    <row r="1823" spans="1:23" x14ac:dyDescent="0.3">
      <c r="A1823" t="s">
        <v>3767</v>
      </c>
      <c r="B1823" t="s">
        <v>222</v>
      </c>
      <c r="C1823" t="s">
        <v>195</v>
      </c>
      <c r="D1823" t="s">
        <v>38</v>
      </c>
      <c r="E1823" t="s">
        <v>200</v>
      </c>
      <c r="F1823" t="s">
        <v>201</v>
      </c>
      <c r="G1823" t="s">
        <v>41</v>
      </c>
      <c r="H1823" t="s">
        <v>19</v>
      </c>
      <c r="I1823" t="str">
        <f>LEFT(H1823,FIND(" (",H1823)-1)</f>
        <v>Entry</v>
      </c>
      <c r="J1823" t="str">
        <f>MID(H1823,FIND("(",H1823)+1,FIND(")",H1823)-FIND("(",H1823)-1)</f>
        <v>0-2 yrs</v>
      </c>
      <c r="L1823">
        <v>70968</v>
      </c>
      <c r="M1823" t="s">
        <v>3768</v>
      </c>
      <c r="N1823" t="s">
        <v>33</v>
      </c>
      <c r="O1823" t="s">
        <v>44</v>
      </c>
      <c r="P1823" s="1">
        <v>45410</v>
      </c>
      <c r="Q1823">
        <v>2021</v>
      </c>
      <c r="R1823">
        <v>157</v>
      </c>
      <c r="S1823" t="s">
        <v>23</v>
      </c>
      <c r="T1823">
        <v>0</v>
      </c>
      <c r="U1823" t="s">
        <v>83</v>
      </c>
      <c r="V1823" t="s">
        <v>46</v>
      </c>
      <c r="W1823" t="s">
        <v>23</v>
      </c>
    </row>
    <row r="1824" spans="1:23" x14ac:dyDescent="0.3">
      <c r="A1824" t="s">
        <v>3769</v>
      </c>
      <c r="B1824" t="s">
        <v>151</v>
      </c>
      <c r="C1824" t="s">
        <v>54</v>
      </c>
      <c r="D1824" t="s">
        <v>28</v>
      </c>
      <c r="E1824" t="s">
        <v>5135</v>
      </c>
      <c r="F1824" t="s">
        <v>5133</v>
      </c>
      <c r="G1824" t="s">
        <v>18</v>
      </c>
      <c r="H1824" t="s">
        <v>19</v>
      </c>
      <c r="I1824" t="str">
        <f>LEFT(H1824,FIND(" (",H1824)-1)</f>
        <v>Entry</v>
      </c>
      <c r="J1824" t="str">
        <f>MID(H1824,FIND("(",H1824)+1,FIND(")",H1824)-FIND("(",H1824)-1)</f>
        <v>0-2 yrs</v>
      </c>
      <c r="L1824">
        <v>67166</v>
      </c>
      <c r="M1824" t="s">
        <v>3770</v>
      </c>
      <c r="N1824" t="s">
        <v>68</v>
      </c>
      <c r="O1824" t="s">
        <v>22</v>
      </c>
      <c r="P1824" s="1">
        <v>45696</v>
      </c>
      <c r="Q1824">
        <v>1077</v>
      </c>
      <c r="R1824">
        <v>2819</v>
      </c>
      <c r="S1824" t="s">
        <v>23</v>
      </c>
      <c r="T1824">
        <v>0</v>
      </c>
      <c r="U1824" t="s">
        <v>52</v>
      </c>
      <c r="V1824" t="s">
        <v>59</v>
      </c>
      <c r="W1824" t="s">
        <v>23</v>
      </c>
    </row>
    <row r="1825" spans="1:23" x14ac:dyDescent="0.3">
      <c r="A1825" t="s">
        <v>3771</v>
      </c>
      <c r="B1825" t="s">
        <v>329</v>
      </c>
      <c r="C1825" t="s">
        <v>62</v>
      </c>
      <c r="D1825" t="s">
        <v>125</v>
      </c>
      <c r="E1825" t="s">
        <v>159</v>
      </c>
      <c r="F1825" t="s">
        <v>160</v>
      </c>
      <c r="G1825" t="s">
        <v>41</v>
      </c>
      <c r="H1825" t="s">
        <v>56</v>
      </c>
      <c r="I1825" t="str">
        <f>LEFT(H1825,FIND(" (",H1825)-1)</f>
        <v>Mid</v>
      </c>
      <c r="J1825" t="str">
        <f>MID(H1825,FIND("(",H1825)+1,FIND(")",H1825)-FIND("(",H1825)-1)</f>
        <v>2-5 yrs</v>
      </c>
      <c r="L1825">
        <v>97129</v>
      </c>
      <c r="M1825" t="s">
        <v>3772</v>
      </c>
      <c r="N1825" t="s">
        <v>89</v>
      </c>
      <c r="O1825" t="s">
        <v>79</v>
      </c>
      <c r="P1825" s="1">
        <v>45386</v>
      </c>
      <c r="Q1825">
        <v>557</v>
      </c>
      <c r="R1825">
        <v>2302</v>
      </c>
      <c r="S1825" t="s">
        <v>23</v>
      </c>
      <c r="T1825">
        <v>2</v>
      </c>
      <c r="U1825" t="s">
        <v>52</v>
      </c>
      <c r="V1825" t="s">
        <v>24</v>
      </c>
      <c r="W1825" t="s">
        <v>34</v>
      </c>
    </row>
    <row r="1826" spans="1:23" x14ac:dyDescent="0.3">
      <c r="A1826" t="s">
        <v>3773</v>
      </c>
      <c r="B1826" t="s">
        <v>172</v>
      </c>
      <c r="C1826" t="s">
        <v>179</v>
      </c>
      <c r="D1826" t="s">
        <v>75</v>
      </c>
      <c r="E1826" t="s">
        <v>5139</v>
      </c>
      <c r="F1826" t="s">
        <v>5133</v>
      </c>
      <c r="G1826" t="s">
        <v>41</v>
      </c>
      <c r="H1826" t="s">
        <v>19</v>
      </c>
      <c r="I1826" t="str">
        <f>LEFT(H1826,FIND(" (",H1826)-1)</f>
        <v>Entry</v>
      </c>
      <c r="J1826" t="str">
        <f>MID(H1826,FIND("(",H1826)+1,FIND(")",H1826)-FIND("(",H1826)-1)</f>
        <v>0-2 yrs</v>
      </c>
      <c r="L1826">
        <v>72125</v>
      </c>
      <c r="M1826" t="s">
        <v>3774</v>
      </c>
      <c r="N1826" t="s">
        <v>245</v>
      </c>
      <c r="O1826" t="s">
        <v>51</v>
      </c>
      <c r="P1826" s="1">
        <v>45513</v>
      </c>
      <c r="Q1826">
        <v>1060</v>
      </c>
      <c r="R1826">
        <v>1214</v>
      </c>
      <c r="S1826" t="s">
        <v>34</v>
      </c>
      <c r="T1826">
        <v>0</v>
      </c>
      <c r="U1826" t="s">
        <v>58</v>
      </c>
      <c r="V1826" t="s">
        <v>24</v>
      </c>
      <c r="W1826" t="s">
        <v>23</v>
      </c>
    </row>
    <row r="1827" spans="1:23" x14ac:dyDescent="0.3">
      <c r="A1827" t="s">
        <v>3775</v>
      </c>
      <c r="B1827" t="s">
        <v>61</v>
      </c>
      <c r="C1827" t="s">
        <v>167</v>
      </c>
      <c r="D1827" t="s">
        <v>63</v>
      </c>
      <c r="E1827" t="s">
        <v>230</v>
      </c>
      <c r="F1827" t="s">
        <v>231</v>
      </c>
      <c r="G1827" t="s">
        <v>18</v>
      </c>
      <c r="H1827" t="s">
        <v>31</v>
      </c>
      <c r="I1827" t="str">
        <f>LEFT(H1827,FIND(" (",H1827)-1)</f>
        <v>Staff/Principal</v>
      </c>
      <c r="J1827" t="str">
        <f>MID(H1827,FIND("(",H1827)+1,FIND(")",H1827)-FIND("(",H1827)-1)</f>
        <v>8+ yrs</v>
      </c>
      <c r="L1827">
        <v>215909</v>
      </c>
      <c r="M1827" t="s">
        <v>3776</v>
      </c>
      <c r="N1827" t="s">
        <v>33</v>
      </c>
      <c r="O1827" t="s">
        <v>51</v>
      </c>
      <c r="P1827" s="1">
        <v>45307</v>
      </c>
      <c r="Q1827">
        <v>2078</v>
      </c>
      <c r="R1827">
        <v>1674</v>
      </c>
      <c r="S1827" t="s">
        <v>34</v>
      </c>
      <c r="T1827">
        <v>6</v>
      </c>
      <c r="U1827" t="s">
        <v>83</v>
      </c>
      <c r="V1827" t="s">
        <v>59</v>
      </c>
      <c r="W1827" t="s">
        <v>34</v>
      </c>
    </row>
    <row r="1828" spans="1:23" x14ac:dyDescent="0.3">
      <c r="A1828" t="s">
        <v>3777</v>
      </c>
      <c r="B1828" t="s">
        <v>70</v>
      </c>
      <c r="C1828" t="s">
        <v>179</v>
      </c>
      <c r="D1828" t="s">
        <v>28</v>
      </c>
      <c r="E1828" t="s">
        <v>39</v>
      </c>
      <c r="F1828" t="s">
        <v>40</v>
      </c>
      <c r="G1828" t="s">
        <v>55</v>
      </c>
      <c r="H1828" t="s">
        <v>31</v>
      </c>
      <c r="I1828" t="str">
        <f>LEFT(H1828,FIND(" (",H1828)-1)</f>
        <v>Staff/Principal</v>
      </c>
      <c r="J1828" t="str">
        <f>MID(H1828,FIND("(",H1828)+1,FIND(")",H1828)-FIND("(",H1828)-1)</f>
        <v>8+ yrs</v>
      </c>
      <c r="L1828">
        <v>160745</v>
      </c>
      <c r="M1828" t="s">
        <v>3778</v>
      </c>
      <c r="N1828" t="s">
        <v>149</v>
      </c>
      <c r="O1828" t="s">
        <v>51</v>
      </c>
      <c r="P1828" s="1">
        <v>45446</v>
      </c>
      <c r="Q1828">
        <v>1189</v>
      </c>
      <c r="R1828">
        <v>3258</v>
      </c>
      <c r="S1828" t="s">
        <v>23</v>
      </c>
      <c r="T1828">
        <v>6</v>
      </c>
      <c r="U1828" t="s">
        <v>45</v>
      </c>
      <c r="V1828" t="s">
        <v>24</v>
      </c>
      <c r="W1828" t="s">
        <v>23</v>
      </c>
    </row>
    <row r="1829" spans="1:23" x14ac:dyDescent="0.3">
      <c r="A1829" t="s">
        <v>3779</v>
      </c>
      <c r="B1829" t="s">
        <v>236</v>
      </c>
      <c r="C1829" t="s">
        <v>71</v>
      </c>
      <c r="D1829" t="s">
        <v>15</v>
      </c>
      <c r="E1829" t="s">
        <v>5134</v>
      </c>
      <c r="F1829" t="s">
        <v>5133</v>
      </c>
      <c r="G1829" t="s">
        <v>18</v>
      </c>
      <c r="H1829" t="s">
        <v>31</v>
      </c>
      <c r="I1829" t="str">
        <f>LEFT(H1829,FIND(" (",H1829)-1)</f>
        <v>Staff/Principal</v>
      </c>
      <c r="J1829" t="str">
        <f>MID(H1829,FIND("(",H1829)+1,FIND(")",H1829)-FIND("(",H1829)-1)</f>
        <v>8+ yrs</v>
      </c>
      <c r="L1829">
        <v>250793</v>
      </c>
      <c r="M1829" t="s">
        <v>3780</v>
      </c>
      <c r="N1829" t="s">
        <v>21</v>
      </c>
      <c r="O1829" t="s">
        <v>44</v>
      </c>
      <c r="P1829" s="1">
        <v>45365</v>
      </c>
      <c r="Q1829">
        <v>1836</v>
      </c>
      <c r="R1829">
        <v>1108</v>
      </c>
      <c r="S1829" t="s">
        <v>23</v>
      </c>
      <c r="T1829">
        <v>6</v>
      </c>
      <c r="U1829" t="s">
        <v>83</v>
      </c>
      <c r="V1829" t="s">
        <v>24</v>
      </c>
      <c r="W1829" t="s">
        <v>34</v>
      </c>
    </row>
    <row r="1830" spans="1:23" x14ac:dyDescent="0.3">
      <c r="A1830" t="s">
        <v>3781</v>
      </c>
      <c r="B1830" t="s">
        <v>131</v>
      </c>
      <c r="C1830" t="s">
        <v>92</v>
      </c>
      <c r="D1830" t="s">
        <v>125</v>
      </c>
      <c r="E1830" t="s">
        <v>5137</v>
      </c>
      <c r="F1830" t="s">
        <v>5138</v>
      </c>
      <c r="G1830" t="s">
        <v>41</v>
      </c>
      <c r="H1830" t="s">
        <v>19</v>
      </c>
      <c r="I1830" t="str">
        <f>LEFT(H1830,FIND(" (",H1830)-1)</f>
        <v>Entry</v>
      </c>
      <c r="J1830" t="str">
        <f>MID(H1830,FIND("(",H1830)+1,FIND(")",H1830)-FIND("(",H1830)-1)</f>
        <v>0-2 yrs</v>
      </c>
      <c r="L1830">
        <v>68757</v>
      </c>
      <c r="M1830" t="s">
        <v>3782</v>
      </c>
      <c r="N1830" t="s">
        <v>33</v>
      </c>
      <c r="O1830" t="s">
        <v>22</v>
      </c>
      <c r="P1830" s="1">
        <v>45567</v>
      </c>
      <c r="Q1830">
        <v>2309</v>
      </c>
      <c r="R1830">
        <v>572</v>
      </c>
      <c r="S1830" t="s">
        <v>34</v>
      </c>
      <c r="T1830">
        <v>0</v>
      </c>
      <c r="U1830" t="s">
        <v>5123</v>
      </c>
      <c r="V1830" t="s">
        <v>24</v>
      </c>
      <c r="W1830" t="s">
        <v>34</v>
      </c>
    </row>
    <row r="1831" spans="1:23" x14ac:dyDescent="0.3">
      <c r="A1831" t="s">
        <v>3783</v>
      </c>
      <c r="B1831" t="s">
        <v>96</v>
      </c>
      <c r="C1831" t="s">
        <v>182</v>
      </c>
      <c r="D1831" t="s">
        <v>75</v>
      </c>
      <c r="E1831" t="s">
        <v>5135</v>
      </c>
      <c r="F1831" t="s">
        <v>5133</v>
      </c>
      <c r="G1831" t="s">
        <v>55</v>
      </c>
      <c r="H1831" t="s">
        <v>66</v>
      </c>
      <c r="I1831" t="str">
        <f>LEFT(H1831,FIND(" (",H1831)-1)</f>
        <v>Senior</v>
      </c>
      <c r="J1831" t="str">
        <f>MID(H1831,FIND("(",H1831)+1,FIND(")",H1831)-FIND("(",H1831)-1)</f>
        <v>5-8 yrs</v>
      </c>
      <c r="L1831">
        <v>150508</v>
      </c>
      <c r="M1831" t="s">
        <v>3784</v>
      </c>
      <c r="N1831" t="s">
        <v>120</v>
      </c>
      <c r="O1831" t="s">
        <v>79</v>
      </c>
      <c r="P1831" s="1">
        <v>45637</v>
      </c>
      <c r="Q1831">
        <v>2330</v>
      </c>
      <c r="R1831">
        <v>2063</v>
      </c>
      <c r="S1831" t="s">
        <v>34</v>
      </c>
      <c r="T1831">
        <v>4</v>
      </c>
      <c r="U1831" t="s">
        <v>45</v>
      </c>
      <c r="V1831" t="s">
        <v>59</v>
      </c>
      <c r="W1831" t="s">
        <v>34</v>
      </c>
    </row>
    <row r="1832" spans="1:23" x14ac:dyDescent="0.3">
      <c r="A1832" t="s">
        <v>3785</v>
      </c>
      <c r="B1832" t="s">
        <v>137</v>
      </c>
      <c r="C1832" t="s">
        <v>132</v>
      </c>
      <c r="D1832" t="s">
        <v>174</v>
      </c>
      <c r="E1832" t="s">
        <v>39</v>
      </c>
      <c r="F1832" t="s">
        <v>40</v>
      </c>
      <c r="G1832" t="s">
        <v>41</v>
      </c>
      <c r="H1832" t="s">
        <v>66</v>
      </c>
      <c r="I1832" t="str">
        <f>LEFT(H1832,FIND(" (",H1832)-1)</f>
        <v>Senior</v>
      </c>
      <c r="J1832" t="str">
        <f>MID(H1832,FIND("(",H1832)+1,FIND(")",H1832)-FIND("(",H1832)-1)</f>
        <v>5-8 yrs</v>
      </c>
      <c r="L1832">
        <v>169121</v>
      </c>
      <c r="M1832" t="s">
        <v>3786</v>
      </c>
      <c r="N1832" t="s">
        <v>186</v>
      </c>
      <c r="O1832" t="s">
        <v>51</v>
      </c>
      <c r="P1832" s="1">
        <v>45625</v>
      </c>
      <c r="Q1832">
        <v>839</v>
      </c>
      <c r="R1832">
        <v>3764</v>
      </c>
      <c r="S1832" t="s">
        <v>23</v>
      </c>
      <c r="T1832">
        <v>4</v>
      </c>
      <c r="U1832" t="s">
        <v>58</v>
      </c>
      <c r="V1832" t="s">
        <v>24</v>
      </c>
      <c r="W1832" t="s">
        <v>34</v>
      </c>
    </row>
    <row r="1833" spans="1:23" x14ac:dyDescent="0.3">
      <c r="A1833" t="s">
        <v>3787</v>
      </c>
      <c r="B1833" t="s">
        <v>36</v>
      </c>
      <c r="C1833" t="s">
        <v>226</v>
      </c>
      <c r="D1833" t="s">
        <v>38</v>
      </c>
      <c r="E1833" t="s">
        <v>87</v>
      </c>
      <c r="F1833" t="s">
        <v>87</v>
      </c>
      <c r="G1833" t="s">
        <v>55</v>
      </c>
      <c r="H1833" t="s">
        <v>66</v>
      </c>
      <c r="I1833" t="str">
        <f>LEFT(H1833,FIND(" (",H1833)-1)</f>
        <v>Senior</v>
      </c>
      <c r="J1833" t="str">
        <f>MID(H1833,FIND("(",H1833)+1,FIND(")",H1833)-FIND("(",H1833)-1)</f>
        <v>5-8 yrs</v>
      </c>
      <c r="L1833">
        <v>156296</v>
      </c>
      <c r="M1833" t="s">
        <v>3788</v>
      </c>
      <c r="N1833" t="s">
        <v>141</v>
      </c>
      <c r="O1833" t="s">
        <v>44</v>
      </c>
      <c r="P1833" s="1">
        <v>45406</v>
      </c>
      <c r="Q1833">
        <v>1337</v>
      </c>
      <c r="R1833">
        <v>737</v>
      </c>
      <c r="S1833" t="s">
        <v>34</v>
      </c>
      <c r="T1833">
        <v>4</v>
      </c>
      <c r="U1833" t="s">
        <v>45</v>
      </c>
      <c r="V1833" t="s">
        <v>24</v>
      </c>
      <c r="W1833" t="s">
        <v>23</v>
      </c>
    </row>
    <row r="1834" spans="1:23" x14ac:dyDescent="0.3">
      <c r="A1834" t="s">
        <v>3789</v>
      </c>
      <c r="B1834" t="s">
        <v>131</v>
      </c>
      <c r="C1834" t="s">
        <v>110</v>
      </c>
      <c r="D1834" t="s">
        <v>111</v>
      </c>
      <c r="E1834" t="s">
        <v>39</v>
      </c>
      <c r="F1834" t="s">
        <v>40</v>
      </c>
      <c r="G1834" t="s">
        <v>18</v>
      </c>
      <c r="H1834" t="s">
        <v>31</v>
      </c>
      <c r="I1834" t="str">
        <f>LEFT(H1834,FIND(" (",H1834)-1)</f>
        <v>Staff/Principal</v>
      </c>
      <c r="J1834" t="str">
        <f>MID(H1834,FIND("(",H1834)+1,FIND(")",H1834)-FIND("(",H1834)-1)</f>
        <v>8+ yrs</v>
      </c>
      <c r="L1834">
        <v>234312</v>
      </c>
      <c r="M1834" t="s">
        <v>3790</v>
      </c>
      <c r="N1834" t="s">
        <v>43</v>
      </c>
      <c r="O1834" t="s">
        <v>22</v>
      </c>
      <c r="P1834" s="1">
        <v>45658</v>
      </c>
      <c r="Q1834">
        <v>2461</v>
      </c>
      <c r="R1834">
        <v>1433</v>
      </c>
      <c r="S1834" t="s">
        <v>23</v>
      </c>
      <c r="T1834">
        <v>6</v>
      </c>
      <c r="U1834" t="s">
        <v>5123</v>
      </c>
      <c r="V1834" t="s">
        <v>59</v>
      </c>
      <c r="W1834" t="s">
        <v>34</v>
      </c>
    </row>
    <row r="1835" spans="1:23" x14ac:dyDescent="0.3">
      <c r="A1835" t="s">
        <v>3791</v>
      </c>
      <c r="B1835" t="s">
        <v>13</v>
      </c>
      <c r="C1835" t="s">
        <v>116</v>
      </c>
      <c r="D1835" t="s">
        <v>125</v>
      </c>
      <c r="E1835" t="s">
        <v>29</v>
      </c>
      <c r="F1835" t="s">
        <v>30</v>
      </c>
      <c r="G1835" t="s">
        <v>18</v>
      </c>
      <c r="H1835" t="s">
        <v>56</v>
      </c>
      <c r="I1835" t="str">
        <f>LEFT(H1835,FIND(" (",H1835)-1)</f>
        <v>Mid</v>
      </c>
      <c r="J1835" t="str">
        <f>MID(H1835,FIND("(",H1835)+1,FIND(")",H1835)-FIND("(",H1835)-1)</f>
        <v>2-5 yrs</v>
      </c>
      <c r="L1835">
        <v>115685</v>
      </c>
      <c r="M1835" t="s">
        <v>3792</v>
      </c>
      <c r="N1835" t="s">
        <v>33</v>
      </c>
      <c r="O1835" t="s">
        <v>44</v>
      </c>
      <c r="P1835" s="1">
        <v>45728</v>
      </c>
      <c r="Q1835">
        <v>2350</v>
      </c>
      <c r="R1835">
        <v>3565</v>
      </c>
      <c r="S1835" t="s">
        <v>99</v>
      </c>
      <c r="T1835">
        <v>2</v>
      </c>
      <c r="U1835" t="s">
        <v>58</v>
      </c>
      <c r="V1835" t="s">
        <v>24</v>
      </c>
      <c r="W1835" t="s">
        <v>23</v>
      </c>
    </row>
    <row r="1836" spans="1:23" x14ac:dyDescent="0.3">
      <c r="A1836" t="s">
        <v>3793</v>
      </c>
      <c r="B1836" t="s">
        <v>222</v>
      </c>
      <c r="C1836" t="s">
        <v>195</v>
      </c>
      <c r="D1836" t="s">
        <v>49</v>
      </c>
      <c r="E1836" t="s">
        <v>200</v>
      </c>
      <c r="F1836" t="s">
        <v>201</v>
      </c>
      <c r="G1836" t="s">
        <v>41</v>
      </c>
      <c r="H1836" t="s">
        <v>31</v>
      </c>
      <c r="I1836" t="str">
        <f>LEFT(H1836,FIND(" (",H1836)-1)</f>
        <v>Staff/Principal</v>
      </c>
      <c r="J1836" t="str">
        <f>MID(H1836,FIND("(",H1836)+1,FIND(")",H1836)-FIND("(",H1836)-1)</f>
        <v>8+ yrs</v>
      </c>
      <c r="L1836">
        <v>177952</v>
      </c>
      <c r="M1836" t="s">
        <v>3794</v>
      </c>
      <c r="N1836" t="s">
        <v>94</v>
      </c>
      <c r="O1836" t="s">
        <v>44</v>
      </c>
      <c r="P1836" s="1">
        <v>45316</v>
      </c>
      <c r="Q1836">
        <v>2311</v>
      </c>
      <c r="R1836">
        <v>187</v>
      </c>
      <c r="S1836" t="s">
        <v>34</v>
      </c>
      <c r="T1836">
        <v>6</v>
      </c>
      <c r="U1836" t="s">
        <v>52</v>
      </c>
      <c r="V1836" t="s">
        <v>24</v>
      </c>
      <c r="W1836" t="s">
        <v>34</v>
      </c>
    </row>
    <row r="1837" spans="1:23" x14ac:dyDescent="0.3">
      <c r="A1837" t="s">
        <v>3795</v>
      </c>
      <c r="B1837" t="s">
        <v>36</v>
      </c>
      <c r="C1837" t="s">
        <v>27</v>
      </c>
      <c r="D1837" t="s">
        <v>125</v>
      </c>
      <c r="E1837" t="s">
        <v>39</v>
      </c>
      <c r="F1837" t="s">
        <v>40</v>
      </c>
      <c r="G1837" t="s">
        <v>55</v>
      </c>
      <c r="H1837" t="s">
        <v>66</v>
      </c>
      <c r="I1837" t="str">
        <f>LEFT(H1837,FIND(" (",H1837)-1)</f>
        <v>Senior</v>
      </c>
      <c r="J1837" t="str">
        <f>MID(H1837,FIND("(",H1837)+1,FIND(")",H1837)-FIND("(",H1837)-1)</f>
        <v>5-8 yrs</v>
      </c>
      <c r="L1837">
        <v>159760</v>
      </c>
      <c r="M1837" t="s">
        <v>3796</v>
      </c>
      <c r="N1837" t="s">
        <v>186</v>
      </c>
      <c r="O1837" t="s">
        <v>51</v>
      </c>
      <c r="P1837" s="1">
        <v>45627</v>
      </c>
      <c r="Q1837">
        <v>1038</v>
      </c>
      <c r="R1837">
        <v>1449</v>
      </c>
      <c r="S1837" t="s">
        <v>23</v>
      </c>
      <c r="T1837">
        <v>4</v>
      </c>
      <c r="U1837" t="s">
        <v>58</v>
      </c>
      <c r="V1837" t="s">
        <v>24</v>
      </c>
      <c r="W1837" t="s">
        <v>34</v>
      </c>
    </row>
    <row r="1838" spans="1:23" x14ac:dyDescent="0.3">
      <c r="A1838" t="s">
        <v>3797</v>
      </c>
      <c r="B1838" t="s">
        <v>81</v>
      </c>
      <c r="C1838" t="s">
        <v>107</v>
      </c>
      <c r="D1838" t="s">
        <v>174</v>
      </c>
      <c r="E1838" t="s">
        <v>5132</v>
      </c>
      <c r="F1838" t="s">
        <v>5133</v>
      </c>
      <c r="G1838" t="s">
        <v>55</v>
      </c>
      <c r="H1838" t="s">
        <v>56</v>
      </c>
      <c r="I1838" t="str">
        <f>LEFT(H1838,FIND(" (",H1838)-1)</f>
        <v>Mid</v>
      </c>
      <c r="J1838" t="str">
        <f>MID(H1838,FIND("(",H1838)+1,FIND(")",H1838)-FIND("(",H1838)-1)</f>
        <v>2-5 yrs</v>
      </c>
      <c r="L1838">
        <v>87354</v>
      </c>
      <c r="M1838" t="s">
        <v>3798</v>
      </c>
      <c r="N1838" t="s">
        <v>89</v>
      </c>
      <c r="O1838" t="s">
        <v>22</v>
      </c>
      <c r="P1838" s="1">
        <v>45549</v>
      </c>
      <c r="Q1838">
        <v>464</v>
      </c>
      <c r="R1838">
        <v>1763</v>
      </c>
      <c r="S1838" t="s">
        <v>34</v>
      </c>
      <c r="T1838">
        <v>2</v>
      </c>
      <c r="U1838" t="s">
        <v>83</v>
      </c>
      <c r="V1838" t="s">
        <v>59</v>
      </c>
      <c r="W1838" t="s">
        <v>23</v>
      </c>
    </row>
    <row r="1839" spans="1:23" x14ac:dyDescent="0.3">
      <c r="A1839" t="s">
        <v>3799</v>
      </c>
      <c r="B1839" t="s">
        <v>61</v>
      </c>
      <c r="C1839" t="s">
        <v>92</v>
      </c>
      <c r="D1839" t="s">
        <v>125</v>
      </c>
      <c r="E1839" t="s">
        <v>5134</v>
      </c>
      <c r="F1839" t="s">
        <v>5133</v>
      </c>
      <c r="G1839" t="s">
        <v>41</v>
      </c>
      <c r="H1839" t="s">
        <v>19</v>
      </c>
      <c r="I1839" t="str">
        <f>LEFT(H1839,FIND(" (",H1839)-1)</f>
        <v>Entry</v>
      </c>
      <c r="J1839" t="str">
        <f>MID(H1839,FIND("(",H1839)+1,FIND(")",H1839)-FIND("(",H1839)-1)</f>
        <v>0-2 yrs</v>
      </c>
      <c r="L1839">
        <v>71367</v>
      </c>
      <c r="M1839" t="s">
        <v>3800</v>
      </c>
      <c r="N1839" t="s">
        <v>89</v>
      </c>
      <c r="O1839" t="s">
        <v>22</v>
      </c>
      <c r="P1839" s="1">
        <v>45525</v>
      </c>
      <c r="Q1839">
        <v>1306</v>
      </c>
      <c r="R1839">
        <v>348</v>
      </c>
      <c r="S1839" t="s">
        <v>23</v>
      </c>
      <c r="T1839">
        <v>0</v>
      </c>
      <c r="U1839" t="s">
        <v>58</v>
      </c>
      <c r="V1839" t="s">
        <v>24</v>
      </c>
      <c r="W1839" t="s">
        <v>23</v>
      </c>
    </row>
    <row r="1840" spans="1:23" x14ac:dyDescent="0.3">
      <c r="A1840" t="s">
        <v>3801</v>
      </c>
      <c r="B1840" t="s">
        <v>222</v>
      </c>
      <c r="C1840" t="s">
        <v>226</v>
      </c>
      <c r="D1840" t="s">
        <v>174</v>
      </c>
      <c r="E1840" t="s">
        <v>5139</v>
      </c>
      <c r="F1840" t="s">
        <v>5133</v>
      </c>
      <c r="G1840" t="s">
        <v>18</v>
      </c>
      <c r="H1840" t="s">
        <v>31</v>
      </c>
      <c r="I1840" t="str">
        <f>LEFT(H1840,FIND(" (",H1840)-1)</f>
        <v>Staff/Principal</v>
      </c>
      <c r="J1840" t="str">
        <f>MID(H1840,FIND("(",H1840)+1,FIND(")",H1840)-FIND("(",H1840)-1)</f>
        <v>8+ yrs</v>
      </c>
      <c r="L1840">
        <v>198803</v>
      </c>
      <c r="M1840" t="s">
        <v>3802</v>
      </c>
      <c r="N1840" t="s">
        <v>141</v>
      </c>
      <c r="O1840" t="s">
        <v>51</v>
      </c>
      <c r="P1840" s="1">
        <v>45495</v>
      </c>
      <c r="Q1840">
        <v>2014</v>
      </c>
      <c r="R1840">
        <v>3134</v>
      </c>
      <c r="S1840" t="s">
        <v>34</v>
      </c>
      <c r="T1840">
        <v>6</v>
      </c>
      <c r="U1840" t="s">
        <v>58</v>
      </c>
      <c r="V1840" t="s">
        <v>24</v>
      </c>
      <c r="W1840" t="s">
        <v>34</v>
      </c>
    </row>
    <row r="1841" spans="1:23" x14ac:dyDescent="0.3">
      <c r="A1841" t="s">
        <v>3803</v>
      </c>
      <c r="B1841" t="s">
        <v>329</v>
      </c>
      <c r="C1841" t="s">
        <v>209</v>
      </c>
      <c r="D1841" t="s">
        <v>63</v>
      </c>
      <c r="E1841" t="s">
        <v>64</v>
      </c>
      <c r="F1841" t="s">
        <v>65</v>
      </c>
      <c r="G1841" t="s">
        <v>55</v>
      </c>
      <c r="H1841" t="s">
        <v>31</v>
      </c>
      <c r="I1841" t="str">
        <f>LEFT(H1841,FIND(" (",H1841)-1)</f>
        <v>Staff/Principal</v>
      </c>
      <c r="J1841" t="str">
        <f>MID(H1841,FIND("(",H1841)+1,FIND(")",H1841)-FIND("(",H1841)-1)</f>
        <v>8+ yrs</v>
      </c>
      <c r="L1841">
        <v>192507</v>
      </c>
      <c r="M1841" t="s">
        <v>3804</v>
      </c>
      <c r="N1841" t="s">
        <v>33</v>
      </c>
      <c r="O1841" t="s">
        <v>44</v>
      </c>
      <c r="P1841" s="1">
        <v>45637</v>
      </c>
      <c r="Q1841">
        <v>761</v>
      </c>
      <c r="R1841">
        <v>41</v>
      </c>
      <c r="S1841" t="s">
        <v>34</v>
      </c>
      <c r="T1841">
        <v>6</v>
      </c>
      <c r="U1841" t="s">
        <v>45</v>
      </c>
      <c r="V1841" t="s">
        <v>59</v>
      </c>
      <c r="W1841" t="s">
        <v>23</v>
      </c>
    </row>
    <row r="1842" spans="1:23" x14ac:dyDescent="0.3">
      <c r="A1842" t="s">
        <v>3805</v>
      </c>
      <c r="B1842" t="s">
        <v>329</v>
      </c>
      <c r="C1842" t="s">
        <v>146</v>
      </c>
      <c r="D1842" t="s">
        <v>111</v>
      </c>
      <c r="E1842" t="s">
        <v>5135</v>
      </c>
      <c r="F1842" t="s">
        <v>5133</v>
      </c>
      <c r="G1842" t="s">
        <v>18</v>
      </c>
      <c r="H1842" t="s">
        <v>31</v>
      </c>
      <c r="I1842" t="str">
        <f>LEFT(H1842,FIND(" (",H1842)-1)</f>
        <v>Staff/Principal</v>
      </c>
      <c r="J1842" t="str">
        <f>MID(H1842,FIND("(",H1842)+1,FIND(")",H1842)-FIND("(",H1842)-1)</f>
        <v>8+ yrs</v>
      </c>
      <c r="L1842">
        <v>195372</v>
      </c>
      <c r="M1842" t="s">
        <v>3806</v>
      </c>
      <c r="N1842" t="s">
        <v>141</v>
      </c>
      <c r="O1842" t="s">
        <v>22</v>
      </c>
      <c r="P1842" s="1">
        <v>45293</v>
      </c>
      <c r="Q1842">
        <v>1038</v>
      </c>
      <c r="R1842">
        <v>3990</v>
      </c>
      <c r="S1842" t="s">
        <v>34</v>
      </c>
      <c r="T1842">
        <v>6</v>
      </c>
      <c r="U1842" t="s">
        <v>52</v>
      </c>
      <c r="V1842" t="s">
        <v>24</v>
      </c>
      <c r="W1842" t="s">
        <v>34</v>
      </c>
    </row>
    <row r="1843" spans="1:23" x14ac:dyDescent="0.3">
      <c r="A1843" t="s">
        <v>3807</v>
      </c>
      <c r="B1843" t="s">
        <v>91</v>
      </c>
      <c r="C1843" t="s">
        <v>37</v>
      </c>
      <c r="D1843" t="s">
        <v>28</v>
      </c>
      <c r="E1843" t="s">
        <v>5141</v>
      </c>
      <c r="F1843" t="s">
        <v>5133</v>
      </c>
      <c r="G1843" t="s">
        <v>18</v>
      </c>
      <c r="H1843" t="s">
        <v>19</v>
      </c>
      <c r="I1843" t="str">
        <f>LEFT(H1843,FIND(" (",H1843)-1)</f>
        <v>Entry</v>
      </c>
      <c r="J1843" t="str">
        <f>MID(H1843,FIND("(",H1843)+1,FIND(")",H1843)-FIND("(",H1843)-1)</f>
        <v>0-2 yrs</v>
      </c>
      <c r="L1843">
        <v>50000</v>
      </c>
      <c r="M1843" t="s">
        <v>3808</v>
      </c>
      <c r="N1843" t="s">
        <v>33</v>
      </c>
      <c r="O1843" t="s">
        <v>22</v>
      </c>
      <c r="P1843" s="1">
        <v>45436</v>
      </c>
      <c r="Q1843">
        <v>743</v>
      </c>
      <c r="R1843">
        <v>2902</v>
      </c>
      <c r="S1843" t="s">
        <v>23</v>
      </c>
      <c r="T1843">
        <v>0</v>
      </c>
      <c r="U1843" t="s">
        <v>5123</v>
      </c>
      <c r="V1843" t="s">
        <v>24</v>
      </c>
      <c r="W1843" t="s">
        <v>34</v>
      </c>
    </row>
    <row r="1844" spans="1:23" x14ac:dyDescent="0.3">
      <c r="A1844" t="s">
        <v>3809</v>
      </c>
      <c r="B1844" t="s">
        <v>36</v>
      </c>
      <c r="C1844" t="s">
        <v>179</v>
      </c>
      <c r="D1844" t="s">
        <v>49</v>
      </c>
      <c r="E1844" t="s">
        <v>76</v>
      </c>
      <c r="F1844" t="s">
        <v>77</v>
      </c>
      <c r="G1844" t="s">
        <v>41</v>
      </c>
      <c r="H1844" t="s">
        <v>31</v>
      </c>
      <c r="I1844" t="str">
        <f>LEFT(H1844,FIND(" (",H1844)-1)</f>
        <v>Staff/Principal</v>
      </c>
      <c r="J1844" t="str">
        <f>MID(H1844,FIND("(",H1844)+1,FIND(")",H1844)-FIND("(",H1844)-1)</f>
        <v>8+ yrs</v>
      </c>
      <c r="L1844">
        <v>180245</v>
      </c>
      <c r="M1844" t="s">
        <v>3810</v>
      </c>
      <c r="N1844" t="s">
        <v>33</v>
      </c>
      <c r="O1844" t="s">
        <v>44</v>
      </c>
      <c r="P1844" s="1">
        <v>45613</v>
      </c>
      <c r="Q1844">
        <v>565</v>
      </c>
      <c r="R1844">
        <v>1332</v>
      </c>
      <c r="S1844" t="s">
        <v>23</v>
      </c>
      <c r="T1844">
        <v>6</v>
      </c>
      <c r="U1844" t="s">
        <v>83</v>
      </c>
      <c r="V1844" t="s">
        <v>24</v>
      </c>
      <c r="W1844" t="s">
        <v>23</v>
      </c>
    </row>
    <row r="1845" spans="1:23" x14ac:dyDescent="0.3">
      <c r="A1845" t="s">
        <v>3811</v>
      </c>
      <c r="B1845" t="s">
        <v>13</v>
      </c>
      <c r="C1845" t="s">
        <v>124</v>
      </c>
      <c r="D1845" t="s">
        <v>174</v>
      </c>
      <c r="E1845" t="s">
        <v>216</v>
      </c>
      <c r="F1845" t="s">
        <v>217</v>
      </c>
      <c r="G1845" t="s">
        <v>18</v>
      </c>
      <c r="H1845" t="s">
        <v>19</v>
      </c>
      <c r="I1845" t="str">
        <f>LEFT(H1845,FIND(" (",H1845)-1)</f>
        <v>Entry</v>
      </c>
      <c r="J1845" t="str">
        <f>MID(H1845,FIND("(",H1845)+1,FIND(")",H1845)-FIND("(",H1845)-1)</f>
        <v>0-2 yrs</v>
      </c>
      <c r="L1845">
        <v>71169</v>
      </c>
      <c r="M1845" t="s">
        <v>3812</v>
      </c>
      <c r="N1845" t="s">
        <v>245</v>
      </c>
      <c r="O1845" t="s">
        <v>51</v>
      </c>
      <c r="P1845" s="1">
        <v>45437</v>
      </c>
      <c r="Q1845">
        <v>1808</v>
      </c>
      <c r="R1845">
        <v>2876</v>
      </c>
      <c r="S1845" t="s">
        <v>23</v>
      </c>
      <c r="T1845">
        <v>0</v>
      </c>
      <c r="U1845" t="s">
        <v>58</v>
      </c>
      <c r="V1845" t="s">
        <v>59</v>
      </c>
      <c r="W1845" t="s">
        <v>34</v>
      </c>
    </row>
    <row r="1846" spans="1:23" x14ac:dyDescent="0.3">
      <c r="A1846" t="s">
        <v>3813</v>
      </c>
      <c r="B1846" t="s">
        <v>143</v>
      </c>
      <c r="C1846" t="s">
        <v>124</v>
      </c>
      <c r="D1846" t="s">
        <v>28</v>
      </c>
      <c r="E1846" t="s">
        <v>5137</v>
      </c>
      <c r="F1846" t="s">
        <v>5138</v>
      </c>
      <c r="G1846" t="s">
        <v>18</v>
      </c>
      <c r="H1846" t="s">
        <v>66</v>
      </c>
      <c r="I1846" t="str">
        <f>LEFT(H1846,FIND(" (",H1846)-1)</f>
        <v>Senior</v>
      </c>
      <c r="J1846" t="str">
        <f>MID(H1846,FIND("(",H1846)+1,FIND(")",H1846)-FIND("(",H1846)-1)</f>
        <v>5-8 yrs</v>
      </c>
      <c r="L1846">
        <v>154316</v>
      </c>
      <c r="M1846" t="s">
        <v>3814</v>
      </c>
      <c r="N1846" t="s">
        <v>89</v>
      </c>
      <c r="O1846" t="s">
        <v>51</v>
      </c>
      <c r="P1846" s="1">
        <v>45426</v>
      </c>
      <c r="Q1846">
        <v>755</v>
      </c>
      <c r="R1846">
        <v>3364</v>
      </c>
      <c r="S1846" t="s">
        <v>34</v>
      </c>
      <c r="T1846">
        <v>4</v>
      </c>
      <c r="U1846" t="s">
        <v>83</v>
      </c>
      <c r="V1846" t="s">
        <v>24</v>
      </c>
      <c r="W1846" t="s">
        <v>23</v>
      </c>
    </row>
    <row r="1847" spans="1:23" x14ac:dyDescent="0.3">
      <c r="A1847" t="s">
        <v>3815</v>
      </c>
      <c r="B1847" t="s">
        <v>91</v>
      </c>
      <c r="C1847" t="s">
        <v>195</v>
      </c>
      <c r="D1847" t="s">
        <v>63</v>
      </c>
      <c r="E1847" t="s">
        <v>200</v>
      </c>
      <c r="F1847" t="s">
        <v>201</v>
      </c>
      <c r="G1847" t="s">
        <v>41</v>
      </c>
      <c r="H1847" t="s">
        <v>56</v>
      </c>
      <c r="I1847" t="str">
        <f>LEFT(H1847,FIND(" (",H1847)-1)</f>
        <v>Mid</v>
      </c>
      <c r="J1847" t="str">
        <f>MID(H1847,FIND("(",H1847)+1,FIND(")",H1847)-FIND("(",H1847)-1)</f>
        <v>2-5 yrs</v>
      </c>
      <c r="L1847">
        <v>89652</v>
      </c>
      <c r="M1847" t="s">
        <v>3816</v>
      </c>
      <c r="N1847" t="s">
        <v>141</v>
      </c>
      <c r="O1847" t="s">
        <v>51</v>
      </c>
      <c r="P1847" s="1">
        <v>45339</v>
      </c>
      <c r="Q1847">
        <v>1752</v>
      </c>
      <c r="R1847">
        <v>2485</v>
      </c>
      <c r="S1847" t="s">
        <v>34</v>
      </c>
      <c r="T1847">
        <v>2</v>
      </c>
      <c r="U1847" t="s">
        <v>52</v>
      </c>
      <c r="V1847" t="s">
        <v>46</v>
      </c>
      <c r="W1847" t="s">
        <v>23</v>
      </c>
    </row>
    <row r="1848" spans="1:23" x14ac:dyDescent="0.3">
      <c r="A1848" t="s">
        <v>3817</v>
      </c>
      <c r="B1848" t="s">
        <v>91</v>
      </c>
      <c r="C1848" t="s">
        <v>195</v>
      </c>
      <c r="D1848" t="s">
        <v>75</v>
      </c>
      <c r="E1848" t="s">
        <v>5136</v>
      </c>
      <c r="F1848" t="s">
        <v>5133</v>
      </c>
      <c r="G1848" t="s">
        <v>55</v>
      </c>
      <c r="H1848" t="s">
        <v>19</v>
      </c>
      <c r="I1848" t="str">
        <f>LEFT(H1848,FIND(" (",H1848)-1)</f>
        <v>Entry</v>
      </c>
      <c r="J1848" t="str">
        <f>MID(H1848,FIND("(",H1848)+1,FIND(")",H1848)-FIND("(",H1848)-1)</f>
        <v>0-2 yrs</v>
      </c>
      <c r="L1848">
        <v>85947</v>
      </c>
      <c r="M1848" t="s">
        <v>3818</v>
      </c>
      <c r="N1848" t="s">
        <v>141</v>
      </c>
      <c r="O1848" t="s">
        <v>22</v>
      </c>
      <c r="P1848" s="1">
        <v>45643</v>
      </c>
      <c r="Q1848">
        <v>601</v>
      </c>
      <c r="R1848">
        <v>2009</v>
      </c>
      <c r="S1848" t="s">
        <v>23</v>
      </c>
      <c r="T1848">
        <v>0</v>
      </c>
      <c r="U1848" t="s">
        <v>58</v>
      </c>
      <c r="V1848" t="s">
        <v>24</v>
      </c>
      <c r="W1848" t="s">
        <v>23</v>
      </c>
    </row>
    <row r="1849" spans="1:23" x14ac:dyDescent="0.3">
      <c r="A1849" t="s">
        <v>3819</v>
      </c>
      <c r="B1849" t="s">
        <v>131</v>
      </c>
      <c r="C1849" t="s">
        <v>239</v>
      </c>
      <c r="D1849" t="s">
        <v>174</v>
      </c>
      <c r="E1849" t="s">
        <v>230</v>
      </c>
      <c r="F1849" t="s">
        <v>231</v>
      </c>
      <c r="G1849" t="s">
        <v>18</v>
      </c>
      <c r="H1849" t="s">
        <v>66</v>
      </c>
      <c r="I1849" t="str">
        <f>LEFT(H1849,FIND(" (",H1849)-1)</f>
        <v>Senior</v>
      </c>
      <c r="J1849" t="str">
        <f>MID(H1849,FIND("(",H1849)+1,FIND(")",H1849)-FIND("(",H1849)-1)</f>
        <v>5-8 yrs</v>
      </c>
      <c r="L1849">
        <v>126613</v>
      </c>
      <c r="M1849" t="s">
        <v>3820</v>
      </c>
      <c r="N1849" t="s">
        <v>245</v>
      </c>
      <c r="O1849" t="s">
        <v>51</v>
      </c>
      <c r="P1849" s="1">
        <v>45471</v>
      </c>
      <c r="Q1849">
        <v>2337</v>
      </c>
      <c r="R1849">
        <v>3501</v>
      </c>
      <c r="S1849" t="s">
        <v>99</v>
      </c>
      <c r="T1849">
        <v>4</v>
      </c>
      <c r="U1849" t="s">
        <v>58</v>
      </c>
      <c r="V1849" t="s">
        <v>59</v>
      </c>
      <c r="W1849" t="s">
        <v>34</v>
      </c>
    </row>
    <row r="1850" spans="1:23" x14ac:dyDescent="0.3">
      <c r="A1850" t="s">
        <v>3821</v>
      </c>
      <c r="B1850" t="s">
        <v>36</v>
      </c>
      <c r="C1850" t="s">
        <v>48</v>
      </c>
      <c r="D1850" t="s">
        <v>125</v>
      </c>
      <c r="E1850" t="s">
        <v>102</v>
      </c>
      <c r="F1850" t="s">
        <v>103</v>
      </c>
      <c r="G1850" t="s">
        <v>55</v>
      </c>
      <c r="H1850" t="s">
        <v>31</v>
      </c>
      <c r="I1850" t="str">
        <f>LEFT(H1850,FIND(" (",H1850)-1)</f>
        <v>Staff/Principal</v>
      </c>
      <c r="J1850" t="str">
        <f>MID(H1850,FIND("(",H1850)+1,FIND(")",H1850)-FIND("(",H1850)-1)</f>
        <v>8+ yrs</v>
      </c>
      <c r="L1850">
        <v>234900</v>
      </c>
      <c r="M1850" t="s">
        <v>3822</v>
      </c>
      <c r="N1850" t="s">
        <v>21</v>
      </c>
      <c r="O1850" t="s">
        <v>51</v>
      </c>
      <c r="P1850" s="1">
        <v>45532</v>
      </c>
      <c r="Q1850">
        <v>827</v>
      </c>
      <c r="R1850">
        <v>3828</v>
      </c>
      <c r="S1850" t="s">
        <v>23</v>
      </c>
      <c r="T1850">
        <v>6</v>
      </c>
      <c r="U1850" t="s">
        <v>58</v>
      </c>
      <c r="V1850" t="s">
        <v>59</v>
      </c>
      <c r="W1850" t="s">
        <v>23</v>
      </c>
    </row>
    <row r="1851" spans="1:23" x14ac:dyDescent="0.3">
      <c r="A1851" t="s">
        <v>3823</v>
      </c>
      <c r="B1851" t="s">
        <v>70</v>
      </c>
      <c r="C1851" t="s">
        <v>86</v>
      </c>
      <c r="D1851" t="s">
        <v>38</v>
      </c>
      <c r="E1851" t="s">
        <v>133</v>
      </c>
      <c r="F1851" t="s">
        <v>134</v>
      </c>
      <c r="G1851" t="s">
        <v>18</v>
      </c>
      <c r="H1851" t="s">
        <v>19</v>
      </c>
      <c r="I1851" t="str">
        <f>LEFT(H1851,FIND(" (",H1851)-1)</f>
        <v>Entry</v>
      </c>
      <c r="J1851" t="str">
        <f>MID(H1851,FIND("(",H1851)+1,FIND(")",H1851)-FIND("(",H1851)-1)</f>
        <v>0-2 yrs</v>
      </c>
      <c r="L1851">
        <v>75382</v>
      </c>
      <c r="M1851" t="s">
        <v>3824</v>
      </c>
      <c r="N1851" t="s">
        <v>33</v>
      </c>
      <c r="O1851" t="s">
        <v>51</v>
      </c>
      <c r="P1851" s="1">
        <v>45732</v>
      </c>
      <c r="Q1851">
        <v>313</v>
      </c>
      <c r="R1851">
        <v>2416</v>
      </c>
      <c r="S1851" t="s">
        <v>23</v>
      </c>
      <c r="T1851">
        <v>0</v>
      </c>
      <c r="U1851" t="s">
        <v>83</v>
      </c>
      <c r="V1851" t="s">
        <v>24</v>
      </c>
      <c r="W1851" t="s">
        <v>23</v>
      </c>
    </row>
    <row r="1852" spans="1:23" x14ac:dyDescent="0.3">
      <c r="A1852" t="s">
        <v>3825</v>
      </c>
      <c r="B1852" t="s">
        <v>26</v>
      </c>
      <c r="C1852" t="s">
        <v>62</v>
      </c>
      <c r="D1852" t="s">
        <v>15</v>
      </c>
      <c r="E1852" t="s">
        <v>39</v>
      </c>
      <c r="F1852" t="s">
        <v>40</v>
      </c>
      <c r="G1852" t="s">
        <v>18</v>
      </c>
      <c r="H1852" t="s">
        <v>19</v>
      </c>
      <c r="I1852" t="str">
        <f>LEFT(H1852,FIND(" (",H1852)-1)</f>
        <v>Entry</v>
      </c>
      <c r="J1852" t="str">
        <f>MID(H1852,FIND("(",H1852)+1,FIND(")",H1852)-FIND("(",H1852)-1)</f>
        <v>0-2 yrs</v>
      </c>
      <c r="L1852">
        <v>61857</v>
      </c>
      <c r="M1852" t="s">
        <v>3826</v>
      </c>
      <c r="N1852" t="s">
        <v>33</v>
      </c>
      <c r="O1852" t="s">
        <v>51</v>
      </c>
      <c r="P1852" s="1">
        <v>45738</v>
      </c>
      <c r="Q1852">
        <v>2445</v>
      </c>
      <c r="R1852">
        <v>1901</v>
      </c>
      <c r="S1852" t="s">
        <v>23</v>
      </c>
      <c r="T1852">
        <v>0</v>
      </c>
      <c r="U1852" t="s">
        <v>58</v>
      </c>
      <c r="V1852" t="s">
        <v>59</v>
      </c>
      <c r="W1852" t="s">
        <v>23</v>
      </c>
    </row>
    <row r="1853" spans="1:23" x14ac:dyDescent="0.3">
      <c r="A1853" t="s">
        <v>3827</v>
      </c>
      <c r="B1853" t="s">
        <v>70</v>
      </c>
      <c r="C1853" t="s">
        <v>239</v>
      </c>
      <c r="D1853" t="s">
        <v>147</v>
      </c>
      <c r="E1853" t="s">
        <v>200</v>
      </c>
      <c r="F1853" t="s">
        <v>201</v>
      </c>
      <c r="G1853" t="s">
        <v>41</v>
      </c>
      <c r="H1853" t="s">
        <v>66</v>
      </c>
      <c r="I1853" t="str">
        <f>LEFT(H1853,FIND(" (",H1853)-1)</f>
        <v>Senior</v>
      </c>
      <c r="J1853" t="str">
        <f>MID(H1853,FIND("(",H1853)+1,FIND(")",H1853)-FIND("(",H1853)-1)</f>
        <v>5-8 yrs</v>
      </c>
      <c r="L1853">
        <v>197933</v>
      </c>
      <c r="M1853" t="s">
        <v>3828</v>
      </c>
      <c r="N1853" t="s">
        <v>21</v>
      </c>
      <c r="O1853" t="s">
        <v>51</v>
      </c>
      <c r="P1853" s="1">
        <v>45649</v>
      </c>
      <c r="Q1853">
        <v>415</v>
      </c>
      <c r="R1853">
        <v>3959</v>
      </c>
      <c r="S1853" t="s">
        <v>23</v>
      </c>
      <c r="T1853">
        <v>4</v>
      </c>
      <c r="U1853" t="s">
        <v>52</v>
      </c>
      <c r="V1853" t="s">
        <v>24</v>
      </c>
      <c r="W1853" t="s">
        <v>23</v>
      </c>
    </row>
    <row r="1854" spans="1:23" x14ac:dyDescent="0.3">
      <c r="A1854" t="s">
        <v>3829</v>
      </c>
      <c r="B1854" t="s">
        <v>225</v>
      </c>
      <c r="C1854" t="s">
        <v>128</v>
      </c>
      <c r="D1854" t="s">
        <v>49</v>
      </c>
      <c r="E1854" t="s">
        <v>200</v>
      </c>
      <c r="F1854" t="s">
        <v>201</v>
      </c>
      <c r="G1854" t="s">
        <v>41</v>
      </c>
      <c r="H1854" t="s">
        <v>31</v>
      </c>
      <c r="I1854" t="str">
        <f>LEFT(H1854,FIND(" (",H1854)-1)</f>
        <v>Staff/Principal</v>
      </c>
      <c r="J1854" t="str">
        <f>MID(H1854,FIND("(",H1854)+1,FIND(")",H1854)-FIND("(",H1854)-1)</f>
        <v>8+ yrs</v>
      </c>
      <c r="L1854">
        <v>157029</v>
      </c>
      <c r="M1854" t="s">
        <v>3830</v>
      </c>
      <c r="N1854" t="s">
        <v>33</v>
      </c>
      <c r="O1854" t="s">
        <v>79</v>
      </c>
      <c r="P1854" s="1">
        <v>45595</v>
      </c>
      <c r="Q1854">
        <v>1808</v>
      </c>
      <c r="R1854">
        <v>1653</v>
      </c>
      <c r="S1854" t="s">
        <v>34</v>
      </c>
      <c r="T1854">
        <v>6</v>
      </c>
      <c r="U1854" t="s">
        <v>83</v>
      </c>
      <c r="V1854" t="s">
        <v>46</v>
      </c>
      <c r="W1854" t="s">
        <v>23</v>
      </c>
    </row>
    <row r="1855" spans="1:23" x14ac:dyDescent="0.3">
      <c r="A1855" t="s">
        <v>3831</v>
      </c>
      <c r="B1855" t="s">
        <v>81</v>
      </c>
      <c r="C1855" t="s">
        <v>107</v>
      </c>
      <c r="D1855" t="s">
        <v>75</v>
      </c>
      <c r="E1855" t="s">
        <v>5141</v>
      </c>
      <c r="F1855" t="s">
        <v>5133</v>
      </c>
      <c r="G1855" t="s">
        <v>18</v>
      </c>
      <c r="H1855" t="s">
        <v>56</v>
      </c>
      <c r="I1855" t="str">
        <f>LEFT(H1855,FIND(" (",H1855)-1)</f>
        <v>Mid</v>
      </c>
      <c r="J1855" t="str">
        <f>MID(H1855,FIND("(",H1855)+1,FIND(")",H1855)-FIND("(",H1855)-1)</f>
        <v>2-5 yrs</v>
      </c>
      <c r="L1855">
        <v>128199</v>
      </c>
      <c r="M1855" t="s">
        <v>3832</v>
      </c>
      <c r="N1855" t="s">
        <v>33</v>
      </c>
      <c r="O1855" t="s">
        <v>51</v>
      </c>
      <c r="P1855" s="1">
        <v>45545</v>
      </c>
      <c r="Q1855">
        <v>2236</v>
      </c>
      <c r="R1855">
        <v>784</v>
      </c>
      <c r="S1855" t="s">
        <v>23</v>
      </c>
      <c r="T1855">
        <v>2</v>
      </c>
      <c r="U1855" t="s">
        <v>5123</v>
      </c>
      <c r="V1855" t="s">
        <v>24</v>
      </c>
      <c r="W1855" t="s">
        <v>23</v>
      </c>
    </row>
    <row r="1856" spans="1:23" x14ac:dyDescent="0.3">
      <c r="A1856" t="s">
        <v>3833</v>
      </c>
      <c r="B1856" t="s">
        <v>96</v>
      </c>
      <c r="C1856" t="s">
        <v>27</v>
      </c>
      <c r="D1856" t="s">
        <v>75</v>
      </c>
      <c r="E1856" t="s">
        <v>16</v>
      </c>
      <c r="F1856" t="s">
        <v>17</v>
      </c>
      <c r="G1856" t="s">
        <v>41</v>
      </c>
      <c r="H1856" t="s">
        <v>31</v>
      </c>
      <c r="I1856" t="str">
        <f>LEFT(H1856,FIND(" (",H1856)-1)</f>
        <v>Staff/Principal</v>
      </c>
      <c r="J1856" t="str">
        <f>MID(H1856,FIND("(",H1856)+1,FIND(")",H1856)-FIND("(",H1856)-1)</f>
        <v>8+ yrs</v>
      </c>
      <c r="L1856">
        <v>236020</v>
      </c>
      <c r="M1856" t="s">
        <v>3834</v>
      </c>
      <c r="N1856" t="s">
        <v>33</v>
      </c>
      <c r="O1856" t="s">
        <v>51</v>
      </c>
      <c r="P1856" s="1">
        <v>45436</v>
      </c>
      <c r="Q1856">
        <v>2499</v>
      </c>
      <c r="R1856">
        <v>973</v>
      </c>
      <c r="S1856" t="s">
        <v>23</v>
      </c>
      <c r="T1856">
        <v>6</v>
      </c>
      <c r="U1856" t="s">
        <v>83</v>
      </c>
      <c r="V1856" t="s">
        <v>24</v>
      </c>
      <c r="W1856" t="s">
        <v>23</v>
      </c>
    </row>
    <row r="1857" spans="1:23" x14ac:dyDescent="0.3">
      <c r="A1857" t="s">
        <v>3835</v>
      </c>
      <c r="B1857" t="s">
        <v>13</v>
      </c>
      <c r="C1857" t="s">
        <v>86</v>
      </c>
      <c r="D1857" t="s">
        <v>28</v>
      </c>
      <c r="E1857" t="s">
        <v>5141</v>
      </c>
      <c r="F1857" t="s">
        <v>5133</v>
      </c>
      <c r="G1857" t="s">
        <v>18</v>
      </c>
      <c r="H1857" t="s">
        <v>56</v>
      </c>
      <c r="I1857" t="str">
        <f>LEFT(H1857,FIND(" (",H1857)-1)</f>
        <v>Mid</v>
      </c>
      <c r="J1857" t="str">
        <f>MID(H1857,FIND("(",H1857)+1,FIND(")",H1857)-FIND("(",H1857)-1)</f>
        <v>2-5 yrs</v>
      </c>
      <c r="L1857">
        <v>96721</v>
      </c>
      <c r="M1857" t="s">
        <v>3836</v>
      </c>
      <c r="N1857" t="s">
        <v>33</v>
      </c>
      <c r="O1857" t="s">
        <v>51</v>
      </c>
      <c r="P1857" s="1">
        <v>45310</v>
      </c>
      <c r="Q1857">
        <v>804</v>
      </c>
      <c r="R1857">
        <v>619</v>
      </c>
      <c r="S1857" t="s">
        <v>23</v>
      </c>
      <c r="T1857">
        <v>2</v>
      </c>
      <c r="U1857" t="s">
        <v>58</v>
      </c>
      <c r="V1857" t="s">
        <v>24</v>
      </c>
      <c r="W1857" t="s">
        <v>34</v>
      </c>
    </row>
    <row r="1858" spans="1:23" x14ac:dyDescent="0.3">
      <c r="A1858" t="s">
        <v>3837</v>
      </c>
      <c r="B1858" t="s">
        <v>329</v>
      </c>
      <c r="C1858" t="s">
        <v>192</v>
      </c>
      <c r="D1858" t="s">
        <v>75</v>
      </c>
      <c r="E1858" t="s">
        <v>87</v>
      </c>
      <c r="F1858" t="s">
        <v>87</v>
      </c>
      <c r="G1858" t="s">
        <v>18</v>
      </c>
      <c r="H1858" t="s">
        <v>56</v>
      </c>
      <c r="I1858" t="str">
        <f>LEFT(H1858,FIND(" (",H1858)-1)</f>
        <v>Mid</v>
      </c>
      <c r="J1858" t="str">
        <f>MID(H1858,FIND("(",H1858)+1,FIND(")",H1858)-FIND("(",H1858)-1)</f>
        <v>2-5 yrs</v>
      </c>
      <c r="L1858">
        <v>137570</v>
      </c>
      <c r="M1858" t="s">
        <v>3838</v>
      </c>
      <c r="N1858" t="s">
        <v>94</v>
      </c>
      <c r="O1858" t="s">
        <v>22</v>
      </c>
      <c r="P1858" s="1">
        <v>45639</v>
      </c>
      <c r="Q1858">
        <v>1614</v>
      </c>
      <c r="R1858">
        <v>2637</v>
      </c>
      <c r="S1858" t="s">
        <v>23</v>
      </c>
      <c r="T1858">
        <v>2</v>
      </c>
      <c r="U1858" t="s">
        <v>52</v>
      </c>
      <c r="V1858" t="s">
        <v>24</v>
      </c>
      <c r="W1858" t="s">
        <v>23</v>
      </c>
    </row>
    <row r="1859" spans="1:23" x14ac:dyDescent="0.3">
      <c r="A1859" t="s">
        <v>3839</v>
      </c>
      <c r="B1859" t="s">
        <v>96</v>
      </c>
      <c r="C1859" t="s">
        <v>71</v>
      </c>
      <c r="D1859" t="s">
        <v>75</v>
      </c>
      <c r="E1859" t="s">
        <v>29</v>
      </c>
      <c r="F1859" t="s">
        <v>30</v>
      </c>
      <c r="G1859" t="s">
        <v>18</v>
      </c>
      <c r="H1859" t="s">
        <v>66</v>
      </c>
      <c r="I1859" t="str">
        <f>LEFT(H1859,FIND(" (",H1859)-1)</f>
        <v>Senior</v>
      </c>
      <c r="J1859" t="str">
        <f>MID(H1859,FIND("(",H1859)+1,FIND(")",H1859)-FIND("(",H1859)-1)</f>
        <v>5-8 yrs</v>
      </c>
      <c r="L1859">
        <v>143248</v>
      </c>
      <c r="M1859" t="s">
        <v>3840</v>
      </c>
      <c r="N1859" t="s">
        <v>120</v>
      </c>
      <c r="O1859" t="s">
        <v>79</v>
      </c>
      <c r="P1859" s="1">
        <v>45723</v>
      </c>
      <c r="Q1859">
        <v>1338</v>
      </c>
      <c r="R1859">
        <v>1976</v>
      </c>
      <c r="S1859" t="s">
        <v>23</v>
      </c>
      <c r="T1859">
        <v>4</v>
      </c>
      <c r="U1859" t="s">
        <v>5123</v>
      </c>
      <c r="V1859" t="s">
        <v>24</v>
      </c>
      <c r="W1859" t="s">
        <v>34</v>
      </c>
    </row>
    <row r="1860" spans="1:23" x14ac:dyDescent="0.3">
      <c r="A1860" t="s">
        <v>3841</v>
      </c>
      <c r="B1860" t="s">
        <v>143</v>
      </c>
      <c r="C1860" t="s">
        <v>146</v>
      </c>
      <c r="D1860" t="s">
        <v>63</v>
      </c>
      <c r="E1860" t="s">
        <v>230</v>
      </c>
      <c r="F1860" t="s">
        <v>231</v>
      </c>
      <c r="G1860" t="s">
        <v>41</v>
      </c>
      <c r="H1860" t="s">
        <v>56</v>
      </c>
      <c r="I1860" t="str">
        <f>LEFT(H1860,FIND(" (",H1860)-1)</f>
        <v>Mid</v>
      </c>
      <c r="J1860" t="str">
        <f>MID(H1860,FIND("(",H1860)+1,FIND(")",H1860)-FIND("(",H1860)-1)</f>
        <v>2-5 yrs</v>
      </c>
      <c r="L1860">
        <v>115716</v>
      </c>
      <c r="M1860" t="s">
        <v>3842</v>
      </c>
      <c r="N1860" t="s">
        <v>149</v>
      </c>
      <c r="O1860" t="s">
        <v>51</v>
      </c>
      <c r="P1860" s="1">
        <v>45354</v>
      </c>
      <c r="Q1860">
        <v>1674</v>
      </c>
      <c r="R1860">
        <v>3719</v>
      </c>
      <c r="S1860" t="s">
        <v>99</v>
      </c>
      <c r="T1860">
        <v>2</v>
      </c>
      <c r="U1860" t="s">
        <v>52</v>
      </c>
      <c r="V1860" t="s">
        <v>24</v>
      </c>
      <c r="W1860" t="s">
        <v>34</v>
      </c>
    </row>
    <row r="1861" spans="1:23" x14ac:dyDescent="0.3">
      <c r="A1861" t="s">
        <v>3843</v>
      </c>
      <c r="B1861" t="s">
        <v>172</v>
      </c>
      <c r="C1861" t="s">
        <v>239</v>
      </c>
      <c r="D1861" t="s">
        <v>125</v>
      </c>
      <c r="E1861" t="s">
        <v>5135</v>
      </c>
      <c r="F1861" t="s">
        <v>5133</v>
      </c>
      <c r="G1861" t="s">
        <v>18</v>
      </c>
      <c r="H1861" t="s">
        <v>66</v>
      </c>
      <c r="I1861" t="str">
        <f>LEFT(H1861,FIND(" (",H1861)-1)</f>
        <v>Senior</v>
      </c>
      <c r="J1861" t="str">
        <f>MID(H1861,FIND("(",H1861)+1,FIND(")",H1861)-FIND("(",H1861)-1)</f>
        <v>5-8 yrs</v>
      </c>
      <c r="L1861">
        <v>157028</v>
      </c>
      <c r="M1861" t="s">
        <v>3844</v>
      </c>
      <c r="N1861" t="s">
        <v>149</v>
      </c>
      <c r="O1861" t="s">
        <v>51</v>
      </c>
      <c r="P1861" s="1">
        <v>45538</v>
      </c>
      <c r="Q1861">
        <v>1167</v>
      </c>
      <c r="R1861">
        <v>1246</v>
      </c>
      <c r="S1861" t="s">
        <v>23</v>
      </c>
      <c r="T1861">
        <v>4</v>
      </c>
      <c r="U1861" t="s">
        <v>52</v>
      </c>
      <c r="V1861" t="s">
        <v>24</v>
      </c>
      <c r="W1861" t="s">
        <v>23</v>
      </c>
    </row>
    <row r="1862" spans="1:23" x14ac:dyDescent="0.3">
      <c r="A1862" t="s">
        <v>3845</v>
      </c>
      <c r="B1862" t="s">
        <v>70</v>
      </c>
      <c r="C1862" t="s">
        <v>54</v>
      </c>
      <c r="D1862" t="s">
        <v>111</v>
      </c>
      <c r="E1862" t="s">
        <v>5132</v>
      </c>
      <c r="F1862" t="s">
        <v>5133</v>
      </c>
      <c r="G1862" t="s">
        <v>41</v>
      </c>
      <c r="H1862" t="s">
        <v>19</v>
      </c>
      <c r="I1862" t="str">
        <f>LEFT(H1862,FIND(" (",H1862)-1)</f>
        <v>Entry</v>
      </c>
      <c r="J1862" t="str">
        <f>MID(H1862,FIND("(",H1862)+1,FIND(")",H1862)-FIND("(",H1862)-1)</f>
        <v>0-2 yrs</v>
      </c>
      <c r="L1862">
        <v>68307</v>
      </c>
      <c r="M1862" t="s">
        <v>3846</v>
      </c>
      <c r="N1862" t="s">
        <v>245</v>
      </c>
      <c r="O1862" t="s">
        <v>44</v>
      </c>
      <c r="P1862" s="1">
        <v>45308</v>
      </c>
      <c r="Q1862">
        <v>1828</v>
      </c>
      <c r="R1862">
        <v>1856</v>
      </c>
      <c r="S1862" t="s">
        <v>23</v>
      </c>
      <c r="T1862">
        <v>0</v>
      </c>
      <c r="U1862" t="s">
        <v>58</v>
      </c>
      <c r="V1862" t="s">
        <v>24</v>
      </c>
      <c r="W1862" t="s">
        <v>23</v>
      </c>
    </row>
    <row r="1863" spans="1:23" x14ac:dyDescent="0.3">
      <c r="A1863" t="s">
        <v>3847</v>
      </c>
      <c r="B1863" t="s">
        <v>106</v>
      </c>
      <c r="C1863" t="s">
        <v>124</v>
      </c>
      <c r="D1863" t="s">
        <v>147</v>
      </c>
      <c r="E1863" t="s">
        <v>200</v>
      </c>
      <c r="F1863" t="s">
        <v>201</v>
      </c>
      <c r="G1863" t="s">
        <v>18</v>
      </c>
      <c r="H1863" t="s">
        <v>56</v>
      </c>
      <c r="I1863" t="str">
        <f>LEFT(H1863,FIND(" (",H1863)-1)</f>
        <v>Mid</v>
      </c>
      <c r="J1863" t="str">
        <f>MID(H1863,FIND("(",H1863)+1,FIND(")",H1863)-FIND("(",H1863)-1)</f>
        <v>2-5 yrs</v>
      </c>
      <c r="L1863">
        <v>126054</v>
      </c>
      <c r="M1863" t="s">
        <v>3848</v>
      </c>
      <c r="N1863" t="s">
        <v>43</v>
      </c>
      <c r="O1863" t="s">
        <v>51</v>
      </c>
      <c r="P1863" s="1">
        <v>45566</v>
      </c>
      <c r="Q1863">
        <v>1415</v>
      </c>
      <c r="R1863">
        <v>943</v>
      </c>
      <c r="S1863" t="s">
        <v>23</v>
      </c>
      <c r="T1863">
        <v>2</v>
      </c>
      <c r="U1863" t="s">
        <v>83</v>
      </c>
      <c r="V1863" t="s">
        <v>24</v>
      </c>
      <c r="W1863" t="s">
        <v>34</v>
      </c>
    </row>
    <row r="1864" spans="1:23" x14ac:dyDescent="0.3">
      <c r="A1864" t="s">
        <v>3849</v>
      </c>
      <c r="B1864" t="s">
        <v>13</v>
      </c>
      <c r="C1864" t="s">
        <v>116</v>
      </c>
      <c r="D1864" t="s">
        <v>111</v>
      </c>
      <c r="E1864" t="s">
        <v>5136</v>
      </c>
      <c r="F1864" t="s">
        <v>5133</v>
      </c>
      <c r="G1864" t="s">
        <v>18</v>
      </c>
      <c r="H1864" t="s">
        <v>19</v>
      </c>
      <c r="I1864" t="str">
        <f>LEFT(H1864,FIND(" (",H1864)-1)</f>
        <v>Entry</v>
      </c>
      <c r="J1864" t="str">
        <f>MID(H1864,FIND("(",H1864)+1,FIND(")",H1864)-FIND("(",H1864)-1)</f>
        <v>0-2 yrs</v>
      </c>
      <c r="L1864">
        <v>79997</v>
      </c>
      <c r="M1864" t="s">
        <v>3850</v>
      </c>
      <c r="N1864" t="s">
        <v>120</v>
      </c>
      <c r="O1864" t="s">
        <v>22</v>
      </c>
      <c r="P1864" s="1">
        <v>45366</v>
      </c>
      <c r="Q1864">
        <v>305</v>
      </c>
      <c r="R1864">
        <v>447</v>
      </c>
      <c r="S1864" t="s">
        <v>99</v>
      </c>
      <c r="T1864">
        <v>0</v>
      </c>
      <c r="U1864" t="s">
        <v>5123</v>
      </c>
      <c r="V1864" t="s">
        <v>24</v>
      </c>
      <c r="W1864" t="s">
        <v>23</v>
      </c>
    </row>
    <row r="1865" spans="1:23" x14ac:dyDescent="0.3">
      <c r="A1865" t="s">
        <v>3851</v>
      </c>
      <c r="B1865" t="s">
        <v>85</v>
      </c>
      <c r="C1865" t="s">
        <v>97</v>
      </c>
      <c r="D1865" t="s">
        <v>111</v>
      </c>
      <c r="E1865" t="s">
        <v>216</v>
      </c>
      <c r="F1865" t="s">
        <v>217</v>
      </c>
      <c r="G1865" t="s">
        <v>55</v>
      </c>
      <c r="H1865" t="s">
        <v>31</v>
      </c>
      <c r="I1865" t="str">
        <f>LEFT(H1865,FIND(" (",H1865)-1)</f>
        <v>Staff/Principal</v>
      </c>
      <c r="J1865" t="str">
        <f>MID(H1865,FIND("(",H1865)+1,FIND(")",H1865)-FIND("(",H1865)-1)</f>
        <v>8+ yrs</v>
      </c>
      <c r="L1865">
        <v>137052</v>
      </c>
      <c r="M1865" t="s">
        <v>3852</v>
      </c>
      <c r="N1865" t="s">
        <v>33</v>
      </c>
      <c r="O1865" t="s">
        <v>22</v>
      </c>
      <c r="P1865" s="1">
        <v>45610</v>
      </c>
      <c r="Q1865">
        <v>2136</v>
      </c>
      <c r="R1865">
        <v>3987</v>
      </c>
      <c r="S1865" t="s">
        <v>99</v>
      </c>
      <c r="T1865">
        <v>6</v>
      </c>
      <c r="U1865" t="s">
        <v>52</v>
      </c>
      <c r="V1865" t="s">
        <v>24</v>
      </c>
      <c r="W1865" t="s">
        <v>23</v>
      </c>
    </row>
    <row r="1866" spans="1:23" x14ac:dyDescent="0.3">
      <c r="A1866" t="s">
        <v>3853</v>
      </c>
      <c r="B1866" t="s">
        <v>70</v>
      </c>
      <c r="C1866" t="s">
        <v>132</v>
      </c>
      <c r="D1866" t="s">
        <v>49</v>
      </c>
      <c r="E1866" t="s">
        <v>5136</v>
      </c>
      <c r="F1866" t="s">
        <v>5133</v>
      </c>
      <c r="G1866" t="s">
        <v>18</v>
      </c>
      <c r="H1866" t="s">
        <v>19</v>
      </c>
      <c r="I1866" t="str">
        <f>LEFT(H1866,FIND(" (",H1866)-1)</f>
        <v>Entry</v>
      </c>
      <c r="J1866" t="str">
        <f>MID(H1866,FIND("(",H1866)+1,FIND(")",H1866)-FIND("(",H1866)-1)</f>
        <v>0-2 yrs</v>
      </c>
      <c r="L1866">
        <v>86434</v>
      </c>
      <c r="M1866" t="s">
        <v>3854</v>
      </c>
      <c r="N1866" t="s">
        <v>141</v>
      </c>
      <c r="O1866" t="s">
        <v>44</v>
      </c>
      <c r="P1866" s="1">
        <v>45547</v>
      </c>
      <c r="Q1866">
        <v>1987</v>
      </c>
      <c r="R1866">
        <v>1182</v>
      </c>
      <c r="S1866" t="s">
        <v>23</v>
      </c>
      <c r="T1866">
        <v>0</v>
      </c>
      <c r="U1866" t="s">
        <v>52</v>
      </c>
      <c r="V1866" t="s">
        <v>24</v>
      </c>
      <c r="W1866" t="s">
        <v>34</v>
      </c>
    </row>
    <row r="1867" spans="1:23" x14ac:dyDescent="0.3">
      <c r="A1867" t="s">
        <v>3855</v>
      </c>
      <c r="B1867" t="s">
        <v>236</v>
      </c>
      <c r="C1867" t="s">
        <v>158</v>
      </c>
      <c r="D1867" t="s">
        <v>147</v>
      </c>
      <c r="E1867" t="s">
        <v>230</v>
      </c>
      <c r="F1867" t="s">
        <v>231</v>
      </c>
      <c r="G1867" t="s">
        <v>18</v>
      </c>
      <c r="H1867" t="s">
        <v>66</v>
      </c>
      <c r="I1867" t="str">
        <f>LEFT(H1867,FIND(" (",H1867)-1)</f>
        <v>Senior</v>
      </c>
      <c r="J1867" t="str">
        <f>MID(H1867,FIND("(",H1867)+1,FIND(")",H1867)-FIND("(",H1867)-1)</f>
        <v>5-8 yrs</v>
      </c>
      <c r="L1867">
        <v>105112</v>
      </c>
      <c r="M1867" t="s">
        <v>3856</v>
      </c>
      <c r="N1867" t="s">
        <v>120</v>
      </c>
      <c r="O1867" t="s">
        <v>51</v>
      </c>
      <c r="P1867" s="1">
        <v>45375</v>
      </c>
      <c r="Q1867">
        <v>994</v>
      </c>
      <c r="R1867">
        <v>600</v>
      </c>
      <c r="S1867" t="s">
        <v>23</v>
      </c>
      <c r="T1867">
        <v>4</v>
      </c>
      <c r="U1867" t="s">
        <v>83</v>
      </c>
      <c r="V1867" t="s">
        <v>24</v>
      </c>
      <c r="W1867" t="s">
        <v>23</v>
      </c>
    </row>
    <row r="1868" spans="1:23" x14ac:dyDescent="0.3">
      <c r="A1868" t="s">
        <v>3857</v>
      </c>
      <c r="B1868" t="s">
        <v>70</v>
      </c>
      <c r="C1868" t="s">
        <v>173</v>
      </c>
      <c r="D1868" t="s">
        <v>63</v>
      </c>
      <c r="E1868" t="s">
        <v>29</v>
      </c>
      <c r="F1868" t="s">
        <v>30</v>
      </c>
      <c r="G1868" t="s">
        <v>41</v>
      </c>
      <c r="H1868" t="s">
        <v>31</v>
      </c>
      <c r="I1868" t="str">
        <f>LEFT(H1868,FIND(" (",H1868)-1)</f>
        <v>Staff/Principal</v>
      </c>
      <c r="J1868" t="str">
        <f>MID(H1868,FIND("(",H1868)+1,FIND(")",H1868)-FIND("(",H1868)-1)</f>
        <v>8+ yrs</v>
      </c>
      <c r="L1868">
        <v>237171</v>
      </c>
      <c r="M1868" t="s">
        <v>3858</v>
      </c>
      <c r="N1868" t="s">
        <v>33</v>
      </c>
      <c r="O1868" t="s">
        <v>51</v>
      </c>
      <c r="P1868" s="1">
        <v>45409</v>
      </c>
      <c r="Q1868">
        <v>507</v>
      </c>
      <c r="R1868">
        <v>1718</v>
      </c>
      <c r="S1868" t="s">
        <v>34</v>
      </c>
      <c r="T1868">
        <v>6</v>
      </c>
      <c r="U1868" t="s">
        <v>52</v>
      </c>
      <c r="V1868" t="s">
        <v>46</v>
      </c>
      <c r="W1868" t="s">
        <v>23</v>
      </c>
    </row>
    <row r="1869" spans="1:23" x14ac:dyDescent="0.3">
      <c r="A1869" t="s">
        <v>3859</v>
      </c>
      <c r="B1869" t="s">
        <v>70</v>
      </c>
      <c r="C1869" t="s">
        <v>107</v>
      </c>
      <c r="D1869" t="s">
        <v>125</v>
      </c>
      <c r="E1869" t="s">
        <v>39</v>
      </c>
      <c r="F1869" t="s">
        <v>40</v>
      </c>
      <c r="G1869" t="s">
        <v>41</v>
      </c>
      <c r="H1869" t="s">
        <v>19</v>
      </c>
      <c r="I1869" t="str">
        <f>LEFT(H1869,FIND(" (",H1869)-1)</f>
        <v>Entry</v>
      </c>
      <c r="J1869" t="str">
        <f>MID(H1869,FIND("(",H1869)+1,FIND(")",H1869)-FIND("(",H1869)-1)</f>
        <v>0-2 yrs</v>
      </c>
      <c r="L1869">
        <v>84196</v>
      </c>
      <c r="M1869" t="s">
        <v>3860</v>
      </c>
      <c r="N1869" t="s">
        <v>149</v>
      </c>
      <c r="O1869" t="s">
        <v>22</v>
      </c>
      <c r="P1869" s="1">
        <v>45688</v>
      </c>
      <c r="Q1869">
        <v>998</v>
      </c>
      <c r="R1869">
        <v>687</v>
      </c>
      <c r="S1869" t="s">
        <v>23</v>
      </c>
      <c r="T1869">
        <v>0</v>
      </c>
      <c r="U1869" t="s">
        <v>5123</v>
      </c>
      <c r="V1869" t="s">
        <v>24</v>
      </c>
      <c r="W1869" t="s">
        <v>34</v>
      </c>
    </row>
    <row r="1870" spans="1:23" x14ac:dyDescent="0.3">
      <c r="A1870" t="s">
        <v>3861</v>
      </c>
      <c r="B1870" t="s">
        <v>137</v>
      </c>
      <c r="C1870" t="s">
        <v>204</v>
      </c>
      <c r="D1870" t="s">
        <v>38</v>
      </c>
      <c r="E1870" t="s">
        <v>216</v>
      </c>
      <c r="F1870" t="s">
        <v>217</v>
      </c>
      <c r="G1870" t="s">
        <v>18</v>
      </c>
      <c r="H1870" t="s">
        <v>19</v>
      </c>
      <c r="I1870" t="str">
        <f>LEFT(H1870,FIND(" (",H1870)-1)</f>
        <v>Entry</v>
      </c>
      <c r="J1870" t="str">
        <f>MID(H1870,FIND("(",H1870)+1,FIND(")",H1870)-FIND("(",H1870)-1)</f>
        <v>0-2 yrs</v>
      </c>
      <c r="L1870">
        <v>56253</v>
      </c>
      <c r="M1870" t="s">
        <v>3862</v>
      </c>
      <c r="N1870" t="s">
        <v>245</v>
      </c>
      <c r="O1870" t="s">
        <v>51</v>
      </c>
      <c r="P1870" s="1">
        <v>45421</v>
      </c>
      <c r="Q1870">
        <v>1773</v>
      </c>
      <c r="R1870">
        <v>3003</v>
      </c>
      <c r="S1870" t="s">
        <v>23</v>
      </c>
      <c r="T1870">
        <v>0</v>
      </c>
      <c r="U1870" t="s">
        <v>52</v>
      </c>
      <c r="V1870" t="s">
        <v>24</v>
      </c>
      <c r="W1870" t="s">
        <v>23</v>
      </c>
    </row>
    <row r="1871" spans="1:23" x14ac:dyDescent="0.3">
      <c r="A1871" t="s">
        <v>3863</v>
      </c>
      <c r="B1871" t="s">
        <v>85</v>
      </c>
      <c r="C1871" t="s">
        <v>107</v>
      </c>
      <c r="D1871" t="s">
        <v>63</v>
      </c>
      <c r="E1871" t="s">
        <v>5132</v>
      </c>
      <c r="F1871" t="s">
        <v>5133</v>
      </c>
      <c r="G1871" t="s">
        <v>55</v>
      </c>
      <c r="H1871" t="s">
        <v>19</v>
      </c>
      <c r="I1871" t="str">
        <f>LEFT(H1871,FIND(" (",H1871)-1)</f>
        <v>Entry</v>
      </c>
      <c r="J1871" t="str">
        <f>MID(H1871,FIND("(",H1871)+1,FIND(")",H1871)-FIND("(",H1871)-1)</f>
        <v>0-2 yrs</v>
      </c>
      <c r="L1871">
        <v>64823</v>
      </c>
      <c r="M1871" t="s">
        <v>3864</v>
      </c>
      <c r="N1871" t="s">
        <v>43</v>
      </c>
      <c r="O1871" t="s">
        <v>51</v>
      </c>
      <c r="P1871" s="1">
        <v>45648</v>
      </c>
      <c r="Q1871">
        <v>543</v>
      </c>
      <c r="R1871">
        <v>2893</v>
      </c>
      <c r="S1871" t="s">
        <v>23</v>
      </c>
      <c r="T1871">
        <v>0</v>
      </c>
      <c r="U1871" t="s">
        <v>45</v>
      </c>
      <c r="V1871" t="s">
        <v>24</v>
      </c>
      <c r="W1871" t="s">
        <v>34</v>
      </c>
    </row>
    <row r="1872" spans="1:23" x14ac:dyDescent="0.3">
      <c r="A1872" t="s">
        <v>3865</v>
      </c>
      <c r="B1872" t="s">
        <v>143</v>
      </c>
      <c r="C1872" t="s">
        <v>204</v>
      </c>
      <c r="D1872" t="s">
        <v>75</v>
      </c>
      <c r="E1872" t="s">
        <v>5137</v>
      </c>
      <c r="F1872" t="s">
        <v>5138</v>
      </c>
      <c r="G1872" t="s">
        <v>41</v>
      </c>
      <c r="H1872" t="s">
        <v>19</v>
      </c>
      <c r="I1872" t="str">
        <f>LEFT(H1872,FIND(" (",H1872)-1)</f>
        <v>Entry</v>
      </c>
      <c r="J1872" t="str">
        <f>MID(H1872,FIND("(",H1872)+1,FIND(")",H1872)-FIND("(",H1872)-1)</f>
        <v>0-2 yrs</v>
      </c>
      <c r="L1872">
        <v>56068</v>
      </c>
      <c r="M1872" t="s">
        <v>3866</v>
      </c>
      <c r="N1872" t="s">
        <v>149</v>
      </c>
      <c r="O1872" t="s">
        <v>79</v>
      </c>
      <c r="P1872" s="1">
        <v>45373</v>
      </c>
      <c r="Q1872">
        <v>1925</v>
      </c>
      <c r="R1872">
        <v>3701</v>
      </c>
      <c r="S1872" t="s">
        <v>23</v>
      </c>
      <c r="T1872">
        <v>0</v>
      </c>
      <c r="U1872" t="s">
        <v>52</v>
      </c>
      <c r="V1872" t="s">
        <v>24</v>
      </c>
      <c r="W1872" t="s">
        <v>34</v>
      </c>
    </row>
    <row r="1873" spans="1:23" x14ac:dyDescent="0.3">
      <c r="A1873" t="s">
        <v>3867</v>
      </c>
      <c r="B1873" t="s">
        <v>222</v>
      </c>
      <c r="C1873" t="s">
        <v>209</v>
      </c>
      <c r="D1873" t="s">
        <v>15</v>
      </c>
      <c r="E1873" t="s">
        <v>5132</v>
      </c>
      <c r="F1873" t="s">
        <v>5133</v>
      </c>
      <c r="G1873" t="s">
        <v>18</v>
      </c>
      <c r="H1873" t="s">
        <v>31</v>
      </c>
      <c r="I1873" t="str">
        <f>LEFT(H1873,FIND(" (",H1873)-1)</f>
        <v>Staff/Principal</v>
      </c>
      <c r="J1873" t="str">
        <f>MID(H1873,FIND("(",H1873)+1,FIND(")",H1873)-FIND("(",H1873)-1)</f>
        <v>8+ yrs</v>
      </c>
      <c r="L1873">
        <v>192262</v>
      </c>
      <c r="M1873" t="s">
        <v>3868</v>
      </c>
      <c r="N1873" t="s">
        <v>186</v>
      </c>
      <c r="O1873" t="s">
        <v>51</v>
      </c>
      <c r="P1873" s="1">
        <v>45353</v>
      </c>
      <c r="Q1873">
        <v>2372</v>
      </c>
      <c r="R1873">
        <v>2658</v>
      </c>
      <c r="S1873" t="s">
        <v>23</v>
      </c>
      <c r="T1873">
        <v>6</v>
      </c>
      <c r="U1873" t="s">
        <v>45</v>
      </c>
      <c r="V1873" t="s">
        <v>24</v>
      </c>
      <c r="W1873" t="s">
        <v>23</v>
      </c>
    </row>
    <row r="1874" spans="1:23" x14ac:dyDescent="0.3">
      <c r="A1874" t="s">
        <v>3869</v>
      </c>
      <c r="B1874" t="s">
        <v>131</v>
      </c>
      <c r="C1874" t="s">
        <v>146</v>
      </c>
      <c r="D1874" t="s">
        <v>174</v>
      </c>
      <c r="E1874" t="s">
        <v>5134</v>
      </c>
      <c r="F1874" t="s">
        <v>5133</v>
      </c>
      <c r="G1874" t="s">
        <v>18</v>
      </c>
      <c r="H1874" t="s">
        <v>31</v>
      </c>
      <c r="I1874" t="str">
        <f>LEFT(H1874,FIND(" (",H1874)-1)</f>
        <v>Staff/Principal</v>
      </c>
      <c r="J1874" t="str">
        <f>MID(H1874,FIND("(",H1874)+1,FIND(")",H1874)-FIND("(",H1874)-1)</f>
        <v>8+ yrs</v>
      </c>
      <c r="L1874">
        <v>188910</v>
      </c>
      <c r="M1874" t="s">
        <v>3870</v>
      </c>
      <c r="N1874" t="s">
        <v>141</v>
      </c>
      <c r="O1874" t="s">
        <v>79</v>
      </c>
      <c r="P1874" s="1">
        <v>45444</v>
      </c>
      <c r="Q1874">
        <v>716</v>
      </c>
      <c r="R1874">
        <v>3750</v>
      </c>
      <c r="S1874" t="s">
        <v>23</v>
      </c>
      <c r="T1874">
        <v>6</v>
      </c>
      <c r="U1874" t="s">
        <v>45</v>
      </c>
      <c r="V1874" t="s">
        <v>24</v>
      </c>
      <c r="W1874" t="s">
        <v>23</v>
      </c>
    </row>
    <row r="1875" spans="1:23" x14ac:dyDescent="0.3">
      <c r="A1875" t="s">
        <v>3871</v>
      </c>
      <c r="B1875" t="s">
        <v>236</v>
      </c>
      <c r="C1875" t="s">
        <v>86</v>
      </c>
      <c r="D1875" t="s">
        <v>125</v>
      </c>
      <c r="E1875" t="s">
        <v>64</v>
      </c>
      <c r="F1875" t="s">
        <v>65</v>
      </c>
      <c r="G1875" t="s">
        <v>41</v>
      </c>
      <c r="H1875" t="s">
        <v>56</v>
      </c>
      <c r="I1875" t="str">
        <f>LEFT(H1875,FIND(" (",H1875)-1)</f>
        <v>Mid</v>
      </c>
      <c r="J1875" t="str">
        <f>MID(H1875,FIND("(",H1875)+1,FIND(")",H1875)-FIND("(",H1875)-1)</f>
        <v>2-5 yrs</v>
      </c>
      <c r="L1875">
        <v>125437</v>
      </c>
      <c r="M1875" t="s">
        <v>3872</v>
      </c>
      <c r="N1875" t="s">
        <v>43</v>
      </c>
      <c r="O1875" t="s">
        <v>22</v>
      </c>
      <c r="P1875" s="1">
        <v>45578</v>
      </c>
      <c r="Q1875">
        <v>1771</v>
      </c>
      <c r="R1875">
        <v>1659</v>
      </c>
      <c r="S1875" t="s">
        <v>23</v>
      </c>
      <c r="T1875">
        <v>2</v>
      </c>
      <c r="U1875" t="s">
        <v>83</v>
      </c>
      <c r="V1875" t="s">
        <v>59</v>
      </c>
      <c r="W1875" t="s">
        <v>23</v>
      </c>
    </row>
    <row r="1876" spans="1:23" x14ac:dyDescent="0.3">
      <c r="A1876" t="s">
        <v>3873</v>
      </c>
      <c r="B1876" t="s">
        <v>91</v>
      </c>
      <c r="C1876" t="s">
        <v>107</v>
      </c>
      <c r="D1876" t="s">
        <v>28</v>
      </c>
      <c r="E1876" t="s">
        <v>102</v>
      </c>
      <c r="F1876" t="s">
        <v>103</v>
      </c>
      <c r="G1876" t="s">
        <v>41</v>
      </c>
      <c r="H1876" t="s">
        <v>66</v>
      </c>
      <c r="I1876" t="str">
        <f>LEFT(H1876,FIND(" (",H1876)-1)</f>
        <v>Senior</v>
      </c>
      <c r="J1876" t="str">
        <f>MID(H1876,FIND("(",H1876)+1,FIND(")",H1876)-FIND("(",H1876)-1)</f>
        <v>5-8 yrs</v>
      </c>
      <c r="L1876">
        <v>185378</v>
      </c>
      <c r="M1876" t="s">
        <v>3874</v>
      </c>
      <c r="N1876" t="s">
        <v>33</v>
      </c>
      <c r="O1876" t="s">
        <v>51</v>
      </c>
      <c r="P1876" s="1">
        <v>45658</v>
      </c>
      <c r="Q1876">
        <v>1909</v>
      </c>
      <c r="R1876">
        <v>1962</v>
      </c>
      <c r="S1876" t="s">
        <v>23</v>
      </c>
      <c r="T1876">
        <v>4</v>
      </c>
      <c r="U1876" t="s">
        <v>52</v>
      </c>
      <c r="V1876" t="s">
        <v>46</v>
      </c>
      <c r="W1876" t="s">
        <v>34</v>
      </c>
    </row>
    <row r="1877" spans="1:23" x14ac:dyDescent="0.3">
      <c r="A1877" t="s">
        <v>3875</v>
      </c>
      <c r="B1877" t="s">
        <v>61</v>
      </c>
      <c r="C1877" t="s">
        <v>116</v>
      </c>
      <c r="D1877" t="s">
        <v>63</v>
      </c>
      <c r="E1877" t="s">
        <v>29</v>
      </c>
      <c r="F1877" t="s">
        <v>30</v>
      </c>
      <c r="G1877" t="s">
        <v>55</v>
      </c>
      <c r="H1877" t="s">
        <v>66</v>
      </c>
      <c r="I1877" t="str">
        <f>LEFT(H1877,FIND(" (",H1877)-1)</f>
        <v>Senior</v>
      </c>
      <c r="J1877" t="str">
        <f>MID(H1877,FIND("(",H1877)+1,FIND(")",H1877)-FIND("(",H1877)-1)</f>
        <v>5-8 yrs</v>
      </c>
      <c r="L1877">
        <v>187683</v>
      </c>
      <c r="M1877" t="s">
        <v>3876</v>
      </c>
      <c r="N1877" t="s">
        <v>33</v>
      </c>
      <c r="O1877" t="s">
        <v>51</v>
      </c>
      <c r="P1877" s="1">
        <v>45679</v>
      </c>
      <c r="Q1877">
        <v>421</v>
      </c>
      <c r="R1877">
        <v>1283</v>
      </c>
      <c r="S1877" t="s">
        <v>23</v>
      </c>
      <c r="T1877">
        <v>4</v>
      </c>
      <c r="U1877" t="s">
        <v>83</v>
      </c>
      <c r="V1877" t="s">
        <v>59</v>
      </c>
      <c r="W1877" t="s">
        <v>34</v>
      </c>
    </row>
    <row r="1878" spans="1:23" x14ac:dyDescent="0.3">
      <c r="A1878" t="s">
        <v>3877</v>
      </c>
      <c r="B1878" t="s">
        <v>143</v>
      </c>
      <c r="C1878" t="s">
        <v>110</v>
      </c>
      <c r="D1878" t="s">
        <v>15</v>
      </c>
      <c r="E1878" t="s">
        <v>5139</v>
      </c>
      <c r="F1878" t="s">
        <v>5133</v>
      </c>
      <c r="G1878" t="s">
        <v>41</v>
      </c>
      <c r="H1878" t="s">
        <v>31</v>
      </c>
      <c r="I1878" t="str">
        <f>LEFT(H1878,FIND(" (",H1878)-1)</f>
        <v>Staff/Principal</v>
      </c>
      <c r="J1878" t="str">
        <f>MID(H1878,FIND("(",H1878)+1,FIND(")",H1878)-FIND("(",H1878)-1)</f>
        <v>8+ yrs</v>
      </c>
      <c r="L1878">
        <v>179761</v>
      </c>
      <c r="M1878" t="s">
        <v>3878</v>
      </c>
      <c r="N1878" t="s">
        <v>68</v>
      </c>
      <c r="O1878" t="s">
        <v>51</v>
      </c>
      <c r="P1878" s="1">
        <v>45532</v>
      </c>
      <c r="Q1878">
        <v>1684</v>
      </c>
      <c r="R1878">
        <v>741</v>
      </c>
      <c r="S1878" t="s">
        <v>23</v>
      </c>
      <c r="T1878">
        <v>6</v>
      </c>
      <c r="U1878" t="s">
        <v>5123</v>
      </c>
      <c r="V1878" t="s">
        <v>24</v>
      </c>
      <c r="W1878" t="s">
        <v>23</v>
      </c>
    </row>
    <row r="1879" spans="1:23" x14ac:dyDescent="0.3">
      <c r="A1879" t="s">
        <v>3879</v>
      </c>
      <c r="B1879" t="s">
        <v>229</v>
      </c>
      <c r="C1879" t="s">
        <v>14</v>
      </c>
      <c r="D1879" t="s">
        <v>174</v>
      </c>
      <c r="E1879" t="s">
        <v>5136</v>
      </c>
      <c r="F1879" t="s">
        <v>5133</v>
      </c>
      <c r="G1879" t="s">
        <v>18</v>
      </c>
      <c r="H1879" t="s">
        <v>66</v>
      </c>
      <c r="I1879" t="str">
        <f>LEFT(H1879,FIND(" (",H1879)-1)</f>
        <v>Senior</v>
      </c>
      <c r="J1879" t="str">
        <f>MID(H1879,FIND("(",H1879)+1,FIND(")",H1879)-FIND("(",H1879)-1)</f>
        <v>5-8 yrs</v>
      </c>
      <c r="L1879">
        <v>144351</v>
      </c>
      <c r="M1879" t="s">
        <v>3880</v>
      </c>
      <c r="N1879" t="s">
        <v>68</v>
      </c>
      <c r="O1879" t="s">
        <v>22</v>
      </c>
      <c r="P1879" s="1">
        <v>45636</v>
      </c>
      <c r="Q1879">
        <v>565</v>
      </c>
      <c r="R1879">
        <v>1799</v>
      </c>
      <c r="S1879" t="s">
        <v>23</v>
      </c>
      <c r="T1879">
        <v>4</v>
      </c>
      <c r="U1879" t="s">
        <v>83</v>
      </c>
      <c r="V1879" t="s">
        <v>24</v>
      </c>
      <c r="W1879" t="s">
        <v>34</v>
      </c>
    </row>
    <row r="1880" spans="1:23" x14ac:dyDescent="0.3">
      <c r="A1880" t="s">
        <v>3881</v>
      </c>
      <c r="B1880" t="s">
        <v>222</v>
      </c>
      <c r="C1880" t="s">
        <v>48</v>
      </c>
      <c r="D1880" t="s">
        <v>49</v>
      </c>
      <c r="E1880" t="s">
        <v>5139</v>
      </c>
      <c r="F1880" t="s">
        <v>5133</v>
      </c>
      <c r="G1880" t="s">
        <v>41</v>
      </c>
      <c r="H1880" t="s">
        <v>31</v>
      </c>
      <c r="I1880" t="str">
        <f>LEFT(H1880,FIND(" (",H1880)-1)</f>
        <v>Staff/Principal</v>
      </c>
      <c r="J1880" t="str">
        <f>MID(H1880,FIND("(",H1880)+1,FIND(")",H1880)-FIND("(",H1880)-1)</f>
        <v>8+ yrs</v>
      </c>
      <c r="L1880">
        <v>139396</v>
      </c>
      <c r="M1880" t="s">
        <v>3882</v>
      </c>
      <c r="N1880" t="s">
        <v>94</v>
      </c>
      <c r="O1880" t="s">
        <v>44</v>
      </c>
      <c r="P1880" s="1">
        <v>45677</v>
      </c>
      <c r="Q1880">
        <v>993</v>
      </c>
      <c r="R1880">
        <v>3266</v>
      </c>
      <c r="S1880" t="s">
        <v>99</v>
      </c>
      <c r="T1880">
        <v>6</v>
      </c>
      <c r="U1880" t="s">
        <v>83</v>
      </c>
      <c r="V1880" t="s">
        <v>24</v>
      </c>
      <c r="W1880" t="s">
        <v>34</v>
      </c>
    </row>
    <row r="1881" spans="1:23" x14ac:dyDescent="0.3">
      <c r="A1881" t="s">
        <v>3883</v>
      </c>
      <c r="B1881" t="s">
        <v>106</v>
      </c>
      <c r="C1881" t="s">
        <v>226</v>
      </c>
      <c r="D1881" t="s">
        <v>63</v>
      </c>
      <c r="E1881" t="s">
        <v>39</v>
      </c>
      <c r="F1881" t="s">
        <v>40</v>
      </c>
      <c r="G1881" t="s">
        <v>41</v>
      </c>
      <c r="H1881" t="s">
        <v>56</v>
      </c>
      <c r="I1881" t="str">
        <f>LEFT(H1881,FIND(" (",H1881)-1)</f>
        <v>Mid</v>
      </c>
      <c r="J1881" t="str">
        <f>MID(H1881,FIND("(",H1881)+1,FIND(")",H1881)-FIND("(",H1881)-1)</f>
        <v>2-5 yrs</v>
      </c>
      <c r="L1881">
        <v>94043</v>
      </c>
      <c r="M1881" t="s">
        <v>3884</v>
      </c>
      <c r="N1881" t="s">
        <v>33</v>
      </c>
      <c r="O1881" t="s">
        <v>44</v>
      </c>
      <c r="P1881" s="1">
        <v>45510</v>
      </c>
      <c r="Q1881">
        <v>1246</v>
      </c>
      <c r="R1881">
        <v>333</v>
      </c>
      <c r="S1881" t="s">
        <v>23</v>
      </c>
      <c r="T1881">
        <v>2</v>
      </c>
      <c r="U1881" t="s">
        <v>83</v>
      </c>
      <c r="V1881" t="s">
        <v>24</v>
      </c>
      <c r="W1881" t="s">
        <v>34</v>
      </c>
    </row>
    <row r="1882" spans="1:23" x14ac:dyDescent="0.3">
      <c r="A1882" t="s">
        <v>3885</v>
      </c>
      <c r="B1882" t="s">
        <v>70</v>
      </c>
      <c r="C1882" t="s">
        <v>107</v>
      </c>
      <c r="D1882" t="s">
        <v>15</v>
      </c>
      <c r="E1882" t="s">
        <v>200</v>
      </c>
      <c r="F1882" t="s">
        <v>201</v>
      </c>
      <c r="G1882" t="s">
        <v>41</v>
      </c>
      <c r="H1882" t="s">
        <v>31</v>
      </c>
      <c r="I1882" t="str">
        <f>LEFT(H1882,FIND(" (",H1882)-1)</f>
        <v>Staff/Principal</v>
      </c>
      <c r="J1882" t="str">
        <f>MID(H1882,FIND("(",H1882)+1,FIND(")",H1882)-FIND("(",H1882)-1)</f>
        <v>8+ yrs</v>
      </c>
      <c r="L1882">
        <v>234734</v>
      </c>
      <c r="M1882" t="s">
        <v>3886</v>
      </c>
      <c r="N1882" t="s">
        <v>89</v>
      </c>
      <c r="O1882" t="s">
        <v>51</v>
      </c>
      <c r="P1882" s="1">
        <v>45637</v>
      </c>
      <c r="Q1882">
        <v>2222</v>
      </c>
      <c r="R1882">
        <v>3510</v>
      </c>
      <c r="S1882" t="s">
        <v>99</v>
      </c>
      <c r="T1882">
        <v>6</v>
      </c>
      <c r="U1882" t="s">
        <v>5123</v>
      </c>
      <c r="V1882" t="s">
        <v>24</v>
      </c>
      <c r="W1882" t="s">
        <v>34</v>
      </c>
    </row>
    <row r="1883" spans="1:23" x14ac:dyDescent="0.3">
      <c r="A1883" t="s">
        <v>3887</v>
      </c>
      <c r="B1883" t="s">
        <v>26</v>
      </c>
      <c r="C1883" t="s">
        <v>209</v>
      </c>
      <c r="D1883" t="s">
        <v>49</v>
      </c>
      <c r="E1883" t="s">
        <v>200</v>
      </c>
      <c r="F1883" t="s">
        <v>201</v>
      </c>
      <c r="G1883" t="s">
        <v>18</v>
      </c>
      <c r="H1883" t="s">
        <v>66</v>
      </c>
      <c r="I1883" t="str">
        <f>LEFT(H1883,FIND(" (",H1883)-1)</f>
        <v>Senior</v>
      </c>
      <c r="J1883" t="str">
        <f>MID(H1883,FIND("(",H1883)+1,FIND(")",H1883)-FIND("(",H1883)-1)</f>
        <v>5-8 yrs</v>
      </c>
      <c r="L1883">
        <v>193620</v>
      </c>
      <c r="M1883" t="s">
        <v>3888</v>
      </c>
      <c r="N1883" t="s">
        <v>141</v>
      </c>
      <c r="O1883" t="s">
        <v>22</v>
      </c>
      <c r="P1883" s="1">
        <v>45587</v>
      </c>
      <c r="Q1883">
        <v>347</v>
      </c>
      <c r="R1883">
        <v>3335</v>
      </c>
      <c r="S1883" t="s">
        <v>23</v>
      </c>
      <c r="T1883">
        <v>4</v>
      </c>
      <c r="U1883" t="s">
        <v>83</v>
      </c>
      <c r="V1883" t="s">
        <v>24</v>
      </c>
      <c r="W1883" t="s">
        <v>23</v>
      </c>
    </row>
    <row r="1884" spans="1:23" x14ac:dyDescent="0.3">
      <c r="A1884" t="s">
        <v>3889</v>
      </c>
      <c r="B1884" t="s">
        <v>36</v>
      </c>
      <c r="C1884" t="s">
        <v>116</v>
      </c>
      <c r="D1884" t="s">
        <v>38</v>
      </c>
      <c r="E1884" t="s">
        <v>5141</v>
      </c>
      <c r="F1884" t="s">
        <v>5133</v>
      </c>
      <c r="G1884" t="s">
        <v>18</v>
      </c>
      <c r="H1884" t="s">
        <v>66</v>
      </c>
      <c r="I1884" t="str">
        <f>LEFT(H1884,FIND(" (",H1884)-1)</f>
        <v>Senior</v>
      </c>
      <c r="J1884" t="str">
        <f>MID(H1884,FIND("(",H1884)+1,FIND(")",H1884)-FIND("(",H1884)-1)</f>
        <v>5-8 yrs</v>
      </c>
      <c r="L1884">
        <v>116672</v>
      </c>
      <c r="M1884" t="s">
        <v>3890</v>
      </c>
      <c r="N1884" t="s">
        <v>245</v>
      </c>
      <c r="O1884" t="s">
        <v>44</v>
      </c>
      <c r="P1884" s="1">
        <v>45379</v>
      </c>
      <c r="Q1884">
        <v>1641</v>
      </c>
      <c r="R1884">
        <v>2518</v>
      </c>
      <c r="S1884" t="s">
        <v>34</v>
      </c>
      <c r="T1884">
        <v>4</v>
      </c>
      <c r="U1884" t="s">
        <v>45</v>
      </c>
      <c r="V1884" t="s">
        <v>24</v>
      </c>
      <c r="W1884" t="s">
        <v>34</v>
      </c>
    </row>
    <row r="1885" spans="1:23" x14ac:dyDescent="0.3">
      <c r="A1885" t="s">
        <v>3891</v>
      </c>
      <c r="B1885" t="s">
        <v>225</v>
      </c>
      <c r="C1885" t="s">
        <v>107</v>
      </c>
      <c r="D1885" t="s">
        <v>111</v>
      </c>
      <c r="E1885" t="s">
        <v>5137</v>
      </c>
      <c r="F1885" t="s">
        <v>5138</v>
      </c>
      <c r="G1885" t="s">
        <v>18</v>
      </c>
      <c r="H1885" t="s">
        <v>19</v>
      </c>
      <c r="I1885" t="str">
        <f>LEFT(H1885,FIND(" (",H1885)-1)</f>
        <v>Entry</v>
      </c>
      <c r="J1885" t="str">
        <f>MID(H1885,FIND("(",H1885)+1,FIND(")",H1885)-FIND("(",H1885)-1)</f>
        <v>0-2 yrs</v>
      </c>
      <c r="L1885">
        <v>62534</v>
      </c>
      <c r="M1885" t="s">
        <v>3892</v>
      </c>
      <c r="N1885" t="s">
        <v>43</v>
      </c>
      <c r="O1885" t="s">
        <v>22</v>
      </c>
      <c r="P1885" s="1">
        <v>45502</v>
      </c>
      <c r="Q1885">
        <v>1672</v>
      </c>
      <c r="R1885">
        <v>3016</v>
      </c>
      <c r="S1885" t="s">
        <v>34</v>
      </c>
      <c r="T1885">
        <v>0</v>
      </c>
      <c r="U1885" t="s">
        <v>5123</v>
      </c>
      <c r="V1885" t="s">
        <v>24</v>
      </c>
      <c r="W1885" t="s">
        <v>23</v>
      </c>
    </row>
    <row r="1886" spans="1:23" x14ac:dyDescent="0.3">
      <c r="A1886" t="s">
        <v>3893</v>
      </c>
      <c r="B1886" t="s">
        <v>61</v>
      </c>
      <c r="C1886" t="s">
        <v>204</v>
      </c>
      <c r="D1886" t="s">
        <v>125</v>
      </c>
      <c r="E1886" t="s">
        <v>29</v>
      </c>
      <c r="F1886" t="s">
        <v>30</v>
      </c>
      <c r="G1886" t="s">
        <v>18</v>
      </c>
      <c r="H1886" t="s">
        <v>56</v>
      </c>
      <c r="I1886" t="str">
        <f>LEFT(H1886,FIND(" (",H1886)-1)</f>
        <v>Mid</v>
      </c>
      <c r="J1886" t="str">
        <f>MID(H1886,FIND("(",H1886)+1,FIND(")",H1886)-FIND("(",H1886)-1)</f>
        <v>2-5 yrs</v>
      </c>
      <c r="L1886">
        <v>109477</v>
      </c>
      <c r="M1886" t="s">
        <v>3894</v>
      </c>
      <c r="N1886" t="s">
        <v>33</v>
      </c>
      <c r="O1886" t="s">
        <v>22</v>
      </c>
      <c r="P1886" s="1">
        <v>45506</v>
      </c>
      <c r="Q1886">
        <v>758</v>
      </c>
      <c r="R1886">
        <v>583</v>
      </c>
      <c r="S1886" t="s">
        <v>23</v>
      </c>
      <c r="T1886">
        <v>2</v>
      </c>
      <c r="U1886" t="s">
        <v>58</v>
      </c>
      <c r="V1886" t="s">
        <v>24</v>
      </c>
      <c r="W1886" t="s">
        <v>23</v>
      </c>
    </row>
    <row r="1887" spans="1:23" x14ac:dyDescent="0.3">
      <c r="A1887" t="s">
        <v>3895</v>
      </c>
      <c r="B1887" t="s">
        <v>131</v>
      </c>
      <c r="C1887" t="s">
        <v>146</v>
      </c>
      <c r="D1887" t="s">
        <v>174</v>
      </c>
      <c r="E1887" t="s">
        <v>5141</v>
      </c>
      <c r="F1887" t="s">
        <v>5133</v>
      </c>
      <c r="G1887" t="s">
        <v>55</v>
      </c>
      <c r="H1887" t="s">
        <v>56</v>
      </c>
      <c r="I1887" t="str">
        <f>LEFT(H1887,FIND(" (",H1887)-1)</f>
        <v>Mid</v>
      </c>
      <c r="J1887" t="str">
        <f>MID(H1887,FIND("(",H1887)+1,FIND(")",H1887)-FIND("(",H1887)-1)</f>
        <v>2-5 yrs</v>
      </c>
      <c r="L1887">
        <v>115547</v>
      </c>
      <c r="M1887" t="s">
        <v>3896</v>
      </c>
      <c r="N1887" t="s">
        <v>68</v>
      </c>
      <c r="O1887" t="s">
        <v>79</v>
      </c>
      <c r="P1887" s="1">
        <v>45449</v>
      </c>
      <c r="Q1887">
        <v>2033</v>
      </c>
      <c r="R1887">
        <v>1010</v>
      </c>
      <c r="S1887" t="s">
        <v>23</v>
      </c>
      <c r="T1887">
        <v>2</v>
      </c>
      <c r="U1887" t="s">
        <v>58</v>
      </c>
      <c r="V1887" t="s">
        <v>59</v>
      </c>
      <c r="W1887" t="s">
        <v>34</v>
      </c>
    </row>
    <row r="1888" spans="1:23" x14ac:dyDescent="0.3">
      <c r="A1888" t="s">
        <v>3897</v>
      </c>
      <c r="B1888" t="s">
        <v>70</v>
      </c>
      <c r="C1888" t="s">
        <v>92</v>
      </c>
      <c r="D1888" t="s">
        <v>15</v>
      </c>
      <c r="E1888" t="s">
        <v>216</v>
      </c>
      <c r="F1888" t="s">
        <v>217</v>
      </c>
      <c r="G1888" t="s">
        <v>55</v>
      </c>
      <c r="H1888" t="s">
        <v>66</v>
      </c>
      <c r="I1888" t="str">
        <f>LEFT(H1888,FIND(" (",H1888)-1)</f>
        <v>Senior</v>
      </c>
      <c r="J1888" t="str">
        <f>MID(H1888,FIND("(",H1888)+1,FIND(")",H1888)-FIND("(",H1888)-1)</f>
        <v>5-8 yrs</v>
      </c>
      <c r="L1888">
        <v>128140</v>
      </c>
      <c r="M1888" t="s">
        <v>3898</v>
      </c>
      <c r="N1888" t="s">
        <v>68</v>
      </c>
      <c r="O1888" t="s">
        <v>44</v>
      </c>
      <c r="P1888" s="1">
        <v>45397</v>
      </c>
      <c r="Q1888">
        <v>1669</v>
      </c>
      <c r="R1888">
        <v>3210</v>
      </c>
      <c r="S1888" t="s">
        <v>99</v>
      </c>
      <c r="T1888">
        <v>4</v>
      </c>
      <c r="U1888" t="s">
        <v>45</v>
      </c>
      <c r="V1888" t="s">
        <v>24</v>
      </c>
      <c r="W1888" t="s">
        <v>34</v>
      </c>
    </row>
    <row r="1889" spans="1:23" x14ac:dyDescent="0.3">
      <c r="A1889" t="s">
        <v>3899</v>
      </c>
      <c r="B1889" t="s">
        <v>91</v>
      </c>
      <c r="C1889" t="s">
        <v>209</v>
      </c>
      <c r="D1889" t="s">
        <v>49</v>
      </c>
      <c r="E1889" t="s">
        <v>76</v>
      </c>
      <c r="F1889" t="s">
        <v>77</v>
      </c>
      <c r="G1889" t="s">
        <v>55</v>
      </c>
      <c r="H1889" t="s">
        <v>19</v>
      </c>
      <c r="I1889" t="str">
        <f>LEFT(H1889,FIND(" (",H1889)-1)</f>
        <v>Entry</v>
      </c>
      <c r="J1889" t="str">
        <f>MID(H1889,FIND("(",H1889)+1,FIND(")",H1889)-FIND("(",H1889)-1)</f>
        <v>0-2 yrs</v>
      </c>
      <c r="L1889">
        <v>75343</v>
      </c>
      <c r="M1889" t="s">
        <v>3900</v>
      </c>
      <c r="N1889" t="s">
        <v>186</v>
      </c>
      <c r="O1889" t="s">
        <v>51</v>
      </c>
      <c r="P1889" s="1">
        <v>45416</v>
      </c>
      <c r="Q1889">
        <v>1547</v>
      </c>
      <c r="R1889">
        <v>320</v>
      </c>
      <c r="S1889" t="s">
        <v>23</v>
      </c>
      <c r="T1889">
        <v>0</v>
      </c>
      <c r="U1889" t="s">
        <v>5123</v>
      </c>
      <c r="V1889" t="s">
        <v>24</v>
      </c>
      <c r="W1889" t="s">
        <v>34</v>
      </c>
    </row>
    <row r="1890" spans="1:23" x14ac:dyDescent="0.3">
      <c r="A1890" t="s">
        <v>3901</v>
      </c>
      <c r="B1890" t="s">
        <v>61</v>
      </c>
      <c r="C1890" t="s">
        <v>179</v>
      </c>
      <c r="D1890" t="s">
        <v>111</v>
      </c>
      <c r="E1890" t="s">
        <v>5139</v>
      </c>
      <c r="F1890" t="s">
        <v>5133</v>
      </c>
      <c r="G1890" t="s">
        <v>18</v>
      </c>
      <c r="H1890" t="s">
        <v>66</v>
      </c>
      <c r="I1890" t="str">
        <f>LEFT(H1890,FIND(" (",H1890)-1)</f>
        <v>Senior</v>
      </c>
      <c r="J1890" t="str">
        <f>MID(H1890,FIND("(",H1890)+1,FIND(")",H1890)-FIND("(",H1890)-1)</f>
        <v>5-8 yrs</v>
      </c>
      <c r="L1890">
        <v>137206</v>
      </c>
      <c r="M1890" t="s">
        <v>3902</v>
      </c>
      <c r="N1890" t="s">
        <v>33</v>
      </c>
      <c r="O1890" t="s">
        <v>51</v>
      </c>
      <c r="P1890" s="1">
        <v>45616</v>
      </c>
      <c r="Q1890">
        <v>2258</v>
      </c>
      <c r="R1890">
        <v>3540</v>
      </c>
      <c r="S1890" t="s">
        <v>99</v>
      </c>
      <c r="T1890">
        <v>4</v>
      </c>
      <c r="U1890" t="s">
        <v>5123</v>
      </c>
      <c r="V1890" t="s">
        <v>24</v>
      </c>
      <c r="W1890" t="s">
        <v>34</v>
      </c>
    </row>
    <row r="1891" spans="1:23" x14ac:dyDescent="0.3">
      <c r="A1891" t="s">
        <v>3903</v>
      </c>
      <c r="B1891" t="s">
        <v>151</v>
      </c>
      <c r="C1891" t="s">
        <v>14</v>
      </c>
      <c r="D1891" t="s">
        <v>174</v>
      </c>
      <c r="E1891" t="s">
        <v>87</v>
      </c>
      <c r="F1891" t="s">
        <v>87</v>
      </c>
      <c r="G1891" t="s">
        <v>41</v>
      </c>
      <c r="H1891" t="s">
        <v>66</v>
      </c>
      <c r="I1891" t="str">
        <f>LEFT(H1891,FIND(" (",H1891)-1)</f>
        <v>Senior</v>
      </c>
      <c r="J1891" t="str">
        <f>MID(H1891,FIND("(",H1891)+1,FIND(")",H1891)-FIND("(",H1891)-1)</f>
        <v>5-8 yrs</v>
      </c>
      <c r="L1891">
        <v>149609</v>
      </c>
      <c r="M1891" t="s">
        <v>3904</v>
      </c>
      <c r="N1891" t="s">
        <v>186</v>
      </c>
      <c r="O1891" t="s">
        <v>22</v>
      </c>
      <c r="P1891" s="1">
        <v>45632</v>
      </c>
      <c r="Q1891">
        <v>484</v>
      </c>
      <c r="R1891">
        <v>3306</v>
      </c>
      <c r="S1891" t="s">
        <v>34</v>
      </c>
      <c r="T1891">
        <v>4</v>
      </c>
      <c r="U1891" t="s">
        <v>58</v>
      </c>
      <c r="V1891" t="s">
        <v>24</v>
      </c>
      <c r="W1891" t="s">
        <v>34</v>
      </c>
    </row>
    <row r="1892" spans="1:23" x14ac:dyDescent="0.3">
      <c r="A1892" t="s">
        <v>3905</v>
      </c>
      <c r="B1892" t="s">
        <v>81</v>
      </c>
      <c r="C1892" t="s">
        <v>71</v>
      </c>
      <c r="D1892" t="s">
        <v>125</v>
      </c>
      <c r="E1892" t="s">
        <v>87</v>
      </c>
      <c r="F1892" t="s">
        <v>87</v>
      </c>
      <c r="G1892" t="s">
        <v>18</v>
      </c>
      <c r="H1892" t="s">
        <v>19</v>
      </c>
      <c r="I1892" t="str">
        <f>LEFT(H1892,FIND(" (",H1892)-1)</f>
        <v>Entry</v>
      </c>
      <c r="J1892" t="str">
        <f>MID(H1892,FIND("(",H1892)+1,FIND(")",H1892)-FIND("(",H1892)-1)</f>
        <v>0-2 yrs</v>
      </c>
      <c r="L1892">
        <v>76883</v>
      </c>
      <c r="M1892" t="s">
        <v>3906</v>
      </c>
      <c r="N1892" t="s">
        <v>89</v>
      </c>
      <c r="O1892" t="s">
        <v>51</v>
      </c>
      <c r="P1892" s="1">
        <v>45464</v>
      </c>
      <c r="Q1892">
        <v>823</v>
      </c>
      <c r="R1892">
        <v>2791</v>
      </c>
      <c r="S1892" t="s">
        <v>34</v>
      </c>
      <c r="T1892">
        <v>0</v>
      </c>
      <c r="U1892" t="s">
        <v>45</v>
      </c>
      <c r="V1892" t="s">
        <v>24</v>
      </c>
      <c r="W1892" t="s">
        <v>23</v>
      </c>
    </row>
    <row r="1893" spans="1:23" x14ac:dyDescent="0.3">
      <c r="A1893" t="s">
        <v>3907</v>
      </c>
      <c r="B1893" t="s">
        <v>172</v>
      </c>
      <c r="C1893" t="s">
        <v>86</v>
      </c>
      <c r="D1893" t="s">
        <v>75</v>
      </c>
      <c r="E1893" t="s">
        <v>5136</v>
      </c>
      <c r="F1893" t="s">
        <v>5133</v>
      </c>
      <c r="G1893" t="s">
        <v>41</v>
      </c>
      <c r="H1893" t="s">
        <v>56</v>
      </c>
      <c r="I1893" t="str">
        <f>LEFT(H1893,FIND(" (",H1893)-1)</f>
        <v>Mid</v>
      </c>
      <c r="J1893" t="str">
        <f>MID(H1893,FIND("(",H1893)+1,FIND(")",H1893)-FIND("(",H1893)-1)</f>
        <v>2-5 yrs</v>
      </c>
      <c r="L1893">
        <v>110127</v>
      </c>
      <c r="M1893" t="s">
        <v>3908</v>
      </c>
      <c r="N1893" t="s">
        <v>33</v>
      </c>
      <c r="O1893" t="s">
        <v>79</v>
      </c>
      <c r="P1893" s="1">
        <v>45698</v>
      </c>
      <c r="Q1893">
        <v>2334</v>
      </c>
      <c r="R1893">
        <v>2939</v>
      </c>
      <c r="S1893" t="s">
        <v>23</v>
      </c>
      <c r="T1893">
        <v>2</v>
      </c>
      <c r="U1893" t="s">
        <v>58</v>
      </c>
      <c r="V1893" t="s">
        <v>24</v>
      </c>
      <c r="W1893" t="s">
        <v>23</v>
      </c>
    </row>
    <row r="1894" spans="1:23" x14ac:dyDescent="0.3">
      <c r="A1894" t="s">
        <v>3909</v>
      </c>
      <c r="B1894" t="s">
        <v>172</v>
      </c>
      <c r="C1894" t="s">
        <v>37</v>
      </c>
      <c r="D1894" t="s">
        <v>38</v>
      </c>
      <c r="E1894" t="s">
        <v>5136</v>
      </c>
      <c r="F1894" t="s">
        <v>5133</v>
      </c>
      <c r="G1894" t="s">
        <v>18</v>
      </c>
      <c r="H1894" t="s">
        <v>66</v>
      </c>
      <c r="I1894" t="str">
        <f>LEFT(H1894,FIND(" (",H1894)-1)</f>
        <v>Senior</v>
      </c>
      <c r="J1894" t="str">
        <f>MID(H1894,FIND("(",H1894)+1,FIND(")",H1894)-FIND("(",H1894)-1)</f>
        <v>5-8 yrs</v>
      </c>
      <c r="L1894">
        <v>138217</v>
      </c>
      <c r="M1894" t="s">
        <v>3910</v>
      </c>
      <c r="N1894" t="s">
        <v>94</v>
      </c>
      <c r="O1894" t="s">
        <v>51</v>
      </c>
      <c r="P1894" s="1">
        <v>45537</v>
      </c>
      <c r="Q1894">
        <v>958</v>
      </c>
      <c r="R1894">
        <v>180</v>
      </c>
      <c r="S1894" t="s">
        <v>23</v>
      </c>
      <c r="T1894">
        <v>4</v>
      </c>
      <c r="U1894" t="s">
        <v>58</v>
      </c>
      <c r="V1894" t="s">
        <v>24</v>
      </c>
      <c r="W1894" t="s">
        <v>34</v>
      </c>
    </row>
    <row r="1895" spans="1:23" x14ac:dyDescent="0.3">
      <c r="A1895" t="s">
        <v>3911</v>
      </c>
      <c r="B1895" t="s">
        <v>13</v>
      </c>
      <c r="C1895" t="s">
        <v>116</v>
      </c>
      <c r="D1895" t="s">
        <v>38</v>
      </c>
      <c r="E1895" t="s">
        <v>5132</v>
      </c>
      <c r="F1895" t="s">
        <v>5133</v>
      </c>
      <c r="G1895" t="s">
        <v>18</v>
      </c>
      <c r="H1895" t="s">
        <v>66</v>
      </c>
      <c r="I1895" t="str">
        <f>LEFT(H1895,FIND(" (",H1895)-1)</f>
        <v>Senior</v>
      </c>
      <c r="J1895" t="str">
        <f>MID(H1895,FIND("(",H1895)+1,FIND(")",H1895)-FIND("(",H1895)-1)</f>
        <v>5-8 yrs</v>
      </c>
      <c r="L1895">
        <v>147040</v>
      </c>
      <c r="M1895" t="s">
        <v>3912</v>
      </c>
      <c r="N1895" t="s">
        <v>33</v>
      </c>
      <c r="O1895" t="s">
        <v>22</v>
      </c>
      <c r="P1895" s="1">
        <v>45548</v>
      </c>
      <c r="Q1895">
        <v>425</v>
      </c>
      <c r="R1895">
        <v>2052</v>
      </c>
      <c r="S1895" t="s">
        <v>99</v>
      </c>
      <c r="T1895">
        <v>4</v>
      </c>
      <c r="U1895" t="s">
        <v>83</v>
      </c>
      <c r="V1895" t="s">
        <v>24</v>
      </c>
      <c r="W1895" t="s">
        <v>23</v>
      </c>
    </row>
    <row r="1896" spans="1:23" x14ac:dyDescent="0.3">
      <c r="A1896" t="s">
        <v>3913</v>
      </c>
      <c r="B1896" t="s">
        <v>229</v>
      </c>
      <c r="C1896" t="s">
        <v>97</v>
      </c>
      <c r="D1896" t="s">
        <v>174</v>
      </c>
      <c r="E1896" t="s">
        <v>5137</v>
      </c>
      <c r="F1896" t="s">
        <v>5138</v>
      </c>
      <c r="G1896" t="s">
        <v>18</v>
      </c>
      <c r="H1896" t="s">
        <v>56</v>
      </c>
      <c r="I1896" t="str">
        <f>LEFT(H1896,FIND(" (",H1896)-1)</f>
        <v>Mid</v>
      </c>
      <c r="J1896" t="str">
        <f>MID(H1896,FIND("(",H1896)+1,FIND(")",H1896)-FIND("(",H1896)-1)</f>
        <v>2-5 yrs</v>
      </c>
      <c r="L1896">
        <v>108250</v>
      </c>
      <c r="M1896" t="s">
        <v>3914</v>
      </c>
      <c r="N1896" t="s">
        <v>94</v>
      </c>
      <c r="O1896" t="s">
        <v>22</v>
      </c>
      <c r="P1896" s="1">
        <v>45540</v>
      </c>
      <c r="Q1896">
        <v>1902</v>
      </c>
      <c r="R1896">
        <v>2960</v>
      </c>
      <c r="S1896" t="s">
        <v>34</v>
      </c>
      <c r="T1896">
        <v>2</v>
      </c>
      <c r="U1896" t="s">
        <v>45</v>
      </c>
      <c r="V1896" t="s">
        <v>59</v>
      </c>
      <c r="W1896" t="s">
        <v>23</v>
      </c>
    </row>
    <row r="1897" spans="1:23" x14ac:dyDescent="0.3">
      <c r="A1897" t="s">
        <v>3915</v>
      </c>
      <c r="B1897" t="s">
        <v>85</v>
      </c>
      <c r="C1897" t="s">
        <v>92</v>
      </c>
      <c r="D1897" t="s">
        <v>75</v>
      </c>
      <c r="E1897" t="s">
        <v>29</v>
      </c>
      <c r="F1897" t="s">
        <v>30</v>
      </c>
      <c r="G1897" t="s">
        <v>41</v>
      </c>
      <c r="H1897" t="s">
        <v>56</v>
      </c>
      <c r="I1897" t="str">
        <f>LEFT(H1897,FIND(" (",H1897)-1)</f>
        <v>Mid</v>
      </c>
      <c r="J1897" t="str">
        <f>MID(H1897,FIND("(",H1897)+1,FIND(")",H1897)-FIND("(",H1897)-1)</f>
        <v>2-5 yrs</v>
      </c>
      <c r="L1897">
        <v>102673</v>
      </c>
      <c r="M1897" t="s">
        <v>3916</v>
      </c>
      <c r="N1897" t="s">
        <v>141</v>
      </c>
      <c r="O1897" t="s">
        <v>51</v>
      </c>
      <c r="P1897" s="1">
        <v>45521</v>
      </c>
      <c r="Q1897">
        <v>2022</v>
      </c>
      <c r="R1897">
        <v>3681</v>
      </c>
      <c r="S1897" t="s">
        <v>23</v>
      </c>
      <c r="T1897">
        <v>2</v>
      </c>
      <c r="U1897" t="s">
        <v>52</v>
      </c>
      <c r="V1897" t="s">
        <v>46</v>
      </c>
      <c r="W1897" t="s">
        <v>23</v>
      </c>
    </row>
    <row r="1898" spans="1:23" x14ac:dyDescent="0.3">
      <c r="A1898" t="s">
        <v>3917</v>
      </c>
      <c r="B1898" t="s">
        <v>70</v>
      </c>
      <c r="C1898" t="s">
        <v>107</v>
      </c>
      <c r="D1898" t="s">
        <v>174</v>
      </c>
      <c r="E1898" t="s">
        <v>87</v>
      </c>
      <c r="F1898" t="s">
        <v>87</v>
      </c>
      <c r="G1898" t="s">
        <v>41</v>
      </c>
      <c r="H1898" t="s">
        <v>66</v>
      </c>
      <c r="I1898" t="str">
        <f>LEFT(H1898,FIND(" (",H1898)-1)</f>
        <v>Senior</v>
      </c>
      <c r="J1898" t="str">
        <f>MID(H1898,FIND("(",H1898)+1,FIND(")",H1898)-FIND("(",H1898)-1)</f>
        <v>5-8 yrs</v>
      </c>
      <c r="L1898">
        <v>143012</v>
      </c>
      <c r="M1898" t="s">
        <v>3918</v>
      </c>
      <c r="N1898" t="s">
        <v>43</v>
      </c>
      <c r="O1898" t="s">
        <v>44</v>
      </c>
      <c r="P1898" s="1">
        <v>45628</v>
      </c>
      <c r="Q1898">
        <v>1609</v>
      </c>
      <c r="R1898">
        <v>1103</v>
      </c>
      <c r="S1898" t="s">
        <v>23</v>
      </c>
      <c r="T1898">
        <v>4</v>
      </c>
      <c r="U1898" t="s">
        <v>5123</v>
      </c>
      <c r="V1898" t="s">
        <v>24</v>
      </c>
      <c r="W1898" t="s">
        <v>23</v>
      </c>
    </row>
    <row r="1899" spans="1:23" x14ac:dyDescent="0.3">
      <c r="A1899" t="s">
        <v>3919</v>
      </c>
      <c r="B1899" t="s">
        <v>131</v>
      </c>
      <c r="C1899" t="s">
        <v>158</v>
      </c>
      <c r="D1899" t="s">
        <v>49</v>
      </c>
      <c r="E1899" t="s">
        <v>39</v>
      </c>
      <c r="F1899" t="s">
        <v>40</v>
      </c>
      <c r="G1899" t="s">
        <v>41</v>
      </c>
      <c r="H1899" t="s">
        <v>31</v>
      </c>
      <c r="I1899" t="str">
        <f>LEFT(H1899,FIND(" (",H1899)-1)</f>
        <v>Staff/Principal</v>
      </c>
      <c r="J1899" t="str">
        <f>MID(H1899,FIND("(",H1899)+1,FIND(")",H1899)-FIND("(",H1899)-1)</f>
        <v>8+ yrs</v>
      </c>
      <c r="L1899">
        <v>257551</v>
      </c>
      <c r="M1899" t="s">
        <v>3920</v>
      </c>
      <c r="N1899" t="s">
        <v>33</v>
      </c>
      <c r="O1899" t="s">
        <v>44</v>
      </c>
      <c r="P1899" s="1">
        <v>45549</v>
      </c>
      <c r="Q1899">
        <v>428</v>
      </c>
      <c r="R1899">
        <v>3042</v>
      </c>
      <c r="S1899" t="s">
        <v>34</v>
      </c>
      <c r="T1899">
        <v>6</v>
      </c>
      <c r="U1899" t="s">
        <v>52</v>
      </c>
      <c r="V1899" t="s">
        <v>24</v>
      </c>
      <c r="W1899" t="s">
        <v>34</v>
      </c>
    </row>
    <row r="1900" spans="1:23" x14ac:dyDescent="0.3">
      <c r="A1900" t="s">
        <v>3921</v>
      </c>
      <c r="B1900" t="s">
        <v>36</v>
      </c>
      <c r="C1900" t="s">
        <v>182</v>
      </c>
      <c r="D1900" t="s">
        <v>63</v>
      </c>
      <c r="E1900" t="s">
        <v>216</v>
      </c>
      <c r="F1900" t="s">
        <v>217</v>
      </c>
      <c r="G1900" t="s">
        <v>18</v>
      </c>
      <c r="H1900" t="s">
        <v>19</v>
      </c>
      <c r="I1900" t="str">
        <f>LEFT(H1900,FIND(" (",H1900)-1)</f>
        <v>Entry</v>
      </c>
      <c r="J1900" t="str">
        <f>MID(H1900,FIND("(",H1900)+1,FIND(")",H1900)-FIND("(",H1900)-1)</f>
        <v>0-2 yrs</v>
      </c>
      <c r="L1900">
        <v>77067</v>
      </c>
      <c r="M1900" t="s">
        <v>3922</v>
      </c>
      <c r="N1900" t="s">
        <v>149</v>
      </c>
      <c r="O1900" t="s">
        <v>51</v>
      </c>
      <c r="P1900" s="1">
        <v>45681</v>
      </c>
      <c r="Q1900">
        <v>2314</v>
      </c>
      <c r="R1900">
        <v>2211</v>
      </c>
      <c r="S1900" t="s">
        <v>23</v>
      </c>
      <c r="T1900">
        <v>0</v>
      </c>
      <c r="U1900" t="s">
        <v>45</v>
      </c>
      <c r="V1900" t="s">
        <v>24</v>
      </c>
      <c r="W1900" t="s">
        <v>23</v>
      </c>
    </row>
    <row r="1901" spans="1:23" x14ac:dyDescent="0.3">
      <c r="A1901" t="s">
        <v>3923</v>
      </c>
      <c r="B1901" t="s">
        <v>81</v>
      </c>
      <c r="C1901" t="s">
        <v>132</v>
      </c>
      <c r="D1901" t="s">
        <v>28</v>
      </c>
      <c r="E1901" t="s">
        <v>5139</v>
      </c>
      <c r="F1901" t="s">
        <v>5133</v>
      </c>
      <c r="G1901" t="s">
        <v>41</v>
      </c>
      <c r="H1901" t="s">
        <v>31</v>
      </c>
      <c r="I1901" t="str">
        <f>LEFT(H1901,FIND(" (",H1901)-1)</f>
        <v>Staff/Principal</v>
      </c>
      <c r="J1901" t="str">
        <f>MID(H1901,FIND("(",H1901)+1,FIND(")",H1901)-FIND("(",H1901)-1)</f>
        <v>8+ yrs</v>
      </c>
      <c r="L1901">
        <v>189362</v>
      </c>
      <c r="M1901" t="s">
        <v>3924</v>
      </c>
      <c r="N1901" t="s">
        <v>89</v>
      </c>
      <c r="O1901" t="s">
        <v>51</v>
      </c>
      <c r="P1901" s="1">
        <v>45559</v>
      </c>
      <c r="Q1901">
        <v>1997</v>
      </c>
      <c r="R1901">
        <v>1935</v>
      </c>
      <c r="S1901" t="s">
        <v>34</v>
      </c>
      <c r="T1901">
        <v>6</v>
      </c>
      <c r="U1901" t="s">
        <v>5123</v>
      </c>
      <c r="V1901" t="s">
        <v>46</v>
      </c>
      <c r="W1901" t="s">
        <v>23</v>
      </c>
    </row>
    <row r="1902" spans="1:23" x14ac:dyDescent="0.3">
      <c r="A1902" t="s">
        <v>3925</v>
      </c>
      <c r="B1902" t="s">
        <v>172</v>
      </c>
      <c r="C1902" t="s">
        <v>146</v>
      </c>
      <c r="D1902" t="s">
        <v>38</v>
      </c>
      <c r="E1902" t="s">
        <v>29</v>
      </c>
      <c r="F1902" t="s">
        <v>30</v>
      </c>
      <c r="G1902" t="s">
        <v>18</v>
      </c>
      <c r="H1902" t="s">
        <v>19</v>
      </c>
      <c r="I1902" t="str">
        <f>LEFT(H1902,FIND(" (",H1902)-1)</f>
        <v>Entry</v>
      </c>
      <c r="J1902" t="str">
        <f>MID(H1902,FIND("(",H1902)+1,FIND(")",H1902)-FIND("(",H1902)-1)</f>
        <v>0-2 yrs</v>
      </c>
      <c r="L1902">
        <v>78781</v>
      </c>
      <c r="M1902" t="s">
        <v>3926</v>
      </c>
      <c r="N1902" t="s">
        <v>186</v>
      </c>
      <c r="O1902" t="s">
        <v>22</v>
      </c>
      <c r="P1902" s="1">
        <v>45459</v>
      </c>
      <c r="Q1902">
        <v>1840</v>
      </c>
      <c r="R1902">
        <v>2710</v>
      </c>
      <c r="S1902" t="s">
        <v>23</v>
      </c>
      <c r="T1902">
        <v>0</v>
      </c>
      <c r="U1902" t="s">
        <v>83</v>
      </c>
      <c r="V1902" t="s">
        <v>24</v>
      </c>
      <c r="W1902" t="s">
        <v>23</v>
      </c>
    </row>
    <row r="1903" spans="1:23" x14ac:dyDescent="0.3">
      <c r="A1903" t="s">
        <v>3927</v>
      </c>
      <c r="B1903" t="s">
        <v>96</v>
      </c>
      <c r="C1903" t="s">
        <v>173</v>
      </c>
      <c r="D1903" t="s">
        <v>38</v>
      </c>
      <c r="E1903" t="s">
        <v>216</v>
      </c>
      <c r="F1903" t="s">
        <v>217</v>
      </c>
      <c r="G1903" t="s">
        <v>55</v>
      </c>
      <c r="H1903" t="s">
        <v>66</v>
      </c>
      <c r="I1903" t="str">
        <f>LEFT(H1903,FIND(" (",H1903)-1)</f>
        <v>Senior</v>
      </c>
      <c r="J1903" t="str">
        <f>MID(H1903,FIND("(",H1903)+1,FIND(")",H1903)-FIND("(",H1903)-1)</f>
        <v>5-8 yrs</v>
      </c>
      <c r="L1903">
        <v>140986</v>
      </c>
      <c r="M1903" t="s">
        <v>3928</v>
      </c>
      <c r="N1903" t="s">
        <v>33</v>
      </c>
      <c r="O1903" t="s">
        <v>51</v>
      </c>
      <c r="P1903" s="1">
        <v>45639</v>
      </c>
      <c r="Q1903">
        <v>714</v>
      </c>
      <c r="R1903">
        <v>3298</v>
      </c>
      <c r="S1903" t="s">
        <v>23</v>
      </c>
      <c r="T1903">
        <v>4</v>
      </c>
      <c r="U1903" t="s">
        <v>83</v>
      </c>
      <c r="V1903" t="s">
        <v>24</v>
      </c>
      <c r="W1903" t="s">
        <v>23</v>
      </c>
    </row>
    <row r="1904" spans="1:23" x14ac:dyDescent="0.3">
      <c r="A1904" t="s">
        <v>3929</v>
      </c>
      <c r="B1904" t="s">
        <v>143</v>
      </c>
      <c r="C1904" t="s">
        <v>239</v>
      </c>
      <c r="D1904" t="s">
        <v>38</v>
      </c>
      <c r="E1904" t="s">
        <v>16</v>
      </c>
      <c r="F1904" t="s">
        <v>17</v>
      </c>
      <c r="G1904" t="s">
        <v>18</v>
      </c>
      <c r="H1904" t="s">
        <v>56</v>
      </c>
      <c r="I1904" t="str">
        <f>LEFT(H1904,FIND(" (",H1904)-1)</f>
        <v>Mid</v>
      </c>
      <c r="J1904" t="str">
        <f>MID(H1904,FIND("(",H1904)+1,FIND(")",H1904)-FIND("(",H1904)-1)</f>
        <v>2-5 yrs</v>
      </c>
      <c r="L1904">
        <v>133227</v>
      </c>
      <c r="M1904" t="s">
        <v>3930</v>
      </c>
      <c r="N1904" t="s">
        <v>149</v>
      </c>
      <c r="O1904" t="s">
        <v>22</v>
      </c>
      <c r="P1904" s="1">
        <v>45585</v>
      </c>
      <c r="Q1904">
        <v>2395</v>
      </c>
      <c r="R1904">
        <v>1754</v>
      </c>
      <c r="S1904" t="s">
        <v>23</v>
      </c>
      <c r="T1904">
        <v>2</v>
      </c>
      <c r="U1904" t="s">
        <v>45</v>
      </c>
      <c r="V1904" t="s">
        <v>24</v>
      </c>
      <c r="W1904" t="s">
        <v>34</v>
      </c>
    </row>
    <row r="1905" spans="1:23" x14ac:dyDescent="0.3">
      <c r="A1905" t="s">
        <v>3931</v>
      </c>
      <c r="B1905" t="s">
        <v>36</v>
      </c>
      <c r="C1905" t="s">
        <v>192</v>
      </c>
      <c r="D1905" t="s">
        <v>15</v>
      </c>
      <c r="E1905" t="s">
        <v>5134</v>
      </c>
      <c r="F1905" t="s">
        <v>5133</v>
      </c>
      <c r="G1905" t="s">
        <v>55</v>
      </c>
      <c r="H1905" t="s">
        <v>66</v>
      </c>
      <c r="I1905" t="str">
        <f>LEFT(H1905,FIND(" (",H1905)-1)</f>
        <v>Senior</v>
      </c>
      <c r="J1905" t="str">
        <f>MID(H1905,FIND("(",H1905)+1,FIND(")",H1905)-FIND("(",H1905)-1)</f>
        <v>5-8 yrs</v>
      </c>
      <c r="L1905">
        <v>159980</v>
      </c>
      <c r="M1905" t="s">
        <v>3932</v>
      </c>
      <c r="N1905" t="s">
        <v>33</v>
      </c>
      <c r="O1905" t="s">
        <v>22</v>
      </c>
      <c r="P1905" s="1">
        <v>45341</v>
      </c>
      <c r="Q1905">
        <v>1410</v>
      </c>
      <c r="R1905">
        <v>1001</v>
      </c>
      <c r="S1905" t="s">
        <v>99</v>
      </c>
      <c r="T1905">
        <v>4</v>
      </c>
      <c r="U1905" t="s">
        <v>58</v>
      </c>
      <c r="V1905" t="s">
        <v>24</v>
      </c>
      <c r="W1905" t="s">
        <v>23</v>
      </c>
    </row>
    <row r="1906" spans="1:23" x14ac:dyDescent="0.3">
      <c r="A1906" t="s">
        <v>3933</v>
      </c>
      <c r="B1906" t="s">
        <v>61</v>
      </c>
      <c r="C1906" t="s">
        <v>27</v>
      </c>
      <c r="D1906" t="s">
        <v>49</v>
      </c>
      <c r="E1906" t="s">
        <v>5134</v>
      </c>
      <c r="F1906" t="s">
        <v>5133</v>
      </c>
      <c r="G1906" t="s">
        <v>55</v>
      </c>
      <c r="H1906" t="s">
        <v>66</v>
      </c>
      <c r="I1906" t="str">
        <f>LEFT(H1906,FIND(" (",H1906)-1)</f>
        <v>Senior</v>
      </c>
      <c r="J1906" t="str">
        <f>MID(H1906,FIND("(",H1906)+1,FIND(")",H1906)-FIND("(",H1906)-1)</f>
        <v>5-8 yrs</v>
      </c>
      <c r="L1906">
        <v>147102</v>
      </c>
      <c r="M1906" t="s">
        <v>3934</v>
      </c>
      <c r="N1906" t="s">
        <v>68</v>
      </c>
      <c r="O1906" t="s">
        <v>44</v>
      </c>
      <c r="P1906" s="1">
        <v>45532</v>
      </c>
      <c r="Q1906">
        <v>934</v>
      </c>
      <c r="R1906">
        <v>851</v>
      </c>
      <c r="S1906" t="s">
        <v>34</v>
      </c>
      <c r="T1906">
        <v>4</v>
      </c>
      <c r="U1906" t="s">
        <v>45</v>
      </c>
      <c r="V1906" t="s">
        <v>24</v>
      </c>
      <c r="W1906" t="s">
        <v>23</v>
      </c>
    </row>
    <row r="1907" spans="1:23" x14ac:dyDescent="0.3">
      <c r="A1907" t="s">
        <v>3935</v>
      </c>
      <c r="B1907" t="s">
        <v>13</v>
      </c>
      <c r="C1907" t="s">
        <v>226</v>
      </c>
      <c r="D1907" t="s">
        <v>125</v>
      </c>
      <c r="E1907" t="s">
        <v>64</v>
      </c>
      <c r="F1907" t="s">
        <v>65</v>
      </c>
      <c r="G1907" t="s">
        <v>18</v>
      </c>
      <c r="H1907" t="s">
        <v>19</v>
      </c>
      <c r="I1907" t="str">
        <f>LEFT(H1907,FIND(" (",H1907)-1)</f>
        <v>Entry</v>
      </c>
      <c r="J1907" t="str">
        <f>MID(H1907,FIND("(",H1907)+1,FIND(")",H1907)-FIND("(",H1907)-1)</f>
        <v>0-2 yrs</v>
      </c>
      <c r="L1907">
        <v>75641</v>
      </c>
      <c r="M1907" t="s">
        <v>3936</v>
      </c>
      <c r="N1907" t="s">
        <v>186</v>
      </c>
      <c r="O1907" t="s">
        <v>22</v>
      </c>
      <c r="P1907" s="1">
        <v>45297</v>
      </c>
      <c r="Q1907">
        <v>1566</v>
      </c>
      <c r="R1907">
        <v>1094</v>
      </c>
      <c r="S1907" t="s">
        <v>34</v>
      </c>
      <c r="T1907">
        <v>0</v>
      </c>
      <c r="U1907" t="s">
        <v>58</v>
      </c>
      <c r="V1907" t="s">
        <v>59</v>
      </c>
      <c r="W1907" t="s">
        <v>34</v>
      </c>
    </row>
    <row r="1908" spans="1:23" x14ac:dyDescent="0.3">
      <c r="A1908" t="s">
        <v>3937</v>
      </c>
      <c r="B1908" t="s">
        <v>91</v>
      </c>
      <c r="C1908" t="s">
        <v>101</v>
      </c>
      <c r="D1908" t="s">
        <v>174</v>
      </c>
      <c r="E1908" t="s">
        <v>87</v>
      </c>
      <c r="F1908" t="s">
        <v>87</v>
      </c>
      <c r="G1908" t="s">
        <v>41</v>
      </c>
      <c r="H1908" t="s">
        <v>66</v>
      </c>
      <c r="I1908" t="str">
        <f>LEFT(H1908,FIND(" (",H1908)-1)</f>
        <v>Senior</v>
      </c>
      <c r="J1908" t="str">
        <f>MID(H1908,FIND("(",H1908)+1,FIND(")",H1908)-FIND("(",H1908)-1)</f>
        <v>5-8 yrs</v>
      </c>
      <c r="L1908">
        <v>107586</v>
      </c>
      <c r="M1908" t="s">
        <v>3938</v>
      </c>
      <c r="N1908" t="s">
        <v>141</v>
      </c>
      <c r="O1908" t="s">
        <v>51</v>
      </c>
      <c r="P1908" s="1">
        <v>45634</v>
      </c>
      <c r="Q1908">
        <v>1574</v>
      </c>
      <c r="R1908">
        <v>1116</v>
      </c>
      <c r="S1908" t="s">
        <v>23</v>
      </c>
      <c r="T1908">
        <v>4</v>
      </c>
      <c r="U1908" t="s">
        <v>58</v>
      </c>
      <c r="V1908" t="s">
        <v>59</v>
      </c>
      <c r="W1908" t="s">
        <v>34</v>
      </c>
    </row>
    <row r="1909" spans="1:23" x14ac:dyDescent="0.3">
      <c r="A1909" t="s">
        <v>3939</v>
      </c>
      <c r="B1909" t="s">
        <v>36</v>
      </c>
      <c r="C1909" t="s">
        <v>132</v>
      </c>
      <c r="D1909" t="s">
        <v>75</v>
      </c>
      <c r="E1909" t="s">
        <v>5132</v>
      </c>
      <c r="F1909" t="s">
        <v>5133</v>
      </c>
      <c r="G1909" t="s">
        <v>18</v>
      </c>
      <c r="H1909" t="s">
        <v>66</v>
      </c>
      <c r="I1909" t="str">
        <f>LEFT(H1909,FIND(" (",H1909)-1)</f>
        <v>Senior</v>
      </c>
      <c r="J1909" t="str">
        <f>MID(H1909,FIND("(",H1909)+1,FIND(")",H1909)-FIND("(",H1909)-1)</f>
        <v>5-8 yrs</v>
      </c>
      <c r="L1909">
        <v>119577</v>
      </c>
      <c r="M1909" t="s">
        <v>3940</v>
      </c>
      <c r="N1909" t="s">
        <v>43</v>
      </c>
      <c r="O1909" t="s">
        <v>22</v>
      </c>
      <c r="P1909" s="1">
        <v>45682</v>
      </c>
      <c r="Q1909">
        <v>1573</v>
      </c>
      <c r="R1909">
        <v>3972</v>
      </c>
      <c r="S1909" t="s">
        <v>34</v>
      </c>
      <c r="T1909">
        <v>4</v>
      </c>
      <c r="U1909" t="s">
        <v>52</v>
      </c>
      <c r="V1909" t="s">
        <v>24</v>
      </c>
      <c r="W1909" t="s">
        <v>34</v>
      </c>
    </row>
    <row r="1910" spans="1:23" x14ac:dyDescent="0.3">
      <c r="A1910" t="s">
        <v>3941</v>
      </c>
      <c r="B1910" t="s">
        <v>225</v>
      </c>
      <c r="C1910" t="s">
        <v>167</v>
      </c>
      <c r="D1910" t="s">
        <v>75</v>
      </c>
      <c r="E1910" t="s">
        <v>5141</v>
      </c>
      <c r="F1910" t="s">
        <v>5133</v>
      </c>
      <c r="G1910" t="s">
        <v>41</v>
      </c>
      <c r="H1910" t="s">
        <v>56</v>
      </c>
      <c r="I1910" t="str">
        <f>LEFT(H1910,FIND(" (",H1910)-1)</f>
        <v>Mid</v>
      </c>
      <c r="J1910" t="str">
        <f>MID(H1910,FIND("(",H1910)+1,FIND(")",H1910)-FIND("(",H1910)-1)</f>
        <v>2-5 yrs</v>
      </c>
      <c r="L1910">
        <v>86360</v>
      </c>
      <c r="M1910" t="s">
        <v>3942</v>
      </c>
      <c r="N1910" t="s">
        <v>33</v>
      </c>
      <c r="O1910" t="s">
        <v>51</v>
      </c>
      <c r="P1910" s="1">
        <v>45647</v>
      </c>
      <c r="Q1910">
        <v>1676</v>
      </c>
      <c r="R1910">
        <v>124</v>
      </c>
      <c r="S1910" t="s">
        <v>99</v>
      </c>
      <c r="T1910">
        <v>2</v>
      </c>
      <c r="U1910" t="s">
        <v>58</v>
      </c>
      <c r="V1910" t="s">
        <v>24</v>
      </c>
      <c r="W1910" t="s">
        <v>23</v>
      </c>
    </row>
    <row r="1911" spans="1:23" x14ac:dyDescent="0.3">
      <c r="A1911" t="s">
        <v>3943</v>
      </c>
      <c r="B1911" t="s">
        <v>131</v>
      </c>
      <c r="C1911" t="s">
        <v>182</v>
      </c>
      <c r="D1911" t="s">
        <v>63</v>
      </c>
      <c r="E1911" t="s">
        <v>200</v>
      </c>
      <c r="F1911" t="s">
        <v>201</v>
      </c>
      <c r="G1911" t="s">
        <v>41</v>
      </c>
      <c r="H1911" t="s">
        <v>19</v>
      </c>
      <c r="I1911" t="str">
        <f>LEFT(H1911,FIND(" (",H1911)-1)</f>
        <v>Entry</v>
      </c>
      <c r="J1911" t="str">
        <f>MID(H1911,FIND("(",H1911)+1,FIND(")",H1911)-FIND("(",H1911)-1)</f>
        <v>0-2 yrs</v>
      </c>
      <c r="L1911">
        <v>71801</v>
      </c>
      <c r="M1911" t="s">
        <v>3944</v>
      </c>
      <c r="N1911" t="s">
        <v>120</v>
      </c>
      <c r="O1911" t="s">
        <v>51</v>
      </c>
      <c r="P1911" s="1">
        <v>45614</v>
      </c>
      <c r="Q1911">
        <v>2276</v>
      </c>
      <c r="R1911">
        <v>1046</v>
      </c>
      <c r="S1911" t="s">
        <v>23</v>
      </c>
      <c r="T1911">
        <v>0</v>
      </c>
      <c r="U1911" t="s">
        <v>45</v>
      </c>
      <c r="V1911" t="s">
        <v>24</v>
      </c>
      <c r="W1911" t="s">
        <v>34</v>
      </c>
    </row>
    <row r="1912" spans="1:23" x14ac:dyDescent="0.3">
      <c r="A1912" t="s">
        <v>3945</v>
      </c>
      <c r="B1912" t="s">
        <v>143</v>
      </c>
      <c r="C1912" t="s">
        <v>128</v>
      </c>
      <c r="D1912" t="s">
        <v>75</v>
      </c>
      <c r="E1912" t="s">
        <v>5135</v>
      </c>
      <c r="F1912" t="s">
        <v>5133</v>
      </c>
      <c r="G1912" t="s">
        <v>18</v>
      </c>
      <c r="H1912" t="s">
        <v>56</v>
      </c>
      <c r="I1912" t="str">
        <f>LEFT(H1912,FIND(" (",H1912)-1)</f>
        <v>Mid</v>
      </c>
      <c r="J1912" t="str">
        <f>MID(H1912,FIND("(",H1912)+1,FIND(")",H1912)-FIND("(",H1912)-1)</f>
        <v>2-5 yrs</v>
      </c>
      <c r="L1912">
        <v>144303</v>
      </c>
      <c r="M1912" t="s">
        <v>3946</v>
      </c>
      <c r="N1912" t="s">
        <v>94</v>
      </c>
      <c r="O1912" t="s">
        <v>79</v>
      </c>
      <c r="P1912" s="1">
        <v>45436</v>
      </c>
      <c r="Q1912">
        <v>1898</v>
      </c>
      <c r="R1912">
        <v>1229</v>
      </c>
      <c r="S1912" t="s">
        <v>23</v>
      </c>
      <c r="T1912">
        <v>2</v>
      </c>
      <c r="U1912" t="s">
        <v>52</v>
      </c>
      <c r="V1912" t="s">
        <v>46</v>
      </c>
      <c r="W1912" t="s">
        <v>23</v>
      </c>
    </row>
    <row r="1913" spans="1:23" x14ac:dyDescent="0.3">
      <c r="A1913" t="s">
        <v>3947</v>
      </c>
      <c r="B1913" t="s">
        <v>225</v>
      </c>
      <c r="C1913" t="s">
        <v>97</v>
      </c>
      <c r="D1913" t="s">
        <v>147</v>
      </c>
      <c r="E1913" t="s">
        <v>87</v>
      </c>
      <c r="F1913" t="s">
        <v>87</v>
      </c>
      <c r="G1913" t="s">
        <v>41</v>
      </c>
      <c r="H1913" t="s">
        <v>66</v>
      </c>
      <c r="I1913" t="str">
        <f>LEFT(H1913,FIND(" (",H1913)-1)</f>
        <v>Senior</v>
      </c>
      <c r="J1913" t="str">
        <f>MID(H1913,FIND("(",H1913)+1,FIND(")",H1913)-FIND("(",H1913)-1)</f>
        <v>5-8 yrs</v>
      </c>
      <c r="L1913">
        <v>210245</v>
      </c>
      <c r="M1913" t="s">
        <v>3948</v>
      </c>
      <c r="N1913" t="s">
        <v>120</v>
      </c>
      <c r="O1913" t="s">
        <v>22</v>
      </c>
      <c r="P1913" s="1">
        <v>45595</v>
      </c>
      <c r="Q1913">
        <v>712</v>
      </c>
      <c r="R1913">
        <v>582</v>
      </c>
      <c r="S1913" t="s">
        <v>34</v>
      </c>
      <c r="T1913">
        <v>4</v>
      </c>
      <c r="U1913" t="s">
        <v>45</v>
      </c>
      <c r="V1913" t="s">
        <v>24</v>
      </c>
      <c r="W1913" t="s">
        <v>34</v>
      </c>
    </row>
    <row r="1914" spans="1:23" x14ac:dyDescent="0.3">
      <c r="A1914" t="s">
        <v>3949</v>
      </c>
      <c r="B1914" t="s">
        <v>225</v>
      </c>
      <c r="C1914" t="s">
        <v>195</v>
      </c>
      <c r="D1914" t="s">
        <v>38</v>
      </c>
      <c r="E1914" t="s">
        <v>5141</v>
      </c>
      <c r="F1914" t="s">
        <v>5133</v>
      </c>
      <c r="G1914" t="s">
        <v>41</v>
      </c>
      <c r="H1914" t="s">
        <v>66</v>
      </c>
      <c r="I1914" t="str">
        <f>LEFT(H1914,FIND(" (",H1914)-1)</f>
        <v>Senior</v>
      </c>
      <c r="J1914" t="str">
        <f>MID(H1914,FIND("(",H1914)+1,FIND(")",H1914)-FIND("(",H1914)-1)</f>
        <v>5-8 yrs</v>
      </c>
      <c r="L1914">
        <v>167227</v>
      </c>
      <c r="M1914" t="s">
        <v>3950</v>
      </c>
      <c r="N1914" t="s">
        <v>33</v>
      </c>
      <c r="O1914" t="s">
        <v>22</v>
      </c>
      <c r="P1914" s="1">
        <v>45600</v>
      </c>
      <c r="Q1914">
        <v>1335</v>
      </c>
      <c r="R1914">
        <v>1929</v>
      </c>
      <c r="S1914" t="s">
        <v>34</v>
      </c>
      <c r="T1914">
        <v>4</v>
      </c>
      <c r="U1914" t="s">
        <v>83</v>
      </c>
      <c r="V1914" t="s">
        <v>24</v>
      </c>
      <c r="W1914" t="s">
        <v>23</v>
      </c>
    </row>
    <row r="1915" spans="1:23" x14ac:dyDescent="0.3">
      <c r="A1915" t="s">
        <v>3951</v>
      </c>
      <c r="B1915" t="s">
        <v>225</v>
      </c>
      <c r="C1915" t="s">
        <v>107</v>
      </c>
      <c r="D1915" t="s">
        <v>111</v>
      </c>
      <c r="E1915" t="s">
        <v>159</v>
      </c>
      <c r="F1915" t="s">
        <v>160</v>
      </c>
      <c r="G1915" t="s">
        <v>18</v>
      </c>
      <c r="H1915" t="s">
        <v>19</v>
      </c>
      <c r="I1915" t="str">
        <f>LEFT(H1915,FIND(" (",H1915)-1)</f>
        <v>Entry</v>
      </c>
      <c r="J1915" t="str">
        <f>MID(H1915,FIND("(",H1915)+1,FIND(")",H1915)-FIND("(",H1915)-1)</f>
        <v>0-2 yrs</v>
      </c>
      <c r="L1915">
        <v>76310</v>
      </c>
      <c r="M1915" t="s">
        <v>3952</v>
      </c>
      <c r="N1915" t="s">
        <v>245</v>
      </c>
      <c r="O1915" t="s">
        <v>22</v>
      </c>
      <c r="P1915" s="1">
        <v>45355</v>
      </c>
      <c r="Q1915">
        <v>2382</v>
      </c>
      <c r="R1915">
        <v>3837</v>
      </c>
      <c r="S1915" t="s">
        <v>23</v>
      </c>
      <c r="T1915">
        <v>0</v>
      </c>
      <c r="U1915" t="s">
        <v>45</v>
      </c>
      <c r="V1915" t="s">
        <v>46</v>
      </c>
      <c r="W1915" t="s">
        <v>23</v>
      </c>
    </row>
    <row r="1916" spans="1:23" x14ac:dyDescent="0.3">
      <c r="A1916" t="s">
        <v>3953</v>
      </c>
      <c r="B1916" t="s">
        <v>143</v>
      </c>
      <c r="C1916" t="s">
        <v>27</v>
      </c>
      <c r="D1916" t="s">
        <v>28</v>
      </c>
      <c r="E1916" t="s">
        <v>64</v>
      </c>
      <c r="F1916" t="s">
        <v>65</v>
      </c>
      <c r="G1916" t="s">
        <v>41</v>
      </c>
      <c r="H1916" t="s">
        <v>66</v>
      </c>
      <c r="I1916" t="str">
        <f>LEFT(H1916,FIND(" (",H1916)-1)</f>
        <v>Senior</v>
      </c>
      <c r="J1916" t="str">
        <f>MID(H1916,FIND("(",H1916)+1,FIND(")",H1916)-FIND("(",H1916)-1)</f>
        <v>5-8 yrs</v>
      </c>
      <c r="L1916">
        <v>101371</v>
      </c>
      <c r="M1916" t="s">
        <v>3954</v>
      </c>
      <c r="N1916" t="s">
        <v>120</v>
      </c>
      <c r="O1916" t="s">
        <v>51</v>
      </c>
      <c r="P1916" s="1">
        <v>45416</v>
      </c>
      <c r="Q1916">
        <v>1751</v>
      </c>
      <c r="R1916">
        <v>2923</v>
      </c>
      <c r="S1916" t="s">
        <v>23</v>
      </c>
      <c r="T1916">
        <v>4</v>
      </c>
      <c r="U1916" t="s">
        <v>58</v>
      </c>
      <c r="V1916" t="s">
        <v>59</v>
      </c>
      <c r="W1916" t="s">
        <v>23</v>
      </c>
    </row>
    <row r="1917" spans="1:23" x14ac:dyDescent="0.3">
      <c r="A1917" t="s">
        <v>3955</v>
      </c>
      <c r="B1917" t="s">
        <v>222</v>
      </c>
      <c r="C1917" t="s">
        <v>62</v>
      </c>
      <c r="D1917" t="s">
        <v>38</v>
      </c>
      <c r="E1917" t="s">
        <v>87</v>
      </c>
      <c r="F1917" t="s">
        <v>87</v>
      </c>
      <c r="G1917" t="s">
        <v>41</v>
      </c>
      <c r="H1917" t="s">
        <v>31</v>
      </c>
      <c r="I1917" t="str">
        <f>LEFT(H1917,FIND(" (",H1917)-1)</f>
        <v>Staff/Principal</v>
      </c>
      <c r="J1917" t="str">
        <f>MID(H1917,FIND("(",H1917)+1,FIND(")",H1917)-FIND("(",H1917)-1)</f>
        <v>8+ yrs</v>
      </c>
      <c r="L1917">
        <v>180463</v>
      </c>
      <c r="M1917" t="s">
        <v>3956</v>
      </c>
      <c r="N1917" t="s">
        <v>149</v>
      </c>
      <c r="O1917" t="s">
        <v>22</v>
      </c>
      <c r="P1917" s="1">
        <v>45544</v>
      </c>
      <c r="Q1917">
        <v>894</v>
      </c>
      <c r="R1917">
        <v>3826</v>
      </c>
      <c r="S1917" t="s">
        <v>23</v>
      </c>
      <c r="T1917">
        <v>6</v>
      </c>
      <c r="U1917" t="s">
        <v>5123</v>
      </c>
      <c r="V1917" t="s">
        <v>24</v>
      </c>
      <c r="W1917" t="s">
        <v>23</v>
      </c>
    </row>
    <row r="1918" spans="1:23" x14ac:dyDescent="0.3">
      <c r="A1918" t="s">
        <v>3957</v>
      </c>
      <c r="B1918" t="s">
        <v>106</v>
      </c>
      <c r="C1918" t="s">
        <v>173</v>
      </c>
      <c r="D1918" t="s">
        <v>147</v>
      </c>
      <c r="E1918" t="s">
        <v>64</v>
      </c>
      <c r="F1918" t="s">
        <v>65</v>
      </c>
      <c r="G1918" t="s">
        <v>41</v>
      </c>
      <c r="H1918" t="s">
        <v>31</v>
      </c>
      <c r="I1918" t="str">
        <f>LEFT(H1918,FIND(" (",H1918)-1)</f>
        <v>Staff/Principal</v>
      </c>
      <c r="J1918" t="str">
        <f>MID(H1918,FIND("(",H1918)+1,FIND(")",H1918)-FIND("(",H1918)-1)</f>
        <v>8+ yrs</v>
      </c>
      <c r="L1918">
        <v>171639</v>
      </c>
      <c r="M1918" t="s">
        <v>3958</v>
      </c>
      <c r="N1918" t="s">
        <v>186</v>
      </c>
      <c r="O1918" t="s">
        <v>51</v>
      </c>
      <c r="P1918" s="1">
        <v>45344</v>
      </c>
      <c r="Q1918">
        <v>1801</v>
      </c>
      <c r="R1918">
        <v>416</v>
      </c>
      <c r="S1918" t="s">
        <v>34</v>
      </c>
      <c r="T1918">
        <v>6</v>
      </c>
      <c r="U1918" t="s">
        <v>83</v>
      </c>
      <c r="V1918" t="s">
        <v>24</v>
      </c>
      <c r="W1918" t="s">
        <v>23</v>
      </c>
    </row>
    <row r="1919" spans="1:23" x14ac:dyDescent="0.3">
      <c r="A1919" t="s">
        <v>3959</v>
      </c>
      <c r="B1919" t="s">
        <v>13</v>
      </c>
      <c r="C1919" t="s">
        <v>48</v>
      </c>
      <c r="D1919" t="s">
        <v>174</v>
      </c>
      <c r="E1919" t="s">
        <v>5141</v>
      </c>
      <c r="F1919" t="s">
        <v>5133</v>
      </c>
      <c r="G1919" t="s">
        <v>18</v>
      </c>
      <c r="H1919" t="s">
        <v>19</v>
      </c>
      <c r="I1919" t="str">
        <f>LEFT(H1919,FIND(" (",H1919)-1)</f>
        <v>Entry</v>
      </c>
      <c r="J1919" t="str">
        <f>MID(H1919,FIND("(",H1919)+1,FIND(")",H1919)-FIND("(",H1919)-1)</f>
        <v>0-2 yrs</v>
      </c>
      <c r="L1919">
        <v>62177</v>
      </c>
      <c r="M1919" t="s">
        <v>3960</v>
      </c>
      <c r="N1919" t="s">
        <v>120</v>
      </c>
      <c r="O1919" t="s">
        <v>51</v>
      </c>
      <c r="P1919" s="1">
        <v>45361</v>
      </c>
      <c r="Q1919">
        <v>995</v>
      </c>
      <c r="R1919">
        <v>3258</v>
      </c>
      <c r="S1919" t="s">
        <v>99</v>
      </c>
      <c r="T1919">
        <v>0</v>
      </c>
      <c r="U1919" t="s">
        <v>83</v>
      </c>
      <c r="V1919" t="s">
        <v>46</v>
      </c>
      <c r="W1919" t="s">
        <v>23</v>
      </c>
    </row>
    <row r="1920" spans="1:23" x14ac:dyDescent="0.3">
      <c r="A1920" t="s">
        <v>3961</v>
      </c>
      <c r="B1920" t="s">
        <v>172</v>
      </c>
      <c r="C1920" t="s">
        <v>116</v>
      </c>
      <c r="D1920" t="s">
        <v>63</v>
      </c>
      <c r="E1920" t="s">
        <v>159</v>
      </c>
      <c r="F1920" t="s">
        <v>160</v>
      </c>
      <c r="G1920" t="s">
        <v>41</v>
      </c>
      <c r="H1920" t="s">
        <v>31</v>
      </c>
      <c r="I1920" t="str">
        <f>LEFT(H1920,FIND(" (",H1920)-1)</f>
        <v>Staff/Principal</v>
      </c>
      <c r="J1920" t="str">
        <f>MID(H1920,FIND("(",H1920)+1,FIND(")",H1920)-FIND("(",H1920)-1)</f>
        <v>8+ yrs</v>
      </c>
      <c r="L1920">
        <v>193946</v>
      </c>
      <c r="M1920" t="s">
        <v>3962</v>
      </c>
      <c r="N1920" t="s">
        <v>245</v>
      </c>
      <c r="O1920" t="s">
        <v>22</v>
      </c>
      <c r="P1920" s="1">
        <v>45431</v>
      </c>
      <c r="Q1920">
        <v>845</v>
      </c>
      <c r="R1920">
        <v>2940</v>
      </c>
      <c r="S1920" t="s">
        <v>23</v>
      </c>
      <c r="T1920">
        <v>6</v>
      </c>
      <c r="U1920" t="s">
        <v>52</v>
      </c>
      <c r="V1920" t="s">
        <v>24</v>
      </c>
      <c r="W1920" t="s">
        <v>23</v>
      </c>
    </row>
    <row r="1921" spans="1:23" x14ac:dyDescent="0.3">
      <c r="A1921" t="s">
        <v>3963</v>
      </c>
      <c r="B1921" t="s">
        <v>143</v>
      </c>
      <c r="C1921" t="s">
        <v>146</v>
      </c>
      <c r="D1921" t="s">
        <v>125</v>
      </c>
      <c r="E1921" t="s">
        <v>5136</v>
      </c>
      <c r="F1921" t="s">
        <v>5133</v>
      </c>
      <c r="G1921" t="s">
        <v>55</v>
      </c>
      <c r="H1921" t="s">
        <v>56</v>
      </c>
      <c r="I1921" t="str">
        <f>LEFT(H1921,FIND(" (",H1921)-1)</f>
        <v>Mid</v>
      </c>
      <c r="J1921" t="str">
        <f>MID(H1921,FIND("(",H1921)+1,FIND(")",H1921)-FIND("(",H1921)-1)</f>
        <v>2-5 yrs</v>
      </c>
      <c r="L1921">
        <v>100652</v>
      </c>
      <c r="M1921" t="s">
        <v>3964</v>
      </c>
      <c r="N1921" t="s">
        <v>89</v>
      </c>
      <c r="O1921" t="s">
        <v>22</v>
      </c>
      <c r="P1921" s="1">
        <v>45468</v>
      </c>
      <c r="Q1921">
        <v>1093</v>
      </c>
      <c r="R1921">
        <v>3671</v>
      </c>
      <c r="S1921" t="s">
        <v>23</v>
      </c>
      <c r="T1921">
        <v>2</v>
      </c>
      <c r="U1921" t="s">
        <v>45</v>
      </c>
      <c r="V1921" t="s">
        <v>46</v>
      </c>
      <c r="W1921" t="s">
        <v>23</v>
      </c>
    </row>
    <row r="1922" spans="1:23" x14ac:dyDescent="0.3">
      <c r="A1922" t="s">
        <v>3965</v>
      </c>
      <c r="B1922" t="s">
        <v>137</v>
      </c>
      <c r="C1922" t="s">
        <v>226</v>
      </c>
      <c r="D1922" t="s">
        <v>125</v>
      </c>
      <c r="E1922" t="s">
        <v>5132</v>
      </c>
      <c r="F1922" t="s">
        <v>5133</v>
      </c>
      <c r="G1922" t="s">
        <v>18</v>
      </c>
      <c r="H1922" t="s">
        <v>31</v>
      </c>
      <c r="I1922" t="str">
        <f>LEFT(H1922,FIND(" (",H1922)-1)</f>
        <v>Staff/Principal</v>
      </c>
      <c r="J1922" t="str">
        <f>MID(H1922,FIND("(",H1922)+1,FIND(")",H1922)-FIND("(",H1922)-1)</f>
        <v>8+ yrs</v>
      </c>
      <c r="L1922">
        <v>128745</v>
      </c>
      <c r="M1922" t="s">
        <v>3966</v>
      </c>
      <c r="N1922" t="s">
        <v>186</v>
      </c>
      <c r="O1922" t="s">
        <v>22</v>
      </c>
      <c r="P1922" s="1">
        <v>45546</v>
      </c>
      <c r="Q1922">
        <v>1096</v>
      </c>
      <c r="R1922">
        <v>278</v>
      </c>
      <c r="S1922" t="s">
        <v>23</v>
      </c>
      <c r="T1922">
        <v>6</v>
      </c>
      <c r="U1922" t="s">
        <v>52</v>
      </c>
      <c r="V1922" t="s">
        <v>24</v>
      </c>
      <c r="W1922" t="s">
        <v>23</v>
      </c>
    </row>
    <row r="1923" spans="1:23" x14ac:dyDescent="0.3">
      <c r="A1923" t="s">
        <v>3967</v>
      </c>
      <c r="B1923" t="s">
        <v>225</v>
      </c>
      <c r="C1923" t="s">
        <v>195</v>
      </c>
      <c r="D1923" t="s">
        <v>63</v>
      </c>
      <c r="E1923" t="s">
        <v>159</v>
      </c>
      <c r="F1923" t="s">
        <v>160</v>
      </c>
      <c r="G1923" t="s">
        <v>41</v>
      </c>
      <c r="H1923" t="s">
        <v>19</v>
      </c>
      <c r="I1923" t="str">
        <f>LEFT(H1923,FIND(" (",H1923)-1)</f>
        <v>Entry</v>
      </c>
      <c r="J1923" t="str">
        <f>MID(H1923,FIND("(",H1923)+1,FIND(")",H1923)-FIND("(",H1923)-1)</f>
        <v>0-2 yrs</v>
      </c>
      <c r="L1923">
        <v>79423</v>
      </c>
      <c r="M1923" t="s">
        <v>3968</v>
      </c>
      <c r="N1923" t="s">
        <v>68</v>
      </c>
      <c r="O1923" t="s">
        <v>79</v>
      </c>
      <c r="P1923" s="1">
        <v>45722</v>
      </c>
      <c r="Q1923">
        <v>1427</v>
      </c>
      <c r="R1923">
        <v>3865</v>
      </c>
      <c r="S1923" t="s">
        <v>34</v>
      </c>
      <c r="T1923">
        <v>0</v>
      </c>
      <c r="U1923" t="s">
        <v>45</v>
      </c>
      <c r="V1923" t="s">
        <v>24</v>
      </c>
      <c r="W1923" t="s">
        <v>34</v>
      </c>
    </row>
    <row r="1924" spans="1:23" x14ac:dyDescent="0.3">
      <c r="A1924" t="s">
        <v>3969</v>
      </c>
      <c r="B1924" t="s">
        <v>222</v>
      </c>
      <c r="C1924" t="s">
        <v>124</v>
      </c>
      <c r="D1924" t="s">
        <v>111</v>
      </c>
      <c r="E1924" t="s">
        <v>5141</v>
      </c>
      <c r="F1924" t="s">
        <v>5133</v>
      </c>
      <c r="G1924" t="s">
        <v>41</v>
      </c>
      <c r="H1924" t="s">
        <v>31</v>
      </c>
      <c r="I1924" t="str">
        <f>LEFT(H1924,FIND(" (",H1924)-1)</f>
        <v>Staff/Principal</v>
      </c>
      <c r="J1924" t="str">
        <f>MID(H1924,FIND("(",H1924)+1,FIND(")",H1924)-FIND("(",H1924)-1)</f>
        <v>8+ yrs</v>
      </c>
      <c r="L1924">
        <v>161381</v>
      </c>
      <c r="M1924" t="s">
        <v>3970</v>
      </c>
      <c r="N1924" t="s">
        <v>186</v>
      </c>
      <c r="O1924" t="s">
        <v>22</v>
      </c>
      <c r="P1924" s="1">
        <v>45716</v>
      </c>
      <c r="Q1924">
        <v>917</v>
      </c>
      <c r="R1924">
        <v>717</v>
      </c>
      <c r="S1924" t="s">
        <v>34</v>
      </c>
      <c r="T1924">
        <v>6</v>
      </c>
      <c r="U1924" t="s">
        <v>58</v>
      </c>
      <c r="V1924" t="s">
        <v>24</v>
      </c>
      <c r="W1924" t="s">
        <v>34</v>
      </c>
    </row>
    <row r="1925" spans="1:23" x14ac:dyDescent="0.3">
      <c r="A1925" t="s">
        <v>3971</v>
      </c>
      <c r="B1925" t="s">
        <v>13</v>
      </c>
      <c r="C1925" t="s">
        <v>116</v>
      </c>
      <c r="D1925" t="s">
        <v>174</v>
      </c>
      <c r="E1925" t="s">
        <v>5141</v>
      </c>
      <c r="F1925" t="s">
        <v>5133</v>
      </c>
      <c r="G1925" t="s">
        <v>18</v>
      </c>
      <c r="H1925" t="s">
        <v>66</v>
      </c>
      <c r="I1925" t="str">
        <f>LEFT(H1925,FIND(" (",H1925)-1)</f>
        <v>Senior</v>
      </c>
      <c r="J1925" t="str">
        <f>MID(H1925,FIND("(",H1925)+1,FIND(")",H1925)-FIND("(",H1925)-1)</f>
        <v>5-8 yrs</v>
      </c>
      <c r="L1925">
        <v>156459</v>
      </c>
      <c r="M1925" t="s">
        <v>3972</v>
      </c>
      <c r="N1925" t="s">
        <v>149</v>
      </c>
      <c r="O1925" t="s">
        <v>44</v>
      </c>
      <c r="P1925" s="1">
        <v>45597</v>
      </c>
      <c r="Q1925">
        <v>2413</v>
      </c>
      <c r="R1925">
        <v>2965</v>
      </c>
      <c r="S1925" t="s">
        <v>23</v>
      </c>
      <c r="T1925">
        <v>4</v>
      </c>
      <c r="U1925" t="s">
        <v>45</v>
      </c>
      <c r="V1925" t="s">
        <v>24</v>
      </c>
      <c r="W1925" t="s">
        <v>34</v>
      </c>
    </row>
    <row r="1926" spans="1:23" x14ac:dyDescent="0.3">
      <c r="A1926" t="s">
        <v>3973</v>
      </c>
      <c r="B1926" t="s">
        <v>85</v>
      </c>
      <c r="C1926" t="s">
        <v>146</v>
      </c>
      <c r="D1926" t="s">
        <v>174</v>
      </c>
      <c r="E1926" t="s">
        <v>87</v>
      </c>
      <c r="F1926" t="s">
        <v>87</v>
      </c>
      <c r="G1926" t="s">
        <v>18</v>
      </c>
      <c r="H1926" t="s">
        <v>19</v>
      </c>
      <c r="I1926" t="str">
        <f>LEFT(H1926,FIND(" (",H1926)-1)</f>
        <v>Entry</v>
      </c>
      <c r="J1926" t="str">
        <f>MID(H1926,FIND("(",H1926)+1,FIND(")",H1926)-FIND("(",H1926)-1)</f>
        <v>0-2 yrs</v>
      </c>
      <c r="L1926">
        <v>96133</v>
      </c>
      <c r="M1926" t="s">
        <v>3974</v>
      </c>
      <c r="N1926" t="s">
        <v>149</v>
      </c>
      <c r="O1926" t="s">
        <v>22</v>
      </c>
      <c r="P1926" s="1">
        <v>45299</v>
      </c>
      <c r="Q1926">
        <v>1445</v>
      </c>
      <c r="R1926">
        <v>508</v>
      </c>
      <c r="S1926" t="s">
        <v>99</v>
      </c>
      <c r="T1926">
        <v>0</v>
      </c>
      <c r="U1926" t="s">
        <v>5123</v>
      </c>
      <c r="V1926" t="s">
        <v>24</v>
      </c>
      <c r="W1926" t="s">
        <v>23</v>
      </c>
    </row>
    <row r="1927" spans="1:23" x14ac:dyDescent="0.3">
      <c r="A1927" t="s">
        <v>3975</v>
      </c>
      <c r="B1927" t="s">
        <v>26</v>
      </c>
      <c r="C1927" t="s">
        <v>71</v>
      </c>
      <c r="D1927" t="s">
        <v>49</v>
      </c>
      <c r="E1927" t="s">
        <v>159</v>
      </c>
      <c r="F1927" t="s">
        <v>160</v>
      </c>
      <c r="G1927" t="s">
        <v>41</v>
      </c>
      <c r="H1927" t="s">
        <v>31</v>
      </c>
      <c r="I1927" t="str">
        <f>LEFT(H1927,FIND(" (",H1927)-1)</f>
        <v>Staff/Principal</v>
      </c>
      <c r="J1927" t="str">
        <f>MID(H1927,FIND("(",H1927)+1,FIND(")",H1927)-FIND("(",H1927)-1)</f>
        <v>8+ yrs</v>
      </c>
      <c r="L1927">
        <v>166902</v>
      </c>
      <c r="M1927" t="s">
        <v>3976</v>
      </c>
      <c r="N1927" t="s">
        <v>21</v>
      </c>
      <c r="O1927" t="s">
        <v>51</v>
      </c>
      <c r="P1927" s="1">
        <v>45556</v>
      </c>
      <c r="Q1927">
        <v>476</v>
      </c>
      <c r="R1927">
        <v>1225</v>
      </c>
      <c r="S1927" t="s">
        <v>23</v>
      </c>
      <c r="T1927">
        <v>6</v>
      </c>
      <c r="U1927" t="s">
        <v>58</v>
      </c>
      <c r="V1927" t="s">
        <v>24</v>
      </c>
      <c r="W1927" t="s">
        <v>34</v>
      </c>
    </row>
    <row r="1928" spans="1:23" x14ac:dyDescent="0.3">
      <c r="A1928" t="s">
        <v>3977</v>
      </c>
      <c r="B1928" t="s">
        <v>329</v>
      </c>
      <c r="C1928" t="s">
        <v>158</v>
      </c>
      <c r="D1928" t="s">
        <v>38</v>
      </c>
      <c r="E1928" t="s">
        <v>5134</v>
      </c>
      <c r="F1928" t="s">
        <v>5133</v>
      </c>
      <c r="G1928" t="s">
        <v>18</v>
      </c>
      <c r="H1928" t="s">
        <v>66</v>
      </c>
      <c r="I1928" t="str">
        <f>LEFT(H1928,FIND(" (",H1928)-1)</f>
        <v>Senior</v>
      </c>
      <c r="J1928" t="str">
        <f>MID(H1928,FIND("(",H1928)+1,FIND(")",H1928)-FIND("(",H1928)-1)</f>
        <v>5-8 yrs</v>
      </c>
      <c r="L1928">
        <v>81682</v>
      </c>
      <c r="M1928" t="s">
        <v>3978</v>
      </c>
      <c r="N1928" t="s">
        <v>120</v>
      </c>
      <c r="O1928" t="s">
        <v>51</v>
      </c>
      <c r="P1928" s="1">
        <v>45383</v>
      </c>
      <c r="Q1928">
        <v>1407</v>
      </c>
      <c r="R1928">
        <v>3145</v>
      </c>
      <c r="S1928" t="s">
        <v>23</v>
      </c>
      <c r="T1928">
        <v>4</v>
      </c>
      <c r="U1928" t="s">
        <v>5123</v>
      </c>
      <c r="V1928" t="s">
        <v>24</v>
      </c>
      <c r="W1928" t="s">
        <v>23</v>
      </c>
    </row>
    <row r="1929" spans="1:23" x14ac:dyDescent="0.3">
      <c r="A1929" t="s">
        <v>3979</v>
      </c>
      <c r="B1929" t="s">
        <v>137</v>
      </c>
      <c r="C1929" t="s">
        <v>86</v>
      </c>
      <c r="D1929" t="s">
        <v>28</v>
      </c>
      <c r="E1929" t="s">
        <v>5137</v>
      </c>
      <c r="F1929" t="s">
        <v>5138</v>
      </c>
      <c r="G1929" t="s">
        <v>41</v>
      </c>
      <c r="H1929" t="s">
        <v>56</v>
      </c>
      <c r="I1929" t="str">
        <f>LEFT(H1929,FIND(" (",H1929)-1)</f>
        <v>Mid</v>
      </c>
      <c r="J1929" t="str">
        <f>MID(H1929,FIND("(",H1929)+1,FIND(")",H1929)-FIND("(",H1929)-1)</f>
        <v>2-5 yrs</v>
      </c>
      <c r="L1929">
        <v>104337</v>
      </c>
      <c r="M1929" t="s">
        <v>3980</v>
      </c>
      <c r="N1929" t="s">
        <v>21</v>
      </c>
      <c r="O1929" t="s">
        <v>22</v>
      </c>
      <c r="P1929" s="1">
        <v>45489</v>
      </c>
      <c r="Q1929">
        <v>1846</v>
      </c>
      <c r="R1929">
        <v>1849</v>
      </c>
      <c r="S1929" t="s">
        <v>23</v>
      </c>
      <c r="T1929">
        <v>2</v>
      </c>
      <c r="U1929" t="s">
        <v>5123</v>
      </c>
      <c r="V1929" t="s">
        <v>24</v>
      </c>
      <c r="W1929" t="s">
        <v>23</v>
      </c>
    </row>
    <row r="1930" spans="1:23" x14ac:dyDescent="0.3">
      <c r="A1930" t="s">
        <v>3981</v>
      </c>
      <c r="B1930" t="s">
        <v>26</v>
      </c>
      <c r="C1930" t="s">
        <v>132</v>
      </c>
      <c r="D1930" t="s">
        <v>147</v>
      </c>
      <c r="E1930" t="s">
        <v>200</v>
      </c>
      <c r="F1930" t="s">
        <v>201</v>
      </c>
      <c r="G1930" t="s">
        <v>41</v>
      </c>
      <c r="H1930" t="s">
        <v>31</v>
      </c>
      <c r="I1930" t="str">
        <f>LEFT(H1930,FIND(" (",H1930)-1)</f>
        <v>Staff/Principal</v>
      </c>
      <c r="J1930" t="str">
        <f>MID(H1930,FIND("(",H1930)+1,FIND(")",H1930)-FIND("(",H1930)-1)</f>
        <v>8+ yrs</v>
      </c>
      <c r="L1930">
        <v>239634</v>
      </c>
      <c r="M1930" t="s">
        <v>3982</v>
      </c>
      <c r="N1930" t="s">
        <v>149</v>
      </c>
      <c r="O1930" t="s">
        <v>51</v>
      </c>
      <c r="P1930" s="1">
        <v>45718</v>
      </c>
      <c r="Q1930">
        <v>2088</v>
      </c>
      <c r="R1930">
        <v>1884</v>
      </c>
      <c r="S1930" t="s">
        <v>23</v>
      </c>
      <c r="T1930">
        <v>6</v>
      </c>
      <c r="U1930" t="s">
        <v>58</v>
      </c>
      <c r="V1930" t="s">
        <v>24</v>
      </c>
      <c r="W1930" t="s">
        <v>34</v>
      </c>
    </row>
    <row r="1931" spans="1:23" x14ac:dyDescent="0.3">
      <c r="A1931" t="s">
        <v>3983</v>
      </c>
      <c r="B1931" t="s">
        <v>172</v>
      </c>
      <c r="C1931" t="s">
        <v>173</v>
      </c>
      <c r="D1931" t="s">
        <v>111</v>
      </c>
      <c r="E1931" t="s">
        <v>200</v>
      </c>
      <c r="F1931" t="s">
        <v>201</v>
      </c>
      <c r="G1931" t="s">
        <v>41</v>
      </c>
      <c r="H1931" t="s">
        <v>56</v>
      </c>
      <c r="I1931" t="str">
        <f>LEFT(H1931,FIND(" (",H1931)-1)</f>
        <v>Mid</v>
      </c>
      <c r="J1931" t="str">
        <f>MID(H1931,FIND("(",H1931)+1,FIND(")",H1931)-FIND("(",H1931)-1)</f>
        <v>2-5 yrs</v>
      </c>
      <c r="L1931">
        <v>148775</v>
      </c>
      <c r="M1931" t="s">
        <v>3984</v>
      </c>
      <c r="N1931" t="s">
        <v>33</v>
      </c>
      <c r="O1931" t="s">
        <v>22</v>
      </c>
      <c r="P1931" s="1">
        <v>45604</v>
      </c>
      <c r="Q1931">
        <v>748</v>
      </c>
      <c r="R1931">
        <v>1776</v>
      </c>
      <c r="S1931" t="s">
        <v>23</v>
      </c>
      <c r="T1931">
        <v>2</v>
      </c>
      <c r="U1931" t="s">
        <v>45</v>
      </c>
      <c r="V1931" t="s">
        <v>24</v>
      </c>
      <c r="W1931" t="s">
        <v>23</v>
      </c>
    </row>
    <row r="1932" spans="1:23" x14ac:dyDescent="0.3">
      <c r="A1932" t="s">
        <v>3985</v>
      </c>
      <c r="B1932" t="s">
        <v>61</v>
      </c>
      <c r="C1932" t="s">
        <v>54</v>
      </c>
      <c r="D1932" t="s">
        <v>174</v>
      </c>
      <c r="E1932" t="s">
        <v>29</v>
      </c>
      <c r="F1932" t="s">
        <v>30</v>
      </c>
      <c r="G1932" t="s">
        <v>55</v>
      </c>
      <c r="H1932" t="s">
        <v>66</v>
      </c>
      <c r="I1932" t="str">
        <f>LEFT(H1932,FIND(" (",H1932)-1)</f>
        <v>Senior</v>
      </c>
      <c r="J1932" t="str">
        <f>MID(H1932,FIND("(",H1932)+1,FIND(")",H1932)-FIND("(",H1932)-1)</f>
        <v>5-8 yrs</v>
      </c>
      <c r="L1932">
        <v>116802</v>
      </c>
      <c r="M1932" t="s">
        <v>3986</v>
      </c>
      <c r="N1932" t="s">
        <v>245</v>
      </c>
      <c r="O1932" t="s">
        <v>22</v>
      </c>
      <c r="P1932" s="1">
        <v>45516</v>
      </c>
      <c r="Q1932">
        <v>2384</v>
      </c>
      <c r="R1932">
        <v>3442</v>
      </c>
      <c r="S1932" t="s">
        <v>23</v>
      </c>
      <c r="T1932">
        <v>4</v>
      </c>
      <c r="U1932" t="s">
        <v>58</v>
      </c>
      <c r="V1932" t="s">
        <v>59</v>
      </c>
      <c r="W1932" t="s">
        <v>34</v>
      </c>
    </row>
    <row r="1933" spans="1:23" x14ac:dyDescent="0.3">
      <c r="A1933" t="s">
        <v>3987</v>
      </c>
      <c r="B1933" t="s">
        <v>329</v>
      </c>
      <c r="C1933" t="s">
        <v>27</v>
      </c>
      <c r="D1933" t="s">
        <v>63</v>
      </c>
      <c r="E1933" t="s">
        <v>5135</v>
      </c>
      <c r="F1933" t="s">
        <v>5133</v>
      </c>
      <c r="G1933" t="s">
        <v>55</v>
      </c>
      <c r="H1933" t="s">
        <v>56</v>
      </c>
      <c r="I1933" t="str">
        <f>LEFT(H1933,FIND(" (",H1933)-1)</f>
        <v>Mid</v>
      </c>
      <c r="J1933" t="str">
        <f>MID(H1933,FIND("(",H1933)+1,FIND(")",H1933)-FIND("(",H1933)-1)</f>
        <v>2-5 yrs</v>
      </c>
      <c r="L1933">
        <v>119834</v>
      </c>
      <c r="M1933" t="s">
        <v>3988</v>
      </c>
      <c r="N1933" t="s">
        <v>33</v>
      </c>
      <c r="O1933" t="s">
        <v>22</v>
      </c>
      <c r="P1933" s="1">
        <v>45688</v>
      </c>
      <c r="Q1933">
        <v>1791</v>
      </c>
      <c r="R1933">
        <v>1604</v>
      </c>
      <c r="S1933" t="s">
        <v>99</v>
      </c>
      <c r="T1933">
        <v>2</v>
      </c>
      <c r="U1933" t="s">
        <v>52</v>
      </c>
      <c r="V1933" t="s">
        <v>46</v>
      </c>
      <c r="W1933" t="s">
        <v>34</v>
      </c>
    </row>
    <row r="1934" spans="1:23" x14ac:dyDescent="0.3">
      <c r="A1934" t="s">
        <v>3989</v>
      </c>
      <c r="B1934" t="s">
        <v>91</v>
      </c>
      <c r="C1934" t="s">
        <v>182</v>
      </c>
      <c r="D1934" t="s">
        <v>28</v>
      </c>
      <c r="E1934" t="s">
        <v>5140</v>
      </c>
      <c r="F1934" t="s">
        <v>5133</v>
      </c>
      <c r="G1934" t="s">
        <v>41</v>
      </c>
      <c r="H1934" t="s">
        <v>19</v>
      </c>
      <c r="I1934" t="str">
        <f>LEFT(H1934,FIND(" (",H1934)-1)</f>
        <v>Entry</v>
      </c>
      <c r="J1934" t="str">
        <f>MID(H1934,FIND("(",H1934)+1,FIND(")",H1934)-FIND("(",H1934)-1)</f>
        <v>0-2 yrs</v>
      </c>
      <c r="L1934">
        <v>64137</v>
      </c>
      <c r="M1934" t="s">
        <v>3990</v>
      </c>
      <c r="N1934" t="s">
        <v>68</v>
      </c>
      <c r="O1934" t="s">
        <v>22</v>
      </c>
      <c r="P1934" s="1">
        <v>45466</v>
      </c>
      <c r="Q1934">
        <v>1890</v>
      </c>
      <c r="R1934">
        <v>1569</v>
      </c>
      <c r="S1934" t="s">
        <v>34</v>
      </c>
      <c r="T1934">
        <v>0</v>
      </c>
      <c r="U1934" t="s">
        <v>83</v>
      </c>
      <c r="V1934" t="s">
        <v>24</v>
      </c>
      <c r="W1934" t="s">
        <v>23</v>
      </c>
    </row>
    <row r="1935" spans="1:23" x14ac:dyDescent="0.3">
      <c r="A1935" t="s">
        <v>3991</v>
      </c>
      <c r="B1935" t="s">
        <v>151</v>
      </c>
      <c r="C1935" t="s">
        <v>110</v>
      </c>
      <c r="D1935" t="s">
        <v>38</v>
      </c>
      <c r="E1935" t="s">
        <v>159</v>
      </c>
      <c r="F1935" t="s">
        <v>160</v>
      </c>
      <c r="G1935" t="s">
        <v>55</v>
      </c>
      <c r="H1935" t="s">
        <v>66</v>
      </c>
      <c r="I1935" t="str">
        <f>LEFT(H1935,FIND(" (",H1935)-1)</f>
        <v>Senior</v>
      </c>
      <c r="J1935" t="str">
        <f>MID(H1935,FIND("(",H1935)+1,FIND(")",H1935)-FIND("(",H1935)-1)</f>
        <v>5-8 yrs</v>
      </c>
      <c r="L1935">
        <v>147139</v>
      </c>
      <c r="M1935" t="s">
        <v>3992</v>
      </c>
      <c r="N1935" t="s">
        <v>120</v>
      </c>
      <c r="O1935" t="s">
        <v>44</v>
      </c>
      <c r="P1935" s="1">
        <v>45400</v>
      </c>
      <c r="Q1935">
        <v>1961</v>
      </c>
      <c r="R1935">
        <v>1395</v>
      </c>
      <c r="S1935" t="s">
        <v>23</v>
      </c>
      <c r="T1935">
        <v>4</v>
      </c>
      <c r="U1935" t="s">
        <v>52</v>
      </c>
      <c r="V1935" t="s">
        <v>24</v>
      </c>
      <c r="W1935" t="s">
        <v>34</v>
      </c>
    </row>
    <row r="1936" spans="1:23" x14ac:dyDescent="0.3">
      <c r="A1936" t="s">
        <v>3993</v>
      </c>
      <c r="B1936" t="s">
        <v>26</v>
      </c>
      <c r="C1936" t="s">
        <v>14</v>
      </c>
      <c r="D1936" t="s">
        <v>15</v>
      </c>
      <c r="E1936" t="s">
        <v>216</v>
      </c>
      <c r="F1936" t="s">
        <v>217</v>
      </c>
      <c r="G1936" t="s">
        <v>55</v>
      </c>
      <c r="H1936" t="s">
        <v>66</v>
      </c>
      <c r="I1936" t="str">
        <f>LEFT(H1936,FIND(" (",H1936)-1)</f>
        <v>Senior</v>
      </c>
      <c r="J1936" t="str">
        <f>MID(H1936,FIND("(",H1936)+1,FIND(")",H1936)-FIND("(",H1936)-1)</f>
        <v>5-8 yrs</v>
      </c>
      <c r="L1936">
        <v>221397</v>
      </c>
      <c r="M1936" t="s">
        <v>3994</v>
      </c>
      <c r="N1936" t="s">
        <v>186</v>
      </c>
      <c r="O1936" t="s">
        <v>22</v>
      </c>
      <c r="P1936" s="1">
        <v>45600</v>
      </c>
      <c r="Q1936">
        <v>1415</v>
      </c>
      <c r="R1936">
        <v>3854</v>
      </c>
      <c r="S1936" t="s">
        <v>23</v>
      </c>
      <c r="T1936">
        <v>4</v>
      </c>
      <c r="U1936" t="s">
        <v>45</v>
      </c>
      <c r="V1936" t="s">
        <v>59</v>
      </c>
      <c r="W1936" t="s">
        <v>34</v>
      </c>
    </row>
    <row r="1937" spans="1:23" x14ac:dyDescent="0.3">
      <c r="A1937" t="s">
        <v>3995</v>
      </c>
      <c r="B1937" t="s">
        <v>172</v>
      </c>
      <c r="C1937" t="s">
        <v>110</v>
      </c>
      <c r="D1937" t="s">
        <v>147</v>
      </c>
      <c r="E1937" t="s">
        <v>5135</v>
      </c>
      <c r="F1937" t="s">
        <v>5133</v>
      </c>
      <c r="G1937" t="s">
        <v>41</v>
      </c>
      <c r="H1937" t="s">
        <v>19</v>
      </c>
      <c r="I1937" t="str">
        <f>LEFT(H1937,FIND(" (",H1937)-1)</f>
        <v>Entry</v>
      </c>
      <c r="J1937" t="str">
        <f>MID(H1937,FIND("(",H1937)+1,FIND(")",H1937)-FIND("(",H1937)-1)</f>
        <v>0-2 yrs</v>
      </c>
      <c r="L1937">
        <v>51062</v>
      </c>
      <c r="M1937" t="s">
        <v>3996</v>
      </c>
      <c r="N1937" t="s">
        <v>89</v>
      </c>
      <c r="O1937" t="s">
        <v>22</v>
      </c>
      <c r="P1937" s="1">
        <v>45667</v>
      </c>
      <c r="Q1937">
        <v>2177</v>
      </c>
      <c r="R1937">
        <v>1798</v>
      </c>
      <c r="S1937" t="s">
        <v>34</v>
      </c>
      <c r="T1937">
        <v>0</v>
      </c>
      <c r="U1937" t="s">
        <v>5123</v>
      </c>
      <c r="V1937" t="s">
        <v>59</v>
      </c>
      <c r="W1937" t="s">
        <v>23</v>
      </c>
    </row>
    <row r="1938" spans="1:23" x14ac:dyDescent="0.3">
      <c r="A1938" t="s">
        <v>3997</v>
      </c>
      <c r="B1938" t="s">
        <v>96</v>
      </c>
      <c r="C1938" t="s">
        <v>107</v>
      </c>
      <c r="D1938" t="s">
        <v>63</v>
      </c>
      <c r="E1938" t="s">
        <v>5140</v>
      </c>
      <c r="F1938" t="s">
        <v>5133</v>
      </c>
      <c r="G1938" t="s">
        <v>41</v>
      </c>
      <c r="H1938" t="s">
        <v>66</v>
      </c>
      <c r="I1938" t="str">
        <f>LEFT(H1938,FIND(" (",H1938)-1)</f>
        <v>Senior</v>
      </c>
      <c r="J1938" t="str">
        <f>MID(H1938,FIND("(",H1938)+1,FIND(")",H1938)-FIND("(",H1938)-1)</f>
        <v>5-8 yrs</v>
      </c>
      <c r="L1938">
        <v>156850</v>
      </c>
      <c r="M1938" t="s">
        <v>3998</v>
      </c>
      <c r="N1938" t="s">
        <v>94</v>
      </c>
      <c r="O1938" t="s">
        <v>51</v>
      </c>
      <c r="P1938" s="1">
        <v>45422</v>
      </c>
      <c r="Q1938">
        <v>1422</v>
      </c>
      <c r="R1938">
        <v>707</v>
      </c>
      <c r="S1938" t="s">
        <v>23</v>
      </c>
      <c r="T1938">
        <v>4</v>
      </c>
      <c r="U1938" t="s">
        <v>45</v>
      </c>
      <c r="V1938" t="s">
        <v>59</v>
      </c>
      <c r="W1938" t="s">
        <v>23</v>
      </c>
    </row>
    <row r="1939" spans="1:23" x14ac:dyDescent="0.3">
      <c r="A1939" t="s">
        <v>3999</v>
      </c>
      <c r="B1939" t="s">
        <v>36</v>
      </c>
      <c r="C1939" t="s">
        <v>167</v>
      </c>
      <c r="D1939" t="s">
        <v>49</v>
      </c>
      <c r="E1939" t="s">
        <v>216</v>
      </c>
      <c r="F1939" t="s">
        <v>217</v>
      </c>
      <c r="G1939" t="s">
        <v>41</v>
      </c>
      <c r="H1939" t="s">
        <v>19</v>
      </c>
      <c r="I1939" t="str">
        <f>LEFT(H1939,FIND(" (",H1939)-1)</f>
        <v>Entry</v>
      </c>
      <c r="J1939" t="str">
        <f>MID(H1939,FIND("(",H1939)+1,FIND(")",H1939)-FIND("(",H1939)-1)</f>
        <v>0-2 yrs</v>
      </c>
      <c r="L1939">
        <v>75892</v>
      </c>
      <c r="M1939" t="s">
        <v>4000</v>
      </c>
      <c r="N1939" t="s">
        <v>33</v>
      </c>
      <c r="O1939" t="s">
        <v>51</v>
      </c>
      <c r="P1939" s="1">
        <v>45532</v>
      </c>
      <c r="Q1939">
        <v>858</v>
      </c>
      <c r="R1939">
        <v>849</v>
      </c>
      <c r="S1939" t="s">
        <v>23</v>
      </c>
      <c r="T1939">
        <v>0</v>
      </c>
      <c r="U1939" t="s">
        <v>83</v>
      </c>
      <c r="V1939" t="s">
        <v>59</v>
      </c>
      <c r="W1939" t="s">
        <v>23</v>
      </c>
    </row>
    <row r="1940" spans="1:23" x14ac:dyDescent="0.3">
      <c r="A1940" t="s">
        <v>4001</v>
      </c>
      <c r="B1940" t="s">
        <v>131</v>
      </c>
      <c r="C1940" t="s">
        <v>204</v>
      </c>
      <c r="D1940" t="s">
        <v>125</v>
      </c>
      <c r="E1940" t="s">
        <v>5137</v>
      </c>
      <c r="F1940" t="s">
        <v>5138</v>
      </c>
      <c r="G1940" t="s">
        <v>18</v>
      </c>
      <c r="H1940" t="s">
        <v>56</v>
      </c>
      <c r="I1940" t="str">
        <f>LEFT(H1940,FIND(" (",H1940)-1)</f>
        <v>Mid</v>
      </c>
      <c r="J1940" t="str">
        <f>MID(H1940,FIND("(",H1940)+1,FIND(")",H1940)-FIND("(",H1940)-1)</f>
        <v>2-5 yrs</v>
      </c>
      <c r="L1940">
        <v>131498</v>
      </c>
      <c r="M1940" t="s">
        <v>4002</v>
      </c>
      <c r="N1940" t="s">
        <v>33</v>
      </c>
      <c r="O1940" t="s">
        <v>51</v>
      </c>
      <c r="P1940" s="1">
        <v>45694</v>
      </c>
      <c r="Q1940">
        <v>327</v>
      </c>
      <c r="R1940">
        <v>1195</v>
      </c>
      <c r="S1940" t="s">
        <v>23</v>
      </c>
      <c r="T1940">
        <v>2</v>
      </c>
      <c r="U1940" t="s">
        <v>83</v>
      </c>
      <c r="V1940" t="s">
        <v>24</v>
      </c>
      <c r="W1940" t="s">
        <v>23</v>
      </c>
    </row>
    <row r="1941" spans="1:23" x14ac:dyDescent="0.3">
      <c r="A1941" t="s">
        <v>4003</v>
      </c>
      <c r="B1941" t="s">
        <v>329</v>
      </c>
      <c r="C1941" t="s">
        <v>179</v>
      </c>
      <c r="D1941" t="s">
        <v>174</v>
      </c>
      <c r="E1941" t="s">
        <v>159</v>
      </c>
      <c r="F1941" t="s">
        <v>160</v>
      </c>
      <c r="G1941" t="s">
        <v>18</v>
      </c>
      <c r="H1941" t="s">
        <v>31</v>
      </c>
      <c r="I1941" t="str">
        <f>LEFT(H1941,FIND(" (",H1941)-1)</f>
        <v>Staff/Principal</v>
      </c>
      <c r="J1941" t="str">
        <f>MID(H1941,FIND("(",H1941)+1,FIND(")",H1941)-FIND("(",H1941)-1)</f>
        <v>8+ yrs</v>
      </c>
      <c r="L1941">
        <v>203527</v>
      </c>
      <c r="M1941" t="s">
        <v>4004</v>
      </c>
      <c r="N1941" t="s">
        <v>186</v>
      </c>
      <c r="O1941" t="s">
        <v>51</v>
      </c>
      <c r="P1941" s="1">
        <v>45716</v>
      </c>
      <c r="Q1941">
        <v>1244</v>
      </c>
      <c r="R1941">
        <v>2372</v>
      </c>
      <c r="S1941" t="s">
        <v>34</v>
      </c>
      <c r="T1941">
        <v>6</v>
      </c>
      <c r="U1941" t="s">
        <v>5123</v>
      </c>
      <c r="V1941" t="s">
        <v>24</v>
      </c>
      <c r="W1941" t="s">
        <v>23</v>
      </c>
    </row>
    <row r="1942" spans="1:23" x14ac:dyDescent="0.3">
      <c r="A1942" t="s">
        <v>4005</v>
      </c>
      <c r="B1942" t="s">
        <v>81</v>
      </c>
      <c r="C1942" t="s">
        <v>128</v>
      </c>
      <c r="D1942" t="s">
        <v>28</v>
      </c>
      <c r="E1942" t="s">
        <v>39</v>
      </c>
      <c r="F1942" t="s">
        <v>40</v>
      </c>
      <c r="G1942" t="s">
        <v>41</v>
      </c>
      <c r="H1942" t="s">
        <v>66</v>
      </c>
      <c r="I1942" t="str">
        <f>LEFT(H1942,FIND(" (",H1942)-1)</f>
        <v>Senior</v>
      </c>
      <c r="J1942" t="str">
        <f>MID(H1942,FIND("(",H1942)+1,FIND(")",H1942)-FIND("(",H1942)-1)</f>
        <v>5-8 yrs</v>
      </c>
      <c r="L1942">
        <v>158317</v>
      </c>
      <c r="M1942" t="s">
        <v>4006</v>
      </c>
      <c r="N1942" t="s">
        <v>141</v>
      </c>
      <c r="O1942" t="s">
        <v>51</v>
      </c>
      <c r="P1942" s="1">
        <v>45543</v>
      </c>
      <c r="Q1942">
        <v>1914</v>
      </c>
      <c r="R1942">
        <v>201</v>
      </c>
      <c r="S1942" t="s">
        <v>23</v>
      </c>
      <c r="T1942">
        <v>4</v>
      </c>
      <c r="U1942" t="s">
        <v>52</v>
      </c>
      <c r="V1942" t="s">
        <v>24</v>
      </c>
      <c r="W1942" t="s">
        <v>23</v>
      </c>
    </row>
    <row r="1943" spans="1:23" x14ac:dyDescent="0.3">
      <c r="A1943" t="s">
        <v>4007</v>
      </c>
      <c r="B1943" t="s">
        <v>236</v>
      </c>
      <c r="C1943" t="s">
        <v>74</v>
      </c>
      <c r="D1943" t="s">
        <v>75</v>
      </c>
      <c r="E1943" t="s">
        <v>200</v>
      </c>
      <c r="F1943" t="s">
        <v>201</v>
      </c>
      <c r="G1943" t="s">
        <v>18</v>
      </c>
      <c r="H1943" t="s">
        <v>56</v>
      </c>
      <c r="I1943" t="str">
        <f>LEFT(H1943,FIND(" (",H1943)-1)</f>
        <v>Mid</v>
      </c>
      <c r="J1943" t="str">
        <f>MID(H1943,FIND("(",H1943)+1,FIND(")",H1943)-FIND("(",H1943)-1)</f>
        <v>2-5 yrs</v>
      </c>
      <c r="L1943">
        <v>102245</v>
      </c>
      <c r="M1943" t="s">
        <v>4008</v>
      </c>
      <c r="N1943" t="s">
        <v>21</v>
      </c>
      <c r="O1943" t="s">
        <v>51</v>
      </c>
      <c r="P1943" s="1">
        <v>45460</v>
      </c>
      <c r="Q1943">
        <v>850</v>
      </c>
      <c r="R1943">
        <v>2440</v>
      </c>
      <c r="S1943" t="s">
        <v>23</v>
      </c>
      <c r="T1943">
        <v>2</v>
      </c>
      <c r="U1943" t="s">
        <v>58</v>
      </c>
      <c r="V1943" t="s">
        <v>46</v>
      </c>
      <c r="W1943" t="s">
        <v>23</v>
      </c>
    </row>
    <row r="1944" spans="1:23" x14ac:dyDescent="0.3">
      <c r="A1944" t="s">
        <v>4009</v>
      </c>
      <c r="B1944" t="s">
        <v>81</v>
      </c>
      <c r="C1944" t="s">
        <v>14</v>
      </c>
      <c r="D1944" t="s">
        <v>111</v>
      </c>
      <c r="E1944" t="s">
        <v>64</v>
      </c>
      <c r="F1944" t="s">
        <v>65</v>
      </c>
      <c r="G1944" t="s">
        <v>18</v>
      </c>
      <c r="H1944" t="s">
        <v>66</v>
      </c>
      <c r="I1944" t="str">
        <f>LEFT(H1944,FIND(" (",H1944)-1)</f>
        <v>Senior</v>
      </c>
      <c r="J1944" t="str">
        <f>MID(H1944,FIND("(",H1944)+1,FIND(")",H1944)-FIND("(",H1944)-1)</f>
        <v>5-8 yrs</v>
      </c>
      <c r="L1944">
        <v>157266</v>
      </c>
      <c r="M1944" t="s">
        <v>4010</v>
      </c>
      <c r="N1944" t="s">
        <v>186</v>
      </c>
      <c r="O1944" t="s">
        <v>22</v>
      </c>
      <c r="P1944" s="1">
        <v>45512</v>
      </c>
      <c r="Q1944">
        <v>2496</v>
      </c>
      <c r="R1944">
        <v>1924</v>
      </c>
      <c r="S1944" t="s">
        <v>23</v>
      </c>
      <c r="T1944">
        <v>4</v>
      </c>
      <c r="U1944" t="s">
        <v>52</v>
      </c>
      <c r="V1944" t="s">
        <v>24</v>
      </c>
      <c r="W1944" t="s">
        <v>34</v>
      </c>
    </row>
    <row r="1945" spans="1:23" x14ac:dyDescent="0.3">
      <c r="A1945" t="s">
        <v>4011</v>
      </c>
      <c r="B1945" t="s">
        <v>36</v>
      </c>
      <c r="C1945" t="s">
        <v>167</v>
      </c>
      <c r="D1945" t="s">
        <v>49</v>
      </c>
      <c r="E1945" t="s">
        <v>5135</v>
      </c>
      <c r="F1945" t="s">
        <v>5133</v>
      </c>
      <c r="G1945" t="s">
        <v>18</v>
      </c>
      <c r="H1945" t="s">
        <v>19</v>
      </c>
      <c r="I1945" t="str">
        <f>LEFT(H1945,FIND(" (",H1945)-1)</f>
        <v>Entry</v>
      </c>
      <c r="J1945" t="str">
        <f>MID(H1945,FIND("(",H1945)+1,FIND(")",H1945)-FIND("(",H1945)-1)</f>
        <v>0-2 yrs</v>
      </c>
      <c r="L1945">
        <v>65675</v>
      </c>
      <c r="M1945" t="s">
        <v>4012</v>
      </c>
      <c r="N1945" t="s">
        <v>245</v>
      </c>
      <c r="O1945" t="s">
        <v>22</v>
      </c>
      <c r="P1945" s="1">
        <v>45537</v>
      </c>
      <c r="Q1945">
        <v>527</v>
      </c>
      <c r="R1945">
        <v>804</v>
      </c>
      <c r="S1945" t="s">
        <v>34</v>
      </c>
      <c r="T1945">
        <v>0</v>
      </c>
      <c r="U1945" t="s">
        <v>52</v>
      </c>
      <c r="V1945" t="s">
        <v>46</v>
      </c>
      <c r="W1945" t="s">
        <v>23</v>
      </c>
    </row>
    <row r="1946" spans="1:23" x14ac:dyDescent="0.3">
      <c r="A1946" t="s">
        <v>4013</v>
      </c>
      <c r="B1946" t="s">
        <v>91</v>
      </c>
      <c r="C1946" t="s">
        <v>54</v>
      </c>
      <c r="D1946" t="s">
        <v>174</v>
      </c>
      <c r="E1946" t="s">
        <v>5140</v>
      </c>
      <c r="F1946" t="s">
        <v>5133</v>
      </c>
      <c r="G1946" t="s">
        <v>55</v>
      </c>
      <c r="H1946" t="s">
        <v>56</v>
      </c>
      <c r="I1946" t="str">
        <f>LEFT(H1946,FIND(" (",H1946)-1)</f>
        <v>Mid</v>
      </c>
      <c r="J1946" t="str">
        <f>MID(H1946,FIND("(",H1946)+1,FIND(")",H1946)-FIND("(",H1946)-1)</f>
        <v>2-5 yrs</v>
      </c>
      <c r="L1946">
        <v>122307</v>
      </c>
      <c r="M1946" t="s">
        <v>4014</v>
      </c>
      <c r="N1946" t="s">
        <v>186</v>
      </c>
      <c r="O1946" t="s">
        <v>22</v>
      </c>
      <c r="P1946" s="1">
        <v>45347</v>
      </c>
      <c r="Q1946">
        <v>2478</v>
      </c>
      <c r="R1946">
        <v>1334</v>
      </c>
      <c r="S1946" t="s">
        <v>23</v>
      </c>
      <c r="T1946">
        <v>2</v>
      </c>
      <c r="U1946" t="s">
        <v>58</v>
      </c>
      <c r="V1946" t="s">
        <v>24</v>
      </c>
      <c r="W1946" t="s">
        <v>34</v>
      </c>
    </row>
    <row r="1947" spans="1:23" x14ac:dyDescent="0.3">
      <c r="A1947" t="s">
        <v>4015</v>
      </c>
      <c r="B1947" t="s">
        <v>81</v>
      </c>
      <c r="C1947" t="s">
        <v>226</v>
      </c>
      <c r="D1947" t="s">
        <v>63</v>
      </c>
      <c r="E1947" t="s">
        <v>64</v>
      </c>
      <c r="F1947" t="s">
        <v>65</v>
      </c>
      <c r="G1947" t="s">
        <v>41</v>
      </c>
      <c r="H1947" t="s">
        <v>66</v>
      </c>
      <c r="I1947" t="str">
        <f>LEFT(H1947,FIND(" (",H1947)-1)</f>
        <v>Senior</v>
      </c>
      <c r="J1947" t="str">
        <f>MID(H1947,FIND("(",H1947)+1,FIND(")",H1947)-FIND("(",H1947)-1)</f>
        <v>5-8 yrs</v>
      </c>
      <c r="L1947">
        <v>140020</v>
      </c>
      <c r="M1947" t="s">
        <v>4016</v>
      </c>
      <c r="N1947" t="s">
        <v>120</v>
      </c>
      <c r="O1947" t="s">
        <v>44</v>
      </c>
      <c r="P1947" s="1">
        <v>45345</v>
      </c>
      <c r="Q1947">
        <v>2443</v>
      </c>
      <c r="R1947">
        <v>874</v>
      </c>
      <c r="S1947" t="s">
        <v>23</v>
      </c>
      <c r="T1947">
        <v>4</v>
      </c>
      <c r="U1947" t="s">
        <v>58</v>
      </c>
      <c r="V1947" t="s">
        <v>46</v>
      </c>
      <c r="W1947" t="s">
        <v>23</v>
      </c>
    </row>
    <row r="1948" spans="1:23" x14ac:dyDescent="0.3">
      <c r="A1948" t="s">
        <v>4017</v>
      </c>
      <c r="B1948" t="s">
        <v>106</v>
      </c>
      <c r="C1948" t="s">
        <v>204</v>
      </c>
      <c r="D1948" t="s">
        <v>75</v>
      </c>
      <c r="E1948" t="s">
        <v>5136</v>
      </c>
      <c r="F1948" t="s">
        <v>5133</v>
      </c>
      <c r="G1948" t="s">
        <v>41</v>
      </c>
      <c r="H1948" t="s">
        <v>31</v>
      </c>
      <c r="I1948" t="str">
        <f>LEFT(H1948,FIND(" (",H1948)-1)</f>
        <v>Staff/Principal</v>
      </c>
      <c r="J1948" t="str">
        <f>MID(H1948,FIND("(",H1948)+1,FIND(")",H1948)-FIND("(",H1948)-1)</f>
        <v>8+ yrs</v>
      </c>
      <c r="L1948">
        <v>213575</v>
      </c>
      <c r="M1948" t="s">
        <v>4018</v>
      </c>
      <c r="N1948" t="s">
        <v>33</v>
      </c>
      <c r="O1948" t="s">
        <v>44</v>
      </c>
      <c r="P1948" s="1">
        <v>45460</v>
      </c>
      <c r="Q1948">
        <v>1755</v>
      </c>
      <c r="R1948">
        <v>2920</v>
      </c>
      <c r="S1948" t="s">
        <v>99</v>
      </c>
      <c r="T1948">
        <v>6</v>
      </c>
      <c r="U1948" t="s">
        <v>83</v>
      </c>
      <c r="V1948" t="s">
        <v>24</v>
      </c>
      <c r="W1948" t="s">
        <v>34</v>
      </c>
    </row>
    <row r="1949" spans="1:23" x14ac:dyDescent="0.3">
      <c r="A1949" t="s">
        <v>4019</v>
      </c>
      <c r="B1949" t="s">
        <v>172</v>
      </c>
      <c r="C1949" t="s">
        <v>101</v>
      </c>
      <c r="D1949" t="s">
        <v>147</v>
      </c>
      <c r="E1949" t="s">
        <v>5132</v>
      </c>
      <c r="F1949" t="s">
        <v>5133</v>
      </c>
      <c r="G1949" t="s">
        <v>55</v>
      </c>
      <c r="H1949" t="s">
        <v>56</v>
      </c>
      <c r="I1949" t="str">
        <f>LEFT(H1949,FIND(" (",H1949)-1)</f>
        <v>Mid</v>
      </c>
      <c r="J1949" t="str">
        <f>MID(H1949,FIND("(",H1949)+1,FIND(")",H1949)-FIND("(",H1949)-1)</f>
        <v>2-5 yrs</v>
      </c>
      <c r="L1949">
        <v>109420</v>
      </c>
      <c r="M1949" t="s">
        <v>4020</v>
      </c>
      <c r="N1949" t="s">
        <v>21</v>
      </c>
      <c r="O1949" t="s">
        <v>22</v>
      </c>
      <c r="P1949" s="1">
        <v>45490</v>
      </c>
      <c r="Q1949">
        <v>2039</v>
      </c>
      <c r="R1949">
        <v>3836</v>
      </c>
      <c r="S1949" t="s">
        <v>23</v>
      </c>
      <c r="T1949">
        <v>2</v>
      </c>
      <c r="U1949" t="s">
        <v>58</v>
      </c>
      <c r="V1949" t="s">
        <v>24</v>
      </c>
      <c r="W1949" t="s">
        <v>23</v>
      </c>
    </row>
    <row r="1950" spans="1:23" x14ac:dyDescent="0.3">
      <c r="A1950" t="s">
        <v>4021</v>
      </c>
      <c r="B1950" t="s">
        <v>143</v>
      </c>
      <c r="C1950" t="s">
        <v>146</v>
      </c>
      <c r="D1950" t="s">
        <v>38</v>
      </c>
      <c r="E1950" t="s">
        <v>5134</v>
      </c>
      <c r="F1950" t="s">
        <v>5133</v>
      </c>
      <c r="G1950" t="s">
        <v>55</v>
      </c>
      <c r="H1950" t="s">
        <v>56</v>
      </c>
      <c r="I1950" t="str">
        <f>LEFT(H1950,FIND(" (",H1950)-1)</f>
        <v>Mid</v>
      </c>
      <c r="J1950" t="str">
        <f>MID(H1950,FIND("(",H1950)+1,FIND(")",H1950)-FIND("(",H1950)-1)</f>
        <v>2-5 yrs</v>
      </c>
      <c r="L1950">
        <v>132295</v>
      </c>
      <c r="M1950" t="s">
        <v>4022</v>
      </c>
      <c r="N1950" t="s">
        <v>33</v>
      </c>
      <c r="O1950" t="s">
        <v>51</v>
      </c>
      <c r="P1950" s="1">
        <v>45642</v>
      </c>
      <c r="Q1950">
        <v>499</v>
      </c>
      <c r="R1950">
        <v>380</v>
      </c>
      <c r="S1950" t="s">
        <v>23</v>
      </c>
      <c r="T1950">
        <v>2</v>
      </c>
      <c r="U1950" t="s">
        <v>5123</v>
      </c>
      <c r="V1950" t="s">
        <v>24</v>
      </c>
      <c r="W1950" t="s">
        <v>23</v>
      </c>
    </row>
    <row r="1951" spans="1:23" x14ac:dyDescent="0.3">
      <c r="A1951" t="s">
        <v>4023</v>
      </c>
      <c r="B1951" t="s">
        <v>96</v>
      </c>
      <c r="C1951" t="s">
        <v>167</v>
      </c>
      <c r="D1951" t="s">
        <v>49</v>
      </c>
      <c r="E1951" t="s">
        <v>216</v>
      </c>
      <c r="F1951" t="s">
        <v>217</v>
      </c>
      <c r="G1951" t="s">
        <v>41</v>
      </c>
      <c r="H1951" t="s">
        <v>19</v>
      </c>
      <c r="I1951" t="str">
        <f>LEFT(H1951,FIND(" (",H1951)-1)</f>
        <v>Entry</v>
      </c>
      <c r="J1951" t="str">
        <f>MID(H1951,FIND("(",H1951)+1,FIND(")",H1951)-FIND("(",H1951)-1)</f>
        <v>0-2 yrs</v>
      </c>
      <c r="L1951">
        <v>69352</v>
      </c>
      <c r="M1951" t="s">
        <v>4024</v>
      </c>
      <c r="N1951" t="s">
        <v>89</v>
      </c>
      <c r="O1951" t="s">
        <v>79</v>
      </c>
      <c r="P1951" s="1">
        <v>45639</v>
      </c>
      <c r="Q1951">
        <v>808</v>
      </c>
      <c r="R1951">
        <v>3187</v>
      </c>
      <c r="S1951" t="s">
        <v>99</v>
      </c>
      <c r="T1951">
        <v>0</v>
      </c>
      <c r="U1951" t="s">
        <v>45</v>
      </c>
      <c r="V1951" t="s">
        <v>24</v>
      </c>
      <c r="W1951" t="s">
        <v>23</v>
      </c>
    </row>
    <row r="1952" spans="1:23" x14ac:dyDescent="0.3">
      <c r="A1952" t="s">
        <v>4025</v>
      </c>
      <c r="B1952" t="s">
        <v>36</v>
      </c>
      <c r="C1952" t="s">
        <v>14</v>
      </c>
      <c r="D1952" t="s">
        <v>147</v>
      </c>
      <c r="E1952" t="s">
        <v>5134</v>
      </c>
      <c r="F1952" t="s">
        <v>5133</v>
      </c>
      <c r="G1952" t="s">
        <v>18</v>
      </c>
      <c r="H1952" t="s">
        <v>66</v>
      </c>
      <c r="I1952" t="str">
        <f>LEFT(H1952,FIND(" (",H1952)-1)</f>
        <v>Senior</v>
      </c>
      <c r="J1952" t="str">
        <f>MID(H1952,FIND("(",H1952)+1,FIND(")",H1952)-FIND("(",H1952)-1)</f>
        <v>5-8 yrs</v>
      </c>
      <c r="L1952">
        <v>102128</v>
      </c>
      <c r="M1952" t="s">
        <v>4026</v>
      </c>
      <c r="N1952" t="s">
        <v>43</v>
      </c>
      <c r="O1952" t="s">
        <v>22</v>
      </c>
      <c r="P1952" s="1">
        <v>45448</v>
      </c>
      <c r="Q1952">
        <v>1265</v>
      </c>
      <c r="R1952">
        <v>2474</v>
      </c>
      <c r="S1952" t="s">
        <v>34</v>
      </c>
      <c r="T1952">
        <v>4</v>
      </c>
      <c r="U1952" t="s">
        <v>45</v>
      </c>
      <c r="V1952" t="s">
        <v>24</v>
      </c>
      <c r="W1952" t="s">
        <v>34</v>
      </c>
    </row>
    <row r="1953" spans="1:23" x14ac:dyDescent="0.3">
      <c r="A1953" t="s">
        <v>4027</v>
      </c>
      <c r="B1953" t="s">
        <v>106</v>
      </c>
      <c r="C1953" t="s">
        <v>71</v>
      </c>
      <c r="D1953" t="s">
        <v>75</v>
      </c>
      <c r="E1953" t="s">
        <v>5134</v>
      </c>
      <c r="F1953" t="s">
        <v>5133</v>
      </c>
      <c r="G1953" t="s">
        <v>18</v>
      </c>
      <c r="H1953" t="s">
        <v>56</v>
      </c>
      <c r="I1953" t="str">
        <f>LEFT(H1953,FIND(" (",H1953)-1)</f>
        <v>Mid</v>
      </c>
      <c r="J1953" t="str">
        <f>MID(H1953,FIND("(",H1953)+1,FIND(")",H1953)-FIND("(",H1953)-1)</f>
        <v>2-5 yrs</v>
      </c>
      <c r="L1953">
        <v>134986</v>
      </c>
      <c r="M1953" t="s">
        <v>4028</v>
      </c>
      <c r="N1953" t="s">
        <v>21</v>
      </c>
      <c r="O1953" t="s">
        <v>44</v>
      </c>
      <c r="P1953" s="1">
        <v>45415</v>
      </c>
      <c r="Q1953">
        <v>568</v>
      </c>
      <c r="R1953">
        <v>2764</v>
      </c>
      <c r="S1953" t="s">
        <v>23</v>
      </c>
      <c r="T1953">
        <v>2</v>
      </c>
      <c r="U1953" t="s">
        <v>52</v>
      </c>
      <c r="V1953" t="s">
        <v>24</v>
      </c>
      <c r="W1953" t="s">
        <v>23</v>
      </c>
    </row>
    <row r="1954" spans="1:23" x14ac:dyDescent="0.3">
      <c r="A1954" t="s">
        <v>4029</v>
      </c>
      <c r="B1954" t="s">
        <v>131</v>
      </c>
      <c r="C1954" t="s">
        <v>204</v>
      </c>
      <c r="D1954" t="s">
        <v>38</v>
      </c>
      <c r="E1954" t="s">
        <v>87</v>
      </c>
      <c r="F1954" t="s">
        <v>87</v>
      </c>
      <c r="G1954" t="s">
        <v>41</v>
      </c>
      <c r="H1954" t="s">
        <v>66</v>
      </c>
      <c r="I1954" t="str">
        <f>LEFT(H1954,FIND(" (",H1954)-1)</f>
        <v>Senior</v>
      </c>
      <c r="J1954" t="str">
        <f>MID(H1954,FIND("(",H1954)+1,FIND(")",H1954)-FIND("(",H1954)-1)</f>
        <v>5-8 yrs</v>
      </c>
      <c r="L1954">
        <v>125545</v>
      </c>
      <c r="M1954" t="s">
        <v>4030</v>
      </c>
      <c r="N1954" t="s">
        <v>21</v>
      </c>
      <c r="O1954" t="s">
        <v>79</v>
      </c>
      <c r="P1954" s="1">
        <v>45469</v>
      </c>
      <c r="Q1954">
        <v>2411</v>
      </c>
      <c r="R1954">
        <v>231</v>
      </c>
      <c r="S1954" t="s">
        <v>99</v>
      </c>
      <c r="T1954">
        <v>4</v>
      </c>
      <c r="U1954" t="s">
        <v>83</v>
      </c>
      <c r="V1954" t="s">
        <v>24</v>
      </c>
      <c r="W1954" t="s">
        <v>23</v>
      </c>
    </row>
    <row r="1955" spans="1:23" x14ac:dyDescent="0.3">
      <c r="A1955" t="s">
        <v>4031</v>
      </c>
      <c r="B1955" t="s">
        <v>61</v>
      </c>
      <c r="C1955" t="s">
        <v>167</v>
      </c>
      <c r="D1955" t="s">
        <v>38</v>
      </c>
      <c r="E1955" t="s">
        <v>16</v>
      </c>
      <c r="F1955" t="s">
        <v>17</v>
      </c>
      <c r="G1955" t="s">
        <v>18</v>
      </c>
      <c r="H1955" t="s">
        <v>66</v>
      </c>
      <c r="I1955" t="str">
        <f>LEFT(H1955,FIND(" (",H1955)-1)</f>
        <v>Senior</v>
      </c>
      <c r="J1955" t="str">
        <f>MID(H1955,FIND("(",H1955)+1,FIND(")",H1955)-FIND("(",H1955)-1)</f>
        <v>5-8 yrs</v>
      </c>
      <c r="L1955">
        <v>132348</v>
      </c>
      <c r="M1955" t="s">
        <v>4032</v>
      </c>
      <c r="N1955" t="s">
        <v>94</v>
      </c>
      <c r="O1955" t="s">
        <v>51</v>
      </c>
      <c r="P1955" s="1">
        <v>45695</v>
      </c>
      <c r="Q1955">
        <v>1289</v>
      </c>
      <c r="R1955">
        <v>3854</v>
      </c>
      <c r="S1955" t="s">
        <v>99</v>
      </c>
      <c r="T1955">
        <v>4</v>
      </c>
      <c r="U1955" t="s">
        <v>58</v>
      </c>
      <c r="V1955" t="s">
        <v>24</v>
      </c>
      <c r="W1955" t="s">
        <v>23</v>
      </c>
    </row>
    <row r="1956" spans="1:23" x14ac:dyDescent="0.3">
      <c r="A1956" t="s">
        <v>4033</v>
      </c>
      <c r="B1956" t="s">
        <v>96</v>
      </c>
      <c r="C1956" t="s">
        <v>27</v>
      </c>
      <c r="D1956" t="s">
        <v>174</v>
      </c>
      <c r="E1956" t="s">
        <v>5141</v>
      </c>
      <c r="F1956" t="s">
        <v>5133</v>
      </c>
      <c r="G1956" t="s">
        <v>18</v>
      </c>
      <c r="H1956" t="s">
        <v>31</v>
      </c>
      <c r="I1956" t="str">
        <f>LEFT(H1956,FIND(" (",H1956)-1)</f>
        <v>Staff/Principal</v>
      </c>
      <c r="J1956" t="str">
        <f>MID(H1956,FIND("(",H1956)+1,FIND(")",H1956)-FIND("(",H1956)-1)</f>
        <v>8+ yrs</v>
      </c>
      <c r="L1956">
        <v>178556</v>
      </c>
      <c r="M1956" t="s">
        <v>4034</v>
      </c>
      <c r="N1956" t="s">
        <v>33</v>
      </c>
      <c r="O1956" t="s">
        <v>51</v>
      </c>
      <c r="P1956" s="1">
        <v>45517</v>
      </c>
      <c r="Q1956">
        <v>737</v>
      </c>
      <c r="R1956">
        <v>1190</v>
      </c>
      <c r="S1956" t="s">
        <v>23</v>
      </c>
      <c r="T1956">
        <v>6</v>
      </c>
      <c r="U1956" t="s">
        <v>5123</v>
      </c>
      <c r="V1956" t="s">
        <v>24</v>
      </c>
      <c r="W1956" t="s">
        <v>34</v>
      </c>
    </row>
    <row r="1957" spans="1:23" x14ac:dyDescent="0.3">
      <c r="A1957" t="s">
        <v>4035</v>
      </c>
      <c r="B1957" t="s">
        <v>329</v>
      </c>
      <c r="C1957" t="s">
        <v>182</v>
      </c>
      <c r="D1957" t="s">
        <v>15</v>
      </c>
      <c r="E1957" t="s">
        <v>5132</v>
      </c>
      <c r="F1957" t="s">
        <v>5133</v>
      </c>
      <c r="G1957" t="s">
        <v>55</v>
      </c>
      <c r="H1957" t="s">
        <v>19</v>
      </c>
      <c r="I1957" t="str">
        <f>LEFT(H1957,FIND(" (",H1957)-1)</f>
        <v>Entry</v>
      </c>
      <c r="J1957" t="str">
        <f>MID(H1957,FIND("(",H1957)+1,FIND(")",H1957)-FIND("(",H1957)-1)</f>
        <v>0-2 yrs</v>
      </c>
      <c r="L1957">
        <v>87317</v>
      </c>
      <c r="M1957" t="s">
        <v>4036</v>
      </c>
      <c r="N1957" t="s">
        <v>89</v>
      </c>
      <c r="O1957" t="s">
        <v>44</v>
      </c>
      <c r="P1957" s="1">
        <v>45418</v>
      </c>
      <c r="Q1957">
        <v>582</v>
      </c>
      <c r="R1957">
        <v>1426</v>
      </c>
      <c r="S1957" t="s">
        <v>34</v>
      </c>
      <c r="T1957">
        <v>0</v>
      </c>
      <c r="U1957" t="s">
        <v>5123</v>
      </c>
      <c r="V1957" t="s">
        <v>24</v>
      </c>
      <c r="W1957" t="s">
        <v>34</v>
      </c>
    </row>
    <row r="1958" spans="1:23" x14ac:dyDescent="0.3">
      <c r="A1958" t="s">
        <v>4037</v>
      </c>
      <c r="B1958" t="s">
        <v>91</v>
      </c>
      <c r="C1958" t="s">
        <v>62</v>
      </c>
      <c r="D1958" t="s">
        <v>125</v>
      </c>
      <c r="E1958" t="s">
        <v>200</v>
      </c>
      <c r="F1958" t="s">
        <v>201</v>
      </c>
      <c r="G1958" t="s">
        <v>18</v>
      </c>
      <c r="H1958" t="s">
        <v>56</v>
      </c>
      <c r="I1958" t="str">
        <f>LEFT(H1958,FIND(" (",H1958)-1)</f>
        <v>Mid</v>
      </c>
      <c r="J1958" t="str">
        <f>MID(H1958,FIND("(",H1958)+1,FIND(")",H1958)-FIND("(",H1958)-1)</f>
        <v>2-5 yrs</v>
      </c>
      <c r="L1958">
        <v>67713</v>
      </c>
      <c r="M1958" t="s">
        <v>4038</v>
      </c>
      <c r="N1958" t="s">
        <v>33</v>
      </c>
      <c r="O1958" t="s">
        <v>44</v>
      </c>
      <c r="P1958" s="1">
        <v>45372</v>
      </c>
      <c r="Q1958">
        <v>2128</v>
      </c>
      <c r="R1958">
        <v>1948</v>
      </c>
      <c r="S1958" t="s">
        <v>34</v>
      </c>
      <c r="T1958">
        <v>2</v>
      </c>
      <c r="U1958" t="s">
        <v>83</v>
      </c>
      <c r="V1958" t="s">
        <v>24</v>
      </c>
      <c r="W1958" t="s">
        <v>34</v>
      </c>
    </row>
    <row r="1959" spans="1:23" x14ac:dyDescent="0.3">
      <c r="A1959" t="s">
        <v>4039</v>
      </c>
      <c r="B1959" t="s">
        <v>85</v>
      </c>
      <c r="C1959" t="s">
        <v>226</v>
      </c>
      <c r="D1959" t="s">
        <v>174</v>
      </c>
      <c r="E1959" t="s">
        <v>29</v>
      </c>
      <c r="F1959" t="s">
        <v>30</v>
      </c>
      <c r="G1959" t="s">
        <v>18</v>
      </c>
      <c r="H1959" t="s">
        <v>19</v>
      </c>
      <c r="I1959" t="str">
        <f>LEFT(H1959,FIND(" (",H1959)-1)</f>
        <v>Entry</v>
      </c>
      <c r="J1959" t="str">
        <f>MID(H1959,FIND("(",H1959)+1,FIND(")",H1959)-FIND("(",H1959)-1)</f>
        <v>0-2 yrs</v>
      </c>
      <c r="L1959">
        <v>109535</v>
      </c>
      <c r="M1959" t="s">
        <v>4040</v>
      </c>
      <c r="N1959" t="s">
        <v>33</v>
      </c>
      <c r="O1959" t="s">
        <v>51</v>
      </c>
      <c r="P1959" s="1">
        <v>45349</v>
      </c>
      <c r="Q1959">
        <v>658</v>
      </c>
      <c r="R1959">
        <v>3896</v>
      </c>
      <c r="S1959" t="s">
        <v>23</v>
      </c>
      <c r="T1959">
        <v>0</v>
      </c>
      <c r="U1959" t="s">
        <v>52</v>
      </c>
      <c r="V1959" t="s">
        <v>24</v>
      </c>
      <c r="W1959" t="s">
        <v>23</v>
      </c>
    </row>
    <row r="1960" spans="1:23" x14ac:dyDescent="0.3">
      <c r="A1960" t="s">
        <v>4041</v>
      </c>
      <c r="B1960" t="s">
        <v>329</v>
      </c>
      <c r="C1960" t="s">
        <v>182</v>
      </c>
      <c r="D1960" t="s">
        <v>28</v>
      </c>
      <c r="E1960" t="s">
        <v>102</v>
      </c>
      <c r="F1960" t="s">
        <v>103</v>
      </c>
      <c r="G1960" t="s">
        <v>18</v>
      </c>
      <c r="H1960" t="s">
        <v>56</v>
      </c>
      <c r="I1960" t="str">
        <f>LEFT(H1960,FIND(" (",H1960)-1)</f>
        <v>Mid</v>
      </c>
      <c r="J1960" t="str">
        <f>MID(H1960,FIND("(",H1960)+1,FIND(")",H1960)-FIND("(",H1960)-1)</f>
        <v>2-5 yrs</v>
      </c>
      <c r="L1960">
        <v>130909</v>
      </c>
      <c r="M1960" t="s">
        <v>4042</v>
      </c>
      <c r="N1960" t="s">
        <v>186</v>
      </c>
      <c r="O1960" t="s">
        <v>44</v>
      </c>
      <c r="P1960" s="1">
        <v>45653</v>
      </c>
      <c r="Q1960">
        <v>1076</v>
      </c>
      <c r="R1960">
        <v>1623</v>
      </c>
      <c r="S1960" t="s">
        <v>23</v>
      </c>
      <c r="T1960">
        <v>2</v>
      </c>
      <c r="U1960" t="s">
        <v>52</v>
      </c>
      <c r="V1960" t="s">
        <v>24</v>
      </c>
      <c r="W1960" t="s">
        <v>34</v>
      </c>
    </row>
    <row r="1961" spans="1:23" x14ac:dyDescent="0.3">
      <c r="A1961" t="s">
        <v>4043</v>
      </c>
      <c r="B1961" t="s">
        <v>106</v>
      </c>
      <c r="C1961" t="s">
        <v>97</v>
      </c>
      <c r="D1961" t="s">
        <v>125</v>
      </c>
      <c r="E1961" t="s">
        <v>200</v>
      </c>
      <c r="F1961" t="s">
        <v>201</v>
      </c>
      <c r="G1961" t="s">
        <v>55</v>
      </c>
      <c r="H1961" t="s">
        <v>56</v>
      </c>
      <c r="I1961" t="str">
        <f>LEFT(H1961,FIND(" (",H1961)-1)</f>
        <v>Mid</v>
      </c>
      <c r="J1961" t="str">
        <f>MID(H1961,FIND("(",H1961)+1,FIND(")",H1961)-FIND("(",H1961)-1)</f>
        <v>2-5 yrs</v>
      </c>
      <c r="L1961">
        <v>114420</v>
      </c>
      <c r="M1961" t="s">
        <v>4044</v>
      </c>
      <c r="N1961" t="s">
        <v>89</v>
      </c>
      <c r="O1961" t="s">
        <v>22</v>
      </c>
      <c r="P1961" s="1">
        <v>45506</v>
      </c>
      <c r="Q1961">
        <v>2108</v>
      </c>
      <c r="R1961">
        <v>1640</v>
      </c>
      <c r="S1961" t="s">
        <v>23</v>
      </c>
      <c r="T1961">
        <v>2</v>
      </c>
      <c r="U1961" t="s">
        <v>52</v>
      </c>
      <c r="V1961" t="s">
        <v>24</v>
      </c>
      <c r="W1961" t="s">
        <v>23</v>
      </c>
    </row>
    <row r="1962" spans="1:23" x14ac:dyDescent="0.3">
      <c r="A1962" t="s">
        <v>4045</v>
      </c>
      <c r="B1962" t="s">
        <v>229</v>
      </c>
      <c r="C1962" t="s">
        <v>204</v>
      </c>
      <c r="D1962" t="s">
        <v>15</v>
      </c>
      <c r="E1962" t="s">
        <v>133</v>
      </c>
      <c r="F1962" t="s">
        <v>134</v>
      </c>
      <c r="G1962" t="s">
        <v>18</v>
      </c>
      <c r="H1962" t="s">
        <v>31</v>
      </c>
      <c r="I1962" t="str">
        <f>LEFT(H1962,FIND(" (",H1962)-1)</f>
        <v>Staff/Principal</v>
      </c>
      <c r="J1962" t="str">
        <f>MID(H1962,FIND("(",H1962)+1,FIND(")",H1962)-FIND("(",H1962)-1)</f>
        <v>8+ yrs</v>
      </c>
      <c r="L1962">
        <v>198023</v>
      </c>
      <c r="M1962" t="s">
        <v>4046</v>
      </c>
      <c r="N1962" t="s">
        <v>43</v>
      </c>
      <c r="O1962" t="s">
        <v>22</v>
      </c>
      <c r="P1962" s="1">
        <v>45538</v>
      </c>
      <c r="Q1962">
        <v>477</v>
      </c>
      <c r="R1962">
        <v>3694</v>
      </c>
      <c r="S1962" t="s">
        <v>34</v>
      </c>
      <c r="T1962">
        <v>6</v>
      </c>
      <c r="U1962" t="s">
        <v>58</v>
      </c>
      <c r="V1962" t="s">
        <v>24</v>
      </c>
      <c r="W1962" t="s">
        <v>23</v>
      </c>
    </row>
    <row r="1963" spans="1:23" x14ac:dyDescent="0.3">
      <c r="A1963" t="s">
        <v>4047</v>
      </c>
      <c r="B1963" t="s">
        <v>236</v>
      </c>
      <c r="C1963" t="s">
        <v>74</v>
      </c>
      <c r="D1963" t="s">
        <v>28</v>
      </c>
      <c r="E1963" t="s">
        <v>159</v>
      </c>
      <c r="F1963" t="s">
        <v>160</v>
      </c>
      <c r="G1963" t="s">
        <v>55</v>
      </c>
      <c r="H1963" t="s">
        <v>31</v>
      </c>
      <c r="I1963" t="str">
        <f>LEFT(H1963,FIND(" (",H1963)-1)</f>
        <v>Staff/Principal</v>
      </c>
      <c r="J1963" t="str">
        <f>MID(H1963,FIND("(",H1963)+1,FIND(")",H1963)-FIND("(",H1963)-1)</f>
        <v>8+ yrs</v>
      </c>
      <c r="L1963">
        <v>210279</v>
      </c>
      <c r="M1963" t="s">
        <v>4048</v>
      </c>
      <c r="N1963" t="s">
        <v>68</v>
      </c>
      <c r="O1963" t="s">
        <v>79</v>
      </c>
      <c r="P1963" s="1">
        <v>45744</v>
      </c>
      <c r="Q1963">
        <v>413</v>
      </c>
      <c r="R1963">
        <v>998</v>
      </c>
      <c r="S1963" t="s">
        <v>23</v>
      </c>
      <c r="T1963">
        <v>6</v>
      </c>
      <c r="U1963" t="s">
        <v>58</v>
      </c>
      <c r="V1963" t="s">
        <v>24</v>
      </c>
      <c r="W1963" t="s">
        <v>34</v>
      </c>
    </row>
    <row r="1964" spans="1:23" x14ac:dyDescent="0.3">
      <c r="A1964" t="s">
        <v>4049</v>
      </c>
      <c r="B1964" t="s">
        <v>81</v>
      </c>
      <c r="C1964" t="s">
        <v>107</v>
      </c>
      <c r="D1964" t="s">
        <v>38</v>
      </c>
      <c r="E1964" t="s">
        <v>5141</v>
      </c>
      <c r="F1964" t="s">
        <v>5133</v>
      </c>
      <c r="G1964" t="s">
        <v>41</v>
      </c>
      <c r="H1964" t="s">
        <v>31</v>
      </c>
      <c r="I1964" t="str">
        <f>LEFT(H1964,FIND(" (",H1964)-1)</f>
        <v>Staff/Principal</v>
      </c>
      <c r="J1964" t="str">
        <f>MID(H1964,FIND("(",H1964)+1,FIND(")",H1964)-FIND("(",H1964)-1)</f>
        <v>8+ yrs</v>
      </c>
      <c r="L1964">
        <v>218760</v>
      </c>
      <c r="M1964" t="s">
        <v>4050</v>
      </c>
      <c r="N1964" t="s">
        <v>141</v>
      </c>
      <c r="O1964" t="s">
        <v>51</v>
      </c>
      <c r="P1964" s="1">
        <v>45681</v>
      </c>
      <c r="Q1964">
        <v>2206</v>
      </c>
      <c r="R1964">
        <v>1290</v>
      </c>
      <c r="S1964" t="s">
        <v>23</v>
      </c>
      <c r="T1964">
        <v>6</v>
      </c>
      <c r="U1964" t="s">
        <v>45</v>
      </c>
      <c r="V1964" t="s">
        <v>46</v>
      </c>
      <c r="W1964" t="s">
        <v>23</v>
      </c>
    </row>
    <row r="1965" spans="1:23" x14ac:dyDescent="0.3">
      <c r="A1965" t="s">
        <v>4051</v>
      </c>
      <c r="B1965" t="s">
        <v>131</v>
      </c>
      <c r="C1965" t="s">
        <v>226</v>
      </c>
      <c r="D1965" t="s">
        <v>111</v>
      </c>
      <c r="E1965" t="s">
        <v>5137</v>
      </c>
      <c r="F1965" t="s">
        <v>5138</v>
      </c>
      <c r="G1965" t="s">
        <v>41</v>
      </c>
      <c r="H1965" t="s">
        <v>66</v>
      </c>
      <c r="I1965" t="str">
        <f>LEFT(H1965,FIND(" (",H1965)-1)</f>
        <v>Senior</v>
      </c>
      <c r="J1965" t="str">
        <f>MID(H1965,FIND("(",H1965)+1,FIND(")",H1965)-FIND("(",H1965)-1)</f>
        <v>5-8 yrs</v>
      </c>
      <c r="L1965">
        <v>167420</v>
      </c>
      <c r="M1965" t="s">
        <v>4052</v>
      </c>
      <c r="N1965" t="s">
        <v>33</v>
      </c>
      <c r="O1965" t="s">
        <v>51</v>
      </c>
      <c r="P1965" s="1">
        <v>45723</v>
      </c>
      <c r="Q1965">
        <v>1986</v>
      </c>
      <c r="R1965">
        <v>61</v>
      </c>
      <c r="S1965" t="s">
        <v>34</v>
      </c>
      <c r="T1965">
        <v>4</v>
      </c>
      <c r="U1965" t="s">
        <v>52</v>
      </c>
      <c r="V1965" t="s">
        <v>59</v>
      </c>
      <c r="W1965" t="s">
        <v>34</v>
      </c>
    </row>
    <row r="1966" spans="1:23" x14ac:dyDescent="0.3">
      <c r="A1966" t="s">
        <v>4053</v>
      </c>
      <c r="B1966" t="s">
        <v>236</v>
      </c>
      <c r="C1966" t="s">
        <v>167</v>
      </c>
      <c r="D1966" t="s">
        <v>125</v>
      </c>
      <c r="E1966" t="s">
        <v>102</v>
      </c>
      <c r="F1966" t="s">
        <v>103</v>
      </c>
      <c r="G1966" t="s">
        <v>41</v>
      </c>
      <c r="H1966" t="s">
        <v>56</v>
      </c>
      <c r="I1966" t="str">
        <f>LEFT(H1966,FIND(" (",H1966)-1)</f>
        <v>Mid</v>
      </c>
      <c r="J1966" t="str">
        <f>MID(H1966,FIND("(",H1966)+1,FIND(")",H1966)-FIND("(",H1966)-1)</f>
        <v>2-5 yrs</v>
      </c>
      <c r="L1966">
        <v>121000</v>
      </c>
      <c r="M1966" t="s">
        <v>4054</v>
      </c>
      <c r="N1966" t="s">
        <v>68</v>
      </c>
      <c r="O1966" t="s">
        <v>51</v>
      </c>
      <c r="P1966" s="1">
        <v>45494</v>
      </c>
      <c r="Q1966">
        <v>1387</v>
      </c>
      <c r="R1966">
        <v>1396</v>
      </c>
      <c r="S1966" t="s">
        <v>23</v>
      </c>
      <c r="T1966">
        <v>2</v>
      </c>
      <c r="U1966" t="s">
        <v>83</v>
      </c>
      <c r="V1966" t="s">
        <v>24</v>
      </c>
      <c r="W1966" t="s">
        <v>23</v>
      </c>
    </row>
    <row r="1967" spans="1:23" x14ac:dyDescent="0.3">
      <c r="A1967" t="s">
        <v>4055</v>
      </c>
      <c r="B1967" t="s">
        <v>106</v>
      </c>
      <c r="C1967" t="s">
        <v>167</v>
      </c>
      <c r="D1967" t="s">
        <v>111</v>
      </c>
      <c r="E1967" t="s">
        <v>64</v>
      </c>
      <c r="F1967" t="s">
        <v>65</v>
      </c>
      <c r="G1967" t="s">
        <v>18</v>
      </c>
      <c r="H1967" t="s">
        <v>31</v>
      </c>
      <c r="I1967" t="str">
        <f>LEFT(H1967,FIND(" (",H1967)-1)</f>
        <v>Staff/Principal</v>
      </c>
      <c r="J1967" t="str">
        <f>MID(H1967,FIND("(",H1967)+1,FIND(")",H1967)-FIND("(",H1967)-1)</f>
        <v>8+ yrs</v>
      </c>
      <c r="L1967">
        <v>203224</v>
      </c>
      <c r="M1967" t="s">
        <v>4056</v>
      </c>
      <c r="N1967" t="s">
        <v>186</v>
      </c>
      <c r="O1967" t="s">
        <v>44</v>
      </c>
      <c r="P1967" s="1">
        <v>45495</v>
      </c>
      <c r="Q1967">
        <v>489</v>
      </c>
      <c r="R1967">
        <v>2242</v>
      </c>
      <c r="S1967" t="s">
        <v>34</v>
      </c>
      <c r="T1967">
        <v>6</v>
      </c>
      <c r="U1967" t="s">
        <v>58</v>
      </c>
      <c r="V1967" t="s">
        <v>24</v>
      </c>
      <c r="W1967" t="s">
        <v>23</v>
      </c>
    </row>
    <row r="1968" spans="1:23" x14ac:dyDescent="0.3">
      <c r="A1968" t="s">
        <v>4057</v>
      </c>
      <c r="B1968" t="s">
        <v>61</v>
      </c>
      <c r="C1968" t="s">
        <v>204</v>
      </c>
      <c r="D1968" t="s">
        <v>111</v>
      </c>
      <c r="E1968" t="s">
        <v>5140</v>
      </c>
      <c r="F1968" t="s">
        <v>5133</v>
      </c>
      <c r="G1968" t="s">
        <v>41</v>
      </c>
      <c r="H1968" t="s">
        <v>19</v>
      </c>
      <c r="I1968" t="str">
        <f>LEFT(H1968,FIND(" (",H1968)-1)</f>
        <v>Entry</v>
      </c>
      <c r="J1968" t="str">
        <f>MID(H1968,FIND("(",H1968)+1,FIND(")",H1968)-FIND("(",H1968)-1)</f>
        <v>0-2 yrs</v>
      </c>
      <c r="L1968">
        <v>67513</v>
      </c>
      <c r="M1968" t="s">
        <v>4058</v>
      </c>
      <c r="N1968" t="s">
        <v>33</v>
      </c>
      <c r="O1968" t="s">
        <v>22</v>
      </c>
      <c r="P1968" s="1">
        <v>45394</v>
      </c>
      <c r="Q1968">
        <v>1812</v>
      </c>
      <c r="R1968">
        <v>144</v>
      </c>
      <c r="S1968" t="s">
        <v>34</v>
      </c>
      <c r="T1968">
        <v>0</v>
      </c>
      <c r="U1968" t="s">
        <v>45</v>
      </c>
      <c r="V1968" t="s">
        <v>24</v>
      </c>
      <c r="W1968" t="s">
        <v>23</v>
      </c>
    </row>
    <row r="1969" spans="1:23" x14ac:dyDescent="0.3">
      <c r="A1969" t="s">
        <v>4059</v>
      </c>
      <c r="B1969" t="s">
        <v>26</v>
      </c>
      <c r="C1969" t="s">
        <v>48</v>
      </c>
      <c r="D1969" t="s">
        <v>28</v>
      </c>
      <c r="E1969" t="s">
        <v>5140</v>
      </c>
      <c r="F1969" t="s">
        <v>5133</v>
      </c>
      <c r="G1969" t="s">
        <v>41</v>
      </c>
      <c r="H1969" t="s">
        <v>66</v>
      </c>
      <c r="I1969" t="str">
        <f>LEFT(H1969,FIND(" (",H1969)-1)</f>
        <v>Senior</v>
      </c>
      <c r="J1969" t="str">
        <f>MID(H1969,FIND("(",H1969)+1,FIND(")",H1969)-FIND("(",H1969)-1)</f>
        <v>5-8 yrs</v>
      </c>
      <c r="L1969">
        <v>145915</v>
      </c>
      <c r="M1969" t="s">
        <v>4060</v>
      </c>
      <c r="N1969" t="s">
        <v>245</v>
      </c>
      <c r="O1969" t="s">
        <v>44</v>
      </c>
      <c r="P1969" s="1">
        <v>45513</v>
      </c>
      <c r="Q1969">
        <v>1950</v>
      </c>
      <c r="R1969">
        <v>1885</v>
      </c>
      <c r="S1969" t="s">
        <v>23</v>
      </c>
      <c r="T1969">
        <v>4</v>
      </c>
      <c r="U1969" t="s">
        <v>5123</v>
      </c>
      <c r="V1969" t="s">
        <v>24</v>
      </c>
      <c r="W1969" t="s">
        <v>23</v>
      </c>
    </row>
    <row r="1970" spans="1:23" x14ac:dyDescent="0.3">
      <c r="A1970" t="s">
        <v>4061</v>
      </c>
      <c r="B1970" t="s">
        <v>131</v>
      </c>
      <c r="C1970" t="s">
        <v>48</v>
      </c>
      <c r="D1970" t="s">
        <v>111</v>
      </c>
      <c r="E1970" t="s">
        <v>230</v>
      </c>
      <c r="F1970" t="s">
        <v>231</v>
      </c>
      <c r="G1970" t="s">
        <v>18</v>
      </c>
      <c r="H1970" t="s">
        <v>56</v>
      </c>
      <c r="I1970" t="str">
        <f>LEFT(H1970,FIND(" (",H1970)-1)</f>
        <v>Mid</v>
      </c>
      <c r="J1970" t="str">
        <f>MID(H1970,FIND("(",H1970)+1,FIND(")",H1970)-FIND("(",H1970)-1)</f>
        <v>2-5 yrs</v>
      </c>
      <c r="L1970">
        <v>106140</v>
      </c>
      <c r="M1970" t="s">
        <v>4062</v>
      </c>
      <c r="N1970" t="s">
        <v>186</v>
      </c>
      <c r="O1970" t="s">
        <v>51</v>
      </c>
      <c r="P1970" s="1">
        <v>45512</v>
      </c>
      <c r="Q1970">
        <v>1161</v>
      </c>
      <c r="R1970">
        <v>2131</v>
      </c>
      <c r="S1970" t="s">
        <v>23</v>
      </c>
      <c r="T1970">
        <v>2</v>
      </c>
      <c r="U1970" t="s">
        <v>52</v>
      </c>
      <c r="V1970" t="s">
        <v>59</v>
      </c>
      <c r="W1970" t="s">
        <v>23</v>
      </c>
    </row>
    <row r="1971" spans="1:23" x14ac:dyDescent="0.3">
      <c r="A1971" t="s">
        <v>4063</v>
      </c>
      <c r="B1971" t="s">
        <v>151</v>
      </c>
      <c r="C1971" t="s">
        <v>204</v>
      </c>
      <c r="D1971" t="s">
        <v>125</v>
      </c>
      <c r="E1971" t="s">
        <v>5132</v>
      </c>
      <c r="F1971" t="s">
        <v>5133</v>
      </c>
      <c r="G1971" t="s">
        <v>41</v>
      </c>
      <c r="H1971" t="s">
        <v>66</v>
      </c>
      <c r="I1971" t="str">
        <f>LEFT(H1971,FIND(" (",H1971)-1)</f>
        <v>Senior</v>
      </c>
      <c r="J1971" t="str">
        <f>MID(H1971,FIND("(",H1971)+1,FIND(")",H1971)-FIND("(",H1971)-1)</f>
        <v>5-8 yrs</v>
      </c>
      <c r="L1971">
        <v>180611</v>
      </c>
      <c r="M1971" t="s">
        <v>4064</v>
      </c>
      <c r="N1971" t="s">
        <v>68</v>
      </c>
      <c r="O1971" t="s">
        <v>51</v>
      </c>
      <c r="P1971" s="1">
        <v>45463</v>
      </c>
      <c r="Q1971">
        <v>950</v>
      </c>
      <c r="R1971">
        <v>2008</v>
      </c>
      <c r="S1971" t="s">
        <v>34</v>
      </c>
      <c r="T1971">
        <v>4</v>
      </c>
      <c r="U1971" t="s">
        <v>45</v>
      </c>
      <c r="V1971" t="s">
        <v>59</v>
      </c>
      <c r="W1971" t="s">
        <v>23</v>
      </c>
    </row>
    <row r="1972" spans="1:23" x14ac:dyDescent="0.3">
      <c r="A1972" t="s">
        <v>4065</v>
      </c>
      <c r="B1972" t="s">
        <v>26</v>
      </c>
      <c r="C1972" t="s">
        <v>173</v>
      </c>
      <c r="D1972" t="s">
        <v>28</v>
      </c>
      <c r="E1972" t="s">
        <v>159</v>
      </c>
      <c r="F1972" t="s">
        <v>160</v>
      </c>
      <c r="G1972" t="s">
        <v>55</v>
      </c>
      <c r="H1972" t="s">
        <v>56</v>
      </c>
      <c r="I1972" t="str">
        <f>LEFT(H1972,FIND(" (",H1972)-1)</f>
        <v>Mid</v>
      </c>
      <c r="J1972" t="str">
        <f>MID(H1972,FIND("(",H1972)+1,FIND(")",H1972)-FIND("(",H1972)-1)</f>
        <v>2-5 yrs</v>
      </c>
      <c r="L1972">
        <v>121752</v>
      </c>
      <c r="M1972" t="s">
        <v>4066</v>
      </c>
      <c r="N1972" t="s">
        <v>33</v>
      </c>
      <c r="O1972" t="s">
        <v>44</v>
      </c>
      <c r="P1972" s="1">
        <v>45664</v>
      </c>
      <c r="Q1972">
        <v>2063</v>
      </c>
      <c r="R1972">
        <v>1714</v>
      </c>
      <c r="S1972" t="s">
        <v>23</v>
      </c>
      <c r="T1972">
        <v>2</v>
      </c>
      <c r="U1972" t="s">
        <v>5123</v>
      </c>
      <c r="V1972" t="s">
        <v>24</v>
      </c>
      <c r="W1972" t="s">
        <v>23</v>
      </c>
    </row>
    <row r="1973" spans="1:23" x14ac:dyDescent="0.3">
      <c r="A1973" t="s">
        <v>4067</v>
      </c>
      <c r="B1973" t="s">
        <v>81</v>
      </c>
      <c r="C1973" t="s">
        <v>192</v>
      </c>
      <c r="D1973" t="s">
        <v>111</v>
      </c>
      <c r="E1973" t="s">
        <v>5136</v>
      </c>
      <c r="F1973" t="s">
        <v>5133</v>
      </c>
      <c r="G1973" t="s">
        <v>41</v>
      </c>
      <c r="H1973" t="s">
        <v>31</v>
      </c>
      <c r="I1973" t="str">
        <f>LEFT(H1973,FIND(" (",H1973)-1)</f>
        <v>Staff/Principal</v>
      </c>
      <c r="J1973" t="str">
        <f>MID(H1973,FIND("(",H1973)+1,FIND(")",H1973)-FIND("(",H1973)-1)</f>
        <v>8+ yrs</v>
      </c>
      <c r="L1973">
        <v>94146</v>
      </c>
      <c r="M1973" t="s">
        <v>4068</v>
      </c>
      <c r="N1973" t="s">
        <v>33</v>
      </c>
      <c r="O1973" t="s">
        <v>79</v>
      </c>
      <c r="P1973" s="1">
        <v>45485</v>
      </c>
      <c r="Q1973">
        <v>1413</v>
      </c>
      <c r="R1973">
        <v>3990</v>
      </c>
      <c r="S1973" t="s">
        <v>23</v>
      </c>
      <c r="T1973">
        <v>6</v>
      </c>
      <c r="U1973" t="s">
        <v>45</v>
      </c>
      <c r="V1973" t="s">
        <v>59</v>
      </c>
      <c r="W1973" t="s">
        <v>23</v>
      </c>
    </row>
    <row r="1974" spans="1:23" x14ac:dyDescent="0.3">
      <c r="A1974" t="s">
        <v>4069</v>
      </c>
      <c r="B1974" t="s">
        <v>85</v>
      </c>
      <c r="C1974" t="s">
        <v>128</v>
      </c>
      <c r="D1974" t="s">
        <v>75</v>
      </c>
      <c r="E1974" t="s">
        <v>5136</v>
      </c>
      <c r="F1974" t="s">
        <v>5133</v>
      </c>
      <c r="G1974" t="s">
        <v>41</v>
      </c>
      <c r="H1974" t="s">
        <v>66</v>
      </c>
      <c r="I1974" t="str">
        <f>LEFT(H1974,FIND(" (",H1974)-1)</f>
        <v>Senior</v>
      </c>
      <c r="J1974" t="str">
        <f>MID(H1974,FIND("(",H1974)+1,FIND(")",H1974)-FIND("(",H1974)-1)</f>
        <v>5-8 yrs</v>
      </c>
      <c r="L1974">
        <v>167709</v>
      </c>
      <c r="M1974" t="s">
        <v>4070</v>
      </c>
      <c r="N1974" t="s">
        <v>186</v>
      </c>
      <c r="O1974" t="s">
        <v>79</v>
      </c>
      <c r="P1974" s="1">
        <v>45510</v>
      </c>
      <c r="Q1974">
        <v>1233</v>
      </c>
      <c r="R1974">
        <v>2858</v>
      </c>
      <c r="S1974" t="s">
        <v>23</v>
      </c>
      <c r="T1974">
        <v>4</v>
      </c>
      <c r="U1974" t="s">
        <v>5123</v>
      </c>
      <c r="V1974" t="s">
        <v>24</v>
      </c>
      <c r="W1974" t="s">
        <v>23</v>
      </c>
    </row>
    <row r="1975" spans="1:23" x14ac:dyDescent="0.3">
      <c r="A1975" t="s">
        <v>4071</v>
      </c>
      <c r="B1975" t="s">
        <v>13</v>
      </c>
      <c r="C1975" t="s">
        <v>239</v>
      </c>
      <c r="D1975" t="s">
        <v>38</v>
      </c>
      <c r="E1975" t="s">
        <v>200</v>
      </c>
      <c r="F1975" t="s">
        <v>201</v>
      </c>
      <c r="G1975" t="s">
        <v>41</v>
      </c>
      <c r="H1975" t="s">
        <v>31</v>
      </c>
      <c r="I1975" t="str">
        <f>LEFT(H1975,FIND(" (",H1975)-1)</f>
        <v>Staff/Principal</v>
      </c>
      <c r="J1975" t="str">
        <f>MID(H1975,FIND("(",H1975)+1,FIND(")",H1975)-FIND("(",H1975)-1)</f>
        <v>8+ yrs</v>
      </c>
      <c r="L1975">
        <v>207010</v>
      </c>
      <c r="M1975" t="s">
        <v>4072</v>
      </c>
      <c r="N1975" t="s">
        <v>33</v>
      </c>
      <c r="O1975" t="s">
        <v>51</v>
      </c>
      <c r="P1975" s="1">
        <v>45429</v>
      </c>
      <c r="Q1975">
        <v>2322</v>
      </c>
      <c r="R1975">
        <v>2477</v>
      </c>
      <c r="S1975" t="s">
        <v>99</v>
      </c>
      <c r="T1975">
        <v>6</v>
      </c>
      <c r="U1975" t="s">
        <v>52</v>
      </c>
      <c r="V1975" t="s">
        <v>24</v>
      </c>
      <c r="W1975" t="s">
        <v>23</v>
      </c>
    </row>
    <row r="1976" spans="1:23" x14ac:dyDescent="0.3">
      <c r="A1976" t="s">
        <v>4073</v>
      </c>
      <c r="B1976" t="s">
        <v>151</v>
      </c>
      <c r="C1976" t="s">
        <v>167</v>
      </c>
      <c r="D1976" t="s">
        <v>15</v>
      </c>
      <c r="E1976" t="s">
        <v>102</v>
      </c>
      <c r="F1976" t="s">
        <v>103</v>
      </c>
      <c r="G1976" t="s">
        <v>18</v>
      </c>
      <c r="H1976" t="s">
        <v>19</v>
      </c>
      <c r="I1976" t="str">
        <f>LEFT(H1976,FIND(" (",H1976)-1)</f>
        <v>Entry</v>
      </c>
      <c r="J1976" t="str">
        <f>MID(H1976,FIND("(",H1976)+1,FIND(")",H1976)-FIND("(",H1976)-1)</f>
        <v>0-2 yrs</v>
      </c>
      <c r="L1976">
        <v>69764</v>
      </c>
      <c r="M1976" t="s">
        <v>4074</v>
      </c>
      <c r="N1976" t="s">
        <v>43</v>
      </c>
      <c r="O1976" t="s">
        <v>22</v>
      </c>
      <c r="P1976" s="1">
        <v>45701</v>
      </c>
      <c r="Q1976">
        <v>927</v>
      </c>
      <c r="R1976">
        <v>994</v>
      </c>
      <c r="S1976" t="s">
        <v>23</v>
      </c>
      <c r="T1976">
        <v>0</v>
      </c>
      <c r="U1976" t="s">
        <v>45</v>
      </c>
      <c r="V1976" t="s">
        <v>24</v>
      </c>
      <c r="W1976" t="s">
        <v>34</v>
      </c>
    </row>
    <row r="1977" spans="1:23" x14ac:dyDescent="0.3">
      <c r="A1977" t="s">
        <v>4075</v>
      </c>
      <c r="B1977" t="s">
        <v>106</v>
      </c>
      <c r="C1977" t="s">
        <v>167</v>
      </c>
      <c r="D1977" t="s">
        <v>49</v>
      </c>
      <c r="E1977" t="s">
        <v>5134</v>
      </c>
      <c r="F1977" t="s">
        <v>5133</v>
      </c>
      <c r="G1977" t="s">
        <v>41</v>
      </c>
      <c r="H1977" t="s">
        <v>56</v>
      </c>
      <c r="I1977" t="str">
        <f>LEFT(H1977,FIND(" (",H1977)-1)</f>
        <v>Mid</v>
      </c>
      <c r="J1977" t="str">
        <f>MID(H1977,FIND("(",H1977)+1,FIND(")",H1977)-FIND("(",H1977)-1)</f>
        <v>2-5 yrs</v>
      </c>
      <c r="L1977">
        <v>102307</v>
      </c>
      <c r="M1977" t="s">
        <v>4076</v>
      </c>
      <c r="N1977" t="s">
        <v>94</v>
      </c>
      <c r="O1977" t="s">
        <v>22</v>
      </c>
      <c r="P1977" s="1">
        <v>45643</v>
      </c>
      <c r="Q1977">
        <v>486</v>
      </c>
      <c r="R1977">
        <v>761</v>
      </c>
      <c r="S1977" t="s">
        <v>34</v>
      </c>
      <c r="T1977">
        <v>2</v>
      </c>
      <c r="U1977" t="s">
        <v>83</v>
      </c>
      <c r="V1977" t="s">
        <v>24</v>
      </c>
      <c r="W1977" t="s">
        <v>34</v>
      </c>
    </row>
    <row r="1978" spans="1:23" x14ac:dyDescent="0.3">
      <c r="A1978" t="s">
        <v>4077</v>
      </c>
      <c r="B1978" t="s">
        <v>222</v>
      </c>
      <c r="C1978" t="s">
        <v>86</v>
      </c>
      <c r="D1978" t="s">
        <v>111</v>
      </c>
      <c r="E1978" t="s">
        <v>5137</v>
      </c>
      <c r="F1978" t="s">
        <v>5138</v>
      </c>
      <c r="G1978" t="s">
        <v>18</v>
      </c>
      <c r="H1978" t="s">
        <v>19</v>
      </c>
      <c r="I1978" t="str">
        <f>LEFT(H1978,FIND(" (",H1978)-1)</f>
        <v>Entry</v>
      </c>
      <c r="J1978" t="str">
        <f>MID(H1978,FIND("(",H1978)+1,FIND(")",H1978)-FIND("(",H1978)-1)</f>
        <v>0-2 yrs</v>
      </c>
      <c r="L1978">
        <v>84163</v>
      </c>
      <c r="M1978" t="s">
        <v>4078</v>
      </c>
      <c r="N1978" t="s">
        <v>141</v>
      </c>
      <c r="O1978" t="s">
        <v>51</v>
      </c>
      <c r="P1978" s="1">
        <v>45470</v>
      </c>
      <c r="Q1978">
        <v>356</v>
      </c>
      <c r="R1978">
        <v>41</v>
      </c>
      <c r="S1978" t="s">
        <v>23</v>
      </c>
      <c r="T1978">
        <v>0</v>
      </c>
      <c r="U1978" t="s">
        <v>5123</v>
      </c>
      <c r="V1978" t="s">
        <v>24</v>
      </c>
      <c r="W1978" t="s">
        <v>23</v>
      </c>
    </row>
    <row r="1979" spans="1:23" x14ac:dyDescent="0.3">
      <c r="A1979" t="s">
        <v>4079</v>
      </c>
      <c r="B1979" t="s">
        <v>70</v>
      </c>
      <c r="C1979" t="s">
        <v>62</v>
      </c>
      <c r="D1979" t="s">
        <v>38</v>
      </c>
      <c r="E1979" t="s">
        <v>5134</v>
      </c>
      <c r="F1979" t="s">
        <v>5133</v>
      </c>
      <c r="G1979" t="s">
        <v>55</v>
      </c>
      <c r="H1979" t="s">
        <v>31</v>
      </c>
      <c r="I1979" t="str">
        <f>LEFT(H1979,FIND(" (",H1979)-1)</f>
        <v>Staff/Principal</v>
      </c>
      <c r="J1979" t="str">
        <f>MID(H1979,FIND("(",H1979)+1,FIND(")",H1979)-FIND("(",H1979)-1)</f>
        <v>8+ yrs</v>
      </c>
      <c r="L1979">
        <v>234110</v>
      </c>
      <c r="M1979" t="s">
        <v>4080</v>
      </c>
      <c r="N1979" t="s">
        <v>33</v>
      </c>
      <c r="O1979" t="s">
        <v>22</v>
      </c>
      <c r="P1979" s="1">
        <v>45723</v>
      </c>
      <c r="Q1979">
        <v>1195</v>
      </c>
      <c r="R1979">
        <v>3221</v>
      </c>
      <c r="S1979" t="s">
        <v>99</v>
      </c>
      <c r="T1979">
        <v>6</v>
      </c>
      <c r="U1979" t="s">
        <v>58</v>
      </c>
      <c r="V1979" t="s">
        <v>24</v>
      </c>
      <c r="W1979" t="s">
        <v>23</v>
      </c>
    </row>
    <row r="1980" spans="1:23" x14ac:dyDescent="0.3">
      <c r="A1980" t="s">
        <v>4081</v>
      </c>
      <c r="B1980" t="s">
        <v>236</v>
      </c>
      <c r="C1980" t="s">
        <v>146</v>
      </c>
      <c r="D1980" t="s">
        <v>15</v>
      </c>
      <c r="E1980" t="s">
        <v>159</v>
      </c>
      <c r="F1980" t="s">
        <v>160</v>
      </c>
      <c r="G1980" t="s">
        <v>18</v>
      </c>
      <c r="H1980" t="s">
        <v>66</v>
      </c>
      <c r="I1980" t="str">
        <f>LEFT(H1980,FIND(" (",H1980)-1)</f>
        <v>Senior</v>
      </c>
      <c r="J1980" t="str">
        <f>MID(H1980,FIND("(",H1980)+1,FIND(")",H1980)-FIND("(",H1980)-1)</f>
        <v>5-8 yrs</v>
      </c>
      <c r="L1980">
        <v>129132</v>
      </c>
      <c r="M1980" t="s">
        <v>4082</v>
      </c>
      <c r="N1980" t="s">
        <v>94</v>
      </c>
      <c r="O1980" t="s">
        <v>22</v>
      </c>
      <c r="P1980" s="1">
        <v>45608</v>
      </c>
      <c r="Q1980">
        <v>876</v>
      </c>
      <c r="R1980">
        <v>2193</v>
      </c>
      <c r="S1980" t="s">
        <v>99</v>
      </c>
      <c r="T1980">
        <v>4</v>
      </c>
      <c r="U1980" t="s">
        <v>5123</v>
      </c>
      <c r="V1980" t="s">
        <v>59</v>
      </c>
      <c r="W1980" t="s">
        <v>34</v>
      </c>
    </row>
    <row r="1981" spans="1:23" x14ac:dyDescent="0.3">
      <c r="A1981" t="s">
        <v>4083</v>
      </c>
      <c r="B1981" t="s">
        <v>85</v>
      </c>
      <c r="C1981" t="s">
        <v>167</v>
      </c>
      <c r="D1981" t="s">
        <v>49</v>
      </c>
      <c r="E1981" t="s">
        <v>76</v>
      </c>
      <c r="F1981" t="s">
        <v>77</v>
      </c>
      <c r="G1981" t="s">
        <v>18</v>
      </c>
      <c r="H1981" t="s">
        <v>56</v>
      </c>
      <c r="I1981" t="str">
        <f>LEFT(H1981,FIND(" (",H1981)-1)</f>
        <v>Mid</v>
      </c>
      <c r="J1981" t="str">
        <f>MID(H1981,FIND("(",H1981)+1,FIND(")",H1981)-FIND("(",H1981)-1)</f>
        <v>2-5 yrs</v>
      </c>
      <c r="L1981">
        <v>118059</v>
      </c>
      <c r="M1981" t="s">
        <v>4084</v>
      </c>
      <c r="N1981" t="s">
        <v>245</v>
      </c>
      <c r="O1981" t="s">
        <v>51</v>
      </c>
      <c r="P1981" s="1">
        <v>45737</v>
      </c>
      <c r="Q1981">
        <v>351</v>
      </c>
      <c r="R1981">
        <v>112</v>
      </c>
      <c r="S1981" t="s">
        <v>23</v>
      </c>
      <c r="T1981">
        <v>2</v>
      </c>
      <c r="U1981" t="s">
        <v>83</v>
      </c>
      <c r="V1981" t="s">
        <v>59</v>
      </c>
      <c r="W1981" t="s">
        <v>34</v>
      </c>
    </row>
    <row r="1982" spans="1:23" x14ac:dyDescent="0.3">
      <c r="A1982" t="s">
        <v>4085</v>
      </c>
      <c r="B1982" t="s">
        <v>36</v>
      </c>
      <c r="C1982" t="s">
        <v>86</v>
      </c>
      <c r="D1982" t="s">
        <v>125</v>
      </c>
      <c r="E1982" t="s">
        <v>133</v>
      </c>
      <c r="F1982" t="s">
        <v>134</v>
      </c>
      <c r="G1982" t="s">
        <v>18</v>
      </c>
      <c r="H1982" t="s">
        <v>19</v>
      </c>
      <c r="I1982" t="str">
        <f>LEFT(H1982,FIND(" (",H1982)-1)</f>
        <v>Entry</v>
      </c>
      <c r="J1982" t="str">
        <f>MID(H1982,FIND("(",H1982)+1,FIND(")",H1982)-FIND("(",H1982)-1)</f>
        <v>0-2 yrs</v>
      </c>
      <c r="L1982">
        <v>57757</v>
      </c>
      <c r="M1982" t="s">
        <v>4086</v>
      </c>
      <c r="N1982" t="s">
        <v>186</v>
      </c>
      <c r="O1982" t="s">
        <v>22</v>
      </c>
      <c r="P1982" s="1">
        <v>45641</v>
      </c>
      <c r="Q1982">
        <v>757</v>
      </c>
      <c r="R1982">
        <v>414</v>
      </c>
      <c r="S1982" t="s">
        <v>23</v>
      </c>
      <c r="T1982">
        <v>0</v>
      </c>
      <c r="U1982" t="s">
        <v>83</v>
      </c>
      <c r="V1982" t="s">
        <v>24</v>
      </c>
      <c r="W1982" t="s">
        <v>34</v>
      </c>
    </row>
    <row r="1983" spans="1:23" x14ac:dyDescent="0.3">
      <c r="A1983" t="s">
        <v>4087</v>
      </c>
      <c r="B1983" t="s">
        <v>131</v>
      </c>
      <c r="C1983" t="s">
        <v>62</v>
      </c>
      <c r="D1983" t="s">
        <v>49</v>
      </c>
      <c r="E1983" t="s">
        <v>102</v>
      </c>
      <c r="F1983" t="s">
        <v>103</v>
      </c>
      <c r="G1983" t="s">
        <v>55</v>
      </c>
      <c r="H1983" t="s">
        <v>56</v>
      </c>
      <c r="I1983" t="str">
        <f>LEFT(H1983,FIND(" (",H1983)-1)</f>
        <v>Mid</v>
      </c>
      <c r="J1983" t="str">
        <f>MID(H1983,FIND("(",H1983)+1,FIND(")",H1983)-FIND("(",H1983)-1)</f>
        <v>2-5 yrs</v>
      </c>
      <c r="L1983">
        <v>82683</v>
      </c>
      <c r="M1983" t="s">
        <v>4088</v>
      </c>
      <c r="N1983" t="s">
        <v>89</v>
      </c>
      <c r="O1983" t="s">
        <v>22</v>
      </c>
      <c r="P1983" s="1">
        <v>45544</v>
      </c>
      <c r="Q1983">
        <v>2073</v>
      </c>
      <c r="R1983">
        <v>3790</v>
      </c>
      <c r="S1983" t="s">
        <v>23</v>
      </c>
      <c r="T1983">
        <v>2</v>
      </c>
      <c r="U1983" t="s">
        <v>83</v>
      </c>
      <c r="V1983" t="s">
        <v>24</v>
      </c>
      <c r="W1983" t="s">
        <v>34</v>
      </c>
    </row>
    <row r="1984" spans="1:23" x14ac:dyDescent="0.3">
      <c r="A1984" t="s">
        <v>4089</v>
      </c>
      <c r="B1984" t="s">
        <v>85</v>
      </c>
      <c r="C1984" t="s">
        <v>14</v>
      </c>
      <c r="D1984" t="s">
        <v>63</v>
      </c>
      <c r="E1984" t="s">
        <v>102</v>
      </c>
      <c r="F1984" t="s">
        <v>103</v>
      </c>
      <c r="G1984" t="s">
        <v>18</v>
      </c>
      <c r="H1984" t="s">
        <v>19</v>
      </c>
      <c r="I1984" t="str">
        <f>LEFT(H1984,FIND(" (",H1984)-1)</f>
        <v>Entry</v>
      </c>
      <c r="J1984" t="str">
        <f>MID(H1984,FIND("(",H1984)+1,FIND(")",H1984)-FIND("(",H1984)-1)</f>
        <v>0-2 yrs</v>
      </c>
      <c r="L1984">
        <v>62103</v>
      </c>
      <c r="M1984" t="s">
        <v>4090</v>
      </c>
      <c r="N1984" t="s">
        <v>33</v>
      </c>
      <c r="O1984" t="s">
        <v>22</v>
      </c>
      <c r="P1984" s="1">
        <v>45462</v>
      </c>
      <c r="Q1984">
        <v>364</v>
      </c>
      <c r="R1984">
        <v>708</v>
      </c>
      <c r="S1984" t="s">
        <v>34</v>
      </c>
      <c r="T1984">
        <v>0</v>
      </c>
      <c r="U1984" t="s">
        <v>83</v>
      </c>
      <c r="V1984" t="s">
        <v>24</v>
      </c>
      <c r="W1984" t="s">
        <v>34</v>
      </c>
    </row>
    <row r="1985" spans="1:23" x14ac:dyDescent="0.3">
      <c r="A1985" t="s">
        <v>4091</v>
      </c>
      <c r="B1985" t="s">
        <v>236</v>
      </c>
      <c r="C1985" t="s">
        <v>173</v>
      </c>
      <c r="D1985" t="s">
        <v>49</v>
      </c>
      <c r="E1985" t="s">
        <v>5140</v>
      </c>
      <c r="F1985" t="s">
        <v>5133</v>
      </c>
      <c r="G1985" t="s">
        <v>18</v>
      </c>
      <c r="H1985" t="s">
        <v>56</v>
      </c>
      <c r="I1985" t="str">
        <f>LEFT(H1985,FIND(" (",H1985)-1)</f>
        <v>Mid</v>
      </c>
      <c r="J1985" t="str">
        <f>MID(H1985,FIND("(",H1985)+1,FIND(")",H1985)-FIND("(",H1985)-1)</f>
        <v>2-5 yrs</v>
      </c>
      <c r="L1985">
        <v>127075</v>
      </c>
      <c r="M1985" t="s">
        <v>4092</v>
      </c>
      <c r="N1985" t="s">
        <v>94</v>
      </c>
      <c r="O1985" t="s">
        <v>22</v>
      </c>
      <c r="P1985" s="1">
        <v>45636</v>
      </c>
      <c r="Q1985">
        <v>1703</v>
      </c>
      <c r="R1985">
        <v>122</v>
      </c>
      <c r="S1985" t="s">
        <v>23</v>
      </c>
      <c r="T1985">
        <v>2</v>
      </c>
      <c r="U1985" t="s">
        <v>45</v>
      </c>
      <c r="V1985" t="s">
        <v>24</v>
      </c>
      <c r="W1985" t="s">
        <v>34</v>
      </c>
    </row>
    <row r="1986" spans="1:23" x14ac:dyDescent="0.3">
      <c r="A1986" t="s">
        <v>4093</v>
      </c>
      <c r="B1986" t="s">
        <v>236</v>
      </c>
      <c r="C1986" t="s">
        <v>192</v>
      </c>
      <c r="D1986" t="s">
        <v>15</v>
      </c>
      <c r="E1986" t="s">
        <v>133</v>
      </c>
      <c r="F1986" t="s">
        <v>134</v>
      </c>
      <c r="G1986" t="s">
        <v>18</v>
      </c>
      <c r="H1986" t="s">
        <v>56</v>
      </c>
      <c r="I1986" t="str">
        <f>LEFT(H1986,FIND(" (",H1986)-1)</f>
        <v>Mid</v>
      </c>
      <c r="J1986" t="str">
        <f>MID(H1986,FIND("(",H1986)+1,FIND(")",H1986)-FIND("(",H1986)-1)</f>
        <v>2-5 yrs</v>
      </c>
      <c r="L1986">
        <v>128871</v>
      </c>
      <c r="M1986" t="s">
        <v>4094</v>
      </c>
      <c r="N1986" t="s">
        <v>21</v>
      </c>
      <c r="O1986" t="s">
        <v>44</v>
      </c>
      <c r="P1986" s="1">
        <v>45542</v>
      </c>
      <c r="Q1986">
        <v>1230</v>
      </c>
      <c r="R1986">
        <v>107</v>
      </c>
      <c r="S1986" t="s">
        <v>23</v>
      </c>
      <c r="T1986">
        <v>2</v>
      </c>
      <c r="U1986" t="s">
        <v>58</v>
      </c>
      <c r="V1986" t="s">
        <v>24</v>
      </c>
      <c r="W1986" t="s">
        <v>34</v>
      </c>
    </row>
    <row r="1987" spans="1:23" x14ac:dyDescent="0.3">
      <c r="A1987" t="s">
        <v>4095</v>
      </c>
      <c r="B1987" t="s">
        <v>229</v>
      </c>
      <c r="C1987" t="s">
        <v>146</v>
      </c>
      <c r="D1987" t="s">
        <v>111</v>
      </c>
      <c r="E1987" t="s">
        <v>76</v>
      </c>
      <c r="F1987" t="s">
        <v>77</v>
      </c>
      <c r="G1987" t="s">
        <v>18</v>
      </c>
      <c r="H1987" t="s">
        <v>66</v>
      </c>
      <c r="I1987" t="str">
        <f>LEFT(H1987,FIND(" (",H1987)-1)</f>
        <v>Senior</v>
      </c>
      <c r="J1987" t="str">
        <f>MID(H1987,FIND("(",H1987)+1,FIND(")",H1987)-FIND("(",H1987)-1)</f>
        <v>5-8 yrs</v>
      </c>
      <c r="L1987">
        <v>163853</v>
      </c>
      <c r="M1987" t="s">
        <v>4096</v>
      </c>
      <c r="N1987" t="s">
        <v>68</v>
      </c>
      <c r="O1987" t="s">
        <v>79</v>
      </c>
      <c r="P1987" s="1">
        <v>45459</v>
      </c>
      <c r="Q1987">
        <v>1292</v>
      </c>
      <c r="R1987">
        <v>3818</v>
      </c>
      <c r="S1987" t="s">
        <v>23</v>
      </c>
      <c r="T1987">
        <v>4</v>
      </c>
      <c r="U1987" t="s">
        <v>83</v>
      </c>
      <c r="V1987" t="s">
        <v>24</v>
      </c>
      <c r="W1987" t="s">
        <v>34</v>
      </c>
    </row>
    <row r="1988" spans="1:23" x14ac:dyDescent="0.3">
      <c r="A1988" t="s">
        <v>4097</v>
      </c>
      <c r="B1988" t="s">
        <v>26</v>
      </c>
      <c r="C1988" t="s">
        <v>173</v>
      </c>
      <c r="D1988" t="s">
        <v>15</v>
      </c>
      <c r="E1988" t="s">
        <v>64</v>
      </c>
      <c r="F1988" t="s">
        <v>65</v>
      </c>
      <c r="G1988" t="s">
        <v>18</v>
      </c>
      <c r="H1988" t="s">
        <v>56</v>
      </c>
      <c r="I1988" t="str">
        <f>LEFT(H1988,FIND(" (",H1988)-1)</f>
        <v>Mid</v>
      </c>
      <c r="J1988" t="str">
        <f>MID(H1988,FIND("(",H1988)+1,FIND(")",H1988)-FIND("(",H1988)-1)</f>
        <v>2-5 yrs</v>
      </c>
      <c r="L1988">
        <v>124356</v>
      </c>
      <c r="M1988" t="s">
        <v>4098</v>
      </c>
      <c r="N1988" t="s">
        <v>33</v>
      </c>
      <c r="O1988" t="s">
        <v>51</v>
      </c>
      <c r="P1988" s="1">
        <v>45347</v>
      </c>
      <c r="Q1988">
        <v>1100</v>
      </c>
      <c r="R1988">
        <v>3490</v>
      </c>
      <c r="S1988" t="s">
        <v>23</v>
      </c>
      <c r="T1988">
        <v>2</v>
      </c>
      <c r="U1988" t="s">
        <v>5123</v>
      </c>
      <c r="V1988" t="s">
        <v>24</v>
      </c>
      <c r="W1988" t="s">
        <v>23</v>
      </c>
    </row>
    <row r="1989" spans="1:23" x14ac:dyDescent="0.3">
      <c r="A1989" t="s">
        <v>4099</v>
      </c>
      <c r="B1989" t="s">
        <v>229</v>
      </c>
      <c r="C1989" t="s">
        <v>173</v>
      </c>
      <c r="D1989" t="s">
        <v>63</v>
      </c>
      <c r="E1989" t="s">
        <v>5140</v>
      </c>
      <c r="F1989" t="s">
        <v>5133</v>
      </c>
      <c r="G1989" t="s">
        <v>18</v>
      </c>
      <c r="H1989" t="s">
        <v>66</v>
      </c>
      <c r="I1989" t="str">
        <f>LEFT(H1989,FIND(" (",H1989)-1)</f>
        <v>Senior</v>
      </c>
      <c r="J1989" t="str">
        <f>MID(H1989,FIND("(",H1989)+1,FIND(")",H1989)-FIND("(",H1989)-1)</f>
        <v>5-8 yrs</v>
      </c>
      <c r="L1989">
        <v>163936</v>
      </c>
      <c r="M1989" t="s">
        <v>4100</v>
      </c>
      <c r="N1989" t="s">
        <v>33</v>
      </c>
      <c r="O1989" t="s">
        <v>44</v>
      </c>
      <c r="P1989" s="1">
        <v>45313</v>
      </c>
      <c r="Q1989">
        <v>663</v>
      </c>
      <c r="R1989">
        <v>1897</v>
      </c>
      <c r="S1989" t="s">
        <v>34</v>
      </c>
      <c r="T1989">
        <v>4</v>
      </c>
      <c r="U1989" t="s">
        <v>58</v>
      </c>
      <c r="V1989" t="s">
        <v>24</v>
      </c>
      <c r="W1989" t="s">
        <v>34</v>
      </c>
    </row>
    <row r="1990" spans="1:23" x14ac:dyDescent="0.3">
      <c r="A1990" t="s">
        <v>4101</v>
      </c>
      <c r="B1990" t="s">
        <v>172</v>
      </c>
      <c r="C1990" t="s">
        <v>116</v>
      </c>
      <c r="D1990" t="s">
        <v>15</v>
      </c>
      <c r="E1990" t="s">
        <v>76</v>
      </c>
      <c r="F1990" t="s">
        <v>77</v>
      </c>
      <c r="G1990" t="s">
        <v>41</v>
      </c>
      <c r="H1990" t="s">
        <v>31</v>
      </c>
      <c r="I1990" t="str">
        <f>LEFT(H1990,FIND(" (",H1990)-1)</f>
        <v>Staff/Principal</v>
      </c>
      <c r="J1990" t="str">
        <f>MID(H1990,FIND("(",H1990)+1,FIND(")",H1990)-FIND("(",H1990)-1)</f>
        <v>8+ yrs</v>
      </c>
      <c r="L1990">
        <v>176906</v>
      </c>
      <c r="M1990" t="s">
        <v>4102</v>
      </c>
      <c r="N1990" t="s">
        <v>33</v>
      </c>
      <c r="O1990" t="s">
        <v>51</v>
      </c>
      <c r="P1990" s="1">
        <v>45391</v>
      </c>
      <c r="Q1990">
        <v>403</v>
      </c>
      <c r="R1990">
        <v>1271</v>
      </c>
      <c r="S1990" t="s">
        <v>23</v>
      </c>
      <c r="T1990">
        <v>6</v>
      </c>
      <c r="U1990" t="s">
        <v>83</v>
      </c>
      <c r="V1990" t="s">
        <v>24</v>
      </c>
      <c r="W1990" t="s">
        <v>23</v>
      </c>
    </row>
    <row r="1991" spans="1:23" x14ac:dyDescent="0.3">
      <c r="A1991" t="s">
        <v>4103</v>
      </c>
      <c r="B1991" t="s">
        <v>26</v>
      </c>
      <c r="C1991" t="s">
        <v>27</v>
      </c>
      <c r="D1991" t="s">
        <v>147</v>
      </c>
      <c r="E1991" t="s">
        <v>200</v>
      </c>
      <c r="F1991" t="s">
        <v>201</v>
      </c>
      <c r="G1991" t="s">
        <v>18</v>
      </c>
      <c r="H1991" t="s">
        <v>19</v>
      </c>
      <c r="I1991" t="str">
        <f>LEFT(H1991,FIND(" (",H1991)-1)</f>
        <v>Entry</v>
      </c>
      <c r="J1991" t="str">
        <f>MID(H1991,FIND("(",H1991)+1,FIND(")",H1991)-FIND("(",H1991)-1)</f>
        <v>0-2 yrs</v>
      </c>
      <c r="L1991">
        <v>75442</v>
      </c>
      <c r="M1991" t="s">
        <v>4104</v>
      </c>
      <c r="N1991" t="s">
        <v>33</v>
      </c>
      <c r="O1991" t="s">
        <v>51</v>
      </c>
      <c r="P1991" s="1">
        <v>45355</v>
      </c>
      <c r="Q1991">
        <v>1947</v>
      </c>
      <c r="R1991">
        <v>1913</v>
      </c>
      <c r="S1991" t="s">
        <v>23</v>
      </c>
      <c r="T1991">
        <v>0</v>
      </c>
      <c r="U1991" t="s">
        <v>5123</v>
      </c>
      <c r="V1991" t="s">
        <v>24</v>
      </c>
      <c r="W1991" t="s">
        <v>34</v>
      </c>
    </row>
    <row r="1992" spans="1:23" x14ac:dyDescent="0.3">
      <c r="A1992" t="s">
        <v>4105</v>
      </c>
      <c r="B1992" t="s">
        <v>36</v>
      </c>
      <c r="C1992" t="s">
        <v>128</v>
      </c>
      <c r="D1992" t="s">
        <v>63</v>
      </c>
      <c r="E1992" t="s">
        <v>5140</v>
      </c>
      <c r="F1992" t="s">
        <v>5133</v>
      </c>
      <c r="G1992" t="s">
        <v>18</v>
      </c>
      <c r="H1992" t="s">
        <v>31</v>
      </c>
      <c r="I1992" t="str">
        <f>LEFT(H1992,FIND(" (",H1992)-1)</f>
        <v>Staff/Principal</v>
      </c>
      <c r="J1992" t="str">
        <f>MID(H1992,FIND("(",H1992)+1,FIND(")",H1992)-FIND("(",H1992)-1)</f>
        <v>8+ yrs</v>
      </c>
      <c r="L1992">
        <v>228814</v>
      </c>
      <c r="M1992" t="s">
        <v>4106</v>
      </c>
      <c r="N1992" t="s">
        <v>89</v>
      </c>
      <c r="O1992" t="s">
        <v>44</v>
      </c>
      <c r="P1992" s="1">
        <v>45311</v>
      </c>
      <c r="Q1992">
        <v>464</v>
      </c>
      <c r="R1992">
        <v>538</v>
      </c>
      <c r="S1992" t="s">
        <v>99</v>
      </c>
      <c r="T1992">
        <v>6</v>
      </c>
      <c r="U1992" t="s">
        <v>52</v>
      </c>
      <c r="V1992" t="s">
        <v>24</v>
      </c>
      <c r="W1992" t="s">
        <v>34</v>
      </c>
    </row>
    <row r="1993" spans="1:23" x14ac:dyDescent="0.3">
      <c r="A1993" t="s">
        <v>4107</v>
      </c>
      <c r="B1993" t="s">
        <v>225</v>
      </c>
      <c r="C1993" t="s">
        <v>107</v>
      </c>
      <c r="D1993" t="s">
        <v>125</v>
      </c>
      <c r="E1993" t="s">
        <v>230</v>
      </c>
      <c r="F1993" t="s">
        <v>231</v>
      </c>
      <c r="G1993" t="s">
        <v>41</v>
      </c>
      <c r="H1993" t="s">
        <v>56</v>
      </c>
      <c r="I1993" t="str">
        <f>LEFT(H1993,FIND(" (",H1993)-1)</f>
        <v>Mid</v>
      </c>
      <c r="J1993" t="str">
        <f>MID(H1993,FIND("(",H1993)+1,FIND(")",H1993)-FIND("(",H1993)-1)</f>
        <v>2-5 yrs</v>
      </c>
      <c r="L1993">
        <v>124934</v>
      </c>
      <c r="M1993" t="s">
        <v>4108</v>
      </c>
      <c r="N1993" t="s">
        <v>33</v>
      </c>
      <c r="O1993" t="s">
        <v>22</v>
      </c>
      <c r="P1993" s="1">
        <v>45739</v>
      </c>
      <c r="Q1993">
        <v>1747</v>
      </c>
      <c r="R1993">
        <v>2615</v>
      </c>
      <c r="S1993" t="s">
        <v>23</v>
      </c>
      <c r="T1993">
        <v>2</v>
      </c>
      <c r="U1993" t="s">
        <v>52</v>
      </c>
      <c r="V1993" t="s">
        <v>24</v>
      </c>
      <c r="W1993" t="s">
        <v>23</v>
      </c>
    </row>
    <row r="1994" spans="1:23" x14ac:dyDescent="0.3">
      <c r="A1994" t="s">
        <v>4109</v>
      </c>
      <c r="B1994" t="s">
        <v>26</v>
      </c>
      <c r="C1994" t="s">
        <v>182</v>
      </c>
      <c r="D1994" t="s">
        <v>63</v>
      </c>
      <c r="E1994" t="s">
        <v>29</v>
      </c>
      <c r="F1994" t="s">
        <v>30</v>
      </c>
      <c r="G1994" t="s">
        <v>18</v>
      </c>
      <c r="H1994" t="s">
        <v>31</v>
      </c>
      <c r="I1994" t="str">
        <f>LEFT(H1994,FIND(" (",H1994)-1)</f>
        <v>Staff/Principal</v>
      </c>
      <c r="J1994" t="str">
        <f>MID(H1994,FIND("(",H1994)+1,FIND(")",H1994)-FIND("(",H1994)-1)</f>
        <v>8+ yrs</v>
      </c>
      <c r="L1994">
        <v>242800</v>
      </c>
      <c r="M1994" t="s">
        <v>4110</v>
      </c>
      <c r="N1994" t="s">
        <v>43</v>
      </c>
      <c r="O1994" t="s">
        <v>44</v>
      </c>
      <c r="P1994" s="1">
        <v>45549</v>
      </c>
      <c r="Q1994">
        <v>365</v>
      </c>
      <c r="R1994">
        <v>679</v>
      </c>
      <c r="S1994" t="s">
        <v>23</v>
      </c>
      <c r="T1994">
        <v>6</v>
      </c>
      <c r="U1994" t="s">
        <v>45</v>
      </c>
      <c r="V1994" t="s">
        <v>24</v>
      </c>
      <c r="W1994" t="s">
        <v>23</v>
      </c>
    </row>
    <row r="1995" spans="1:23" x14ac:dyDescent="0.3">
      <c r="A1995" t="s">
        <v>4111</v>
      </c>
      <c r="B1995" t="s">
        <v>91</v>
      </c>
      <c r="C1995" t="s">
        <v>92</v>
      </c>
      <c r="D1995" t="s">
        <v>111</v>
      </c>
      <c r="E1995" t="s">
        <v>5139</v>
      </c>
      <c r="F1995" t="s">
        <v>5133</v>
      </c>
      <c r="G1995" t="s">
        <v>18</v>
      </c>
      <c r="H1995" t="s">
        <v>31</v>
      </c>
      <c r="I1995" t="str">
        <f>LEFT(H1995,FIND(" (",H1995)-1)</f>
        <v>Staff/Principal</v>
      </c>
      <c r="J1995" t="str">
        <f>MID(H1995,FIND("(",H1995)+1,FIND(")",H1995)-FIND("(",H1995)-1)</f>
        <v>8+ yrs</v>
      </c>
      <c r="L1995">
        <v>225498</v>
      </c>
      <c r="M1995" t="s">
        <v>4112</v>
      </c>
      <c r="N1995" t="s">
        <v>89</v>
      </c>
      <c r="O1995" t="s">
        <v>51</v>
      </c>
      <c r="P1995" s="1">
        <v>45602</v>
      </c>
      <c r="Q1995">
        <v>1607</v>
      </c>
      <c r="R1995">
        <v>2970</v>
      </c>
      <c r="S1995" t="s">
        <v>23</v>
      </c>
      <c r="T1995">
        <v>6</v>
      </c>
      <c r="U1995" t="s">
        <v>45</v>
      </c>
      <c r="V1995" t="s">
        <v>24</v>
      </c>
      <c r="W1995" t="s">
        <v>34</v>
      </c>
    </row>
    <row r="1996" spans="1:23" x14ac:dyDescent="0.3">
      <c r="A1996" t="s">
        <v>4113</v>
      </c>
      <c r="B1996" t="s">
        <v>70</v>
      </c>
      <c r="C1996" t="s">
        <v>128</v>
      </c>
      <c r="D1996" t="s">
        <v>28</v>
      </c>
      <c r="E1996" t="s">
        <v>39</v>
      </c>
      <c r="F1996" t="s">
        <v>40</v>
      </c>
      <c r="G1996" t="s">
        <v>18</v>
      </c>
      <c r="H1996" t="s">
        <v>31</v>
      </c>
      <c r="I1996" t="str">
        <f>LEFT(H1996,FIND(" (",H1996)-1)</f>
        <v>Staff/Principal</v>
      </c>
      <c r="J1996" t="str">
        <f>MID(H1996,FIND("(",H1996)+1,FIND(")",H1996)-FIND("(",H1996)-1)</f>
        <v>8+ yrs</v>
      </c>
      <c r="L1996">
        <v>212652</v>
      </c>
      <c r="M1996" t="s">
        <v>4114</v>
      </c>
      <c r="N1996" t="s">
        <v>245</v>
      </c>
      <c r="O1996" t="s">
        <v>44</v>
      </c>
      <c r="P1996" s="1">
        <v>45695</v>
      </c>
      <c r="Q1996">
        <v>1899</v>
      </c>
      <c r="R1996">
        <v>2593</v>
      </c>
      <c r="S1996" t="s">
        <v>34</v>
      </c>
      <c r="T1996">
        <v>6</v>
      </c>
      <c r="U1996" t="s">
        <v>5123</v>
      </c>
      <c r="V1996" t="s">
        <v>24</v>
      </c>
      <c r="W1996" t="s">
        <v>34</v>
      </c>
    </row>
    <row r="1997" spans="1:23" x14ac:dyDescent="0.3">
      <c r="A1997" t="s">
        <v>4115</v>
      </c>
      <c r="B1997" t="s">
        <v>36</v>
      </c>
      <c r="C1997" t="s">
        <v>167</v>
      </c>
      <c r="D1997" t="s">
        <v>147</v>
      </c>
      <c r="E1997" t="s">
        <v>5137</v>
      </c>
      <c r="F1997" t="s">
        <v>5138</v>
      </c>
      <c r="G1997" t="s">
        <v>18</v>
      </c>
      <c r="H1997" t="s">
        <v>19</v>
      </c>
      <c r="I1997" t="str">
        <f>LEFT(H1997,FIND(" (",H1997)-1)</f>
        <v>Entry</v>
      </c>
      <c r="J1997" t="str">
        <f>MID(H1997,FIND("(",H1997)+1,FIND(")",H1997)-FIND("(",H1997)-1)</f>
        <v>0-2 yrs</v>
      </c>
      <c r="L1997">
        <v>83483</v>
      </c>
      <c r="M1997" t="s">
        <v>4116</v>
      </c>
      <c r="N1997" t="s">
        <v>43</v>
      </c>
      <c r="O1997" t="s">
        <v>22</v>
      </c>
      <c r="P1997" s="1">
        <v>45741</v>
      </c>
      <c r="Q1997">
        <v>1001</v>
      </c>
      <c r="R1997">
        <v>3285</v>
      </c>
      <c r="S1997" t="s">
        <v>99</v>
      </c>
      <c r="T1997">
        <v>0</v>
      </c>
      <c r="U1997" t="s">
        <v>83</v>
      </c>
      <c r="V1997" t="s">
        <v>24</v>
      </c>
      <c r="W1997" t="s">
        <v>23</v>
      </c>
    </row>
    <row r="1998" spans="1:23" x14ac:dyDescent="0.3">
      <c r="A1998" t="s">
        <v>4117</v>
      </c>
      <c r="B1998" t="s">
        <v>106</v>
      </c>
      <c r="C1998" t="s">
        <v>97</v>
      </c>
      <c r="D1998" t="s">
        <v>28</v>
      </c>
      <c r="E1998" t="s">
        <v>39</v>
      </c>
      <c r="F1998" t="s">
        <v>40</v>
      </c>
      <c r="G1998" t="s">
        <v>18</v>
      </c>
      <c r="H1998" t="s">
        <v>66</v>
      </c>
      <c r="I1998" t="str">
        <f>LEFT(H1998,FIND(" (",H1998)-1)</f>
        <v>Senior</v>
      </c>
      <c r="J1998" t="str">
        <f>MID(H1998,FIND("(",H1998)+1,FIND(")",H1998)-FIND("(",H1998)-1)</f>
        <v>5-8 yrs</v>
      </c>
      <c r="L1998">
        <v>149283</v>
      </c>
      <c r="M1998" t="s">
        <v>4118</v>
      </c>
      <c r="N1998" t="s">
        <v>33</v>
      </c>
      <c r="O1998" t="s">
        <v>22</v>
      </c>
      <c r="P1998" s="1">
        <v>45433</v>
      </c>
      <c r="Q1998">
        <v>1489</v>
      </c>
      <c r="R1998">
        <v>3835</v>
      </c>
      <c r="S1998" t="s">
        <v>34</v>
      </c>
      <c r="T1998">
        <v>4</v>
      </c>
      <c r="U1998" t="s">
        <v>5123</v>
      </c>
      <c r="V1998" t="s">
        <v>24</v>
      </c>
      <c r="W1998" t="s">
        <v>34</v>
      </c>
    </row>
    <row r="1999" spans="1:23" x14ac:dyDescent="0.3">
      <c r="A1999" t="s">
        <v>4119</v>
      </c>
      <c r="B1999" t="s">
        <v>143</v>
      </c>
      <c r="C1999" t="s">
        <v>167</v>
      </c>
      <c r="D1999" t="s">
        <v>28</v>
      </c>
      <c r="E1999" t="s">
        <v>230</v>
      </c>
      <c r="F1999" t="s">
        <v>231</v>
      </c>
      <c r="G1999" t="s">
        <v>55</v>
      </c>
      <c r="H1999" t="s">
        <v>66</v>
      </c>
      <c r="I1999" t="str">
        <f>LEFT(H1999,FIND(" (",H1999)-1)</f>
        <v>Senior</v>
      </c>
      <c r="J1999" t="str">
        <f>MID(H1999,FIND("(",H1999)+1,FIND(")",H1999)-FIND("(",H1999)-1)</f>
        <v>5-8 yrs</v>
      </c>
      <c r="L1999">
        <v>126189</v>
      </c>
      <c r="M1999" t="s">
        <v>4120</v>
      </c>
      <c r="N1999" t="s">
        <v>120</v>
      </c>
      <c r="O1999" t="s">
        <v>51</v>
      </c>
      <c r="P1999" s="1">
        <v>45462</v>
      </c>
      <c r="Q1999">
        <v>2371</v>
      </c>
      <c r="R1999">
        <v>459</v>
      </c>
      <c r="S1999" t="s">
        <v>99</v>
      </c>
      <c r="T1999">
        <v>4</v>
      </c>
      <c r="U1999" t="s">
        <v>5123</v>
      </c>
      <c r="V1999" t="s">
        <v>24</v>
      </c>
      <c r="W1999" t="s">
        <v>34</v>
      </c>
    </row>
    <row r="2000" spans="1:23" x14ac:dyDescent="0.3">
      <c r="A2000" t="s">
        <v>4121</v>
      </c>
      <c r="B2000" t="s">
        <v>329</v>
      </c>
      <c r="C2000" t="s">
        <v>146</v>
      </c>
      <c r="D2000" t="s">
        <v>125</v>
      </c>
      <c r="E2000" t="s">
        <v>159</v>
      </c>
      <c r="F2000" t="s">
        <v>160</v>
      </c>
      <c r="G2000" t="s">
        <v>41</v>
      </c>
      <c r="H2000" t="s">
        <v>66</v>
      </c>
      <c r="I2000" t="str">
        <f>LEFT(H2000,FIND(" (",H2000)-1)</f>
        <v>Senior</v>
      </c>
      <c r="J2000" t="str">
        <f>MID(H2000,FIND("(",H2000)+1,FIND(")",H2000)-FIND("(",H2000)-1)</f>
        <v>5-8 yrs</v>
      </c>
      <c r="L2000">
        <v>145597</v>
      </c>
      <c r="M2000" t="s">
        <v>4122</v>
      </c>
      <c r="N2000" t="s">
        <v>94</v>
      </c>
      <c r="O2000" t="s">
        <v>22</v>
      </c>
      <c r="P2000" s="1">
        <v>45380</v>
      </c>
      <c r="Q2000">
        <v>1136</v>
      </c>
      <c r="R2000">
        <v>1333</v>
      </c>
      <c r="S2000" t="s">
        <v>34</v>
      </c>
      <c r="T2000">
        <v>4</v>
      </c>
      <c r="U2000" t="s">
        <v>83</v>
      </c>
      <c r="V2000" t="s">
        <v>24</v>
      </c>
      <c r="W2000" t="s">
        <v>23</v>
      </c>
    </row>
    <row r="2001" spans="1:23" x14ac:dyDescent="0.3">
      <c r="A2001" t="s">
        <v>4123</v>
      </c>
      <c r="B2001" t="s">
        <v>225</v>
      </c>
      <c r="C2001" t="s">
        <v>97</v>
      </c>
      <c r="D2001" t="s">
        <v>49</v>
      </c>
      <c r="E2001" t="s">
        <v>5141</v>
      </c>
      <c r="F2001" t="s">
        <v>5133</v>
      </c>
      <c r="G2001" t="s">
        <v>18</v>
      </c>
      <c r="H2001" t="s">
        <v>19</v>
      </c>
      <c r="I2001" t="str">
        <f>LEFT(H2001,FIND(" (",H2001)-1)</f>
        <v>Entry</v>
      </c>
      <c r="J2001" t="str">
        <f>MID(H2001,FIND("(",H2001)+1,FIND(")",H2001)-FIND("(",H2001)-1)</f>
        <v>0-2 yrs</v>
      </c>
      <c r="L2001">
        <v>60614</v>
      </c>
      <c r="M2001" t="s">
        <v>4124</v>
      </c>
      <c r="N2001" t="s">
        <v>43</v>
      </c>
      <c r="O2001" t="s">
        <v>44</v>
      </c>
      <c r="P2001" s="1">
        <v>45293</v>
      </c>
      <c r="Q2001">
        <v>1202</v>
      </c>
      <c r="R2001">
        <v>3518</v>
      </c>
      <c r="S2001" t="s">
        <v>23</v>
      </c>
      <c r="T2001">
        <v>0</v>
      </c>
      <c r="U2001" t="s">
        <v>83</v>
      </c>
      <c r="V2001" t="s">
        <v>24</v>
      </c>
      <c r="W2001" t="s">
        <v>23</v>
      </c>
    </row>
    <row r="2002" spans="1:23" x14ac:dyDescent="0.3">
      <c r="A2002" t="s">
        <v>4125</v>
      </c>
      <c r="B2002" t="s">
        <v>91</v>
      </c>
      <c r="C2002" t="s">
        <v>110</v>
      </c>
      <c r="D2002" t="s">
        <v>125</v>
      </c>
      <c r="E2002" t="s">
        <v>5132</v>
      </c>
      <c r="F2002" t="s">
        <v>5133</v>
      </c>
      <c r="G2002" t="s">
        <v>55</v>
      </c>
      <c r="H2002" t="s">
        <v>19</v>
      </c>
      <c r="I2002" t="str">
        <f>LEFT(H2002,FIND(" (",H2002)-1)</f>
        <v>Entry</v>
      </c>
      <c r="J2002" t="str">
        <f>MID(H2002,FIND("(",H2002)+1,FIND(")",H2002)-FIND("(",H2002)-1)</f>
        <v>0-2 yrs</v>
      </c>
      <c r="L2002">
        <v>61492</v>
      </c>
      <c r="M2002" t="s">
        <v>4126</v>
      </c>
      <c r="N2002" t="s">
        <v>33</v>
      </c>
      <c r="O2002" t="s">
        <v>22</v>
      </c>
      <c r="P2002" s="1">
        <v>45708</v>
      </c>
      <c r="Q2002">
        <v>1528</v>
      </c>
      <c r="R2002">
        <v>3713</v>
      </c>
      <c r="S2002" t="s">
        <v>99</v>
      </c>
      <c r="T2002">
        <v>0</v>
      </c>
      <c r="U2002" t="s">
        <v>58</v>
      </c>
      <c r="V2002" t="s">
        <v>24</v>
      </c>
      <c r="W2002" t="s">
        <v>23</v>
      </c>
    </row>
    <row r="2003" spans="1:23" x14ac:dyDescent="0.3">
      <c r="A2003" t="s">
        <v>4127</v>
      </c>
      <c r="B2003" t="s">
        <v>137</v>
      </c>
      <c r="C2003" t="s">
        <v>107</v>
      </c>
      <c r="D2003" t="s">
        <v>111</v>
      </c>
      <c r="E2003" t="s">
        <v>230</v>
      </c>
      <c r="F2003" t="s">
        <v>231</v>
      </c>
      <c r="G2003" t="s">
        <v>18</v>
      </c>
      <c r="H2003" t="s">
        <v>56</v>
      </c>
      <c r="I2003" t="str">
        <f>LEFT(H2003,FIND(" (",H2003)-1)</f>
        <v>Mid</v>
      </c>
      <c r="J2003" t="str">
        <f>MID(H2003,FIND("(",H2003)+1,FIND(")",H2003)-FIND("(",H2003)-1)</f>
        <v>2-5 yrs</v>
      </c>
      <c r="L2003">
        <v>107138</v>
      </c>
      <c r="M2003" t="s">
        <v>4128</v>
      </c>
      <c r="N2003" t="s">
        <v>141</v>
      </c>
      <c r="O2003" t="s">
        <v>51</v>
      </c>
      <c r="P2003" s="1">
        <v>45316</v>
      </c>
      <c r="Q2003">
        <v>408</v>
      </c>
      <c r="R2003">
        <v>1556</v>
      </c>
      <c r="S2003" t="s">
        <v>23</v>
      </c>
      <c r="T2003">
        <v>2</v>
      </c>
      <c r="U2003" t="s">
        <v>83</v>
      </c>
      <c r="V2003" t="s">
        <v>24</v>
      </c>
      <c r="W2003" t="s">
        <v>34</v>
      </c>
    </row>
    <row r="2004" spans="1:23" x14ac:dyDescent="0.3">
      <c r="A2004" t="s">
        <v>4129</v>
      </c>
      <c r="B2004" t="s">
        <v>172</v>
      </c>
      <c r="C2004" t="s">
        <v>195</v>
      </c>
      <c r="D2004" t="s">
        <v>15</v>
      </c>
      <c r="E2004" t="s">
        <v>216</v>
      </c>
      <c r="F2004" t="s">
        <v>217</v>
      </c>
      <c r="G2004" t="s">
        <v>18</v>
      </c>
      <c r="H2004" t="s">
        <v>66</v>
      </c>
      <c r="I2004" t="str">
        <f>LEFT(H2004,FIND(" (",H2004)-1)</f>
        <v>Senior</v>
      </c>
      <c r="J2004" t="str">
        <f>MID(H2004,FIND("(",H2004)+1,FIND(")",H2004)-FIND("(",H2004)-1)</f>
        <v>5-8 yrs</v>
      </c>
      <c r="L2004">
        <v>128604</v>
      </c>
      <c r="M2004" t="s">
        <v>4130</v>
      </c>
      <c r="N2004" t="s">
        <v>33</v>
      </c>
      <c r="O2004" t="s">
        <v>51</v>
      </c>
      <c r="P2004" s="1">
        <v>45707</v>
      </c>
      <c r="Q2004">
        <v>336</v>
      </c>
      <c r="R2004">
        <v>1749</v>
      </c>
      <c r="S2004" t="s">
        <v>34</v>
      </c>
      <c r="T2004">
        <v>4</v>
      </c>
      <c r="U2004" t="s">
        <v>45</v>
      </c>
      <c r="V2004" t="s">
        <v>24</v>
      </c>
      <c r="W2004" t="s">
        <v>34</v>
      </c>
    </row>
    <row r="2005" spans="1:23" x14ac:dyDescent="0.3">
      <c r="A2005" t="s">
        <v>4131</v>
      </c>
      <c r="B2005" t="s">
        <v>151</v>
      </c>
      <c r="C2005" t="s">
        <v>124</v>
      </c>
      <c r="D2005" t="s">
        <v>28</v>
      </c>
      <c r="E2005" t="s">
        <v>5137</v>
      </c>
      <c r="F2005" t="s">
        <v>5138</v>
      </c>
      <c r="G2005" t="s">
        <v>55</v>
      </c>
      <c r="H2005" t="s">
        <v>19</v>
      </c>
      <c r="I2005" t="str">
        <f>LEFT(H2005,FIND(" (",H2005)-1)</f>
        <v>Entry</v>
      </c>
      <c r="J2005" t="str">
        <f>MID(H2005,FIND("(",H2005)+1,FIND(")",H2005)-FIND("(",H2005)-1)</f>
        <v>0-2 yrs</v>
      </c>
      <c r="L2005">
        <v>66119</v>
      </c>
      <c r="M2005" t="s">
        <v>4132</v>
      </c>
      <c r="N2005" t="s">
        <v>186</v>
      </c>
      <c r="O2005" t="s">
        <v>44</v>
      </c>
      <c r="P2005" s="1">
        <v>45455</v>
      </c>
      <c r="Q2005">
        <v>1066</v>
      </c>
      <c r="R2005">
        <v>3738</v>
      </c>
      <c r="S2005" t="s">
        <v>99</v>
      </c>
      <c r="T2005">
        <v>0</v>
      </c>
      <c r="U2005" t="s">
        <v>52</v>
      </c>
      <c r="V2005" t="s">
        <v>24</v>
      </c>
      <c r="W2005" t="s">
        <v>23</v>
      </c>
    </row>
    <row r="2006" spans="1:23" x14ac:dyDescent="0.3">
      <c r="A2006" t="s">
        <v>4133</v>
      </c>
      <c r="B2006" t="s">
        <v>26</v>
      </c>
      <c r="C2006" t="s">
        <v>173</v>
      </c>
      <c r="D2006" t="s">
        <v>111</v>
      </c>
      <c r="E2006" t="s">
        <v>76</v>
      </c>
      <c r="F2006" t="s">
        <v>77</v>
      </c>
      <c r="G2006" t="s">
        <v>55</v>
      </c>
      <c r="H2006" t="s">
        <v>31</v>
      </c>
      <c r="I2006" t="str">
        <f>LEFT(H2006,FIND(" (",H2006)-1)</f>
        <v>Staff/Principal</v>
      </c>
      <c r="J2006" t="str">
        <f>MID(H2006,FIND("(",H2006)+1,FIND(")",H2006)-FIND("(",H2006)-1)</f>
        <v>8+ yrs</v>
      </c>
      <c r="L2006">
        <v>131829</v>
      </c>
      <c r="M2006" t="s">
        <v>4134</v>
      </c>
      <c r="N2006" t="s">
        <v>149</v>
      </c>
      <c r="O2006" t="s">
        <v>51</v>
      </c>
      <c r="P2006" s="1">
        <v>45619</v>
      </c>
      <c r="Q2006">
        <v>877</v>
      </c>
      <c r="R2006">
        <v>1533</v>
      </c>
      <c r="S2006" t="s">
        <v>34</v>
      </c>
      <c r="T2006">
        <v>6</v>
      </c>
      <c r="U2006" t="s">
        <v>58</v>
      </c>
      <c r="V2006" t="s">
        <v>24</v>
      </c>
      <c r="W2006" t="s">
        <v>23</v>
      </c>
    </row>
    <row r="2007" spans="1:23" x14ac:dyDescent="0.3">
      <c r="A2007" t="s">
        <v>4135</v>
      </c>
      <c r="B2007" t="s">
        <v>85</v>
      </c>
      <c r="C2007" t="s">
        <v>116</v>
      </c>
      <c r="D2007" t="s">
        <v>28</v>
      </c>
      <c r="E2007" t="s">
        <v>76</v>
      </c>
      <c r="F2007" t="s">
        <v>77</v>
      </c>
      <c r="G2007" t="s">
        <v>55</v>
      </c>
      <c r="H2007" t="s">
        <v>31</v>
      </c>
      <c r="I2007" t="str">
        <f>LEFT(H2007,FIND(" (",H2007)-1)</f>
        <v>Staff/Principal</v>
      </c>
      <c r="J2007" t="str">
        <f>MID(H2007,FIND("(",H2007)+1,FIND(")",H2007)-FIND("(",H2007)-1)</f>
        <v>8+ yrs</v>
      </c>
      <c r="L2007">
        <v>207678</v>
      </c>
      <c r="M2007" t="s">
        <v>4136</v>
      </c>
      <c r="N2007" t="s">
        <v>120</v>
      </c>
      <c r="O2007" t="s">
        <v>22</v>
      </c>
      <c r="P2007" s="1">
        <v>45375</v>
      </c>
      <c r="Q2007">
        <v>1906</v>
      </c>
      <c r="R2007">
        <v>66</v>
      </c>
      <c r="S2007" t="s">
        <v>23</v>
      </c>
      <c r="T2007">
        <v>6</v>
      </c>
      <c r="U2007" t="s">
        <v>52</v>
      </c>
      <c r="V2007" t="s">
        <v>59</v>
      </c>
      <c r="W2007" t="s">
        <v>34</v>
      </c>
    </row>
    <row r="2008" spans="1:23" x14ac:dyDescent="0.3">
      <c r="A2008" t="s">
        <v>4137</v>
      </c>
      <c r="B2008" t="s">
        <v>26</v>
      </c>
      <c r="C2008" t="s">
        <v>195</v>
      </c>
      <c r="D2008" t="s">
        <v>28</v>
      </c>
      <c r="E2008" t="s">
        <v>5136</v>
      </c>
      <c r="F2008" t="s">
        <v>5133</v>
      </c>
      <c r="G2008" t="s">
        <v>41</v>
      </c>
      <c r="H2008" t="s">
        <v>31</v>
      </c>
      <c r="I2008" t="str">
        <f>LEFT(H2008,FIND(" (",H2008)-1)</f>
        <v>Staff/Principal</v>
      </c>
      <c r="J2008" t="str">
        <f>MID(H2008,FIND("(",H2008)+1,FIND(")",H2008)-FIND("(",H2008)-1)</f>
        <v>8+ yrs</v>
      </c>
      <c r="L2008">
        <v>200043</v>
      </c>
      <c r="M2008" t="s">
        <v>4138</v>
      </c>
      <c r="N2008" t="s">
        <v>33</v>
      </c>
      <c r="O2008" t="s">
        <v>51</v>
      </c>
      <c r="P2008" s="1">
        <v>45473</v>
      </c>
      <c r="Q2008">
        <v>1625</v>
      </c>
      <c r="R2008">
        <v>2712</v>
      </c>
      <c r="S2008" t="s">
        <v>23</v>
      </c>
      <c r="T2008">
        <v>6</v>
      </c>
      <c r="U2008" t="s">
        <v>58</v>
      </c>
      <c r="V2008" t="s">
        <v>24</v>
      </c>
      <c r="W2008" t="s">
        <v>23</v>
      </c>
    </row>
    <row r="2009" spans="1:23" x14ac:dyDescent="0.3">
      <c r="A2009" t="s">
        <v>4139</v>
      </c>
      <c r="B2009" t="s">
        <v>96</v>
      </c>
      <c r="C2009" t="s">
        <v>54</v>
      </c>
      <c r="D2009" t="s">
        <v>63</v>
      </c>
      <c r="E2009" t="s">
        <v>200</v>
      </c>
      <c r="F2009" t="s">
        <v>201</v>
      </c>
      <c r="G2009" t="s">
        <v>18</v>
      </c>
      <c r="H2009" t="s">
        <v>56</v>
      </c>
      <c r="I2009" t="str">
        <f>LEFT(H2009,FIND(" (",H2009)-1)</f>
        <v>Mid</v>
      </c>
      <c r="J2009" t="str">
        <f>MID(H2009,FIND("(",H2009)+1,FIND(")",H2009)-FIND("(",H2009)-1)</f>
        <v>2-5 yrs</v>
      </c>
      <c r="L2009">
        <v>93821</v>
      </c>
      <c r="M2009" t="s">
        <v>4140</v>
      </c>
      <c r="N2009" t="s">
        <v>245</v>
      </c>
      <c r="O2009" t="s">
        <v>51</v>
      </c>
      <c r="P2009" s="1">
        <v>45466</v>
      </c>
      <c r="Q2009">
        <v>2221</v>
      </c>
      <c r="R2009">
        <v>1287</v>
      </c>
      <c r="S2009" t="s">
        <v>23</v>
      </c>
      <c r="T2009">
        <v>2</v>
      </c>
      <c r="U2009" t="s">
        <v>5123</v>
      </c>
      <c r="V2009" t="s">
        <v>24</v>
      </c>
      <c r="W2009" t="s">
        <v>23</v>
      </c>
    </row>
    <row r="2010" spans="1:23" x14ac:dyDescent="0.3">
      <c r="A2010" t="s">
        <v>4141</v>
      </c>
      <c r="B2010" t="s">
        <v>85</v>
      </c>
      <c r="C2010" t="s">
        <v>27</v>
      </c>
      <c r="D2010" t="s">
        <v>147</v>
      </c>
      <c r="E2010" t="s">
        <v>133</v>
      </c>
      <c r="F2010" t="s">
        <v>134</v>
      </c>
      <c r="G2010" t="s">
        <v>18</v>
      </c>
      <c r="H2010" t="s">
        <v>66</v>
      </c>
      <c r="I2010" t="str">
        <f>LEFT(H2010,FIND(" (",H2010)-1)</f>
        <v>Senior</v>
      </c>
      <c r="J2010" t="str">
        <f>MID(H2010,FIND("(",H2010)+1,FIND(")",H2010)-FIND("(",H2010)-1)</f>
        <v>5-8 yrs</v>
      </c>
      <c r="L2010">
        <v>167799</v>
      </c>
      <c r="M2010" t="s">
        <v>4142</v>
      </c>
      <c r="N2010" t="s">
        <v>33</v>
      </c>
      <c r="O2010" t="s">
        <v>44</v>
      </c>
      <c r="P2010" s="1">
        <v>45294</v>
      </c>
      <c r="Q2010">
        <v>846</v>
      </c>
      <c r="R2010">
        <v>2183</v>
      </c>
      <c r="S2010" t="s">
        <v>23</v>
      </c>
      <c r="T2010">
        <v>4</v>
      </c>
      <c r="U2010" t="s">
        <v>83</v>
      </c>
      <c r="V2010" t="s">
        <v>24</v>
      </c>
      <c r="W2010" t="s">
        <v>23</v>
      </c>
    </row>
    <row r="2011" spans="1:23" x14ac:dyDescent="0.3">
      <c r="A2011" t="s">
        <v>4143</v>
      </c>
      <c r="B2011" t="s">
        <v>137</v>
      </c>
      <c r="C2011" t="s">
        <v>54</v>
      </c>
      <c r="D2011" t="s">
        <v>15</v>
      </c>
      <c r="E2011" t="s">
        <v>5140</v>
      </c>
      <c r="F2011" t="s">
        <v>5133</v>
      </c>
      <c r="G2011" t="s">
        <v>55</v>
      </c>
      <c r="H2011" t="s">
        <v>31</v>
      </c>
      <c r="I2011" t="str">
        <f>LEFT(H2011,FIND(" (",H2011)-1)</f>
        <v>Staff/Principal</v>
      </c>
      <c r="J2011" t="str">
        <f>MID(H2011,FIND("(",H2011)+1,FIND(")",H2011)-FIND("(",H2011)-1)</f>
        <v>8+ yrs</v>
      </c>
      <c r="L2011">
        <v>233752</v>
      </c>
      <c r="M2011" t="s">
        <v>4144</v>
      </c>
      <c r="N2011" t="s">
        <v>33</v>
      </c>
      <c r="O2011" t="s">
        <v>79</v>
      </c>
      <c r="P2011" s="1">
        <v>45506</v>
      </c>
      <c r="Q2011">
        <v>1637</v>
      </c>
      <c r="R2011">
        <v>3472</v>
      </c>
      <c r="S2011" t="s">
        <v>34</v>
      </c>
      <c r="T2011">
        <v>6</v>
      </c>
      <c r="U2011" t="s">
        <v>52</v>
      </c>
      <c r="V2011" t="s">
        <v>24</v>
      </c>
      <c r="W2011" t="s">
        <v>34</v>
      </c>
    </row>
    <row r="2012" spans="1:23" x14ac:dyDescent="0.3">
      <c r="A2012" t="s">
        <v>4145</v>
      </c>
      <c r="B2012" t="s">
        <v>81</v>
      </c>
      <c r="C2012" t="s">
        <v>128</v>
      </c>
      <c r="D2012" t="s">
        <v>28</v>
      </c>
      <c r="E2012" t="s">
        <v>5134</v>
      </c>
      <c r="F2012" t="s">
        <v>5133</v>
      </c>
      <c r="G2012" t="s">
        <v>18</v>
      </c>
      <c r="H2012" t="s">
        <v>56</v>
      </c>
      <c r="I2012" t="str">
        <f>LEFT(H2012,FIND(" (",H2012)-1)</f>
        <v>Mid</v>
      </c>
      <c r="J2012" t="str">
        <f>MID(H2012,FIND("(",H2012)+1,FIND(")",H2012)-FIND("(",H2012)-1)</f>
        <v>2-5 yrs</v>
      </c>
      <c r="L2012">
        <v>78170</v>
      </c>
      <c r="M2012" t="s">
        <v>4146</v>
      </c>
      <c r="N2012" t="s">
        <v>68</v>
      </c>
      <c r="O2012" t="s">
        <v>51</v>
      </c>
      <c r="P2012" s="1">
        <v>45362</v>
      </c>
      <c r="Q2012">
        <v>1501</v>
      </c>
      <c r="R2012">
        <v>259</v>
      </c>
      <c r="S2012" t="s">
        <v>23</v>
      </c>
      <c r="T2012">
        <v>2</v>
      </c>
      <c r="U2012" t="s">
        <v>83</v>
      </c>
      <c r="V2012" t="s">
        <v>24</v>
      </c>
      <c r="W2012" t="s">
        <v>34</v>
      </c>
    </row>
    <row r="2013" spans="1:23" x14ac:dyDescent="0.3">
      <c r="A2013" t="s">
        <v>4147</v>
      </c>
      <c r="B2013" t="s">
        <v>225</v>
      </c>
      <c r="C2013" t="s">
        <v>27</v>
      </c>
      <c r="D2013" t="s">
        <v>15</v>
      </c>
      <c r="E2013" t="s">
        <v>5132</v>
      </c>
      <c r="F2013" t="s">
        <v>5133</v>
      </c>
      <c r="G2013" t="s">
        <v>18</v>
      </c>
      <c r="H2013" t="s">
        <v>56</v>
      </c>
      <c r="I2013" t="str">
        <f>LEFT(H2013,FIND(" (",H2013)-1)</f>
        <v>Mid</v>
      </c>
      <c r="J2013" t="str">
        <f>MID(H2013,FIND("(",H2013)+1,FIND(")",H2013)-FIND("(",H2013)-1)</f>
        <v>2-5 yrs</v>
      </c>
      <c r="L2013">
        <v>94898</v>
      </c>
      <c r="M2013" t="s">
        <v>4148</v>
      </c>
      <c r="N2013" t="s">
        <v>33</v>
      </c>
      <c r="O2013" t="s">
        <v>44</v>
      </c>
      <c r="P2013" s="1">
        <v>45433</v>
      </c>
      <c r="Q2013">
        <v>2009</v>
      </c>
      <c r="R2013">
        <v>3783</v>
      </c>
      <c r="S2013" t="s">
        <v>23</v>
      </c>
      <c r="T2013">
        <v>2</v>
      </c>
      <c r="U2013" t="s">
        <v>45</v>
      </c>
      <c r="V2013" t="s">
        <v>59</v>
      </c>
      <c r="W2013" t="s">
        <v>34</v>
      </c>
    </row>
    <row r="2014" spans="1:23" x14ac:dyDescent="0.3">
      <c r="A2014" t="s">
        <v>4149</v>
      </c>
      <c r="B2014" t="s">
        <v>91</v>
      </c>
      <c r="C2014" t="s">
        <v>116</v>
      </c>
      <c r="D2014" t="s">
        <v>75</v>
      </c>
      <c r="E2014" t="s">
        <v>16</v>
      </c>
      <c r="F2014" t="s">
        <v>17</v>
      </c>
      <c r="G2014" t="s">
        <v>41</v>
      </c>
      <c r="H2014" t="s">
        <v>31</v>
      </c>
      <c r="I2014" t="str">
        <f>LEFT(H2014,FIND(" (",H2014)-1)</f>
        <v>Staff/Principal</v>
      </c>
      <c r="J2014" t="str">
        <f>MID(H2014,FIND("(",H2014)+1,FIND(")",H2014)-FIND("(",H2014)-1)</f>
        <v>8+ yrs</v>
      </c>
      <c r="L2014">
        <v>172310</v>
      </c>
      <c r="M2014" t="s">
        <v>4150</v>
      </c>
      <c r="N2014" t="s">
        <v>43</v>
      </c>
      <c r="O2014" t="s">
        <v>44</v>
      </c>
      <c r="P2014" s="1">
        <v>45675</v>
      </c>
      <c r="Q2014">
        <v>2017</v>
      </c>
      <c r="R2014">
        <v>1885</v>
      </c>
      <c r="S2014" t="s">
        <v>23</v>
      </c>
      <c r="T2014">
        <v>6</v>
      </c>
      <c r="U2014" t="s">
        <v>5123</v>
      </c>
      <c r="V2014" t="s">
        <v>24</v>
      </c>
      <c r="W2014" t="s">
        <v>23</v>
      </c>
    </row>
    <row r="2015" spans="1:23" x14ac:dyDescent="0.3">
      <c r="A2015" t="s">
        <v>4151</v>
      </c>
      <c r="B2015" t="s">
        <v>236</v>
      </c>
      <c r="C2015" t="s">
        <v>14</v>
      </c>
      <c r="D2015" t="s">
        <v>174</v>
      </c>
      <c r="E2015" t="s">
        <v>102</v>
      </c>
      <c r="F2015" t="s">
        <v>103</v>
      </c>
      <c r="G2015" t="s">
        <v>55</v>
      </c>
      <c r="H2015" t="s">
        <v>56</v>
      </c>
      <c r="I2015" t="str">
        <f>LEFT(H2015,FIND(" (",H2015)-1)</f>
        <v>Mid</v>
      </c>
      <c r="J2015" t="str">
        <f>MID(H2015,FIND("(",H2015)+1,FIND(")",H2015)-FIND("(",H2015)-1)</f>
        <v>2-5 yrs</v>
      </c>
      <c r="L2015">
        <v>91389</v>
      </c>
      <c r="M2015" t="s">
        <v>4152</v>
      </c>
      <c r="N2015" t="s">
        <v>33</v>
      </c>
      <c r="O2015" t="s">
        <v>44</v>
      </c>
      <c r="P2015" s="1">
        <v>45593</v>
      </c>
      <c r="Q2015">
        <v>1156</v>
      </c>
      <c r="R2015">
        <v>3231</v>
      </c>
      <c r="S2015" t="s">
        <v>23</v>
      </c>
      <c r="T2015">
        <v>2</v>
      </c>
      <c r="U2015" t="s">
        <v>58</v>
      </c>
      <c r="V2015" t="s">
        <v>24</v>
      </c>
      <c r="W2015" t="s">
        <v>23</v>
      </c>
    </row>
    <row r="2016" spans="1:23" x14ac:dyDescent="0.3">
      <c r="A2016" t="s">
        <v>4153</v>
      </c>
      <c r="B2016" t="s">
        <v>143</v>
      </c>
      <c r="C2016" t="s">
        <v>27</v>
      </c>
      <c r="D2016" t="s">
        <v>111</v>
      </c>
      <c r="E2016" t="s">
        <v>64</v>
      </c>
      <c r="F2016" t="s">
        <v>65</v>
      </c>
      <c r="G2016" t="s">
        <v>18</v>
      </c>
      <c r="H2016" t="s">
        <v>19</v>
      </c>
      <c r="I2016" t="str">
        <f>LEFT(H2016,FIND(" (",H2016)-1)</f>
        <v>Entry</v>
      </c>
      <c r="J2016" t="str">
        <f>MID(H2016,FIND("(",H2016)+1,FIND(")",H2016)-FIND("(",H2016)-1)</f>
        <v>0-2 yrs</v>
      </c>
      <c r="L2016">
        <v>80451</v>
      </c>
      <c r="M2016" t="s">
        <v>4154</v>
      </c>
      <c r="N2016" t="s">
        <v>149</v>
      </c>
      <c r="O2016" t="s">
        <v>44</v>
      </c>
      <c r="P2016" s="1">
        <v>45406</v>
      </c>
      <c r="Q2016">
        <v>827</v>
      </c>
      <c r="R2016">
        <v>1168</v>
      </c>
      <c r="S2016" t="s">
        <v>34</v>
      </c>
      <c r="T2016">
        <v>0</v>
      </c>
      <c r="U2016" t="s">
        <v>83</v>
      </c>
      <c r="V2016" t="s">
        <v>59</v>
      </c>
      <c r="W2016" t="s">
        <v>23</v>
      </c>
    </row>
    <row r="2017" spans="1:23" x14ac:dyDescent="0.3">
      <c r="A2017" t="s">
        <v>4155</v>
      </c>
      <c r="B2017" t="s">
        <v>236</v>
      </c>
      <c r="C2017" t="s">
        <v>27</v>
      </c>
      <c r="D2017" t="s">
        <v>125</v>
      </c>
      <c r="E2017" t="s">
        <v>133</v>
      </c>
      <c r="F2017" t="s">
        <v>134</v>
      </c>
      <c r="G2017" t="s">
        <v>18</v>
      </c>
      <c r="H2017" t="s">
        <v>56</v>
      </c>
      <c r="I2017" t="str">
        <f>LEFT(H2017,FIND(" (",H2017)-1)</f>
        <v>Mid</v>
      </c>
      <c r="J2017" t="str">
        <f>MID(H2017,FIND("(",H2017)+1,FIND(")",H2017)-FIND("(",H2017)-1)</f>
        <v>2-5 yrs</v>
      </c>
      <c r="L2017">
        <v>106162</v>
      </c>
      <c r="M2017" t="s">
        <v>4156</v>
      </c>
      <c r="N2017" t="s">
        <v>245</v>
      </c>
      <c r="O2017" t="s">
        <v>51</v>
      </c>
      <c r="P2017" s="1">
        <v>45654</v>
      </c>
      <c r="Q2017">
        <v>2008</v>
      </c>
      <c r="R2017">
        <v>298</v>
      </c>
      <c r="S2017" t="s">
        <v>23</v>
      </c>
      <c r="T2017">
        <v>2</v>
      </c>
      <c r="U2017" t="s">
        <v>58</v>
      </c>
      <c r="V2017" t="s">
        <v>59</v>
      </c>
      <c r="W2017" t="s">
        <v>34</v>
      </c>
    </row>
    <row r="2018" spans="1:23" x14ac:dyDescent="0.3">
      <c r="A2018" t="s">
        <v>4157</v>
      </c>
      <c r="B2018" t="s">
        <v>229</v>
      </c>
      <c r="C2018" t="s">
        <v>195</v>
      </c>
      <c r="D2018" t="s">
        <v>63</v>
      </c>
      <c r="E2018" t="s">
        <v>64</v>
      </c>
      <c r="F2018" t="s">
        <v>65</v>
      </c>
      <c r="G2018" t="s">
        <v>18</v>
      </c>
      <c r="H2018" t="s">
        <v>66</v>
      </c>
      <c r="I2018" t="str">
        <f>LEFT(H2018,FIND(" (",H2018)-1)</f>
        <v>Senior</v>
      </c>
      <c r="J2018" t="str">
        <f>MID(H2018,FIND("(",H2018)+1,FIND(")",H2018)-FIND("(",H2018)-1)</f>
        <v>5-8 yrs</v>
      </c>
      <c r="L2018">
        <v>142858</v>
      </c>
      <c r="M2018" t="s">
        <v>4158</v>
      </c>
      <c r="N2018" t="s">
        <v>94</v>
      </c>
      <c r="O2018" t="s">
        <v>51</v>
      </c>
      <c r="P2018" s="1">
        <v>45696</v>
      </c>
      <c r="Q2018">
        <v>1073</v>
      </c>
      <c r="R2018">
        <v>1848</v>
      </c>
      <c r="S2018" t="s">
        <v>34</v>
      </c>
      <c r="T2018">
        <v>4</v>
      </c>
      <c r="U2018" t="s">
        <v>52</v>
      </c>
      <c r="V2018" t="s">
        <v>24</v>
      </c>
      <c r="W2018" t="s">
        <v>23</v>
      </c>
    </row>
    <row r="2019" spans="1:23" x14ac:dyDescent="0.3">
      <c r="A2019" t="s">
        <v>4159</v>
      </c>
      <c r="B2019" t="s">
        <v>85</v>
      </c>
      <c r="C2019" t="s">
        <v>132</v>
      </c>
      <c r="D2019" t="s">
        <v>38</v>
      </c>
      <c r="E2019" t="s">
        <v>87</v>
      </c>
      <c r="F2019" t="s">
        <v>87</v>
      </c>
      <c r="G2019" t="s">
        <v>41</v>
      </c>
      <c r="H2019" t="s">
        <v>56</v>
      </c>
      <c r="I2019" t="str">
        <f>LEFT(H2019,FIND(" (",H2019)-1)</f>
        <v>Mid</v>
      </c>
      <c r="J2019" t="str">
        <f>MID(H2019,FIND("(",H2019)+1,FIND(")",H2019)-FIND("(",H2019)-1)</f>
        <v>2-5 yrs</v>
      </c>
      <c r="L2019">
        <v>70323</v>
      </c>
      <c r="M2019" t="s">
        <v>4160</v>
      </c>
      <c r="N2019" t="s">
        <v>141</v>
      </c>
      <c r="O2019" t="s">
        <v>22</v>
      </c>
      <c r="P2019" s="1">
        <v>45313</v>
      </c>
      <c r="Q2019">
        <v>1247</v>
      </c>
      <c r="R2019">
        <v>260</v>
      </c>
      <c r="S2019" t="s">
        <v>23</v>
      </c>
      <c r="T2019">
        <v>2</v>
      </c>
      <c r="U2019" t="s">
        <v>45</v>
      </c>
      <c r="V2019" t="s">
        <v>24</v>
      </c>
      <c r="W2019" t="s">
        <v>34</v>
      </c>
    </row>
    <row r="2020" spans="1:23" x14ac:dyDescent="0.3">
      <c r="A2020" t="s">
        <v>4161</v>
      </c>
      <c r="B2020" t="s">
        <v>81</v>
      </c>
      <c r="C2020" t="s">
        <v>110</v>
      </c>
      <c r="D2020" t="s">
        <v>38</v>
      </c>
      <c r="E2020" t="s">
        <v>5139</v>
      </c>
      <c r="F2020" t="s">
        <v>5133</v>
      </c>
      <c r="G2020" t="s">
        <v>41</v>
      </c>
      <c r="H2020" t="s">
        <v>56</v>
      </c>
      <c r="I2020" t="str">
        <f>LEFT(H2020,FIND(" (",H2020)-1)</f>
        <v>Mid</v>
      </c>
      <c r="J2020" t="str">
        <f>MID(H2020,FIND("(",H2020)+1,FIND(")",H2020)-FIND("(",H2020)-1)</f>
        <v>2-5 yrs</v>
      </c>
      <c r="L2020">
        <v>122581</v>
      </c>
      <c r="M2020" t="s">
        <v>4162</v>
      </c>
      <c r="N2020" t="s">
        <v>245</v>
      </c>
      <c r="O2020" t="s">
        <v>51</v>
      </c>
      <c r="P2020" s="1">
        <v>45734</v>
      </c>
      <c r="Q2020">
        <v>497</v>
      </c>
      <c r="R2020">
        <v>3004</v>
      </c>
      <c r="S2020" t="s">
        <v>34</v>
      </c>
      <c r="T2020">
        <v>2</v>
      </c>
      <c r="U2020" t="s">
        <v>5123</v>
      </c>
      <c r="V2020" t="s">
        <v>24</v>
      </c>
      <c r="W2020" t="s">
        <v>34</v>
      </c>
    </row>
    <row r="2021" spans="1:23" x14ac:dyDescent="0.3">
      <c r="A2021" t="s">
        <v>4163</v>
      </c>
      <c r="B2021" t="s">
        <v>329</v>
      </c>
      <c r="C2021" t="s">
        <v>226</v>
      </c>
      <c r="D2021" t="s">
        <v>28</v>
      </c>
      <c r="E2021" t="s">
        <v>5139</v>
      </c>
      <c r="F2021" t="s">
        <v>5133</v>
      </c>
      <c r="G2021" t="s">
        <v>41</v>
      </c>
      <c r="H2021" t="s">
        <v>31</v>
      </c>
      <c r="I2021" t="str">
        <f>LEFT(H2021,FIND(" (",H2021)-1)</f>
        <v>Staff/Principal</v>
      </c>
      <c r="J2021" t="str">
        <f>MID(H2021,FIND("(",H2021)+1,FIND(")",H2021)-FIND("(",H2021)-1)</f>
        <v>8+ yrs</v>
      </c>
      <c r="L2021">
        <v>155386</v>
      </c>
      <c r="M2021" t="s">
        <v>4164</v>
      </c>
      <c r="N2021" t="s">
        <v>43</v>
      </c>
      <c r="O2021" t="s">
        <v>51</v>
      </c>
      <c r="P2021" s="1">
        <v>45526</v>
      </c>
      <c r="Q2021">
        <v>538</v>
      </c>
      <c r="R2021">
        <v>862</v>
      </c>
      <c r="S2021" t="s">
        <v>23</v>
      </c>
      <c r="T2021">
        <v>6</v>
      </c>
      <c r="U2021" t="s">
        <v>83</v>
      </c>
      <c r="V2021" t="s">
        <v>24</v>
      </c>
      <c r="W2021" t="s">
        <v>34</v>
      </c>
    </row>
    <row r="2022" spans="1:23" x14ac:dyDescent="0.3">
      <c r="A2022" t="s">
        <v>4165</v>
      </c>
      <c r="B2022" t="s">
        <v>36</v>
      </c>
      <c r="C2022" t="s">
        <v>204</v>
      </c>
      <c r="D2022" t="s">
        <v>111</v>
      </c>
      <c r="E2022" t="s">
        <v>5141</v>
      </c>
      <c r="F2022" t="s">
        <v>5133</v>
      </c>
      <c r="G2022" t="s">
        <v>41</v>
      </c>
      <c r="H2022" t="s">
        <v>56</v>
      </c>
      <c r="I2022" t="str">
        <f>LEFT(H2022,FIND(" (",H2022)-1)</f>
        <v>Mid</v>
      </c>
      <c r="J2022" t="str">
        <f>MID(H2022,FIND("(",H2022)+1,FIND(")",H2022)-FIND("(",H2022)-1)</f>
        <v>2-5 yrs</v>
      </c>
      <c r="L2022">
        <v>111186</v>
      </c>
      <c r="M2022" t="s">
        <v>4166</v>
      </c>
      <c r="N2022" t="s">
        <v>21</v>
      </c>
      <c r="O2022" t="s">
        <v>51</v>
      </c>
      <c r="P2022" s="1">
        <v>45661</v>
      </c>
      <c r="Q2022">
        <v>1141</v>
      </c>
      <c r="R2022">
        <v>972</v>
      </c>
      <c r="S2022" t="s">
        <v>23</v>
      </c>
      <c r="T2022">
        <v>2</v>
      </c>
      <c r="U2022" t="s">
        <v>83</v>
      </c>
      <c r="V2022" t="s">
        <v>24</v>
      </c>
      <c r="W2022" t="s">
        <v>23</v>
      </c>
    </row>
    <row r="2023" spans="1:23" x14ac:dyDescent="0.3">
      <c r="A2023" t="s">
        <v>4167</v>
      </c>
      <c r="B2023" t="s">
        <v>106</v>
      </c>
      <c r="C2023" t="s">
        <v>110</v>
      </c>
      <c r="D2023" t="s">
        <v>28</v>
      </c>
      <c r="E2023" t="s">
        <v>87</v>
      </c>
      <c r="F2023" t="s">
        <v>87</v>
      </c>
      <c r="G2023" t="s">
        <v>41</v>
      </c>
      <c r="H2023" t="s">
        <v>56</v>
      </c>
      <c r="I2023" t="str">
        <f>LEFT(H2023,FIND(" (",H2023)-1)</f>
        <v>Mid</v>
      </c>
      <c r="J2023" t="str">
        <f>MID(H2023,FIND("(",H2023)+1,FIND(")",H2023)-FIND("(",H2023)-1)</f>
        <v>2-5 yrs</v>
      </c>
      <c r="L2023">
        <v>115492</v>
      </c>
      <c r="M2023" t="s">
        <v>4168</v>
      </c>
      <c r="N2023" t="s">
        <v>33</v>
      </c>
      <c r="O2023" t="s">
        <v>79</v>
      </c>
      <c r="P2023" s="1">
        <v>45741</v>
      </c>
      <c r="Q2023">
        <v>2430</v>
      </c>
      <c r="R2023">
        <v>1299</v>
      </c>
      <c r="S2023" t="s">
        <v>23</v>
      </c>
      <c r="T2023">
        <v>2</v>
      </c>
      <c r="U2023" t="s">
        <v>5123</v>
      </c>
      <c r="V2023" t="s">
        <v>24</v>
      </c>
      <c r="W2023" t="s">
        <v>34</v>
      </c>
    </row>
    <row r="2024" spans="1:23" x14ac:dyDescent="0.3">
      <c r="A2024" t="s">
        <v>4169</v>
      </c>
      <c r="B2024" t="s">
        <v>36</v>
      </c>
      <c r="C2024" t="s">
        <v>107</v>
      </c>
      <c r="D2024" t="s">
        <v>28</v>
      </c>
      <c r="E2024" t="s">
        <v>5139</v>
      </c>
      <c r="F2024" t="s">
        <v>5133</v>
      </c>
      <c r="G2024" t="s">
        <v>18</v>
      </c>
      <c r="H2024" t="s">
        <v>19</v>
      </c>
      <c r="I2024" t="str">
        <f>LEFT(H2024,FIND(" (",H2024)-1)</f>
        <v>Entry</v>
      </c>
      <c r="J2024" t="str">
        <f>MID(H2024,FIND("(",H2024)+1,FIND(")",H2024)-FIND("(",H2024)-1)</f>
        <v>0-2 yrs</v>
      </c>
      <c r="L2024">
        <v>87144</v>
      </c>
      <c r="M2024" t="s">
        <v>4170</v>
      </c>
      <c r="N2024" t="s">
        <v>149</v>
      </c>
      <c r="O2024" t="s">
        <v>51</v>
      </c>
      <c r="P2024" s="1">
        <v>45699</v>
      </c>
      <c r="Q2024">
        <v>2376</v>
      </c>
      <c r="R2024">
        <v>1965</v>
      </c>
      <c r="S2024" t="s">
        <v>23</v>
      </c>
      <c r="T2024">
        <v>0</v>
      </c>
      <c r="U2024" t="s">
        <v>5123</v>
      </c>
      <c r="V2024" t="s">
        <v>46</v>
      </c>
      <c r="W2024" t="s">
        <v>23</v>
      </c>
    </row>
    <row r="2025" spans="1:23" x14ac:dyDescent="0.3">
      <c r="A2025" t="s">
        <v>4171</v>
      </c>
      <c r="B2025" t="s">
        <v>329</v>
      </c>
      <c r="C2025" t="s">
        <v>37</v>
      </c>
      <c r="D2025" t="s">
        <v>63</v>
      </c>
      <c r="E2025" t="s">
        <v>133</v>
      </c>
      <c r="F2025" t="s">
        <v>134</v>
      </c>
      <c r="G2025" t="s">
        <v>55</v>
      </c>
      <c r="H2025" t="s">
        <v>66</v>
      </c>
      <c r="I2025" t="str">
        <f>LEFT(H2025,FIND(" (",H2025)-1)</f>
        <v>Senior</v>
      </c>
      <c r="J2025" t="str">
        <f>MID(H2025,FIND("(",H2025)+1,FIND(")",H2025)-FIND("(",H2025)-1)</f>
        <v>5-8 yrs</v>
      </c>
      <c r="L2025">
        <v>114661</v>
      </c>
      <c r="M2025" t="s">
        <v>4172</v>
      </c>
      <c r="N2025" t="s">
        <v>33</v>
      </c>
      <c r="O2025" t="s">
        <v>22</v>
      </c>
      <c r="P2025" s="1">
        <v>45668</v>
      </c>
      <c r="Q2025">
        <v>1013</v>
      </c>
      <c r="R2025">
        <v>2398</v>
      </c>
      <c r="S2025" t="s">
        <v>23</v>
      </c>
      <c r="T2025">
        <v>4</v>
      </c>
      <c r="U2025" t="s">
        <v>58</v>
      </c>
      <c r="V2025" t="s">
        <v>24</v>
      </c>
      <c r="W2025" t="s">
        <v>23</v>
      </c>
    </row>
    <row r="2026" spans="1:23" x14ac:dyDescent="0.3">
      <c r="A2026" t="s">
        <v>4173</v>
      </c>
      <c r="B2026" t="s">
        <v>222</v>
      </c>
      <c r="C2026" t="s">
        <v>146</v>
      </c>
      <c r="D2026" t="s">
        <v>63</v>
      </c>
      <c r="E2026" t="s">
        <v>102</v>
      </c>
      <c r="F2026" t="s">
        <v>103</v>
      </c>
      <c r="G2026" t="s">
        <v>41</v>
      </c>
      <c r="H2026" t="s">
        <v>66</v>
      </c>
      <c r="I2026" t="str">
        <f>LEFT(H2026,FIND(" (",H2026)-1)</f>
        <v>Senior</v>
      </c>
      <c r="J2026" t="str">
        <f>MID(H2026,FIND("(",H2026)+1,FIND(")",H2026)-FIND("(",H2026)-1)</f>
        <v>5-8 yrs</v>
      </c>
      <c r="L2026">
        <v>68473</v>
      </c>
      <c r="M2026" t="s">
        <v>4174</v>
      </c>
      <c r="N2026" t="s">
        <v>245</v>
      </c>
      <c r="O2026" t="s">
        <v>44</v>
      </c>
      <c r="P2026" s="1">
        <v>45372</v>
      </c>
      <c r="Q2026">
        <v>958</v>
      </c>
      <c r="R2026">
        <v>1542</v>
      </c>
      <c r="S2026" t="s">
        <v>23</v>
      </c>
      <c r="T2026">
        <v>4</v>
      </c>
      <c r="U2026" t="s">
        <v>83</v>
      </c>
      <c r="V2026" t="s">
        <v>24</v>
      </c>
      <c r="W2026" t="s">
        <v>23</v>
      </c>
    </row>
    <row r="2027" spans="1:23" x14ac:dyDescent="0.3">
      <c r="A2027" t="s">
        <v>4175</v>
      </c>
      <c r="B2027" t="s">
        <v>26</v>
      </c>
      <c r="C2027" t="s">
        <v>195</v>
      </c>
      <c r="D2027" t="s">
        <v>111</v>
      </c>
      <c r="E2027" t="s">
        <v>200</v>
      </c>
      <c r="F2027" t="s">
        <v>201</v>
      </c>
      <c r="G2027" t="s">
        <v>41</v>
      </c>
      <c r="H2027" t="s">
        <v>19</v>
      </c>
      <c r="I2027" t="str">
        <f>LEFT(H2027,FIND(" (",H2027)-1)</f>
        <v>Entry</v>
      </c>
      <c r="J2027" t="str">
        <f>MID(H2027,FIND("(",H2027)+1,FIND(")",H2027)-FIND("(",H2027)-1)</f>
        <v>0-2 yrs</v>
      </c>
      <c r="L2027">
        <v>72316</v>
      </c>
      <c r="M2027" t="s">
        <v>4176</v>
      </c>
      <c r="N2027" t="s">
        <v>33</v>
      </c>
      <c r="O2027" t="s">
        <v>22</v>
      </c>
      <c r="P2027" s="1">
        <v>45715</v>
      </c>
      <c r="Q2027">
        <v>1431</v>
      </c>
      <c r="R2027">
        <v>1294</v>
      </c>
      <c r="S2027" t="s">
        <v>23</v>
      </c>
      <c r="T2027">
        <v>0</v>
      </c>
      <c r="U2027" t="s">
        <v>58</v>
      </c>
      <c r="V2027" t="s">
        <v>24</v>
      </c>
      <c r="W2027" t="s">
        <v>34</v>
      </c>
    </row>
    <row r="2028" spans="1:23" x14ac:dyDescent="0.3">
      <c r="A2028" t="s">
        <v>4177</v>
      </c>
      <c r="B2028" t="s">
        <v>81</v>
      </c>
      <c r="C2028" t="s">
        <v>167</v>
      </c>
      <c r="D2028" t="s">
        <v>28</v>
      </c>
      <c r="E2028" t="s">
        <v>16</v>
      </c>
      <c r="F2028" t="s">
        <v>17</v>
      </c>
      <c r="G2028" t="s">
        <v>41</v>
      </c>
      <c r="H2028" t="s">
        <v>31</v>
      </c>
      <c r="I2028" t="str">
        <f>LEFT(H2028,FIND(" (",H2028)-1)</f>
        <v>Staff/Principal</v>
      </c>
      <c r="J2028" t="str">
        <f>MID(H2028,FIND("(",H2028)+1,FIND(")",H2028)-FIND("(",H2028)-1)</f>
        <v>8+ yrs</v>
      </c>
      <c r="L2028">
        <v>264818</v>
      </c>
      <c r="M2028" t="s">
        <v>4178</v>
      </c>
      <c r="N2028" t="s">
        <v>43</v>
      </c>
      <c r="O2028" t="s">
        <v>44</v>
      </c>
      <c r="P2028" s="1">
        <v>45365</v>
      </c>
      <c r="Q2028">
        <v>2455</v>
      </c>
      <c r="R2028">
        <v>1548</v>
      </c>
      <c r="S2028" t="s">
        <v>23</v>
      </c>
      <c r="T2028">
        <v>6</v>
      </c>
      <c r="U2028" t="s">
        <v>45</v>
      </c>
      <c r="V2028" t="s">
        <v>24</v>
      </c>
      <c r="W2028" t="s">
        <v>23</v>
      </c>
    </row>
    <row r="2029" spans="1:23" x14ac:dyDescent="0.3">
      <c r="A2029" t="s">
        <v>4179</v>
      </c>
      <c r="B2029" t="s">
        <v>151</v>
      </c>
      <c r="C2029" t="s">
        <v>179</v>
      </c>
      <c r="D2029" t="s">
        <v>147</v>
      </c>
      <c r="E2029" t="s">
        <v>76</v>
      </c>
      <c r="F2029" t="s">
        <v>77</v>
      </c>
      <c r="G2029" t="s">
        <v>41</v>
      </c>
      <c r="H2029" t="s">
        <v>19</v>
      </c>
      <c r="I2029" t="str">
        <f>LEFT(H2029,FIND(" (",H2029)-1)</f>
        <v>Entry</v>
      </c>
      <c r="J2029" t="str">
        <f>MID(H2029,FIND("(",H2029)+1,FIND(")",H2029)-FIND("(",H2029)-1)</f>
        <v>0-2 yrs</v>
      </c>
      <c r="L2029">
        <v>85610</v>
      </c>
      <c r="M2029" t="s">
        <v>4180</v>
      </c>
      <c r="N2029" t="s">
        <v>33</v>
      </c>
      <c r="O2029" t="s">
        <v>51</v>
      </c>
      <c r="P2029" s="1">
        <v>45682</v>
      </c>
      <c r="Q2029">
        <v>478</v>
      </c>
      <c r="R2029">
        <v>3076</v>
      </c>
      <c r="S2029" t="s">
        <v>99</v>
      </c>
      <c r="T2029">
        <v>0</v>
      </c>
      <c r="U2029" t="s">
        <v>52</v>
      </c>
      <c r="V2029" t="s">
        <v>24</v>
      </c>
      <c r="W2029" t="s">
        <v>34</v>
      </c>
    </row>
    <row r="2030" spans="1:23" x14ac:dyDescent="0.3">
      <c r="A2030" t="s">
        <v>4181</v>
      </c>
      <c r="B2030" t="s">
        <v>236</v>
      </c>
      <c r="C2030" t="s">
        <v>146</v>
      </c>
      <c r="D2030" t="s">
        <v>63</v>
      </c>
      <c r="E2030" t="s">
        <v>64</v>
      </c>
      <c r="F2030" t="s">
        <v>65</v>
      </c>
      <c r="G2030" t="s">
        <v>55</v>
      </c>
      <c r="H2030" t="s">
        <v>19</v>
      </c>
      <c r="I2030" t="str">
        <f>LEFT(H2030,FIND(" (",H2030)-1)</f>
        <v>Entry</v>
      </c>
      <c r="J2030" t="str">
        <f>MID(H2030,FIND("(",H2030)+1,FIND(")",H2030)-FIND("(",H2030)-1)</f>
        <v>0-2 yrs</v>
      </c>
      <c r="L2030">
        <v>72641</v>
      </c>
      <c r="M2030" t="s">
        <v>2897</v>
      </c>
      <c r="N2030" t="s">
        <v>149</v>
      </c>
      <c r="O2030" t="s">
        <v>79</v>
      </c>
      <c r="P2030" s="1">
        <v>45649</v>
      </c>
      <c r="Q2030">
        <v>432</v>
      </c>
      <c r="R2030">
        <v>3404</v>
      </c>
      <c r="S2030" t="s">
        <v>23</v>
      </c>
      <c r="T2030">
        <v>0</v>
      </c>
      <c r="U2030" t="s">
        <v>52</v>
      </c>
      <c r="V2030" t="s">
        <v>24</v>
      </c>
      <c r="W2030" t="s">
        <v>23</v>
      </c>
    </row>
    <row r="2031" spans="1:23" x14ac:dyDescent="0.3">
      <c r="A2031" t="s">
        <v>4182</v>
      </c>
      <c r="B2031" t="s">
        <v>229</v>
      </c>
      <c r="C2031" t="s">
        <v>54</v>
      </c>
      <c r="D2031" t="s">
        <v>28</v>
      </c>
      <c r="E2031" t="s">
        <v>5137</v>
      </c>
      <c r="F2031" t="s">
        <v>5138</v>
      </c>
      <c r="G2031" t="s">
        <v>18</v>
      </c>
      <c r="H2031" t="s">
        <v>56</v>
      </c>
      <c r="I2031" t="str">
        <f>LEFT(H2031,FIND(" (",H2031)-1)</f>
        <v>Mid</v>
      </c>
      <c r="J2031" t="str">
        <f>MID(H2031,FIND("(",H2031)+1,FIND(")",H2031)-FIND("(",H2031)-1)</f>
        <v>2-5 yrs</v>
      </c>
      <c r="L2031">
        <v>100265</v>
      </c>
      <c r="M2031" t="s">
        <v>4183</v>
      </c>
      <c r="N2031" t="s">
        <v>149</v>
      </c>
      <c r="O2031" t="s">
        <v>51</v>
      </c>
      <c r="P2031" s="1">
        <v>45405</v>
      </c>
      <c r="Q2031">
        <v>1625</v>
      </c>
      <c r="R2031">
        <v>3463</v>
      </c>
      <c r="S2031" t="s">
        <v>34</v>
      </c>
      <c r="T2031">
        <v>2</v>
      </c>
      <c r="U2031" t="s">
        <v>45</v>
      </c>
      <c r="V2031" t="s">
        <v>24</v>
      </c>
      <c r="W2031" t="s">
        <v>34</v>
      </c>
    </row>
    <row r="2032" spans="1:23" x14ac:dyDescent="0.3">
      <c r="A2032" t="s">
        <v>4184</v>
      </c>
      <c r="B2032" t="s">
        <v>131</v>
      </c>
      <c r="C2032" t="s">
        <v>14</v>
      </c>
      <c r="D2032" t="s">
        <v>147</v>
      </c>
      <c r="E2032" t="s">
        <v>64</v>
      </c>
      <c r="F2032" t="s">
        <v>65</v>
      </c>
      <c r="G2032" t="s">
        <v>41</v>
      </c>
      <c r="H2032" t="s">
        <v>56</v>
      </c>
      <c r="I2032" t="str">
        <f>LEFT(H2032,FIND(" (",H2032)-1)</f>
        <v>Mid</v>
      </c>
      <c r="J2032" t="str">
        <f>MID(H2032,FIND("(",H2032)+1,FIND(")",H2032)-FIND("(",H2032)-1)</f>
        <v>2-5 yrs</v>
      </c>
      <c r="L2032">
        <v>125981</v>
      </c>
      <c r="M2032" t="s">
        <v>4185</v>
      </c>
      <c r="N2032" t="s">
        <v>33</v>
      </c>
      <c r="O2032" t="s">
        <v>51</v>
      </c>
      <c r="P2032" s="1">
        <v>45678</v>
      </c>
      <c r="Q2032">
        <v>2381</v>
      </c>
      <c r="R2032">
        <v>297</v>
      </c>
      <c r="S2032" t="s">
        <v>23</v>
      </c>
      <c r="T2032">
        <v>2</v>
      </c>
      <c r="U2032" t="s">
        <v>58</v>
      </c>
      <c r="V2032" t="s">
        <v>24</v>
      </c>
      <c r="W2032" t="s">
        <v>34</v>
      </c>
    </row>
    <row r="2033" spans="1:23" x14ac:dyDescent="0.3">
      <c r="A2033" t="s">
        <v>4186</v>
      </c>
      <c r="B2033" t="s">
        <v>329</v>
      </c>
      <c r="C2033" t="s">
        <v>97</v>
      </c>
      <c r="D2033" t="s">
        <v>15</v>
      </c>
      <c r="E2033" t="s">
        <v>5136</v>
      </c>
      <c r="F2033" t="s">
        <v>5133</v>
      </c>
      <c r="G2033" t="s">
        <v>55</v>
      </c>
      <c r="H2033" t="s">
        <v>31</v>
      </c>
      <c r="I2033" t="str">
        <f>LEFT(H2033,FIND(" (",H2033)-1)</f>
        <v>Staff/Principal</v>
      </c>
      <c r="J2033" t="str">
        <f>MID(H2033,FIND("(",H2033)+1,FIND(")",H2033)-FIND("(",H2033)-1)</f>
        <v>8+ yrs</v>
      </c>
      <c r="L2033">
        <v>164952</v>
      </c>
      <c r="M2033" t="s">
        <v>4187</v>
      </c>
      <c r="N2033" t="s">
        <v>141</v>
      </c>
      <c r="O2033" t="s">
        <v>51</v>
      </c>
      <c r="P2033" s="1">
        <v>45504</v>
      </c>
      <c r="Q2033">
        <v>1817</v>
      </c>
      <c r="R2033">
        <v>1294</v>
      </c>
      <c r="S2033" t="s">
        <v>34</v>
      </c>
      <c r="T2033">
        <v>6</v>
      </c>
      <c r="U2033" t="s">
        <v>58</v>
      </c>
      <c r="V2033" t="s">
        <v>24</v>
      </c>
      <c r="W2033" t="s">
        <v>23</v>
      </c>
    </row>
    <row r="2034" spans="1:23" x14ac:dyDescent="0.3">
      <c r="A2034" t="s">
        <v>4188</v>
      </c>
      <c r="B2034" t="s">
        <v>91</v>
      </c>
      <c r="C2034" t="s">
        <v>54</v>
      </c>
      <c r="D2034" t="s">
        <v>111</v>
      </c>
      <c r="E2034" t="s">
        <v>200</v>
      </c>
      <c r="F2034" t="s">
        <v>201</v>
      </c>
      <c r="G2034" t="s">
        <v>18</v>
      </c>
      <c r="H2034" t="s">
        <v>56</v>
      </c>
      <c r="I2034" t="str">
        <f>LEFT(H2034,FIND(" (",H2034)-1)</f>
        <v>Mid</v>
      </c>
      <c r="J2034" t="str">
        <f>MID(H2034,FIND("(",H2034)+1,FIND(")",H2034)-FIND("(",H2034)-1)</f>
        <v>2-5 yrs</v>
      </c>
      <c r="L2034">
        <v>119431</v>
      </c>
      <c r="M2034" t="s">
        <v>4189</v>
      </c>
      <c r="N2034" t="s">
        <v>43</v>
      </c>
      <c r="O2034" t="s">
        <v>51</v>
      </c>
      <c r="P2034" s="1">
        <v>45388</v>
      </c>
      <c r="Q2034">
        <v>826</v>
      </c>
      <c r="R2034">
        <v>343</v>
      </c>
      <c r="S2034" t="s">
        <v>99</v>
      </c>
      <c r="T2034">
        <v>2</v>
      </c>
      <c r="U2034" t="s">
        <v>58</v>
      </c>
      <c r="V2034" t="s">
        <v>59</v>
      </c>
      <c r="W2034" t="s">
        <v>23</v>
      </c>
    </row>
    <row r="2035" spans="1:23" x14ac:dyDescent="0.3">
      <c r="A2035" t="s">
        <v>4190</v>
      </c>
      <c r="B2035" t="s">
        <v>81</v>
      </c>
      <c r="C2035" t="s">
        <v>110</v>
      </c>
      <c r="D2035" t="s">
        <v>111</v>
      </c>
      <c r="E2035" t="s">
        <v>200</v>
      </c>
      <c r="F2035" t="s">
        <v>201</v>
      </c>
      <c r="G2035" t="s">
        <v>41</v>
      </c>
      <c r="H2035" t="s">
        <v>31</v>
      </c>
      <c r="I2035" t="str">
        <f>LEFT(H2035,FIND(" (",H2035)-1)</f>
        <v>Staff/Principal</v>
      </c>
      <c r="J2035" t="str">
        <f>MID(H2035,FIND("(",H2035)+1,FIND(")",H2035)-FIND("(",H2035)-1)</f>
        <v>8+ yrs</v>
      </c>
      <c r="L2035">
        <v>218196</v>
      </c>
      <c r="M2035" t="s">
        <v>4191</v>
      </c>
      <c r="N2035" t="s">
        <v>33</v>
      </c>
      <c r="O2035" t="s">
        <v>51</v>
      </c>
      <c r="P2035" s="1">
        <v>45447</v>
      </c>
      <c r="Q2035">
        <v>1219</v>
      </c>
      <c r="R2035">
        <v>249</v>
      </c>
      <c r="S2035" t="s">
        <v>23</v>
      </c>
      <c r="T2035">
        <v>6</v>
      </c>
      <c r="U2035" t="s">
        <v>58</v>
      </c>
      <c r="V2035" t="s">
        <v>24</v>
      </c>
      <c r="W2035" t="s">
        <v>34</v>
      </c>
    </row>
    <row r="2036" spans="1:23" x14ac:dyDescent="0.3">
      <c r="A2036" t="s">
        <v>4192</v>
      </c>
      <c r="B2036" t="s">
        <v>106</v>
      </c>
      <c r="C2036" t="s">
        <v>14</v>
      </c>
      <c r="D2036" t="s">
        <v>28</v>
      </c>
      <c r="E2036" t="s">
        <v>200</v>
      </c>
      <c r="F2036" t="s">
        <v>201</v>
      </c>
      <c r="G2036" t="s">
        <v>55</v>
      </c>
      <c r="H2036" t="s">
        <v>31</v>
      </c>
      <c r="I2036" t="str">
        <f>LEFT(H2036,FIND(" (",H2036)-1)</f>
        <v>Staff/Principal</v>
      </c>
      <c r="J2036" t="str">
        <f>MID(H2036,FIND("(",H2036)+1,FIND(")",H2036)-FIND("(",H2036)-1)</f>
        <v>8+ yrs</v>
      </c>
      <c r="L2036">
        <v>238167</v>
      </c>
      <c r="M2036" t="s">
        <v>4193</v>
      </c>
      <c r="N2036" t="s">
        <v>33</v>
      </c>
      <c r="O2036" t="s">
        <v>22</v>
      </c>
      <c r="P2036" s="1">
        <v>45385</v>
      </c>
      <c r="Q2036">
        <v>317</v>
      </c>
      <c r="R2036">
        <v>3865</v>
      </c>
      <c r="S2036" t="s">
        <v>34</v>
      </c>
      <c r="T2036">
        <v>6</v>
      </c>
      <c r="U2036" t="s">
        <v>58</v>
      </c>
      <c r="V2036" t="s">
        <v>24</v>
      </c>
      <c r="W2036" t="s">
        <v>23</v>
      </c>
    </row>
    <row r="2037" spans="1:23" x14ac:dyDescent="0.3">
      <c r="A2037" t="s">
        <v>4194</v>
      </c>
      <c r="B2037" t="s">
        <v>151</v>
      </c>
      <c r="C2037" t="s">
        <v>97</v>
      </c>
      <c r="D2037" t="s">
        <v>15</v>
      </c>
      <c r="E2037" t="s">
        <v>159</v>
      </c>
      <c r="F2037" t="s">
        <v>160</v>
      </c>
      <c r="G2037" t="s">
        <v>18</v>
      </c>
      <c r="H2037" t="s">
        <v>19</v>
      </c>
      <c r="I2037" t="str">
        <f>LEFT(H2037,FIND(" (",H2037)-1)</f>
        <v>Entry</v>
      </c>
      <c r="J2037" t="str">
        <f>MID(H2037,FIND("(",H2037)+1,FIND(")",H2037)-FIND("(",H2037)-1)</f>
        <v>0-2 yrs</v>
      </c>
      <c r="L2037">
        <v>104771</v>
      </c>
      <c r="M2037" t="s">
        <v>4195</v>
      </c>
      <c r="N2037" t="s">
        <v>33</v>
      </c>
      <c r="O2037" t="s">
        <v>44</v>
      </c>
      <c r="P2037" s="1">
        <v>45347</v>
      </c>
      <c r="Q2037">
        <v>1786</v>
      </c>
      <c r="R2037">
        <v>2743</v>
      </c>
      <c r="S2037" t="s">
        <v>23</v>
      </c>
      <c r="T2037">
        <v>0</v>
      </c>
      <c r="U2037" t="s">
        <v>58</v>
      </c>
      <c r="V2037" t="s">
        <v>24</v>
      </c>
      <c r="W2037" t="s">
        <v>23</v>
      </c>
    </row>
    <row r="2038" spans="1:23" x14ac:dyDescent="0.3">
      <c r="A2038" t="s">
        <v>4196</v>
      </c>
      <c r="B2038" t="s">
        <v>222</v>
      </c>
      <c r="C2038" t="s">
        <v>195</v>
      </c>
      <c r="D2038" t="s">
        <v>28</v>
      </c>
      <c r="E2038" t="s">
        <v>5140</v>
      </c>
      <c r="F2038" t="s">
        <v>5133</v>
      </c>
      <c r="G2038" t="s">
        <v>18</v>
      </c>
      <c r="H2038" t="s">
        <v>56</v>
      </c>
      <c r="I2038" t="str">
        <f>LEFT(H2038,FIND(" (",H2038)-1)</f>
        <v>Mid</v>
      </c>
      <c r="J2038" t="str">
        <f>MID(H2038,FIND("(",H2038)+1,FIND(")",H2038)-FIND("(",H2038)-1)</f>
        <v>2-5 yrs</v>
      </c>
      <c r="L2038">
        <v>117769</v>
      </c>
      <c r="M2038" t="s">
        <v>4197</v>
      </c>
      <c r="N2038" t="s">
        <v>141</v>
      </c>
      <c r="O2038" t="s">
        <v>22</v>
      </c>
      <c r="P2038" s="1">
        <v>45470</v>
      </c>
      <c r="Q2038">
        <v>2433</v>
      </c>
      <c r="R2038">
        <v>1277</v>
      </c>
      <c r="S2038" t="s">
        <v>23</v>
      </c>
      <c r="T2038">
        <v>2</v>
      </c>
      <c r="U2038" t="s">
        <v>5123</v>
      </c>
      <c r="V2038" t="s">
        <v>59</v>
      </c>
      <c r="W2038" t="s">
        <v>23</v>
      </c>
    </row>
    <row r="2039" spans="1:23" x14ac:dyDescent="0.3">
      <c r="A2039" t="s">
        <v>4198</v>
      </c>
      <c r="B2039" t="s">
        <v>229</v>
      </c>
      <c r="C2039" t="s">
        <v>179</v>
      </c>
      <c r="D2039" t="s">
        <v>147</v>
      </c>
      <c r="E2039" t="s">
        <v>102</v>
      </c>
      <c r="F2039" t="s">
        <v>103</v>
      </c>
      <c r="G2039" t="s">
        <v>41</v>
      </c>
      <c r="H2039" t="s">
        <v>56</v>
      </c>
      <c r="I2039" t="str">
        <f>LEFT(H2039,FIND(" (",H2039)-1)</f>
        <v>Mid</v>
      </c>
      <c r="J2039" t="str">
        <f>MID(H2039,FIND("(",H2039)+1,FIND(")",H2039)-FIND("(",H2039)-1)</f>
        <v>2-5 yrs</v>
      </c>
      <c r="L2039">
        <v>99922</v>
      </c>
      <c r="M2039" t="s">
        <v>4199</v>
      </c>
      <c r="N2039" t="s">
        <v>89</v>
      </c>
      <c r="O2039" t="s">
        <v>22</v>
      </c>
      <c r="P2039" s="1">
        <v>45301</v>
      </c>
      <c r="Q2039">
        <v>1630</v>
      </c>
      <c r="R2039">
        <v>531</v>
      </c>
      <c r="S2039" t="s">
        <v>23</v>
      </c>
      <c r="T2039">
        <v>2</v>
      </c>
      <c r="U2039" t="s">
        <v>52</v>
      </c>
      <c r="V2039" t="s">
        <v>59</v>
      </c>
      <c r="W2039" t="s">
        <v>23</v>
      </c>
    </row>
    <row r="2040" spans="1:23" x14ac:dyDescent="0.3">
      <c r="A2040" t="s">
        <v>4200</v>
      </c>
      <c r="B2040" t="s">
        <v>70</v>
      </c>
      <c r="C2040" t="s">
        <v>128</v>
      </c>
      <c r="D2040" t="s">
        <v>111</v>
      </c>
      <c r="E2040" t="s">
        <v>133</v>
      </c>
      <c r="F2040" t="s">
        <v>134</v>
      </c>
      <c r="G2040" t="s">
        <v>41</v>
      </c>
      <c r="H2040" t="s">
        <v>19</v>
      </c>
      <c r="I2040" t="str">
        <f>LEFT(H2040,FIND(" (",H2040)-1)</f>
        <v>Entry</v>
      </c>
      <c r="J2040" t="str">
        <f>MID(H2040,FIND("(",H2040)+1,FIND(")",H2040)-FIND("(",H2040)-1)</f>
        <v>0-2 yrs</v>
      </c>
      <c r="L2040">
        <v>69677</v>
      </c>
      <c r="M2040" t="s">
        <v>4201</v>
      </c>
      <c r="N2040" t="s">
        <v>141</v>
      </c>
      <c r="O2040" t="s">
        <v>51</v>
      </c>
      <c r="P2040" s="1">
        <v>45677</v>
      </c>
      <c r="Q2040">
        <v>1991</v>
      </c>
      <c r="R2040">
        <v>3969</v>
      </c>
      <c r="S2040" t="s">
        <v>34</v>
      </c>
      <c r="T2040">
        <v>0</v>
      </c>
      <c r="U2040" t="s">
        <v>5123</v>
      </c>
      <c r="V2040" t="s">
        <v>24</v>
      </c>
      <c r="W2040" t="s">
        <v>34</v>
      </c>
    </row>
    <row r="2041" spans="1:23" x14ac:dyDescent="0.3">
      <c r="A2041" t="s">
        <v>4202</v>
      </c>
      <c r="B2041" t="s">
        <v>70</v>
      </c>
      <c r="C2041" t="s">
        <v>54</v>
      </c>
      <c r="D2041" t="s">
        <v>147</v>
      </c>
      <c r="E2041" t="s">
        <v>5137</v>
      </c>
      <c r="F2041" t="s">
        <v>5138</v>
      </c>
      <c r="G2041" t="s">
        <v>41</v>
      </c>
      <c r="H2041" t="s">
        <v>19</v>
      </c>
      <c r="I2041" t="str">
        <f>LEFT(H2041,FIND(" (",H2041)-1)</f>
        <v>Entry</v>
      </c>
      <c r="J2041" t="str">
        <f>MID(H2041,FIND("(",H2041)+1,FIND(")",H2041)-FIND("(",H2041)-1)</f>
        <v>0-2 yrs</v>
      </c>
      <c r="L2041">
        <v>50000</v>
      </c>
      <c r="M2041" t="s">
        <v>4203</v>
      </c>
      <c r="N2041" t="s">
        <v>141</v>
      </c>
      <c r="O2041" t="s">
        <v>22</v>
      </c>
      <c r="P2041" s="1">
        <v>45375</v>
      </c>
      <c r="Q2041">
        <v>1544</v>
      </c>
      <c r="R2041">
        <v>1976</v>
      </c>
      <c r="S2041" t="s">
        <v>34</v>
      </c>
      <c r="T2041">
        <v>0</v>
      </c>
      <c r="U2041" t="s">
        <v>5123</v>
      </c>
      <c r="V2041" t="s">
        <v>24</v>
      </c>
      <c r="W2041" t="s">
        <v>34</v>
      </c>
    </row>
    <row r="2042" spans="1:23" x14ac:dyDescent="0.3">
      <c r="A2042" t="s">
        <v>4204</v>
      </c>
      <c r="B2042" t="s">
        <v>236</v>
      </c>
      <c r="C2042" t="s">
        <v>116</v>
      </c>
      <c r="D2042" t="s">
        <v>38</v>
      </c>
      <c r="E2042" t="s">
        <v>5132</v>
      </c>
      <c r="F2042" t="s">
        <v>5133</v>
      </c>
      <c r="G2042" t="s">
        <v>18</v>
      </c>
      <c r="H2042" t="s">
        <v>66</v>
      </c>
      <c r="I2042" t="str">
        <f>LEFT(H2042,FIND(" (",H2042)-1)</f>
        <v>Senior</v>
      </c>
      <c r="J2042" t="str">
        <f>MID(H2042,FIND("(",H2042)+1,FIND(")",H2042)-FIND("(",H2042)-1)</f>
        <v>5-8 yrs</v>
      </c>
      <c r="L2042">
        <v>131242</v>
      </c>
      <c r="M2042" t="s">
        <v>4205</v>
      </c>
      <c r="N2042" t="s">
        <v>186</v>
      </c>
      <c r="O2042" t="s">
        <v>51</v>
      </c>
      <c r="P2042" s="1">
        <v>45394</v>
      </c>
      <c r="Q2042">
        <v>1195</v>
      </c>
      <c r="R2042">
        <v>1423</v>
      </c>
      <c r="S2042" t="s">
        <v>23</v>
      </c>
      <c r="T2042">
        <v>4</v>
      </c>
      <c r="U2042" t="s">
        <v>52</v>
      </c>
      <c r="V2042" t="s">
        <v>24</v>
      </c>
      <c r="W2042" t="s">
        <v>34</v>
      </c>
    </row>
    <row r="2043" spans="1:23" x14ac:dyDescent="0.3">
      <c r="A2043" t="s">
        <v>4206</v>
      </c>
      <c r="B2043" t="s">
        <v>106</v>
      </c>
      <c r="C2043" t="s">
        <v>116</v>
      </c>
      <c r="D2043" t="s">
        <v>38</v>
      </c>
      <c r="E2043" t="s">
        <v>16</v>
      </c>
      <c r="F2043" t="s">
        <v>17</v>
      </c>
      <c r="G2043" t="s">
        <v>41</v>
      </c>
      <c r="H2043" t="s">
        <v>56</v>
      </c>
      <c r="I2043" t="str">
        <f>LEFT(H2043,FIND(" (",H2043)-1)</f>
        <v>Mid</v>
      </c>
      <c r="J2043" t="str">
        <f>MID(H2043,FIND("(",H2043)+1,FIND(")",H2043)-FIND("(",H2043)-1)</f>
        <v>2-5 yrs</v>
      </c>
      <c r="L2043">
        <v>101896</v>
      </c>
      <c r="M2043" t="s">
        <v>4207</v>
      </c>
      <c r="N2043" t="s">
        <v>186</v>
      </c>
      <c r="O2043" t="s">
        <v>22</v>
      </c>
      <c r="P2043" s="1">
        <v>45356</v>
      </c>
      <c r="Q2043">
        <v>1949</v>
      </c>
      <c r="R2043">
        <v>2063</v>
      </c>
      <c r="S2043" t="s">
        <v>23</v>
      </c>
      <c r="T2043">
        <v>2</v>
      </c>
      <c r="U2043" t="s">
        <v>5123</v>
      </c>
      <c r="V2043" t="s">
        <v>24</v>
      </c>
      <c r="W2043" t="s">
        <v>34</v>
      </c>
    </row>
    <row r="2044" spans="1:23" x14ac:dyDescent="0.3">
      <c r="A2044" t="s">
        <v>4208</v>
      </c>
      <c r="B2044" t="s">
        <v>137</v>
      </c>
      <c r="C2044" t="s">
        <v>62</v>
      </c>
      <c r="D2044" t="s">
        <v>38</v>
      </c>
      <c r="E2044" t="s">
        <v>64</v>
      </c>
      <c r="F2044" t="s">
        <v>65</v>
      </c>
      <c r="G2044" t="s">
        <v>18</v>
      </c>
      <c r="H2044" t="s">
        <v>66</v>
      </c>
      <c r="I2044" t="str">
        <f>LEFT(H2044,FIND(" (",H2044)-1)</f>
        <v>Senior</v>
      </c>
      <c r="J2044" t="str">
        <f>MID(H2044,FIND("(",H2044)+1,FIND(")",H2044)-FIND("(",H2044)-1)</f>
        <v>5-8 yrs</v>
      </c>
      <c r="L2044">
        <v>135849</v>
      </c>
      <c r="M2044" t="s">
        <v>4209</v>
      </c>
      <c r="N2044" t="s">
        <v>21</v>
      </c>
      <c r="O2044" t="s">
        <v>51</v>
      </c>
      <c r="P2044" s="1">
        <v>45729</v>
      </c>
      <c r="Q2044">
        <v>993</v>
      </c>
      <c r="R2044">
        <v>3734</v>
      </c>
      <c r="S2044" t="s">
        <v>34</v>
      </c>
      <c r="T2044">
        <v>4</v>
      </c>
      <c r="U2044" t="s">
        <v>5123</v>
      </c>
      <c r="V2044" t="s">
        <v>24</v>
      </c>
      <c r="W2044" t="s">
        <v>34</v>
      </c>
    </row>
    <row r="2045" spans="1:23" x14ac:dyDescent="0.3">
      <c r="A2045" t="s">
        <v>4210</v>
      </c>
      <c r="B2045" t="s">
        <v>172</v>
      </c>
      <c r="C2045" t="s">
        <v>146</v>
      </c>
      <c r="D2045" t="s">
        <v>147</v>
      </c>
      <c r="E2045" t="s">
        <v>159</v>
      </c>
      <c r="F2045" t="s">
        <v>160</v>
      </c>
      <c r="G2045" t="s">
        <v>18</v>
      </c>
      <c r="H2045" t="s">
        <v>31</v>
      </c>
      <c r="I2045" t="str">
        <f>LEFT(H2045,FIND(" (",H2045)-1)</f>
        <v>Staff/Principal</v>
      </c>
      <c r="J2045" t="str">
        <f>MID(H2045,FIND("(",H2045)+1,FIND(")",H2045)-FIND("(",H2045)-1)</f>
        <v>8+ yrs</v>
      </c>
      <c r="L2045">
        <v>205484</v>
      </c>
      <c r="M2045" t="s">
        <v>4211</v>
      </c>
      <c r="N2045" t="s">
        <v>43</v>
      </c>
      <c r="O2045" t="s">
        <v>44</v>
      </c>
      <c r="P2045" s="1">
        <v>45586</v>
      </c>
      <c r="Q2045">
        <v>863</v>
      </c>
      <c r="R2045">
        <v>2091</v>
      </c>
      <c r="S2045" t="s">
        <v>99</v>
      </c>
      <c r="T2045">
        <v>6</v>
      </c>
      <c r="U2045" t="s">
        <v>52</v>
      </c>
      <c r="V2045" t="s">
        <v>46</v>
      </c>
      <c r="W2045" t="s">
        <v>23</v>
      </c>
    </row>
    <row r="2046" spans="1:23" x14ac:dyDescent="0.3">
      <c r="A2046" t="s">
        <v>4212</v>
      </c>
      <c r="B2046" t="s">
        <v>137</v>
      </c>
      <c r="C2046" t="s">
        <v>209</v>
      </c>
      <c r="D2046" t="s">
        <v>111</v>
      </c>
      <c r="E2046" t="s">
        <v>200</v>
      </c>
      <c r="F2046" t="s">
        <v>201</v>
      </c>
      <c r="G2046" t="s">
        <v>41</v>
      </c>
      <c r="H2046" t="s">
        <v>19</v>
      </c>
      <c r="I2046" t="str">
        <f>LEFT(H2046,FIND(" (",H2046)-1)</f>
        <v>Entry</v>
      </c>
      <c r="J2046" t="str">
        <f>MID(H2046,FIND("(",H2046)+1,FIND(")",H2046)-FIND("(",H2046)-1)</f>
        <v>0-2 yrs</v>
      </c>
      <c r="L2046">
        <v>59637</v>
      </c>
      <c r="M2046" t="s">
        <v>4213</v>
      </c>
      <c r="N2046" t="s">
        <v>33</v>
      </c>
      <c r="O2046" t="s">
        <v>51</v>
      </c>
      <c r="P2046" s="1">
        <v>45628</v>
      </c>
      <c r="Q2046">
        <v>1379</v>
      </c>
      <c r="R2046">
        <v>2387</v>
      </c>
      <c r="S2046" t="s">
        <v>23</v>
      </c>
      <c r="T2046">
        <v>0</v>
      </c>
      <c r="U2046" t="s">
        <v>52</v>
      </c>
      <c r="V2046" t="s">
        <v>24</v>
      </c>
      <c r="W2046" t="s">
        <v>23</v>
      </c>
    </row>
    <row r="2047" spans="1:23" x14ac:dyDescent="0.3">
      <c r="A2047" t="s">
        <v>4214</v>
      </c>
      <c r="B2047" t="s">
        <v>36</v>
      </c>
      <c r="C2047" t="s">
        <v>27</v>
      </c>
      <c r="D2047" t="s">
        <v>174</v>
      </c>
      <c r="E2047" t="s">
        <v>39</v>
      </c>
      <c r="F2047" t="s">
        <v>40</v>
      </c>
      <c r="G2047" t="s">
        <v>41</v>
      </c>
      <c r="H2047" t="s">
        <v>66</v>
      </c>
      <c r="I2047" t="str">
        <f>LEFT(H2047,FIND(" (",H2047)-1)</f>
        <v>Senior</v>
      </c>
      <c r="J2047" t="str">
        <f>MID(H2047,FIND("(",H2047)+1,FIND(")",H2047)-FIND("(",H2047)-1)</f>
        <v>5-8 yrs</v>
      </c>
      <c r="L2047">
        <v>180267</v>
      </c>
      <c r="M2047" t="s">
        <v>4215</v>
      </c>
      <c r="N2047" t="s">
        <v>141</v>
      </c>
      <c r="O2047" t="s">
        <v>22</v>
      </c>
      <c r="P2047" s="1">
        <v>45706</v>
      </c>
      <c r="Q2047">
        <v>439</v>
      </c>
      <c r="R2047">
        <v>2906</v>
      </c>
      <c r="S2047" t="s">
        <v>99</v>
      </c>
      <c r="T2047">
        <v>4</v>
      </c>
      <c r="U2047" t="s">
        <v>5123</v>
      </c>
      <c r="V2047" t="s">
        <v>24</v>
      </c>
      <c r="W2047" t="s">
        <v>23</v>
      </c>
    </row>
    <row r="2048" spans="1:23" x14ac:dyDescent="0.3">
      <c r="A2048" t="s">
        <v>4216</v>
      </c>
      <c r="B2048" t="s">
        <v>137</v>
      </c>
      <c r="C2048" t="s">
        <v>54</v>
      </c>
      <c r="D2048" t="s">
        <v>15</v>
      </c>
      <c r="E2048" t="s">
        <v>76</v>
      </c>
      <c r="F2048" t="s">
        <v>77</v>
      </c>
      <c r="G2048" t="s">
        <v>18</v>
      </c>
      <c r="H2048" t="s">
        <v>31</v>
      </c>
      <c r="I2048" t="str">
        <f>LEFT(H2048,FIND(" (",H2048)-1)</f>
        <v>Staff/Principal</v>
      </c>
      <c r="J2048" t="str">
        <f>MID(H2048,FIND("(",H2048)+1,FIND(")",H2048)-FIND("(",H2048)-1)</f>
        <v>8+ yrs</v>
      </c>
      <c r="L2048">
        <v>200007</v>
      </c>
      <c r="M2048" t="s">
        <v>4217</v>
      </c>
      <c r="N2048" t="s">
        <v>33</v>
      </c>
      <c r="O2048" t="s">
        <v>79</v>
      </c>
      <c r="P2048" s="1">
        <v>45398</v>
      </c>
      <c r="Q2048">
        <v>1466</v>
      </c>
      <c r="R2048">
        <v>366</v>
      </c>
      <c r="S2048" t="s">
        <v>34</v>
      </c>
      <c r="T2048">
        <v>6</v>
      </c>
      <c r="U2048" t="s">
        <v>58</v>
      </c>
      <c r="V2048" t="s">
        <v>24</v>
      </c>
      <c r="W2048" t="s">
        <v>34</v>
      </c>
    </row>
    <row r="2049" spans="1:23" x14ac:dyDescent="0.3">
      <c r="A2049" t="s">
        <v>4218</v>
      </c>
      <c r="B2049" t="s">
        <v>26</v>
      </c>
      <c r="C2049" t="s">
        <v>239</v>
      </c>
      <c r="D2049" t="s">
        <v>38</v>
      </c>
      <c r="E2049" t="s">
        <v>29</v>
      </c>
      <c r="F2049" t="s">
        <v>30</v>
      </c>
      <c r="G2049" t="s">
        <v>18</v>
      </c>
      <c r="H2049" t="s">
        <v>66</v>
      </c>
      <c r="I2049" t="str">
        <f>LEFT(H2049,FIND(" (",H2049)-1)</f>
        <v>Senior</v>
      </c>
      <c r="J2049" t="str">
        <f>MID(H2049,FIND("(",H2049)+1,FIND(")",H2049)-FIND("(",H2049)-1)</f>
        <v>5-8 yrs</v>
      </c>
      <c r="L2049">
        <v>149748</v>
      </c>
      <c r="M2049" t="s">
        <v>4219</v>
      </c>
      <c r="N2049" t="s">
        <v>245</v>
      </c>
      <c r="O2049" t="s">
        <v>51</v>
      </c>
      <c r="P2049" s="1">
        <v>45653</v>
      </c>
      <c r="Q2049">
        <v>710</v>
      </c>
      <c r="R2049">
        <v>3874</v>
      </c>
      <c r="S2049" t="s">
        <v>34</v>
      </c>
      <c r="T2049">
        <v>4</v>
      </c>
      <c r="U2049" t="s">
        <v>5123</v>
      </c>
      <c r="V2049" t="s">
        <v>59</v>
      </c>
      <c r="W2049" t="s">
        <v>23</v>
      </c>
    </row>
    <row r="2050" spans="1:23" x14ac:dyDescent="0.3">
      <c r="A2050" t="s">
        <v>4220</v>
      </c>
      <c r="B2050" t="s">
        <v>329</v>
      </c>
      <c r="C2050" t="s">
        <v>62</v>
      </c>
      <c r="D2050" t="s">
        <v>38</v>
      </c>
      <c r="E2050" t="s">
        <v>159</v>
      </c>
      <c r="F2050" t="s">
        <v>160</v>
      </c>
      <c r="G2050" t="s">
        <v>18</v>
      </c>
      <c r="H2050" t="s">
        <v>31</v>
      </c>
      <c r="I2050" t="str">
        <f>LEFT(H2050,FIND(" (",H2050)-1)</f>
        <v>Staff/Principal</v>
      </c>
      <c r="J2050" t="str">
        <f>MID(H2050,FIND("(",H2050)+1,FIND(")",H2050)-FIND("(",H2050)-1)</f>
        <v>8+ yrs</v>
      </c>
      <c r="L2050">
        <v>188195</v>
      </c>
      <c r="M2050" t="s">
        <v>4221</v>
      </c>
      <c r="N2050" t="s">
        <v>120</v>
      </c>
      <c r="O2050" t="s">
        <v>79</v>
      </c>
      <c r="P2050" s="1">
        <v>45404</v>
      </c>
      <c r="Q2050">
        <v>1837</v>
      </c>
      <c r="R2050">
        <v>1491</v>
      </c>
      <c r="S2050" t="s">
        <v>23</v>
      </c>
      <c r="T2050">
        <v>6</v>
      </c>
      <c r="U2050" t="s">
        <v>5123</v>
      </c>
      <c r="V2050" t="s">
        <v>24</v>
      </c>
      <c r="W2050" t="s">
        <v>34</v>
      </c>
    </row>
    <row r="2051" spans="1:23" x14ac:dyDescent="0.3">
      <c r="A2051" t="s">
        <v>4222</v>
      </c>
      <c r="B2051" t="s">
        <v>151</v>
      </c>
      <c r="C2051" t="s">
        <v>27</v>
      </c>
      <c r="D2051" t="s">
        <v>28</v>
      </c>
      <c r="E2051" t="s">
        <v>5134</v>
      </c>
      <c r="F2051" t="s">
        <v>5133</v>
      </c>
      <c r="G2051" t="s">
        <v>41</v>
      </c>
      <c r="H2051" t="s">
        <v>66</v>
      </c>
      <c r="I2051" t="str">
        <f>LEFT(H2051,FIND(" (",H2051)-1)</f>
        <v>Senior</v>
      </c>
      <c r="J2051" t="str">
        <f>MID(H2051,FIND("(",H2051)+1,FIND(")",H2051)-FIND("(",H2051)-1)</f>
        <v>5-8 yrs</v>
      </c>
      <c r="L2051">
        <v>154190</v>
      </c>
      <c r="M2051" t="s">
        <v>4223</v>
      </c>
      <c r="N2051" t="s">
        <v>186</v>
      </c>
      <c r="O2051" t="s">
        <v>51</v>
      </c>
      <c r="P2051" s="1">
        <v>45458</v>
      </c>
      <c r="Q2051">
        <v>2145</v>
      </c>
      <c r="R2051">
        <v>834</v>
      </c>
      <c r="S2051" t="s">
        <v>23</v>
      </c>
      <c r="T2051">
        <v>4</v>
      </c>
      <c r="U2051" t="s">
        <v>5123</v>
      </c>
      <c r="V2051" t="s">
        <v>24</v>
      </c>
      <c r="W2051" t="s">
        <v>23</v>
      </c>
    </row>
    <row r="2052" spans="1:23" x14ac:dyDescent="0.3">
      <c r="A2052" t="s">
        <v>4224</v>
      </c>
      <c r="B2052" t="s">
        <v>151</v>
      </c>
      <c r="C2052" t="s">
        <v>14</v>
      </c>
      <c r="D2052" t="s">
        <v>75</v>
      </c>
      <c r="E2052" t="s">
        <v>16</v>
      </c>
      <c r="F2052" t="s">
        <v>17</v>
      </c>
      <c r="G2052" t="s">
        <v>55</v>
      </c>
      <c r="H2052" t="s">
        <v>66</v>
      </c>
      <c r="I2052" t="str">
        <f>LEFT(H2052,FIND(" (",H2052)-1)</f>
        <v>Senior</v>
      </c>
      <c r="J2052" t="str">
        <f>MID(H2052,FIND("(",H2052)+1,FIND(")",H2052)-FIND("(",H2052)-1)</f>
        <v>5-8 yrs</v>
      </c>
      <c r="L2052">
        <v>172277</v>
      </c>
      <c r="M2052" t="s">
        <v>4225</v>
      </c>
      <c r="N2052" t="s">
        <v>94</v>
      </c>
      <c r="O2052" t="s">
        <v>22</v>
      </c>
      <c r="P2052" s="1">
        <v>45573</v>
      </c>
      <c r="Q2052">
        <v>958</v>
      </c>
      <c r="R2052">
        <v>1363</v>
      </c>
      <c r="S2052" t="s">
        <v>34</v>
      </c>
      <c r="T2052">
        <v>4</v>
      </c>
      <c r="U2052" t="s">
        <v>5123</v>
      </c>
      <c r="V2052" t="s">
        <v>24</v>
      </c>
      <c r="W2052" t="s">
        <v>23</v>
      </c>
    </row>
    <row r="2053" spans="1:23" x14ac:dyDescent="0.3">
      <c r="A2053" t="s">
        <v>4226</v>
      </c>
      <c r="B2053" t="s">
        <v>222</v>
      </c>
      <c r="C2053" t="s">
        <v>179</v>
      </c>
      <c r="D2053" t="s">
        <v>15</v>
      </c>
      <c r="E2053" t="s">
        <v>5139</v>
      </c>
      <c r="F2053" t="s">
        <v>5133</v>
      </c>
      <c r="G2053" t="s">
        <v>18</v>
      </c>
      <c r="H2053" t="s">
        <v>31</v>
      </c>
      <c r="I2053" t="str">
        <f>LEFT(H2053,FIND(" (",H2053)-1)</f>
        <v>Staff/Principal</v>
      </c>
      <c r="J2053" t="str">
        <f>MID(H2053,FIND("(",H2053)+1,FIND(")",H2053)-FIND("(",H2053)-1)</f>
        <v>8+ yrs</v>
      </c>
      <c r="L2053">
        <v>168783</v>
      </c>
      <c r="M2053" t="s">
        <v>4227</v>
      </c>
      <c r="N2053" t="s">
        <v>186</v>
      </c>
      <c r="O2053" t="s">
        <v>44</v>
      </c>
      <c r="P2053" s="1">
        <v>45431</v>
      </c>
      <c r="Q2053">
        <v>1503</v>
      </c>
      <c r="R2053">
        <v>1591</v>
      </c>
      <c r="S2053" t="s">
        <v>34</v>
      </c>
      <c r="T2053">
        <v>6</v>
      </c>
      <c r="U2053" t="s">
        <v>45</v>
      </c>
      <c r="V2053" t="s">
        <v>24</v>
      </c>
      <c r="W2053" t="s">
        <v>23</v>
      </c>
    </row>
    <row r="2054" spans="1:23" x14ac:dyDescent="0.3">
      <c r="A2054" t="s">
        <v>4228</v>
      </c>
      <c r="B2054" t="s">
        <v>151</v>
      </c>
      <c r="C2054" t="s">
        <v>27</v>
      </c>
      <c r="D2054" t="s">
        <v>28</v>
      </c>
      <c r="E2054" t="s">
        <v>5140</v>
      </c>
      <c r="F2054" t="s">
        <v>5133</v>
      </c>
      <c r="G2054" t="s">
        <v>18</v>
      </c>
      <c r="H2054" t="s">
        <v>19</v>
      </c>
      <c r="I2054" t="str">
        <f>LEFT(H2054,FIND(" (",H2054)-1)</f>
        <v>Entry</v>
      </c>
      <c r="J2054" t="str">
        <f>MID(H2054,FIND("(",H2054)+1,FIND(")",H2054)-FIND("(",H2054)-1)</f>
        <v>0-2 yrs</v>
      </c>
      <c r="L2054">
        <v>61707</v>
      </c>
      <c r="M2054" t="s">
        <v>4229</v>
      </c>
      <c r="N2054" t="s">
        <v>94</v>
      </c>
      <c r="O2054" t="s">
        <v>51</v>
      </c>
      <c r="P2054" s="1">
        <v>45588</v>
      </c>
      <c r="Q2054">
        <v>1249</v>
      </c>
      <c r="R2054">
        <v>2593</v>
      </c>
      <c r="S2054" t="s">
        <v>23</v>
      </c>
      <c r="T2054">
        <v>0</v>
      </c>
      <c r="U2054" t="s">
        <v>58</v>
      </c>
      <c r="V2054" t="s">
        <v>24</v>
      </c>
      <c r="W2054" t="s">
        <v>23</v>
      </c>
    </row>
    <row r="2055" spans="1:23" x14ac:dyDescent="0.3">
      <c r="A2055" t="s">
        <v>4230</v>
      </c>
      <c r="B2055" t="s">
        <v>143</v>
      </c>
      <c r="C2055" t="s">
        <v>54</v>
      </c>
      <c r="D2055" t="s">
        <v>63</v>
      </c>
      <c r="E2055" t="s">
        <v>200</v>
      </c>
      <c r="F2055" t="s">
        <v>201</v>
      </c>
      <c r="G2055" t="s">
        <v>41</v>
      </c>
      <c r="H2055" t="s">
        <v>56</v>
      </c>
      <c r="I2055" t="str">
        <f>LEFT(H2055,FIND(" (",H2055)-1)</f>
        <v>Mid</v>
      </c>
      <c r="J2055" t="str">
        <f>MID(H2055,FIND("(",H2055)+1,FIND(")",H2055)-FIND("(",H2055)-1)</f>
        <v>2-5 yrs</v>
      </c>
      <c r="L2055">
        <v>103986</v>
      </c>
      <c r="M2055" t="s">
        <v>4231</v>
      </c>
      <c r="N2055" t="s">
        <v>21</v>
      </c>
      <c r="O2055" t="s">
        <v>22</v>
      </c>
      <c r="P2055" s="1">
        <v>45308</v>
      </c>
      <c r="Q2055">
        <v>1197</v>
      </c>
      <c r="R2055">
        <v>597</v>
      </c>
      <c r="S2055" t="s">
        <v>34</v>
      </c>
      <c r="T2055">
        <v>2</v>
      </c>
      <c r="U2055" t="s">
        <v>5123</v>
      </c>
      <c r="V2055" t="s">
        <v>24</v>
      </c>
      <c r="W2055" t="s">
        <v>34</v>
      </c>
    </row>
    <row r="2056" spans="1:23" x14ac:dyDescent="0.3">
      <c r="A2056" t="s">
        <v>4232</v>
      </c>
      <c r="B2056" t="s">
        <v>26</v>
      </c>
      <c r="C2056" t="s">
        <v>204</v>
      </c>
      <c r="D2056" t="s">
        <v>174</v>
      </c>
      <c r="E2056" t="s">
        <v>102</v>
      </c>
      <c r="F2056" t="s">
        <v>103</v>
      </c>
      <c r="G2056" t="s">
        <v>18</v>
      </c>
      <c r="H2056" t="s">
        <v>66</v>
      </c>
      <c r="I2056" t="str">
        <f>LEFT(H2056,FIND(" (",H2056)-1)</f>
        <v>Senior</v>
      </c>
      <c r="J2056" t="str">
        <f>MID(H2056,FIND("(",H2056)+1,FIND(")",H2056)-FIND("(",H2056)-1)</f>
        <v>5-8 yrs</v>
      </c>
      <c r="L2056">
        <v>113661</v>
      </c>
      <c r="M2056" t="s">
        <v>4233</v>
      </c>
      <c r="N2056" t="s">
        <v>33</v>
      </c>
      <c r="O2056" t="s">
        <v>51</v>
      </c>
      <c r="P2056" s="1">
        <v>45326</v>
      </c>
      <c r="Q2056">
        <v>358</v>
      </c>
      <c r="R2056">
        <v>2376</v>
      </c>
      <c r="S2056" t="s">
        <v>23</v>
      </c>
      <c r="T2056">
        <v>4</v>
      </c>
      <c r="U2056" t="s">
        <v>83</v>
      </c>
      <c r="V2056" t="s">
        <v>24</v>
      </c>
      <c r="W2056" t="s">
        <v>23</v>
      </c>
    </row>
    <row r="2057" spans="1:23" x14ac:dyDescent="0.3">
      <c r="A2057" t="s">
        <v>4234</v>
      </c>
      <c r="B2057" t="s">
        <v>236</v>
      </c>
      <c r="C2057" t="s">
        <v>48</v>
      </c>
      <c r="D2057" t="s">
        <v>147</v>
      </c>
      <c r="E2057" t="s">
        <v>216</v>
      </c>
      <c r="F2057" t="s">
        <v>217</v>
      </c>
      <c r="G2057" t="s">
        <v>41</v>
      </c>
      <c r="H2057" t="s">
        <v>31</v>
      </c>
      <c r="I2057" t="str">
        <f>LEFT(H2057,FIND(" (",H2057)-1)</f>
        <v>Staff/Principal</v>
      </c>
      <c r="J2057" t="str">
        <f>MID(H2057,FIND("(",H2057)+1,FIND(")",H2057)-FIND("(",H2057)-1)</f>
        <v>8+ yrs</v>
      </c>
      <c r="L2057">
        <v>170506</v>
      </c>
      <c r="M2057" t="s">
        <v>4235</v>
      </c>
      <c r="N2057" t="s">
        <v>89</v>
      </c>
      <c r="O2057" t="s">
        <v>79</v>
      </c>
      <c r="P2057" s="1">
        <v>45712</v>
      </c>
      <c r="Q2057">
        <v>1894</v>
      </c>
      <c r="R2057">
        <v>3502</v>
      </c>
      <c r="S2057" t="s">
        <v>23</v>
      </c>
      <c r="T2057">
        <v>6</v>
      </c>
      <c r="U2057" t="s">
        <v>58</v>
      </c>
      <c r="V2057" t="s">
        <v>59</v>
      </c>
      <c r="W2057" t="s">
        <v>23</v>
      </c>
    </row>
    <row r="2058" spans="1:23" x14ac:dyDescent="0.3">
      <c r="A2058" t="s">
        <v>4236</v>
      </c>
      <c r="B2058" t="s">
        <v>131</v>
      </c>
      <c r="C2058" t="s">
        <v>192</v>
      </c>
      <c r="D2058" t="s">
        <v>75</v>
      </c>
      <c r="E2058" t="s">
        <v>5136</v>
      </c>
      <c r="F2058" t="s">
        <v>5133</v>
      </c>
      <c r="G2058" t="s">
        <v>55</v>
      </c>
      <c r="H2058" t="s">
        <v>66</v>
      </c>
      <c r="I2058" t="str">
        <f>LEFT(H2058,FIND(" (",H2058)-1)</f>
        <v>Senior</v>
      </c>
      <c r="J2058" t="str">
        <f>MID(H2058,FIND("(",H2058)+1,FIND(")",H2058)-FIND("(",H2058)-1)</f>
        <v>5-8 yrs</v>
      </c>
      <c r="L2058">
        <v>137142</v>
      </c>
      <c r="M2058" t="s">
        <v>4237</v>
      </c>
      <c r="N2058" t="s">
        <v>33</v>
      </c>
      <c r="O2058" t="s">
        <v>22</v>
      </c>
      <c r="P2058" s="1">
        <v>45691</v>
      </c>
      <c r="Q2058">
        <v>2188</v>
      </c>
      <c r="R2058">
        <v>1184</v>
      </c>
      <c r="S2058" t="s">
        <v>23</v>
      </c>
      <c r="T2058">
        <v>4</v>
      </c>
      <c r="U2058" t="s">
        <v>52</v>
      </c>
      <c r="V2058" t="s">
        <v>24</v>
      </c>
      <c r="W2058" t="s">
        <v>34</v>
      </c>
    </row>
    <row r="2059" spans="1:23" x14ac:dyDescent="0.3">
      <c r="A2059" t="s">
        <v>4238</v>
      </c>
      <c r="B2059" t="s">
        <v>106</v>
      </c>
      <c r="C2059" t="s">
        <v>71</v>
      </c>
      <c r="D2059" t="s">
        <v>147</v>
      </c>
      <c r="E2059" t="s">
        <v>29</v>
      </c>
      <c r="F2059" t="s">
        <v>30</v>
      </c>
      <c r="G2059" t="s">
        <v>18</v>
      </c>
      <c r="H2059" t="s">
        <v>31</v>
      </c>
      <c r="I2059" t="str">
        <f>LEFT(H2059,FIND(" (",H2059)-1)</f>
        <v>Staff/Principal</v>
      </c>
      <c r="J2059" t="str">
        <f>MID(H2059,FIND("(",H2059)+1,FIND(")",H2059)-FIND("(",H2059)-1)</f>
        <v>8+ yrs</v>
      </c>
      <c r="L2059">
        <v>231478</v>
      </c>
      <c r="M2059" t="s">
        <v>4239</v>
      </c>
      <c r="N2059" t="s">
        <v>141</v>
      </c>
      <c r="O2059" t="s">
        <v>22</v>
      </c>
      <c r="P2059" s="1">
        <v>45679</v>
      </c>
      <c r="Q2059">
        <v>983</v>
      </c>
      <c r="R2059">
        <v>3604</v>
      </c>
      <c r="S2059" t="s">
        <v>34</v>
      </c>
      <c r="T2059">
        <v>6</v>
      </c>
      <c r="U2059" t="s">
        <v>5123</v>
      </c>
      <c r="V2059" t="s">
        <v>24</v>
      </c>
      <c r="W2059" t="s">
        <v>34</v>
      </c>
    </row>
    <row r="2060" spans="1:23" x14ac:dyDescent="0.3">
      <c r="A2060" t="s">
        <v>4240</v>
      </c>
      <c r="B2060" t="s">
        <v>70</v>
      </c>
      <c r="C2060" t="s">
        <v>27</v>
      </c>
      <c r="D2060" t="s">
        <v>63</v>
      </c>
      <c r="E2060" t="s">
        <v>5137</v>
      </c>
      <c r="F2060" t="s">
        <v>5138</v>
      </c>
      <c r="G2060" t="s">
        <v>18</v>
      </c>
      <c r="H2060" t="s">
        <v>66</v>
      </c>
      <c r="I2060" t="str">
        <f>LEFT(H2060,FIND(" (",H2060)-1)</f>
        <v>Senior</v>
      </c>
      <c r="J2060" t="str">
        <f>MID(H2060,FIND("(",H2060)+1,FIND(")",H2060)-FIND("(",H2060)-1)</f>
        <v>5-8 yrs</v>
      </c>
      <c r="L2060">
        <v>157089</v>
      </c>
      <c r="M2060" t="s">
        <v>4241</v>
      </c>
      <c r="N2060" t="s">
        <v>186</v>
      </c>
      <c r="O2060" t="s">
        <v>44</v>
      </c>
      <c r="P2060" s="1">
        <v>45714</v>
      </c>
      <c r="Q2060">
        <v>1962</v>
      </c>
      <c r="R2060">
        <v>3459</v>
      </c>
      <c r="S2060" t="s">
        <v>23</v>
      </c>
      <c r="T2060">
        <v>4</v>
      </c>
      <c r="U2060" t="s">
        <v>5123</v>
      </c>
      <c r="V2060" t="s">
        <v>24</v>
      </c>
      <c r="W2060" t="s">
        <v>23</v>
      </c>
    </row>
    <row r="2061" spans="1:23" x14ac:dyDescent="0.3">
      <c r="A2061" t="s">
        <v>4242</v>
      </c>
      <c r="B2061" t="s">
        <v>26</v>
      </c>
      <c r="C2061" t="s">
        <v>226</v>
      </c>
      <c r="D2061" t="s">
        <v>75</v>
      </c>
      <c r="E2061" t="s">
        <v>5135</v>
      </c>
      <c r="F2061" t="s">
        <v>5133</v>
      </c>
      <c r="G2061" t="s">
        <v>55</v>
      </c>
      <c r="H2061" t="s">
        <v>56</v>
      </c>
      <c r="I2061" t="str">
        <f>LEFT(H2061,FIND(" (",H2061)-1)</f>
        <v>Mid</v>
      </c>
      <c r="J2061" t="str">
        <f>MID(H2061,FIND("(",H2061)+1,FIND(")",H2061)-FIND("(",H2061)-1)</f>
        <v>2-5 yrs</v>
      </c>
      <c r="L2061">
        <v>113833</v>
      </c>
      <c r="M2061" t="s">
        <v>4243</v>
      </c>
      <c r="N2061" t="s">
        <v>186</v>
      </c>
      <c r="O2061" t="s">
        <v>51</v>
      </c>
      <c r="P2061" s="1">
        <v>45322</v>
      </c>
      <c r="Q2061">
        <v>1060</v>
      </c>
      <c r="R2061">
        <v>985</v>
      </c>
      <c r="S2061" t="s">
        <v>23</v>
      </c>
      <c r="T2061">
        <v>2</v>
      </c>
      <c r="U2061" t="s">
        <v>5123</v>
      </c>
      <c r="V2061" t="s">
        <v>24</v>
      </c>
      <c r="W2061" t="s">
        <v>34</v>
      </c>
    </row>
    <row r="2062" spans="1:23" x14ac:dyDescent="0.3">
      <c r="A2062" t="s">
        <v>4244</v>
      </c>
      <c r="B2062" t="s">
        <v>172</v>
      </c>
      <c r="C2062" t="s">
        <v>167</v>
      </c>
      <c r="D2062" t="s">
        <v>147</v>
      </c>
      <c r="E2062" t="s">
        <v>76</v>
      </c>
      <c r="F2062" t="s">
        <v>77</v>
      </c>
      <c r="G2062" t="s">
        <v>41</v>
      </c>
      <c r="H2062" t="s">
        <v>31</v>
      </c>
      <c r="I2062" t="str">
        <f>LEFT(H2062,FIND(" (",H2062)-1)</f>
        <v>Staff/Principal</v>
      </c>
      <c r="J2062" t="str">
        <f>MID(H2062,FIND("(",H2062)+1,FIND(")",H2062)-FIND("(",H2062)-1)</f>
        <v>8+ yrs</v>
      </c>
      <c r="L2062">
        <v>230632</v>
      </c>
      <c r="M2062" t="s">
        <v>4245</v>
      </c>
      <c r="N2062" t="s">
        <v>33</v>
      </c>
      <c r="O2062" t="s">
        <v>51</v>
      </c>
      <c r="P2062" s="1">
        <v>45596</v>
      </c>
      <c r="Q2062">
        <v>2206</v>
      </c>
      <c r="R2062">
        <v>272</v>
      </c>
      <c r="S2062" t="s">
        <v>34</v>
      </c>
      <c r="T2062">
        <v>6</v>
      </c>
      <c r="U2062" t="s">
        <v>58</v>
      </c>
      <c r="V2062" t="s">
        <v>24</v>
      </c>
      <c r="W2062" t="s">
        <v>23</v>
      </c>
    </row>
    <row r="2063" spans="1:23" x14ac:dyDescent="0.3">
      <c r="A2063" t="s">
        <v>4246</v>
      </c>
      <c r="B2063" t="s">
        <v>96</v>
      </c>
      <c r="C2063" t="s">
        <v>107</v>
      </c>
      <c r="D2063" t="s">
        <v>28</v>
      </c>
      <c r="E2063" t="s">
        <v>5141</v>
      </c>
      <c r="F2063" t="s">
        <v>5133</v>
      </c>
      <c r="G2063" t="s">
        <v>18</v>
      </c>
      <c r="H2063" t="s">
        <v>66</v>
      </c>
      <c r="I2063" t="str">
        <f>LEFT(H2063,FIND(" (",H2063)-1)</f>
        <v>Senior</v>
      </c>
      <c r="J2063" t="str">
        <f>MID(H2063,FIND("(",H2063)+1,FIND(")",H2063)-FIND("(",H2063)-1)</f>
        <v>5-8 yrs</v>
      </c>
      <c r="L2063">
        <v>146290</v>
      </c>
      <c r="M2063" t="s">
        <v>4247</v>
      </c>
      <c r="N2063" t="s">
        <v>89</v>
      </c>
      <c r="O2063" t="s">
        <v>79</v>
      </c>
      <c r="P2063" s="1">
        <v>45673</v>
      </c>
      <c r="Q2063">
        <v>1517</v>
      </c>
      <c r="R2063">
        <v>2786</v>
      </c>
      <c r="S2063" t="s">
        <v>23</v>
      </c>
      <c r="T2063">
        <v>4</v>
      </c>
      <c r="U2063" t="s">
        <v>83</v>
      </c>
      <c r="V2063" t="s">
        <v>24</v>
      </c>
      <c r="W2063" t="s">
        <v>23</v>
      </c>
    </row>
    <row r="2064" spans="1:23" x14ac:dyDescent="0.3">
      <c r="A2064" t="s">
        <v>4248</v>
      </c>
      <c r="B2064" t="s">
        <v>236</v>
      </c>
      <c r="C2064" t="s">
        <v>27</v>
      </c>
      <c r="D2064" t="s">
        <v>147</v>
      </c>
      <c r="E2064" t="s">
        <v>5139</v>
      </c>
      <c r="F2064" t="s">
        <v>5133</v>
      </c>
      <c r="G2064" t="s">
        <v>41</v>
      </c>
      <c r="H2064" t="s">
        <v>56</v>
      </c>
      <c r="I2064" t="str">
        <f>LEFT(H2064,FIND(" (",H2064)-1)</f>
        <v>Mid</v>
      </c>
      <c r="J2064" t="str">
        <f>MID(H2064,FIND("(",H2064)+1,FIND(")",H2064)-FIND("(",H2064)-1)</f>
        <v>2-5 yrs</v>
      </c>
      <c r="L2064">
        <v>117731</v>
      </c>
      <c r="M2064" t="s">
        <v>4249</v>
      </c>
      <c r="N2064" t="s">
        <v>33</v>
      </c>
      <c r="O2064" t="s">
        <v>51</v>
      </c>
      <c r="P2064" s="1">
        <v>45601</v>
      </c>
      <c r="Q2064">
        <v>1322</v>
      </c>
      <c r="R2064">
        <v>3234</v>
      </c>
      <c r="S2064" t="s">
        <v>34</v>
      </c>
      <c r="T2064">
        <v>2</v>
      </c>
      <c r="U2064" t="s">
        <v>45</v>
      </c>
      <c r="V2064" t="s">
        <v>24</v>
      </c>
      <c r="W2064" t="s">
        <v>23</v>
      </c>
    </row>
    <row r="2065" spans="1:23" x14ac:dyDescent="0.3">
      <c r="A2065" t="s">
        <v>4250</v>
      </c>
      <c r="B2065" t="s">
        <v>81</v>
      </c>
      <c r="C2065" t="s">
        <v>74</v>
      </c>
      <c r="D2065" t="s">
        <v>15</v>
      </c>
      <c r="E2065" t="s">
        <v>159</v>
      </c>
      <c r="F2065" t="s">
        <v>160</v>
      </c>
      <c r="G2065" t="s">
        <v>55</v>
      </c>
      <c r="H2065" t="s">
        <v>31</v>
      </c>
      <c r="I2065" t="str">
        <f>LEFT(H2065,FIND(" (",H2065)-1)</f>
        <v>Staff/Principal</v>
      </c>
      <c r="J2065" t="str">
        <f>MID(H2065,FIND("(",H2065)+1,FIND(")",H2065)-FIND("(",H2065)-1)</f>
        <v>8+ yrs</v>
      </c>
      <c r="L2065">
        <v>196284</v>
      </c>
      <c r="M2065" t="s">
        <v>4251</v>
      </c>
      <c r="N2065" t="s">
        <v>33</v>
      </c>
      <c r="O2065" t="s">
        <v>79</v>
      </c>
      <c r="P2065" s="1">
        <v>45624</v>
      </c>
      <c r="Q2065">
        <v>1128</v>
      </c>
      <c r="R2065">
        <v>2074</v>
      </c>
      <c r="S2065" t="s">
        <v>23</v>
      </c>
      <c r="T2065">
        <v>6</v>
      </c>
      <c r="U2065" t="s">
        <v>5123</v>
      </c>
      <c r="V2065" t="s">
        <v>59</v>
      </c>
      <c r="W2065" t="s">
        <v>34</v>
      </c>
    </row>
    <row r="2066" spans="1:23" x14ac:dyDescent="0.3">
      <c r="A2066" t="s">
        <v>4252</v>
      </c>
      <c r="B2066" t="s">
        <v>329</v>
      </c>
      <c r="C2066" t="s">
        <v>54</v>
      </c>
      <c r="D2066" t="s">
        <v>38</v>
      </c>
      <c r="E2066" t="s">
        <v>5135</v>
      </c>
      <c r="F2066" t="s">
        <v>5133</v>
      </c>
      <c r="G2066" t="s">
        <v>18</v>
      </c>
      <c r="H2066" t="s">
        <v>66</v>
      </c>
      <c r="I2066" t="str">
        <f>LEFT(H2066,FIND(" (",H2066)-1)</f>
        <v>Senior</v>
      </c>
      <c r="J2066" t="str">
        <f>MID(H2066,FIND("(",H2066)+1,FIND(")",H2066)-FIND("(",H2066)-1)</f>
        <v>5-8 yrs</v>
      </c>
      <c r="L2066">
        <v>157164</v>
      </c>
      <c r="M2066" t="s">
        <v>4253</v>
      </c>
      <c r="N2066" t="s">
        <v>43</v>
      </c>
      <c r="O2066" t="s">
        <v>51</v>
      </c>
      <c r="P2066" s="1">
        <v>45540</v>
      </c>
      <c r="Q2066">
        <v>1146</v>
      </c>
      <c r="R2066">
        <v>3194</v>
      </c>
      <c r="S2066" t="s">
        <v>23</v>
      </c>
      <c r="T2066">
        <v>4</v>
      </c>
      <c r="U2066" t="s">
        <v>52</v>
      </c>
      <c r="V2066" t="s">
        <v>24</v>
      </c>
      <c r="W2066" t="s">
        <v>23</v>
      </c>
    </row>
    <row r="2067" spans="1:23" x14ac:dyDescent="0.3">
      <c r="A2067" t="s">
        <v>4254</v>
      </c>
      <c r="B2067" t="s">
        <v>225</v>
      </c>
      <c r="C2067" t="s">
        <v>27</v>
      </c>
      <c r="D2067" t="s">
        <v>63</v>
      </c>
      <c r="E2067" t="s">
        <v>16</v>
      </c>
      <c r="F2067" t="s">
        <v>17</v>
      </c>
      <c r="G2067" t="s">
        <v>41</v>
      </c>
      <c r="H2067" t="s">
        <v>56</v>
      </c>
      <c r="I2067" t="str">
        <f>LEFT(H2067,FIND(" (",H2067)-1)</f>
        <v>Mid</v>
      </c>
      <c r="J2067" t="str">
        <f>MID(H2067,FIND("(",H2067)+1,FIND(")",H2067)-FIND("(",H2067)-1)</f>
        <v>2-5 yrs</v>
      </c>
      <c r="L2067">
        <v>98461</v>
      </c>
      <c r="M2067" t="s">
        <v>4255</v>
      </c>
      <c r="N2067" t="s">
        <v>33</v>
      </c>
      <c r="O2067" t="s">
        <v>44</v>
      </c>
      <c r="P2067" s="1">
        <v>45523</v>
      </c>
      <c r="Q2067">
        <v>846</v>
      </c>
      <c r="R2067">
        <v>1658</v>
      </c>
      <c r="S2067" t="s">
        <v>34</v>
      </c>
      <c r="T2067">
        <v>2</v>
      </c>
      <c r="U2067" t="s">
        <v>83</v>
      </c>
      <c r="V2067" t="s">
        <v>24</v>
      </c>
      <c r="W2067" t="s">
        <v>23</v>
      </c>
    </row>
    <row r="2068" spans="1:23" x14ac:dyDescent="0.3">
      <c r="A2068" t="s">
        <v>4256</v>
      </c>
      <c r="B2068" t="s">
        <v>222</v>
      </c>
      <c r="C2068" t="s">
        <v>71</v>
      </c>
      <c r="D2068" t="s">
        <v>125</v>
      </c>
      <c r="E2068" t="s">
        <v>64</v>
      </c>
      <c r="F2068" t="s">
        <v>65</v>
      </c>
      <c r="G2068" t="s">
        <v>41</v>
      </c>
      <c r="H2068" t="s">
        <v>66</v>
      </c>
      <c r="I2068" t="str">
        <f>LEFT(H2068,FIND(" (",H2068)-1)</f>
        <v>Senior</v>
      </c>
      <c r="J2068" t="str">
        <f>MID(H2068,FIND("(",H2068)+1,FIND(")",H2068)-FIND("(",H2068)-1)</f>
        <v>5-8 yrs</v>
      </c>
      <c r="L2068">
        <v>84151</v>
      </c>
      <c r="M2068" t="s">
        <v>4257</v>
      </c>
      <c r="N2068" t="s">
        <v>33</v>
      </c>
      <c r="O2068" t="s">
        <v>44</v>
      </c>
      <c r="P2068" s="1">
        <v>45485</v>
      </c>
      <c r="Q2068">
        <v>2394</v>
      </c>
      <c r="R2068">
        <v>3734</v>
      </c>
      <c r="S2068" t="s">
        <v>23</v>
      </c>
      <c r="T2068">
        <v>4</v>
      </c>
      <c r="U2068" t="s">
        <v>83</v>
      </c>
      <c r="V2068" t="s">
        <v>46</v>
      </c>
      <c r="W2068" t="s">
        <v>23</v>
      </c>
    </row>
    <row r="2069" spans="1:23" x14ac:dyDescent="0.3">
      <c r="A2069" t="s">
        <v>4258</v>
      </c>
      <c r="B2069" t="s">
        <v>36</v>
      </c>
      <c r="C2069" t="s">
        <v>226</v>
      </c>
      <c r="D2069" t="s">
        <v>28</v>
      </c>
      <c r="E2069" t="s">
        <v>5139</v>
      </c>
      <c r="F2069" t="s">
        <v>5133</v>
      </c>
      <c r="G2069" t="s">
        <v>41</v>
      </c>
      <c r="H2069" t="s">
        <v>31</v>
      </c>
      <c r="I2069" t="str">
        <f>LEFT(H2069,FIND(" (",H2069)-1)</f>
        <v>Staff/Principal</v>
      </c>
      <c r="J2069" t="str">
        <f>MID(H2069,FIND("(",H2069)+1,FIND(")",H2069)-FIND("(",H2069)-1)</f>
        <v>8+ yrs</v>
      </c>
      <c r="L2069">
        <v>195165</v>
      </c>
      <c r="M2069" t="s">
        <v>4259</v>
      </c>
      <c r="N2069" t="s">
        <v>33</v>
      </c>
      <c r="O2069" t="s">
        <v>51</v>
      </c>
      <c r="P2069" s="1">
        <v>45384</v>
      </c>
      <c r="Q2069">
        <v>2118</v>
      </c>
      <c r="R2069">
        <v>3090</v>
      </c>
      <c r="S2069" t="s">
        <v>99</v>
      </c>
      <c r="T2069">
        <v>6</v>
      </c>
      <c r="U2069" t="s">
        <v>52</v>
      </c>
      <c r="V2069" t="s">
        <v>24</v>
      </c>
      <c r="W2069" t="s">
        <v>34</v>
      </c>
    </row>
    <row r="2070" spans="1:23" x14ac:dyDescent="0.3">
      <c r="A2070" t="s">
        <v>4260</v>
      </c>
      <c r="B2070" t="s">
        <v>106</v>
      </c>
      <c r="C2070" t="s">
        <v>71</v>
      </c>
      <c r="D2070" t="s">
        <v>15</v>
      </c>
      <c r="E2070" t="s">
        <v>216</v>
      </c>
      <c r="F2070" t="s">
        <v>217</v>
      </c>
      <c r="G2070" t="s">
        <v>18</v>
      </c>
      <c r="H2070" t="s">
        <v>19</v>
      </c>
      <c r="I2070" t="str">
        <f>LEFT(H2070,FIND(" (",H2070)-1)</f>
        <v>Entry</v>
      </c>
      <c r="J2070" t="str">
        <f>MID(H2070,FIND("(",H2070)+1,FIND(")",H2070)-FIND("(",H2070)-1)</f>
        <v>0-2 yrs</v>
      </c>
      <c r="L2070">
        <v>87926</v>
      </c>
      <c r="M2070" t="s">
        <v>4261</v>
      </c>
      <c r="N2070" t="s">
        <v>94</v>
      </c>
      <c r="O2070" t="s">
        <v>44</v>
      </c>
      <c r="P2070" s="1">
        <v>45662</v>
      </c>
      <c r="Q2070">
        <v>1904</v>
      </c>
      <c r="R2070">
        <v>769</v>
      </c>
      <c r="S2070" t="s">
        <v>23</v>
      </c>
      <c r="T2070">
        <v>0</v>
      </c>
      <c r="U2070" t="s">
        <v>83</v>
      </c>
      <c r="V2070" t="s">
        <v>24</v>
      </c>
      <c r="W2070" t="s">
        <v>23</v>
      </c>
    </row>
    <row r="2071" spans="1:23" x14ac:dyDescent="0.3">
      <c r="A2071" t="s">
        <v>4262</v>
      </c>
      <c r="B2071" t="s">
        <v>131</v>
      </c>
      <c r="C2071" t="s">
        <v>86</v>
      </c>
      <c r="D2071" t="s">
        <v>75</v>
      </c>
      <c r="E2071" t="s">
        <v>16</v>
      </c>
      <c r="F2071" t="s">
        <v>17</v>
      </c>
      <c r="G2071" t="s">
        <v>18</v>
      </c>
      <c r="H2071" t="s">
        <v>66</v>
      </c>
      <c r="I2071" t="str">
        <f>LEFT(H2071,FIND(" (",H2071)-1)</f>
        <v>Senior</v>
      </c>
      <c r="J2071" t="str">
        <f>MID(H2071,FIND("(",H2071)+1,FIND(")",H2071)-FIND("(",H2071)-1)</f>
        <v>5-8 yrs</v>
      </c>
      <c r="L2071">
        <v>175007</v>
      </c>
      <c r="M2071" t="s">
        <v>4263</v>
      </c>
      <c r="N2071" t="s">
        <v>94</v>
      </c>
      <c r="O2071" t="s">
        <v>44</v>
      </c>
      <c r="P2071" s="1">
        <v>45434</v>
      </c>
      <c r="Q2071">
        <v>1279</v>
      </c>
      <c r="R2071">
        <v>360</v>
      </c>
      <c r="S2071" t="s">
        <v>23</v>
      </c>
      <c r="T2071">
        <v>4</v>
      </c>
      <c r="U2071" t="s">
        <v>5123</v>
      </c>
      <c r="V2071" t="s">
        <v>24</v>
      </c>
      <c r="W2071" t="s">
        <v>34</v>
      </c>
    </row>
    <row r="2072" spans="1:23" x14ac:dyDescent="0.3">
      <c r="A2072" t="s">
        <v>4264</v>
      </c>
      <c r="B2072" t="s">
        <v>137</v>
      </c>
      <c r="C2072" t="s">
        <v>124</v>
      </c>
      <c r="D2072" t="s">
        <v>28</v>
      </c>
      <c r="E2072" t="s">
        <v>5140</v>
      </c>
      <c r="F2072" t="s">
        <v>5133</v>
      </c>
      <c r="G2072" t="s">
        <v>18</v>
      </c>
      <c r="H2072" t="s">
        <v>56</v>
      </c>
      <c r="I2072" t="str">
        <f>LEFT(H2072,FIND(" (",H2072)-1)</f>
        <v>Mid</v>
      </c>
      <c r="J2072" t="str">
        <f>MID(H2072,FIND("(",H2072)+1,FIND(")",H2072)-FIND("(",H2072)-1)</f>
        <v>2-5 yrs</v>
      </c>
      <c r="L2072">
        <v>129114</v>
      </c>
      <c r="M2072" t="s">
        <v>4265</v>
      </c>
      <c r="N2072" t="s">
        <v>33</v>
      </c>
      <c r="O2072" t="s">
        <v>79</v>
      </c>
      <c r="P2072" s="1">
        <v>45373</v>
      </c>
      <c r="Q2072">
        <v>1857</v>
      </c>
      <c r="R2072">
        <v>1485</v>
      </c>
      <c r="S2072" t="s">
        <v>23</v>
      </c>
      <c r="T2072">
        <v>2</v>
      </c>
      <c r="U2072" t="s">
        <v>58</v>
      </c>
      <c r="V2072" t="s">
        <v>59</v>
      </c>
      <c r="W2072" t="s">
        <v>23</v>
      </c>
    </row>
    <row r="2073" spans="1:23" x14ac:dyDescent="0.3">
      <c r="A2073" t="s">
        <v>4266</v>
      </c>
      <c r="B2073" t="s">
        <v>329</v>
      </c>
      <c r="C2073" t="s">
        <v>27</v>
      </c>
      <c r="D2073" t="s">
        <v>147</v>
      </c>
      <c r="E2073" t="s">
        <v>5136</v>
      </c>
      <c r="F2073" t="s">
        <v>5133</v>
      </c>
      <c r="G2073" t="s">
        <v>18</v>
      </c>
      <c r="H2073" t="s">
        <v>56</v>
      </c>
      <c r="I2073" t="str">
        <f>LEFT(H2073,FIND(" (",H2073)-1)</f>
        <v>Mid</v>
      </c>
      <c r="J2073" t="str">
        <f>MID(H2073,FIND("(",H2073)+1,FIND(")",H2073)-FIND("(",H2073)-1)</f>
        <v>2-5 yrs</v>
      </c>
      <c r="L2073">
        <v>134475</v>
      </c>
      <c r="M2073" t="s">
        <v>4267</v>
      </c>
      <c r="N2073" t="s">
        <v>94</v>
      </c>
      <c r="O2073" t="s">
        <v>22</v>
      </c>
      <c r="P2073" s="1">
        <v>45691</v>
      </c>
      <c r="Q2073">
        <v>1161</v>
      </c>
      <c r="R2073">
        <v>1230</v>
      </c>
      <c r="S2073" t="s">
        <v>23</v>
      </c>
      <c r="T2073">
        <v>2</v>
      </c>
      <c r="U2073" t="s">
        <v>5123</v>
      </c>
      <c r="V2073" t="s">
        <v>24</v>
      </c>
      <c r="W2073" t="s">
        <v>23</v>
      </c>
    </row>
    <row r="2074" spans="1:23" x14ac:dyDescent="0.3">
      <c r="A2074" t="s">
        <v>4268</v>
      </c>
      <c r="B2074" t="s">
        <v>26</v>
      </c>
      <c r="C2074" t="s">
        <v>97</v>
      </c>
      <c r="D2074" t="s">
        <v>28</v>
      </c>
      <c r="E2074" t="s">
        <v>87</v>
      </c>
      <c r="F2074" t="s">
        <v>87</v>
      </c>
      <c r="G2074" t="s">
        <v>18</v>
      </c>
      <c r="H2074" t="s">
        <v>56</v>
      </c>
      <c r="I2074" t="str">
        <f>LEFT(H2074,FIND(" (",H2074)-1)</f>
        <v>Mid</v>
      </c>
      <c r="J2074" t="str">
        <f>MID(H2074,FIND("(",H2074)+1,FIND(")",H2074)-FIND("(",H2074)-1)</f>
        <v>2-5 yrs</v>
      </c>
      <c r="L2074">
        <v>111755</v>
      </c>
      <c r="M2074" t="s">
        <v>4269</v>
      </c>
      <c r="N2074" t="s">
        <v>33</v>
      </c>
      <c r="O2074" t="s">
        <v>51</v>
      </c>
      <c r="P2074" s="1">
        <v>45379</v>
      </c>
      <c r="Q2074">
        <v>1174</v>
      </c>
      <c r="R2074">
        <v>1619</v>
      </c>
      <c r="S2074" t="s">
        <v>34</v>
      </c>
      <c r="T2074">
        <v>2</v>
      </c>
      <c r="U2074" t="s">
        <v>58</v>
      </c>
      <c r="V2074" t="s">
        <v>24</v>
      </c>
      <c r="W2074" t="s">
        <v>34</v>
      </c>
    </row>
    <row r="2075" spans="1:23" x14ac:dyDescent="0.3">
      <c r="A2075" t="s">
        <v>4270</v>
      </c>
      <c r="B2075" t="s">
        <v>26</v>
      </c>
      <c r="C2075" t="s">
        <v>92</v>
      </c>
      <c r="D2075" t="s">
        <v>38</v>
      </c>
      <c r="E2075" t="s">
        <v>5134</v>
      </c>
      <c r="F2075" t="s">
        <v>5133</v>
      </c>
      <c r="G2075" t="s">
        <v>18</v>
      </c>
      <c r="H2075" t="s">
        <v>66</v>
      </c>
      <c r="I2075" t="str">
        <f>LEFT(H2075,FIND(" (",H2075)-1)</f>
        <v>Senior</v>
      </c>
      <c r="J2075" t="str">
        <f>MID(H2075,FIND("(",H2075)+1,FIND(")",H2075)-FIND("(",H2075)-1)</f>
        <v>5-8 yrs</v>
      </c>
      <c r="L2075">
        <v>155327</v>
      </c>
      <c r="M2075" t="s">
        <v>4271</v>
      </c>
      <c r="N2075" t="s">
        <v>186</v>
      </c>
      <c r="O2075" t="s">
        <v>44</v>
      </c>
      <c r="P2075" s="1">
        <v>45532</v>
      </c>
      <c r="Q2075">
        <v>1959</v>
      </c>
      <c r="R2075">
        <v>1286</v>
      </c>
      <c r="S2075" t="s">
        <v>23</v>
      </c>
      <c r="T2075">
        <v>4</v>
      </c>
      <c r="U2075" t="s">
        <v>83</v>
      </c>
      <c r="V2075" t="s">
        <v>59</v>
      </c>
      <c r="W2075" t="s">
        <v>34</v>
      </c>
    </row>
    <row r="2076" spans="1:23" x14ac:dyDescent="0.3">
      <c r="A2076" t="s">
        <v>4272</v>
      </c>
      <c r="B2076" t="s">
        <v>96</v>
      </c>
      <c r="C2076" t="s">
        <v>48</v>
      </c>
      <c r="D2076" t="s">
        <v>15</v>
      </c>
      <c r="E2076" t="s">
        <v>200</v>
      </c>
      <c r="F2076" t="s">
        <v>201</v>
      </c>
      <c r="G2076" t="s">
        <v>18</v>
      </c>
      <c r="H2076" t="s">
        <v>66</v>
      </c>
      <c r="I2076" t="str">
        <f>LEFT(H2076,FIND(" (",H2076)-1)</f>
        <v>Senior</v>
      </c>
      <c r="J2076" t="str">
        <f>MID(H2076,FIND("(",H2076)+1,FIND(")",H2076)-FIND("(",H2076)-1)</f>
        <v>5-8 yrs</v>
      </c>
      <c r="L2076">
        <v>133323</v>
      </c>
      <c r="M2076" t="s">
        <v>4273</v>
      </c>
      <c r="N2076" t="s">
        <v>33</v>
      </c>
      <c r="O2076" t="s">
        <v>22</v>
      </c>
      <c r="P2076" s="1">
        <v>45338</v>
      </c>
      <c r="Q2076">
        <v>689</v>
      </c>
      <c r="R2076">
        <v>260</v>
      </c>
      <c r="S2076" t="s">
        <v>23</v>
      </c>
      <c r="T2076">
        <v>4</v>
      </c>
      <c r="U2076" t="s">
        <v>5123</v>
      </c>
      <c r="V2076" t="s">
        <v>24</v>
      </c>
      <c r="W2076" t="s">
        <v>34</v>
      </c>
    </row>
    <row r="2077" spans="1:23" x14ac:dyDescent="0.3">
      <c r="A2077" t="s">
        <v>4274</v>
      </c>
      <c r="B2077" t="s">
        <v>137</v>
      </c>
      <c r="C2077" t="s">
        <v>74</v>
      </c>
      <c r="D2077" t="s">
        <v>174</v>
      </c>
      <c r="E2077" t="s">
        <v>102</v>
      </c>
      <c r="F2077" t="s">
        <v>103</v>
      </c>
      <c r="G2077" t="s">
        <v>55</v>
      </c>
      <c r="H2077" t="s">
        <v>31</v>
      </c>
      <c r="I2077" t="str">
        <f>LEFT(H2077,FIND(" (",H2077)-1)</f>
        <v>Staff/Principal</v>
      </c>
      <c r="J2077" t="str">
        <f>MID(H2077,FIND("(",H2077)+1,FIND(")",H2077)-FIND("(",H2077)-1)</f>
        <v>8+ yrs</v>
      </c>
      <c r="L2077">
        <v>188621</v>
      </c>
      <c r="M2077" t="s">
        <v>4275</v>
      </c>
      <c r="N2077" t="s">
        <v>33</v>
      </c>
      <c r="O2077" t="s">
        <v>51</v>
      </c>
      <c r="P2077" s="1">
        <v>45365</v>
      </c>
      <c r="Q2077">
        <v>1849</v>
      </c>
      <c r="R2077">
        <v>633</v>
      </c>
      <c r="S2077" t="s">
        <v>34</v>
      </c>
      <c r="T2077">
        <v>6</v>
      </c>
      <c r="U2077" t="s">
        <v>83</v>
      </c>
      <c r="V2077" t="s">
        <v>24</v>
      </c>
      <c r="W2077" t="s">
        <v>23</v>
      </c>
    </row>
    <row r="2078" spans="1:23" x14ac:dyDescent="0.3">
      <c r="A2078" t="s">
        <v>4276</v>
      </c>
      <c r="B2078" t="s">
        <v>13</v>
      </c>
      <c r="C2078" t="s">
        <v>14</v>
      </c>
      <c r="D2078" t="s">
        <v>15</v>
      </c>
      <c r="E2078" t="s">
        <v>76</v>
      </c>
      <c r="F2078" t="s">
        <v>77</v>
      </c>
      <c r="G2078" t="s">
        <v>18</v>
      </c>
      <c r="H2078" t="s">
        <v>19</v>
      </c>
      <c r="I2078" t="str">
        <f>LEFT(H2078,FIND(" (",H2078)-1)</f>
        <v>Entry</v>
      </c>
      <c r="J2078" t="str">
        <f>MID(H2078,FIND("(",H2078)+1,FIND(")",H2078)-FIND("(",H2078)-1)</f>
        <v>0-2 yrs</v>
      </c>
      <c r="L2078">
        <v>77758</v>
      </c>
      <c r="M2078" t="s">
        <v>4277</v>
      </c>
      <c r="N2078" t="s">
        <v>33</v>
      </c>
      <c r="O2078" t="s">
        <v>44</v>
      </c>
      <c r="P2078" s="1">
        <v>45510</v>
      </c>
      <c r="Q2078">
        <v>546</v>
      </c>
      <c r="R2078">
        <v>758</v>
      </c>
      <c r="S2078" t="s">
        <v>99</v>
      </c>
      <c r="T2078">
        <v>0</v>
      </c>
      <c r="U2078" t="s">
        <v>5123</v>
      </c>
      <c r="V2078" t="s">
        <v>24</v>
      </c>
      <c r="W2078" t="s">
        <v>23</v>
      </c>
    </row>
    <row r="2079" spans="1:23" x14ac:dyDescent="0.3">
      <c r="A2079" t="s">
        <v>4278</v>
      </c>
      <c r="B2079" t="s">
        <v>13</v>
      </c>
      <c r="C2079" t="s">
        <v>86</v>
      </c>
      <c r="D2079" t="s">
        <v>125</v>
      </c>
      <c r="E2079" t="s">
        <v>16</v>
      </c>
      <c r="F2079" t="s">
        <v>17</v>
      </c>
      <c r="G2079" t="s">
        <v>41</v>
      </c>
      <c r="H2079" t="s">
        <v>31</v>
      </c>
      <c r="I2079" t="str">
        <f>LEFT(H2079,FIND(" (",H2079)-1)</f>
        <v>Staff/Principal</v>
      </c>
      <c r="J2079" t="str">
        <f>MID(H2079,FIND("(",H2079)+1,FIND(")",H2079)-FIND("(",H2079)-1)</f>
        <v>8+ yrs</v>
      </c>
      <c r="L2079">
        <v>243339</v>
      </c>
      <c r="M2079" t="s">
        <v>4279</v>
      </c>
      <c r="N2079" t="s">
        <v>141</v>
      </c>
      <c r="O2079" t="s">
        <v>79</v>
      </c>
      <c r="P2079" s="1">
        <v>45463</v>
      </c>
      <c r="Q2079">
        <v>1436</v>
      </c>
      <c r="R2079">
        <v>307</v>
      </c>
      <c r="S2079" t="s">
        <v>99</v>
      </c>
      <c r="T2079">
        <v>6</v>
      </c>
      <c r="U2079" t="s">
        <v>58</v>
      </c>
      <c r="V2079" t="s">
        <v>24</v>
      </c>
      <c r="W2079" t="s">
        <v>23</v>
      </c>
    </row>
    <row r="2080" spans="1:23" x14ac:dyDescent="0.3">
      <c r="A2080" t="s">
        <v>4280</v>
      </c>
      <c r="B2080" t="s">
        <v>26</v>
      </c>
      <c r="C2080" t="s">
        <v>128</v>
      </c>
      <c r="D2080" t="s">
        <v>125</v>
      </c>
      <c r="E2080" t="s">
        <v>5132</v>
      </c>
      <c r="F2080" t="s">
        <v>5133</v>
      </c>
      <c r="G2080" t="s">
        <v>55</v>
      </c>
      <c r="H2080" t="s">
        <v>66</v>
      </c>
      <c r="I2080" t="str">
        <f>LEFT(H2080,FIND(" (",H2080)-1)</f>
        <v>Senior</v>
      </c>
      <c r="J2080" t="str">
        <f>MID(H2080,FIND("(",H2080)+1,FIND(")",H2080)-FIND("(",H2080)-1)</f>
        <v>5-8 yrs</v>
      </c>
      <c r="L2080">
        <v>146234</v>
      </c>
      <c r="M2080" t="s">
        <v>4281</v>
      </c>
      <c r="N2080" t="s">
        <v>186</v>
      </c>
      <c r="O2080" t="s">
        <v>79</v>
      </c>
      <c r="P2080" s="1">
        <v>45739</v>
      </c>
      <c r="Q2080">
        <v>1421</v>
      </c>
      <c r="R2080">
        <v>636</v>
      </c>
      <c r="S2080" t="s">
        <v>99</v>
      </c>
      <c r="T2080">
        <v>4</v>
      </c>
      <c r="U2080" t="s">
        <v>83</v>
      </c>
      <c r="V2080" t="s">
        <v>24</v>
      </c>
      <c r="W2080" t="s">
        <v>34</v>
      </c>
    </row>
    <row r="2081" spans="1:23" x14ac:dyDescent="0.3">
      <c r="A2081" t="s">
        <v>4282</v>
      </c>
      <c r="B2081" t="s">
        <v>36</v>
      </c>
      <c r="C2081" t="s">
        <v>226</v>
      </c>
      <c r="D2081" t="s">
        <v>15</v>
      </c>
      <c r="E2081" t="s">
        <v>39</v>
      </c>
      <c r="F2081" t="s">
        <v>40</v>
      </c>
      <c r="G2081" t="s">
        <v>18</v>
      </c>
      <c r="H2081" t="s">
        <v>19</v>
      </c>
      <c r="I2081" t="str">
        <f>LEFT(H2081,FIND(" (",H2081)-1)</f>
        <v>Entry</v>
      </c>
      <c r="J2081" t="str">
        <f>MID(H2081,FIND("(",H2081)+1,FIND(")",H2081)-FIND("(",H2081)-1)</f>
        <v>0-2 yrs</v>
      </c>
      <c r="L2081">
        <v>64327</v>
      </c>
      <c r="M2081" t="s">
        <v>4283</v>
      </c>
      <c r="N2081" t="s">
        <v>94</v>
      </c>
      <c r="O2081" t="s">
        <v>22</v>
      </c>
      <c r="P2081" s="1">
        <v>45326</v>
      </c>
      <c r="Q2081">
        <v>404</v>
      </c>
      <c r="R2081">
        <v>1427</v>
      </c>
      <c r="S2081" t="s">
        <v>23</v>
      </c>
      <c r="T2081">
        <v>0</v>
      </c>
      <c r="U2081" t="s">
        <v>5123</v>
      </c>
      <c r="V2081" t="s">
        <v>59</v>
      </c>
      <c r="W2081" t="s">
        <v>34</v>
      </c>
    </row>
    <row r="2082" spans="1:23" x14ac:dyDescent="0.3">
      <c r="A2082" t="s">
        <v>4284</v>
      </c>
      <c r="B2082" t="s">
        <v>13</v>
      </c>
      <c r="C2082" t="s">
        <v>71</v>
      </c>
      <c r="D2082" t="s">
        <v>174</v>
      </c>
      <c r="E2082" t="s">
        <v>133</v>
      </c>
      <c r="F2082" t="s">
        <v>134</v>
      </c>
      <c r="G2082" t="s">
        <v>18</v>
      </c>
      <c r="H2082" t="s">
        <v>66</v>
      </c>
      <c r="I2082" t="str">
        <f>LEFT(H2082,FIND(" (",H2082)-1)</f>
        <v>Senior</v>
      </c>
      <c r="J2082" t="str">
        <f>MID(H2082,FIND("(",H2082)+1,FIND(")",H2082)-FIND("(",H2082)-1)</f>
        <v>5-8 yrs</v>
      </c>
      <c r="L2082">
        <v>150014</v>
      </c>
      <c r="M2082" t="s">
        <v>4285</v>
      </c>
      <c r="N2082" t="s">
        <v>21</v>
      </c>
      <c r="O2082" t="s">
        <v>51</v>
      </c>
      <c r="P2082" s="1">
        <v>45405</v>
      </c>
      <c r="Q2082">
        <v>570</v>
      </c>
      <c r="R2082">
        <v>709</v>
      </c>
      <c r="S2082" t="s">
        <v>23</v>
      </c>
      <c r="T2082">
        <v>4</v>
      </c>
      <c r="U2082" t="s">
        <v>83</v>
      </c>
      <c r="V2082" t="s">
        <v>24</v>
      </c>
      <c r="W2082" t="s">
        <v>34</v>
      </c>
    </row>
    <row r="2083" spans="1:23" x14ac:dyDescent="0.3">
      <c r="A2083" t="s">
        <v>4286</v>
      </c>
      <c r="B2083" t="s">
        <v>143</v>
      </c>
      <c r="C2083" t="s">
        <v>132</v>
      </c>
      <c r="D2083" t="s">
        <v>75</v>
      </c>
      <c r="E2083" t="s">
        <v>102</v>
      </c>
      <c r="F2083" t="s">
        <v>103</v>
      </c>
      <c r="G2083" t="s">
        <v>18</v>
      </c>
      <c r="H2083" t="s">
        <v>56</v>
      </c>
      <c r="I2083" t="str">
        <f>LEFT(H2083,FIND(" (",H2083)-1)</f>
        <v>Mid</v>
      </c>
      <c r="J2083" t="str">
        <f>MID(H2083,FIND("(",H2083)+1,FIND(")",H2083)-FIND("(",H2083)-1)</f>
        <v>2-5 yrs</v>
      </c>
      <c r="L2083">
        <v>121903</v>
      </c>
      <c r="M2083" t="s">
        <v>4287</v>
      </c>
      <c r="N2083" t="s">
        <v>68</v>
      </c>
      <c r="O2083" t="s">
        <v>51</v>
      </c>
      <c r="P2083" s="1">
        <v>45692</v>
      </c>
      <c r="Q2083">
        <v>1750</v>
      </c>
      <c r="R2083">
        <v>578</v>
      </c>
      <c r="S2083" t="s">
        <v>34</v>
      </c>
      <c r="T2083">
        <v>2</v>
      </c>
      <c r="U2083" t="s">
        <v>58</v>
      </c>
      <c r="V2083" t="s">
        <v>59</v>
      </c>
      <c r="W2083" t="s">
        <v>23</v>
      </c>
    </row>
    <row r="2084" spans="1:23" x14ac:dyDescent="0.3">
      <c r="A2084" t="s">
        <v>4288</v>
      </c>
      <c r="B2084" t="s">
        <v>13</v>
      </c>
      <c r="C2084" t="s">
        <v>182</v>
      </c>
      <c r="D2084" t="s">
        <v>125</v>
      </c>
      <c r="E2084" t="s">
        <v>5139</v>
      </c>
      <c r="F2084" t="s">
        <v>5133</v>
      </c>
      <c r="G2084" t="s">
        <v>41</v>
      </c>
      <c r="H2084" t="s">
        <v>56</v>
      </c>
      <c r="I2084" t="str">
        <f>LEFT(H2084,FIND(" (",H2084)-1)</f>
        <v>Mid</v>
      </c>
      <c r="J2084" t="str">
        <f>MID(H2084,FIND("(",H2084)+1,FIND(")",H2084)-FIND("(",H2084)-1)</f>
        <v>2-5 yrs</v>
      </c>
      <c r="L2084">
        <v>81411</v>
      </c>
      <c r="M2084" t="s">
        <v>4289</v>
      </c>
      <c r="N2084" t="s">
        <v>33</v>
      </c>
      <c r="O2084" t="s">
        <v>22</v>
      </c>
      <c r="P2084" s="1">
        <v>45377</v>
      </c>
      <c r="Q2084">
        <v>559</v>
      </c>
      <c r="R2084">
        <v>958</v>
      </c>
      <c r="S2084" t="s">
        <v>99</v>
      </c>
      <c r="T2084">
        <v>2</v>
      </c>
      <c r="U2084" t="s">
        <v>45</v>
      </c>
      <c r="V2084" t="s">
        <v>24</v>
      </c>
      <c r="W2084" t="s">
        <v>34</v>
      </c>
    </row>
    <row r="2085" spans="1:23" x14ac:dyDescent="0.3">
      <c r="A2085" t="s">
        <v>4290</v>
      </c>
      <c r="B2085" t="s">
        <v>222</v>
      </c>
      <c r="C2085" t="s">
        <v>179</v>
      </c>
      <c r="D2085" t="s">
        <v>15</v>
      </c>
      <c r="E2085" t="s">
        <v>5135</v>
      </c>
      <c r="F2085" t="s">
        <v>5133</v>
      </c>
      <c r="G2085" t="s">
        <v>41</v>
      </c>
      <c r="H2085" t="s">
        <v>66</v>
      </c>
      <c r="I2085" t="str">
        <f>LEFT(H2085,FIND(" (",H2085)-1)</f>
        <v>Senior</v>
      </c>
      <c r="J2085" t="str">
        <f>MID(H2085,FIND("(",H2085)+1,FIND(")",H2085)-FIND("(",H2085)-1)</f>
        <v>5-8 yrs</v>
      </c>
      <c r="L2085">
        <v>88003</v>
      </c>
      <c r="M2085" t="s">
        <v>4291</v>
      </c>
      <c r="N2085" t="s">
        <v>120</v>
      </c>
      <c r="O2085" t="s">
        <v>44</v>
      </c>
      <c r="P2085" s="1">
        <v>45378</v>
      </c>
      <c r="Q2085">
        <v>1250</v>
      </c>
      <c r="R2085">
        <v>1983</v>
      </c>
      <c r="S2085" t="s">
        <v>23</v>
      </c>
      <c r="T2085">
        <v>4</v>
      </c>
      <c r="U2085" t="s">
        <v>45</v>
      </c>
      <c r="V2085" t="s">
        <v>24</v>
      </c>
      <c r="W2085" t="s">
        <v>23</v>
      </c>
    </row>
    <row r="2086" spans="1:23" x14ac:dyDescent="0.3">
      <c r="A2086" t="s">
        <v>4292</v>
      </c>
      <c r="B2086" t="s">
        <v>143</v>
      </c>
      <c r="C2086" t="s">
        <v>62</v>
      </c>
      <c r="D2086" t="s">
        <v>147</v>
      </c>
      <c r="E2086" t="s">
        <v>64</v>
      </c>
      <c r="F2086" t="s">
        <v>65</v>
      </c>
      <c r="G2086" t="s">
        <v>55</v>
      </c>
      <c r="H2086" t="s">
        <v>66</v>
      </c>
      <c r="I2086" t="str">
        <f>LEFT(H2086,FIND(" (",H2086)-1)</f>
        <v>Senior</v>
      </c>
      <c r="J2086" t="str">
        <f>MID(H2086,FIND("(",H2086)+1,FIND(")",H2086)-FIND("(",H2086)-1)</f>
        <v>5-8 yrs</v>
      </c>
      <c r="L2086">
        <v>135135</v>
      </c>
      <c r="M2086" t="s">
        <v>4293</v>
      </c>
      <c r="N2086" t="s">
        <v>33</v>
      </c>
      <c r="O2086" t="s">
        <v>51</v>
      </c>
      <c r="P2086" s="1">
        <v>45579</v>
      </c>
      <c r="Q2086">
        <v>693</v>
      </c>
      <c r="R2086">
        <v>1187</v>
      </c>
      <c r="S2086" t="s">
        <v>23</v>
      </c>
      <c r="T2086">
        <v>4</v>
      </c>
      <c r="U2086" t="s">
        <v>52</v>
      </c>
      <c r="V2086" t="s">
        <v>59</v>
      </c>
      <c r="W2086" t="s">
        <v>23</v>
      </c>
    </row>
    <row r="2087" spans="1:23" x14ac:dyDescent="0.3">
      <c r="A2087" t="s">
        <v>4294</v>
      </c>
      <c r="B2087" t="s">
        <v>229</v>
      </c>
      <c r="C2087" t="s">
        <v>116</v>
      </c>
      <c r="D2087" t="s">
        <v>174</v>
      </c>
      <c r="E2087" t="s">
        <v>5140</v>
      </c>
      <c r="F2087" t="s">
        <v>5133</v>
      </c>
      <c r="G2087" t="s">
        <v>18</v>
      </c>
      <c r="H2087" t="s">
        <v>66</v>
      </c>
      <c r="I2087" t="str">
        <f>LEFT(H2087,FIND(" (",H2087)-1)</f>
        <v>Senior</v>
      </c>
      <c r="J2087" t="str">
        <f>MID(H2087,FIND("(",H2087)+1,FIND(")",H2087)-FIND("(",H2087)-1)</f>
        <v>5-8 yrs</v>
      </c>
      <c r="L2087">
        <v>117040</v>
      </c>
      <c r="M2087" t="s">
        <v>4295</v>
      </c>
      <c r="N2087" t="s">
        <v>186</v>
      </c>
      <c r="O2087" t="s">
        <v>22</v>
      </c>
      <c r="P2087" s="1">
        <v>45321</v>
      </c>
      <c r="Q2087">
        <v>813</v>
      </c>
      <c r="R2087">
        <v>3742</v>
      </c>
      <c r="S2087" t="s">
        <v>34</v>
      </c>
      <c r="T2087">
        <v>4</v>
      </c>
      <c r="U2087" t="s">
        <v>58</v>
      </c>
      <c r="V2087" t="s">
        <v>24</v>
      </c>
      <c r="W2087" t="s">
        <v>34</v>
      </c>
    </row>
    <row r="2088" spans="1:23" x14ac:dyDescent="0.3">
      <c r="A2088" t="s">
        <v>4296</v>
      </c>
      <c r="B2088" t="s">
        <v>229</v>
      </c>
      <c r="C2088" t="s">
        <v>128</v>
      </c>
      <c r="D2088" t="s">
        <v>15</v>
      </c>
      <c r="E2088" t="s">
        <v>16</v>
      </c>
      <c r="F2088" t="s">
        <v>17</v>
      </c>
      <c r="G2088" t="s">
        <v>18</v>
      </c>
      <c r="H2088" t="s">
        <v>31</v>
      </c>
      <c r="I2088" t="str">
        <f>LEFT(H2088,FIND(" (",H2088)-1)</f>
        <v>Staff/Principal</v>
      </c>
      <c r="J2088" t="str">
        <f>MID(H2088,FIND("(",H2088)+1,FIND(")",H2088)-FIND("(",H2088)-1)</f>
        <v>8+ yrs</v>
      </c>
      <c r="L2088">
        <v>181706</v>
      </c>
      <c r="M2088" t="s">
        <v>4297</v>
      </c>
      <c r="N2088" t="s">
        <v>120</v>
      </c>
      <c r="O2088" t="s">
        <v>22</v>
      </c>
      <c r="P2088" s="1">
        <v>45532</v>
      </c>
      <c r="Q2088">
        <v>1349</v>
      </c>
      <c r="R2088">
        <v>1470</v>
      </c>
      <c r="S2088" t="s">
        <v>23</v>
      </c>
      <c r="T2088">
        <v>6</v>
      </c>
      <c r="U2088" t="s">
        <v>83</v>
      </c>
      <c r="V2088" t="s">
        <v>24</v>
      </c>
      <c r="W2088" t="s">
        <v>23</v>
      </c>
    </row>
    <row r="2089" spans="1:23" x14ac:dyDescent="0.3">
      <c r="A2089" t="s">
        <v>4298</v>
      </c>
      <c r="B2089" t="s">
        <v>131</v>
      </c>
      <c r="C2089" t="s">
        <v>54</v>
      </c>
      <c r="D2089" t="s">
        <v>15</v>
      </c>
      <c r="E2089" t="s">
        <v>5132</v>
      </c>
      <c r="F2089" t="s">
        <v>5133</v>
      </c>
      <c r="G2089" t="s">
        <v>41</v>
      </c>
      <c r="H2089" t="s">
        <v>31</v>
      </c>
      <c r="I2089" t="str">
        <f>LEFT(H2089,FIND(" (",H2089)-1)</f>
        <v>Staff/Principal</v>
      </c>
      <c r="J2089" t="str">
        <f>MID(H2089,FIND("(",H2089)+1,FIND(")",H2089)-FIND("(",H2089)-1)</f>
        <v>8+ yrs</v>
      </c>
      <c r="L2089">
        <v>194679</v>
      </c>
      <c r="M2089" t="s">
        <v>4299</v>
      </c>
      <c r="N2089" t="s">
        <v>141</v>
      </c>
      <c r="O2089" t="s">
        <v>51</v>
      </c>
      <c r="P2089" s="1">
        <v>45541</v>
      </c>
      <c r="Q2089">
        <v>1197</v>
      </c>
      <c r="R2089">
        <v>1622</v>
      </c>
      <c r="S2089" t="s">
        <v>23</v>
      </c>
      <c r="T2089">
        <v>6</v>
      </c>
      <c r="U2089" t="s">
        <v>5123</v>
      </c>
      <c r="V2089" t="s">
        <v>59</v>
      </c>
      <c r="W2089" t="s">
        <v>23</v>
      </c>
    </row>
    <row r="2090" spans="1:23" x14ac:dyDescent="0.3">
      <c r="A2090" t="s">
        <v>4300</v>
      </c>
      <c r="B2090" t="s">
        <v>96</v>
      </c>
      <c r="C2090" t="s">
        <v>204</v>
      </c>
      <c r="D2090" t="s">
        <v>75</v>
      </c>
      <c r="E2090" t="s">
        <v>5137</v>
      </c>
      <c r="F2090" t="s">
        <v>5138</v>
      </c>
      <c r="G2090" t="s">
        <v>18</v>
      </c>
      <c r="H2090" t="s">
        <v>66</v>
      </c>
      <c r="I2090" t="str">
        <f>LEFT(H2090,FIND(" (",H2090)-1)</f>
        <v>Senior</v>
      </c>
      <c r="J2090" t="str">
        <f>MID(H2090,FIND("(",H2090)+1,FIND(")",H2090)-FIND("(",H2090)-1)</f>
        <v>5-8 yrs</v>
      </c>
      <c r="L2090">
        <v>137762</v>
      </c>
      <c r="M2090" t="s">
        <v>4301</v>
      </c>
      <c r="N2090" t="s">
        <v>21</v>
      </c>
      <c r="O2090" t="s">
        <v>51</v>
      </c>
      <c r="P2090" s="1">
        <v>45577</v>
      </c>
      <c r="Q2090">
        <v>1756</v>
      </c>
      <c r="R2090">
        <v>3451</v>
      </c>
      <c r="S2090" t="s">
        <v>99</v>
      </c>
      <c r="T2090">
        <v>4</v>
      </c>
      <c r="U2090" t="s">
        <v>83</v>
      </c>
      <c r="V2090" t="s">
        <v>24</v>
      </c>
      <c r="W2090" t="s">
        <v>23</v>
      </c>
    </row>
    <row r="2091" spans="1:23" x14ac:dyDescent="0.3">
      <c r="A2091" t="s">
        <v>4302</v>
      </c>
      <c r="B2091" t="s">
        <v>81</v>
      </c>
      <c r="C2091" t="s">
        <v>27</v>
      </c>
      <c r="D2091" t="s">
        <v>63</v>
      </c>
      <c r="E2091" t="s">
        <v>230</v>
      </c>
      <c r="F2091" t="s">
        <v>231</v>
      </c>
      <c r="G2091" t="s">
        <v>18</v>
      </c>
      <c r="H2091" t="s">
        <v>19</v>
      </c>
      <c r="I2091" t="str">
        <f>LEFT(H2091,FIND(" (",H2091)-1)</f>
        <v>Entry</v>
      </c>
      <c r="J2091" t="str">
        <f>MID(H2091,FIND("(",H2091)+1,FIND(")",H2091)-FIND("(",H2091)-1)</f>
        <v>0-2 yrs</v>
      </c>
      <c r="L2091">
        <v>88301</v>
      </c>
      <c r="M2091" t="s">
        <v>4303</v>
      </c>
      <c r="N2091" t="s">
        <v>33</v>
      </c>
      <c r="O2091" t="s">
        <v>79</v>
      </c>
      <c r="P2091" s="1">
        <v>45418</v>
      </c>
      <c r="Q2091">
        <v>1829</v>
      </c>
      <c r="R2091">
        <v>552</v>
      </c>
      <c r="S2091" t="s">
        <v>23</v>
      </c>
      <c r="T2091">
        <v>0</v>
      </c>
      <c r="U2091" t="s">
        <v>58</v>
      </c>
      <c r="V2091" t="s">
        <v>24</v>
      </c>
      <c r="W2091" t="s">
        <v>34</v>
      </c>
    </row>
    <row r="2092" spans="1:23" x14ac:dyDescent="0.3">
      <c r="A2092" t="s">
        <v>4304</v>
      </c>
      <c r="B2092" t="s">
        <v>26</v>
      </c>
      <c r="C2092" t="s">
        <v>116</v>
      </c>
      <c r="D2092" t="s">
        <v>75</v>
      </c>
      <c r="E2092" t="s">
        <v>87</v>
      </c>
      <c r="F2092" t="s">
        <v>87</v>
      </c>
      <c r="G2092" t="s">
        <v>41</v>
      </c>
      <c r="H2092" t="s">
        <v>19</v>
      </c>
      <c r="I2092" t="str">
        <f>LEFT(H2092,FIND(" (",H2092)-1)</f>
        <v>Entry</v>
      </c>
      <c r="J2092" t="str">
        <f>MID(H2092,FIND("(",H2092)+1,FIND(")",H2092)-FIND("(",H2092)-1)</f>
        <v>0-2 yrs</v>
      </c>
      <c r="L2092">
        <v>74116</v>
      </c>
      <c r="M2092" t="s">
        <v>4305</v>
      </c>
      <c r="N2092" t="s">
        <v>120</v>
      </c>
      <c r="O2092" t="s">
        <v>22</v>
      </c>
      <c r="P2092" s="1">
        <v>45342</v>
      </c>
      <c r="Q2092">
        <v>1685</v>
      </c>
      <c r="R2092">
        <v>1009</v>
      </c>
      <c r="S2092" t="s">
        <v>23</v>
      </c>
      <c r="T2092">
        <v>0</v>
      </c>
      <c r="U2092" t="s">
        <v>45</v>
      </c>
      <c r="V2092" t="s">
        <v>24</v>
      </c>
      <c r="W2092" t="s">
        <v>23</v>
      </c>
    </row>
    <row r="2093" spans="1:23" x14ac:dyDescent="0.3">
      <c r="A2093" t="s">
        <v>4306</v>
      </c>
      <c r="B2093" t="s">
        <v>131</v>
      </c>
      <c r="C2093" t="s">
        <v>54</v>
      </c>
      <c r="D2093" t="s">
        <v>15</v>
      </c>
      <c r="E2093" t="s">
        <v>216</v>
      </c>
      <c r="F2093" t="s">
        <v>217</v>
      </c>
      <c r="G2093" t="s">
        <v>18</v>
      </c>
      <c r="H2093" t="s">
        <v>56</v>
      </c>
      <c r="I2093" t="str">
        <f>LEFT(H2093,FIND(" (",H2093)-1)</f>
        <v>Mid</v>
      </c>
      <c r="J2093" t="str">
        <f>MID(H2093,FIND("(",H2093)+1,FIND(")",H2093)-FIND("(",H2093)-1)</f>
        <v>2-5 yrs</v>
      </c>
      <c r="L2093">
        <v>115949</v>
      </c>
      <c r="M2093" t="s">
        <v>4307</v>
      </c>
      <c r="N2093" t="s">
        <v>33</v>
      </c>
      <c r="O2093" t="s">
        <v>51</v>
      </c>
      <c r="P2093" s="1">
        <v>45399</v>
      </c>
      <c r="Q2093">
        <v>2500</v>
      </c>
      <c r="R2093">
        <v>1426</v>
      </c>
      <c r="S2093" t="s">
        <v>34</v>
      </c>
      <c r="T2093">
        <v>2</v>
      </c>
      <c r="U2093" t="s">
        <v>83</v>
      </c>
      <c r="V2093" t="s">
        <v>59</v>
      </c>
      <c r="W2093" t="s">
        <v>23</v>
      </c>
    </row>
    <row r="2094" spans="1:23" x14ac:dyDescent="0.3">
      <c r="A2094" t="s">
        <v>4308</v>
      </c>
      <c r="B2094" t="s">
        <v>91</v>
      </c>
      <c r="C2094" t="s">
        <v>204</v>
      </c>
      <c r="D2094" t="s">
        <v>63</v>
      </c>
      <c r="E2094" t="s">
        <v>5140</v>
      </c>
      <c r="F2094" t="s">
        <v>5133</v>
      </c>
      <c r="G2094" t="s">
        <v>18</v>
      </c>
      <c r="H2094" t="s">
        <v>66</v>
      </c>
      <c r="I2094" t="str">
        <f>LEFT(H2094,FIND(" (",H2094)-1)</f>
        <v>Senior</v>
      </c>
      <c r="J2094" t="str">
        <f>MID(H2094,FIND("(",H2094)+1,FIND(")",H2094)-FIND("(",H2094)-1)</f>
        <v>5-8 yrs</v>
      </c>
      <c r="L2094">
        <v>166799</v>
      </c>
      <c r="M2094" t="s">
        <v>4309</v>
      </c>
      <c r="N2094" t="s">
        <v>89</v>
      </c>
      <c r="O2094" t="s">
        <v>44</v>
      </c>
      <c r="P2094" s="1">
        <v>45422</v>
      </c>
      <c r="Q2094">
        <v>451</v>
      </c>
      <c r="R2094">
        <v>1138</v>
      </c>
      <c r="S2094" t="s">
        <v>23</v>
      </c>
      <c r="T2094">
        <v>4</v>
      </c>
      <c r="U2094" t="s">
        <v>83</v>
      </c>
      <c r="V2094" t="s">
        <v>24</v>
      </c>
      <c r="W2094" t="s">
        <v>23</v>
      </c>
    </row>
    <row r="2095" spans="1:23" x14ac:dyDescent="0.3">
      <c r="A2095" t="s">
        <v>4310</v>
      </c>
      <c r="B2095" t="s">
        <v>172</v>
      </c>
      <c r="C2095" t="s">
        <v>71</v>
      </c>
      <c r="D2095" t="s">
        <v>15</v>
      </c>
      <c r="E2095" t="s">
        <v>216</v>
      </c>
      <c r="F2095" t="s">
        <v>217</v>
      </c>
      <c r="G2095" t="s">
        <v>18</v>
      </c>
      <c r="H2095" t="s">
        <v>19</v>
      </c>
      <c r="I2095" t="str">
        <f>LEFT(H2095,FIND(" (",H2095)-1)</f>
        <v>Entry</v>
      </c>
      <c r="J2095" t="str">
        <f>MID(H2095,FIND("(",H2095)+1,FIND(")",H2095)-FIND("(",H2095)-1)</f>
        <v>0-2 yrs</v>
      </c>
      <c r="L2095">
        <v>55650</v>
      </c>
      <c r="M2095" t="s">
        <v>4311</v>
      </c>
      <c r="N2095" t="s">
        <v>149</v>
      </c>
      <c r="O2095" t="s">
        <v>51</v>
      </c>
      <c r="P2095" s="1">
        <v>45713</v>
      </c>
      <c r="Q2095">
        <v>1327</v>
      </c>
      <c r="R2095">
        <v>96</v>
      </c>
      <c r="S2095" t="s">
        <v>23</v>
      </c>
      <c r="T2095">
        <v>0</v>
      </c>
      <c r="U2095" t="s">
        <v>52</v>
      </c>
      <c r="V2095" t="s">
        <v>59</v>
      </c>
      <c r="W2095" t="s">
        <v>34</v>
      </c>
    </row>
    <row r="2096" spans="1:23" x14ac:dyDescent="0.3">
      <c r="A2096" t="s">
        <v>4312</v>
      </c>
      <c r="B2096" t="s">
        <v>143</v>
      </c>
      <c r="C2096" t="s">
        <v>192</v>
      </c>
      <c r="D2096" t="s">
        <v>174</v>
      </c>
      <c r="E2096" t="s">
        <v>5135</v>
      </c>
      <c r="F2096" t="s">
        <v>5133</v>
      </c>
      <c r="G2096" t="s">
        <v>41</v>
      </c>
      <c r="H2096" t="s">
        <v>19</v>
      </c>
      <c r="I2096" t="str">
        <f>LEFT(H2096,FIND(" (",H2096)-1)</f>
        <v>Entry</v>
      </c>
      <c r="J2096" t="str">
        <f>MID(H2096,FIND("(",H2096)+1,FIND(")",H2096)-FIND("(",H2096)-1)</f>
        <v>0-2 yrs</v>
      </c>
      <c r="L2096">
        <v>83092</v>
      </c>
      <c r="M2096" t="s">
        <v>4313</v>
      </c>
      <c r="N2096" t="s">
        <v>33</v>
      </c>
      <c r="O2096" t="s">
        <v>51</v>
      </c>
      <c r="P2096" s="1">
        <v>45673</v>
      </c>
      <c r="Q2096">
        <v>1438</v>
      </c>
      <c r="R2096">
        <v>3657</v>
      </c>
      <c r="S2096" t="s">
        <v>34</v>
      </c>
      <c r="T2096">
        <v>0</v>
      </c>
      <c r="U2096" t="s">
        <v>58</v>
      </c>
      <c r="V2096" t="s">
        <v>59</v>
      </c>
      <c r="W2096" t="s">
        <v>23</v>
      </c>
    </row>
    <row r="2097" spans="1:23" x14ac:dyDescent="0.3">
      <c r="A2097" t="s">
        <v>4314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 t="s">
        <v>55</v>
      </c>
      <c r="H2097" t="s">
        <v>31</v>
      </c>
      <c r="I2097" t="str">
        <f>LEFT(H2097,FIND(" (",H2097)-1)</f>
        <v>Staff/Principal</v>
      </c>
      <c r="J2097" t="str">
        <f>MID(H2097,FIND("(",H2097)+1,FIND(")",H2097)-FIND("(",H2097)-1)</f>
        <v>8+ yrs</v>
      </c>
      <c r="L2097">
        <v>197272</v>
      </c>
      <c r="M2097" t="s">
        <v>4315</v>
      </c>
      <c r="N2097" t="s">
        <v>245</v>
      </c>
      <c r="O2097" t="s">
        <v>51</v>
      </c>
      <c r="P2097" s="1">
        <v>45638</v>
      </c>
      <c r="Q2097">
        <v>587</v>
      </c>
      <c r="R2097">
        <v>496</v>
      </c>
      <c r="S2097" t="s">
        <v>34</v>
      </c>
      <c r="T2097">
        <v>6</v>
      </c>
      <c r="U2097" t="s">
        <v>83</v>
      </c>
      <c r="V2097" t="s">
        <v>59</v>
      </c>
      <c r="W2097" t="s">
        <v>34</v>
      </c>
    </row>
    <row r="2098" spans="1:23" x14ac:dyDescent="0.3">
      <c r="A2098" t="s">
        <v>4316</v>
      </c>
      <c r="B2098" t="s">
        <v>26</v>
      </c>
      <c r="C2098" t="s">
        <v>74</v>
      </c>
      <c r="D2098" t="s">
        <v>49</v>
      </c>
      <c r="E2098" t="s">
        <v>39</v>
      </c>
      <c r="F2098" t="s">
        <v>40</v>
      </c>
      <c r="G2098" t="s">
        <v>55</v>
      </c>
      <c r="H2098" t="s">
        <v>31</v>
      </c>
      <c r="I2098" t="str">
        <f>LEFT(H2098,FIND(" (",H2098)-1)</f>
        <v>Staff/Principal</v>
      </c>
      <c r="J2098" t="str">
        <f>MID(H2098,FIND("(",H2098)+1,FIND(")",H2098)-FIND("(",H2098)-1)</f>
        <v>8+ yrs</v>
      </c>
      <c r="L2098">
        <v>224137</v>
      </c>
      <c r="M2098" t="s">
        <v>4317</v>
      </c>
      <c r="N2098" t="s">
        <v>33</v>
      </c>
      <c r="O2098" t="s">
        <v>51</v>
      </c>
      <c r="P2098" s="1">
        <v>45348</v>
      </c>
      <c r="Q2098">
        <v>888</v>
      </c>
      <c r="R2098">
        <v>3454</v>
      </c>
      <c r="S2098" t="s">
        <v>23</v>
      </c>
      <c r="T2098">
        <v>6</v>
      </c>
      <c r="U2098" t="s">
        <v>5123</v>
      </c>
      <c r="V2098" t="s">
        <v>24</v>
      </c>
      <c r="W2098" t="s">
        <v>23</v>
      </c>
    </row>
    <row r="2099" spans="1:23" x14ac:dyDescent="0.3">
      <c r="A2099" t="s">
        <v>4318</v>
      </c>
      <c r="B2099" t="s">
        <v>26</v>
      </c>
      <c r="C2099" t="s">
        <v>48</v>
      </c>
      <c r="D2099" t="s">
        <v>75</v>
      </c>
      <c r="E2099" t="s">
        <v>102</v>
      </c>
      <c r="F2099" t="s">
        <v>103</v>
      </c>
      <c r="G2099" t="s">
        <v>18</v>
      </c>
      <c r="H2099" t="s">
        <v>66</v>
      </c>
      <c r="I2099" t="str">
        <f>LEFT(H2099,FIND(" (",H2099)-1)</f>
        <v>Senior</v>
      </c>
      <c r="J2099" t="str">
        <f>MID(H2099,FIND("(",H2099)+1,FIND(")",H2099)-FIND("(",H2099)-1)</f>
        <v>5-8 yrs</v>
      </c>
      <c r="L2099">
        <v>121059</v>
      </c>
      <c r="M2099" t="s">
        <v>4319</v>
      </c>
      <c r="N2099" t="s">
        <v>43</v>
      </c>
      <c r="O2099" t="s">
        <v>44</v>
      </c>
      <c r="P2099" s="1">
        <v>45636</v>
      </c>
      <c r="Q2099">
        <v>1806</v>
      </c>
      <c r="R2099">
        <v>801</v>
      </c>
      <c r="S2099" t="s">
        <v>23</v>
      </c>
      <c r="T2099">
        <v>4</v>
      </c>
      <c r="U2099" t="s">
        <v>52</v>
      </c>
      <c r="V2099" t="s">
        <v>24</v>
      </c>
      <c r="W2099" t="s">
        <v>23</v>
      </c>
    </row>
    <row r="2100" spans="1:23" x14ac:dyDescent="0.3">
      <c r="A2100" t="s">
        <v>4320</v>
      </c>
      <c r="B2100" t="s">
        <v>106</v>
      </c>
      <c r="C2100" t="s">
        <v>14</v>
      </c>
      <c r="D2100" t="s">
        <v>111</v>
      </c>
      <c r="E2100" t="s">
        <v>5139</v>
      </c>
      <c r="F2100" t="s">
        <v>5133</v>
      </c>
      <c r="G2100" t="s">
        <v>18</v>
      </c>
      <c r="H2100" t="s">
        <v>31</v>
      </c>
      <c r="I2100" t="str">
        <f>LEFT(H2100,FIND(" (",H2100)-1)</f>
        <v>Staff/Principal</v>
      </c>
      <c r="J2100" t="str">
        <f>MID(H2100,FIND("(",H2100)+1,FIND(")",H2100)-FIND("(",H2100)-1)</f>
        <v>8+ yrs</v>
      </c>
      <c r="L2100">
        <v>144064</v>
      </c>
      <c r="M2100" t="s">
        <v>4321</v>
      </c>
      <c r="N2100" t="s">
        <v>149</v>
      </c>
      <c r="O2100" t="s">
        <v>44</v>
      </c>
      <c r="P2100" s="1">
        <v>45563</v>
      </c>
      <c r="Q2100">
        <v>1345</v>
      </c>
      <c r="R2100">
        <v>2252</v>
      </c>
      <c r="S2100" t="s">
        <v>23</v>
      </c>
      <c r="T2100">
        <v>6</v>
      </c>
      <c r="U2100" t="s">
        <v>5123</v>
      </c>
      <c r="V2100" t="s">
        <v>24</v>
      </c>
      <c r="W2100" t="s">
        <v>34</v>
      </c>
    </row>
    <row r="2101" spans="1:23" x14ac:dyDescent="0.3">
      <c r="A2101" t="s">
        <v>4322</v>
      </c>
      <c r="B2101" t="s">
        <v>151</v>
      </c>
      <c r="C2101" t="s">
        <v>101</v>
      </c>
      <c r="D2101" t="s">
        <v>15</v>
      </c>
      <c r="E2101" t="s">
        <v>16</v>
      </c>
      <c r="F2101" t="s">
        <v>17</v>
      </c>
      <c r="G2101" t="s">
        <v>18</v>
      </c>
      <c r="H2101" t="s">
        <v>19</v>
      </c>
      <c r="I2101" t="str">
        <f>LEFT(H2101,FIND(" (",H2101)-1)</f>
        <v>Entry</v>
      </c>
      <c r="J2101" t="str">
        <f>MID(H2101,FIND("(",H2101)+1,FIND(")",H2101)-FIND("(",H2101)-1)</f>
        <v>0-2 yrs</v>
      </c>
      <c r="L2101">
        <v>80305</v>
      </c>
      <c r="M2101" t="s">
        <v>4323</v>
      </c>
      <c r="N2101" t="s">
        <v>33</v>
      </c>
      <c r="O2101" t="s">
        <v>44</v>
      </c>
      <c r="P2101" s="1">
        <v>45519</v>
      </c>
      <c r="Q2101">
        <v>1579</v>
      </c>
      <c r="R2101">
        <v>3978</v>
      </c>
      <c r="S2101" t="s">
        <v>23</v>
      </c>
      <c r="T2101">
        <v>0</v>
      </c>
      <c r="U2101" t="s">
        <v>58</v>
      </c>
      <c r="V2101" t="s">
        <v>59</v>
      </c>
      <c r="W2101" t="s">
        <v>23</v>
      </c>
    </row>
    <row r="2102" spans="1:23" x14ac:dyDescent="0.3">
      <c r="A2102" t="s">
        <v>4324</v>
      </c>
      <c r="B2102" t="s">
        <v>222</v>
      </c>
      <c r="C2102" t="s">
        <v>107</v>
      </c>
      <c r="D2102" t="s">
        <v>28</v>
      </c>
      <c r="E2102" t="s">
        <v>76</v>
      </c>
      <c r="F2102" t="s">
        <v>77</v>
      </c>
      <c r="G2102" t="s">
        <v>41</v>
      </c>
      <c r="H2102" t="s">
        <v>31</v>
      </c>
      <c r="I2102" t="str">
        <f>LEFT(H2102,FIND(" (",H2102)-1)</f>
        <v>Staff/Principal</v>
      </c>
      <c r="J2102" t="str">
        <f>MID(H2102,FIND("(",H2102)+1,FIND(")",H2102)-FIND("(",H2102)-1)</f>
        <v>8+ yrs</v>
      </c>
      <c r="L2102">
        <v>213550</v>
      </c>
      <c r="M2102" t="s">
        <v>4325</v>
      </c>
      <c r="N2102" t="s">
        <v>33</v>
      </c>
      <c r="O2102" t="s">
        <v>22</v>
      </c>
      <c r="P2102" s="1">
        <v>45382</v>
      </c>
      <c r="Q2102">
        <v>2288</v>
      </c>
      <c r="R2102">
        <v>2368</v>
      </c>
      <c r="S2102" t="s">
        <v>23</v>
      </c>
      <c r="T2102">
        <v>6</v>
      </c>
      <c r="U2102" t="s">
        <v>83</v>
      </c>
      <c r="V2102" t="s">
        <v>24</v>
      </c>
      <c r="W2102" t="s">
        <v>23</v>
      </c>
    </row>
    <row r="2103" spans="1:23" x14ac:dyDescent="0.3">
      <c r="A2103" t="s">
        <v>4326</v>
      </c>
      <c r="B2103" t="s">
        <v>13</v>
      </c>
      <c r="C2103" t="s">
        <v>146</v>
      </c>
      <c r="D2103" t="s">
        <v>75</v>
      </c>
      <c r="E2103" t="s">
        <v>87</v>
      </c>
      <c r="F2103" t="s">
        <v>87</v>
      </c>
      <c r="G2103" t="s">
        <v>55</v>
      </c>
      <c r="H2103" t="s">
        <v>31</v>
      </c>
      <c r="I2103" t="str">
        <f>LEFT(H2103,FIND(" (",H2103)-1)</f>
        <v>Staff/Principal</v>
      </c>
      <c r="J2103" t="str">
        <f>MID(H2103,FIND("(",H2103)+1,FIND(")",H2103)-FIND("(",H2103)-1)</f>
        <v>8+ yrs</v>
      </c>
      <c r="L2103">
        <v>167526</v>
      </c>
      <c r="M2103" t="s">
        <v>4327</v>
      </c>
      <c r="N2103" t="s">
        <v>33</v>
      </c>
      <c r="O2103" t="s">
        <v>44</v>
      </c>
      <c r="P2103" s="1">
        <v>45500</v>
      </c>
      <c r="Q2103">
        <v>1296</v>
      </c>
      <c r="R2103">
        <v>3920</v>
      </c>
      <c r="S2103" t="s">
        <v>23</v>
      </c>
      <c r="T2103">
        <v>6</v>
      </c>
      <c r="U2103" t="s">
        <v>5123</v>
      </c>
      <c r="V2103" t="s">
        <v>59</v>
      </c>
      <c r="W2103" t="s">
        <v>23</v>
      </c>
    </row>
    <row r="2104" spans="1:23" x14ac:dyDescent="0.3">
      <c r="A2104" t="s">
        <v>4328</v>
      </c>
      <c r="B2104" t="s">
        <v>236</v>
      </c>
      <c r="C2104" t="s">
        <v>146</v>
      </c>
      <c r="D2104" t="s">
        <v>49</v>
      </c>
      <c r="E2104" t="s">
        <v>200</v>
      </c>
      <c r="F2104" t="s">
        <v>201</v>
      </c>
      <c r="G2104" t="s">
        <v>41</v>
      </c>
      <c r="H2104" t="s">
        <v>56</v>
      </c>
      <c r="I2104" t="str">
        <f>LEFT(H2104,FIND(" (",H2104)-1)</f>
        <v>Mid</v>
      </c>
      <c r="J2104" t="str">
        <f>MID(H2104,FIND("(",H2104)+1,FIND(")",H2104)-FIND("(",H2104)-1)</f>
        <v>2-5 yrs</v>
      </c>
      <c r="L2104">
        <v>92780</v>
      </c>
      <c r="M2104" t="s">
        <v>4329</v>
      </c>
      <c r="N2104" t="s">
        <v>89</v>
      </c>
      <c r="O2104" t="s">
        <v>51</v>
      </c>
      <c r="P2104" s="1">
        <v>45365</v>
      </c>
      <c r="Q2104">
        <v>1098</v>
      </c>
      <c r="R2104">
        <v>2937</v>
      </c>
      <c r="S2104" t="s">
        <v>23</v>
      </c>
      <c r="T2104">
        <v>2</v>
      </c>
      <c r="U2104" t="s">
        <v>5123</v>
      </c>
      <c r="V2104" t="s">
        <v>24</v>
      </c>
      <c r="W2104" t="s">
        <v>23</v>
      </c>
    </row>
    <row r="2105" spans="1:23" x14ac:dyDescent="0.3">
      <c r="A2105" t="s">
        <v>4330</v>
      </c>
      <c r="B2105" t="s">
        <v>151</v>
      </c>
      <c r="C2105" t="s">
        <v>14</v>
      </c>
      <c r="D2105" t="s">
        <v>147</v>
      </c>
      <c r="E2105" t="s">
        <v>5135</v>
      </c>
      <c r="F2105" t="s">
        <v>5133</v>
      </c>
      <c r="G2105" t="s">
        <v>55</v>
      </c>
      <c r="H2105" t="s">
        <v>66</v>
      </c>
      <c r="I2105" t="str">
        <f>LEFT(H2105,FIND(" (",H2105)-1)</f>
        <v>Senior</v>
      </c>
      <c r="J2105" t="str">
        <f>MID(H2105,FIND("(",H2105)+1,FIND(")",H2105)-FIND("(",H2105)-1)</f>
        <v>5-8 yrs</v>
      </c>
      <c r="L2105">
        <v>180386</v>
      </c>
      <c r="M2105" t="s">
        <v>4331</v>
      </c>
      <c r="N2105" t="s">
        <v>149</v>
      </c>
      <c r="O2105" t="s">
        <v>44</v>
      </c>
      <c r="P2105" s="1">
        <v>45372</v>
      </c>
      <c r="Q2105">
        <v>2204</v>
      </c>
      <c r="R2105">
        <v>1452</v>
      </c>
      <c r="S2105" t="s">
        <v>34</v>
      </c>
      <c r="T2105">
        <v>4</v>
      </c>
      <c r="U2105" t="s">
        <v>5123</v>
      </c>
      <c r="V2105" t="s">
        <v>24</v>
      </c>
      <c r="W2105" t="s">
        <v>23</v>
      </c>
    </row>
    <row r="2106" spans="1:23" x14ac:dyDescent="0.3">
      <c r="A2106" t="s">
        <v>4332</v>
      </c>
      <c r="B2106" t="s">
        <v>172</v>
      </c>
      <c r="C2106" t="s">
        <v>167</v>
      </c>
      <c r="D2106" t="s">
        <v>111</v>
      </c>
      <c r="E2106" t="s">
        <v>5137</v>
      </c>
      <c r="F2106" t="s">
        <v>5138</v>
      </c>
      <c r="G2106" t="s">
        <v>18</v>
      </c>
      <c r="H2106" t="s">
        <v>31</v>
      </c>
      <c r="I2106" t="str">
        <f>LEFT(H2106,FIND(" (",H2106)-1)</f>
        <v>Staff/Principal</v>
      </c>
      <c r="J2106" t="str">
        <f>MID(H2106,FIND("(",H2106)+1,FIND(")",H2106)-FIND("(",H2106)-1)</f>
        <v>8+ yrs</v>
      </c>
      <c r="L2106">
        <v>157181</v>
      </c>
      <c r="M2106" t="s">
        <v>4333</v>
      </c>
      <c r="N2106" t="s">
        <v>89</v>
      </c>
      <c r="O2106" t="s">
        <v>44</v>
      </c>
      <c r="P2106" s="1">
        <v>45401</v>
      </c>
      <c r="Q2106">
        <v>396</v>
      </c>
      <c r="R2106">
        <v>2826</v>
      </c>
      <c r="S2106" t="s">
        <v>23</v>
      </c>
      <c r="T2106">
        <v>6</v>
      </c>
      <c r="U2106" t="s">
        <v>83</v>
      </c>
      <c r="V2106" t="s">
        <v>24</v>
      </c>
      <c r="W2106" t="s">
        <v>34</v>
      </c>
    </row>
    <row r="2107" spans="1:23" x14ac:dyDescent="0.3">
      <c r="A2107" t="s">
        <v>4334</v>
      </c>
      <c r="B2107" t="s">
        <v>329</v>
      </c>
      <c r="C2107" t="s">
        <v>179</v>
      </c>
      <c r="D2107" t="s">
        <v>38</v>
      </c>
      <c r="E2107" t="s">
        <v>5134</v>
      </c>
      <c r="F2107" t="s">
        <v>5133</v>
      </c>
      <c r="G2107" t="s">
        <v>18</v>
      </c>
      <c r="H2107" t="s">
        <v>31</v>
      </c>
      <c r="I2107" t="str">
        <f>LEFT(H2107,FIND(" (",H2107)-1)</f>
        <v>Staff/Principal</v>
      </c>
      <c r="J2107" t="str">
        <f>MID(H2107,FIND("(",H2107)+1,FIND(")",H2107)-FIND("(",H2107)-1)</f>
        <v>8+ yrs</v>
      </c>
      <c r="L2107">
        <v>259136</v>
      </c>
      <c r="M2107" t="s">
        <v>4335</v>
      </c>
      <c r="N2107" t="s">
        <v>43</v>
      </c>
      <c r="O2107" t="s">
        <v>79</v>
      </c>
      <c r="P2107" s="1">
        <v>45734</v>
      </c>
      <c r="Q2107">
        <v>1923</v>
      </c>
      <c r="R2107">
        <v>2632</v>
      </c>
      <c r="S2107" t="s">
        <v>99</v>
      </c>
      <c r="T2107">
        <v>6</v>
      </c>
      <c r="U2107" t="s">
        <v>52</v>
      </c>
      <c r="V2107" t="s">
        <v>24</v>
      </c>
      <c r="W2107" t="s">
        <v>34</v>
      </c>
    </row>
    <row r="2108" spans="1:23" x14ac:dyDescent="0.3">
      <c r="A2108" t="s">
        <v>4336</v>
      </c>
      <c r="B2108" t="s">
        <v>81</v>
      </c>
      <c r="C2108" t="s">
        <v>86</v>
      </c>
      <c r="D2108" t="s">
        <v>75</v>
      </c>
      <c r="E2108" t="s">
        <v>16</v>
      </c>
      <c r="F2108" t="s">
        <v>17</v>
      </c>
      <c r="G2108" t="s">
        <v>55</v>
      </c>
      <c r="H2108" t="s">
        <v>31</v>
      </c>
      <c r="I2108" t="str">
        <f>LEFT(H2108,FIND(" (",H2108)-1)</f>
        <v>Staff/Principal</v>
      </c>
      <c r="J2108" t="str">
        <f>MID(H2108,FIND("(",H2108)+1,FIND(")",H2108)-FIND("(",H2108)-1)</f>
        <v>8+ yrs</v>
      </c>
      <c r="L2108">
        <v>167577</v>
      </c>
      <c r="M2108" t="s">
        <v>4337</v>
      </c>
      <c r="N2108" t="s">
        <v>33</v>
      </c>
      <c r="O2108" t="s">
        <v>22</v>
      </c>
      <c r="P2108" s="1">
        <v>45356</v>
      </c>
      <c r="Q2108">
        <v>483</v>
      </c>
      <c r="R2108">
        <v>2803</v>
      </c>
      <c r="S2108" t="s">
        <v>34</v>
      </c>
      <c r="T2108">
        <v>6</v>
      </c>
      <c r="U2108" t="s">
        <v>83</v>
      </c>
      <c r="V2108" t="s">
        <v>24</v>
      </c>
      <c r="W2108" t="s">
        <v>23</v>
      </c>
    </row>
    <row r="2109" spans="1:23" x14ac:dyDescent="0.3">
      <c r="A2109" t="s">
        <v>4338</v>
      </c>
      <c r="B2109" t="s">
        <v>13</v>
      </c>
      <c r="C2109" t="s">
        <v>128</v>
      </c>
      <c r="D2109" t="s">
        <v>63</v>
      </c>
      <c r="E2109" t="s">
        <v>5141</v>
      </c>
      <c r="F2109" t="s">
        <v>5133</v>
      </c>
      <c r="G2109" t="s">
        <v>18</v>
      </c>
      <c r="H2109" t="s">
        <v>66</v>
      </c>
      <c r="I2109" t="str">
        <f>LEFT(H2109,FIND(" (",H2109)-1)</f>
        <v>Senior</v>
      </c>
      <c r="J2109" t="str">
        <f>MID(H2109,FIND("(",H2109)+1,FIND(")",H2109)-FIND("(",H2109)-1)</f>
        <v>5-8 yrs</v>
      </c>
      <c r="L2109">
        <v>167236</v>
      </c>
      <c r="M2109" t="s">
        <v>4339</v>
      </c>
      <c r="N2109" t="s">
        <v>21</v>
      </c>
      <c r="O2109" t="s">
        <v>22</v>
      </c>
      <c r="P2109" s="1">
        <v>45708</v>
      </c>
      <c r="Q2109">
        <v>853</v>
      </c>
      <c r="R2109">
        <v>643</v>
      </c>
      <c r="S2109" t="s">
        <v>23</v>
      </c>
      <c r="T2109">
        <v>4</v>
      </c>
      <c r="U2109" t="s">
        <v>5123</v>
      </c>
      <c r="V2109" t="s">
        <v>59</v>
      </c>
      <c r="W2109" t="s">
        <v>23</v>
      </c>
    </row>
    <row r="2110" spans="1:23" x14ac:dyDescent="0.3">
      <c r="A2110" t="s">
        <v>4340</v>
      </c>
      <c r="B2110" t="s">
        <v>137</v>
      </c>
      <c r="C2110" t="s">
        <v>167</v>
      </c>
      <c r="D2110" t="s">
        <v>49</v>
      </c>
      <c r="E2110" t="s">
        <v>5139</v>
      </c>
      <c r="F2110" t="s">
        <v>5133</v>
      </c>
      <c r="G2110" t="s">
        <v>18</v>
      </c>
      <c r="H2110" t="s">
        <v>31</v>
      </c>
      <c r="I2110" t="str">
        <f>LEFT(H2110,FIND(" (",H2110)-1)</f>
        <v>Staff/Principal</v>
      </c>
      <c r="J2110" t="str">
        <f>MID(H2110,FIND("(",H2110)+1,FIND(")",H2110)-FIND("(",H2110)-1)</f>
        <v>8+ yrs</v>
      </c>
      <c r="L2110">
        <v>188169</v>
      </c>
      <c r="M2110" t="s">
        <v>4341</v>
      </c>
      <c r="N2110" t="s">
        <v>120</v>
      </c>
      <c r="O2110" t="s">
        <v>51</v>
      </c>
      <c r="P2110" s="1">
        <v>45457</v>
      </c>
      <c r="Q2110">
        <v>1987</v>
      </c>
      <c r="R2110">
        <v>2325</v>
      </c>
      <c r="S2110" t="s">
        <v>23</v>
      </c>
      <c r="T2110">
        <v>6</v>
      </c>
      <c r="U2110" t="s">
        <v>45</v>
      </c>
      <c r="V2110" t="s">
        <v>24</v>
      </c>
      <c r="W2110" t="s">
        <v>34</v>
      </c>
    </row>
    <row r="2111" spans="1:23" x14ac:dyDescent="0.3">
      <c r="A2111" t="s">
        <v>4342</v>
      </c>
      <c r="B2111" t="s">
        <v>131</v>
      </c>
      <c r="C2111" t="s">
        <v>132</v>
      </c>
      <c r="D2111" t="s">
        <v>174</v>
      </c>
      <c r="E2111" t="s">
        <v>5136</v>
      </c>
      <c r="F2111" t="s">
        <v>5133</v>
      </c>
      <c r="G2111" t="s">
        <v>41</v>
      </c>
      <c r="H2111" t="s">
        <v>31</v>
      </c>
      <c r="I2111" t="str">
        <f>LEFT(H2111,FIND(" (",H2111)-1)</f>
        <v>Staff/Principal</v>
      </c>
      <c r="J2111" t="str">
        <f>MID(H2111,FIND("(",H2111)+1,FIND(")",H2111)-FIND("(",H2111)-1)</f>
        <v>8+ yrs</v>
      </c>
      <c r="L2111">
        <v>221714</v>
      </c>
      <c r="M2111" t="s">
        <v>4343</v>
      </c>
      <c r="N2111" t="s">
        <v>94</v>
      </c>
      <c r="O2111" t="s">
        <v>51</v>
      </c>
      <c r="P2111" s="1">
        <v>45632</v>
      </c>
      <c r="Q2111">
        <v>1065</v>
      </c>
      <c r="R2111">
        <v>484</v>
      </c>
      <c r="S2111" t="s">
        <v>34</v>
      </c>
      <c r="T2111">
        <v>6</v>
      </c>
      <c r="U2111" t="s">
        <v>58</v>
      </c>
      <c r="V2111" t="s">
        <v>59</v>
      </c>
      <c r="W2111" t="s">
        <v>23</v>
      </c>
    </row>
    <row r="2112" spans="1:23" x14ac:dyDescent="0.3">
      <c r="A2112" t="s">
        <v>4344</v>
      </c>
      <c r="B2112" t="s">
        <v>26</v>
      </c>
      <c r="C2112" t="s">
        <v>48</v>
      </c>
      <c r="D2112" t="s">
        <v>174</v>
      </c>
      <c r="E2112" t="s">
        <v>230</v>
      </c>
      <c r="F2112" t="s">
        <v>231</v>
      </c>
      <c r="G2112" t="s">
        <v>18</v>
      </c>
      <c r="H2112" t="s">
        <v>31</v>
      </c>
      <c r="I2112" t="str">
        <f>LEFT(H2112,FIND(" (",H2112)-1)</f>
        <v>Staff/Principal</v>
      </c>
      <c r="J2112" t="str">
        <f>MID(H2112,FIND("(",H2112)+1,FIND(")",H2112)-FIND("(",H2112)-1)</f>
        <v>8+ yrs</v>
      </c>
      <c r="L2112">
        <v>180411</v>
      </c>
      <c r="M2112" t="s">
        <v>4345</v>
      </c>
      <c r="N2112" t="s">
        <v>43</v>
      </c>
      <c r="O2112" t="s">
        <v>79</v>
      </c>
      <c r="P2112" s="1">
        <v>45718</v>
      </c>
      <c r="Q2112">
        <v>334</v>
      </c>
      <c r="R2112">
        <v>1501</v>
      </c>
      <c r="S2112" t="s">
        <v>99</v>
      </c>
      <c r="T2112">
        <v>6</v>
      </c>
      <c r="U2112" t="s">
        <v>52</v>
      </c>
      <c r="V2112" t="s">
        <v>24</v>
      </c>
      <c r="W2112" t="s">
        <v>34</v>
      </c>
    </row>
    <row r="2113" spans="1:23" x14ac:dyDescent="0.3">
      <c r="A2113" t="s">
        <v>4346</v>
      </c>
      <c r="B2113" t="s">
        <v>26</v>
      </c>
      <c r="C2113" t="s">
        <v>37</v>
      </c>
      <c r="D2113" t="s">
        <v>75</v>
      </c>
      <c r="E2113" t="s">
        <v>133</v>
      </c>
      <c r="F2113" t="s">
        <v>134</v>
      </c>
      <c r="G2113" t="s">
        <v>41</v>
      </c>
      <c r="H2113" t="s">
        <v>31</v>
      </c>
      <c r="I2113" t="str">
        <f>LEFT(H2113,FIND(" (",H2113)-1)</f>
        <v>Staff/Principal</v>
      </c>
      <c r="J2113" t="str">
        <f>MID(H2113,FIND("(",H2113)+1,FIND(")",H2113)-FIND("(",H2113)-1)</f>
        <v>8+ yrs</v>
      </c>
      <c r="L2113">
        <v>194139</v>
      </c>
      <c r="M2113" t="s">
        <v>4347</v>
      </c>
      <c r="N2113" t="s">
        <v>21</v>
      </c>
      <c r="O2113" t="s">
        <v>51</v>
      </c>
      <c r="P2113" s="1">
        <v>45700</v>
      </c>
      <c r="Q2113">
        <v>1009</v>
      </c>
      <c r="R2113">
        <v>3830</v>
      </c>
      <c r="S2113" t="s">
        <v>99</v>
      </c>
      <c r="T2113">
        <v>6</v>
      </c>
      <c r="U2113" t="s">
        <v>83</v>
      </c>
      <c r="V2113" t="s">
        <v>24</v>
      </c>
      <c r="W2113" t="s">
        <v>34</v>
      </c>
    </row>
    <row r="2114" spans="1:23" x14ac:dyDescent="0.3">
      <c r="A2114" t="s">
        <v>4348</v>
      </c>
      <c r="B2114" t="s">
        <v>137</v>
      </c>
      <c r="C2114" t="s">
        <v>158</v>
      </c>
      <c r="D2114" t="s">
        <v>111</v>
      </c>
      <c r="E2114" t="s">
        <v>5132</v>
      </c>
      <c r="F2114" t="s">
        <v>5133</v>
      </c>
      <c r="G2114" t="s">
        <v>18</v>
      </c>
      <c r="H2114" t="s">
        <v>56</v>
      </c>
      <c r="I2114" t="str">
        <f>LEFT(H2114,FIND(" (",H2114)-1)</f>
        <v>Mid</v>
      </c>
      <c r="J2114" t="str">
        <f>MID(H2114,FIND("(",H2114)+1,FIND(")",H2114)-FIND("(",H2114)-1)</f>
        <v>2-5 yrs</v>
      </c>
      <c r="L2114">
        <v>110810</v>
      </c>
      <c r="M2114" t="s">
        <v>4349</v>
      </c>
      <c r="N2114" t="s">
        <v>89</v>
      </c>
      <c r="O2114" t="s">
        <v>44</v>
      </c>
      <c r="P2114" s="1">
        <v>45309</v>
      </c>
      <c r="Q2114">
        <v>2129</v>
      </c>
      <c r="R2114">
        <v>2855</v>
      </c>
      <c r="S2114" t="s">
        <v>99</v>
      </c>
      <c r="T2114">
        <v>2</v>
      </c>
      <c r="U2114" t="s">
        <v>5123</v>
      </c>
      <c r="V2114" t="s">
        <v>59</v>
      </c>
      <c r="W2114" t="s">
        <v>34</v>
      </c>
    </row>
    <row r="2115" spans="1:23" x14ac:dyDescent="0.3">
      <c r="A2115" t="s">
        <v>4350</v>
      </c>
      <c r="B2115" t="s">
        <v>131</v>
      </c>
      <c r="C2115" t="s">
        <v>173</v>
      </c>
      <c r="D2115" t="s">
        <v>174</v>
      </c>
      <c r="E2115" t="s">
        <v>200</v>
      </c>
      <c r="F2115" t="s">
        <v>201</v>
      </c>
      <c r="G2115" t="s">
        <v>18</v>
      </c>
      <c r="H2115" t="s">
        <v>66</v>
      </c>
      <c r="I2115" t="str">
        <f>LEFT(H2115,FIND(" (",H2115)-1)</f>
        <v>Senior</v>
      </c>
      <c r="J2115" t="str">
        <f>MID(H2115,FIND("(",H2115)+1,FIND(")",H2115)-FIND("(",H2115)-1)</f>
        <v>5-8 yrs</v>
      </c>
      <c r="L2115">
        <v>122940</v>
      </c>
      <c r="M2115" t="s">
        <v>4351</v>
      </c>
      <c r="N2115" t="s">
        <v>33</v>
      </c>
      <c r="O2115" t="s">
        <v>51</v>
      </c>
      <c r="P2115" s="1">
        <v>45326</v>
      </c>
      <c r="Q2115">
        <v>381</v>
      </c>
      <c r="R2115">
        <v>2750</v>
      </c>
      <c r="S2115" t="s">
        <v>34</v>
      </c>
      <c r="T2115">
        <v>4</v>
      </c>
      <c r="U2115" t="s">
        <v>58</v>
      </c>
      <c r="V2115" t="s">
        <v>24</v>
      </c>
      <c r="W2115" t="s">
        <v>34</v>
      </c>
    </row>
    <row r="2116" spans="1:23" x14ac:dyDescent="0.3">
      <c r="A2116" t="s">
        <v>4352</v>
      </c>
      <c r="B2116" t="s">
        <v>106</v>
      </c>
      <c r="C2116" t="s">
        <v>158</v>
      </c>
      <c r="D2116" t="s">
        <v>147</v>
      </c>
      <c r="E2116" t="s">
        <v>5139</v>
      </c>
      <c r="F2116" t="s">
        <v>5133</v>
      </c>
      <c r="G2116" t="s">
        <v>41</v>
      </c>
      <c r="H2116" t="s">
        <v>66</v>
      </c>
      <c r="I2116" t="str">
        <f>LEFT(H2116,FIND(" (",H2116)-1)</f>
        <v>Senior</v>
      </c>
      <c r="J2116" t="str">
        <f>MID(H2116,FIND("(",H2116)+1,FIND(")",H2116)-FIND("(",H2116)-1)</f>
        <v>5-8 yrs</v>
      </c>
      <c r="L2116">
        <v>170002</v>
      </c>
      <c r="M2116" t="s">
        <v>4353</v>
      </c>
      <c r="N2116" t="s">
        <v>33</v>
      </c>
      <c r="O2116" t="s">
        <v>44</v>
      </c>
      <c r="P2116" s="1">
        <v>45495</v>
      </c>
      <c r="Q2116">
        <v>1316</v>
      </c>
      <c r="R2116">
        <v>629</v>
      </c>
      <c r="S2116" t="s">
        <v>23</v>
      </c>
      <c r="T2116">
        <v>4</v>
      </c>
      <c r="U2116" t="s">
        <v>52</v>
      </c>
      <c r="V2116" t="s">
        <v>59</v>
      </c>
      <c r="W2116" t="s">
        <v>23</v>
      </c>
    </row>
    <row r="2117" spans="1:23" x14ac:dyDescent="0.3">
      <c r="A2117" t="s">
        <v>4354</v>
      </c>
      <c r="B2117" t="s">
        <v>172</v>
      </c>
      <c r="C2117" t="s">
        <v>107</v>
      </c>
      <c r="D2117" t="s">
        <v>63</v>
      </c>
      <c r="E2117" t="s">
        <v>76</v>
      </c>
      <c r="F2117" t="s">
        <v>77</v>
      </c>
      <c r="G2117" t="s">
        <v>18</v>
      </c>
      <c r="H2117" t="s">
        <v>19</v>
      </c>
      <c r="I2117" t="str">
        <f>LEFT(H2117,FIND(" (",H2117)-1)</f>
        <v>Entry</v>
      </c>
      <c r="J2117" t="str">
        <f>MID(H2117,FIND("(",H2117)+1,FIND(")",H2117)-FIND("(",H2117)-1)</f>
        <v>0-2 yrs</v>
      </c>
      <c r="L2117">
        <v>63533</v>
      </c>
      <c r="M2117" t="s">
        <v>4355</v>
      </c>
      <c r="N2117" t="s">
        <v>21</v>
      </c>
      <c r="O2117" t="s">
        <v>22</v>
      </c>
      <c r="P2117" s="1">
        <v>45293</v>
      </c>
      <c r="Q2117">
        <v>2492</v>
      </c>
      <c r="R2117">
        <v>1126</v>
      </c>
      <c r="S2117" t="s">
        <v>34</v>
      </c>
      <c r="T2117">
        <v>0</v>
      </c>
      <c r="U2117" t="s">
        <v>83</v>
      </c>
      <c r="V2117" t="s">
        <v>24</v>
      </c>
      <c r="W2117" t="s">
        <v>23</v>
      </c>
    </row>
    <row r="2118" spans="1:23" x14ac:dyDescent="0.3">
      <c r="A2118" t="s">
        <v>4356</v>
      </c>
      <c r="B2118" t="s">
        <v>36</v>
      </c>
      <c r="C2118" t="s">
        <v>62</v>
      </c>
      <c r="D2118" t="s">
        <v>49</v>
      </c>
      <c r="E2118" t="s">
        <v>39</v>
      </c>
      <c r="F2118" t="s">
        <v>40</v>
      </c>
      <c r="G2118" t="s">
        <v>41</v>
      </c>
      <c r="H2118" t="s">
        <v>56</v>
      </c>
      <c r="I2118" t="str">
        <f>LEFT(H2118,FIND(" (",H2118)-1)</f>
        <v>Mid</v>
      </c>
      <c r="J2118" t="str">
        <f>MID(H2118,FIND("(",H2118)+1,FIND(")",H2118)-FIND("(",H2118)-1)</f>
        <v>2-5 yrs</v>
      </c>
      <c r="L2118">
        <v>105473</v>
      </c>
      <c r="M2118" t="s">
        <v>4357</v>
      </c>
      <c r="N2118" t="s">
        <v>33</v>
      </c>
      <c r="O2118" t="s">
        <v>51</v>
      </c>
      <c r="P2118" s="1">
        <v>45446</v>
      </c>
      <c r="Q2118">
        <v>1322</v>
      </c>
      <c r="R2118">
        <v>43</v>
      </c>
      <c r="S2118" t="s">
        <v>23</v>
      </c>
      <c r="T2118">
        <v>2</v>
      </c>
      <c r="U2118" t="s">
        <v>83</v>
      </c>
      <c r="V2118" t="s">
        <v>59</v>
      </c>
      <c r="W2118" t="s">
        <v>34</v>
      </c>
    </row>
    <row r="2119" spans="1:23" x14ac:dyDescent="0.3">
      <c r="A2119" t="s">
        <v>4358</v>
      </c>
      <c r="B2119" t="s">
        <v>26</v>
      </c>
      <c r="C2119" t="s">
        <v>179</v>
      </c>
      <c r="D2119" t="s">
        <v>15</v>
      </c>
      <c r="E2119" t="s">
        <v>5132</v>
      </c>
      <c r="F2119" t="s">
        <v>5133</v>
      </c>
      <c r="G2119" t="s">
        <v>55</v>
      </c>
      <c r="H2119" t="s">
        <v>19</v>
      </c>
      <c r="I2119" t="str">
        <f>LEFT(H2119,FIND(" (",H2119)-1)</f>
        <v>Entry</v>
      </c>
      <c r="J2119" t="str">
        <f>MID(H2119,FIND("(",H2119)+1,FIND(")",H2119)-FIND("(",H2119)-1)</f>
        <v>0-2 yrs</v>
      </c>
      <c r="L2119">
        <v>57471</v>
      </c>
      <c r="M2119" t="s">
        <v>4359</v>
      </c>
      <c r="N2119" t="s">
        <v>245</v>
      </c>
      <c r="O2119" t="s">
        <v>51</v>
      </c>
      <c r="P2119" s="1">
        <v>45552</v>
      </c>
      <c r="Q2119">
        <v>436</v>
      </c>
      <c r="R2119">
        <v>2274</v>
      </c>
      <c r="S2119" t="s">
        <v>23</v>
      </c>
      <c r="T2119">
        <v>0</v>
      </c>
      <c r="U2119" t="s">
        <v>5123</v>
      </c>
      <c r="V2119" t="s">
        <v>24</v>
      </c>
      <c r="W2119" t="s">
        <v>23</v>
      </c>
    </row>
    <row r="2120" spans="1:23" x14ac:dyDescent="0.3">
      <c r="A2120" t="s">
        <v>4360</v>
      </c>
      <c r="B2120" t="s">
        <v>236</v>
      </c>
      <c r="C2120" t="s">
        <v>71</v>
      </c>
      <c r="D2120" t="s">
        <v>38</v>
      </c>
      <c r="E2120" t="s">
        <v>29</v>
      </c>
      <c r="F2120" t="s">
        <v>30</v>
      </c>
      <c r="G2120" t="s">
        <v>18</v>
      </c>
      <c r="H2120" t="s">
        <v>31</v>
      </c>
      <c r="I2120" t="str">
        <f>LEFT(H2120,FIND(" (",H2120)-1)</f>
        <v>Staff/Principal</v>
      </c>
      <c r="J2120" t="str">
        <f>MID(H2120,FIND("(",H2120)+1,FIND(")",H2120)-FIND("(",H2120)-1)</f>
        <v>8+ yrs</v>
      </c>
      <c r="L2120">
        <v>107755</v>
      </c>
      <c r="M2120" t="s">
        <v>4361</v>
      </c>
      <c r="N2120" t="s">
        <v>149</v>
      </c>
      <c r="O2120" t="s">
        <v>79</v>
      </c>
      <c r="P2120" s="1">
        <v>45620</v>
      </c>
      <c r="Q2120">
        <v>698</v>
      </c>
      <c r="R2120">
        <v>1693</v>
      </c>
      <c r="S2120" t="s">
        <v>23</v>
      </c>
      <c r="T2120">
        <v>6</v>
      </c>
      <c r="U2120" t="s">
        <v>83</v>
      </c>
      <c r="V2120" t="s">
        <v>24</v>
      </c>
      <c r="W2120" t="s">
        <v>34</v>
      </c>
    </row>
    <row r="2121" spans="1:23" x14ac:dyDescent="0.3">
      <c r="A2121" t="s">
        <v>4362</v>
      </c>
      <c r="B2121" t="s">
        <v>61</v>
      </c>
      <c r="C2121" t="s">
        <v>101</v>
      </c>
      <c r="D2121" t="s">
        <v>125</v>
      </c>
      <c r="E2121" t="s">
        <v>102</v>
      </c>
      <c r="F2121" t="s">
        <v>103</v>
      </c>
      <c r="G2121" t="s">
        <v>55</v>
      </c>
      <c r="H2121" t="s">
        <v>19</v>
      </c>
      <c r="I2121" t="str">
        <f>LEFT(H2121,FIND(" (",H2121)-1)</f>
        <v>Entry</v>
      </c>
      <c r="J2121" t="str">
        <f>MID(H2121,FIND("(",H2121)+1,FIND(")",H2121)-FIND("(",H2121)-1)</f>
        <v>0-2 yrs</v>
      </c>
      <c r="L2121">
        <v>67593</v>
      </c>
      <c r="M2121" t="s">
        <v>4363</v>
      </c>
      <c r="N2121" t="s">
        <v>94</v>
      </c>
      <c r="O2121" t="s">
        <v>44</v>
      </c>
      <c r="P2121" s="1">
        <v>45742</v>
      </c>
      <c r="Q2121">
        <v>1720</v>
      </c>
      <c r="R2121">
        <v>2328</v>
      </c>
      <c r="S2121" t="s">
        <v>23</v>
      </c>
      <c r="T2121">
        <v>0</v>
      </c>
      <c r="U2121" t="s">
        <v>52</v>
      </c>
      <c r="V2121" t="s">
        <v>24</v>
      </c>
      <c r="W2121" t="s">
        <v>34</v>
      </c>
    </row>
    <row r="2122" spans="1:23" x14ac:dyDescent="0.3">
      <c r="A2122" t="s">
        <v>4364</v>
      </c>
      <c r="B2122" t="s">
        <v>172</v>
      </c>
      <c r="C2122" t="s">
        <v>54</v>
      </c>
      <c r="D2122" t="s">
        <v>15</v>
      </c>
      <c r="E2122" t="s">
        <v>216</v>
      </c>
      <c r="F2122" t="s">
        <v>217</v>
      </c>
      <c r="G2122" t="s">
        <v>41</v>
      </c>
      <c r="H2122" t="s">
        <v>66</v>
      </c>
      <c r="I2122" t="str">
        <f>LEFT(H2122,FIND(" (",H2122)-1)</f>
        <v>Senior</v>
      </c>
      <c r="J2122" t="str">
        <f>MID(H2122,FIND("(",H2122)+1,FIND(")",H2122)-FIND("(",H2122)-1)</f>
        <v>5-8 yrs</v>
      </c>
      <c r="L2122">
        <v>215140</v>
      </c>
      <c r="M2122" t="s">
        <v>4365</v>
      </c>
      <c r="N2122" t="s">
        <v>68</v>
      </c>
      <c r="O2122" t="s">
        <v>44</v>
      </c>
      <c r="P2122" s="1">
        <v>45578</v>
      </c>
      <c r="Q2122">
        <v>908</v>
      </c>
      <c r="R2122">
        <v>11</v>
      </c>
      <c r="S2122" t="s">
        <v>34</v>
      </c>
      <c r="T2122">
        <v>4</v>
      </c>
      <c r="U2122" t="s">
        <v>5123</v>
      </c>
      <c r="V2122" t="s">
        <v>59</v>
      </c>
      <c r="W2122" t="s">
        <v>34</v>
      </c>
    </row>
    <row r="2123" spans="1:23" x14ac:dyDescent="0.3">
      <c r="A2123" t="s">
        <v>4366</v>
      </c>
      <c r="B2123" t="s">
        <v>329</v>
      </c>
      <c r="C2123" t="s">
        <v>97</v>
      </c>
      <c r="D2123" t="s">
        <v>49</v>
      </c>
      <c r="E2123" t="s">
        <v>5139</v>
      </c>
      <c r="F2123" t="s">
        <v>5133</v>
      </c>
      <c r="G2123" t="s">
        <v>55</v>
      </c>
      <c r="H2123" t="s">
        <v>66</v>
      </c>
      <c r="I2123" t="str">
        <f>LEFT(H2123,FIND(" (",H2123)-1)</f>
        <v>Senior</v>
      </c>
      <c r="J2123" t="str">
        <f>MID(H2123,FIND("(",H2123)+1,FIND(")",H2123)-FIND("(",H2123)-1)</f>
        <v>5-8 yrs</v>
      </c>
      <c r="L2123">
        <v>171184</v>
      </c>
      <c r="M2123" t="s">
        <v>4367</v>
      </c>
      <c r="N2123" t="s">
        <v>94</v>
      </c>
      <c r="O2123" t="s">
        <v>22</v>
      </c>
      <c r="P2123" s="1">
        <v>45473</v>
      </c>
      <c r="Q2123">
        <v>1469</v>
      </c>
      <c r="R2123">
        <v>2363</v>
      </c>
      <c r="S2123" t="s">
        <v>23</v>
      </c>
      <c r="T2123">
        <v>4</v>
      </c>
      <c r="U2123" t="s">
        <v>5123</v>
      </c>
      <c r="V2123" t="s">
        <v>24</v>
      </c>
      <c r="W2123" t="s">
        <v>23</v>
      </c>
    </row>
    <row r="2124" spans="1:23" x14ac:dyDescent="0.3">
      <c r="A2124" t="s">
        <v>4368</v>
      </c>
      <c r="B2124" t="s">
        <v>143</v>
      </c>
      <c r="C2124" t="s">
        <v>182</v>
      </c>
      <c r="D2124" t="s">
        <v>111</v>
      </c>
      <c r="E2124" t="s">
        <v>230</v>
      </c>
      <c r="F2124" t="s">
        <v>231</v>
      </c>
      <c r="G2124" t="s">
        <v>41</v>
      </c>
      <c r="H2124" t="s">
        <v>31</v>
      </c>
      <c r="I2124" t="str">
        <f>LEFT(H2124,FIND(" (",H2124)-1)</f>
        <v>Staff/Principal</v>
      </c>
      <c r="J2124" t="str">
        <f>MID(H2124,FIND("(",H2124)+1,FIND(")",H2124)-FIND("(",H2124)-1)</f>
        <v>8+ yrs</v>
      </c>
      <c r="L2124">
        <v>199306</v>
      </c>
      <c r="M2124" t="s">
        <v>4369</v>
      </c>
      <c r="N2124" t="s">
        <v>33</v>
      </c>
      <c r="O2124" t="s">
        <v>44</v>
      </c>
      <c r="P2124" s="1">
        <v>45495</v>
      </c>
      <c r="Q2124">
        <v>1078</v>
      </c>
      <c r="R2124">
        <v>3263</v>
      </c>
      <c r="S2124" t="s">
        <v>99</v>
      </c>
      <c r="T2124">
        <v>6</v>
      </c>
      <c r="U2124" t="s">
        <v>52</v>
      </c>
      <c r="V2124" t="s">
        <v>59</v>
      </c>
      <c r="W2124" t="s">
        <v>34</v>
      </c>
    </row>
    <row r="2125" spans="1:23" x14ac:dyDescent="0.3">
      <c r="A2125" t="s">
        <v>4370</v>
      </c>
      <c r="B2125" t="s">
        <v>61</v>
      </c>
      <c r="C2125" t="s">
        <v>37</v>
      </c>
      <c r="D2125" t="s">
        <v>174</v>
      </c>
      <c r="E2125" t="s">
        <v>133</v>
      </c>
      <c r="F2125" t="s">
        <v>134</v>
      </c>
      <c r="G2125" t="s">
        <v>55</v>
      </c>
      <c r="H2125" t="s">
        <v>66</v>
      </c>
      <c r="I2125" t="str">
        <f>LEFT(H2125,FIND(" (",H2125)-1)</f>
        <v>Senior</v>
      </c>
      <c r="J2125" t="str">
        <f>MID(H2125,FIND("(",H2125)+1,FIND(")",H2125)-FIND("(",H2125)-1)</f>
        <v>5-8 yrs</v>
      </c>
      <c r="L2125">
        <v>142901</v>
      </c>
      <c r="M2125" t="s">
        <v>4371</v>
      </c>
      <c r="N2125" t="s">
        <v>33</v>
      </c>
      <c r="O2125" t="s">
        <v>44</v>
      </c>
      <c r="P2125" s="1">
        <v>45489</v>
      </c>
      <c r="Q2125">
        <v>1787</v>
      </c>
      <c r="R2125">
        <v>2017</v>
      </c>
      <c r="S2125" t="s">
        <v>23</v>
      </c>
      <c r="T2125">
        <v>4</v>
      </c>
      <c r="U2125" t="s">
        <v>83</v>
      </c>
      <c r="V2125" t="s">
        <v>24</v>
      </c>
      <c r="W2125" t="s">
        <v>23</v>
      </c>
    </row>
    <row r="2126" spans="1:23" x14ac:dyDescent="0.3">
      <c r="A2126" t="s">
        <v>4372</v>
      </c>
      <c r="B2126" t="s">
        <v>151</v>
      </c>
      <c r="C2126" t="s">
        <v>116</v>
      </c>
      <c r="D2126" t="s">
        <v>125</v>
      </c>
      <c r="E2126" t="s">
        <v>76</v>
      </c>
      <c r="F2126" t="s">
        <v>77</v>
      </c>
      <c r="G2126" t="s">
        <v>18</v>
      </c>
      <c r="H2126" t="s">
        <v>66</v>
      </c>
      <c r="I2126" t="str">
        <f>LEFT(H2126,FIND(" (",H2126)-1)</f>
        <v>Senior</v>
      </c>
      <c r="J2126" t="str">
        <f>MID(H2126,FIND("(",H2126)+1,FIND(")",H2126)-FIND("(",H2126)-1)</f>
        <v>5-8 yrs</v>
      </c>
      <c r="L2126">
        <v>150606</v>
      </c>
      <c r="M2126" t="s">
        <v>4373</v>
      </c>
      <c r="N2126" t="s">
        <v>120</v>
      </c>
      <c r="O2126" t="s">
        <v>51</v>
      </c>
      <c r="P2126" s="1">
        <v>45417</v>
      </c>
      <c r="Q2126">
        <v>2240</v>
      </c>
      <c r="R2126">
        <v>2119</v>
      </c>
      <c r="S2126" t="s">
        <v>23</v>
      </c>
      <c r="T2126">
        <v>4</v>
      </c>
      <c r="U2126" t="s">
        <v>83</v>
      </c>
      <c r="V2126" t="s">
        <v>24</v>
      </c>
      <c r="W2126" t="s">
        <v>23</v>
      </c>
    </row>
    <row r="2127" spans="1:23" x14ac:dyDescent="0.3">
      <c r="A2127" t="s">
        <v>4374</v>
      </c>
      <c r="B2127" t="s">
        <v>143</v>
      </c>
      <c r="C2127" t="s">
        <v>195</v>
      </c>
      <c r="D2127" t="s">
        <v>147</v>
      </c>
      <c r="E2127" t="s">
        <v>5140</v>
      </c>
      <c r="F2127" t="s">
        <v>5133</v>
      </c>
      <c r="G2127" t="s">
        <v>18</v>
      </c>
      <c r="H2127" t="s">
        <v>56</v>
      </c>
      <c r="I2127" t="str">
        <f>LEFT(H2127,FIND(" (",H2127)-1)</f>
        <v>Mid</v>
      </c>
      <c r="J2127" t="str">
        <f>MID(H2127,FIND("(",H2127)+1,FIND(")",H2127)-FIND("(",H2127)-1)</f>
        <v>2-5 yrs</v>
      </c>
      <c r="L2127">
        <v>120832</v>
      </c>
      <c r="M2127" t="s">
        <v>4375</v>
      </c>
      <c r="N2127" t="s">
        <v>33</v>
      </c>
      <c r="O2127" t="s">
        <v>44</v>
      </c>
      <c r="P2127" s="1">
        <v>45488</v>
      </c>
      <c r="Q2127">
        <v>2177</v>
      </c>
      <c r="R2127">
        <v>1794</v>
      </c>
      <c r="S2127" t="s">
        <v>23</v>
      </c>
      <c r="T2127">
        <v>2</v>
      </c>
      <c r="U2127" t="s">
        <v>52</v>
      </c>
      <c r="V2127" t="s">
        <v>24</v>
      </c>
      <c r="W2127" t="s">
        <v>23</v>
      </c>
    </row>
    <row r="2128" spans="1:23" x14ac:dyDescent="0.3">
      <c r="A2128" t="s">
        <v>4376</v>
      </c>
      <c r="B2128" t="s">
        <v>70</v>
      </c>
      <c r="C2128" t="s">
        <v>182</v>
      </c>
      <c r="D2128" t="s">
        <v>174</v>
      </c>
      <c r="E2128" t="s">
        <v>159</v>
      </c>
      <c r="F2128" t="s">
        <v>160</v>
      </c>
      <c r="G2128" t="s">
        <v>18</v>
      </c>
      <c r="H2128" t="s">
        <v>56</v>
      </c>
      <c r="I2128" t="str">
        <f>LEFT(H2128,FIND(" (",H2128)-1)</f>
        <v>Mid</v>
      </c>
      <c r="J2128" t="str">
        <f>MID(H2128,FIND("(",H2128)+1,FIND(")",H2128)-FIND("(",H2128)-1)</f>
        <v>2-5 yrs</v>
      </c>
      <c r="L2128">
        <v>86619</v>
      </c>
      <c r="M2128" t="s">
        <v>4377</v>
      </c>
      <c r="N2128" t="s">
        <v>33</v>
      </c>
      <c r="O2128" t="s">
        <v>79</v>
      </c>
      <c r="P2128" s="1">
        <v>45422</v>
      </c>
      <c r="Q2128">
        <v>2226</v>
      </c>
      <c r="R2128">
        <v>3430</v>
      </c>
      <c r="S2128" t="s">
        <v>23</v>
      </c>
      <c r="T2128">
        <v>2</v>
      </c>
      <c r="U2128" t="s">
        <v>5123</v>
      </c>
      <c r="V2128" t="s">
        <v>24</v>
      </c>
      <c r="W2128" t="s">
        <v>23</v>
      </c>
    </row>
    <row r="2129" spans="1:23" x14ac:dyDescent="0.3">
      <c r="A2129" t="s">
        <v>4378</v>
      </c>
      <c r="B2129" t="s">
        <v>61</v>
      </c>
      <c r="C2129" t="s">
        <v>226</v>
      </c>
      <c r="D2129" t="s">
        <v>15</v>
      </c>
      <c r="E2129" t="s">
        <v>5136</v>
      </c>
      <c r="F2129" t="s">
        <v>5133</v>
      </c>
      <c r="G2129" t="s">
        <v>55</v>
      </c>
      <c r="H2129" t="s">
        <v>19</v>
      </c>
      <c r="I2129" t="str">
        <f>LEFT(H2129,FIND(" (",H2129)-1)</f>
        <v>Entry</v>
      </c>
      <c r="J2129" t="str">
        <f>MID(H2129,FIND("(",H2129)+1,FIND(")",H2129)-FIND("(",H2129)-1)</f>
        <v>0-2 yrs</v>
      </c>
      <c r="L2129">
        <v>84040</v>
      </c>
      <c r="M2129" t="s">
        <v>4379</v>
      </c>
      <c r="N2129" t="s">
        <v>120</v>
      </c>
      <c r="O2129" t="s">
        <v>22</v>
      </c>
      <c r="P2129" s="1">
        <v>45546</v>
      </c>
      <c r="Q2129">
        <v>1883</v>
      </c>
      <c r="R2129">
        <v>2715</v>
      </c>
      <c r="S2129" t="s">
        <v>23</v>
      </c>
      <c r="T2129">
        <v>0</v>
      </c>
      <c r="U2129" t="s">
        <v>45</v>
      </c>
      <c r="V2129" t="s">
        <v>24</v>
      </c>
      <c r="W2129" t="s">
        <v>34</v>
      </c>
    </row>
    <row r="2130" spans="1:23" x14ac:dyDescent="0.3">
      <c r="A2130" t="s">
        <v>4380</v>
      </c>
      <c r="B2130" t="s">
        <v>225</v>
      </c>
      <c r="C2130" t="s">
        <v>167</v>
      </c>
      <c r="D2130" t="s">
        <v>38</v>
      </c>
      <c r="E2130" t="s">
        <v>16</v>
      </c>
      <c r="F2130" t="s">
        <v>17</v>
      </c>
      <c r="G2130" t="s">
        <v>18</v>
      </c>
      <c r="H2130" t="s">
        <v>56</v>
      </c>
      <c r="I2130" t="str">
        <f>LEFT(H2130,FIND(" (",H2130)-1)</f>
        <v>Mid</v>
      </c>
      <c r="J2130" t="str">
        <f>MID(H2130,FIND("(",H2130)+1,FIND(")",H2130)-FIND("(",H2130)-1)</f>
        <v>2-5 yrs</v>
      </c>
      <c r="L2130">
        <v>124164</v>
      </c>
      <c r="M2130" t="s">
        <v>4381</v>
      </c>
      <c r="N2130" t="s">
        <v>33</v>
      </c>
      <c r="O2130" t="s">
        <v>44</v>
      </c>
      <c r="P2130" s="1">
        <v>45742</v>
      </c>
      <c r="Q2130">
        <v>806</v>
      </c>
      <c r="R2130">
        <v>3397</v>
      </c>
      <c r="S2130" t="s">
        <v>23</v>
      </c>
      <c r="T2130">
        <v>2</v>
      </c>
      <c r="U2130" t="s">
        <v>58</v>
      </c>
      <c r="V2130" t="s">
        <v>46</v>
      </c>
      <c r="W2130" t="s">
        <v>23</v>
      </c>
    </row>
    <row r="2131" spans="1:23" x14ac:dyDescent="0.3">
      <c r="A2131" t="s">
        <v>4382</v>
      </c>
      <c r="B2131" t="s">
        <v>229</v>
      </c>
      <c r="C2131" t="s">
        <v>101</v>
      </c>
      <c r="D2131" t="s">
        <v>49</v>
      </c>
      <c r="E2131" t="s">
        <v>5139</v>
      </c>
      <c r="F2131" t="s">
        <v>5133</v>
      </c>
      <c r="G2131" t="s">
        <v>41</v>
      </c>
      <c r="H2131" t="s">
        <v>31</v>
      </c>
      <c r="I2131" t="str">
        <f>LEFT(H2131,FIND(" (",H2131)-1)</f>
        <v>Staff/Principal</v>
      </c>
      <c r="J2131" t="str">
        <f>MID(H2131,FIND("(",H2131)+1,FIND(")",H2131)-FIND("(",H2131)-1)</f>
        <v>8+ yrs</v>
      </c>
      <c r="L2131">
        <v>225854</v>
      </c>
      <c r="M2131" t="s">
        <v>4383</v>
      </c>
      <c r="N2131" t="s">
        <v>33</v>
      </c>
      <c r="O2131" t="s">
        <v>51</v>
      </c>
      <c r="P2131" s="1">
        <v>45673</v>
      </c>
      <c r="Q2131">
        <v>551</v>
      </c>
      <c r="R2131">
        <v>1219</v>
      </c>
      <c r="S2131" t="s">
        <v>34</v>
      </c>
      <c r="T2131">
        <v>6</v>
      </c>
      <c r="U2131" t="s">
        <v>52</v>
      </c>
      <c r="V2131" t="s">
        <v>24</v>
      </c>
      <c r="W2131" t="s">
        <v>34</v>
      </c>
    </row>
    <row r="2132" spans="1:23" x14ac:dyDescent="0.3">
      <c r="A2132" t="s">
        <v>4384</v>
      </c>
      <c r="B2132" t="s">
        <v>172</v>
      </c>
      <c r="C2132" t="s">
        <v>209</v>
      </c>
      <c r="D2132" t="s">
        <v>125</v>
      </c>
      <c r="E2132" t="s">
        <v>5134</v>
      </c>
      <c r="F2132" t="s">
        <v>5133</v>
      </c>
      <c r="G2132" t="s">
        <v>18</v>
      </c>
      <c r="H2132" t="s">
        <v>56</v>
      </c>
      <c r="I2132" t="str">
        <f>LEFT(H2132,FIND(" (",H2132)-1)</f>
        <v>Mid</v>
      </c>
      <c r="J2132" t="str">
        <f>MID(H2132,FIND("(",H2132)+1,FIND(")",H2132)-FIND("(",H2132)-1)</f>
        <v>2-5 yrs</v>
      </c>
      <c r="L2132">
        <v>118681</v>
      </c>
      <c r="M2132" t="s">
        <v>4385</v>
      </c>
      <c r="N2132" t="s">
        <v>120</v>
      </c>
      <c r="O2132" t="s">
        <v>51</v>
      </c>
      <c r="P2132" s="1">
        <v>45335</v>
      </c>
      <c r="Q2132">
        <v>1225</v>
      </c>
      <c r="R2132">
        <v>3865</v>
      </c>
      <c r="S2132" t="s">
        <v>23</v>
      </c>
      <c r="T2132">
        <v>2</v>
      </c>
      <c r="U2132" t="s">
        <v>52</v>
      </c>
      <c r="V2132" t="s">
        <v>24</v>
      </c>
      <c r="W2132" t="s">
        <v>34</v>
      </c>
    </row>
    <row r="2133" spans="1:23" x14ac:dyDescent="0.3">
      <c r="A2133" t="s">
        <v>4386</v>
      </c>
      <c r="B2133" t="s">
        <v>96</v>
      </c>
      <c r="C2133" t="s">
        <v>48</v>
      </c>
      <c r="D2133" t="s">
        <v>75</v>
      </c>
      <c r="E2133" t="s">
        <v>39</v>
      </c>
      <c r="F2133" t="s">
        <v>40</v>
      </c>
      <c r="G2133" t="s">
        <v>41</v>
      </c>
      <c r="H2133" t="s">
        <v>31</v>
      </c>
      <c r="I2133" t="str">
        <f>LEFT(H2133,FIND(" (",H2133)-1)</f>
        <v>Staff/Principal</v>
      </c>
      <c r="J2133" t="str">
        <f>MID(H2133,FIND("(",H2133)+1,FIND(")",H2133)-FIND("(",H2133)-1)</f>
        <v>8+ yrs</v>
      </c>
      <c r="L2133">
        <v>200706</v>
      </c>
      <c r="M2133" t="s">
        <v>4387</v>
      </c>
      <c r="N2133" t="s">
        <v>149</v>
      </c>
      <c r="O2133" t="s">
        <v>51</v>
      </c>
      <c r="P2133" s="1">
        <v>45525</v>
      </c>
      <c r="Q2133">
        <v>1710</v>
      </c>
      <c r="R2133">
        <v>774</v>
      </c>
      <c r="S2133" t="s">
        <v>34</v>
      </c>
      <c r="T2133">
        <v>6</v>
      </c>
      <c r="U2133" t="s">
        <v>45</v>
      </c>
      <c r="V2133" t="s">
        <v>24</v>
      </c>
      <c r="W2133" t="s">
        <v>34</v>
      </c>
    </row>
    <row r="2134" spans="1:23" x14ac:dyDescent="0.3">
      <c r="A2134" t="s">
        <v>4388</v>
      </c>
      <c r="B2134" t="s">
        <v>229</v>
      </c>
      <c r="C2134" t="s">
        <v>128</v>
      </c>
      <c r="D2134" t="s">
        <v>28</v>
      </c>
      <c r="E2134" t="s">
        <v>5134</v>
      </c>
      <c r="F2134" t="s">
        <v>5133</v>
      </c>
      <c r="G2134" t="s">
        <v>18</v>
      </c>
      <c r="H2134" t="s">
        <v>56</v>
      </c>
      <c r="I2134" t="str">
        <f>LEFT(H2134,FIND(" (",H2134)-1)</f>
        <v>Mid</v>
      </c>
      <c r="J2134" t="str">
        <f>MID(H2134,FIND("(",H2134)+1,FIND(")",H2134)-FIND("(",H2134)-1)</f>
        <v>2-5 yrs</v>
      </c>
      <c r="L2134">
        <v>123322</v>
      </c>
      <c r="M2134" t="s">
        <v>4389</v>
      </c>
      <c r="N2134" t="s">
        <v>33</v>
      </c>
      <c r="O2134" t="s">
        <v>22</v>
      </c>
      <c r="P2134" s="1">
        <v>45409</v>
      </c>
      <c r="Q2134">
        <v>364</v>
      </c>
      <c r="R2134">
        <v>3115</v>
      </c>
      <c r="S2134" t="s">
        <v>23</v>
      </c>
      <c r="T2134">
        <v>2</v>
      </c>
      <c r="U2134" t="s">
        <v>45</v>
      </c>
      <c r="V2134" t="s">
        <v>24</v>
      </c>
      <c r="W2134" t="s">
        <v>23</v>
      </c>
    </row>
    <row r="2135" spans="1:23" x14ac:dyDescent="0.3">
      <c r="A2135" t="s">
        <v>4390</v>
      </c>
      <c r="B2135" t="s">
        <v>143</v>
      </c>
      <c r="C2135" t="s">
        <v>107</v>
      </c>
      <c r="D2135" t="s">
        <v>38</v>
      </c>
      <c r="E2135" t="s">
        <v>5141</v>
      </c>
      <c r="F2135" t="s">
        <v>5133</v>
      </c>
      <c r="G2135" t="s">
        <v>41</v>
      </c>
      <c r="H2135" t="s">
        <v>56</v>
      </c>
      <c r="I2135" t="str">
        <f>LEFT(H2135,FIND(" (",H2135)-1)</f>
        <v>Mid</v>
      </c>
      <c r="J2135" t="str">
        <f>MID(H2135,FIND("(",H2135)+1,FIND(")",H2135)-FIND("(",H2135)-1)</f>
        <v>2-5 yrs</v>
      </c>
      <c r="L2135">
        <v>121717</v>
      </c>
      <c r="M2135" t="s">
        <v>4391</v>
      </c>
      <c r="N2135" t="s">
        <v>33</v>
      </c>
      <c r="O2135" t="s">
        <v>51</v>
      </c>
      <c r="P2135" s="1">
        <v>45697</v>
      </c>
      <c r="Q2135">
        <v>1027</v>
      </c>
      <c r="R2135">
        <v>2165</v>
      </c>
      <c r="S2135" t="s">
        <v>23</v>
      </c>
      <c r="T2135">
        <v>2</v>
      </c>
      <c r="U2135" t="s">
        <v>52</v>
      </c>
      <c r="V2135" t="s">
        <v>24</v>
      </c>
      <c r="W2135" t="s">
        <v>34</v>
      </c>
    </row>
    <row r="2136" spans="1:23" x14ac:dyDescent="0.3">
      <c r="A2136" t="s">
        <v>4392</v>
      </c>
      <c r="B2136" t="s">
        <v>236</v>
      </c>
      <c r="C2136" t="s">
        <v>62</v>
      </c>
      <c r="D2136" t="s">
        <v>111</v>
      </c>
      <c r="E2136" t="s">
        <v>5139</v>
      </c>
      <c r="F2136" t="s">
        <v>5133</v>
      </c>
      <c r="G2136" t="s">
        <v>18</v>
      </c>
      <c r="H2136" t="s">
        <v>66</v>
      </c>
      <c r="I2136" t="str">
        <f>LEFT(H2136,FIND(" (",H2136)-1)</f>
        <v>Senior</v>
      </c>
      <c r="J2136" t="str">
        <f>MID(H2136,FIND("(",H2136)+1,FIND(")",H2136)-FIND("(",H2136)-1)</f>
        <v>5-8 yrs</v>
      </c>
      <c r="L2136">
        <v>140440</v>
      </c>
      <c r="M2136" t="s">
        <v>4393</v>
      </c>
      <c r="N2136" t="s">
        <v>149</v>
      </c>
      <c r="O2136" t="s">
        <v>51</v>
      </c>
      <c r="P2136" s="1">
        <v>45506</v>
      </c>
      <c r="Q2136">
        <v>2079</v>
      </c>
      <c r="R2136">
        <v>891</v>
      </c>
      <c r="S2136" t="s">
        <v>23</v>
      </c>
      <c r="T2136">
        <v>4</v>
      </c>
      <c r="U2136" t="s">
        <v>5123</v>
      </c>
      <c r="V2136" t="s">
        <v>59</v>
      </c>
      <c r="W2136" t="s">
        <v>23</v>
      </c>
    </row>
    <row r="2137" spans="1:23" x14ac:dyDescent="0.3">
      <c r="A2137" t="s">
        <v>4394</v>
      </c>
      <c r="B2137" t="s">
        <v>236</v>
      </c>
      <c r="C2137" t="s">
        <v>167</v>
      </c>
      <c r="D2137" t="s">
        <v>38</v>
      </c>
      <c r="E2137" t="s">
        <v>5132</v>
      </c>
      <c r="F2137" t="s">
        <v>5133</v>
      </c>
      <c r="G2137" t="s">
        <v>55</v>
      </c>
      <c r="H2137" t="s">
        <v>66</v>
      </c>
      <c r="I2137" t="str">
        <f>LEFT(H2137,FIND(" (",H2137)-1)</f>
        <v>Senior</v>
      </c>
      <c r="J2137" t="str">
        <f>MID(H2137,FIND("(",H2137)+1,FIND(")",H2137)-FIND("(",H2137)-1)</f>
        <v>5-8 yrs</v>
      </c>
      <c r="L2137">
        <v>134512</v>
      </c>
      <c r="M2137" t="s">
        <v>4395</v>
      </c>
      <c r="N2137" t="s">
        <v>89</v>
      </c>
      <c r="O2137" t="s">
        <v>79</v>
      </c>
      <c r="P2137" s="1">
        <v>45591</v>
      </c>
      <c r="Q2137">
        <v>1660</v>
      </c>
      <c r="R2137">
        <v>3947</v>
      </c>
      <c r="S2137" t="s">
        <v>23</v>
      </c>
      <c r="T2137">
        <v>4</v>
      </c>
      <c r="U2137" t="s">
        <v>5123</v>
      </c>
      <c r="V2137" t="s">
        <v>24</v>
      </c>
      <c r="W2137" t="s">
        <v>23</v>
      </c>
    </row>
    <row r="2138" spans="1:23" x14ac:dyDescent="0.3">
      <c r="A2138" t="s">
        <v>4396</v>
      </c>
      <c r="B2138" t="s">
        <v>96</v>
      </c>
      <c r="C2138" t="s">
        <v>226</v>
      </c>
      <c r="D2138" t="s">
        <v>28</v>
      </c>
      <c r="E2138" t="s">
        <v>200</v>
      </c>
      <c r="F2138" t="s">
        <v>201</v>
      </c>
      <c r="G2138" t="s">
        <v>18</v>
      </c>
      <c r="H2138" t="s">
        <v>31</v>
      </c>
      <c r="I2138" t="str">
        <f>LEFT(H2138,FIND(" (",H2138)-1)</f>
        <v>Staff/Principal</v>
      </c>
      <c r="J2138" t="str">
        <f>MID(H2138,FIND("(",H2138)+1,FIND(")",H2138)-FIND("(",H2138)-1)</f>
        <v>8+ yrs</v>
      </c>
      <c r="L2138">
        <v>203666</v>
      </c>
      <c r="M2138" t="s">
        <v>4397</v>
      </c>
      <c r="N2138" t="s">
        <v>33</v>
      </c>
      <c r="O2138" t="s">
        <v>44</v>
      </c>
      <c r="P2138" s="1">
        <v>45497</v>
      </c>
      <c r="Q2138">
        <v>2321</v>
      </c>
      <c r="R2138">
        <v>2791</v>
      </c>
      <c r="S2138" t="s">
        <v>23</v>
      </c>
      <c r="T2138">
        <v>6</v>
      </c>
      <c r="U2138" t="s">
        <v>5123</v>
      </c>
      <c r="V2138" t="s">
        <v>59</v>
      </c>
      <c r="W2138" t="s">
        <v>23</v>
      </c>
    </row>
    <row r="2139" spans="1:23" x14ac:dyDescent="0.3">
      <c r="A2139" t="s">
        <v>4398</v>
      </c>
      <c r="B2139" t="s">
        <v>61</v>
      </c>
      <c r="C2139" t="s">
        <v>167</v>
      </c>
      <c r="D2139" t="s">
        <v>75</v>
      </c>
      <c r="E2139" t="s">
        <v>5140</v>
      </c>
      <c r="F2139" t="s">
        <v>5133</v>
      </c>
      <c r="G2139" t="s">
        <v>18</v>
      </c>
      <c r="H2139" t="s">
        <v>56</v>
      </c>
      <c r="I2139" t="str">
        <f>LEFT(H2139,FIND(" (",H2139)-1)</f>
        <v>Mid</v>
      </c>
      <c r="J2139" t="str">
        <f>MID(H2139,FIND("(",H2139)+1,FIND(")",H2139)-FIND("(",H2139)-1)</f>
        <v>2-5 yrs</v>
      </c>
      <c r="L2139">
        <v>140670</v>
      </c>
      <c r="M2139" t="s">
        <v>4399</v>
      </c>
      <c r="N2139" t="s">
        <v>33</v>
      </c>
      <c r="O2139" t="s">
        <v>44</v>
      </c>
      <c r="P2139" s="1">
        <v>45659</v>
      </c>
      <c r="Q2139">
        <v>2004</v>
      </c>
      <c r="R2139">
        <v>2451</v>
      </c>
      <c r="S2139" t="s">
        <v>34</v>
      </c>
      <c r="T2139">
        <v>2</v>
      </c>
      <c r="U2139" t="s">
        <v>52</v>
      </c>
      <c r="V2139" t="s">
        <v>24</v>
      </c>
      <c r="W2139" t="s">
        <v>34</v>
      </c>
    </row>
    <row r="2140" spans="1:23" x14ac:dyDescent="0.3">
      <c r="A2140" t="s">
        <v>4400</v>
      </c>
      <c r="B2140" t="s">
        <v>236</v>
      </c>
      <c r="C2140" t="s">
        <v>48</v>
      </c>
      <c r="D2140" t="s">
        <v>75</v>
      </c>
      <c r="E2140" t="s">
        <v>5137</v>
      </c>
      <c r="F2140" t="s">
        <v>5138</v>
      </c>
      <c r="G2140" t="s">
        <v>18</v>
      </c>
      <c r="H2140" t="s">
        <v>66</v>
      </c>
      <c r="I2140" t="str">
        <f>LEFT(H2140,FIND(" (",H2140)-1)</f>
        <v>Senior</v>
      </c>
      <c r="J2140" t="str">
        <f>MID(H2140,FIND("(",H2140)+1,FIND(")",H2140)-FIND("(",H2140)-1)</f>
        <v>5-8 yrs</v>
      </c>
      <c r="L2140">
        <v>116544</v>
      </c>
      <c r="M2140" t="s">
        <v>4401</v>
      </c>
      <c r="N2140" t="s">
        <v>186</v>
      </c>
      <c r="O2140" t="s">
        <v>22</v>
      </c>
      <c r="P2140" s="1">
        <v>45590</v>
      </c>
      <c r="Q2140">
        <v>1386</v>
      </c>
      <c r="R2140">
        <v>2595</v>
      </c>
      <c r="S2140" t="s">
        <v>99</v>
      </c>
      <c r="T2140">
        <v>4</v>
      </c>
      <c r="U2140" t="s">
        <v>83</v>
      </c>
      <c r="V2140" t="s">
        <v>24</v>
      </c>
      <c r="W2140" t="s">
        <v>23</v>
      </c>
    </row>
    <row r="2141" spans="1:23" x14ac:dyDescent="0.3">
      <c r="A2141" t="s">
        <v>4402</v>
      </c>
      <c r="B2141" t="s">
        <v>36</v>
      </c>
      <c r="C2141" t="s">
        <v>195</v>
      </c>
      <c r="D2141" t="s">
        <v>28</v>
      </c>
      <c r="E2141" t="s">
        <v>102</v>
      </c>
      <c r="F2141" t="s">
        <v>103</v>
      </c>
      <c r="G2141" t="s">
        <v>41</v>
      </c>
      <c r="H2141" t="s">
        <v>56</v>
      </c>
      <c r="I2141" t="str">
        <f>LEFT(H2141,FIND(" (",H2141)-1)</f>
        <v>Mid</v>
      </c>
      <c r="J2141" t="str">
        <f>MID(H2141,FIND("(",H2141)+1,FIND(")",H2141)-FIND("(",H2141)-1)</f>
        <v>2-5 yrs</v>
      </c>
      <c r="L2141">
        <v>80942</v>
      </c>
      <c r="M2141" t="s">
        <v>4403</v>
      </c>
      <c r="N2141" t="s">
        <v>68</v>
      </c>
      <c r="O2141" t="s">
        <v>44</v>
      </c>
      <c r="P2141" s="1">
        <v>45636</v>
      </c>
      <c r="Q2141">
        <v>1112</v>
      </c>
      <c r="R2141">
        <v>3505</v>
      </c>
      <c r="S2141" t="s">
        <v>34</v>
      </c>
      <c r="T2141">
        <v>2</v>
      </c>
      <c r="U2141" t="s">
        <v>45</v>
      </c>
      <c r="V2141" t="s">
        <v>24</v>
      </c>
      <c r="W2141" t="s">
        <v>34</v>
      </c>
    </row>
    <row r="2142" spans="1:23" x14ac:dyDescent="0.3">
      <c r="A2142" t="s">
        <v>4404</v>
      </c>
      <c r="B2142" t="s">
        <v>172</v>
      </c>
      <c r="C2142" t="s">
        <v>27</v>
      </c>
      <c r="D2142" t="s">
        <v>38</v>
      </c>
      <c r="E2142" t="s">
        <v>5132</v>
      </c>
      <c r="F2142" t="s">
        <v>5133</v>
      </c>
      <c r="G2142" t="s">
        <v>18</v>
      </c>
      <c r="H2142" t="s">
        <v>56</v>
      </c>
      <c r="I2142" t="str">
        <f>LEFT(H2142,FIND(" (",H2142)-1)</f>
        <v>Mid</v>
      </c>
      <c r="J2142" t="str">
        <f>MID(H2142,FIND("(",H2142)+1,FIND(")",H2142)-FIND("(",H2142)-1)</f>
        <v>2-5 yrs</v>
      </c>
      <c r="L2142">
        <v>113262</v>
      </c>
      <c r="M2142" t="s">
        <v>4405</v>
      </c>
      <c r="N2142" t="s">
        <v>33</v>
      </c>
      <c r="O2142" t="s">
        <v>79</v>
      </c>
      <c r="P2142" s="1">
        <v>45626</v>
      </c>
      <c r="Q2142">
        <v>2197</v>
      </c>
      <c r="R2142">
        <v>1538</v>
      </c>
      <c r="S2142" t="s">
        <v>23</v>
      </c>
      <c r="T2142">
        <v>2</v>
      </c>
      <c r="U2142" t="s">
        <v>58</v>
      </c>
      <c r="V2142" t="s">
        <v>24</v>
      </c>
      <c r="W2142" t="s">
        <v>34</v>
      </c>
    </row>
    <row r="2143" spans="1:23" x14ac:dyDescent="0.3">
      <c r="A2143" t="s">
        <v>4406</v>
      </c>
      <c r="B2143" t="s">
        <v>61</v>
      </c>
      <c r="C2143" t="s">
        <v>146</v>
      </c>
      <c r="D2143" t="s">
        <v>111</v>
      </c>
      <c r="E2143" t="s">
        <v>5132</v>
      </c>
      <c r="F2143" t="s">
        <v>5133</v>
      </c>
      <c r="G2143" t="s">
        <v>41</v>
      </c>
      <c r="H2143" t="s">
        <v>31</v>
      </c>
      <c r="I2143" t="str">
        <f>LEFT(H2143,FIND(" (",H2143)-1)</f>
        <v>Staff/Principal</v>
      </c>
      <c r="J2143" t="str">
        <f>MID(H2143,FIND("(",H2143)+1,FIND(")",H2143)-FIND("(",H2143)-1)</f>
        <v>8+ yrs</v>
      </c>
      <c r="L2143">
        <v>201831</v>
      </c>
      <c r="M2143" t="s">
        <v>4407</v>
      </c>
      <c r="N2143" t="s">
        <v>21</v>
      </c>
      <c r="O2143" t="s">
        <v>22</v>
      </c>
      <c r="P2143" s="1">
        <v>45538</v>
      </c>
      <c r="Q2143">
        <v>304</v>
      </c>
      <c r="R2143">
        <v>1936</v>
      </c>
      <c r="S2143" t="s">
        <v>99</v>
      </c>
      <c r="T2143">
        <v>6</v>
      </c>
      <c r="U2143" t="s">
        <v>5123</v>
      </c>
      <c r="V2143" t="s">
        <v>24</v>
      </c>
      <c r="W2143" t="s">
        <v>23</v>
      </c>
    </row>
    <row r="2144" spans="1:23" x14ac:dyDescent="0.3">
      <c r="A2144" t="s">
        <v>4408</v>
      </c>
      <c r="B2144" t="s">
        <v>222</v>
      </c>
      <c r="C2144" t="s">
        <v>195</v>
      </c>
      <c r="D2144" t="s">
        <v>63</v>
      </c>
      <c r="E2144" t="s">
        <v>5139</v>
      </c>
      <c r="F2144" t="s">
        <v>5133</v>
      </c>
      <c r="G2144" t="s">
        <v>18</v>
      </c>
      <c r="H2144" t="s">
        <v>19</v>
      </c>
      <c r="I2144" t="str">
        <f>LEFT(H2144,FIND(" (",H2144)-1)</f>
        <v>Entry</v>
      </c>
      <c r="J2144" t="str">
        <f>MID(H2144,FIND("(",H2144)+1,FIND(")",H2144)-FIND("(",H2144)-1)</f>
        <v>0-2 yrs</v>
      </c>
      <c r="L2144">
        <v>72184</v>
      </c>
      <c r="M2144" t="s">
        <v>4409</v>
      </c>
      <c r="N2144" t="s">
        <v>33</v>
      </c>
      <c r="O2144" t="s">
        <v>44</v>
      </c>
      <c r="P2144" s="1">
        <v>45630</v>
      </c>
      <c r="Q2144">
        <v>1418</v>
      </c>
      <c r="R2144">
        <v>1953</v>
      </c>
      <c r="S2144" t="s">
        <v>34</v>
      </c>
      <c r="T2144">
        <v>0</v>
      </c>
      <c r="U2144" t="s">
        <v>5123</v>
      </c>
      <c r="V2144" t="s">
        <v>24</v>
      </c>
      <c r="W2144" t="s">
        <v>23</v>
      </c>
    </row>
    <row r="2145" spans="1:23" x14ac:dyDescent="0.3">
      <c r="A2145" t="s">
        <v>4410</v>
      </c>
      <c r="B2145" t="s">
        <v>222</v>
      </c>
      <c r="C2145" t="s">
        <v>54</v>
      </c>
      <c r="D2145" t="s">
        <v>111</v>
      </c>
      <c r="E2145" t="s">
        <v>29</v>
      </c>
      <c r="F2145" t="s">
        <v>30</v>
      </c>
      <c r="G2145" t="s">
        <v>18</v>
      </c>
      <c r="H2145" t="s">
        <v>66</v>
      </c>
      <c r="I2145" t="str">
        <f>LEFT(H2145,FIND(" (",H2145)-1)</f>
        <v>Senior</v>
      </c>
      <c r="J2145" t="str">
        <f>MID(H2145,FIND("(",H2145)+1,FIND(")",H2145)-FIND("(",H2145)-1)</f>
        <v>5-8 yrs</v>
      </c>
      <c r="L2145">
        <v>156586</v>
      </c>
      <c r="M2145" t="s">
        <v>4411</v>
      </c>
      <c r="N2145" t="s">
        <v>245</v>
      </c>
      <c r="O2145" t="s">
        <v>51</v>
      </c>
      <c r="P2145" s="1">
        <v>45508</v>
      </c>
      <c r="Q2145">
        <v>891</v>
      </c>
      <c r="R2145">
        <v>3629</v>
      </c>
      <c r="S2145" t="s">
        <v>23</v>
      </c>
      <c r="T2145">
        <v>4</v>
      </c>
      <c r="U2145" t="s">
        <v>83</v>
      </c>
      <c r="V2145" t="s">
        <v>24</v>
      </c>
      <c r="W2145" t="s">
        <v>23</v>
      </c>
    </row>
    <row r="2146" spans="1:23" x14ac:dyDescent="0.3">
      <c r="A2146" t="s">
        <v>4412</v>
      </c>
      <c r="B2146" t="s">
        <v>137</v>
      </c>
      <c r="C2146" t="s">
        <v>182</v>
      </c>
      <c r="D2146" t="s">
        <v>38</v>
      </c>
      <c r="E2146" t="s">
        <v>87</v>
      </c>
      <c r="F2146" t="s">
        <v>87</v>
      </c>
      <c r="G2146" t="s">
        <v>18</v>
      </c>
      <c r="H2146" t="s">
        <v>31</v>
      </c>
      <c r="I2146" t="str">
        <f>LEFT(H2146,FIND(" (",H2146)-1)</f>
        <v>Staff/Principal</v>
      </c>
      <c r="J2146" t="str">
        <f>MID(H2146,FIND("(",H2146)+1,FIND(")",H2146)-FIND("(",H2146)-1)</f>
        <v>8+ yrs</v>
      </c>
      <c r="L2146">
        <v>191964</v>
      </c>
      <c r="M2146" t="s">
        <v>4413</v>
      </c>
      <c r="N2146" t="s">
        <v>94</v>
      </c>
      <c r="O2146" t="s">
        <v>51</v>
      </c>
      <c r="P2146" s="1">
        <v>45297</v>
      </c>
      <c r="Q2146">
        <v>1518</v>
      </c>
      <c r="R2146">
        <v>3334</v>
      </c>
      <c r="S2146" t="s">
        <v>23</v>
      </c>
      <c r="T2146">
        <v>6</v>
      </c>
      <c r="U2146" t="s">
        <v>58</v>
      </c>
      <c r="V2146" t="s">
        <v>24</v>
      </c>
      <c r="W2146" t="s">
        <v>23</v>
      </c>
    </row>
    <row r="2147" spans="1:23" x14ac:dyDescent="0.3">
      <c r="A2147" t="s">
        <v>4414</v>
      </c>
      <c r="B2147" t="s">
        <v>70</v>
      </c>
      <c r="C2147" t="s">
        <v>27</v>
      </c>
      <c r="D2147" t="s">
        <v>147</v>
      </c>
      <c r="E2147" t="s">
        <v>5134</v>
      </c>
      <c r="F2147" t="s">
        <v>5133</v>
      </c>
      <c r="G2147" t="s">
        <v>18</v>
      </c>
      <c r="H2147" t="s">
        <v>56</v>
      </c>
      <c r="I2147" t="str">
        <f>LEFT(H2147,FIND(" (",H2147)-1)</f>
        <v>Mid</v>
      </c>
      <c r="J2147" t="str">
        <f>MID(H2147,FIND("(",H2147)+1,FIND(")",H2147)-FIND("(",H2147)-1)</f>
        <v>2-5 yrs</v>
      </c>
      <c r="L2147">
        <v>139499</v>
      </c>
      <c r="M2147" t="s">
        <v>4415</v>
      </c>
      <c r="N2147" t="s">
        <v>89</v>
      </c>
      <c r="O2147" t="s">
        <v>51</v>
      </c>
      <c r="P2147" s="1">
        <v>45604</v>
      </c>
      <c r="Q2147">
        <v>1347</v>
      </c>
      <c r="R2147">
        <v>923</v>
      </c>
      <c r="S2147" t="s">
        <v>23</v>
      </c>
      <c r="T2147">
        <v>2</v>
      </c>
      <c r="U2147" t="s">
        <v>5123</v>
      </c>
      <c r="V2147" t="s">
        <v>24</v>
      </c>
      <c r="W2147" t="s">
        <v>34</v>
      </c>
    </row>
    <row r="2148" spans="1:23" x14ac:dyDescent="0.3">
      <c r="A2148" t="s">
        <v>4416</v>
      </c>
      <c r="B2148" t="s">
        <v>85</v>
      </c>
      <c r="C2148" t="s">
        <v>182</v>
      </c>
      <c r="D2148" t="s">
        <v>49</v>
      </c>
      <c r="E2148" t="s">
        <v>5134</v>
      </c>
      <c r="F2148" t="s">
        <v>5133</v>
      </c>
      <c r="G2148" t="s">
        <v>55</v>
      </c>
      <c r="H2148" t="s">
        <v>66</v>
      </c>
      <c r="I2148" t="str">
        <f>LEFT(H2148,FIND(" (",H2148)-1)</f>
        <v>Senior</v>
      </c>
      <c r="J2148" t="str">
        <f>MID(H2148,FIND("(",H2148)+1,FIND(")",H2148)-FIND("(",H2148)-1)</f>
        <v>5-8 yrs</v>
      </c>
      <c r="L2148">
        <v>106775</v>
      </c>
      <c r="M2148" t="s">
        <v>4417</v>
      </c>
      <c r="N2148" t="s">
        <v>68</v>
      </c>
      <c r="O2148" t="s">
        <v>44</v>
      </c>
      <c r="P2148" s="1">
        <v>45497</v>
      </c>
      <c r="Q2148">
        <v>520</v>
      </c>
      <c r="R2148">
        <v>1479</v>
      </c>
      <c r="S2148" t="s">
        <v>23</v>
      </c>
      <c r="T2148">
        <v>4</v>
      </c>
      <c r="U2148" t="s">
        <v>58</v>
      </c>
      <c r="V2148" t="s">
        <v>24</v>
      </c>
      <c r="W2148" t="s">
        <v>34</v>
      </c>
    </row>
    <row r="2149" spans="1:23" x14ac:dyDescent="0.3">
      <c r="A2149" t="s">
        <v>4418</v>
      </c>
      <c r="B2149" t="s">
        <v>172</v>
      </c>
      <c r="C2149" t="s">
        <v>71</v>
      </c>
      <c r="D2149" t="s">
        <v>38</v>
      </c>
      <c r="E2149" t="s">
        <v>230</v>
      </c>
      <c r="F2149" t="s">
        <v>231</v>
      </c>
      <c r="G2149" t="s">
        <v>55</v>
      </c>
      <c r="H2149" t="s">
        <v>19</v>
      </c>
      <c r="I2149" t="str">
        <f>LEFT(H2149,FIND(" (",H2149)-1)</f>
        <v>Entry</v>
      </c>
      <c r="J2149" t="str">
        <f>MID(H2149,FIND("(",H2149)+1,FIND(")",H2149)-FIND("(",H2149)-1)</f>
        <v>0-2 yrs</v>
      </c>
      <c r="L2149">
        <v>59560</v>
      </c>
      <c r="M2149" t="s">
        <v>4419</v>
      </c>
      <c r="N2149" t="s">
        <v>33</v>
      </c>
      <c r="O2149" t="s">
        <v>44</v>
      </c>
      <c r="P2149" s="1">
        <v>45548</v>
      </c>
      <c r="Q2149">
        <v>2251</v>
      </c>
      <c r="R2149">
        <v>3076</v>
      </c>
      <c r="S2149" t="s">
        <v>23</v>
      </c>
      <c r="T2149">
        <v>0</v>
      </c>
      <c r="U2149" t="s">
        <v>52</v>
      </c>
      <c r="V2149" t="s">
        <v>24</v>
      </c>
      <c r="W2149" t="s">
        <v>34</v>
      </c>
    </row>
    <row r="2150" spans="1:23" x14ac:dyDescent="0.3">
      <c r="A2150" t="s">
        <v>4420</v>
      </c>
      <c r="B2150" t="s">
        <v>222</v>
      </c>
      <c r="C2150" t="s">
        <v>27</v>
      </c>
      <c r="D2150" t="s">
        <v>174</v>
      </c>
      <c r="E2150" t="s">
        <v>102</v>
      </c>
      <c r="F2150" t="s">
        <v>103</v>
      </c>
      <c r="G2150" t="s">
        <v>41</v>
      </c>
      <c r="H2150" t="s">
        <v>31</v>
      </c>
      <c r="I2150" t="str">
        <f>LEFT(H2150,FIND(" (",H2150)-1)</f>
        <v>Staff/Principal</v>
      </c>
      <c r="J2150" t="str">
        <f>MID(H2150,FIND("(",H2150)+1,FIND(")",H2150)-FIND("(",H2150)-1)</f>
        <v>8+ yrs</v>
      </c>
      <c r="L2150">
        <v>196282</v>
      </c>
      <c r="M2150" t="s">
        <v>4421</v>
      </c>
      <c r="N2150" t="s">
        <v>186</v>
      </c>
      <c r="O2150" t="s">
        <v>22</v>
      </c>
      <c r="P2150" s="1">
        <v>45596</v>
      </c>
      <c r="Q2150">
        <v>451</v>
      </c>
      <c r="R2150">
        <v>1952</v>
      </c>
      <c r="S2150" t="s">
        <v>34</v>
      </c>
      <c r="T2150">
        <v>6</v>
      </c>
      <c r="U2150" t="s">
        <v>52</v>
      </c>
      <c r="V2150" t="s">
        <v>24</v>
      </c>
      <c r="W2150" t="s">
        <v>23</v>
      </c>
    </row>
    <row r="2151" spans="1:23" x14ac:dyDescent="0.3">
      <c r="A2151" t="s">
        <v>4422</v>
      </c>
      <c r="B2151" t="s">
        <v>137</v>
      </c>
      <c r="C2151" t="s">
        <v>37</v>
      </c>
      <c r="D2151" t="s">
        <v>38</v>
      </c>
      <c r="E2151" t="s">
        <v>5132</v>
      </c>
      <c r="F2151" t="s">
        <v>5133</v>
      </c>
      <c r="G2151" t="s">
        <v>18</v>
      </c>
      <c r="H2151" t="s">
        <v>19</v>
      </c>
      <c r="I2151" t="str">
        <f>LEFT(H2151,FIND(" (",H2151)-1)</f>
        <v>Entry</v>
      </c>
      <c r="J2151" t="str">
        <f>MID(H2151,FIND("(",H2151)+1,FIND(")",H2151)-FIND("(",H2151)-1)</f>
        <v>0-2 yrs</v>
      </c>
      <c r="L2151">
        <v>50000</v>
      </c>
      <c r="M2151" t="s">
        <v>4423</v>
      </c>
      <c r="N2151" t="s">
        <v>33</v>
      </c>
      <c r="O2151" t="s">
        <v>22</v>
      </c>
      <c r="P2151" s="1">
        <v>45573</v>
      </c>
      <c r="Q2151">
        <v>729</v>
      </c>
      <c r="R2151">
        <v>878</v>
      </c>
      <c r="S2151" t="s">
        <v>99</v>
      </c>
      <c r="T2151">
        <v>0</v>
      </c>
      <c r="U2151" t="s">
        <v>58</v>
      </c>
      <c r="V2151" t="s">
        <v>24</v>
      </c>
      <c r="W2151" t="s">
        <v>34</v>
      </c>
    </row>
    <row r="2152" spans="1:23" x14ac:dyDescent="0.3">
      <c r="A2152" t="s">
        <v>4424</v>
      </c>
      <c r="B2152" t="s">
        <v>36</v>
      </c>
      <c r="C2152" t="s">
        <v>182</v>
      </c>
      <c r="D2152" t="s">
        <v>125</v>
      </c>
      <c r="E2152" t="s">
        <v>5140</v>
      </c>
      <c r="F2152" t="s">
        <v>5133</v>
      </c>
      <c r="G2152" t="s">
        <v>18</v>
      </c>
      <c r="H2152" t="s">
        <v>31</v>
      </c>
      <c r="I2152" t="str">
        <f>LEFT(H2152,FIND(" (",H2152)-1)</f>
        <v>Staff/Principal</v>
      </c>
      <c r="J2152" t="str">
        <f>MID(H2152,FIND("(",H2152)+1,FIND(")",H2152)-FIND("(",H2152)-1)</f>
        <v>8+ yrs</v>
      </c>
      <c r="L2152">
        <v>193669</v>
      </c>
      <c r="M2152" t="s">
        <v>4425</v>
      </c>
      <c r="N2152" t="s">
        <v>149</v>
      </c>
      <c r="O2152" t="s">
        <v>44</v>
      </c>
      <c r="P2152" s="1">
        <v>45419</v>
      </c>
      <c r="Q2152">
        <v>576</v>
      </c>
      <c r="R2152">
        <v>2165</v>
      </c>
      <c r="S2152" t="s">
        <v>23</v>
      </c>
      <c r="T2152">
        <v>6</v>
      </c>
      <c r="U2152" t="s">
        <v>45</v>
      </c>
      <c r="V2152" t="s">
        <v>24</v>
      </c>
      <c r="W2152" t="s">
        <v>23</v>
      </c>
    </row>
    <row r="2153" spans="1:23" x14ac:dyDescent="0.3">
      <c r="A2153" t="s">
        <v>4426</v>
      </c>
      <c r="B2153" t="s">
        <v>329</v>
      </c>
      <c r="C2153" t="s">
        <v>226</v>
      </c>
      <c r="D2153" t="s">
        <v>125</v>
      </c>
      <c r="E2153" t="s">
        <v>159</v>
      </c>
      <c r="F2153" t="s">
        <v>160</v>
      </c>
      <c r="G2153" t="s">
        <v>18</v>
      </c>
      <c r="H2153" t="s">
        <v>19</v>
      </c>
      <c r="I2153" t="str">
        <f>LEFT(H2153,FIND(" (",H2153)-1)</f>
        <v>Entry</v>
      </c>
      <c r="J2153" t="str">
        <f>MID(H2153,FIND("(",H2153)+1,FIND(")",H2153)-FIND("(",H2153)-1)</f>
        <v>0-2 yrs</v>
      </c>
      <c r="L2153">
        <v>90934</v>
      </c>
      <c r="M2153" t="s">
        <v>4427</v>
      </c>
      <c r="N2153" t="s">
        <v>33</v>
      </c>
      <c r="O2153" t="s">
        <v>51</v>
      </c>
      <c r="P2153" s="1">
        <v>45478</v>
      </c>
      <c r="Q2153">
        <v>1623</v>
      </c>
      <c r="R2153">
        <v>2288</v>
      </c>
      <c r="S2153" t="s">
        <v>23</v>
      </c>
      <c r="T2153">
        <v>0</v>
      </c>
      <c r="U2153" t="s">
        <v>5123</v>
      </c>
      <c r="V2153" t="s">
        <v>59</v>
      </c>
      <c r="W2153" t="s">
        <v>23</v>
      </c>
    </row>
    <row r="2154" spans="1:23" x14ac:dyDescent="0.3">
      <c r="A2154" t="s">
        <v>4428</v>
      </c>
      <c r="B2154" t="s">
        <v>106</v>
      </c>
      <c r="C2154" t="s">
        <v>74</v>
      </c>
      <c r="D2154" t="s">
        <v>63</v>
      </c>
      <c r="E2154" t="s">
        <v>64</v>
      </c>
      <c r="F2154" t="s">
        <v>65</v>
      </c>
      <c r="G2154" t="s">
        <v>41</v>
      </c>
      <c r="H2154" t="s">
        <v>19</v>
      </c>
      <c r="I2154" t="str">
        <f>LEFT(H2154,FIND(" (",H2154)-1)</f>
        <v>Entry</v>
      </c>
      <c r="J2154" t="str">
        <f>MID(H2154,FIND("(",H2154)+1,FIND(")",H2154)-FIND("(",H2154)-1)</f>
        <v>0-2 yrs</v>
      </c>
      <c r="L2154">
        <v>70263</v>
      </c>
      <c r="M2154" t="s">
        <v>4429</v>
      </c>
      <c r="N2154" t="s">
        <v>33</v>
      </c>
      <c r="O2154" t="s">
        <v>51</v>
      </c>
      <c r="P2154" s="1">
        <v>45572</v>
      </c>
      <c r="Q2154">
        <v>2339</v>
      </c>
      <c r="R2154">
        <v>435</v>
      </c>
      <c r="S2154" t="s">
        <v>23</v>
      </c>
      <c r="T2154">
        <v>0</v>
      </c>
      <c r="U2154" t="s">
        <v>52</v>
      </c>
      <c r="V2154" t="s">
        <v>24</v>
      </c>
      <c r="W2154" t="s">
        <v>23</v>
      </c>
    </row>
    <row r="2155" spans="1:23" x14ac:dyDescent="0.3">
      <c r="A2155" t="s">
        <v>4430</v>
      </c>
      <c r="B2155" t="s">
        <v>329</v>
      </c>
      <c r="C2155" t="s">
        <v>27</v>
      </c>
      <c r="D2155" t="s">
        <v>15</v>
      </c>
      <c r="E2155" t="s">
        <v>159</v>
      </c>
      <c r="F2155" t="s">
        <v>160</v>
      </c>
      <c r="G2155" t="s">
        <v>55</v>
      </c>
      <c r="H2155" t="s">
        <v>66</v>
      </c>
      <c r="I2155" t="str">
        <f>LEFT(H2155,FIND(" (",H2155)-1)</f>
        <v>Senior</v>
      </c>
      <c r="J2155" t="str">
        <f>MID(H2155,FIND("(",H2155)+1,FIND(")",H2155)-FIND("(",H2155)-1)</f>
        <v>5-8 yrs</v>
      </c>
      <c r="L2155">
        <v>156228</v>
      </c>
      <c r="M2155" t="s">
        <v>4431</v>
      </c>
      <c r="N2155" t="s">
        <v>33</v>
      </c>
      <c r="O2155" t="s">
        <v>51</v>
      </c>
      <c r="P2155" s="1">
        <v>45502</v>
      </c>
      <c r="Q2155">
        <v>918</v>
      </c>
      <c r="R2155">
        <v>3683</v>
      </c>
      <c r="S2155" t="s">
        <v>23</v>
      </c>
      <c r="T2155">
        <v>4</v>
      </c>
      <c r="U2155" t="s">
        <v>5123</v>
      </c>
      <c r="V2155" t="s">
        <v>59</v>
      </c>
      <c r="W2155" t="s">
        <v>23</v>
      </c>
    </row>
    <row r="2156" spans="1:23" x14ac:dyDescent="0.3">
      <c r="A2156" t="s">
        <v>4432</v>
      </c>
      <c r="B2156" t="s">
        <v>13</v>
      </c>
      <c r="C2156" t="s">
        <v>27</v>
      </c>
      <c r="D2156" t="s">
        <v>75</v>
      </c>
      <c r="E2156" t="s">
        <v>5135</v>
      </c>
      <c r="F2156" t="s">
        <v>5133</v>
      </c>
      <c r="G2156" t="s">
        <v>41</v>
      </c>
      <c r="H2156" t="s">
        <v>66</v>
      </c>
      <c r="I2156" t="str">
        <f>LEFT(H2156,FIND(" (",H2156)-1)</f>
        <v>Senior</v>
      </c>
      <c r="J2156" t="str">
        <f>MID(H2156,FIND("(",H2156)+1,FIND(")",H2156)-FIND("(",H2156)-1)</f>
        <v>5-8 yrs</v>
      </c>
      <c r="L2156">
        <v>115975</v>
      </c>
      <c r="M2156" t="s">
        <v>4433</v>
      </c>
      <c r="N2156" t="s">
        <v>33</v>
      </c>
      <c r="O2156" t="s">
        <v>22</v>
      </c>
      <c r="P2156" s="1">
        <v>45317</v>
      </c>
      <c r="Q2156">
        <v>349</v>
      </c>
      <c r="R2156">
        <v>1320</v>
      </c>
      <c r="S2156" t="s">
        <v>23</v>
      </c>
      <c r="T2156">
        <v>4</v>
      </c>
      <c r="U2156" t="s">
        <v>5123</v>
      </c>
      <c r="V2156" t="s">
        <v>24</v>
      </c>
      <c r="W2156" t="s">
        <v>23</v>
      </c>
    </row>
    <row r="2157" spans="1:23" x14ac:dyDescent="0.3">
      <c r="A2157" t="s">
        <v>4434</v>
      </c>
      <c r="B2157" t="s">
        <v>26</v>
      </c>
      <c r="C2157" t="s">
        <v>158</v>
      </c>
      <c r="D2157" t="s">
        <v>75</v>
      </c>
      <c r="E2157" t="s">
        <v>159</v>
      </c>
      <c r="F2157" t="s">
        <v>160</v>
      </c>
      <c r="G2157" t="s">
        <v>41</v>
      </c>
      <c r="H2157" t="s">
        <v>31</v>
      </c>
      <c r="I2157" t="str">
        <f>LEFT(H2157,FIND(" (",H2157)-1)</f>
        <v>Staff/Principal</v>
      </c>
      <c r="J2157" t="str">
        <f>MID(H2157,FIND("(",H2157)+1,FIND(")",H2157)-FIND("(",H2157)-1)</f>
        <v>8+ yrs</v>
      </c>
      <c r="L2157">
        <v>177810</v>
      </c>
      <c r="M2157" t="s">
        <v>4435</v>
      </c>
      <c r="N2157" t="s">
        <v>94</v>
      </c>
      <c r="O2157" t="s">
        <v>79</v>
      </c>
      <c r="P2157" s="1">
        <v>45703</v>
      </c>
      <c r="Q2157">
        <v>1843</v>
      </c>
      <c r="R2157">
        <v>804</v>
      </c>
      <c r="S2157" t="s">
        <v>23</v>
      </c>
      <c r="T2157">
        <v>6</v>
      </c>
      <c r="U2157" t="s">
        <v>45</v>
      </c>
      <c r="V2157" t="s">
        <v>24</v>
      </c>
      <c r="W2157" t="s">
        <v>34</v>
      </c>
    </row>
    <row r="2158" spans="1:23" x14ac:dyDescent="0.3">
      <c r="A2158" t="s">
        <v>4436</v>
      </c>
      <c r="B2158" t="s">
        <v>91</v>
      </c>
      <c r="C2158" t="s">
        <v>37</v>
      </c>
      <c r="D2158" t="s">
        <v>125</v>
      </c>
      <c r="E2158" t="s">
        <v>230</v>
      </c>
      <c r="F2158" t="s">
        <v>231</v>
      </c>
      <c r="G2158" t="s">
        <v>55</v>
      </c>
      <c r="H2158" t="s">
        <v>56</v>
      </c>
      <c r="I2158" t="str">
        <f>LEFT(H2158,FIND(" (",H2158)-1)</f>
        <v>Mid</v>
      </c>
      <c r="J2158" t="str">
        <f>MID(H2158,FIND("(",H2158)+1,FIND(")",H2158)-FIND("(",H2158)-1)</f>
        <v>2-5 yrs</v>
      </c>
      <c r="L2158">
        <v>102571</v>
      </c>
      <c r="M2158" t="s">
        <v>4437</v>
      </c>
      <c r="N2158" t="s">
        <v>33</v>
      </c>
      <c r="O2158" t="s">
        <v>22</v>
      </c>
      <c r="P2158" s="1">
        <v>45518</v>
      </c>
      <c r="Q2158">
        <v>2062</v>
      </c>
      <c r="R2158">
        <v>3777</v>
      </c>
      <c r="S2158" t="s">
        <v>99</v>
      </c>
      <c r="T2158">
        <v>2</v>
      </c>
      <c r="U2158" t="s">
        <v>83</v>
      </c>
      <c r="V2158" t="s">
        <v>24</v>
      </c>
      <c r="W2158" t="s">
        <v>23</v>
      </c>
    </row>
    <row r="2159" spans="1:23" x14ac:dyDescent="0.3">
      <c r="A2159" t="s">
        <v>4438</v>
      </c>
      <c r="B2159" t="s">
        <v>225</v>
      </c>
      <c r="C2159" t="s">
        <v>132</v>
      </c>
      <c r="D2159" t="s">
        <v>174</v>
      </c>
      <c r="E2159" t="s">
        <v>102</v>
      </c>
      <c r="F2159" t="s">
        <v>103</v>
      </c>
      <c r="G2159" t="s">
        <v>18</v>
      </c>
      <c r="H2159" t="s">
        <v>19</v>
      </c>
      <c r="I2159" t="str">
        <f>LEFT(H2159,FIND(" (",H2159)-1)</f>
        <v>Entry</v>
      </c>
      <c r="J2159" t="str">
        <f>MID(H2159,FIND("(",H2159)+1,FIND(")",H2159)-FIND("(",H2159)-1)</f>
        <v>0-2 yrs</v>
      </c>
      <c r="L2159">
        <v>65996</v>
      </c>
      <c r="M2159" t="s">
        <v>4439</v>
      </c>
      <c r="N2159" t="s">
        <v>43</v>
      </c>
      <c r="O2159" t="s">
        <v>79</v>
      </c>
      <c r="P2159" s="1">
        <v>45440</v>
      </c>
      <c r="Q2159">
        <v>772</v>
      </c>
      <c r="R2159">
        <v>2468</v>
      </c>
      <c r="S2159" t="s">
        <v>23</v>
      </c>
      <c r="T2159">
        <v>0</v>
      </c>
      <c r="U2159" t="s">
        <v>45</v>
      </c>
      <c r="V2159" t="s">
        <v>59</v>
      </c>
      <c r="W2159" t="s">
        <v>34</v>
      </c>
    </row>
    <row r="2160" spans="1:23" x14ac:dyDescent="0.3">
      <c r="A2160" t="s">
        <v>4440</v>
      </c>
      <c r="B2160" t="s">
        <v>96</v>
      </c>
      <c r="C2160" t="s">
        <v>14</v>
      </c>
      <c r="D2160" t="s">
        <v>147</v>
      </c>
      <c r="E2160" t="s">
        <v>5139</v>
      </c>
      <c r="F2160" t="s">
        <v>5133</v>
      </c>
      <c r="G2160" t="s">
        <v>18</v>
      </c>
      <c r="H2160" t="s">
        <v>56</v>
      </c>
      <c r="I2160" t="str">
        <f>LEFT(H2160,FIND(" (",H2160)-1)</f>
        <v>Mid</v>
      </c>
      <c r="J2160" t="str">
        <f>MID(H2160,FIND("(",H2160)+1,FIND(")",H2160)-FIND("(",H2160)-1)</f>
        <v>2-5 yrs</v>
      </c>
      <c r="L2160">
        <v>135376</v>
      </c>
      <c r="M2160" t="s">
        <v>4441</v>
      </c>
      <c r="N2160" t="s">
        <v>245</v>
      </c>
      <c r="O2160" t="s">
        <v>22</v>
      </c>
      <c r="P2160" s="1">
        <v>45536</v>
      </c>
      <c r="Q2160">
        <v>2481</v>
      </c>
      <c r="R2160">
        <v>3086</v>
      </c>
      <c r="S2160" t="s">
        <v>23</v>
      </c>
      <c r="T2160">
        <v>2</v>
      </c>
      <c r="U2160" t="s">
        <v>45</v>
      </c>
      <c r="V2160" t="s">
        <v>24</v>
      </c>
      <c r="W2160" t="s">
        <v>23</v>
      </c>
    </row>
    <row r="2161" spans="1:23" x14ac:dyDescent="0.3">
      <c r="A2161" t="s">
        <v>4442</v>
      </c>
      <c r="B2161" t="s">
        <v>70</v>
      </c>
      <c r="C2161" t="s">
        <v>62</v>
      </c>
      <c r="D2161" t="s">
        <v>174</v>
      </c>
      <c r="E2161" t="s">
        <v>230</v>
      </c>
      <c r="F2161" t="s">
        <v>231</v>
      </c>
      <c r="G2161" t="s">
        <v>41</v>
      </c>
      <c r="H2161" t="s">
        <v>31</v>
      </c>
      <c r="I2161" t="str">
        <f>LEFT(H2161,FIND(" (",H2161)-1)</f>
        <v>Staff/Principal</v>
      </c>
      <c r="J2161" t="str">
        <f>MID(H2161,FIND("(",H2161)+1,FIND(")",H2161)-FIND("(",H2161)-1)</f>
        <v>8+ yrs</v>
      </c>
      <c r="L2161">
        <v>220076</v>
      </c>
      <c r="M2161" t="s">
        <v>4443</v>
      </c>
      <c r="N2161" t="s">
        <v>94</v>
      </c>
      <c r="O2161" t="s">
        <v>51</v>
      </c>
      <c r="P2161" s="1">
        <v>45660</v>
      </c>
      <c r="Q2161">
        <v>1526</v>
      </c>
      <c r="R2161">
        <v>2082</v>
      </c>
      <c r="S2161" t="s">
        <v>23</v>
      </c>
      <c r="T2161">
        <v>6</v>
      </c>
      <c r="U2161" t="s">
        <v>45</v>
      </c>
      <c r="V2161" t="s">
        <v>59</v>
      </c>
      <c r="W2161" t="s">
        <v>23</v>
      </c>
    </row>
    <row r="2162" spans="1:23" x14ac:dyDescent="0.3">
      <c r="A2162" t="s">
        <v>4444</v>
      </c>
      <c r="B2162" t="s">
        <v>172</v>
      </c>
      <c r="C2162" t="s">
        <v>92</v>
      </c>
      <c r="D2162" t="s">
        <v>111</v>
      </c>
      <c r="E2162" t="s">
        <v>29</v>
      </c>
      <c r="F2162" t="s">
        <v>30</v>
      </c>
      <c r="G2162" t="s">
        <v>18</v>
      </c>
      <c r="H2162" t="s">
        <v>19</v>
      </c>
      <c r="I2162" t="str">
        <f>LEFT(H2162,FIND(" (",H2162)-1)</f>
        <v>Entry</v>
      </c>
      <c r="J2162" t="str">
        <f>MID(H2162,FIND("(",H2162)+1,FIND(")",H2162)-FIND("(",H2162)-1)</f>
        <v>0-2 yrs</v>
      </c>
      <c r="L2162">
        <v>55995</v>
      </c>
      <c r="M2162" t="s">
        <v>4445</v>
      </c>
      <c r="N2162" t="s">
        <v>141</v>
      </c>
      <c r="O2162" t="s">
        <v>51</v>
      </c>
      <c r="P2162" s="1">
        <v>45615</v>
      </c>
      <c r="Q2162">
        <v>1688</v>
      </c>
      <c r="R2162">
        <v>1971</v>
      </c>
      <c r="S2162" t="s">
        <v>23</v>
      </c>
      <c r="T2162">
        <v>0</v>
      </c>
      <c r="U2162" t="s">
        <v>58</v>
      </c>
      <c r="V2162" t="s">
        <v>24</v>
      </c>
      <c r="W2162" t="s">
        <v>34</v>
      </c>
    </row>
    <row r="2163" spans="1:23" x14ac:dyDescent="0.3">
      <c r="A2163" t="s">
        <v>4446</v>
      </c>
      <c r="B2163" t="s">
        <v>222</v>
      </c>
      <c r="C2163" t="s">
        <v>71</v>
      </c>
      <c r="D2163" t="s">
        <v>111</v>
      </c>
      <c r="E2163" t="s">
        <v>64</v>
      </c>
      <c r="F2163" t="s">
        <v>65</v>
      </c>
      <c r="G2163" t="s">
        <v>18</v>
      </c>
      <c r="H2163" t="s">
        <v>19</v>
      </c>
      <c r="I2163" t="str">
        <f>LEFT(H2163,FIND(" (",H2163)-1)</f>
        <v>Entry</v>
      </c>
      <c r="J2163" t="str">
        <f>MID(H2163,FIND("(",H2163)+1,FIND(")",H2163)-FIND("(",H2163)-1)</f>
        <v>0-2 yrs</v>
      </c>
      <c r="L2163">
        <v>73105</v>
      </c>
      <c r="M2163" t="s">
        <v>4447</v>
      </c>
      <c r="N2163" t="s">
        <v>33</v>
      </c>
      <c r="O2163" t="s">
        <v>44</v>
      </c>
      <c r="P2163" s="1">
        <v>45432</v>
      </c>
      <c r="Q2163">
        <v>2221</v>
      </c>
      <c r="R2163">
        <v>1370</v>
      </c>
      <c r="S2163" t="s">
        <v>23</v>
      </c>
      <c r="T2163">
        <v>0</v>
      </c>
      <c r="U2163" t="s">
        <v>83</v>
      </c>
      <c r="V2163" t="s">
        <v>59</v>
      </c>
      <c r="W2163" t="s">
        <v>23</v>
      </c>
    </row>
    <row r="2164" spans="1:23" x14ac:dyDescent="0.3">
      <c r="A2164" t="s">
        <v>4448</v>
      </c>
      <c r="B2164" t="s">
        <v>91</v>
      </c>
      <c r="C2164" t="s">
        <v>226</v>
      </c>
      <c r="D2164" t="s">
        <v>49</v>
      </c>
      <c r="E2164" t="s">
        <v>102</v>
      </c>
      <c r="F2164" t="s">
        <v>103</v>
      </c>
      <c r="G2164" t="s">
        <v>55</v>
      </c>
      <c r="H2164" t="s">
        <v>56</v>
      </c>
      <c r="I2164" t="str">
        <f>LEFT(H2164,FIND(" (",H2164)-1)</f>
        <v>Mid</v>
      </c>
      <c r="J2164" t="str">
        <f>MID(H2164,FIND("(",H2164)+1,FIND(")",H2164)-FIND("(",H2164)-1)</f>
        <v>2-5 yrs</v>
      </c>
      <c r="L2164">
        <v>119864</v>
      </c>
      <c r="M2164" t="s">
        <v>4449</v>
      </c>
      <c r="N2164" t="s">
        <v>120</v>
      </c>
      <c r="O2164" t="s">
        <v>51</v>
      </c>
      <c r="P2164" s="1">
        <v>45312</v>
      </c>
      <c r="Q2164">
        <v>1855</v>
      </c>
      <c r="R2164">
        <v>1329</v>
      </c>
      <c r="S2164" t="s">
        <v>23</v>
      </c>
      <c r="T2164">
        <v>2</v>
      </c>
      <c r="U2164" t="s">
        <v>45</v>
      </c>
      <c r="V2164" t="s">
        <v>24</v>
      </c>
      <c r="W2164" t="s">
        <v>23</v>
      </c>
    </row>
    <row r="2165" spans="1:23" x14ac:dyDescent="0.3">
      <c r="A2165" t="s">
        <v>4450</v>
      </c>
      <c r="B2165" t="s">
        <v>70</v>
      </c>
      <c r="C2165" t="s">
        <v>101</v>
      </c>
      <c r="D2165" t="s">
        <v>125</v>
      </c>
      <c r="E2165" t="s">
        <v>16</v>
      </c>
      <c r="F2165" t="s">
        <v>17</v>
      </c>
      <c r="G2165" t="s">
        <v>18</v>
      </c>
      <c r="H2165" t="s">
        <v>56</v>
      </c>
      <c r="I2165" t="str">
        <f>LEFT(H2165,FIND(" (",H2165)-1)</f>
        <v>Mid</v>
      </c>
      <c r="J2165" t="str">
        <f>MID(H2165,FIND("(",H2165)+1,FIND(")",H2165)-FIND("(",H2165)-1)</f>
        <v>2-5 yrs</v>
      </c>
      <c r="L2165">
        <v>132574</v>
      </c>
      <c r="M2165" t="s">
        <v>4451</v>
      </c>
      <c r="N2165" t="s">
        <v>33</v>
      </c>
      <c r="O2165" t="s">
        <v>22</v>
      </c>
      <c r="P2165" s="1">
        <v>45386</v>
      </c>
      <c r="Q2165">
        <v>1259</v>
      </c>
      <c r="R2165">
        <v>1021</v>
      </c>
      <c r="S2165" t="s">
        <v>99</v>
      </c>
      <c r="T2165">
        <v>2</v>
      </c>
      <c r="U2165" t="s">
        <v>5123</v>
      </c>
      <c r="V2165" t="s">
        <v>59</v>
      </c>
      <c r="W2165" t="s">
        <v>23</v>
      </c>
    </row>
    <row r="2166" spans="1:23" x14ac:dyDescent="0.3">
      <c r="A2166" t="s">
        <v>4452</v>
      </c>
      <c r="B2166" t="s">
        <v>236</v>
      </c>
      <c r="C2166" t="s">
        <v>27</v>
      </c>
      <c r="D2166" t="s">
        <v>111</v>
      </c>
      <c r="E2166" t="s">
        <v>87</v>
      </c>
      <c r="F2166" t="s">
        <v>87</v>
      </c>
      <c r="G2166" t="s">
        <v>18</v>
      </c>
      <c r="H2166" t="s">
        <v>56</v>
      </c>
      <c r="I2166" t="str">
        <f>LEFT(H2166,FIND(" (",H2166)-1)</f>
        <v>Mid</v>
      </c>
      <c r="J2166" t="str">
        <f>MID(H2166,FIND("(",H2166)+1,FIND(")",H2166)-FIND("(",H2166)-1)</f>
        <v>2-5 yrs</v>
      </c>
      <c r="L2166">
        <v>141294</v>
      </c>
      <c r="M2166" t="s">
        <v>4453</v>
      </c>
      <c r="N2166" t="s">
        <v>33</v>
      </c>
      <c r="O2166" t="s">
        <v>51</v>
      </c>
      <c r="P2166" s="1">
        <v>45697</v>
      </c>
      <c r="Q2166">
        <v>382</v>
      </c>
      <c r="R2166">
        <v>2346</v>
      </c>
      <c r="S2166" t="s">
        <v>23</v>
      </c>
      <c r="T2166">
        <v>2</v>
      </c>
      <c r="U2166" t="s">
        <v>52</v>
      </c>
      <c r="V2166" t="s">
        <v>24</v>
      </c>
      <c r="W2166" t="s">
        <v>23</v>
      </c>
    </row>
    <row r="2167" spans="1:23" x14ac:dyDescent="0.3">
      <c r="A2167" t="s">
        <v>4454</v>
      </c>
      <c r="B2167" t="s">
        <v>13</v>
      </c>
      <c r="C2167" t="s">
        <v>74</v>
      </c>
      <c r="D2167" t="s">
        <v>125</v>
      </c>
      <c r="E2167" t="s">
        <v>5140</v>
      </c>
      <c r="F2167" t="s">
        <v>5133</v>
      </c>
      <c r="G2167" t="s">
        <v>41</v>
      </c>
      <c r="H2167" t="s">
        <v>31</v>
      </c>
      <c r="I2167" t="str">
        <f>LEFT(H2167,FIND(" (",H2167)-1)</f>
        <v>Staff/Principal</v>
      </c>
      <c r="J2167" t="str">
        <f>MID(H2167,FIND("(",H2167)+1,FIND(")",H2167)-FIND("(",H2167)-1)</f>
        <v>8+ yrs</v>
      </c>
      <c r="L2167">
        <v>163456</v>
      </c>
      <c r="M2167" t="s">
        <v>4455</v>
      </c>
      <c r="N2167" t="s">
        <v>33</v>
      </c>
      <c r="O2167" t="s">
        <v>44</v>
      </c>
      <c r="P2167" s="1">
        <v>45578</v>
      </c>
      <c r="Q2167">
        <v>2250</v>
      </c>
      <c r="R2167">
        <v>789</v>
      </c>
      <c r="S2167" t="s">
        <v>23</v>
      </c>
      <c r="T2167">
        <v>6</v>
      </c>
      <c r="U2167" t="s">
        <v>58</v>
      </c>
      <c r="V2167" t="s">
        <v>24</v>
      </c>
      <c r="W2167" t="s">
        <v>23</v>
      </c>
    </row>
    <row r="2168" spans="1:23" x14ac:dyDescent="0.3">
      <c r="A2168" t="s">
        <v>4456</v>
      </c>
      <c r="B2168" t="s">
        <v>96</v>
      </c>
      <c r="C2168" t="s">
        <v>192</v>
      </c>
      <c r="D2168" t="s">
        <v>75</v>
      </c>
      <c r="E2168" t="s">
        <v>29</v>
      </c>
      <c r="F2168" t="s">
        <v>30</v>
      </c>
      <c r="G2168" t="s">
        <v>41</v>
      </c>
      <c r="H2168" t="s">
        <v>31</v>
      </c>
      <c r="I2168" t="str">
        <f>LEFT(H2168,FIND(" (",H2168)-1)</f>
        <v>Staff/Principal</v>
      </c>
      <c r="J2168" t="str">
        <f>MID(H2168,FIND("(",H2168)+1,FIND(")",H2168)-FIND("(",H2168)-1)</f>
        <v>8+ yrs</v>
      </c>
      <c r="L2168">
        <v>170809</v>
      </c>
      <c r="M2168" t="s">
        <v>4457</v>
      </c>
      <c r="N2168" t="s">
        <v>21</v>
      </c>
      <c r="O2168" t="s">
        <v>44</v>
      </c>
      <c r="P2168" s="1">
        <v>45708</v>
      </c>
      <c r="Q2168">
        <v>1672</v>
      </c>
      <c r="R2168">
        <v>55</v>
      </c>
      <c r="S2168" t="s">
        <v>23</v>
      </c>
      <c r="T2168">
        <v>6</v>
      </c>
      <c r="U2168" t="s">
        <v>5123</v>
      </c>
      <c r="V2168" t="s">
        <v>24</v>
      </c>
      <c r="W2168" t="s">
        <v>34</v>
      </c>
    </row>
    <row r="2169" spans="1:23" x14ac:dyDescent="0.3">
      <c r="A2169" t="s">
        <v>4458</v>
      </c>
      <c r="B2169" t="s">
        <v>225</v>
      </c>
      <c r="C2169" t="s">
        <v>124</v>
      </c>
      <c r="D2169" t="s">
        <v>63</v>
      </c>
      <c r="E2169" t="s">
        <v>39</v>
      </c>
      <c r="F2169" t="s">
        <v>40</v>
      </c>
      <c r="G2169" t="s">
        <v>41</v>
      </c>
      <c r="H2169" t="s">
        <v>19</v>
      </c>
      <c r="I2169" t="str">
        <f>LEFT(H2169,FIND(" (",H2169)-1)</f>
        <v>Entry</v>
      </c>
      <c r="J2169" t="str">
        <f>MID(H2169,FIND("(",H2169)+1,FIND(")",H2169)-FIND("(",H2169)-1)</f>
        <v>0-2 yrs</v>
      </c>
      <c r="L2169">
        <v>54154</v>
      </c>
      <c r="M2169" t="s">
        <v>4459</v>
      </c>
      <c r="N2169" t="s">
        <v>33</v>
      </c>
      <c r="O2169" t="s">
        <v>51</v>
      </c>
      <c r="P2169" s="1">
        <v>45599</v>
      </c>
      <c r="Q2169">
        <v>1045</v>
      </c>
      <c r="R2169">
        <v>2835</v>
      </c>
      <c r="S2169" t="s">
        <v>99</v>
      </c>
      <c r="T2169">
        <v>0</v>
      </c>
      <c r="U2169" t="s">
        <v>58</v>
      </c>
      <c r="V2169" t="s">
        <v>24</v>
      </c>
      <c r="W2169" t="s">
        <v>34</v>
      </c>
    </row>
    <row r="2170" spans="1:23" x14ac:dyDescent="0.3">
      <c r="A2170" t="s">
        <v>4460</v>
      </c>
      <c r="B2170" t="s">
        <v>222</v>
      </c>
      <c r="C2170" t="s">
        <v>101</v>
      </c>
      <c r="D2170" t="s">
        <v>49</v>
      </c>
      <c r="E2170" t="s">
        <v>230</v>
      </c>
      <c r="F2170" t="s">
        <v>231</v>
      </c>
      <c r="G2170" t="s">
        <v>18</v>
      </c>
      <c r="H2170" t="s">
        <v>66</v>
      </c>
      <c r="I2170" t="str">
        <f>LEFT(H2170,FIND(" (",H2170)-1)</f>
        <v>Senior</v>
      </c>
      <c r="J2170" t="str">
        <f>MID(H2170,FIND("(",H2170)+1,FIND(")",H2170)-FIND("(",H2170)-1)</f>
        <v>5-8 yrs</v>
      </c>
      <c r="L2170">
        <v>143681</v>
      </c>
      <c r="M2170" t="s">
        <v>4461</v>
      </c>
      <c r="N2170" t="s">
        <v>89</v>
      </c>
      <c r="O2170" t="s">
        <v>51</v>
      </c>
      <c r="P2170" s="1">
        <v>45300</v>
      </c>
      <c r="Q2170">
        <v>1608</v>
      </c>
      <c r="R2170">
        <v>842</v>
      </c>
      <c r="S2170" t="s">
        <v>23</v>
      </c>
      <c r="T2170">
        <v>4</v>
      </c>
      <c r="U2170" t="s">
        <v>58</v>
      </c>
      <c r="V2170" t="s">
        <v>24</v>
      </c>
      <c r="W2170" t="s">
        <v>23</v>
      </c>
    </row>
    <row r="2171" spans="1:23" x14ac:dyDescent="0.3">
      <c r="A2171" t="s">
        <v>4462</v>
      </c>
      <c r="B2171" t="s">
        <v>236</v>
      </c>
      <c r="C2171" t="s">
        <v>182</v>
      </c>
      <c r="D2171" t="s">
        <v>174</v>
      </c>
      <c r="E2171" t="s">
        <v>200</v>
      </c>
      <c r="F2171" t="s">
        <v>201</v>
      </c>
      <c r="G2171" t="s">
        <v>41</v>
      </c>
      <c r="H2171" t="s">
        <v>19</v>
      </c>
      <c r="I2171" t="str">
        <f>LEFT(H2171,FIND(" (",H2171)-1)</f>
        <v>Entry</v>
      </c>
      <c r="J2171" t="str">
        <f>MID(H2171,FIND("(",H2171)+1,FIND(")",H2171)-FIND("(",H2171)-1)</f>
        <v>0-2 yrs</v>
      </c>
      <c r="L2171">
        <v>75876</v>
      </c>
      <c r="M2171" t="s">
        <v>4463</v>
      </c>
      <c r="N2171" t="s">
        <v>43</v>
      </c>
      <c r="O2171" t="s">
        <v>44</v>
      </c>
      <c r="P2171" s="1">
        <v>45725</v>
      </c>
      <c r="Q2171">
        <v>309</v>
      </c>
      <c r="R2171">
        <v>1503</v>
      </c>
      <c r="S2171" t="s">
        <v>34</v>
      </c>
      <c r="T2171">
        <v>0</v>
      </c>
      <c r="U2171" t="s">
        <v>58</v>
      </c>
      <c r="V2171" t="s">
        <v>24</v>
      </c>
      <c r="W2171" t="s">
        <v>23</v>
      </c>
    </row>
    <row r="2172" spans="1:23" x14ac:dyDescent="0.3">
      <c r="A2172" t="s">
        <v>4464</v>
      </c>
      <c r="B2172" t="s">
        <v>61</v>
      </c>
      <c r="C2172" t="s">
        <v>226</v>
      </c>
      <c r="D2172" t="s">
        <v>49</v>
      </c>
      <c r="E2172" t="s">
        <v>76</v>
      </c>
      <c r="F2172" t="s">
        <v>77</v>
      </c>
      <c r="G2172" t="s">
        <v>18</v>
      </c>
      <c r="H2172" t="s">
        <v>31</v>
      </c>
      <c r="I2172" t="str">
        <f>LEFT(H2172,FIND(" (",H2172)-1)</f>
        <v>Staff/Principal</v>
      </c>
      <c r="J2172" t="str">
        <f>MID(H2172,FIND("(",H2172)+1,FIND(")",H2172)-FIND("(",H2172)-1)</f>
        <v>8+ yrs</v>
      </c>
      <c r="L2172">
        <v>235544</v>
      </c>
      <c r="M2172" t="s">
        <v>4465</v>
      </c>
      <c r="N2172" t="s">
        <v>33</v>
      </c>
      <c r="O2172" t="s">
        <v>44</v>
      </c>
      <c r="P2172" s="1">
        <v>45609</v>
      </c>
      <c r="Q2172">
        <v>486</v>
      </c>
      <c r="R2172">
        <v>1684</v>
      </c>
      <c r="S2172" t="s">
        <v>23</v>
      </c>
      <c r="T2172">
        <v>6</v>
      </c>
      <c r="U2172" t="s">
        <v>58</v>
      </c>
      <c r="V2172" t="s">
        <v>24</v>
      </c>
      <c r="W2172" t="s">
        <v>23</v>
      </c>
    </row>
    <row r="2173" spans="1:23" x14ac:dyDescent="0.3">
      <c r="A2173" t="s">
        <v>4466</v>
      </c>
      <c r="B2173" t="s">
        <v>26</v>
      </c>
      <c r="C2173" t="s">
        <v>86</v>
      </c>
      <c r="D2173" t="s">
        <v>75</v>
      </c>
      <c r="E2173" t="s">
        <v>5132</v>
      </c>
      <c r="F2173" t="s">
        <v>5133</v>
      </c>
      <c r="G2173" t="s">
        <v>18</v>
      </c>
      <c r="H2173" t="s">
        <v>19</v>
      </c>
      <c r="I2173" t="str">
        <f>LEFT(H2173,FIND(" (",H2173)-1)</f>
        <v>Entry</v>
      </c>
      <c r="J2173" t="str">
        <f>MID(H2173,FIND("(",H2173)+1,FIND(")",H2173)-FIND("(",H2173)-1)</f>
        <v>0-2 yrs</v>
      </c>
      <c r="L2173">
        <v>69043</v>
      </c>
      <c r="M2173" t="s">
        <v>4467</v>
      </c>
      <c r="N2173" t="s">
        <v>21</v>
      </c>
      <c r="O2173" t="s">
        <v>44</v>
      </c>
      <c r="P2173" s="1">
        <v>45416</v>
      </c>
      <c r="Q2173">
        <v>757</v>
      </c>
      <c r="R2173">
        <v>1192</v>
      </c>
      <c r="S2173" t="s">
        <v>99</v>
      </c>
      <c r="T2173">
        <v>0</v>
      </c>
      <c r="U2173" t="s">
        <v>83</v>
      </c>
      <c r="V2173" t="s">
        <v>24</v>
      </c>
      <c r="W2173" t="s">
        <v>34</v>
      </c>
    </row>
    <row r="2174" spans="1:23" x14ac:dyDescent="0.3">
      <c r="A2174" t="s">
        <v>4468</v>
      </c>
      <c r="B2174" t="s">
        <v>96</v>
      </c>
      <c r="C2174" t="s">
        <v>14</v>
      </c>
      <c r="D2174" t="s">
        <v>75</v>
      </c>
      <c r="E2174" t="s">
        <v>159</v>
      </c>
      <c r="F2174" t="s">
        <v>160</v>
      </c>
      <c r="G2174" t="s">
        <v>18</v>
      </c>
      <c r="H2174" t="s">
        <v>19</v>
      </c>
      <c r="I2174" t="str">
        <f>LEFT(H2174,FIND(" (",H2174)-1)</f>
        <v>Entry</v>
      </c>
      <c r="J2174" t="str">
        <f>MID(H2174,FIND("(",H2174)+1,FIND(")",H2174)-FIND("(",H2174)-1)</f>
        <v>0-2 yrs</v>
      </c>
      <c r="L2174">
        <v>65969</v>
      </c>
      <c r="M2174" t="s">
        <v>4469</v>
      </c>
      <c r="N2174" t="s">
        <v>186</v>
      </c>
      <c r="O2174" t="s">
        <v>22</v>
      </c>
      <c r="P2174" s="1">
        <v>45737</v>
      </c>
      <c r="Q2174">
        <v>2355</v>
      </c>
      <c r="R2174">
        <v>846</v>
      </c>
      <c r="S2174" t="s">
        <v>99</v>
      </c>
      <c r="T2174">
        <v>0</v>
      </c>
      <c r="U2174" t="s">
        <v>58</v>
      </c>
      <c r="V2174" t="s">
        <v>59</v>
      </c>
      <c r="W2174" t="s">
        <v>23</v>
      </c>
    </row>
    <row r="2175" spans="1:23" x14ac:dyDescent="0.3">
      <c r="A2175" t="s">
        <v>4470</v>
      </c>
      <c r="B2175" t="s">
        <v>13</v>
      </c>
      <c r="C2175" t="s">
        <v>239</v>
      </c>
      <c r="D2175" t="s">
        <v>174</v>
      </c>
      <c r="E2175" t="s">
        <v>39</v>
      </c>
      <c r="F2175" t="s">
        <v>40</v>
      </c>
      <c r="G2175" t="s">
        <v>18</v>
      </c>
      <c r="H2175" t="s">
        <v>31</v>
      </c>
      <c r="I2175" t="str">
        <f>LEFT(H2175,FIND(" (",H2175)-1)</f>
        <v>Staff/Principal</v>
      </c>
      <c r="J2175" t="str">
        <f>MID(H2175,FIND("(",H2175)+1,FIND(")",H2175)-FIND("(",H2175)-1)</f>
        <v>8+ yrs</v>
      </c>
      <c r="L2175">
        <v>205463</v>
      </c>
      <c r="M2175" t="s">
        <v>4471</v>
      </c>
      <c r="N2175" t="s">
        <v>43</v>
      </c>
      <c r="O2175" t="s">
        <v>51</v>
      </c>
      <c r="P2175" s="1">
        <v>45566</v>
      </c>
      <c r="Q2175">
        <v>2138</v>
      </c>
      <c r="R2175">
        <v>3223</v>
      </c>
      <c r="S2175" t="s">
        <v>34</v>
      </c>
      <c r="T2175">
        <v>6</v>
      </c>
      <c r="U2175" t="s">
        <v>45</v>
      </c>
      <c r="V2175" t="s">
        <v>24</v>
      </c>
      <c r="W2175" t="s">
        <v>23</v>
      </c>
    </row>
    <row r="2176" spans="1:23" x14ac:dyDescent="0.3">
      <c r="A2176" t="s">
        <v>4472</v>
      </c>
      <c r="B2176" t="s">
        <v>236</v>
      </c>
      <c r="C2176" t="s">
        <v>158</v>
      </c>
      <c r="D2176" t="s">
        <v>75</v>
      </c>
      <c r="E2176" t="s">
        <v>159</v>
      </c>
      <c r="F2176" t="s">
        <v>160</v>
      </c>
      <c r="G2176" t="s">
        <v>55</v>
      </c>
      <c r="H2176" t="s">
        <v>31</v>
      </c>
      <c r="I2176" t="str">
        <f>LEFT(H2176,FIND(" (",H2176)-1)</f>
        <v>Staff/Principal</v>
      </c>
      <c r="J2176" t="str">
        <f>MID(H2176,FIND("(",H2176)+1,FIND(")",H2176)-FIND("(",H2176)-1)</f>
        <v>8+ yrs</v>
      </c>
      <c r="L2176">
        <v>169934</v>
      </c>
      <c r="M2176" t="s">
        <v>4473</v>
      </c>
      <c r="N2176" t="s">
        <v>33</v>
      </c>
      <c r="O2176" t="s">
        <v>51</v>
      </c>
      <c r="P2176" s="1">
        <v>45358</v>
      </c>
      <c r="Q2176">
        <v>2356</v>
      </c>
      <c r="R2176">
        <v>2255</v>
      </c>
      <c r="S2176" t="s">
        <v>34</v>
      </c>
      <c r="T2176">
        <v>6</v>
      </c>
      <c r="U2176" t="s">
        <v>83</v>
      </c>
      <c r="V2176" t="s">
        <v>59</v>
      </c>
      <c r="W2176" t="s">
        <v>23</v>
      </c>
    </row>
    <row r="2177" spans="1:23" x14ac:dyDescent="0.3">
      <c r="A2177" t="s">
        <v>4474</v>
      </c>
      <c r="B2177" t="s">
        <v>131</v>
      </c>
      <c r="C2177" t="s">
        <v>209</v>
      </c>
      <c r="D2177" t="s">
        <v>28</v>
      </c>
      <c r="E2177" t="s">
        <v>64</v>
      </c>
      <c r="F2177" t="s">
        <v>65</v>
      </c>
      <c r="G2177" t="s">
        <v>18</v>
      </c>
      <c r="H2177" t="s">
        <v>31</v>
      </c>
      <c r="I2177" t="str">
        <f>LEFT(H2177,FIND(" (",H2177)-1)</f>
        <v>Staff/Principal</v>
      </c>
      <c r="J2177" t="str">
        <f>MID(H2177,FIND("(",H2177)+1,FIND(")",H2177)-FIND("(",H2177)-1)</f>
        <v>8+ yrs</v>
      </c>
      <c r="L2177">
        <v>275223</v>
      </c>
      <c r="M2177" t="s">
        <v>4475</v>
      </c>
      <c r="N2177" t="s">
        <v>186</v>
      </c>
      <c r="O2177" t="s">
        <v>79</v>
      </c>
      <c r="P2177" s="1">
        <v>45540</v>
      </c>
      <c r="Q2177">
        <v>367</v>
      </c>
      <c r="R2177">
        <v>3258</v>
      </c>
      <c r="S2177" t="s">
        <v>23</v>
      </c>
      <c r="T2177">
        <v>6</v>
      </c>
      <c r="U2177" t="s">
        <v>45</v>
      </c>
      <c r="V2177" t="s">
        <v>24</v>
      </c>
      <c r="W2177" t="s">
        <v>23</v>
      </c>
    </row>
    <row r="2178" spans="1:23" x14ac:dyDescent="0.3">
      <c r="A2178" t="s">
        <v>4476</v>
      </c>
      <c r="B2178" t="s">
        <v>81</v>
      </c>
      <c r="C2178" t="s">
        <v>97</v>
      </c>
      <c r="D2178" t="s">
        <v>147</v>
      </c>
      <c r="E2178" t="s">
        <v>5137</v>
      </c>
      <c r="F2178" t="s">
        <v>5138</v>
      </c>
      <c r="G2178" t="s">
        <v>18</v>
      </c>
      <c r="H2178" t="s">
        <v>56</v>
      </c>
      <c r="I2178" t="str">
        <f>LEFT(H2178,FIND(" (",H2178)-1)</f>
        <v>Mid</v>
      </c>
      <c r="J2178" t="str">
        <f>MID(H2178,FIND("(",H2178)+1,FIND(")",H2178)-FIND("(",H2178)-1)</f>
        <v>2-5 yrs</v>
      </c>
      <c r="L2178">
        <v>78168</v>
      </c>
      <c r="M2178" t="s">
        <v>4477</v>
      </c>
      <c r="N2178" t="s">
        <v>43</v>
      </c>
      <c r="O2178" t="s">
        <v>79</v>
      </c>
      <c r="P2178" s="1">
        <v>45299</v>
      </c>
      <c r="Q2178">
        <v>665</v>
      </c>
      <c r="R2178">
        <v>956</v>
      </c>
      <c r="S2178" t="s">
        <v>23</v>
      </c>
      <c r="T2178">
        <v>2</v>
      </c>
      <c r="U2178" t="s">
        <v>5123</v>
      </c>
      <c r="V2178" t="s">
        <v>59</v>
      </c>
      <c r="W2178" t="s">
        <v>34</v>
      </c>
    </row>
    <row r="2179" spans="1:23" x14ac:dyDescent="0.3">
      <c r="A2179" t="s">
        <v>4478</v>
      </c>
      <c r="B2179" t="s">
        <v>225</v>
      </c>
      <c r="C2179" t="s">
        <v>209</v>
      </c>
      <c r="D2179" t="s">
        <v>63</v>
      </c>
      <c r="E2179" t="s">
        <v>5135</v>
      </c>
      <c r="F2179" t="s">
        <v>5133</v>
      </c>
      <c r="G2179" t="s">
        <v>18</v>
      </c>
      <c r="H2179" t="s">
        <v>19</v>
      </c>
      <c r="I2179" t="str">
        <f>LEFT(H2179,FIND(" (",H2179)-1)</f>
        <v>Entry</v>
      </c>
      <c r="J2179" t="str">
        <f>MID(H2179,FIND("(",H2179)+1,FIND(")",H2179)-FIND("(",H2179)-1)</f>
        <v>0-2 yrs</v>
      </c>
      <c r="L2179">
        <v>72327</v>
      </c>
      <c r="M2179" t="s">
        <v>4479</v>
      </c>
      <c r="N2179" t="s">
        <v>68</v>
      </c>
      <c r="O2179" t="s">
        <v>22</v>
      </c>
      <c r="P2179" s="1">
        <v>45716</v>
      </c>
      <c r="Q2179">
        <v>452</v>
      </c>
      <c r="R2179">
        <v>3806</v>
      </c>
      <c r="S2179" t="s">
        <v>23</v>
      </c>
      <c r="T2179">
        <v>0</v>
      </c>
      <c r="U2179" t="s">
        <v>45</v>
      </c>
      <c r="V2179" t="s">
        <v>24</v>
      </c>
      <c r="W2179" t="s">
        <v>34</v>
      </c>
    </row>
    <row r="2180" spans="1:23" x14ac:dyDescent="0.3">
      <c r="A2180" t="s">
        <v>4480</v>
      </c>
      <c r="B2180" t="s">
        <v>91</v>
      </c>
      <c r="C2180" t="s">
        <v>179</v>
      </c>
      <c r="D2180" t="s">
        <v>63</v>
      </c>
      <c r="E2180" t="s">
        <v>5139</v>
      </c>
      <c r="F2180" t="s">
        <v>5133</v>
      </c>
      <c r="G2180" t="s">
        <v>41</v>
      </c>
      <c r="H2180" t="s">
        <v>66</v>
      </c>
      <c r="I2180" t="str">
        <f>LEFT(H2180,FIND(" (",H2180)-1)</f>
        <v>Senior</v>
      </c>
      <c r="J2180" t="str">
        <f>MID(H2180,FIND("(",H2180)+1,FIND(")",H2180)-FIND("(",H2180)-1)</f>
        <v>5-8 yrs</v>
      </c>
      <c r="L2180">
        <v>204637</v>
      </c>
      <c r="M2180" t="s">
        <v>4481</v>
      </c>
      <c r="N2180" t="s">
        <v>141</v>
      </c>
      <c r="O2180" t="s">
        <v>22</v>
      </c>
      <c r="P2180" s="1">
        <v>45670</v>
      </c>
      <c r="Q2180">
        <v>974</v>
      </c>
      <c r="R2180">
        <v>1256</v>
      </c>
      <c r="S2180" t="s">
        <v>23</v>
      </c>
      <c r="T2180">
        <v>4</v>
      </c>
      <c r="U2180" t="s">
        <v>83</v>
      </c>
      <c r="V2180" t="s">
        <v>59</v>
      </c>
      <c r="W2180" t="s">
        <v>34</v>
      </c>
    </row>
    <row r="2181" spans="1:23" x14ac:dyDescent="0.3">
      <c r="A2181" t="s">
        <v>4482</v>
      </c>
      <c r="B2181" t="s">
        <v>229</v>
      </c>
      <c r="C2181" t="s">
        <v>97</v>
      </c>
      <c r="D2181" t="s">
        <v>147</v>
      </c>
      <c r="E2181" t="s">
        <v>29</v>
      </c>
      <c r="F2181" t="s">
        <v>30</v>
      </c>
      <c r="G2181" t="s">
        <v>18</v>
      </c>
      <c r="H2181" t="s">
        <v>56</v>
      </c>
      <c r="I2181" t="str">
        <f>LEFT(H2181,FIND(" (",H2181)-1)</f>
        <v>Mid</v>
      </c>
      <c r="J2181" t="str">
        <f>MID(H2181,FIND("(",H2181)+1,FIND(")",H2181)-FIND("(",H2181)-1)</f>
        <v>2-5 yrs</v>
      </c>
      <c r="L2181">
        <v>110134</v>
      </c>
      <c r="M2181" t="s">
        <v>4483</v>
      </c>
      <c r="N2181" t="s">
        <v>21</v>
      </c>
      <c r="O2181" t="s">
        <v>51</v>
      </c>
      <c r="P2181" s="1">
        <v>45692</v>
      </c>
      <c r="Q2181">
        <v>1314</v>
      </c>
      <c r="R2181">
        <v>2759</v>
      </c>
      <c r="S2181" t="s">
        <v>23</v>
      </c>
      <c r="T2181">
        <v>2</v>
      </c>
      <c r="U2181" t="s">
        <v>5123</v>
      </c>
      <c r="V2181" t="s">
        <v>59</v>
      </c>
      <c r="W2181" t="s">
        <v>34</v>
      </c>
    </row>
    <row r="2182" spans="1:23" x14ac:dyDescent="0.3">
      <c r="A2182" t="s">
        <v>4484</v>
      </c>
      <c r="B2182" t="s">
        <v>106</v>
      </c>
      <c r="C2182" t="s">
        <v>101</v>
      </c>
      <c r="D2182" t="s">
        <v>28</v>
      </c>
      <c r="E2182" t="s">
        <v>16</v>
      </c>
      <c r="F2182" t="s">
        <v>17</v>
      </c>
      <c r="G2182" t="s">
        <v>41</v>
      </c>
      <c r="H2182" t="s">
        <v>19</v>
      </c>
      <c r="I2182" t="str">
        <f>LEFT(H2182,FIND(" (",H2182)-1)</f>
        <v>Entry</v>
      </c>
      <c r="J2182" t="str">
        <f>MID(H2182,FIND("(",H2182)+1,FIND(")",H2182)-FIND("(",H2182)-1)</f>
        <v>0-2 yrs</v>
      </c>
      <c r="L2182">
        <v>67605</v>
      </c>
      <c r="M2182" t="s">
        <v>4485</v>
      </c>
      <c r="N2182" t="s">
        <v>43</v>
      </c>
      <c r="O2182" t="s">
        <v>22</v>
      </c>
      <c r="P2182" s="1">
        <v>45738</v>
      </c>
      <c r="Q2182">
        <v>1842</v>
      </c>
      <c r="R2182">
        <v>458</v>
      </c>
      <c r="S2182" t="s">
        <v>23</v>
      </c>
      <c r="T2182">
        <v>0</v>
      </c>
      <c r="U2182" t="s">
        <v>5123</v>
      </c>
      <c r="V2182" t="s">
        <v>24</v>
      </c>
      <c r="W2182" t="s">
        <v>23</v>
      </c>
    </row>
    <row r="2183" spans="1:23" x14ac:dyDescent="0.3">
      <c r="A2183" t="s">
        <v>4486</v>
      </c>
      <c r="B2183" t="s">
        <v>172</v>
      </c>
      <c r="C2183" t="s">
        <v>92</v>
      </c>
      <c r="D2183" t="s">
        <v>75</v>
      </c>
      <c r="E2183" t="s">
        <v>5136</v>
      </c>
      <c r="F2183" t="s">
        <v>5133</v>
      </c>
      <c r="G2183" t="s">
        <v>41</v>
      </c>
      <c r="H2183" t="s">
        <v>56</v>
      </c>
      <c r="I2183" t="str">
        <f>LEFT(H2183,FIND(" (",H2183)-1)</f>
        <v>Mid</v>
      </c>
      <c r="J2183" t="str">
        <f>MID(H2183,FIND("(",H2183)+1,FIND(")",H2183)-FIND("(",H2183)-1)</f>
        <v>2-5 yrs</v>
      </c>
      <c r="L2183">
        <v>102922</v>
      </c>
      <c r="M2183" t="s">
        <v>4487</v>
      </c>
      <c r="N2183" t="s">
        <v>186</v>
      </c>
      <c r="O2183" t="s">
        <v>22</v>
      </c>
      <c r="P2183" s="1">
        <v>45299</v>
      </c>
      <c r="Q2183">
        <v>744</v>
      </c>
      <c r="R2183">
        <v>2792</v>
      </c>
      <c r="S2183" t="s">
        <v>34</v>
      </c>
      <c r="T2183">
        <v>2</v>
      </c>
      <c r="U2183" t="s">
        <v>5123</v>
      </c>
      <c r="V2183" t="s">
        <v>24</v>
      </c>
      <c r="W2183" t="s">
        <v>34</v>
      </c>
    </row>
    <row r="2184" spans="1:23" x14ac:dyDescent="0.3">
      <c r="A2184" t="s">
        <v>4488</v>
      </c>
      <c r="B2184" t="s">
        <v>36</v>
      </c>
      <c r="C2184" t="s">
        <v>92</v>
      </c>
      <c r="D2184" t="s">
        <v>147</v>
      </c>
      <c r="E2184" t="s">
        <v>16</v>
      </c>
      <c r="F2184" t="s">
        <v>17</v>
      </c>
      <c r="G2184" t="s">
        <v>55</v>
      </c>
      <c r="H2184" t="s">
        <v>66</v>
      </c>
      <c r="I2184" t="str">
        <f>LEFT(H2184,FIND(" (",H2184)-1)</f>
        <v>Senior</v>
      </c>
      <c r="J2184" t="str">
        <f>MID(H2184,FIND("(",H2184)+1,FIND(")",H2184)-FIND("(",H2184)-1)</f>
        <v>5-8 yrs</v>
      </c>
      <c r="L2184">
        <v>145129</v>
      </c>
      <c r="M2184" t="s">
        <v>4489</v>
      </c>
      <c r="N2184" t="s">
        <v>43</v>
      </c>
      <c r="O2184" t="s">
        <v>22</v>
      </c>
      <c r="P2184" s="1">
        <v>45489</v>
      </c>
      <c r="Q2184">
        <v>2107</v>
      </c>
      <c r="R2184">
        <v>1658</v>
      </c>
      <c r="S2184" t="s">
        <v>23</v>
      </c>
      <c r="T2184">
        <v>4</v>
      </c>
      <c r="U2184" t="s">
        <v>58</v>
      </c>
      <c r="V2184" t="s">
        <v>24</v>
      </c>
      <c r="W2184" t="s">
        <v>23</v>
      </c>
    </row>
    <row r="2185" spans="1:23" x14ac:dyDescent="0.3">
      <c r="A2185" t="s">
        <v>4490</v>
      </c>
      <c r="B2185" t="s">
        <v>222</v>
      </c>
      <c r="C2185" t="s">
        <v>195</v>
      </c>
      <c r="D2185" t="s">
        <v>63</v>
      </c>
      <c r="E2185" t="s">
        <v>159</v>
      </c>
      <c r="F2185" t="s">
        <v>160</v>
      </c>
      <c r="G2185" t="s">
        <v>41</v>
      </c>
      <c r="H2185" t="s">
        <v>66</v>
      </c>
      <c r="I2185" t="str">
        <f>LEFT(H2185,FIND(" (",H2185)-1)</f>
        <v>Senior</v>
      </c>
      <c r="J2185" t="str">
        <f>MID(H2185,FIND("(",H2185)+1,FIND(")",H2185)-FIND("(",H2185)-1)</f>
        <v>5-8 yrs</v>
      </c>
      <c r="L2185">
        <v>187066</v>
      </c>
      <c r="M2185" t="s">
        <v>4491</v>
      </c>
      <c r="N2185" t="s">
        <v>94</v>
      </c>
      <c r="O2185" t="s">
        <v>22</v>
      </c>
      <c r="P2185" s="1">
        <v>45619</v>
      </c>
      <c r="Q2185">
        <v>1248</v>
      </c>
      <c r="R2185">
        <v>2680</v>
      </c>
      <c r="S2185" t="s">
        <v>34</v>
      </c>
      <c r="T2185">
        <v>4</v>
      </c>
      <c r="U2185" t="s">
        <v>45</v>
      </c>
      <c r="V2185" t="s">
        <v>59</v>
      </c>
      <c r="W2185" t="s">
        <v>34</v>
      </c>
    </row>
    <row r="2186" spans="1:23" x14ac:dyDescent="0.3">
      <c r="A2186" t="s">
        <v>4492</v>
      </c>
      <c r="B2186" t="s">
        <v>329</v>
      </c>
      <c r="C2186" t="s">
        <v>86</v>
      </c>
      <c r="D2186" t="s">
        <v>147</v>
      </c>
      <c r="E2186" t="s">
        <v>16</v>
      </c>
      <c r="F2186" t="s">
        <v>17</v>
      </c>
      <c r="G2186" t="s">
        <v>18</v>
      </c>
      <c r="H2186" t="s">
        <v>19</v>
      </c>
      <c r="I2186" t="str">
        <f>LEFT(H2186,FIND(" (",H2186)-1)</f>
        <v>Entry</v>
      </c>
      <c r="J2186" t="str">
        <f>MID(H2186,FIND("(",H2186)+1,FIND(")",H2186)-FIND("(",H2186)-1)</f>
        <v>0-2 yrs</v>
      </c>
      <c r="L2186">
        <v>50000</v>
      </c>
      <c r="M2186" t="s">
        <v>4493</v>
      </c>
      <c r="N2186" t="s">
        <v>149</v>
      </c>
      <c r="O2186" t="s">
        <v>51</v>
      </c>
      <c r="P2186" s="1">
        <v>45715</v>
      </c>
      <c r="Q2186">
        <v>1385</v>
      </c>
      <c r="R2186">
        <v>1085</v>
      </c>
      <c r="S2186" t="s">
        <v>23</v>
      </c>
      <c r="T2186">
        <v>0</v>
      </c>
      <c r="U2186" t="s">
        <v>45</v>
      </c>
      <c r="V2186" t="s">
        <v>24</v>
      </c>
      <c r="W2186" t="s">
        <v>34</v>
      </c>
    </row>
    <row r="2187" spans="1:23" x14ac:dyDescent="0.3">
      <c r="A2187" t="s">
        <v>4494</v>
      </c>
      <c r="B2187" t="s">
        <v>225</v>
      </c>
      <c r="C2187" t="s">
        <v>158</v>
      </c>
      <c r="D2187" t="s">
        <v>49</v>
      </c>
      <c r="E2187" t="s">
        <v>216</v>
      </c>
      <c r="F2187" t="s">
        <v>217</v>
      </c>
      <c r="G2187" t="s">
        <v>55</v>
      </c>
      <c r="H2187" t="s">
        <v>56</v>
      </c>
      <c r="I2187" t="str">
        <f>LEFT(H2187,FIND(" (",H2187)-1)</f>
        <v>Mid</v>
      </c>
      <c r="J2187" t="str">
        <f>MID(H2187,FIND("(",H2187)+1,FIND(")",H2187)-FIND("(",H2187)-1)</f>
        <v>2-5 yrs</v>
      </c>
      <c r="L2187">
        <v>140361</v>
      </c>
      <c r="M2187" t="s">
        <v>4495</v>
      </c>
      <c r="N2187" t="s">
        <v>33</v>
      </c>
      <c r="O2187" t="s">
        <v>44</v>
      </c>
      <c r="P2187" s="1">
        <v>45504</v>
      </c>
      <c r="Q2187">
        <v>2196</v>
      </c>
      <c r="R2187">
        <v>2294</v>
      </c>
      <c r="S2187" t="s">
        <v>34</v>
      </c>
      <c r="T2187">
        <v>2</v>
      </c>
      <c r="U2187" t="s">
        <v>83</v>
      </c>
      <c r="V2187" t="s">
        <v>24</v>
      </c>
      <c r="W2187" t="s">
        <v>23</v>
      </c>
    </row>
    <row r="2188" spans="1:23" x14ac:dyDescent="0.3">
      <c r="A2188" t="s">
        <v>4496</v>
      </c>
      <c r="B2188" t="s">
        <v>61</v>
      </c>
      <c r="C2188" t="s">
        <v>107</v>
      </c>
      <c r="D2188" t="s">
        <v>125</v>
      </c>
      <c r="E2188" t="s">
        <v>216</v>
      </c>
      <c r="F2188" t="s">
        <v>217</v>
      </c>
      <c r="G2188" t="s">
        <v>18</v>
      </c>
      <c r="H2188" t="s">
        <v>19</v>
      </c>
      <c r="I2188" t="str">
        <f>LEFT(H2188,FIND(" (",H2188)-1)</f>
        <v>Entry</v>
      </c>
      <c r="J2188" t="str">
        <f>MID(H2188,FIND("(",H2188)+1,FIND(")",H2188)-FIND("(",H2188)-1)</f>
        <v>0-2 yrs</v>
      </c>
      <c r="L2188">
        <v>52058</v>
      </c>
      <c r="M2188" t="s">
        <v>4497</v>
      </c>
      <c r="N2188" t="s">
        <v>33</v>
      </c>
      <c r="O2188" t="s">
        <v>51</v>
      </c>
      <c r="P2188" s="1">
        <v>45572</v>
      </c>
      <c r="Q2188">
        <v>1011</v>
      </c>
      <c r="R2188">
        <v>3355</v>
      </c>
      <c r="S2188" t="s">
        <v>23</v>
      </c>
      <c r="T2188">
        <v>0</v>
      </c>
      <c r="U2188" t="s">
        <v>58</v>
      </c>
      <c r="V2188" t="s">
        <v>24</v>
      </c>
      <c r="W2188" t="s">
        <v>23</v>
      </c>
    </row>
    <row r="2189" spans="1:23" x14ac:dyDescent="0.3">
      <c r="A2189" t="s">
        <v>4498</v>
      </c>
      <c r="B2189" t="s">
        <v>81</v>
      </c>
      <c r="C2189" t="s">
        <v>204</v>
      </c>
      <c r="D2189" t="s">
        <v>28</v>
      </c>
      <c r="E2189" t="s">
        <v>230</v>
      </c>
      <c r="F2189" t="s">
        <v>231</v>
      </c>
      <c r="G2189" t="s">
        <v>18</v>
      </c>
      <c r="H2189" t="s">
        <v>19</v>
      </c>
      <c r="I2189" t="str">
        <f>LEFT(H2189,FIND(" (",H2189)-1)</f>
        <v>Entry</v>
      </c>
      <c r="J2189" t="str">
        <f>MID(H2189,FIND("(",H2189)+1,FIND(")",H2189)-FIND("(",H2189)-1)</f>
        <v>0-2 yrs</v>
      </c>
      <c r="L2189">
        <v>66640</v>
      </c>
      <c r="M2189" t="s">
        <v>4499</v>
      </c>
      <c r="N2189" t="s">
        <v>43</v>
      </c>
      <c r="O2189" t="s">
        <v>22</v>
      </c>
      <c r="P2189" s="1">
        <v>45724</v>
      </c>
      <c r="Q2189">
        <v>1746</v>
      </c>
      <c r="R2189">
        <v>1408</v>
      </c>
      <c r="S2189" t="s">
        <v>23</v>
      </c>
      <c r="T2189">
        <v>0</v>
      </c>
      <c r="U2189" t="s">
        <v>83</v>
      </c>
      <c r="V2189" t="s">
        <v>24</v>
      </c>
      <c r="W2189" t="s">
        <v>23</v>
      </c>
    </row>
    <row r="2190" spans="1:23" x14ac:dyDescent="0.3">
      <c r="A2190" t="s">
        <v>4500</v>
      </c>
      <c r="B2190" t="s">
        <v>329</v>
      </c>
      <c r="C2190" t="s">
        <v>37</v>
      </c>
      <c r="D2190" t="s">
        <v>174</v>
      </c>
      <c r="E2190" t="s">
        <v>5136</v>
      </c>
      <c r="F2190" t="s">
        <v>5133</v>
      </c>
      <c r="G2190" t="s">
        <v>18</v>
      </c>
      <c r="H2190" t="s">
        <v>56</v>
      </c>
      <c r="I2190" t="str">
        <f>LEFT(H2190,FIND(" (",H2190)-1)</f>
        <v>Mid</v>
      </c>
      <c r="J2190" t="str">
        <f>MID(H2190,FIND("(",H2190)+1,FIND(")",H2190)-FIND("(",H2190)-1)</f>
        <v>2-5 yrs</v>
      </c>
      <c r="L2190">
        <v>101500</v>
      </c>
      <c r="M2190" t="s">
        <v>4501</v>
      </c>
      <c r="N2190" t="s">
        <v>186</v>
      </c>
      <c r="O2190" t="s">
        <v>22</v>
      </c>
      <c r="P2190" s="1">
        <v>45422</v>
      </c>
      <c r="Q2190">
        <v>842</v>
      </c>
      <c r="R2190">
        <v>3576</v>
      </c>
      <c r="S2190" t="s">
        <v>99</v>
      </c>
      <c r="T2190">
        <v>2</v>
      </c>
      <c r="U2190" t="s">
        <v>45</v>
      </c>
      <c r="V2190" t="s">
        <v>59</v>
      </c>
      <c r="W2190" t="s">
        <v>23</v>
      </c>
    </row>
    <row r="2191" spans="1:23" x14ac:dyDescent="0.3">
      <c r="A2191" t="s">
        <v>4502</v>
      </c>
      <c r="B2191" t="s">
        <v>236</v>
      </c>
      <c r="C2191" t="s">
        <v>146</v>
      </c>
      <c r="D2191" t="s">
        <v>125</v>
      </c>
      <c r="E2191" t="s">
        <v>5141</v>
      </c>
      <c r="F2191" t="s">
        <v>5133</v>
      </c>
      <c r="G2191" t="s">
        <v>18</v>
      </c>
      <c r="H2191" t="s">
        <v>19</v>
      </c>
      <c r="I2191" t="str">
        <f>LEFT(H2191,FIND(" (",H2191)-1)</f>
        <v>Entry</v>
      </c>
      <c r="J2191" t="str">
        <f>MID(H2191,FIND("(",H2191)+1,FIND(")",H2191)-FIND("(",H2191)-1)</f>
        <v>0-2 yrs</v>
      </c>
      <c r="L2191">
        <v>77415</v>
      </c>
      <c r="M2191" t="s">
        <v>4503</v>
      </c>
      <c r="N2191" t="s">
        <v>33</v>
      </c>
      <c r="O2191" t="s">
        <v>51</v>
      </c>
      <c r="P2191" s="1">
        <v>45569</v>
      </c>
      <c r="Q2191">
        <v>919</v>
      </c>
      <c r="R2191">
        <v>1612</v>
      </c>
      <c r="S2191" t="s">
        <v>34</v>
      </c>
      <c r="T2191">
        <v>0</v>
      </c>
      <c r="U2191" t="s">
        <v>45</v>
      </c>
      <c r="V2191" t="s">
        <v>24</v>
      </c>
      <c r="W2191" t="s">
        <v>23</v>
      </c>
    </row>
    <row r="2192" spans="1:23" x14ac:dyDescent="0.3">
      <c r="A2192" t="s">
        <v>4504</v>
      </c>
      <c r="B2192" t="s">
        <v>85</v>
      </c>
      <c r="C2192" t="s">
        <v>209</v>
      </c>
      <c r="D2192" t="s">
        <v>147</v>
      </c>
      <c r="E2192" t="s">
        <v>159</v>
      </c>
      <c r="F2192" t="s">
        <v>160</v>
      </c>
      <c r="G2192" t="s">
        <v>41</v>
      </c>
      <c r="H2192" t="s">
        <v>56</v>
      </c>
      <c r="I2192" t="str">
        <f>LEFT(H2192,FIND(" (",H2192)-1)</f>
        <v>Mid</v>
      </c>
      <c r="J2192" t="str">
        <f>MID(H2192,FIND("(",H2192)+1,FIND(")",H2192)-FIND("(",H2192)-1)</f>
        <v>2-5 yrs</v>
      </c>
      <c r="L2192">
        <v>78357</v>
      </c>
      <c r="M2192" t="s">
        <v>4505</v>
      </c>
      <c r="N2192" t="s">
        <v>245</v>
      </c>
      <c r="O2192" t="s">
        <v>22</v>
      </c>
      <c r="P2192" s="1">
        <v>45345</v>
      </c>
      <c r="Q2192">
        <v>2131</v>
      </c>
      <c r="R2192">
        <v>3761</v>
      </c>
      <c r="S2192" t="s">
        <v>23</v>
      </c>
      <c r="T2192">
        <v>2</v>
      </c>
      <c r="U2192" t="s">
        <v>58</v>
      </c>
      <c r="V2192" t="s">
        <v>24</v>
      </c>
      <c r="W2192" t="s">
        <v>23</v>
      </c>
    </row>
    <row r="2193" spans="1:23" x14ac:dyDescent="0.3">
      <c r="A2193" t="s">
        <v>4506</v>
      </c>
      <c r="B2193" t="s">
        <v>236</v>
      </c>
      <c r="C2193" t="s">
        <v>37</v>
      </c>
      <c r="D2193" t="s">
        <v>28</v>
      </c>
      <c r="E2193" t="s">
        <v>200</v>
      </c>
      <c r="F2193" t="s">
        <v>201</v>
      </c>
      <c r="G2193" t="s">
        <v>41</v>
      </c>
      <c r="H2193" t="s">
        <v>19</v>
      </c>
      <c r="I2193" t="str">
        <f>LEFT(H2193,FIND(" (",H2193)-1)</f>
        <v>Entry</v>
      </c>
      <c r="J2193" t="str">
        <f>MID(H2193,FIND("(",H2193)+1,FIND(")",H2193)-FIND("(",H2193)-1)</f>
        <v>0-2 yrs</v>
      </c>
      <c r="L2193">
        <v>75823</v>
      </c>
      <c r="M2193" t="s">
        <v>4507</v>
      </c>
      <c r="N2193" t="s">
        <v>68</v>
      </c>
      <c r="O2193" t="s">
        <v>22</v>
      </c>
      <c r="P2193" s="1">
        <v>45441</v>
      </c>
      <c r="Q2193">
        <v>1094</v>
      </c>
      <c r="R2193">
        <v>3235</v>
      </c>
      <c r="S2193" t="s">
        <v>34</v>
      </c>
      <c r="T2193">
        <v>0</v>
      </c>
      <c r="U2193" t="s">
        <v>58</v>
      </c>
      <c r="V2193" t="s">
        <v>24</v>
      </c>
      <c r="W2193" t="s">
        <v>23</v>
      </c>
    </row>
    <row r="2194" spans="1:23" x14ac:dyDescent="0.3">
      <c r="A2194" t="s">
        <v>4508</v>
      </c>
      <c r="B2194" t="s">
        <v>96</v>
      </c>
      <c r="C2194" t="s">
        <v>97</v>
      </c>
      <c r="D2194" t="s">
        <v>75</v>
      </c>
      <c r="E2194" t="s">
        <v>5134</v>
      </c>
      <c r="F2194" t="s">
        <v>5133</v>
      </c>
      <c r="G2194" t="s">
        <v>18</v>
      </c>
      <c r="H2194" t="s">
        <v>56</v>
      </c>
      <c r="I2194" t="str">
        <f>LEFT(H2194,FIND(" (",H2194)-1)</f>
        <v>Mid</v>
      </c>
      <c r="J2194" t="str">
        <f>MID(H2194,FIND("(",H2194)+1,FIND(")",H2194)-FIND("(",H2194)-1)</f>
        <v>2-5 yrs</v>
      </c>
      <c r="L2194">
        <v>150081</v>
      </c>
      <c r="M2194" t="s">
        <v>4509</v>
      </c>
      <c r="N2194" t="s">
        <v>89</v>
      </c>
      <c r="O2194" t="s">
        <v>22</v>
      </c>
      <c r="P2194" s="1">
        <v>45425</v>
      </c>
      <c r="Q2194">
        <v>1064</v>
      </c>
      <c r="R2194">
        <v>140</v>
      </c>
      <c r="S2194" t="s">
        <v>34</v>
      </c>
      <c r="T2194">
        <v>2</v>
      </c>
      <c r="U2194" t="s">
        <v>58</v>
      </c>
      <c r="V2194" t="s">
        <v>24</v>
      </c>
      <c r="W2194" t="s">
        <v>23</v>
      </c>
    </row>
    <row r="2195" spans="1:23" x14ac:dyDescent="0.3">
      <c r="A2195" t="s">
        <v>4510</v>
      </c>
      <c r="B2195" t="s">
        <v>106</v>
      </c>
      <c r="C2195" t="s">
        <v>92</v>
      </c>
      <c r="D2195" t="s">
        <v>38</v>
      </c>
      <c r="E2195" t="s">
        <v>159</v>
      </c>
      <c r="F2195" t="s">
        <v>160</v>
      </c>
      <c r="G2195" t="s">
        <v>41</v>
      </c>
      <c r="H2195" t="s">
        <v>19</v>
      </c>
      <c r="I2195" t="str">
        <f>LEFT(H2195,FIND(" (",H2195)-1)</f>
        <v>Entry</v>
      </c>
      <c r="J2195" t="str">
        <f>MID(H2195,FIND("(",H2195)+1,FIND(")",H2195)-FIND("(",H2195)-1)</f>
        <v>0-2 yrs</v>
      </c>
      <c r="L2195">
        <v>52824</v>
      </c>
      <c r="M2195" t="s">
        <v>4511</v>
      </c>
      <c r="N2195" t="s">
        <v>33</v>
      </c>
      <c r="O2195" t="s">
        <v>22</v>
      </c>
      <c r="P2195" s="1">
        <v>45299</v>
      </c>
      <c r="Q2195">
        <v>1606</v>
      </c>
      <c r="R2195">
        <v>3268</v>
      </c>
      <c r="S2195" t="s">
        <v>99</v>
      </c>
      <c r="T2195">
        <v>0</v>
      </c>
      <c r="U2195" t="s">
        <v>5123</v>
      </c>
      <c r="V2195" t="s">
        <v>24</v>
      </c>
      <c r="W2195" t="s">
        <v>34</v>
      </c>
    </row>
    <row r="2196" spans="1:23" x14ac:dyDescent="0.3">
      <c r="A2196" t="s">
        <v>4512</v>
      </c>
      <c r="B2196" t="s">
        <v>137</v>
      </c>
      <c r="C2196" t="s">
        <v>128</v>
      </c>
      <c r="D2196" t="s">
        <v>111</v>
      </c>
      <c r="E2196" t="s">
        <v>133</v>
      </c>
      <c r="F2196" t="s">
        <v>134</v>
      </c>
      <c r="G2196" t="s">
        <v>55</v>
      </c>
      <c r="H2196" t="s">
        <v>66</v>
      </c>
      <c r="I2196" t="str">
        <f>LEFT(H2196,FIND(" (",H2196)-1)</f>
        <v>Senior</v>
      </c>
      <c r="J2196" t="str">
        <f>MID(H2196,FIND("(",H2196)+1,FIND(")",H2196)-FIND("(",H2196)-1)</f>
        <v>5-8 yrs</v>
      </c>
      <c r="L2196">
        <v>155122</v>
      </c>
      <c r="M2196" t="s">
        <v>4513</v>
      </c>
      <c r="N2196" t="s">
        <v>33</v>
      </c>
      <c r="O2196" t="s">
        <v>22</v>
      </c>
      <c r="P2196" s="1">
        <v>45372</v>
      </c>
      <c r="Q2196">
        <v>2464</v>
      </c>
      <c r="R2196">
        <v>3436</v>
      </c>
      <c r="S2196" t="s">
        <v>23</v>
      </c>
      <c r="T2196">
        <v>4</v>
      </c>
      <c r="U2196" t="s">
        <v>83</v>
      </c>
      <c r="V2196" t="s">
        <v>24</v>
      </c>
      <c r="W2196" t="s">
        <v>34</v>
      </c>
    </row>
    <row r="2197" spans="1:23" x14ac:dyDescent="0.3">
      <c r="A2197" t="s">
        <v>4514</v>
      </c>
      <c r="B2197" t="s">
        <v>106</v>
      </c>
      <c r="C2197" t="s">
        <v>173</v>
      </c>
      <c r="D2197" t="s">
        <v>49</v>
      </c>
      <c r="E2197" t="s">
        <v>5137</v>
      </c>
      <c r="F2197" t="s">
        <v>5138</v>
      </c>
      <c r="G2197" t="s">
        <v>18</v>
      </c>
      <c r="H2197" t="s">
        <v>19</v>
      </c>
      <c r="I2197" t="str">
        <f>LEFT(H2197,FIND(" (",H2197)-1)</f>
        <v>Entry</v>
      </c>
      <c r="J2197" t="str">
        <f>MID(H2197,FIND("(",H2197)+1,FIND(")",H2197)-FIND("(",H2197)-1)</f>
        <v>0-2 yrs</v>
      </c>
      <c r="L2197">
        <v>61659</v>
      </c>
      <c r="M2197" t="s">
        <v>4515</v>
      </c>
      <c r="N2197" t="s">
        <v>245</v>
      </c>
      <c r="O2197" t="s">
        <v>44</v>
      </c>
      <c r="P2197" s="1">
        <v>45688</v>
      </c>
      <c r="Q2197">
        <v>645</v>
      </c>
      <c r="R2197">
        <v>98</v>
      </c>
      <c r="S2197" t="s">
        <v>23</v>
      </c>
      <c r="T2197">
        <v>0</v>
      </c>
      <c r="U2197" t="s">
        <v>58</v>
      </c>
      <c r="V2197" t="s">
        <v>24</v>
      </c>
      <c r="W2197" t="s">
        <v>34</v>
      </c>
    </row>
    <row r="2198" spans="1:23" x14ac:dyDescent="0.3">
      <c r="A2198" t="s">
        <v>4516</v>
      </c>
      <c r="B2198" t="s">
        <v>222</v>
      </c>
      <c r="C2198" t="s">
        <v>74</v>
      </c>
      <c r="D2198" t="s">
        <v>111</v>
      </c>
      <c r="E2198" t="s">
        <v>5134</v>
      </c>
      <c r="F2198" t="s">
        <v>5133</v>
      </c>
      <c r="G2198" t="s">
        <v>18</v>
      </c>
      <c r="H2198" t="s">
        <v>56</v>
      </c>
      <c r="I2198" t="str">
        <f>LEFT(H2198,FIND(" (",H2198)-1)</f>
        <v>Mid</v>
      </c>
      <c r="J2198" t="str">
        <f>MID(H2198,FIND("(",H2198)+1,FIND(")",H2198)-FIND("(",H2198)-1)</f>
        <v>2-5 yrs</v>
      </c>
      <c r="L2198">
        <v>118432</v>
      </c>
      <c r="M2198" t="s">
        <v>4517</v>
      </c>
      <c r="N2198" t="s">
        <v>89</v>
      </c>
      <c r="O2198" t="s">
        <v>22</v>
      </c>
      <c r="P2198" s="1">
        <v>45440</v>
      </c>
      <c r="Q2198">
        <v>1679</v>
      </c>
      <c r="R2198">
        <v>439</v>
      </c>
      <c r="S2198" t="s">
        <v>23</v>
      </c>
      <c r="T2198">
        <v>2</v>
      </c>
      <c r="U2198" t="s">
        <v>83</v>
      </c>
      <c r="V2198" t="s">
        <v>46</v>
      </c>
      <c r="W2198" t="s">
        <v>34</v>
      </c>
    </row>
    <row r="2199" spans="1:23" x14ac:dyDescent="0.3">
      <c r="A2199" t="s">
        <v>4518</v>
      </c>
      <c r="B2199" t="s">
        <v>329</v>
      </c>
      <c r="C2199" t="s">
        <v>128</v>
      </c>
      <c r="D2199" t="s">
        <v>63</v>
      </c>
      <c r="E2199" t="s">
        <v>29</v>
      </c>
      <c r="F2199" t="s">
        <v>30</v>
      </c>
      <c r="G2199" t="s">
        <v>18</v>
      </c>
      <c r="H2199" t="s">
        <v>19</v>
      </c>
      <c r="I2199" t="str">
        <f>LEFT(H2199,FIND(" (",H2199)-1)</f>
        <v>Entry</v>
      </c>
      <c r="J2199" t="str">
        <f>MID(H2199,FIND("(",H2199)+1,FIND(")",H2199)-FIND("(",H2199)-1)</f>
        <v>0-2 yrs</v>
      </c>
      <c r="L2199">
        <v>70241</v>
      </c>
      <c r="M2199" t="s">
        <v>4519</v>
      </c>
      <c r="N2199" t="s">
        <v>43</v>
      </c>
      <c r="O2199" t="s">
        <v>44</v>
      </c>
      <c r="P2199" s="1">
        <v>45504</v>
      </c>
      <c r="Q2199">
        <v>2333</v>
      </c>
      <c r="R2199">
        <v>3791</v>
      </c>
      <c r="S2199" t="s">
        <v>23</v>
      </c>
      <c r="T2199">
        <v>0</v>
      </c>
      <c r="U2199" t="s">
        <v>58</v>
      </c>
      <c r="V2199" t="s">
        <v>24</v>
      </c>
      <c r="W2199" t="s">
        <v>23</v>
      </c>
    </row>
    <row r="2200" spans="1:23" x14ac:dyDescent="0.3">
      <c r="A2200" t="s">
        <v>4520</v>
      </c>
      <c r="B2200" t="s">
        <v>131</v>
      </c>
      <c r="C2200" t="s">
        <v>132</v>
      </c>
      <c r="D2200" t="s">
        <v>75</v>
      </c>
      <c r="E2200" t="s">
        <v>5135</v>
      </c>
      <c r="F2200" t="s">
        <v>5133</v>
      </c>
      <c r="G2200" t="s">
        <v>41</v>
      </c>
      <c r="H2200" t="s">
        <v>19</v>
      </c>
      <c r="I2200" t="str">
        <f>LEFT(H2200,FIND(" (",H2200)-1)</f>
        <v>Entry</v>
      </c>
      <c r="J2200" t="str">
        <f>MID(H2200,FIND("(",H2200)+1,FIND(")",H2200)-FIND("(",H2200)-1)</f>
        <v>0-2 yrs</v>
      </c>
      <c r="L2200">
        <v>61917</v>
      </c>
      <c r="M2200" t="s">
        <v>4521</v>
      </c>
      <c r="N2200" t="s">
        <v>43</v>
      </c>
      <c r="O2200" t="s">
        <v>22</v>
      </c>
      <c r="P2200" s="1">
        <v>45605</v>
      </c>
      <c r="Q2200">
        <v>680</v>
      </c>
      <c r="R2200">
        <v>3134</v>
      </c>
      <c r="S2200" t="s">
        <v>23</v>
      </c>
      <c r="T2200">
        <v>0</v>
      </c>
      <c r="U2200" t="s">
        <v>52</v>
      </c>
      <c r="V2200" t="s">
        <v>24</v>
      </c>
      <c r="W2200" t="s">
        <v>34</v>
      </c>
    </row>
    <row r="2201" spans="1:23" x14ac:dyDescent="0.3">
      <c r="A2201" t="s">
        <v>4522</v>
      </c>
      <c r="B2201" t="s">
        <v>91</v>
      </c>
      <c r="C2201" t="s">
        <v>195</v>
      </c>
      <c r="D2201" t="s">
        <v>125</v>
      </c>
      <c r="E2201" t="s">
        <v>87</v>
      </c>
      <c r="F2201" t="s">
        <v>87</v>
      </c>
      <c r="G2201" t="s">
        <v>18</v>
      </c>
      <c r="H2201" t="s">
        <v>31</v>
      </c>
      <c r="I2201" t="str">
        <f>LEFT(H2201,FIND(" (",H2201)-1)</f>
        <v>Staff/Principal</v>
      </c>
      <c r="J2201" t="str">
        <f>MID(H2201,FIND("(",H2201)+1,FIND(")",H2201)-FIND("(",H2201)-1)</f>
        <v>8+ yrs</v>
      </c>
      <c r="L2201">
        <v>217563</v>
      </c>
      <c r="M2201" t="s">
        <v>4523</v>
      </c>
      <c r="N2201" t="s">
        <v>186</v>
      </c>
      <c r="O2201" t="s">
        <v>22</v>
      </c>
      <c r="P2201" s="1">
        <v>45643</v>
      </c>
      <c r="Q2201">
        <v>513</v>
      </c>
      <c r="R2201">
        <v>1407</v>
      </c>
      <c r="S2201" t="s">
        <v>23</v>
      </c>
      <c r="T2201">
        <v>6</v>
      </c>
      <c r="U2201" t="s">
        <v>58</v>
      </c>
      <c r="V2201" t="s">
        <v>24</v>
      </c>
      <c r="W2201" t="s">
        <v>23</v>
      </c>
    </row>
    <row r="2202" spans="1:23" x14ac:dyDescent="0.3">
      <c r="A2202" t="s">
        <v>4524</v>
      </c>
      <c r="B2202" t="s">
        <v>96</v>
      </c>
      <c r="C2202" t="s">
        <v>116</v>
      </c>
      <c r="D2202" t="s">
        <v>75</v>
      </c>
      <c r="E2202" t="s">
        <v>102</v>
      </c>
      <c r="F2202" t="s">
        <v>103</v>
      </c>
      <c r="G2202" t="s">
        <v>55</v>
      </c>
      <c r="H2202" t="s">
        <v>19</v>
      </c>
      <c r="I2202" t="str">
        <f>LEFT(H2202,FIND(" (",H2202)-1)</f>
        <v>Entry</v>
      </c>
      <c r="J2202" t="str">
        <f>MID(H2202,FIND("(",H2202)+1,FIND(")",H2202)-FIND("(",H2202)-1)</f>
        <v>0-2 yrs</v>
      </c>
      <c r="L2202">
        <v>92734</v>
      </c>
      <c r="M2202" t="s">
        <v>4525</v>
      </c>
      <c r="N2202" t="s">
        <v>94</v>
      </c>
      <c r="O2202" t="s">
        <v>51</v>
      </c>
      <c r="P2202" s="1">
        <v>45437</v>
      </c>
      <c r="Q2202">
        <v>558</v>
      </c>
      <c r="R2202">
        <v>956</v>
      </c>
      <c r="S2202" t="s">
        <v>34</v>
      </c>
      <c r="T2202">
        <v>0</v>
      </c>
      <c r="U2202" t="s">
        <v>52</v>
      </c>
      <c r="V2202" t="s">
        <v>24</v>
      </c>
      <c r="W2202" t="s">
        <v>23</v>
      </c>
    </row>
    <row r="2203" spans="1:23" x14ac:dyDescent="0.3">
      <c r="A2203" t="s">
        <v>4526</v>
      </c>
      <c r="B2203" t="s">
        <v>222</v>
      </c>
      <c r="C2203" t="s">
        <v>71</v>
      </c>
      <c r="D2203" t="s">
        <v>174</v>
      </c>
      <c r="E2203" t="s">
        <v>216</v>
      </c>
      <c r="F2203" t="s">
        <v>217</v>
      </c>
      <c r="G2203" t="s">
        <v>41</v>
      </c>
      <c r="H2203" t="s">
        <v>56</v>
      </c>
      <c r="I2203" t="str">
        <f>LEFT(H2203,FIND(" (",H2203)-1)</f>
        <v>Mid</v>
      </c>
      <c r="J2203" t="str">
        <f>MID(H2203,FIND("(",H2203)+1,FIND(")",H2203)-FIND("(",H2203)-1)</f>
        <v>2-5 yrs</v>
      </c>
      <c r="L2203">
        <v>106220</v>
      </c>
      <c r="M2203" t="s">
        <v>4527</v>
      </c>
      <c r="N2203" t="s">
        <v>33</v>
      </c>
      <c r="O2203" t="s">
        <v>22</v>
      </c>
      <c r="P2203" s="1">
        <v>45398</v>
      </c>
      <c r="Q2203">
        <v>759</v>
      </c>
      <c r="R2203">
        <v>1225</v>
      </c>
      <c r="S2203" t="s">
        <v>23</v>
      </c>
      <c r="T2203">
        <v>2</v>
      </c>
      <c r="U2203" t="s">
        <v>52</v>
      </c>
      <c r="V2203" t="s">
        <v>24</v>
      </c>
      <c r="W2203" t="s">
        <v>23</v>
      </c>
    </row>
    <row r="2204" spans="1:23" x14ac:dyDescent="0.3">
      <c r="A2204" t="s">
        <v>4528</v>
      </c>
      <c r="B2204" t="s">
        <v>81</v>
      </c>
      <c r="C2204" t="s">
        <v>226</v>
      </c>
      <c r="D2204" t="s">
        <v>111</v>
      </c>
      <c r="E2204" t="s">
        <v>5141</v>
      </c>
      <c r="F2204" t="s">
        <v>5133</v>
      </c>
      <c r="G2204" t="s">
        <v>18</v>
      </c>
      <c r="H2204" t="s">
        <v>31</v>
      </c>
      <c r="I2204" t="str">
        <f>LEFT(H2204,FIND(" (",H2204)-1)</f>
        <v>Staff/Principal</v>
      </c>
      <c r="J2204" t="str">
        <f>MID(H2204,FIND("(",H2204)+1,FIND(")",H2204)-FIND("(",H2204)-1)</f>
        <v>8+ yrs</v>
      </c>
      <c r="L2204">
        <v>225911</v>
      </c>
      <c r="M2204" t="s">
        <v>4529</v>
      </c>
      <c r="N2204" t="s">
        <v>33</v>
      </c>
      <c r="O2204" t="s">
        <v>22</v>
      </c>
      <c r="P2204" s="1">
        <v>45620</v>
      </c>
      <c r="Q2204">
        <v>513</v>
      </c>
      <c r="R2204">
        <v>245</v>
      </c>
      <c r="S2204" t="s">
        <v>23</v>
      </c>
      <c r="T2204">
        <v>6</v>
      </c>
      <c r="U2204" t="s">
        <v>83</v>
      </c>
      <c r="V2204" t="s">
        <v>24</v>
      </c>
      <c r="W2204" t="s">
        <v>23</v>
      </c>
    </row>
    <row r="2205" spans="1:23" x14ac:dyDescent="0.3">
      <c r="A2205" t="s">
        <v>4530</v>
      </c>
      <c r="B2205" t="s">
        <v>329</v>
      </c>
      <c r="C2205" t="s">
        <v>173</v>
      </c>
      <c r="D2205" t="s">
        <v>174</v>
      </c>
      <c r="E2205" t="s">
        <v>5134</v>
      </c>
      <c r="F2205" t="s">
        <v>5133</v>
      </c>
      <c r="G2205" t="s">
        <v>18</v>
      </c>
      <c r="H2205" t="s">
        <v>56</v>
      </c>
      <c r="I2205" t="str">
        <f>LEFT(H2205,FIND(" (",H2205)-1)</f>
        <v>Mid</v>
      </c>
      <c r="J2205" t="str">
        <f>MID(H2205,FIND("(",H2205)+1,FIND(")",H2205)-FIND("(",H2205)-1)</f>
        <v>2-5 yrs</v>
      </c>
      <c r="L2205">
        <v>84393</v>
      </c>
      <c r="M2205" t="s">
        <v>4531</v>
      </c>
      <c r="N2205" t="s">
        <v>186</v>
      </c>
      <c r="O2205" t="s">
        <v>51</v>
      </c>
      <c r="P2205" s="1">
        <v>45598</v>
      </c>
      <c r="Q2205">
        <v>2318</v>
      </c>
      <c r="R2205">
        <v>1488</v>
      </c>
      <c r="S2205" t="s">
        <v>34</v>
      </c>
      <c r="T2205">
        <v>2</v>
      </c>
      <c r="U2205" t="s">
        <v>58</v>
      </c>
      <c r="V2205" t="s">
        <v>59</v>
      </c>
      <c r="W2205" t="s">
        <v>23</v>
      </c>
    </row>
    <row r="2206" spans="1:23" x14ac:dyDescent="0.3">
      <c r="A2206" t="s">
        <v>4532</v>
      </c>
      <c r="B2206" t="s">
        <v>85</v>
      </c>
      <c r="C2206" t="s">
        <v>71</v>
      </c>
      <c r="D2206" t="s">
        <v>174</v>
      </c>
      <c r="E2206" t="s">
        <v>87</v>
      </c>
      <c r="F2206" t="s">
        <v>87</v>
      </c>
      <c r="G2206" t="s">
        <v>18</v>
      </c>
      <c r="H2206" t="s">
        <v>19</v>
      </c>
      <c r="I2206" t="str">
        <f>LEFT(H2206,FIND(" (",H2206)-1)</f>
        <v>Entry</v>
      </c>
      <c r="J2206" t="str">
        <f>MID(H2206,FIND("(",H2206)+1,FIND(")",H2206)-FIND("(",H2206)-1)</f>
        <v>0-2 yrs</v>
      </c>
      <c r="L2206">
        <v>57948</v>
      </c>
      <c r="M2206" t="s">
        <v>4533</v>
      </c>
      <c r="N2206" t="s">
        <v>33</v>
      </c>
      <c r="O2206" t="s">
        <v>79</v>
      </c>
      <c r="P2206" s="1">
        <v>45696</v>
      </c>
      <c r="Q2206">
        <v>2349</v>
      </c>
      <c r="R2206">
        <v>19</v>
      </c>
      <c r="S2206" t="s">
        <v>23</v>
      </c>
      <c r="T2206">
        <v>0</v>
      </c>
      <c r="U2206" t="s">
        <v>52</v>
      </c>
      <c r="V2206" t="s">
        <v>24</v>
      </c>
      <c r="W2206" t="s">
        <v>23</v>
      </c>
    </row>
    <row r="2207" spans="1:23" x14ac:dyDescent="0.3">
      <c r="A2207" t="s">
        <v>4534</v>
      </c>
      <c r="B2207" t="s">
        <v>225</v>
      </c>
      <c r="C2207" t="s">
        <v>86</v>
      </c>
      <c r="D2207" t="s">
        <v>111</v>
      </c>
      <c r="E2207" t="s">
        <v>200</v>
      </c>
      <c r="F2207" t="s">
        <v>201</v>
      </c>
      <c r="G2207" t="s">
        <v>18</v>
      </c>
      <c r="H2207" t="s">
        <v>31</v>
      </c>
      <c r="I2207" t="str">
        <f>LEFT(H2207,FIND(" (",H2207)-1)</f>
        <v>Staff/Principal</v>
      </c>
      <c r="J2207" t="str">
        <f>MID(H2207,FIND("(",H2207)+1,FIND(")",H2207)-FIND("(",H2207)-1)</f>
        <v>8+ yrs</v>
      </c>
      <c r="L2207">
        <v>217006</v>
      </c>
      <c r="M2207" t="s">
        <v>4535</v>
      </c>
      <c r="N2207" t="s">
        <v>149</v>
      </c>
      <c r="O2207" t="s">
        <v>51</v>
      </c>
      <c r="P2207" s="1">
        <v>45301</v>
      </c>
      <c r="Q2207">
        <v>1155</v>
      </c>
      <c r="R2207">
        <v>1348</v>
      </c>
      <c r="S2207" t="s">
        <v>34</v>
      </c>
      <c r="T2207">
        <v>6</v>
      </c>
      <c r="U2207" t="s">
        <v>58</v>
      </c>
      <c r="V2207" t="s">
        <v>24</v>
      </c>
      <c r="W2207" t="s">
        <v>34</v>
      </c>
    </row>
    <row r="2208" spans="1:23" x14ac:dyDescent="0.3">
      <c r="A2208" t="s">
        <v>4536</v>
      </c>
      <c r="B2208" t="s">
        <v>137</v>
      </c>
      <c r="C2208" t="s">
        <v>101</v>
      </c>
      <c r="D2208" t="s">
        <v>28</v>
      </c>
      <c r="E2208" t="s">
        <v>200</v>
      </c>
      <c r="F2208" t="s">
        <v>201</v>
      </c>
      <c r="G2208" t="s">
        <v>18</v>
      </c>
      <c r="H2208" t="s">
        <v>19</v>
      </c>
      <c r="I2208" t="str">
        <f>LEFT(H2208,FIND(" (",H2208)-1)</f>
        <v>Entry</v>
      </c>
      <c r="J2208" t="str">
        <f>MID(H2208,FIND("(",H2208)+1,FIND(")",H2208)-FIND("(",H2208)-1)</f>
        <v>0-2 yrs</v>
      </c>
      <c r="L2208">
        <v>88699</v>
      </c>
      <c r="M2208" t="s">
        <v>4537</v>
      </c>
      <c r="N2208" t="s">
        <v>141</v>
      </c>
      <c r="O2208" t="s">
        <v>22</v>
      </c>
      <c r="P2208" s="1">
        <v>45490</v>
      </c>
      <c r="Q2208">
        <v>939</v>
      </c>
      <c r="R2208">
        <v>789</v>
      </c>
      <c r="S2208" t="s">
        <v>34</v>
      </c>
      <c r="T2208">
        <v>0</v>
      </c>
      <c r="U2208" t="s">
        <v>5123</v>
      </c>
      <c r="V2208" t="s">
        <v>24</v>
      </c>
      <c r="W2208" t="s">
        <v>23</v>
      </c>
    </row>
    <row r="2209" spans="1:23" x14ac:dyDescent="0.3">
      <c r="A2209" t="s">
        <v>4538</v>
      </c>
      <c r="B2209" t="s">
        <v>13</v>
      </c>
      <c r="C2209" t="s">
        <v>37</v>
      </c>
      <c r="D2209" t="s">
        <v>174</v>
      </c>
      <c r="E2209" t="s">
        <v>5132</v>
      </c>
      <c r="F2209" t="s">
        <v>5133</v>
      </c>
      <c r="G2209" t="s">
        <v>41</v>
      </c>
      <c r="H2209" t="s">
        <v>66</v>
      </c>
      <c r="I2209" t="str">
        <f>LEFT(H2209,FIND(" (",H2209)-1)</f>
        <v>Senior</v>
      </c>
      <c r="J2209" t="str">
        <f>MID(H2209,FIND("(",H2209)+1,FIND(")",H2209)-FIND("(",H2209)-1)</f>
        <v>5-8 yrs</v>
      </c>
      <c r="L2209">
        <v>159601</v>
      </c>
      <c r="M2209" t="s">
        <v>4539</v>
      </c>
      <c r="N2209" t="s">
        <v>33</v>
      </c>
      <c r="O2209" t="s">
        <v>22</v>
      </c>
      <c r="P2209" s="1">
        <v>45670</v>
      </c>
      <c r="Q2209">
        <v>601</v>
      </c>
      <c r="R2209">
        <v>2459</v>
      </c>
      <c r="S2209" t="s">
        <v>99</v>
      </c>
      <c r="T2209">
        <v>4</v>
      </c>
      <c r="U2209" t="s">
        <v>5123</v>
      </c>
      <c r="V2209" t="s">
        <v>24</v>
      </c>
      <c r="W2209" t="s">
        <v>23</v>
      </c>
    </row>
    <row r="2210" spans="1:23" x14ac:dyDescent="0.3">
      <c r="A2210" t="s">
        <v>4540</v>
      </c>
      <c r="B2210" t="s">
        <v>236</v>
      </c>
      <c r="C2210" t="s">
        <v>192</v>
      </c>
      <c r="D2210" t="s">
        <v>147</v>
      </c>
      <c r="E2210" t="s">
        <v>39</v>
      </c>
      <c r="F2210" t="s">
        <v>40</v>
      </c>
      <c r="G2210" t="s">
        <v>41</v>
      </c>
      <c r="H2210" t="s">
        <v>31</v>
      </c>
      <c r="I2210" t="str">
        <f>LEFT(H2210,FIND(" (",H2210)-1)</f>
        <v>Staff/Principal</v>
      </c>
      <c r="J2210" t="str">
        <f>MID(H2210,FIND("(",H2210)+1,FIND(")",H2210)-FIND("(",H2210)-1)</f>
        <v>8+ yrs</v>
      </c>
      <c r="L2210">
        <v>188729</v>
      </c>
      <c r="M2210" t="s">
        <v>4541</v>
      </c>
      <c r="N2210" t="s">
        <v>149</v>
      </c>
      <c r="O2210" t="s">
        <v>22</v>
      </c>
      <c r="P2210" s="1">
        <v>45411</v>
      </c>
      <c r="Q2210">
        <v>1045</v>
      </c>
      <c r="R2210">
        <v>1090</v>
      </c>
      <c r="S2210" t="s">
        <v>34</v>
      </c>
      <c r="T2210">
        <v>6</v>
      </c>
      <c r="U2210" t="s">
        <v>5123</v>
      </c>
      <c r="V2210" t="s">
        <v>24</v>
      </c>
      <c r="W2210" t="s">
        <v>34</v>
      </c>
    </row>
    <row r="2211" spans="1:23" x14ac:dyDescent="0.3">
      <c r="A2211" t="s">
        <v>4542</v>
      </c>
      <c r="B2211" t="s">
        <v>131</v>
      </c>
      <c r="C2211" t="s">
        <v>204</v>
      </c>
      <c r="D2211" t="s">
        <v>174</v>
      </c>
      <c r="E2211" t="s">
        <v>159</v>
      </c>
      <c r="F2211" t="s">
        <v>160</v>
      </c>
      <c r="G2211" t="s">
        <v>55</v>
      </c>
      <c r="H2211" t="s">
        <v>31</v>
      </c>
      <c r="I2211" t="str">
        <f>LEFT(H2211,FIND(" (",H2211)-1)</f>
        <v>Staff/Principal</v>
      </c>
      <c r="J2211" t="str">
        <f>MID(H2211,FIND("(",H2211)+1,FIND(")",H2211)-FIND("(",H2211)-1)</f>
        <v>8+ yrs</v>
      </c>
      <c r="L2211">
        <v>199974</v>
      </c>
      <c r="M2211" t="s">
        <v>4543</v>
      </c>
      <c r="N2211" t="s">
        <v>68</v>
      </c>
      <c r="O2211" t="s">
        <v>44</v>
      </c>
      <c r="P2211" s="1">
        <v>45319</v>
      </c>
      <c r="Q2211">
        <v>2103</v>
      </c>
      <c r="R2211">
        <v>1827</v>
      </c>
      <c r="S2211" t="s">
        <v>23</v>
      </c>
      <c r="T2211">
        <v>6</v>
      </c>
      <c r="U2211" t="s">
        <v>45</v>
      </c>
      <c r="V2211" t="s">
        <v>24</v>
      </c>
      <c r="W2211" t="s">
        <v>34</v>
      </c>
    </row>
    <row r="2212" spans="1:23" x14ac:dyDescent="0.3">
      <c r="A2212" t="s">
        <v>4544</v>
      </c>
      <c r="B2212" t="s">
        <v>70</v>
      </c>
      <c r="C2212" t="s">
        <v>71</v>
      </c>
      <c r="D2212" t="s">
        <v>174</v>
      </c>
      <c r="E2212" t="s">
        <v>5132</v>
      </c>
      <c r="F2212" t="s">
        <v>5133</v>
      </c>
      <c r="G2212" t="s">
        <v>18</v>
      </c>
      <c r="H2212" t="s">
        <v>31</v>
      </c>
      <c r="I2212" t="str">
        <f>LEFT(H2212,FIND(" (",H2212)-1)</f>
        <v>Staff/Principal</v>
      </c>
      <c r="J2212" t="str">
        <f>MID(H2212,FIND("(",H2212)+1,FIND(")",H2212)-FIND("(",H2212)-1)</f>
        <v>8+ yrs</v>
      </c>
      <c r="L2212">
        <v>154985</v>
      </c>
      <c r="M2212" t="s">
        <v>4545</v>
      </c>
      <c r="N2212" t="s">
        <v>33</v>
      </c>
      <c r="O2212" t="s">
        <v>22</v>
      </c>
      <c r="P2212" s="1">
        <v>45357</v>
      </c>
      <c r="Q2212">
        <v>799</v>
      </c>
      <c r="R2212">
        <v>1303</v>
      </c>
      <c r="S2212" t="s">
        <v>23</v>
      </c>
      <c r="T2212">
        <v>6</v>
      </c>
      <c r="U2212" t="s">
        <v>83</v>
      </c>
      <c r="V2212" t="s">
        <v>24</v>
      </c>
      <c r="W2212" t="s">
        <v>23</v>
      </c>
    </row>
    <row r="2213" spans="1:23" x14ac:dyDescent="0.3">
      <c r="A2213" t="s">
        <v>4546</v>
      </c>
      <c r="B2213" t="s">
        <v>131</v>
      </c>
      <c r="C2213" t="s">
        <v>110</v>
      </c>
      <c r="D2213" t="s">
        <v>49</v>
      </c>
      <c r="E2213" t="s">
        <v>5134</v>
      </c>
      <c r="F2213" t="s">
        <v>5133</v>
      </c>
      <c r="G2213" t="s">
        <v>55</v>
      </c>
      <c r="H2213" t="s">
        <v>19</v>
      </c>
      <c r="I2213" t="str">
        <f>LEFT(H2213,FIND(" (",H2213)-1)</f>
        <v>Entry</v>
      </c>
      <c r="J2213" t="str">
        <f>MID(H2213,FIND("(",H2213)+1,FIND(")",H2213)-FIND("(",H2213)-1)</f>
        <v>0-2 yrs</v>
      </c>
      <c r="L2213">
        <v>77616</v>
      </c>
      <c r="M2213" t="s">
        <v>4547</v>
      </c>
      <c r="N2213" t="s">
        <v>33</v>
      </c>
      <c r="O2213" t="s">
        <v>22</v>
      </c>
      <c r="P2213" s="1">
        <v>45575</v>
      </c>
      <c r="Q2213">
        <v>1377</v>
      </c>
      <c r="R2213">
        <v>485</v>
      </c>
      <c r="S2213" t="s">
        <v>34</v>
      </c>
      <c r="T2213">
        <v>0</v>
      </c>
      <c r="U2213" t="s">
        <v>83</v>
      </c>
      <c r="V2213" t="s">
        <v>24</v>
      </c>
      <c r="W2213" t="s">
        <v>34</v>
      </c>
    </row>
    <row r="2214" spans="1:23" x14ac:dyDescent="0.3">
      <c r="A2214" t="s">
        <v>4548</v>
      </c>
      <c r="B2214" t="s">
        <v>81</v>
      </c>
      <c r="C2214" t="s">
        <v>86</v>
      </c>
      <c r="D2214" t="s">
        <v>28</v>
      </c>
      <c r="E2214" t="s">
        <v>39</v>
      </c>
      <c r="F2214" t="s">
        <v>40</v>
      </c>
      <c r="G2214" t="s">
        <v>18</v>
      </c>
      <c r="H2214" t="s">
        <v>31</v>
      </c>
      <c r="I2214" t="str">
        <f>LEFT(H2214,FIND(" (",H2214)-1)</f>
        <v>Staff/Principal</v>
      </c>
      <c r="J2214" t="str">
        <f>MID(H2214,FIND("(",H2214)+1,FIND(")",H2214)-FIND("(",H2214)-1)</f>
        <v>8+ yrs</v>
      </c>
      <c r="L2214">
        <v>231763</v>
      </c>
      <c r="M2214" t="s">
        <v>4549</v>
      </c>
      <c r="N2214" t="s">
        <v>33</v>
      </c>
      <c r="O2214" t="s">
        <v>22</v>
      </c>
      <c r="P2214" s="1">
        <v>45636</v>
      </c>
      <c r="Q2214">
        <v>302</v>
      </c>
      <c r="R2214">
        <v>2805</v>
      </c>
      <c r="S2214" t="s">
        <v>23</v>
      </c>
      <c r="T2214">
        <v>6</v>
      </c>
      <c r="U2214" t="s">
        <v>83</v>
      </c>
      <c r="V2214" t="s">
        <v>24</v>
      </c>
      <c r="W2214" t="s">
        <v>23</v>
      </c>
    </row>
    <row r="2215" spans="1:23" x14ac:dyDescent="0.3">
      <c r="A2215" t="s">
        <v>4550</v>
      </c>
      <c r="B2215" t="s">
        <v>236</v>
      </c>
      <c r="C2215" t="s">
        <v>97</v>
      </c>
      <c r="D2215" t="s">
        <v>49</v>
      </c>
      <c r="E2215" t="s">
        <v>133</v>
      </c>
      <c r="F2215" t="s">
        <v>134</v>
      </c>
      <c r="G2215" t="s">
        <v>18</v>
      </c>
      <c r="H2215" t="s">
        <v>19</v>
      </c>
      <c r="I2215" t="str">
        <f>LEFT(H2215,FIND(" (",H2215)-1)</f>
        <v>Entry</v>
      </c>
      <c r="J2215" t="str">
        <f>MID(H2215,FIND("(",H2215)+1,FIND(")",H2215)-FIND("(",H2215)-1)</f>
        <v>0-2 yrs</v>
      </c>
      <c r="L2215">
        <v>64303</v>
      </c>
      <c r="M2215" t="s">
        <v>4551</v>
      </c>
      <c r="N2215" t="s">
        <v>33</v>
      </c>
      <c r="O2215" t="s">
        <v>79</v>
      </c>
      <c r="P2215" s="1">
        <v>45671</v>
      </c>
      <c r="Q2215">
        <v>1951</v>
      </c>
      <c r="R2215">
        <v>3626</v>
      </c>
      <c r="S2215" t="s">
        <v>99</v>
      </c>
      <c r="T2215">
        <v>0</v>
      </c>
      <c r="U2215" t="s">
        <v>58</v>
      </c>
      <c r="V2215" t="s">
        <v>24</v>
      </c>
      <c r="W2215" t="s">
        <v>34</v>
      </c>
    </row>
    <row r="2216" spans="1:23" x14ac:dyDescent="0.3">
      <c r="A2216" t="s">
        <v>4552</v>
      </c>
      <c r="B2216" t="s">
        <v>229</v>
      </c>
      <c r="C2216" t="s">
        <v>62</v>
      </c>
      <c r="D2216" t="s">
        <v>49</v>
      </c>
      <c r="E2216" t="s">
        <v>5137</v>
      </c>
      <c r="F2216" t="s">
        <v>5138</v>
      </c>
      <c r="G2216" t="s">
        <v>41</v>
      </c>
      <c r="H2216" t="s">
        <v>19</v>
      </c>
      <c r="I2216" t="str">
        <f>LEFT(H2216,FIND(" (",H2216)-1)</f>
        <v>Entry</v>
      </c>
      <c r="J2216" t="str">
        <f>MID(H2216,FIND("(",H2216)+1,FIND(")",H2216)-FIND("(",H2216)-1)</f>
        <v>0-2 yrs</v>
      </c>
      <c r="L2216">
        <v>64077</v>
      </c>
      <c r="M2216" t="s">
        <v>4553</v>
      </c>
      <c r="N2216" t="s">
        <v>33</v>
      </c>
      <c r="O2216" t="s">
        <v>51</v>
      </c>
      <c r="P2216" s="1">
        <v>45523</v>
      </c>
      <c r="Q2216">
        <v>421</v>
      </c>
      <c r="R2216">
        <v>3850</v>
      </c>
      <c r="S2216" t="s">
        <v>34</v>
      </c>
      <c r="T2216">
        <v>0</v>
      </c>
      <c r="U2216" t="s">
        <v>45</v>
      </c>
      <c r="V2216" t="s">
        <v>24</v>
      </c>
      <c r="W2216" t="s">
        <v>34</v>
      </c>
    </row>
    <row r="2217" spans="1:23" x14ac:dyDescent="0.3">
      <c r="A2217" t="s">
        <v>4554</v>
      </c>
      <c r="B2217" t="s">
        <v>329</v>
      </c>
      <c r="C2217" t="s">
        <v>179</v>
      </c>
      <c r="D2217" t="s">
        <v>125</v>
      </c>
      <c r="E2217" t="s">
        <v>5140</v>
      </c>
      <c r="F2217" t="s">
        <v>5133</v>
      </c>
      <c r="G2217" t="s">
        <v>18</v>
      </c>
      <c r="H2217" t="s">
        <v>66</v>
      </c>
      <c r="I2217" t="str">
        <f>LEFT(H2217,FIND(" (",H2217)-1)</f>
        <v>Senior</v>
      </c>
      <c r="J2217" t="str">
        <f>MID(H2217,FIND("(",H2217)+1,FIND(")",H2217)-FIND("(",H2217)-1)</f>
        <v>5-8 yrs</v>
      </c>
      <c r="L2217">
        <v>157178</v>
      </c>
      <c r="M2217" t="s">
        <v>4555</v>
      </c>
      <c r="N2217" t="s">
        <v>43</v>
      </c>
      <c r="O2217" t="s">
        <v>44</v>
      </c>
      <c r="P2217" s="1">
        <v>45583</v>
      </c>
      <c r="Q2217">
        <v>534</v>
      </c>
      <c r="R2217">
        <v>2916</v>
      </c>
      <c r="S2217" t="s">
        <v>99</v>
      </c>
      <c r="T2217">
        <v>4</v>
      </c>
      <c r="U2217" t="s">
        <v>58</v>
      </c>
      <c r="V2217" t="s">
        <v>24</v>
      </c>
      <c r="W2217" t="s">
        <v>23</v>
      </c>
    </row>
    <row r="2218" spans="1:23" x14ac:dyDescent="0.3">
      <c r="A2218" t="s">
        <v>4556</v>
      </c>
      <c r="B2218" t="s">
        <v>81</v>
      </c>
      <c r="C2218" t="s">
        <v>116</v>
      </c>
      <c r="D2218" t="s">
        <v>49</v>
      </c>
      <c r="E2218" t="s">
        <v>5137</v>
      </c>
      <c r="F2218" t="s">
        <v>5138</v>
      </c>
      <c r="G2218" t="s">
        <v>18</v>
      </c>
      <c r="H2218" t="s">
        <v>19</v>
      </c>
      <c r="I2218" t="str">
        <f>LEFT(H2218,FIND(" (",H2218)-1)</f>
        <v>Entry</v>
      </c>
      <c r="J2218" t="str">
        <f>MID(H2218,FIND("(",H2218)+1,FIND(")",H2218)-FIND("(",H2218)-1)</f>
        <v>0-2 yrs</v>
      </c>
      <c r="L2218">
        <v>64497</v>
      </c>
      <c r="M2218" t="s">
        <v>4557</v>
      </c>
      <c r="N2218" t="s">
        <v>149</v>
      </c>
      <c r="O2218" t="s">
        <v>22</v>
      </c>
      <c r="P2218" s="1">
        <v>45435</v>
      </c>
      <c r="Q2218">
        <v>2237</v>
      </c>
      <c r="R2218">
        <v>1308</v>
      </c>
      <c r="S2218" t="s">
        <v>99</v>
      </c>
      <c r="T2218">
        <v>0</v>
      </c>
      <c r="U2218" t="s">
        <v>58</v>
      </c>
      <c r="V2218" t="s">
        <v>46</v>
      </c>
      <c r="W2218" t="s">
        <v>34</v>
      </c>
    </row>
    <row r="2219" spans="1:23" x14ac:dyDescent="0.3">
      <c r="A2219" t="s">
        <v>4558</v>
      </c>
      <c r="B2219" t="s">
        <v>131</v>
      </c>
      <c r="C2219" t="s">
        <v>179</v>
      </c>
      <c r="D2219" t="s">
        <v>125</v>
      </c>
      <c r="E2219" t="s">
        <v>64</v>
      </c>
      <c r="F2219" t="s">
        <v>65</v>
      </c>
      <c r="G2219" t="s">
        <v>18</v>
      </c>
      <c r="H2219" t="s">
        <v>56</v>
      </c>
      <c r="I2219" t="str">
        <f>LEFT(H2219,FIND(" (",H2219)-1)</f>
        <v>Mid</v>
      </c>
      <c r="J2219" t="str">
        <f>MID(H2219,FIND("(",H2219)+1,FIND(")",H2219)-FIND("(",H2219)-1)</f>
        <v>2-5 yrs</v>
      </c>
      <c r="L2219">
        <v>108690</v>
      </c>
      <c r="M2219" t="s">
        <v>4559</v>
      </c>
      <c r="N2219" t="s">
        <v>33</v>
      </c>
      <c r="O2219" t="s">
        <v>44</v>
      </c>
      <c r="P2219" s="1">
        <v>45723</v>
      </c>
      <c r="Q2219">
        <v>624</v>
      </c>
      <c r="R2219">
        <v>1741</v>
      </c>
      <c r="S2219" t="s">
        <v>99</v>
      </c>
      <c r="T2219">
        <v>2</v>
      </c>
      <c r="U2219" t="s">
        <v>45</v>
      </c>
      <c r="V2219" t="s">
        <v>24</v>
      </c>
      <c r="W2219" t="s">
        <v>34</v>
      </c>
    </row>
    <row r="2220" spans="1:23" x14ac:dyDescent="0.3">
      <c r="A2220" t="s">
        <v>4560</v>
      </c>
      <c r="B2220" t="s">
        <v>85</v>
      </c>
      <c r="C2220" t="s">
        <v>179</v>
      </c>
      <c r="D2220" t="s">
        <v>147</v>
      </c>
      <c r="E2220" t="s">
        <v>5137</v>
      </c>
      <c r="F2220" t="s">
        <v>5138</v>
      </c>
      <c r="G2220" t="s">
        <v>41</v>
      </c>
      <c r="H2220" t="s">
        <v>66</v>
      </c>
      <c r="I2220" t="str">
        <f>LEFT(H2220,FIND(" (",H2220)-1)</f>
        <v>Senior</v>
      </c>
      <c r="J2220" t="str">
        <f>MID(H2220,FIND("(",H2220)+1,FIND(")",H2220)-FIND("(",H2220)-1)</f>
        <v>5-8 yrs</v>
      </c>
      <c r="L2220">
        <v>206692</v>
      </c>
      <c r="M2220" t="s">
        <v>4561</v>
      </c>
      <c r="N2220" t="s">
        <v>89</v>
      </c>
      <c r="O2220" t="s">
        <v>22</v>
      </c>
      <c r="P2220" s="1">
        <v>45465</v>
      </c>
      <c r="Q2220">
        <v>1071</v>
      </c>
      <c r="R2220">
        <v>3128</v>
      </c>
      <c r="S2220" t="s">
        <v>99</v>
      </c>
      <c r="T2220">
        <v>4</v>
      </c>
      <c r="U2220" t="s">
        <v>5123</v>
      </c>
      <c r="V2220" t="s">
        <v>46</v>
      </c>
      <c r="W2220" t="s">
        <v>23</v>
      </c>
    </row>
    <row r="2221" spans="1:23" x14ac:dyDescent="0.3">
      <c r="A2221" t="s">
        <v>4562</v>
      </c>
      <c r="B2221" t="s">
        <v>36</v>
      </c>
      <c r="C2221" t="s">
        <v>192</v>
      </c>
      <c r="D2221" t="s">
        <v>49</v>
      </c>
      <c r="E2221" t="s">
        <v>5140</v>
      </c>
      <c r="F2221" t="s">
        <v>5133</v>
      </c>
      <c r="G2221" t="s">
        <v>18</v>
      </c>
      <c r="H2221" t="s">
        <v>66</v>
      </c>
      <c r="I2221" t="str">
        <f>LEFT(H2221,FIND(" (",H2221)-1)</f>
        <v>Senior</v>
      </c>
      <c r="J2221" t="str">
        <f>MID(H2221,FIND("(",H2221)+1,FIND(")",H2221)-FIND("(",H2221)-1)</f>
        <v>5-8 yrs</v>
      </c>
      <c r="L2221">
        <v>143330</v>
      </c>
      <c r="M2221" t="s">
        <v>4563</v>
      </c>
      <c r="N2221" t="s">
        <v>33</v>
      </c>
      <c r="O2221" t="s">
        <v>79</v>
      </c>
      <c r="P2221" s="1">
        <v>45690</v>
      </c>
      <c r="Q2221">
        <v>1490</v>
      </c>
      <c r="R2221">
        <v>2634</v>
      </c>
      <c r="S2221" t="s">
        <v>23</v>
      </c>
      <c r="T2221">
        <v>4</v>
      </c>
      <c r="U2221" t="s">
        <v>52</v>
      </c>
      <c r="V2221" t="s">
        <v>24</v>
      </c>
      <c r="W2221" t="s">
        <v>23</v>
      </c>
    </row>
    <row r="2222" spans="1:23" x14ac:dyDescent="0.3">
      <c r="A2222" t="s">
        <v>4564</v>
      </c>
      <c r="B2222" t="s">
        <v>151</v>
      </c>
      <c r="C2222" t="s">
        <v>146</v>
      </c>
      <c r="D2222" t="s">
        <v>147</v>
      </c>
      <c r="E2222" t="s">
        <v>133</v>
      </c>
      <c r="F2222" t="s">
        <v>134</v>
      </c>
      <c r="G2222" t="s">
        <v>41</v>
      </c>
      <c r="H2222" t="s">
        <v>31</v>
      </c>
      <c r="I2222" t="str">
        <f>LEFT(H2222,FIND(" (",H2222)-1)</f>
        <v>Staff/Principal</v>
      </c>
      <c r="J2222" t="str">
        <f>MID(H2222,FIND("(",H2222)+1,FIND(")",H2222)-FIND("(",H2222)-1)</f>
        <v>8+ yrs</v>
      </c>
      <c r="L2222">
        <v>187099</v>
      </c>
      <c r="M2222" t="s">
        <v>4565</v>
      </c>
      <c r="N2222" t="s">
        <v>43</v>
      </c>
      <c r="O2222" t="s">
        <v>22</v>
      </c>
      <c r="P2222" s="1">
        <v>45642</v>
      </c>
      <c r="Q2222">
        <v>2458</v>
      </c>
      <c r="R2222">
        <v>941</v>
      </c>
      <c r="S2222" t="s">
        <v>99</v>
      </c>
      <c r="T2222">
        <v>6</v>
      </c>
      <c r="U2222" t="s">
        <v>45</v>
      </c>
      <c r="V2222" t="s">
        <v>24</v>
      </c>
      <c r="W2222" t="s">
        <v>23</v>
      </c>
    </row>
    <row r="2223" spans="1:23" x14ac:dyDescent="0.3">
      <c r="A2223" t="s">
        <v>4566</v>
      </c>
      <c r="B2223" t="s">
        <v>36</v>
      </c>
      <c r="C2223" t="s">
        <v>116</v>
      </c>
      <c r="D2223" t="s">
        <v>111</v>
      </c>
      <c r="E2223" t="s">
        <v>159</v>
      </c>
      <c r="F2223" t="s">
        <v>160</v>
      </c>
      <c r="G2223" t="s">
        <v>18</v>
      </c>
      <c r="H2223" t="s">
        <v>66</v>
      </c>
      <c r="I2223" t="str">
        <f>LEFT(H2223,FIND(" (",H2223)-1)</f>
        <v>Senior</v>
      </c>
      <c r="J2223" t="str">
        <f>MID(H2223,FIND("(",H2223)+1,FIND(")",H2223)-FIND("(",H2223)-1)</f>
        <v>5-8 yrs</v>
      </c>
      <c r="L2223">
        <v>132516</v>
      </c>
      <c r="M2223" t="s">
        <v>4567</v>
      </c>
      <c r="N2223" t="s">
        <v>33</v>
      </c>
      <c r="O2223" t="s">
        <v>51</v>
      </c>
      <c r="P2223" s="1">
        <v>45547</v>
      </c>
      <c r="Q2223">
        <v>2069</v>
      </c>
      <c r="R2223">
        <v>3119</v>
      </c>
      <c r="S2223" t="s">
        <v>23</v>
      </c>
      <c r="T2223">
        <v>4</v>
      </c>
      <c r="U2223" t="s">
        <v>5123</v>
      </c>
      <c r="V2223" t="s">
        <v>24</v>
      </c>
      <c r="W2223" t="s">
        <v>34</v>
      </c>
    </row>
    <row r="2224" spans="1:23" x14ac:dyDescent="0.3">
      <c r="A2224" t="s">
        <v>4568</v>
      </c>
      <c r="B2224" t="s">
        <v>225</v>
      </c>
      <c r="C2224" t="s">
        <v>204</v>
      </c>
      <c r="D2224" t="s">
        <v>63</v>
      </c>
      <c r="E2224" t="s">
        <v>5141</v>
      </c>
      <c r="F2224" t="s">
        <v>5133</v>
      </c>
      <c r="G2224" t="s">
        <v>55</v>
      </c>
      <c r="H2224" t="s">
        <v>56</v>
      </c>
      <c r="I2224" t="str">
        <f>LEFT(H2224,FIND(" (",H2224)-1)</f>
        <v>Mid</v>
      </c>
      <c r="J2224" t="str">
        <f>MID(H2224,FIND("(",H2224)+1,FIND(")",H2224)-FIND("(",H2224)-1)</f>
        <v>2-5 yrs</v>
      </c>
      <c r="L2224">
        <v>124735</v>
      </c>
      <c r="M2224" t="s">
        <v>4569</v>
      </c>
      <c r="N2224" t="s">
        <v>33</v>
      </c>
      <c r="O2224" t="s">
        <v>22</v>
      </c>
      <c r="P2224" s="1">
        <v>45331</v>
      </c>
      <c r="Q2224">
        <v>773</v>
      </c>
      <c r="R2224">
        <v>2133</v>
      </c>
      <c r="S2224" t="s">
        <v>23</v>
      </c>
      <c r="T2224">
        <v>2</v>
      </c>
      <c r="U2224" t="s">
        <v>58</v>
      </c>
      <c r="V2224" t="s">
        <v>24</v>
      </c>
      <c r="W2224" t="s">
        <v>23</v>
      </c>
    </row>
    <row r="2225" spans="1:23" x14ac:dyDescent="0.3">
      <c r="A2225" t="s">
        <v>4570</v>
      </c>
      <c r="B2225" t="s">
        <v>36</v>
      </c>
      <c r="C2225" t="s">
        <v>226</v>
      </c>
      <c r="D2225" t="s">
        <v>15</v>
      </c>
      <c r="E2225" t="s">
        <v>216</v>
      </c>
      <c r="F2225" t="s">
        <v>217</v>
      </c>
      <c r="G2225" t="s">
        <v>18</v>
      </c>
      <c r="H2225" t="s">
        <v>19</v>
      </c>
      <c r="I2225" t="str">
        <f>LEFT(H2225,FIND(" (",H2225)-1)</f>
        <v>Entry</v>
      </c>
      <c r="J2225" t="str">
        <f>MID(H2225,FIND("(",H2225)+1,FIND(")",H2225)-FIND("(",H2225)-1)</f>
        <v>0-2 yrs</v>
      </c>
      <c r="L2225">
        <v>67716</v>
      </c>
      <c r="M2225" t="s">
        <v>4571</v>
      </c>
      <c r="N2225" t="s">
        <v>33</v>
      </c>
      <c r="O2225" t="s">
        <v>51</v>
      </c>
      <c r="P2225" s="1">
        <v>45581</v>
      </c>
      <c r="Q2225">
        <v>2278</v>
      </c>
      <c r="R2225">
        <v>3785</v>
      </c>
      <c r="S2225" t="s">
        <v>23</v>
      </c>
      <c r="T2225">
        <v>0</v>
      </c>
      <c r="U2225" t="s">
        <v>83</v>
      </c>
      <c r="V2225" t="s">
        <v>24</v>
      </c>
      <c r="W2225" t="s">
        <v>34</v>
      </c>
    </row>
    <row r="2226" spans="1:23" x14ac:dyDescent="0.3">
      <c r="A2226" t="s">
        <v>4572</v>
      </c>
      <c r="B2226" t="s">
        <v>61</v>
      </c>
      <c r="C2226" t="s">
        <v>179</v>
      </c>
      <c r="D2226" t="s">
        <v>49</v>
      </c>
      <c r="E2226" t="s">
        <v>5134</v>
      </c>
      <c r="F2226" t="s">
        <v>5133</v>
      </c>
      <c r="G2226" t="s">
        <v>41</v>
      </c>
      <c r="H2226" t="s">
        <v>31</v>
      </c>
      <c r="I2226" t="str">
        <f>LEFT(H2226,FIND(" (",H2226)-1)</f>
        <v>Staff/Principal</v>
      </c>
      <c r="J2226" t="str">
        <f>MID(H2226,FIND("(",H2226)+1,FIND(")",H2226)-FIND("(",H2226)-1)</f>
        <v>8+ yrs</v>
      </c>
      <c r="L2226">
        <v>176622</v>
      </c>
      <c r="M2226" t="s">
        <v>4573</v>
      </c>
      <c r="N2226" t="s">
        <v>33</v>
      </c>
      <c r="O2226" t="s">
        <v>51</v>
      </c>
      <c r="P2226" s="1">
        <v>45495</v>
      </c>
      <c r="Q2226">
        <v>688</v>
      </c>
      <c r="R2226">
        <v>380</v>
      </c>
      <c r="S2226" t="s">
        <v>23</v>
      </c>
      <c r="T2226">
        <v>6</v>
      </c>
      <c r="U2226" t="s">
        <v>45</v>
      </c>
      <c r="V2226" t="s">
        <v>24</v>
      </c>
      <c r="W2226" t="s">
        <v>23</v>
      </c>
    </row>
    <row r="2227" spans="1:23" x14ac:dyDescent="0.3">
      <c r="A2227" t="s">
        <v>4574</v>
      </c>
      <c r="B2227" t="s">
        <v>137</v>
      </c>
      <c r="C2227" t="s">
        <v>132</v>
      </c>
      <c r="D2227" t="s">
        <v>147</v>
      </c>
      <c r="E2227" t="s">
        <v>159</v>
      </c>
      <c r="F2227" t="s">
        <v>160</v>
      </c>
      <c r="G2227" t="s">
        <v>41</v>
      </c>
      <c r="H2227" t="s">
        <v>56</v>
      </c>
      <c r="I2227" t="str">
        <f>LEFT(H2227,FIND(" (",H2227)-1)</f>
        <v>Mid</v>
      </c>
      <c r="J2227" t="str">
        <f>MID(H2227,FIND("(",H2227)+1,FIND(")",H2227)-FIND("(",H2227)-1)</f>
        <v>2-5 yrs</v>
      </c>
      <c r="L2227">
        <v>136161</v>
      </c>
      <c r="M2227" t="s">
        <v>4575</v>
      </c>
      <c r="N2227" t="s">
        <v>33</v>
      </c>
      <c r="O2227" t="s">
        <v>51</v>
      </c>
      <c r="P2227" s="1">
        <v>45605</v>
      </c>
      <c r="Q2227">
        <v>1124</v>
      </c>
      <c r="R2227">
        <v>374</v>
      </c>
      <c r="S2227" t="s">
        <v>23</v>
      </c>
      <c r="T2227">
        <v>2</v>
      </c>
      <c r="U2227" t="s">
        <v>52</v>
      </c>
      <c r="V2227" t="s">
        <v>46</v>
      </c>
      <c r="W2227" t="s">
        <v>23</v>
      </c>
    </row>
    <row r="2228" spans="1:23" x14ac:dyDescent="0.3">
      <c r="A2228" t="s">
        <v>4576</v>
      </c>
      <c r="B2228" t="s">
        <v>172</v>
      </c>
      <c r="C2228" t="s">
        <v>167</v>
      </c>
      <c r="D2228" t="s">
        <v>174</v>
      </c>
      <c r="E2228" t="s">
        <v>216</v>
      </c>
      <c r="F2228" t="s">
        <v>217</v>
      </c>
      <c r="G2228" t="s">
        <v>18</v>
      </c>
      <c r="H2228" t="s">
        <v>66</v>
      </c>
      <c r="I2228" t="str">
        <f>LEFT(H2228,FIND(" (",H2228)-1)</f>
        <v>Senior</v>
      </c>
      <c r="J2228" t="str">
        <f>MID(H2228,FIND("(",H2228)+1,FIND(")",H2228)-FIND("(",H2228)-1)</f>
        <v>5-8 yrs</v>
      </c>
      <c r="L2228">
        <v>188329</v>
      </c>
      <c r="M2228" t="s">
        <v>4577</v>
      </c>
      <c r="N2228" t="s">
        <v>149</v>
      </c>
      <c r="O2228" t="s">
        <v>51</v>
      </c>
      <c r="P2228" s="1">
        <v>45575</v>
      </c>
      <c r="Q2228">
        <v>2341</v>
      </c>
      <c r="R2228">
        <v>571</v>
      </c>
      <c r="S2228" t="s">
        <v>23</v>
      </c>
      <c r="T2228">
        <v>4</v>
      </c>
      <c r="U2228" t="s">
        <v>52</v>
      </c>
      <c r="V2228" t="s">
        <v>24</v>
      </c>
      <c r="W2228" t="s">
        <v>34</v>
      </c>
    </row>
    <row r="2229" spans="1:23" x14ac:dyDescent="0.3">
      <c r="A2229" t="s">
        <v>4578</v>
      </c>
      <c r="B2229" t="s">
        <v>329</v>
      </c>
      <c r="C2229" t="s">
        <v>192</v>
      </c>
      <c r="D2229" t="s">
        <v>63</v>
      </c>
      <c r="E2229" t="s">
        <v>5139</v>
      </c>
      <c r="F2229" t="s">
        <v>5133</v>
      </c>
      <c r="G2229" t="s">
        <v>18</v>
      </c>
      <c r="H2229" t="s">
        <v>19</v>
      </c>
      <c r="I2229" t="str">
        <f>LEFT(H2229,FIND(" (",H2229)-1)</f>
        <v>Entry</v>
      </c>
      <c r="J2229" t="str">
        <f>MID(H2229,FIND("(",H2229)+1,FIND(")",H2229)-FIND("(",H2229)-1)</f>
        <v>0-2 yrs</v>
      </c>
      <c r="L2229">
        <v>62434</v>
      </c>
      <c r="M2229" t="s">
        <v>4579</v>
      </c>
      <c r="N2229" t="s">
        <v>68</v>
      </c>
      <c r="O2229" t="s">
        <v>22</v>
      </c>
      <c r="P2229" s="1">
        <v>45527</v>
      </c>
      <c r="Q2229">
        <v>1125</v>
      </c>
      <c r="R2229">
        <v>1302</v>
      </c>
      <c r="S2229" t="s">
        <v>23</v>
      </c>
      <c r="T2229">
        <v>0</v>
      </c>
      <c r="U2229" t="s">
        <v>52</v>
      </c>
      <c r="V2229" t="s">
        <v>24</v>
      </c>
      <c r="W2229" t="s">
        <v>23</v>
      </c>
    </row>
    <row r="2230" spans="1:23" x14ac:dyDescent="0.3">
      <c r="A2230" t="s">
        <v>4580</v>
      </c>
      <c r="B2230" t="s">
        <v>222</v>
      </c>
      <c r="C2230" t="s">
        <v>97</v>
      </c>
      <c r="D2230" t="s">
        <v>75</v>
      </c>
      <c r="E2230" t="s">
        <v>230</v>
      </c>
      <c r="F2230" t="s">
        <v>231</v>
      </c>
      <c r="G2230" t="s">
        <v>41</v>
      </c>
      <c r="H2230" t="s">
        <v>19</v>
      </c>
      <c r="I2230" t="str">
        <f>LEFT(H2230,FIND(" (",H2230)-1)</f>
        <v>Entry</v>
      </c>
      <c r="J2230" t="str">
        <f>MID(H2230,FIND("(",H2230)+1,FIND(")",H2230)-FIND("(",H2230)-1)</f>
        <v>0-2 yrs</v>
      </c>
      <c r="L2230">
        <v>50000</v>
      </c>
      <c r="M2230" t="s">
        <v>4581</v>
      </c>
      <c r="N2230" t="s">
        <v>43</v>
      </c>
      <c r="O2230" t="s">
        <v>51</v>
      </c>
      <c r="P2230" s="1">
        <v>45298</v>
      </c>
      <c r="Q2230">
        <v>1477</v>
      </c>
      <c r="R2230">
        <v>597</v>
      </c>
      <c r="S2230" t="s">
        <v>23</v>
      </c>
      <c r="T2230">
        <v>0</v>
      </c>
      <c r="U2230" t="s">
        <v>45</v>
      </c>
      <c r="V2230" t="s">
        <v>46</v>
      </c>
      <c r="W2230" t="s">
        <v>34</v>
      </c>
    </row>
    <row r="2231" spans="1:23" x14ac:dyDescent="0.3">
      <c r="A2231" t="s">
        <v>4582</v>
      </c>
      <c r="B2231" t="s">
        <v>236</v>
      </c>
      <c r="C2231" t="s">
        <v>195</v>
      </c>
      <c r="D2231" t="s">
        <v>111</v>
      </c>
      <c r="E2231" t="s">
        <v>5140</v>
      </c>
      <c r="F2231" t="s">
        <v>5133</v>
      </c>
      <c r="G2231" t="s">
        <v>55</v>
      </c>
      <c r="H2231" t="s">
        <v>56</v>
      </c>
      <c r="I2231" t="str">
        <f>LEFT(H2231,FIND(" (",H2231)-1)</f>
        <v>Mid</v>
      </c>
      <c r="J2231" t="str">
        <f>MID(H2231,FIND("(",H2231)+1,FIND(")",H2231)-FIND("(",H2231)-1)</f>
        <v>2-5 yrs</v>
      </c>
      <c r="L2231">
        <v>129948</v>
      </c>
      <c r="M2231" t="s">
        <v>4583</v>
      </c>
      <c r="N2231" t="s">
        <v>89</v>
      </c>
      <c r="O2231" t="s">
        <v>22</v>
      </c>
      <c r="P2231" s="1">
        <v>45586</v>
      </c>
      <c r="Q2231">
        <v>1509</v>
      </c>
      <c r="R2231">
        <v>2760</v>
      </c>
      <c r="S2231" t="s">
        <v>23</v>
      </c>
      <c r="T2231">
        <v>2</v>
      </c>
      <c r="U2231" t="s">
        <v>58</v>
      </c>
      <c r="V2231" t="s">
        <v>24</v>
      </c>
      <c r="W2231" t="s">
        <v>23</v>
      </c>
    </row>
    <row r="2232" spans="1:23" x14ac:dyDescent="0.3">
      <c r="A2232" t="s">
        <v>4584</v>
      </c>
      <c r="B2232" t="s">
        <v>172</v>
      </c>
      <c r="C2232" t="s">
        <v>209</v>
      </c>
      <c r="D2232" t="s">
        <v>111</v>
      </c>
      <c r="E2232" t="s">
        <v>29</v>
      </c>
      <c r="F2232" t="s">
        <v>30</v>
      </c>
      <c r="G2232" t="s">
        <v>41</v>
      </c>
      <c r="H2232" t="s">
        <v>56</v>
      </c>
      <c r="I2232" t="str">
        <f>LEFT(H2232,FIND(" (",H2232)-1)</f>
        <v>Mid</v>
      </c>
      <c r="J2232" t="str">
        <f>MID(H2232,FIND("(",H2232)+1,FIND(")",H2232)-FIND("(",H2232)-1)</f>
        <v>2-5 yrs</v>
      </c>
      <c r="L2232">
        <v>96444</v>
      </c>
      <c r="M2232" t="s">
        <v>4585</v>
      </c>
      <c r="N2232" t="s">
        <v>33</v>
      </c>
      <c r="O2232" t="s">
        <v>22</v>
      </c>
      <c r="P2232" s="1">
        <v>45612</v>
      </c>
      <c r="Q2232">
        <v>1280</v>
      </c>
      <c r="R2232">
        <v>1323</v>
      </c>
      <c r="S2232" t="s">
        <v>34</v>
      </c>
      <c r="T2232">
        <v>2</v>
      </c>
      <c r="U2232" t="s">
        <v>5123</v>
      </c>
      <c r="V2232" t="s">
        <v>24</v>
      </c>
      <c r="W2232" t="s">
        <v>34</v>
      </c>
    </row>
    <row r="2233" spans="1:23" x14ac:dyDescent="0.3">
      <c r="A2233" t="s">
        <v>4586</v>
      </c>
      <c r="B2233" t="s">
        <v>13</v>
      </c>
      <c r="C2233" t="s">
        <v>173</v>
      </c>
      <c r="D2233" t="s">
        <v>75</v>
      </c>
      <c r="E2233" t="s">
        <v>159</v>
      </c>
      <c r="F2233" t="s">
        <v>160</v>
      </c>
      <c r="G2233" t="s">
        <v>18</v>
      </c>
      <c r="H2233" t="s">
        <v>19</v>
      </c>
      <c r="I2233" t="str">
        <f>LEFT(H2233,FIND(" (",H2233)-1)</f>
        <v>Entry</v>
      </c>
      <c r="J2233" t="str">
        <f>MID(H2233,FIND("(",H2233)+1,FIND(")",H2233)-FIND("(",H2233)-1)</f>
        <v>0-2 yrs</v>
      </c>
      <c r="L2233">
        <v>79961</v>
      </c>
      <c r="M2233" t="s">
        <v>4587</v>
      </c>
      <c r="N2233" t="s">
        <v>21</v>
      </c>
      <c r="O2233" t="s">
        <v>44</v>
      </c>
      <c r="P2233" s="1">
        <v>45482</v>
      </c>
      <c r="Q2233">
        <v>1481</v>
      </c>
      <c r="R2233">
        <v>2924</v>
      </c>
      <c r="S2233" t="s">
        <v>23</v>
      </c>
      <c r="T2233">
        <v>0</v>
      </c>
      <c r="U2233" t="s">
        <v>5123</v>
      </c>
      <c r="V2233" t="s">
        <v>24</v>
      </c>
      <c r="W2233" t="s">
        <v>34</v>
      </c>
    </row>
    <row r="2234" spans="1:23" x14ac:dyDescent="0.3">
      <c r="A2234" t="s">
        <v>4588</v>
      </c>
      <c r="B2234" t="s">
        <v>61</v>
      </c>
      <c r="C2234" t="s">
        <v>192</v>
      </c>
      <c r="D2234" t="s">
        <v>15</v>
      </c>
      <c r="E2234" t="s">
        <v>29</v>
      </c>
      <c r="F2234" t="s">
        <v>30</v>
      </c>
      <c r="G2234" t="s">
        <v>55</v>
      </c>
      <c r="H2234" t="s">
        <v>56</v>
      </c>
      <c r="I2234" t="str">
        <f>LEFT(H2234,FIND(" (",H2234)-1)</f>
        <v>Mid</v>
      </c>
      <c r="J2234" t="str">
        <f>MID(H2234,FIND("(",H2234)+1,FIND(")",H2234)-FIND("(",H2234)-1)</f>
        <v>2-5 yrs</v>
      </c>
      <c r="L2234">
        <v>70991</v>
      </c>
      <c r="M2234" t="s">
        <v>4589</v>
      </c>
      <c r="N2234" t="s">
        <v>33</v>
      </c>
      <c r="O2234" t="s">
        <v>79</v>
      </c>
      <c r="P2234" s="1">
        <v>45309</v>
      </c>
      <c r="Q2234">
        <v>1546</v>
      </c>
      <c r="R2234">
        <v>858</v>
      </c>
      <c r="S2234" t="s">
        <v>23</v>
      </c>
      <c r="T2234">
        <v>2</v>
      </c>
      <c r="U2234" t="s">
        <v>5123</v>
      </c>
      <c r="V2234" t="s">
        <v>24</v>
      </c>
      <c r="W2234" t="s">
        <v>34</v>
      </c>
    </row>
    <row r="2235" spans="1:23" x14ac:dyDescent="0.3">
      <c r="A2235" t="s">
        <v>4590</v>
      </c>
      <c r="B2235" t="s">
        <v>131</v>
      </c>
      <c r="C2235" t="s">
        <v>14</v>
      </c>
      <c r="D2235" t="s">
        <v>75</v>
      </c>
      <c r="E2235" t="s">
        <v>133</v>
      </c>
      <c r="F2235" t="s">
        <v>134</v>
      </c>
      <c r="G2235" t="s">
        <v>55</v>
      </c>
      <c r="H2235" t="s">
        <v>66</v>
      </c>
      <c r="I2235" t="str">
        <f>LEFT(H2235,FIND(" (",H2235)-1)</f>
        <v>Senior</v>
      </c>
      <c r="J2235" t="str">
        <f>MID(H2235,FIND("(",H2235)+1,FIND(")",H2235)-FIND("(",H2235)-1)</f>
        <v>5-8 yrs</v>
      </c>
      <c r="L2235">
        <v>174100</v>
      </c>
      <c r="M2235" t="s">
        <v>4591</v>
      </c>
      <c r="N2235" t="s">
        <v>149</v>
      </c>
      <c r="O2235" t="s">
        <v>22</v>
      </c>
      <c r="P2235" s="1">
        <v>45557</v>
      </c>
      <c r="Q2235">
        <v>1839</v>
      </c>
      <c r="R2235">
        <v>2670</v>
      </c>
      <c r="S2235" t="s">
        <v>34</v>
      </c>
      <c r="T2235">
        <v>4</v>
      </c>
      <c r="U2235" t="s">
        <v>5123</v>
      </c>
      <c r="V2235" t="s">
        <v>24</v>
      </c>
      <c r="W2235" t="s">
        <v>23</v>
      </c>
    </row>
    <row r="2236" spans="1:23" x14ac:dyDescent="0.3">
      <c r="A2236" t="s">
        <v>4592</v>
      </c>
      <c r="B2236" t="s">
        <v>106</v>
      </c>
      <c r="C2236" t="s">
        <v>74</v>
      </c>
      <c r="D2236" t="s">
        <v>75</v>
      </c>
      <c r="E2236" t="s">
        <v>5136</v>
      </c>
      <c r="F2236" t="s">
        <v>5133</v>
      </c>
      <c r="G2236" t="s">
        <v>18</v>
      </c>
      <c r="H2236" t="s">
        <v>31</v>
      </c>
      <c r="I2236" t="str">
        <f>LEFT(H2236,FIND(" (",H2236)-1)</f>
        <v>Staff/Principal</v>
      </c>
      <c r="J2236" t="str">
        <f>MID(H2236,FIND("(",H2236)+1,FIND(")",H2236)-FIND("(",H2236)-1)</f>
        <v>8+ yrs</v>
      </c>
      <c r="L2236">
        <v>156397</v>
      </c>
      <c r="M2236" t="s">
        <v>4593</v>
      </c>
      <c r="N2236" t="s">
        <v>21</v>
      </c>
      <c r="O2236" t="s">
        <v>44</v>
      </c>
      <c r="P2236" s="1">
        <v>45611</v>
      </c>
      <c r="Q2236">
        <v>1309</v>
      </c>
      <c r="R2236">
        <v>2223</v>
      </c>
      <c r="S2236" t="s">
        <v>34</v>
      </c>
      <c r="T2236">
        <v>6</v>
      </c>
      <c r="U2236" t="s">
        <v>58</v>
      </c>
      <c r="V2236" t="s">
        <v>24</v>
      </c>
      <c r="W2236" t="s">
        <v>23</v>
      </c>
    </row>
    <row r="2237" spans="1:23" x14ac:dyDescent="0.3">
      <c r="A2237" t="s">
        <v>4594</v>
      </c>
      <c r="B2237" t="s">
        <v>172</v>
      </c>
      <c r="C2237" t="s">
        <v>167</v>
      </c>
      <c r="D2237" t="s">
        <v>28</v>
      </c>
      <c r="E2237" t="s">
        <v>133</v>
      </c>
      <c r="F2237" t="s">
        <v>134</v>
      </c>
      <c r="G2237" t="s">
        <v>18</v>
      </c>
      <c r="H2237" t="s">
        <v>56</v>
      </c>
      <c r="I2237" t="str">
        <f>LEFT(H2237,FIND(" (",H2237)-1)</f>
        <v>Mid</v>
      </c>
      <c r="J2237" t="str">
        <f>MID(H2237,FIND("(",H2237)+1,FIND(")",H2237)-FIND("(",H2237)-1)</f>
        <v>2-5 yrs</v>
      </c>
      <c r="L2237">
        <v>124469</v>
      </c>
      <c r="M2237" t="s">
        <v>4595</v>
      </c>
      <c r="N2237" t="s">
        <v>141</v>
      </c>
      <c r="O2237" t="s">
        <v>44</v>
      </c>
      <c r="P2237" s="1">
        <v>45406</v>
      </c>
      <c r="Q2237">
        <v>1582</v>
      </c>
      <c r="R2237">
        <v>1273</v>
      </c>
      <c r="S2237" t="s">
        <v>34</v>
      </c>
      <c r="T2237">
        <v>2</v>
      </c>
      <c r="U2237" t="s">
        <v>58</v>
      </c>
      <c r="V2237" t="s">
        <v>59</v>
      </c>
      <c r="W2237" t="s">
        <v>34</v>
      </c>
    </row>
    <row r="2238" spans="1:23" x14ac:dyDescent="0.3">
      <c r="A2238" t="s">
        <v>4596</v>
      </c>
      <c r="B2238" t="s">
        <v>236</v>
      </c>
      <c r="C2238" t="s">
        <v>71</v>
      </c>
      <c r="D2238" t="s">
        <v>75</v>
      </c>
      <c r="E2238" t="s">
        <v>5141</v>
      </c>
      <c r="F2238" t="s">
        <v>5133</v>
      </c>
      <c r="G2238" t="s">
        <v>18</v>
      </c>
      <c r="H2238" t="s">
        <v>56</v>
      </c>
      <c r="I2238" t="str">
        <f>LEFT(H2238,FIND(" (",H2238)-1)</f>
        <v>Mid</v>
      </c>
      <c r="J2238" t="str">
        <f>MID(H2238,FIND("(",H2238)+1,FIND(")",H2238)-FIND("(",H2238)-1)</f>
        <v>2-5 yrs</v>
      </c>
      <c r="L2238">
        <v>110282</v>
      </c>
      <c r="M2238" t="s">
        <v>4597</v>
      </c>
      <c r="N2238" t="s">
        <v>33</v>
      </c>
      <c r="O2238" t="s">
        <v>22</v>
      </c>
      <c r="P2238" s="1">
        <v>45551</v>
      </c>
      <c r="Q2238">
        <v>1033</v>
      </c>
      <c r="R2238">
        <v>2322</v>
      </c>
      <c r="S2238" t="s">
        <v>23</v>
      </c>
      <c r="T2238">
        <v>2</v>
      </c>
      <c r="U2238" t="s">
        <v>52</v>
      </c>
      <c r="V2238" t="s">
        <v>24</v>
      </c>
      <c r="W2238" t="s">
        <v>34</v>
      </c>
    </row>
    <row r="2239" spans="1:23" x14ac:dyDescent="0.3">
      <c r="A2239" t="s">
        <v>4598</v>
      </c>
      <c r="B2239" t="s">
        <v>61</v>
      </c>
      <c r="C2239" t="s">
        <v>110</v>
      </c>
      <c r="D2239" t="s">
        <v>174</v>
      </c>
      <c r="E2239" t="s">
        <v>159</v>
      </c>
      <c r="F2239" t="s">
        <v>160</v>
      </c>
      <c r="G2239" t="s">
        <v>41</v>
      </c>
      <c r="H2239" t="s">
        <v>66</v>
      </c>
      <c r="I2239" t="str">
        <f>LEFT(H2239,FIND(" (",H2239)-1)</f>
        <v>Senior</v>
      </c>
      <c r="J2239" t="str">
        <f>MID(H2239,FIND("(",H2239)+1,FIND(")",H2239)-FIND("(",H2239)-1)</f>
        <v>5-8 yrs</v>
      </c>
      <c r="L2239">
        <v>124243</v>
      </c>
      <c r="M2239" t="s">
        <v>4599</v>
      </c>
      <c r="N2239" t="s">
        <v>89</v>
      </c>
      <c r="O2239" t="s">
        <v>51</v>
      </c>
      <c r="P2239" s="1">
        <v>45575</v>
      </c>
      <c r="Q2239">
        <v>1507</v>
      </c>
      <c r="R2239">
        <v>420</v>
      </c>
      <c r="S2239" t="s">
        <v>23</v>
      </c>
      <c r="T2239">
        <v>4</v>
      </c>
      <c r="U2239" t="s">
        <v>52</v>
      </c>
      <c r="V2239" t="s">
        <v>24</v>
      </c>
      <c r="W2239" t="s">
        <v>34</v>
      </c>
    </row>
    <row r="2240" spans="1:23" x14ac:dyDescent="0.3">
      <c r="A2240" t="s">
        <v>4600</v>
      </c>
      <c r="B2240" t="s">
        <v>151</v>
      </c>
      <c r="C2240" t="s">
        <v>204</v>
      </c>
      <c r="D2240" t="s">
        <v>38</v>
      </c>
      <c r="E2240" t="s">
        <v>5139</v>
      </c>
      <c r="F2240" t="s">
        <v>5133</v>
      </c>
      <c r="G2240" t="s">
        <v>18</v>
      </c>
      <c r="H2240" t="s">
        <v>31</v>
      </c>
      <c r="I2240" t="str">
        <f>LEFT(H2240,FIND(" (",H2240)-1)</f>
        <v>Staff/Principal</v>
      </c>
      <c r="J2240" t="str">
        <f>MID(H2240,FIND("(",H2240)+1,FIND(")",H2240)-FIND("(",H2240)-1)</f>
        <v>8+ yrs</v>
      </c>
      <c r="L2240">
        <v>185346</v>
      </c>
      <c r="M2240" t="s">
        <v>4601</v>
      </c>
      <c r="N2240" t="s">
        <v>33</v>
      </c>
      <c r="O2240" t="s">
        <v>22</v>
      </c>
      <c r="P2240" s="1">
        <v>45544</v>
      </c>
      <c r="Q2240">
        <v>582</v>
      </c>
      <c r="R2240">
        <v>2953</v>
      </c>
      <c r="S2240" t="s">
        <v>23</v>
      </c>
      <c r="T2240">
        <v>6</v>
      </c>
      <c r="U2240" t="s">
        <v>5123</v>
      </c>
      <c r="V2240" t="s">
        <v>46</v>
      </c>
      <c r="W2240" t="s">
        <v>23</v>
      </c>
    </row>
    <row r="2241" spans="1:23" x14ac:dyDescent="0.3">
      <c r="A2241" t="s">
        <v>4602</v>
      </c>
      <c r="B2241" t="s">
        <v>143</v>
      </c>
      <c r="C2241" t="s">
        <v>92</v>
      </c>
      <c r="D2241" t="s">
        <v>63</v>
      </c>
      <c r="E2241" t="s">
        <v>5132</v>
      </c>
      <c r="F2241" t="s">
        <v>5133</v>
      </c>
      <c r="G2241" t="s">
        <v>41</v>
      </c>
      <c r="H2241" t="s">
        <v>66</v>
      </c>
      <c r="I2241" t="str">
        <f>LEFT(H2241,FIND(" (",H2241)-1)</f>
        <v>Senior</v>
      </c>
      <c r="J2241" t="str">
        <f>MID(H2241,FIND("(",H2241)+1,FIND(")",H2241)-FIND("(",H2241)-1)</f>
        <v>5-8 yrs</v>
      </c>
      <c r="L2241">
        <v>168530</v>
      </c>
      <c r="M2241" t="s">
        <v>4603</v>
      </c>
      <c r="N2241" t="s">
        <v>33</v>
      </c>
      <c r="O2241" t="s">
        <v>51</v>
      </c>
      <c r="P2241" s="1">
        <v>45305</v>
      </c>
      <c r="Q2241">
        <v>616</v>
      </c>
      <c r="R2241">
        <v>3993</v>
      </c>
      <c r="S2241" t="s">
        <v>23</v>
      </c>
      <c r="T2241">
        <v>4</v>
      </c>
      <c r="U2241" t="s">
        <v>52</v>
      </c>
      <c r="V2241" t="s">
        <v>24</v>
      </c>
      <c r="W2241" t="s">
        <v>23</v>
      </c>
    </row>
    <row r="2242" spans="1:23" x14ac:dyDescent="0.3">
      <c r="A2242" t="s">
        <v>4604</v>
      </c>
      <c r="B2242" t="s">
        <v>106</v>
      </c>
      <c r="C2242" t="s">
        <v>158</v>
      </c>
      <c r="D2242" t="s">
        <v>49</v>
      </c>
      <c r="E2242" t="s">
        <v>5139</v>
      </c>
      <c r="F2242" t="s">
        <v>5133</v>
      </c>
      <c r="G2242" t="s">
        <v>18</v>
      </c>
      <c r="H2242" t="s">
        <v>19</v>
      </c>
      <c r="I2242" t="str">
        <f>LEFT(H2242,FIND(" (",H2242)-1)</f>
        <v>Entry</v>
      </c>
      <c r="J2242" t="str">
        <f>MID(H2242,FIND("(",H2242)+1,FIND(")",H2242)-FIND("(",H2242)-1)</f>
        <v>0-2 yrs</v>
      </c>
      <c r="L2242">
        <v>71334</v>
      </c>
      <c r="M2242" t="s">
        <v>4605</v>
      </c>
      <c r="N2242" t="s">
        <v>68</v>
      </c>
      <c r="O2242" t="s">
        <v>51</v>
      </c>
      <c r="P2242" s="1">
        <v>45567</v>
      </c>
      <c r="Q2242">
        <v>1407</v>
      </c>
      <c r="R2242">
        <v>1848</v>
      </c>
      <c r="S2242" t="s">
        <v>99</v>
      </c>
      <c r="T2242">
        <v>0</v>
      </c>
      <c r="U2242" t="s">
        <v>45</v>
      </c>
      <c r="V2242" t="s">
        <v>24</v>
      </c>
      <c r="W2242" t="s">
        <v>34</v>
      </c>
    </row>
    <row r="2243" spans="1:23" x14ac:dyDescent="0.3">
      <c r="A2243" t="s">
        <v>4606</v>
      </c>
      <c r="B2243" t="s">
        <v>36</v>
      </c>
      <c r="C2243" t="s">
        <v>124</v>
      </c>
      <c r="D2243" t="s">
        <v>174</v>
      </c>
      <c r="E2243" t="s">
        <v>29</v>
      </c>
      <c r="F2243" t="s">
        <v>30</v>
      </c>
      <c r="G2243" t="s">
        <v>18</v>
      </c>
      <c r="H2243" t="s">
        <v>31</v>
      </c>
      <c r="I2243" t="str">
        <f>LEFT(H2243,FIND(" (",H2243)-1)</f>
        <v>Staff/Principal</v>
      </c>
      <c r="J2243" t="str">
        <f>MID(H2243,FIND("(",H2243)+1,FIND(")",H2243)-FIND("(",H2243)-1)</f>
        <v>8+ yrs</v>
      </c>
      <c r="L2243">
        <v>221038</v>
      </c>
      <c r="M2243" t="s">
        <v>4607</v>
      </c>
      <c r="N2243" t="s">
        <v>21</v>
      </c>
      <c r="O2243" t="s">
        <v>44</v>
      </c>
      <c r="P2243" s="1">
        <v>45742</v>
      </c>
      <c r="Q2243">
        <v>1196</v>
      </c>
      <c r="R2243">
        <v>1585</v>
      </c>
      <c r="S2243" t="s">
        <v>23</v>
      </c>
      <c r="T2243">
        <v>6</v>
      </c>
      <c r="U2243" t="s">
        <v>58</v>
      </c>
      <c r="V2243" t="s">
        <v>24</v>
      </c>
      <c r="W2243" t="s">
        <v>34</v>
      </c>
    </row>
    <row r="2244" spans="1:23" x14ac:dyDescent="0.3">
      <c r="A2244" t="s">
        <v>4608</v>
      </c>
      <c r="B2244" t="s">
        <v>151</v>
      </c>
      <c r="C2244" t="s">
        <v>124</v>
      </c>
      <c r="D2244" t="s">
        <v>38</v>
      </c>
      <c r="E2244" t="s">
        <v>102</v>
      </c>
      <c r="F2244" t="s">
        <v>103</v>
      </c>
      <c r="G2244" t="s">
        <v>55</v>
      </c>
      <c r="H2244" t="s">
        <v>31</v>
      </c>
      <c r="I2244" t="str">
        <f>LEFT(H2244,FIND(" (",H2244)-1)</f>
        <v>Staff/Principal</v>
      </c>
      <c r="J2244" t="str">
        <f>MID(H2244,FIND("(",H2244)+1,FIND(")",H2244)-FIND("(",H2244)-1)</f>
        <v>8+ yrs</v>
      </c>
      <c r="L2244">
        <v>271151</v>
      </c>
      <c r="M2244" t="s">
        <v>4609</v>
      </c>
      <c r="N2244" t="s">
        <v>21</v>
      </c>
      <c r="O2244" t="s">
        <v>51</v>
      </c>
      <c r="P2244" s="1">
        <v>45674</v>
      </c>
      <c r="Q2244">
        <v>1614</v>
      </c>
      <c r="R2244">
        <v>55</v>
      </c>
      <c r="S2244" t="s">
        <v>99</v>
      </c>
      <c r="T2244">
        <v>6</v>
      </c>
      <c r="U2244" t="s">
        <v>83</v>
      </c>
      <c r="V2244" t="s">
        <v>24</v>
      </c>
      <c r="W2244" t="s">
        <v>23</v>
      </c>
    </row>
    <row r="2245" spans="1:23" x14ac:dyDescent="0.3">
      <c r="A2245" t="s">
        <v>4610</v>
      </c>
      <c r="B2245" t="s">
        <v>329</v>
      </c>
      <c r="C2245" t="s">
        <v>146</v>
      </c>
      <c r="D2245" t="s">
        <v>28</v>
      </c>
      <c r="E2245" t="s">
        <v>16</v>
      </c>
      <c r="F2245" t="s">
        <v>17</v>
      </c>
      <c r="G2245" t="s">
        <v>18</v>
      </c>
      <c r="H2245" t="s">
        <v>66</v>
      </c>
      <c r="I2245" t="str">
        <f>LEFT(H2245,FIND(" (",H2245)-1)</f>
        <v>Senior</v>
      </c>
      <c r="J2245" t="str">
        <f>MID(H2245,FIND("(",H2245)+1,FIND(")",H2245)-FIND("(",H2245)-1)</f>
        <v>5-8 yrs</v>
      </c>
      <c r="L2245">
        <v>107765</v>
      </c>
      <c r="M2245" t="s">
        <v>4611</v>
      </c>
      <c r="N2245" t="s">
        <v>33</v>
      </c>
      <c r="O2245" t="s">
        <v>22</v>
      </c>
      <c r="P2245" s="1">
        <v>45459</v>
      </c>
      <c r="Q2245">
        <v>1059</v>
      </c>
      <c r="R2245">
        <v>147</v>
      </c>
      <c r="S2245" t="s">
        <v>99</v>
      </c>
      <c r="T2245">
        <v>4</v>
      </c>
      <c r="U2245" t="s">
        <v>45</v>
      </c>
      <c r="V2245" t="s">
        <v>24</v>
      </c>
      <c r="W2245" t="s">
        <v>23</v>
      </c>
    </row>
    <row r="2246" spans="1:23" x14ac:dyDescent="0.3">
      <c r="A2246" t="s">
        <v>4612</v>
      </c>
      <c r="B2246" t="s">
        <v>225</v>
      </c>
      <c r="C2246" t="s">
        <v>132</v>
      </c>
      <c r="D2246" t="s">
        <v>49</v>
      </c>
      <c r="E2246" t="s">
        <v>5141</v>
      </c>
      <c r="F2246" t="s">
        <v>5133</v>
      </c>
      <c r="G2246" t="s">
        <v>55</v>
      </c>
      <c r="H2246" t="s">
        <v>19</v>
      </c>
      <c r="I2246" t="str">
        <f>LEFT(H2246,FIND(" (",H2246)-1)</f>
        <v>Entry</v>
      </c>
      <c r="J2246" t="str">
        <f>MID(H2246,FIND("(",H2246)+1,FIND(")",H2246)-FIND("(",H2246)-1)</f>
        <v>0-2 yrs</v>
      </c>
      <c r="L2246">
        <v>90376</v>
      </c>
      <c r="M2246" t="s">
        <v>4613</v>
      </c>
      <c r="N2246" t="s">
        <v>68</v>
      </c>
      <c r="O2246" t="s">
        <v>44</v>
      </c>
      <c r="P2246" s="1">
        <v>45632</v>
      </c>
      <c r="Q2246">
        <v>2341</v>
      </c>
      <c r="R2246">
        <v>3282</v>
      </c>
      <c r="S2246" t="s">
        <v>23</v>
      </c>
      <c r="T2246">
        <v>0</v>
      </c>
      <c r="U2246" t="s">
        <v>83</v>
      </c>
      <c r="V2246" t="s">
        <v>24</v>
      </c>
      <c r="W2246" t="s">
        <v>34</v>
      </c>
    </row>
    <row r="2247" spans="1:23" x14ac:dyDescent="0.3">
      <c r="A2247" t="s">
        <v>4614</v>
      </c>
      <c r="B2247" t="s">
        <v>151</v>
      </c>
      <c r="C2247" t="s">
        <v>132</v>
      </c>
      <c r="D2247" t="s">
        <v>147</v>
      </c>
      <c r="E2247" t="s">
        <v>29</v>
      </c>
      <c r="F2247" t="s">
        <v>30</v>
      </c>
      <c r="G2247" t="s">
        <v>55</v>
      </c>
      <c r="H2247" t="s">
        <v>19</v>
      </c>
      <c r="I2247" t="str">
        <f>LEFT(H2247,FIND(" (",H2247)-1)</f>
        <v>Entry</v>
      </c>
      <c r="J2247" t="str">
        <f>MID(H2247,FIND("(",H2247)+1,FIND(")",H2247)-FIND("(",H2247)-1)</f>
        <v>0-2 yrs</v>
      </c>
      <c r="L2247">
        <v>71314</v>
      </c>
      <c r="M2247" t="s">
        <v>4615</v>
      </c>
      <c r="N2247" t="s">
        <v>94</v>
      </c>
      <c r="O2247" t="s">
        <v>51</v>
      </c>
      <c r="P2247" s="1">
        <v>45734</v>
      </c>
      <c r="Q2247">
        <v>378</v>
      </c>
      <c r="R2247">
        <v>2348</v>
      </c>
      <c r="S2247" t="s">
        <v>34</v>
      </c>
      <c r="T2247">
        <v>0</v>
      </c>
      <c r="U2247" t="s">
        <v>45</v>
      </c>
      <c r="V2247" t="s">
        <v>59</v>
      </c>
      <c r="W2247" t="s">
        <v>34</v>
      </c>
    </row>
    <row r="2248" spans="1:23" x14ac:dyDescent="0.3">
      <c r="A2248" t="s">
        <v>4616</v>
      </c>
      <c r="B2248" t="s">
        <v>329</v>
      </c>
      <c r="C2248" t="s">
        <v>179</v>
      </c>
      <c r="D2248" t="s">
        <v>147</v>
      </c>
      <c r="E2248" t="s">
        <v>230</v>
      </c>
      <c r="F2248" t="s">
        <v>231</v>
      </c>
      <c r="G2248" t="s">
        <v>41</v>
      </c>
      <c r="H2248" t="s">
        <v>66</v>
      </c>
      <c r="I2248" t="str">
        <f>LEFT(H2248,FIND(" (",H2248)-1)</f>
        <v>Senior</v>
      </c>
      <c r="J2248" t="str">
        <f>MID(H2248,FIND("(",H2248)+1,FIND(")",H2248)-FIND("(",H2248)-1)</f>
        <v>5-8 yrs</v>
      </c>
      <c r="L2248">
        <v>125732</v>
      </c>
      <c r="M2248" t="s">
        <v>4617</v>
      </c>
      <c r="N2248" t="s">
        <v>186</v>
      </c>
      <c r="O2248" t="s">
        <v>22</v>
      </c>
      <c r="P2248" s="1">
        <v>45294</v>
      </c>
      <c r="Q2248">
        <v>1769</v>
      </c>
      <c r="R2248">
        <v>1041</v>
      </c>
      <c r="S2248" t="s">
        <v>23</v>
      </c>
      <c r="T2248">
        <v>4</v>
      </c>
      <c r="U2248" t="s">
        <v>58</v>
      </c>
      <c r="V2248" t="s">
        <v>24</v>
      </c>
      <c r="W2248" t="s">
        <v>34</v>
      </c>
    </row>
    <row r="2249" spans="1:23" x14ac:dyDescent="0.3">
      <c r="A2249" t="s">
        <v>4618</v>
      </c>
      <c r="B2249" t="s">
        <v>26</v>
      </c>
      <c r="C2249" t="s">
        <v>128</v>
      </c>
      <c r="D2249" t="s">
        <v>28</v>
      </c>
      <c r="E2249" t="s">
        <v>5141</v>
      </c>
      <c r="F2249" t="s">
        <v>5133</v>
      </c>
      <c r="G2249" t="s">
        <v>18</v>
      </c>
      <c r="H2249" t="s">
        <v>31</v>
      </c>
      <c r="I2249" t="str">
        <f>LEFT(H2249,FIND(" (",H2249)-1)</f>
        <v>Staff/Principal</v>
      </c>
      <c r="J2249" t="str">
        <f>MID(H2249,FIND("(",H2249)+1,FIND(")",H2249)-FIND("(",H2249)-1)</f>
        <v>8+ yrs</v>
      </c>
      <c r="L2249">
        <v>152108</v>
      </c>
      <c r="M2249" t="s">
        <v>4619</v>
      </c>
      <c r="N2249" t="s">
        <v>68</v>
      </c>
      <c r="O2249" t="s">
        <v>51</v>
      </c>
      <c r="P2249" s="1">
        <v>45500</v>
      </c>
      <c r="Q2249">
        <v>851</v>
      </c>
      <c r="R2249">
        <v>1305</v>
      </c>
      <c r="S2249" t="s">
        <v>23</v>
      </c>
      <c r="T2249">
        <v>6</v>
      </c>
      <c r="U2249" t="s">
        <v>5123</v>
      </c>
      <c r="V2249" t="s">
        <v>24</v>
      </c>
      <c r="W2249" t="s">
        <v>34</v>
      </c>
    </row>
    <row r="2250" spans="1:23" x14ac:dyDescent="0.3">
      <c r="A2250" t="s">
        <v>4620</v>
      </c>
      <c r="B2250" t="s">
        <v>229</v>
      </c>
      <c r="C2250" t="s">
        <v>101</v>
      </c>
      <c r="D2250" t="s">
        <v>147</v>
      </c>
      <c r="E2250" t="s">
        <v>216</v>
      </c>
      <c r="F2250" t="s">
        <v>217</v>
      </c>
      <c r="G2250" t="s">
        <v>18</v>
      </c>
      <c r="H2250" t="s">
        <v>31</v>
      </c>
      <c r="I2250" t="str">
        <f>LEFT(H2250,FIND(" (",H2250)-1)</f>
        <v>Staff/Principal</v>
      </c>
      <c r="J2250" t="str">
        <f>MID(H2250,FIND("(",H2250)+1,FIND(")",H2250)-FIND("(",H2250)-1)</f>
        <v>8+ yrs</v>
      </c>
      <c r="L2250">
        <v>193191</v>
      </c>
      <c r="M2250" t="s">
        <v>4621</v>
      </c>
      <c r="N2250" t="s">
        <v>33</v>
      </c>
      <c r="O2250" t="s">
        <v>51</v>
      </c>
      <c r="P2250" s="1">
        <v>45332</v>
      </c>
      <c r="Q2250">
        <v>1827</v>
      </c>
      <c r="R2250">
        <v>255</v>
      </c>
      <c r="S2250" t="s">
        <v>23</v>
      </c>
      <c r="T2250">
        <v>6</v>
      </c>
      <c r="U2250" t="s">
        <v>5123</v>
      </c>
      <c r="V2250" t="s">
        <v>24</v>
      </c>
      <c r="W2250" t="s">
        <v>34</v>
      </c>
    </row>
    <row r="2251" spans="1:23" x14ac:dyDescent="0.3">
      <c r="A2251" t="s">
        <v>4622</v>
      </c>
      <c r="B2251" t="s">
        <v>151</v>
      </c>
      <c r="C2251" t="s">
        <v>48</v>
      </c>
      <c r="D2251" t="s">
        <v>28</v>
      </c>
      <c r="E2251" t="s">
        <v>29</v>
      </c>
      <c r="F2251" t="s">
        <v>30</v>
      </c>
      <c r="G2251" t="s">
        <v>18</v>
      </c>
      <c r="H2251" t="s">
        <v>66</v>
      </c>
      <c r="I2251" t="str">
        <f>LEFT(H2251,FIND(" (",H2251)-1)</f>
        <v>Senior</v>
      </c>
      <c r="J2251" t="str">
        <f>MID(H2251,FIND("(",H2251)+1,FIND(")",H2251)-FIND("(",H2251)-1)</f>
        <v>5-8 yrs</v>
      </c>
      <c r="L2251">
        <v>174884</v>
      </c>
      <c r="M2251" t="s">
        <v>4623</v>
      </c>
      <c r="N2251" t="s">
        <v>141</v>
      </c>
      <c r="O2251" t="s">
        <v>51</v>
      </c>
      <c r="P2251" s="1">
        <v>45303</v>
      </c>
      <c r="Q2251">
        <v>2283</v>
      </c>
      <c r="R2251">
        <v>3519</v>
      </c>
      <c r="S2251" t="s">
        <v>23</v>
      </c>
      <c r="T2251">
        <v>4</v>
      </c>
      <c r="U2251" t="s">
        <v>58</v>
      </c>
      <c r="V2251" t="s">
        <v>59</v>
      </c>
      <c r="W2251" t="s">
        <v>23</v>
      </c>
    </row>
    <row r="2252" spans="1:23" x14ac:dyDescent="0.3">
      <c r="A2252" t="s">
        <v>4624</v>
      </c>
      <c r="B2252" t="s">
        <v>13</v>
      </c>
      <c r="C2252" t="s">
        <v>226</v>
      </c>
      <c r="D2252" t="s">
        <v>28</v>
      </c>
      <c r="E2252" t="s">
        <v>29</v>
      </c>
      <c r="F2252" t="s">
        <v>30</v>
      </c>
      <c r="G2252" t="s">
        <v>41</v>
      </c>
      <c r="H2252" t="s">
        <v>19</v>
      </c>
      <c r="I2252" t="str">
        <f>LEFT(H2252,FIND(" (",H2252)-1)</f>
        <v>Entry</v>
      </c>
      <c r="J2252" t="str">
        <f>MID(H2252,FIND("(",H2252)+1,FIND(")",H2252)-FIND("(",H2252)-1)</f>
        <v>0-2 yrs</v>
      </c>
      <c r="L2252">
        <v>68392</v>
      </c>
      <c r="M2252" t="s">
        <v>4625</v>
      </c>
      <c r="N2252" t="s">
        <v>68</v>
      </c>
      <c r="O2252" t="s">
        <v>79</v>
      </c>
      <c r="P2252" s="1">
        <v>45372</v>
      </c>
      <c r="Q2252">
        <v>708</v>
      </c>
      <c r="R2252">
        <v>1702</v>
      </c>
      <c r="S2252" t="s">
        <v>23</v>
      </c>
      <c r="T2252">
        <v>0</v>
      </c>
      <c r="U2252" t="s">
        <v>45</v>
      </c>
      <c r="V2252" t="s">
        <v>24</v>
      </c>
      <c r="W2252" t="s">
        <v>23</v>
      </c>
    </row>
    <row r="2253" spans="1:23" x14ac:dyDescent="0.3">
      <c r="A2253" t="s">
        <v>4626</v>
      </c>
      <c r="B2253" t="s">
        <v>81</v>
      </c>
      <c r="C2253" t="s">
        <v>74</v>
      </c>
      <c r="D2253" t="s">
        <v>38</v>
      </c>
      <c r="E2253" t="s">
        <v>76</v>
      </c>
      <c r="F2253" t="s">
        <v>77</v>
      </c>
      <c r="G2253" t="s">
        <v>41</v>
      </c>
      <c r="H2253" t="s">
        <v>66</v>
      </c>
      <c r="I2253" t="str">
        <f>LEFT(H2253,FIND(" (",H2253)-1)</f>
        <v>Senior</v>
      </c>
      <c r="J2253" t="str">
        <f>MID(H2253,FIND("(",H2253)+1,FIND(")",H2253)-FIND("(",H2253)-1)</f>
        <v>5-8 yrs</v>
      </c>
      <c r="L2253">
        <v>190801</v>
      </c>
      <c r="M2253" t="s">
        <v>4627</v>
      </c>
      <c r="N2253" t="s">
        <v>33</v>
      </c>
      <c r="O2253" t="s">
        <v>22</v>
      </c>
      <c r="P2253" s="1">
        <v>45680</v>
      </c>
      <c r="Q2253">
        <v>575</v>
      </c>
      <c r="R2253">
        <v>3560</v>
      </c>
      <c r="S2253" t="s">
        <v>34</v>
      </c>
      <c r="T2253">
        <v>4</v>
      </c>
      <c r="U2253" t="s">
        <v>52</v>
      </c>
      <c r="V2253" t="s">
        <v>59</v>
      </c>
      <c r="W2253" t="s">
        <v>23</v>
      </c>
    </row>
    <row r="2254" spans="1:23" x14ac:dyDescent="0.3">
      <c r="A2254" t="s">
        <v>4628</v>
      </c>
      <c r="B2254" t="s">
        <v>36</v>
      </c>
      <c r="C2254" t="s">
        <v>37</v>
      </c>
      <c r="D2254" t="s">
        <v>49</v>
      </c>
      <c r="E2254" t="s">
        <v>159</v>
      </c>
      <c r="F2254" t="s">
        <v>160</v>
      </c>
      <c r="G2254" t="s">
        <v>55</v>
      </c>
      <c r="H2254" t="s">
        <v>66</v>
      </c>
      <c r="I2254" t="str">
        <f>LEFT(H2254,FIND(" (",H2254)-1)</f>
        <v>Senior</v>
      </c>
      <c r="J2254" t="str">
        <f>MID(H2254,FIND("(",H2254)+1,FIND(")",H2254)-FIND("(",H2254)-1)</f>
        <v>5-8 yrs</v>
      </c>
      <c r="L2254">
        <v>110818</v>
      </c>
      <c r="M2254" t="s">
        <v>4629</v>
      </c>
      <c r="N2254" t="s">
        <v>33</v>
      </c>
      <c r="O2254" t="s">
        <v>44</v>
      </c>
      <c r="P2254" s="1">
        <v>45596</v>
      </c>
      <c r="Q2254">
        <v>1390</v>
      </c>
      <c r="R2254">
        <v>3759</v>
      </c>
      <c r="S2254" t="s">
        <v>23</v>
      </c>
      <c r="T2254">
        <v>4</v>
      </c>
      <c r="U2254" t="s">
        <v>83</v>
      </c>
      <c r="V2254" t="s">
        <v>59</v>
      </c>
      <c r="W2254" t="s">
        <v>23</v>
      </c>
    </row>
    <row r="2255" spans="1:23" x14ac:dyDescent="0.3">
      <c r="A2255" t="s">
        <v>4630</v>
      </c>
      <c r="B2255" t="s">
        <v>81</v>
      </c>
      <c r="C2255" t="s">
        <v>209</v>
      </c>
      <c r="D2255" t="s">
        <v>28</v>
      </c>
      <c r="E2255" t="s">
        <v>5140</v>
      </c>
      <c r="F2255" t="s">
        <v>5133</v>
      </c>
      <c r="G2255" t="s">
        <v>41</v>
      </c>
      <c r="H2255" t="s">
        <v>19</v>
      </c>
      <c r="I2255" t="str">
        <f>LEFT(H2255,FIND(" (",H2255)-1)</f>
        <v>Entry</v>
      </c>
      <c r="J2255" t="str">
        <f>MID(H2255,FIND("(",H2255)+1,FIND(")",H2255)-FIND("(",H2255)-1)</f>
        <v>0-2 yrs</v>
      </c>
      <c r="L2255">
        <v>69847</v>
      </c>
      <c r="M2255" t="s">
        <v>4631</v>
      </c>
      <c r="N2255" t="s">
        <v>21</v>
      </c>
      <c r="O2255" t="s">
        <v>51</v>
      </c>
      <c r="P2255" s="1">
        <v>45450</v>
      </c>
      <c r="Q2255">
        <v>2360</v>
      </c>
      <c r="R2255">
        <v>2034</v>
      </c>
      <c r="S2255" t="s">
        <v>23</v>
      </c>
      <c r="T2255">
        <v>0</v>
      </c>
      <c r="U2255" t="s">
        <v>58</v>
      </c>
      <c r="V2255" t="s">
        <v>59</v>
      </c>
      <c r="W2255" t="s">
        <v>23</v>
      </c>
    </row>
    <row r="2256" spans="1:23" x14ac:dyDescent="0.3">
      <c r="A2256" t="s">
        <v>4632</v>
      </c>
      <c r="B2256" t="s">
        <v>96</v>
      </c>
      <c r="C2256" t="s">
        <v>226</v>
      </c>
      <c r="D2256" t="s">
        <v>49</v>
      </c>
      <c r="E2256" t="s">
        <v>16</v>
      </c>
      <c r="F2256" t="s">
        <v>17</v>
      </c>
      <c r="G2256" t="s">
        <v>55</v>
      </c>
      <c r="H2256" t="s">
        <v>31</v>
      </c>
      <c r="I2256" t="str">
        <f>LEFT(H2256,FIND(" (",H2256)-1)</f>
        <v>Staff/Principal</v>
      </c>
      <c r="J2256" t="str">
        <f>MID(H2256,FIND("(",H2256)+1,FIND(")",H2256)-FIND("(",H2256)-1)</f>
        <v>8+ yrs</v>
      </c>
      <c r="L2256">
        <v>154913</v>
      </c>
      <c r="M2256" t="s">
        <v>4633</v>
      </c>
      <c r="N2256" t="s">
        <v>68</v>
      </c>
      <c r="O2256" t="s">
        <v>51</v>
      </c>
      <c r="P2256" s="1">
        <v>45532</v>
      </c>
      <c r="Q2256">
        <v>2161</v>
      </c>
      <c r="R2256">
        <v>512</v>
      </c>
      <c r="S2256" t="s">
        <v>23</v>
      </c>
      <c r="T2256">
        <v>6</v>
      </c>
      <c r="U2256" t="s">
        <v>83</v>
      </c>
      <c r="V2256" t="s">
        <v>24</v>
      </c>
      <c r="W2256" t="s">
        <v>34</v>
      </c>
    </row>
    <row r="2257" spans="1:23" x14ac:dyDescent="0.3">
      <c r="A2257" t="s">
        <v>4634</v>
      </c>
      <c r="B2257" t="s">
        <v>329</v>
      </c>
      <c r="C2257" t="s">
        <v>204</v>
      </c>
      <c r="D2257" t="s">
        <v>174</v>
      </c>
      <c r="E2257" t="s">
        <v>5139</v>
      </c>
      <c r="F2257" t="s">
        <v>5133</v>
      </c>
      <c r="G2257" t="s">
        <v>18</v>
      </c>
      <c r="H2257" t="s">
        <v>31</v>
      </c>
      <c r="I2257" t="str">
        <f>LEFT(H2257,FIND(" (",H2257)-1)</f>
        <v>Staff/Principal</v>
      </c>
      <c r="J2257" t="str">
        <f>MID(H2257,FIND("(",H2257)+1,FIND(")",H2257)-FIND("(",H2257)-1)</f>
        <v>8+ yrs</v>
      </c>
      <c r="L2257">
        <v>213090</v>
      </c>
      <c r="M2257" t="s">
        <v>4635</v>
      </c>
      <c r="N2257" t="s">
        <v>21</v>
      </c>
      <c r="O2257" t="s">
        <v>22</v>
      </c>
      <c r="P2257" s="1">
        <v>45496</v>
      </c>
      <c r="Q2257">
        <v>1336</v>
      </c>
      <c r="R2257">
        <v>526</v>
      </c>
      <c r="S2257" t="s">
        <v>23</v>
      </c>
      <c r="T2257">
        <v>6</v>
      </c>
      <c r="U2257" t="s">
        <v>83</v>
      </c>
      <c r="V2257" t="s">
        <v>24</v>
      </c>
      <c r="W2257" t="s">
        <v>34</v>
      </c>
    </row>
    <row r="2258" spans="1:23" x14ac:dyDescent="0.3">
      <c r="A2258" t="s">
        <v>4636</v>
      </c>
      <c r="B2258" t="s">
        <v>143</v>
      </c>
      <c r="C2258" t="s">
        <v>128</v>
      </c>
      <c r="D2258" t="s">
        <v>147</v>
      </c>
      <c r="E2258" t="s">
        <v>5140</v>
      </c>
      <c r="F2258" t="s">
        <v>5133</v>
      </c>
      <c r="G2258" t="s">
        <v>41</v>
      </c>
      <c r="H2258" t="s">
        <v>31</v>
      </c>
      <c r="I2258" t="str">
        <f>LEFT(H2258,FIND(" (",H2258)-1)</f>
        <v>Staff/Principal</v>
      </c>
      <c r="J2258" t="str">
        <f>MID(H2258,FIND("(",H2258)+1,FIND(")",H2258)-FIND("(",H2258)-1)</f>
        <v>8+ yrs</v>
      </c>
      <c r="L2258">
        <v>231927</v>
      </c>
      <c r="M2258" t="s">
        <v>4637</v>
      </c>
      <c r="N2258" t="s">
        <v>43</v>
      </c>
      <c r="O2258" t="s">
        <v>44</v>
      </c>
      <c r="P2258" s="1">
        <v>45473</v>
      </c>
      <c r="Q2258">
        <v>1170</v>
      </c>
      <c r="R2258">
        <v>3272</v>
      </c>
      <c r="S2258" t="s">
        <v>99</v>
      </c>
      <c r="T2258">
        <v>6</v>
      </c>
      <c r="U2258" t="s">
        <v>83</v>
      </c>
      <c r="V2258" t="s">
        <v>24</v>
      </c>
      <c r="W2258" t="s">
        <v>23</v>
      </c>
    </row>
    <row r="2259" spans="1:23" x14ac:dyDescent="0.3">
      <c r="A2259" t="s">
        <v>4638</v>
      </c>
      <c r="B2259" t="s">
        <v>329</v>
      </c>
      <c r="C2259" t="s">
        <v>158</v>
      </c>
      <c r="D2259" t="s">
        <v>63</v>
      </c>
      <c r="E2259" t="s">
        <v>5135</v>
      </c>
      <c r="F2259" t="s">
        <v>5133</v>
      </c>
      <c r="G2259" t="s">
        <v>41</v>
      </c>
      <c r="H2259" t="s">
        <v>31</v>
      </c>
      <c r="I2259" t="str">
        <f>LEFT(H2259,FIND(" (",H2259)-1)</f>
        <v>Staff/Principal</v>
      </c>
      <c r="J2259" t="str">
        <f>MID(H2259,FIND("(",H2259)+1,FIND(")",H2259)-FIND("(",H2259)-1)</f>
        <v>8+ yrs</v>
      </c>
      <c r="L2259">
        <v>184852</v>
      </c>
      <c r="M2259" t="s">
        <v>4639</v>
      </c>
      <c r="N2259" t="s">
        <v>43</v>
      </c>
      <c r="O2259" t="s">
        <v>44</v>
      </c>
      <c r="P2259" s="1">
        <v>45730</v>
      </c>
      <c r="Q2259">
        <v>2217</v>
      </c>
      <c r="R2259">
        <v>3879</v>
      </c>
      <c r="S2259" t="s">
        <v>99</v>
      </c>
      <c r="T2259">
        <v>6</v>
      </c>
      <c r="U2259" t="s">
        <v>52</v>
      </c>
      <c r="V2259" t="s">
        <v>46</v>
      </c>
      <c r="W2259" t="s">
        <v>23</v>
      </c>
    </row>
    <row r="2260" spans="1:23" x14ac:dyDescent="0.3">
      <c r="A2260" t="s">
        <v>4640</v>
      </c>
      <c r="B2260" t="s">
        <v>151</v>
      </c>
      <c r="C2260" t="s">
        <v>182</v>
      </c>
      <c r="D2260" t="s">
        <v>111</v>
      </c>
      <c r="E2260" t="s">
        <v>5141</v>
      </c>
      <c r="F2260" t="s">
        <v>5133</v>
      </c>
      <c r="G2260" t="s">
        <v>18</v>
      </c>
      <c r="H2260" t="s">
        <v>19</v>
      </c>
      <c r="I2260" t="str">
        <f>LEFT(H2260,FIND(" (",H2260)-1)</f>
        <v>Entry</v>
      </c>
      <c r="J2260" t="str">
        <f>MID(H2260,FIND("(",H2260)+1,FIND(")",H2260)-FIND("(",H2260)-1)</f>
        <v>0-2 yrs</v>
      </c>
      <c r="L2260">
        <v>50000</v>
      </c>
      <c r="M2260" t="s">
        <v>4641</v>
      </c>
      <c r="N2260" t="s">
        <v>33</v>
      </c>
      <c r="O2260" t="s">
        <v>44</v>
      </c>
      <c r="P2260" s="1">
        <v>45436</v>
      </c>
      <c r="Q2260">
        <v>1613</v>
      </c>
      <c r="R2260">
        <v>1887</v>
      </c>
      <c r="S2260" t="s">
        <v>23</v>
      </c>
      <c r="T2260">
        <v>0</v>
      </c>
      <c r="U2260" t="s">
        <v>52</v>
      </c>
      <c r="V2260" t="s">
        <v>24</v>
      </c>
      <c r="W2260" t="s">
        <v>23</v>
      </c>
    </row>
    <row r="2261" spans="1:23" x14ac:dyDescent="0.3">
      <c r="A2261" t="s">
        <v>4642</v>
      </c>
      <c r="B2261" t="s">
        <v>106</v>
      </c>
      <c r="C2261" t="s">
        <v>54</v>
      </c>
      <c r="D2261" t="s">
        <v>147</v>
      </c>
      <c r="E2261" t="s">
        <v>16</v>
      </c>
      <c r="F2261" t="s">
        <v>17</v>
      </c>
      <c r="G2261" t="s">
        <v>55</v>
      </c>
      <c r="H2261" t="s">
        <v>31</v>
      </c>
      <c r="I2261" t="str">
        <f>LEFT(H2261,FIND(" (",H2261)-1)</f>
        <v>Staff/Principal</v>
      </c>
      <c r="J2261" t="str">
        <f>MID(H2261,FIND("(",H2261)+1,FIND(")",H2261)-FIND("(",H2261)-1)</f>
        <v>8+ yrs</v>
      </c>
      <c r="L2261">
        <v>207162</v>
      </c>
      <c r="M2261" t="s">
        <v>4643</v>
      </c>
      <c r="N2261" t="s">
        <v>33</v>
      </c>
      <c r="O2261" t="s">
        <v>22</v>
      </c>
      <c r="P2261" s="1">
        <v>45428</v>
      </c>
      <c r="Q2261">
        <v>1685</v>
      </c>
      <c r="R2261">
        <v>2835</v>
      </c>
      <c r="S2261" t="s">
        <v>23</v>
      </c>
      <c r="T2261">
        <v>6</v>
      </c>
      <c r="U2261" t="s">
        <v>52</v>
      </c>
      <c r="V2261" t="s">
        <v>24</v>
      </c>
      <c r="W2261" t="s">
        <v>23</v>
      </c>
    </row>
    <row r="2262" spans="1:23" x14ac:dyDescent="0.3">
      <c r="A2262" t="s">
        <v>4644</v>
      </c>
      <c r="B2262" t="s">
        <v>236</v>
      </c>
      <c r="C2262" t="s">
        <v>209</v>
      </c>
      <c r="D2262" t="s">
        <v>75</v>
      </c>
      <c r="E2262" t="s">
        <v>200</v>
      </c>
      <c r="F2262" t="s">
        <v>201</v>
      </c>
      <c r="G2262" t="s">
        <v>55</v>
      </c>
      <c r="H2262" t="s">
        <v>19</v>
      </c>
      <c r="I2262" t="str">
        <f>LEFT(H2262,FIND(" (",H2262)-1)</f>
        <v>Entry</v>
      </c>
      <c r="J2262" t="str">
        <f>MID(H2262,FIND("(",H2262)+1,FIND(")",H2262)-FIND("(",H2262)-1)</f>
        <v>0-2 yrs</v>
      </c>
      <c r="L2262">
        <v>75502</v>
      </c>
      <c r="M2262" t="s">
        <v>4645</v>
      </c>
      <c r="N2262" t="s">
        <v>89</v>
      </c>
      <c r="O2262" t="s">
        <v>51</v>
      </c>
      <c r="P2262" s="1">
        <v>45402</v>
      </c>
      <c r="Q2262">
        <v>885</v>
      </c>
      <c r="R2262">
        <v>1954</v>
      </c>
      <c r="S2262" t="s">
        <v>23</v>
      </c>
      <c r="T2262">
        <v>0</v>
      </c>
      <c r="U2262" t="s">
        <v>45</v>
      </c>
      <c r="V2262" t="s">
        <v>24</v>
      </c>
      <c r="W2262" t="s">
        <v>23</v>
      </c>
    </row>
    <row r="2263" spans="1:23" x14ac:dyDescent="0.3">
      <c r="A2263" t="s">
        <v>4646</v>
      </c>
      <c r="B2263" t="s">
        <v>96</v>
      </c>
      <c r="C2263" t="s">
        <v>124</v>
      </c>
      <c r="D2263" t="s">
        <v>38</v>
      </c>
      <c r="E2263" t="s">
        <v>133</v>
      </c>
      <c r="F2263" t="s">
        <v>134</v>
      </c>
      <c r="G2263" t="s">
        <v>41</v>
      </c>
      <c r="H2263" t="s">
        <v>19</v>
      </c>
      <c r="I2263" t="str">
        <f>LEFT(H2263,FIND(" (",H2263)-1)</f>
        <v>Entry</v>
      </c>
      <c r="J2263" t="str">
        <f>MID(H2263,FIND("(",H2263)+1,FIND(")",H2263)-FIND("(",H2263)-1)</f>
        <v>0-2 yrs</v>
      </c>
      <c r="L2263">
        <v>75094</v>
      </c>
      <c r="M2263" t="s">
        <v>4647</v>
      </c>
      <c r="N2263" t="s">
        <v>33</v>
      </c>
      <c r="O2263" t="s">
        <v>51</v>
      </c>
      <c r="P2263" s="1">
        <v>45431</v>
      </c>
      <c r="Q2263">
        <v>2035</v>
      </c>
      <c r="R2263">
        <v>3331</v>
      </c>
      <c r="S2263" t="s">
        <v>23</v>
      </c>
      <c r="T2263">
        <v>0</v>
      </c>
      <c r="U2263" t="s">
        <v>5123</v>
      </c>
      <c r="V2263" t="s">
        <v>59</v>
      </c>
      <c r="W2263" t="s">
        <v>34</v>
      </c>
    </row>
    <row r="2264" spans="1:23" x14ac:dyDescent="0.3">
      <c r="A2264" t="s">
        <v>4648</v>
      </c>
      <c r="B2264" t="s">
        <v>172</v>
      </c>
      <c r="C2264" t="s">
        <v>195</v>
      </c>
      <c r="D2264" t="s">
        <v>147</v>
      </c>
      <c r="E2264" t="s">
        <v>230</v>
      </c>
      <c r="F2264" t="s">
        <v>231</v>
      </c>
      <c r="G2264" t="s">
        <v>18</v>
      </c>
      <c r="H2264" t="s">
        <v>31</v>
      </c>
      <c r="I2264" t="str">
        <f>LEFT(H2264,FIND(" (",H2264)-1)</f>
        <v>Staff/Principal</v>
      </c>
      <c r="J2264" t="str">
        <f>MID(H2264,FIND("(",H2264)+1,FIND(")",H2264)-FIND("(",H2264)-1)</f>
        <v>8+ yrs</v>
      </c>
      <c r="L2264">
        <v>244488</v>
      </c>
      <c r="M2264" t="s">
        <v>4649</v>
      </c>
      <c r="N2264" t="s">
        <v>89</v>
      </c>
      <c r="O2264" t="s">
        <v>44</v>
      </c>
      <c r="P2264" s="1">
        <v>45380</v>
      </c>
      <c r="Q2264">
        <v>2070</v>
      </c>
      <c r="R2264">
        <v>1463</v>
      </c>
      <c r="S2264" t="s">
        <v>34</v>
      </c>
      <c r="T2264">
        <v>6</v>
      </c>
      <c r="U2264" t="s">
        <v>58</v>
      </c>
      <c r="V2264" t="s">
        <v>59</v>
      </c>
      <c r="W2264" t="s">
        <v>23</v>
      </c>
    </row>
    <row r="2265" spans="1:23" x14ac:dyDescent="0.3">
      <c r="A2265" t="s">
        <v>4650</v>
      </c>
      <c r="B2265" t="s">
        <v>131</v>
      </c>
      <c r="C2265" t="s">
        <v>37</v>
      </c>
      <c r="D2265" t="s">
        <v>174</v>
      </c>
      <c r="E2265" t="s">
        <v>64</v>
      </c>
      <c r="F2265" t="s">
        <v>65</v>
      </c>
      <c r="G2265" t="s">
        <v>18</v>
      </c>
      <c r="H2265" t="s">
        <v>66</v>
      </c>
      <c r="I2265" t="str">
        <f>LEFT(H2265,FIND(" (",H2265)-1)</f>
        <v>Senior</v>
      </c>
      <c r="J2265" t="str">
        <f>MID(H2265,FIND("(",H2265)+1,FIND(")",H2265)-FIND("(",H2265)-1)</f>
        <v>5-8 yrs</v>
      </c>
      <c r="L2265">
        <v>121081</v>
      </c>
      <c r="M2265" t="s">
        <v>4651</v>
      </c>
      <c r="N2265" t="s">
        <v>141</v>
      </c>
      <c r="O2265" t="s">
        <v>22</v>
      </c>
      <c r="P2265" s="1">
        <v>45346</v>
      </c>
      <c r="Q2265">
        <v>2228</v>
      </c>
      <c r="R2265">
        <v>3298</v>
      </c>
      <c r="S2265" t="s">
        <v>34</v>
      </c>
      <c r="T2265">
        <v>4</v>
      </c>
      <c r="U2265" t="s">
        <v>83</v>
      </c>
      <c r="V2265" t="s">
        <v>24</v>
      </c>
      <c r="W2265" t="s">
        <v>34</v>
      </c>
    </row>
    <row r="2266" spans="1:23" x14ac:dyDescent="0.3">
      <c r="A2266" t="s">
        <v>4652</v>
      </c>
      <c r="B2266" t="s">
        <v>137</v>
      </c>
      <c r="C2266" t="s">
        <v>124</v>
      </c>
      <c r="D2266" t="s">
        <v>75</v>
      </c>
      <c r="E2266" t="s">
        <v>5141</v>
      </c>
      <c r="F2266" t="s">
        <v>5133</v>
      </c>
      <c r="G2266" t="s">
        <v>18</v>
      </c>
      <c r="H2266" t="s">
        <v>19</v>
      </c>
      <c r="I2266" t="str">
        <f>LEFT(H2266,FIND(" (",H2266)-1)</f>
        <v>Entry</v>
      </c>
      <c r="J2266" t="str">
        <f>MID(H2266,FIND("(",H2266)+1,FIND(")",H2266)-FIND("(",H2266)-1)</f>
        <v>0-2 yrs</v>
      </c>
      <c r="L2266">
        <v>78570</v>
      </c>
      <c r="M2266" t="s">
        <v>4653</v>
      </c>
      <c r="N2266" t="s">
        <v>186</v>
      </c>
      <c r="O2266" t="s">
        <v>22</v>
      </c>
      <c r="P2266" s="1">
        <v>45535</v>
      </c>
      <c r="Q2266">
        <v>1183</v>
      </c>
      <c r="R2266">
        <v>3099</v>
      </c>
      <c r="S2266" t="s">
        <v>23</v>
      </c>
      <c r="T2266">
        <v>0</v>
      </c>
      <c r="U2266" t="s">
        <v>45</v>
      </c>
      <c r="V2266" t="s">
        <v>59</v>
      </c>
      <c r="W2266" t="s">
        <v>23</v>
      </c>
    </row>
    <row r="2267" spans="1:23" x14ac:dyDescent="0.3">
      <c r="A2267" t="s">
        <v>4654</v>
      </c>
      <c r="B2267" t="s">
        <v>61</v>
      </c>
      <c r="C2267" t="s">
        <v>74</v>
      </c>
      <c r="D2267" t="s">
        <v>15</v>
      </c>
      <c r="E2267" t="s">
        <v>159</v>
      </c>
      <c r="F2267" t="s">
        <v>160</v>
      </c>
      <c r="G2267" t="s">
        <v>18</v>
      </c>
      <c r="H2267" t="s">
        <v>56</v>
      </c>
      <c r="I2267" t="str">
        <f>LEFT(H2267,FIND(" (",H2267)-1)</f>
        <v>Mid</v>
      </c>
      <c r="J2267" t="str">
        <f>MID(H2267,FIND("(",H2267)+1,FIND(")",H2267)-FIND("(",H2267)-1)</f>
        <v>2-5 yrs</v>
      </c>
      <c r="L2267">
        <v>133611</v>
      </c>
      <c r="M2267" t="s">
        <v>4655</v>
      </c>
      <c r="N2267" t="s">
        <v>149</v>
      </c>
      <c r="O2267" t="s">
        <v>22</v>
      </c>
      <c r="P2267" s="1">
        <v>45383</v>
      </c>
      <c r="Q2267">
        <v>1853</v>
      </c>
      <c r="R2267">
        <v>2765</v>
      </c>
      <c r="S2267" t="s">
        <v>23</v>
      </c>
      <c r="T2267">
        <v>2</v>
      </c>
      <c r="U2267" t="s">
        <v>45</v>
      </c>
      <c r="V2267" t="s">
        <v>59</v>
      </c>
      <c r="W2267" t="s">
        <v>23</v>
      </c>
    </row>
    <row r="2268" spans="1:23" x14ac:dyDescent="0.3">
      <c r="A2268" t="s">
        <v>4656</v>
      </c>
      <c r="B2268" t="s">
        <v>13</v>
      </c>
      <c r="C2268" t="s">
        <v>195</v>
      </c>
      <c r="D2268" t="s">
        <v>49</v>
      </c>
      <c r="E2268" t="s">
        <v>200</v>
      </c>
      <c r="F2268" t="s">
        <v>201</v>
      </c>
      <c r="G2268" t="s">
        <v>55</v>
      </c>
      <c r="H2268" t="s">
        <v>56</v>
      </c>
      <c r="I2268" t="str">
        <f>LEFT(H2268,FIND(" (",H2268)-1)</f>
        <v>Mid</v>
      </c>
      <c r="J2268" t="str">
        <f>MID(H2268,FIND("(",H2268)+1,FIND(")",H2268)-FIND("(",H2268)-1)</f>
        <v>2-5 yrs</v>
      </c>
      <c r="L2268">
        <v>74783</v>
      </c>
      <c r="M2268" t="s">
        <v>4657</v>
      </c>
      <c r="N2268" t="s">
        <v>89</v>
      </c>
      <c r="O2268" t="s">
        <v>22</v>
      </c>
      <c r="P2268" s="1">
        <v>45507</v>
      </c>
      <c r="Q2268">
        <v>1763</v>
      </c>
      <c r="R2268">
        <v>2427</v>
      </c>
      <c r="S2268" t="s">
        <v>23</v>
      </c>
      <c r="T2268">
        <v>2</v>
      </c>
      <c r="U2268" t="s">
        <v>5123</v>
      </c>
      <c r="V2268" t="s">
        <v>24</v>
      </c>
      <c r="W2268" t="s">
        <v>34</v>
      </c>
    </row>
    <row r="2269" spans="1:23" x14ac:dyDescent="0.3">
      <c r="A2269" t="s">
        <v>4658</v>
      </c>
      <c r="B2269" t="s">
        <v>106</v>
      </c>
      <c r="C2269" t="s">
        <v>48</v>
      </c>
      <c r="D2269" t="s">
        <v>147</v>
      </c>
      <c r="E2269" t="s">
        <v>200</v>
      </c>
      <c r="F2269" t="s">
        <v>201</v>
      </c>
      <c r="G2269" t="s">
        <v>55</v>
      </c>
      <c r="H2269" t="s">
        <v>56</v>
      </c>
      <c r="I2269" t="str">
        <f>LEFT(H2269,FIND(" (",H2269)-1)</f>
        <v>Mid</v>
      </c>
      <c r="J2269" t="str">
        <f>MID(H2269,FIND("(",H2269)+1,FIND(")",H2269)-FIND("(",H2269)-1)</f>
        <v>2-5 yrs</v>
      </c>
      <c r="L2269">
        <v>116329</v>
      </c>
      <c r="M2269" t="s">
        <v>4659</v>
      </c>
      <c r="N2269" t="s">
        <v>33</v>
      </c>
      <c r="O2269" t="s">
        <v>51</v>
      </c>
      <c r="P2269" s="1">
        <v>45675</v>
      </c>
      <c r="Q2269">
        <v>1339</v>
      </c>
      <c r="R2269">
        <v>641</v>
      </c>
      <c r="S2269" t="s">
        <v>34</v>
      </c>
      <c r="T2269">
        <v>2</v>
      </c>
      <c r="U2269" t="s">
        <v>45</v>
      </c>
      <c r="V2269" t="s">
        <v>59</v>
      </c>
      <c r="W2269" t="s">
        <v>23</v>
      </c>
    </row>
    <row r="2270" spans="1:23" x14ac:dyDescent="0.3">
      <c r="A2270" t="s">
        <v>4660</v>
      </c>
      <c r="B2270" t="s">
        <v>106</v>
      </c>
      <c r="C2270" t="s">
        <v>92</v>
      </c>
      <c r="D2270" t="s">
        <v>28</v>
      </c>
      <c r="E2270" t="s">
        <v>5141</v>
      </c>
      <c r="F2270" t="s">
        <v>5133</v>
      </c>
      <c r="G2270" t="s">
        <v>55</v>
      </c>
      <c r="H2270" t="s">
        <v>31</v>
      </c>
      <c r="I2270" t="str">
        <f>LEFT(H2270,FIND(" (",H2270)-1)</f>
        <v>Staff/Principal</v>
      </c>
      <c r="J2270" t="str">
        <f>MID(H2270,FIND("(",H2270)+1,FIND(")",H2270)-FIND("(",H2270)-1)</f>
        <v>8+ yrs</v>
      </c>
      <c r="L2270">
        <v>181849</v>
      </c>
      <c r="M2270" t="s">
        <v>4661</v>
      </c>
      <c r="N2270" t="s">
        <v>89</v>
      </c>
      <c r="O2270" t="s">
        <v>51</v>
      </c>
      <c r="P2270" s="1">
        <v>45638</v>
      </c>
      <c r="Q2270">
        <v>1629</v>
      </c>
      <c r="R2270">
        <v>229</v>
      </c>
      <c r="S2270" t="s">
        <v>23</v>
      </c>
      <c r="T2270">
        <v>6</v>
      </c>
      <c r="U2270" t="s">
        <v>5123</v>
      </c>
      <c r="V2270" t="s">
        <v>59</v>
      </c>
      <c r="W2270" t="s">
        <v>23</v>
      </c>
    </row>
    <row r="2271" spans="1:23" x14ac:dyDescent="0.3">
      <c r="A2271" t="s">
        <v>4662</v>
      </c>
      <c r="B2271" t="s">
        <v>172</v>
      </c>
      <c r="C2271" t="s">
        <v>226</v>
      </c>
      <c r="D2271" t="s">
        <v>38</v>
      </c>
      <c r="E2271" t="s">
        <v>64</v>
      </c>
      <c r="F2271" t="s">
        <v>65</v>
      </c>
      <c r="G2271" t="s">
        <v>41</v>
      </c>
      <c r="H2271" t="s">
        <v>31</v>
      </c>
      <c r="I2271" t="str">
        <f>LEFT(H2271,FIND(" (",H2271)-1)</f>
        <v>Staff/Principal</v>
      </c>
      <c r="J2271" t="str">
        <f>MID(H2271,FIND("(",H2271)+1,FIND(")",H2271)-FIND("(",H2271)-1)</f>
        <v>8+ yrs</v>
      </c>
      <c r="L2271">
        <v>197065</v>
      </c>
      <c r="M2271" t="s">
        <v>4663</v>
      </c>
      <c r="N2271" t="s">
        <v>43</v>
      </c>
      <c r="O2271" t="s">
        <v>22</v>
      </c>
      <c r="P2271" s="1">
        <v>45332</v>
      </c>
      <c r="Q2271">
        <v>2116</v>
      </c>
      <c r="R2271">
        <v>2538</v>
      </c>
      <c r="S2271" t="s">
        <v>23</v>
      </c>
      <c r="T2271">
        <v>6</v>
      </c>
      <c r="U2271" t="s">
        <v>45</v>
      </c>
      <c r="V2271" t="s">
        <v>59</v>
      </c>
      <c r="W2271" t="s">
        <v>23</v>
      </c>
    </row>
    <row r="2272" spans="1:23" x14ac:dyDescent="0.3">
      <c r="A2272" t="s">
        <v>4664</v>
      </c>
      <c r="B2272" t="s">
        <v>81</v>
      </c>
      <c r="C2272" t="s">
        <v>37</v>
      </c>
      <c r="D2272" t="s">
        <v>28</v>
      </c>
      <c r="E2272" t="s">
        <v>39</v>
      </c>
      <c r="F2272" t="s">
        <v>40</v>
      </c>
      <c r="G2272" t="s">
        <v>18</v>
      </c>
      <c r="H2272" t="s">
        <v>56</v>
      </c>
      <c r="I2272" t="str">
        <f>LEFT(H2272,FIND(" (",H2272)-1)</f>
        <v>Mid</v>
      </c>
      <c r="J2272" t="str">
        <f>MID(H2272,FIND("(",H2272)+1,FIND(")",H2272)-FIND("(",H2272)-1)</f>
        <v>2-5 yrs</v>
      </c>
      <c r="L2272">
        <v>116883</v>
      </c>
      <c r="M2272" t="s">
        <v>4665</v>
      </c>
      <c r="N2272" t="s">
        <v>94</v>
      </c>
      <c r="O2272" t="s">
        <v>44</v>
      </c>
      <c r="P2272" s="1">
        <v>45577</v>
      </c>
      <c r="Q2272">
        <v>624</v>
      </c>
      <c r="R2272">
        <v>3292</v>
      </c>
      <c r="S2272" t="s">
        <v>34</v>
      </c>
      <c r="T2272">
        <v>2</v>
      </c>
      <c r="U2272" t="s">
        <v>83</v>
      </c>
      <c r="V2272" t="s">
        <v>46</v>
      </c>
      <c r="W2272" t="s">
        <v>34</v>
      </c>
    </row>
    <row r="2273" spans="1:23" x14ac:dyDescent="0.3">
      <c r="A2273" t="s">
        <v>4666</v>
      </c>
      <c r="B2273" t="s">
        <v>131</v>
      </c>
      <c r="C2273" t="s">
        <v>195</v>
      </c>
      <c r="D2273" t="s">
        <v>147</v>
      </c>
      <c r="E2273" t="s">
        <v>159</v>
      </c>
      <c r="F2273" t="s">
        <v>160</v>
      </c>
      <c r="G2273" t="s">
        <v>18</v>
      </c>
      <c r="H2273" t="s">
        <v>31</v>
      </c>
      <c r="I2273" t="str">
        <f>LEFT(H2273,FIND(" (",H2273)-1)</f>
        <v>Staff/Principal</v>
      </c>
      <c r="J2273" t="str">
        <f>MID(H2273,FIND("(",H2273)+1,FIND(")",H2273)-FIND("(",H2273)-1)</f>
        <v>8+ yrs</v>
      </c>
      <c r="L2273">
        <v>182459</v>
      </c>
      <c r="M2273" t="s">
        <v>4667</v>
      </c>
      <c r="N2273" t="s">
        <v>68</v>
      </c>
      <c r="O2273" t="s">
        <v>44</v>
      </c>
      <c r="P2273" s="1">
        <v>45695</v>
      </c>
      <c r="Q2273">
        <v>1860</v>
      </c>
      <c r="R2273">
        <v>1294</v>
      </c>
      <c r="S2273" t="s">
        <v>34</v>
      </c>
      <c r="T2273">
        <v>6</v>
      </c>
      <c r="U2273" t="s">
        <v>45</v>
      </c>
      <c r="V2273" t="s">
        <v>24</v>
      </c>
      <c r="W2273" t="s">
        <v>34</v>
      </c>
    </row>
    <row r="2274" spans="1:23" x14ac:dyDescent="0.3">
      <c r="A2274" t="s">
        <v>4668</v>
      </c>
      <c r="B2274" t="s">
        <v>91</v>
      </c>
      <c r="C2274" t="s">
        <v>37</v>
      </c>
      <c r="D2274" t="s">
        <v>49</v>
      </c>
      <c r="E2274" t="s">
        <v>76</v>
      </c>
      <c r="F2274" t="s">
        <v>77</v>
      </c>
      <c r="G2274" t="s">
        <v>18</v>
      </c>
      <c r="H2274" t="s">
        <v>19</v>
      </c>
      <c r="I2274" t="str">
        <f>LEFT(H2274,FIND(" (",H2274)-1)</f>
        <v>Entry</v>
      </c>
      <c r="J2274" t="str">
        <f>MID(H2274,FIND("(",H2274)+1,FIND(")",H2274)-FIND("(",H2274)-1)</f>
        <v>0-2 yrs</v>
      </c>
      <c r="L2274">
        <v>61486</v>
      </c>
      <c r="M2274" t="s">
        <v>4669</v>
      </c>
      <c r="N2274" t="s">
        <v>149</v>
      </c>
      <c r="O2274" t="s">
        <v>22</v>
      </c>
      <c r="P2274" s="1">
        <v>45301</v>
      </c>
      <c r="Q2274">
        <v>1446</v>
      </c>
      <c r="R2274">
        <v>1031</v>
      </c>
      <c r="S2274" t="s">
        <v>23</v>
      </c>
      <c r="T2274">
        <v>0</v>
      </c>
      <c r="U2274" t="s">
        <v>52</v>
      </c>
      <c r="V2274" t="s">
        <v>24</v>
      </c>
      <c r="W2274" t="s">
        <v>23</v>
      </c>
    </row>
    <row r="2275" spans="1:23" x14ac:dyDescent="0.3">
      <c r="A2275" t="s">
        <v>4670</v>
      </c>
      <c r="B2275" t="s">
        <v>222</v>
      </c>
      <c r="C2275" t="s">
        <v>37</v>
      </c>
      <c r="D2275" t="s">
        <v>38</v>
      </c>
      <c r="E2275" t="s">
        <v>5141</v>
      </c>
      <c r="F2275" t="s">
        <v>5133</v>
      </c>
      <c r="G2275" t="s">
        <v>18</v>
      </c>
      <c r="H2275" t="s">
        <v>31</v>
      </c>
      <c r="I2275" t="str">
        <f>LEFT(H2275,FIND(" (",H2275)-1)</f>
        <v>Staff/Principal</v>
      </c>
      <c r="J2275" t="str">
        <f>MID(H2275,FIND("(",H2275)+1,FIND(")",H2275)-FIND("(",H2275)-1)</f>
        <v>8+ yrs</v>
      </c>
      <c r="L2275">
        <v>201229</v>
      </c>
      <c r="M2275" t="s">
        <v>4671</v>
      </c>
      <c r="N2275" t="s">
        <v>149</v>
      </c>
      <c r="O2275" t="s">
        <v>51</v>
      </c>
      <c r="P2275" s="1">
        <v>45343</v>
      </c>
      <c r="Q2275">
        <v>558</v>
      </c>
      <c r="R2275">
        <v>2720</v>
      </c>
      <c r="S2275" t="s">
        <v>34</v>
      </c>
      <c r="T2275">
        <v>6</v>
      </c>
      <c r="U2275" t="s">
        <v>5123</v>
      </c>
      <c r="V2275" t="s">
        <v>59</v>
      </c>
      <c r="W2275" t="s">
        <v>23</v>
      </c>
    </row>
    <row r="2276" spans="1:23" x14ac:dyDescent="0.3">
      <c r="A2276" t="s">
        <v>4672</v>
      </c>
      <c r="B2276" t="s">
        <v>225</v>
      </c>
      <c r="C2276" t="s">
        <v>107</v>
      </c>
      <c r="D2276" t="s">
        <v>49</v>
      </c>
      <c r="E2276" t="s">
        <v>39</v>
      </c>
      <c r="F2276" t="s">
        <v>40</v>
      </c>
      <c r="G2276" t="s">
        <v>55</v>
      </c>
      <c r="H2276" t="s">
        <v>31</v>
      </c>
      <c r="I2276" t="str">
        <f>LEFT(H2276,FIND(" (",H2276)-1)</f>
        <v>Staff/Principal</v>
      </c>
      <c r="J2276" t="str">
        <f>MID(H2276,FIND("(",H2276)+1,FIND(")",H2276)-FIND("(",H2276)-1)</f>
        <v>8+ yrs</v>
      </c>
      <c r="L2276">
        <v>160859</v>
      </c>
      <c r="M2276" t="s">
        <v>4673</v>
      </c>
      <c r="N2276" t="s">
        <v>186</v>
      </c>
      <c r="O2276" t="s">
        <v>79</v>
      </c>
      <c r="P2276" s="1">
        <v>45740</v>
      </c>
      <c r="Q2276">
        <v>2188</v>
      </c>
      <c r="R2276">
        <v>1137</v>
      </c>
      <c r="S2276" t="s">
        <v>23</v>
      </c>
      <c r="T2276">
        <v>6</v>
      </c>
      <c r="U2276" t="s">
        <v>5123</v>
      </c>
      <c r="V2276" t="s">
        <v>59</v>
      </c>
      <c r="W2276" t="s">
        <v>23</v>
      </c>
    </row>
    <row r="2277" spans="1:23" x14ac:dyDescent="0.3">
      <c r="A2277" t="s">
        <v>4674</v>
      </c>
      <c r="B2277" t="s">
        <v>329</v>
      </c>
      <c r="C2277" t="s">
        <v>92</v>
      </c>
      <c r="D2277" t="s">
        <v>111</v>
      </c>
      <c r="E2277" t="s">
        <v>159</v>
      </c>
      <c r="F2277" t="s">
        <v>160</v>
      </c>
      <c r="G2277" t="s">
        <v>55</v>
      </c>
      <c r="H2277" t="s">
        <v>19</v>
      </c>
      <c r="I2277" t="str">
        <f>LEFT(H2277,FIND(" (",H2277)-1)</f>
        <v>Entry</v>
      </c>
      <c r="J2277" t="str">
        <f>MID(H2277,FIND("(",H2277)+1,FIND(")",H2277)-FIND("(",H2277)-1)</f>
        <v>0-2 yrs</v>
      </c>
      <c r="L2277">
        <v>56318</v>
      </c>
      <c r="M2277" t="s">
        <v>4675</v>
      </c>
      <c r="N2277" t="s">
        <v>245</v>
      </c>
      <c r="O2277" t="s">
        <v>51</v>
      </c>
      <c r="P2277" s="1">
        <v>45295</v>
      </c>
      <c r="Q2277">
        <v>481</v>
      </c>
      <c r="R2277">
        <v>351</v>
      </c>
      <c r="S2277" t="s">
        <v>23</v>
      </c>
      <c r="T2277">
        <v>0</v>
      </c>
      <c r="U2277" t="s">
        <v>5123</v>
      </c>
      <c r="V2277" t="s">
        <v>24</v>
      </c>
      <c r="W2277" t="s">
        <v>23</v>
      </c>
    </row>
    <row r="2278" spans="1:23" x14ac:dyDescent="0.3">
      <c r="A2278" t="s">
        <v>4676</v>
      </c>
      <c r="B2278" t="s">
        <v>81</v>
      </c>
      <c r="C2278" t="s">
        <v>14</v>
      </c>
      <c r="D2278" t="s">
        <v>49</v>
      </c>
      <c r="E2278" t="s">
        <v>5139</v>
      </c>
      <c r="F2278" t="s">
        <v>5133</v>
      </c>
      <c r="G2278" t="s">
        <v>18</v>
      </c>
      <c r="H2278" t="s">
        <v>56</v>
      </c>
      <c r="I2278" t="str">
        <f>LEFT(H2278,FIND(" (",H2278)-1)</f>
        <v>Mid</v>
      </c>
      <c r="J2278" t="str">
        <f>MID(H2278,FIND("(",H2278)+1,FIND(")",H2278)-FIND("(",H2278)-1)</f>
        <v>2-5 yrs</v>
      </c>
      <c r="L2278">
        <v>123451</v>
      </c>
      <c r="M2278" t="s">
        <v>4677</v>
      </c>
      <c r="N2278" t="s">
        <v>186</v>
      </c>
      <c r="O2278" t="s">
        <v>22</v>
      </c>
      <c r="P2278" s="1">
        <v>45715</v>
      </c>
      <c r="Q2278">
        <v>1861</v>
      </c>
      <c r="R2278">
        <v>1380</v>
      </c>
      <c r="S2278" t="s">
        <v>23</v>
      </c>
      <c r="T2278">
        <v>2</v>
      </c>
      <c r="U2278" t="s">
        <v>83</v>
      </c>
      <c r="V2278" t="s">
        <v>24</v>
      </c>
      <c r="W2278" t="s">
        <v>34</v>
      </c>
    </row>
    <row r="2279" spans="1:23" x14ac:dyDescent="0.3">
      <c r="A2279" t="s">
        <v>4678</v>
      </c>
      <c r="B2279" t="s">
        <v>222</v>
      </c>
      <c r="C2279" t="s">
        <v>116</v>
      </c>
      <c r="D2279" t="s">
        <v>63</v>
      </c>
      <c r="E2279" t="s">
        <v>5136</v>
      </c>
      <c r="F2279" t="s">
        <v>5133</v>
      </c>
      <c r="G2279" t="s">
        <v>55</v>
      </c>
      <c r="H2279" t="s">
        <v>66</v>
      </c>
      <c r="I2279" t="str">
        <f>LEFT(H2279,FIND(" (",H2279)-1)</f>
        <v>Senior</v>
      </c>
      <c r="J2279" t="str">
        <f>MID(H2279,FIND("(",H2279)+1,FIND(")",H2279)-FIND("(",H2279)-1)</f>
        <v>5-8 yrs</v>
      </c>
      <c r="L2279">
        <v>118982</v>
      </c>
      <c r="M2279" t="s">
        <v>4679</v>
      </c>
      <c r="N2279" t="s">
        <v>33</v>
      </c>
      <c r="O2279" t="s">
        <v>22</v>
      </c>
      <c r="P2279" s="1">
        <v>45430</v>
      </c>
      <c r="Q2279">
        <v>426</v>
      </c>
      <c r="R2279">
        <v>3230</v>
      </c>
      <c r="S2279" t="s">
        <v>34</v>
      </c>
      <c r="T2279">
        <v>4</v>
      </c>
      <c r="U2279" t="s">
        <v>45</v>
      </c>
      <c r="V2279" t="s">
        <v>24</v>
      </c>
      <c r="W2279" t="s">
        <v>34</v>
      </c>
    </row>
    <row r="2280" spans="1:23" x14ac:dyDescent="0.3">
      <c r="A2280" t="s">
        <v>4680</v>
      </c>
      <c r="B2280" t="s">
        <v>236</v>
      </c>
      <c r="C2280" t="s">
        <v>192</v>
      </c>
      <c r="D2280" t="s">
        <v>147</v>
      </c>
      <c r="E2280" t="s">
        <v>5136</v>
      </c>
      <c r="F2280" t="s">
        <v>5133</v>
      </c>
      <c r="G2280" t="s">
        <v>41</v>
      </c>
      <c r="H2280" t="s">
        <v>56</v>
      </c>
      <c r="I2280" t="str">
        <f>LEFT(H2280,FIND(" (",H2280)-1)</f>
        <v>Mid</v>
      </c>
      <c r="J2280" t="str">
        <f>MID(H2280,FIND("(",H2280)+1,FIND(")",H2280)-FIND("(",H2280)-1)</f>
        <v>2-5 yrs</v>
      </c>
      <c r="L2280">
        <v>123192</v>
      </c>
      <c r="M2280" t="s">
        <v>4681</v>
      </c>
      <c r="N2280" t="s">
        <v>68</v>
      </c>
      <c r="O2280" t="s">
        <v>51</v>
      </c>
      <c r="P2280" s="1">
        <v>45584</v>
      </c>
      <c r="Q2280">
        <v>1080</v>
      </c>
      <c r="R2280">
        <v>3282</v>
      </c>
      <c r="S2280" t="s">
        <v>99</v>
      </c>
      <c r="T2280">
        <v>2</v>
      </c>
      <c r="U2280" t="s">
        <v>45</v>
      </c>
      <c r="V2280" t="s">
        <v>59</v>
      </c>
      <c r="W2280" t="s">
        <v>23</v>
      </c>
    </row>
    <row r="2281" spans="1:23" x14ac:dyDescent="0.3">
      <c r="A2281" t="s">
        <v>4682</v>
      </c>
      <c r="B2281" t="s">
        <v>96</v>
      </c>
      <c r="C2281" t="s">
        <v>192</v>
      </c>
      <c r="D2281" t="s">
        <v>174</v>
      </c>
      <c r="E2281" t="s">
        <v>216</v>
      </c>
      <c r="F2281" t="s">
        <v>217</v>
      </c>
      <c r="G2281" t="s">
        <v>18</v>
      </c>
      <c r="H2281" t="s">
        <v>31</v>
      </c>
      <c r="I2281" t="str">
        <f>LEFT(H2281,FIND(" (",H2281)-1)</f>
        <v>Staff/Principal</v>
      </c>
      <c r="J2281" t="str">
        <f>MID(H2281,FIND("(",H2281)+1,FIND(")",H2281)-FIND("(",H2281)-1)</f>
        <v>8+ yrs</v>
      </c>
      <c r="L2281">
        <v>216653</v>
      </c>
      <c r="M2281" t="s">
        <v>4683</v>
      </c>
      <c r="N2281" t="s">
        <v>43</v>
      </c>
      <c r="O2281" t="s">
        <v>22</v>
      </c>
      <c r="P2281" s="1">
        <v>45317</v>
      </c>
      <c r="Q2281">
        <v>1419</v>
      </c>
      <c r="R2281">
        <v>702</v>
      </c>
      <c r="S2281" t="s">
        <v>34</v>
      </c>
      <c r="T2281">
        <v>6</v>
      </c>
      <c r="U2281" t="s">
        <v>58</v>
      </c>
      <c r="V2281" t="s">
        <v>59</v>
      </c>
      <c r="W2281" t="s">
        <v>23</v>
      </c>
    </row>
    <row r="2282" spans="1:23" x14ac:dyDescent="0.3">
      <c r="A2282" t="s">
        <v>4684</v>
      </c>
      <c r="B2282" t="s">
        <v>137</v>
      </c>
      <c r="C2282" t="s">
        <v>101</v>
      </c>
      <c r="D2282" t="s">
        <v>49</v>
      </c>
      <c r="E2282" t="s">
        <v>76</v>
      </c>
      <c r="F2282" t="s">
        <v>77</v>
      </c>
      <c r="G2282" t="s">
        <v>18</v>
      </c>
      <c r="H2282" t="s">
        <v>66</v>
      </c>
      <c r="I2282" t="str">
        <f>LEFT(H2282,FIND(" (",H2282)-1)</f>
        <v>Senior</v>
      </c>
      <c r="J2282" t="str">
        <f>MID(H2282,FIND("(",H2282)+1,FIND(")",H2282)-FIND("(",H2282)-1)</f>
        <v>5-8 yrs</v>
      </c>
      <c r="L2282">
        <v>103403</v>
      </c>
      <c r="M2282" t="s">
        <v>4685</v>
      </c>
      <c r="N2282" t="s">
        <v>89</v>
      </c>
      <c r="O2282" t="s">
        <v>51</v>
      </c>
      <c r="P2282" s="1">
        <v>45348</v>
      </c>
      <c r="Q2282">
        <v>697</v>
      </c>
      <c r="R2282">
        <v>1577</v>
      </c>
      <c r="S2282" t="s">
        <v>34</v>
      </c>
      <c r="T2282">
        <v>4</v>
      </c>
      <c r="U2282" t="s">
        <v>83</v>
      </c>
      <c r="V2282" t="s">
        <v>24</v>
      </c>
      <c r="W2282" t="s">
        <v>34</v>
      </c>
    </row>
    <row r="2283" spans="1:23" x14ac:dyDescent="0.3">
      <c r="A2283" t="s">
        <v>4686</v>
      </c>
      <c r="B2283" t="s">
        <v>96</v>
      </c>
      <c r="C2283" t="s">
        <v>173</v>
      </c>
      <c r="D2283" t="s">
        <v>28</v>
      </c>
      <c r="E2283" t="s">
        <v>5141</v>
      </c>
      <c r="F2283" t="s">
        <v>5133</v>
      </c>
      <c r="G2283" t="s">
        <v>55</v>
      </c>
      <c r="H2283" t="s">
        <v>66</v>
      </c>
      <c r="I2283" t="str">
        <f>LEFT(H2283,FIND(" (",H2283)-1)</f>
        <v>Senior</v>
      </c>
      <c r="J2283" t="str">
        <f>MID(H2283,FIND("(",H2283)+1,FIND(")",H2283)-FIND("(",H2283)-1)</f>
        <v>5-8 yrs</v>
      </c>
      <c r="L2283">
        <v>131705</v>
      </c>
      <c r="M2283" t="s">
        <v>4687</v>
      </c>
      <c r="N2283" t="s">
        <v>33</v>
      </c>
      <c r="O2283" t="s">
        <v>44</v>
      </c>
      <c r="P2283" s="1">
        <v>45313</v>
      </c>
      <c r="Q2283">
        <v>674</v>
      </c>
      <c r="R2283">
        <v>3705</v>
      </c>
      <c r="S2283" t="s">
        <v>23</v>
      </c>
      <c r="T2283">
        <v>4</v>
      </c>
      <c r="U2283" t="s">
        <v>45</v>
      </c>
      <c r="V2283" t="s">
        <v>59</v>
      </c>
      <c r="W2283" t="s">
        <v>23</v>
      </c>
    </row>
    <row r="2284" spans="1:23" x14ac:dyDescent="0.3">
      <c r="A2284" t="s">
        <v>4688</v>
      </c>
      <c r="B2284" t="s">
        <v>36</v>
      </c>
      <c r="C2284" t="s">
        <v>128</v>
      </c>
      <c r="D2284" t="s">
        <v>15</v>
      </c>
      <c r="E2284" t="s">
        <v>5134</v>
      </c>
      <c r="F2284" t="s">
        <v>5133</v>
      </c>
      <c r="G2284" t="s">
        <v>41</v>
      </c>
      <c r="H2284" t="s">
        <v>56</v>
      </c>
      <c r="I2284" t="str">
        <f>LEFT(H2284,FIND(" (",H2284)-1)</f>
        <v>Mid</v>
      </c>
      <c r="J2284" t="str">
        <f>MID(H2284,FIND("(",H2284)+1,FIND(")",H2284)-FIND("(",H2284)-1)</f>
        <v>2-5 yrs</v>
      </c>
      <c r="L2284">
        <v>133643</v>
      </c>
      <c r="M2284" t="s">
        <v>1668</v>
      </c>
      <c r="N2284" t="s">
        <v>33</v>
      </c>
      <c r="O2284" t="s">
        <v>22</v>
      </c>
      <c r="P2284" s="1">
        <v>45614</v>
      </c>
      <c r="Q2284">
        <v>807</v>
      </c>
      <c r="R2284">
        <v>941</v>
      </c>
      <c r="S2284" t="s">
        <v>23</v>
      </c>
      <c r="T2284">
        <v>2</v>
      </c>
      <c r="U2284" t="s">
        <v>83</v>
      </c>
      <c r="V2284" t="s">
        <v>24</v>
      </c>
      <c r="W2284" t="s">
        <v>23</v>
      </c>
    </row>
    <row r="2285" spans="1:23" x14ac:dyDescent="0.3">
      <c r="A2285" t="s">
        <v>4689</v>
      </c>
      <c r="B2285" t="s">
        <v>222</v>
      </c>
      <c r="C2285" t="s">
        <v>48</v>
      </c>
      <c r="D2285" t="s">
        <v>75</v>
      </c>
      <c r="E2285" t="s">
        <v>76</v>
      </c>
      <c r="F2285" t="s">
        <v>77</v>
      </c>
      <c r="G2285" t="s">
        <v>18</v>
      </c>
      <c r="H2285" t="s">
        <v>31</v>
      </c>
      <c r="I2285" t="str">
        <f>LEFT(H2285,FIND(" (",H2285)-1)</f>
        <v>Staff/Principal</v>
      </c>
      <c r="J2285" t="str">
        <f>MID(H2285,FIND("(",H2285)+1,FIND(")",H2285)-FIND("(",H2285)-1)</f>
        <v>8+ yrs</v>
      </c>
      <c r="L2285">
        <v>164678</v>
      </c>
      <c r="M2285" t="s">
        <v>4690</v>
      </c>
      <c r="N2285" t="s">
        <v>33</v>
      </c>
      <c r="O2285" t="s">
        <v>22</v>
      </c>
      <c r="P2285" s="1">
        <v>45608</v>
      </c>
      <c r="Q2285">
        <v>913</v>
      </c>
      <c r="R2285">
        <v>3590</v>
      </c>
      <c r="S2285" t="s">
        <v>99</v>
      </c>
      <c r="T2285">
        <v>6</v>
      </c>
      <c r="U2285" t="s">
        <v>5123</v>
      </c>
      <c r="V2285" t="s">
        <v>24</v>
      </c>
      <c r="W2285" t="s">
        <v>34</v>
      </c>
    </row>
    <row r="2286" spans="1:23" x14ac:dyDescent="0.3">
      <c r="A2286" t="s">
        <v>4691</v>
      </c>
      <c r="B2286" t="s">
        <v>26</v>
      </c>
      <c r="C2286" t="s">
        <v>48</v>
      </c>
      <c r="D2286" t="s">
        <v>38</v>
      </c>
      <c r="E2286" t="s">
        <v>39</v>
      </c>
      <c r="F2286" t="s">
        <v>40</v>
      </c>
      <c r="G2286" t="s">
        <v>41</v>
      </c>
      <c r="H2286" t="s">
        <v>19</v>
      </c>
      <c r="I2286" t="str">
        <f>LEFT(H2286,FIND(" (",H2286)-1)</f>
        <v>Entry</v>
      </c>
      <c r="J2286" t="str">
        <f>MID(H2286,FIND("(",H2286)+1,FIND(")",H2286)-FIND("(",H2286)-1)</f>
        <v>0-2 yrs</v>
      </c>
      <c r="L2286">
        <v>64148</v>
      </c>
      <c r="M2286" t="s">
        <v>4692</v>
      </c>
      <c r="N2286" t="s">
        <v>68</v>
      </c>
      <c r="O2286" t="s">
        <v>51</v>
      </c>
      <c r="P2286" s="1">
        <v>45314</v>
      </c>
      <c r="Q2286">
        <v>2214</v>
      </c>
      <c r="R2286">
        <v>1613</v>
      </c>
      <c r="S2286" t="s">
        <v>23</v>
      </c>
      <c r="T2286">
        <v>0</v>
      </c>
      <c r="U2286" t="s">
        <v>5123</v>
      </c>
      <c r="V2286" t="s">
        <v>24</v>
      </c>
      <c r="W2286" t="s">
        <v>34</v>
      </c>
    </row>
    <row r="2287" spans="1:23" x14ac:dyDescent="0.3">
      <c r="A2287" t="s">
        <v>4693</v>
      </c>
      <c r="B2287" t="s">
        <v>13</v>
      </c>
      <c r="C2287" t="s">
        <v>101</v>
      </c>
      <c r="D2287" t="s">
        <v>75</v>
      </c>
      <c r="E2287" t="s">
        <v>5136</v>
      </c>
      <c r="F2287" t="s">
        <v>5133</v>
      </c>
      <c r="G2287" t="s">
        <v>18</v>
      </c>
      <c r="H2287" t="s">
        <v>31</v>
      </c>
      <c r="I2287" t="str">
        <f>LEFT(H2287,FIND(" (",H2287)-1)</f>
        <v>Staff/Principal</v>
      </c>
      <c r="J2287" t="str">
        <f>MID(H2287,FIND("(",H2287)+1,FIND(")",H2287)-FIND("(",H2287)-1)</f>
        <v>8+ yrs</v>
      </c>
      <c r="L2287">
        <v>216634</v>
      </c>
      <c r="M2287" t="s">
        <v>4694</v>
      </c>
      <c r="N2287" t="s">
        <v>33</v>
      </c>
      <c r="O2287" t="s">
        <v>44</v>
      </c>
      <c r="P2287" s="1">
        <v>45306</v>
      </c>
      <c r="Q2287">
        <v>322</v>
      </c>
      <c r="R2287">
        <v>3692</v>
      </c>
      <c r="S2287" t="s">
        <v>23</v>
      </c>
      <c r="T2287">
        <v>6</v>
      </c>
      <c r="U2287" t="s">
        <v>58</v>
      </c>
      <c r="V2287" t="s">
        <v>24</v>
      </c>
      <c r="W2287" t="s">
        <v>34</v>
      </c>
    </row>
    <row r="2288" spans="1:23" x14ac:dyDescent="0.3">
      <c r="A2288" t="s">
        <v>4695</v>
      </c>
      <c r="B2288" t="s">
        <v>81</v>
      </c>
      <c r="C2288" t="s">
        <v>195</v>
      </c>
      <c r="D2288" t="s">
        <v>125</v>
      </c>
      <c r="E2288" t="s">
        <v>5141</v>
      </c>
      <c r="F2288" t="s">
        <v>5133</v>
      </c>
      <c r="G2288" t="s">
        <v>41</v>
      </c>
      <c r="H2288" t="s">
        <v>66</v>
      </c>
      <c r="I2288" t="str">
        <f>LEFT(H2288,FIND(" (",H2288)-1)</f>
        <v>Senior</v>
      </c>
      <c r="J2288" t="str">
        <f>MID(H2288,FIND("(",H2288)+1,FIND(")",H2288)-FIND("(",H2288)-1)</f>
        <v>5-8 yrs</v>
      </c>
      <c r="L2288">
        <v>171151</v>
      </c>
      <c r="M2288" t="s">
        <v>4696</v>
      </c>
      <c r="N2288" t="s">
        <v>149</v>
      </c>
      <c r="O2288" t="s">
        <v>44</v>
      </c>
      <c r="P2288" s="1">
        <v>45344</v>
      </c>
      <c r="Q2288">
        <v>1024</v>
      </c>
      <c r="R2288">
        <v>2276</v>
      </c>
      <c r="S2288" t="s">
        <v>23</v>
      </c>
      <c r="T2288">
        <v>4</v>
      </c>
      <c r="U2288" t="s">
        <v>45</v>
      </c>
      <c r="V2288" t="s">
        <v>24</v>
      </c>
      <c r="W2288" t="s">
        <v>34</v>
      </c>
    </row>
    <row r="2289" spans="1:23" x14ac:dyDescent="0.3">
      <c r="A2289" t="s">
        <v>4697</v>
      </c>
      <c r="B2289" t="s">
        <v>106</v>
      </c>
      <c r="C2289" t="s">
        <v>204</v>
      </c>
      <c r="D2289" t="s">
        <v>147</v>
      </c>
      <c r="E2289" t="s">
        <v>200</v>
      </c>
      <c r="F2289" t="s">
        <v>201</v>
      </c>
      <c r="G2289" t="s">
        <v>41</v>
      </c>
      <c r="H2289" t="s">
        <v>19</v>
      </c>
      <c r="I2289" t="str">
        <f>LEFT(H2289,FIND(" (",H2289)-1)</f>
        <v>Entry</v>
      </c>
      <c r="J2289" t="str">
        <f>MID(H2289,FIND("(",H2289)+1,FIND(")",H2289)-FIND("(",H2289)-1)</f>
        <v>0-2 yrs</v>
      </c>
      <c r="L2289">
        <v>66830</v>
      </c>
      <c r="M2289" t="s">
        <v>4698</v>
      </c>
      <c r="N2289" t="s">
        <v>245</v>
      </c>
      <c r="O2289" t="s">
        <v>79</v>
      </c>
      <c r="P2289" s="1">
        <v>45348</v>
      </c>
      <c r="Q2289">
        <v>2199</v>
      </c>
      <c r="R2289">
        <v>3743</v>
      </c>
      <c r="S2289" t="s">
        <v>99</v>
      </c>
      <c r="T2289">
        <v>0</v>
      </c>
      <c r="U2289" t="s">
        <v>5123</v>
      </c>
      <c r="V2289" t="s">
        <v>59</v>
      </c>
      <c r="W2289" t="s">
        <v>23</v>
      </c>
    </row>
    <row r="2290" spans="1:23" x14ac:dyDescent="0.3">
      <c r="A2290" t="s">
        <v>4699</v>
      </c>
      <c r="B2290" t="s">
        <v>13</v>
      </c>
      <c r="C2290" t="s">
        <v>54</v>
      </c>
      <c r="D2290" t="s">
        <v>111</v>
      </c>
      <c r="E2290" t="s">
        <v>5135</v>
      </c>
      <c r="F2290" t="s">
        <v>5133</v>
      </c>
      <c r="G2290" t="s">
        <v>18</v>
      </c>
      <c r="H2290" t="s">
        <v>56</v>
      </c>
      <c r="I2290" t="str">
        <f>LEFT(H2290,FIND(" (",H2290)-1)</f>
        <v>Mid</v>
      </c>
      <c r="J2290" t="str">
        <f>MID(H2290,FIND("(",H2290)+1,FIND(")",H2290)-FIND("(",H2290)-1)</f>
        <v>2-5 yrs</v>
      </c>
      <c r="L2290">
        <v>98169</v>
      </c>
      <c r="M2290" t="s">
        <v>4700</v>
      </c>
      <c r="N2290" t="s">
        <v>33</v>
      </c>
      <c r="O2290" t="s">
        <v>44</v>
      </c>
      <c r="P2290" s="1">
        <v>45591</v>
      </c>
      <c r="Q2290">
        <v>2484</v>
      </c>
      <c r="R2290">
        <v>3534</v>
      </c>
      <c r="S2290" t="s">
        <v>23</v>
      </c>
      <c r="T2290">
        <v>2</v>
      </c>
      <c r="U2290" t="s">
        <v>5123</v>
      </c>
      <c r="V2290" t="s">
        <v>24</v>
      </c>
      <c r="W2290" t="s">
        <v>23</v>
      </c>
    </row>
    <row r="2291" spans="1:23" x14ac:dyDescent="0.3">
      <c r="A2291" t="s">
        <v>4701</v>
      </c>
      <c r="B2291" t="s">
        <v>236</v>
      </c>
      <c r="C2291" t="s">
        <v>116</v>
      </c>
      <c r="D2291" t="s">
        <v>15</v>
      </c>
      <c r="E2291" t="s">
        <v>64</v>
      </c>
      <c r="F2291" t="s">
        <v>65</v>
      </c>
      <c r="G2291" t="s">
        <v>18</v>
      </c>
      <c r="H2291" t="s">
        <v>31</v>
      </c>
      <c r="I2291" t="str">
        <f>LEFT(H2291,FIND(" (",H2291)-1)</f>
        <v>Staff/Principal</v>
      </c>
      <c r="J2291" t="str">
        <f>MID(H2291,FIND("(",H2291)+1,FIND(")",H2291)-FIND("(",H2291)-1)</f>
        <v>8+ yrs</v>
      </c>
      <c r="L2291">
        <v>251205</v>
      </c>
      <c r="M2291" t="s">
        <v>4702</v>
      </c>
      <c r="N2291" t="s">
        <v>89</v>
      </c>
      <c r="O2291" t="s">
        <v>44</v>
      </c>
      <c r="P2291" s="1">
        <v>45402</v>
      </c>
      <c r="Q2291">
        <v>1952</v>
      </c>
      <c r="R2291">
        <v>3593</v>
      </c>
      <c r="S2291" t="s">
        <v>23</v>
      </c>
      <c r="T2291">
        <v>6</v>
      </c>
      <c r="U2291" t="s">
        <v>5123</v>
      </c>
      <c r="V2291" t="s">
        <v>59</v>
      </c>
      <c r="W2291" t="s">
        <v>34</v>
      </c>
    </row>
    <row r="2292" spans="1:23" x14ac:dyDescent="0.3">
      <c r="A2292" t="s">
        <v>4703</v>
      </c>
      <c r="B2292" t="s">
        <v>91</v>
      </c>
      <c r="C2292" t="s">
        <v>86</v>
      </c>
      <c r="D2292" t="s">
        <v>147</v>
      </c>
      <c r="E2292" t="s">
        <v>5135</v>
      </c>
      <c r="F2292" t="s">
        <v>5133</v>
      </c>
      <c r="G2292" t="s">
        <v>18</v>
      </c>
      <c r="H2292" t="s">
        <v>31</v>
      </c>
      <c r="I2292" t="str">
        <f>LEFT(H2292,FIND(" (",H2292)-1)</f>
        <v>Staff/Principal</v>
      </c>
      <c r="J2292" t="str">
        <f>MID(H2292,FIND("(",H2292)+1,FIND(")",H2292)-FIND("(",H2292)-1)</f>
        <v>8+ yrs</v>
      </c>
      <c r="L2292">
        <v>262600</v>
      </c>
      <c r="M2292" t="s">
        <v>4704</v>
      </c>
      <c r="N2292" t="s">
        <v>89</v>
      </c>
      <c r="O2292" t="s">
        <v>44</v>
      </c>
      <c r="P2292" s="1">
        <v>45482</v>
      </c>
      <c r="Q2292">
        <v>2084</v>
      </c>
      <c r="R2292">
        <v>2898</v>
      </c>
      <c r="S2292" t="s">
        <v>23</v>
      </c>
      <c r="T2292">
        <v>6</v>
      </c>
      <c r="U2292" t="s">
        <v>83</v>
      </c>
      <c r="V2292" t="s">
        <v>24</v>
      </c>
      <c r="W2292" t="s">
        <v>23</v>
      </c>
    </row>
    <row r="2293" spans="1:23" x14ac:dyDescent="0.3">
      <c r="A2293" t="s">
        <v>4705</v>
      </c>
      <c r="B2293" t="s">
        <v>225</v>
      </c>
      <c r="C2293" t="s">
        <v>204</v>
      </c>
      <c r="D2293" t="s">
        <v>125</v>
      </c>
      <c r="E2293" t="s">
        <v>87</v>
      </c>
      <c r="F2293" t="s">
        <v>87</v>
      </c>
      <c r="G2293" t="s">
        <v>18</v>
      </c>
      <c r="H2293" t="s">
        <v>31</v>
      </c>
      <c r="I2293" t="str">
        <f>LEFT(H2293,FIND(" (",H2293)-1)</f>
        <v>Staff/Principal</v>
      </c>
      <c r="J2293" t="str">
        <f>MID(H2293,FIND("(",H2293)+1,FIND(")",H2293)-FIND("(",H2293)-1)</f>
        <v>8+ yrs</v>
      </c>
      <c r="L2293">
        <v>235238</v>
      </c>
      <c r="M2293" t="s">
        <v>4706</v>
      </c>
      <c r="N2293" t="s">
        <v>89</v>
      </c>
      <c r="O2293" t="s">
        <v>44</v>
      </c>
      <c r="P2293" s="1">
        <v>45319</v>
      </c>
      <c r="Q2293">
        <v>906</v>
      </c>
      <c r="R2293">
        <v>738</v>
      </c>
      <c r="S2293" t="s">
        <v>23</v>
      </c>
      <c r="T2293">
        <v>6</v>
      </c>
      <c r="U2293" t="s">
        <v>45</v>
      </c>
      <c r="V2293" t="s">
        <v>24</v>
      </c>
      <c r="W2293" t="s">
        <v>23</v>
      </c>
    </row>
    <row r="2294" spans="1:23" x14ac:dyDescent="0.3">
      <c r="A2294" t="s">
        <v>4707</v>
      </c>
      <c r="B2294" t="s">
        <v>151</v>
      </c>
      <c r="C2294" t="s">
        <v>116</v>
      </c>
      <c r="D2294" t="s">
        <v>75</v>
      </c>
      <c r="E2294" t="s">
        <v>216</v>
      </c>
      <c r="F2294" t="s">
        <v>217</v>
      </c>
      <c r="G2294" t="s">
        <v>18</v>
      </c>
      <c r="H2294" t="s">
        <v>31</v>
      </c>
      <c r="I2294" t="str">
        <f>LEFT(H2294,FIND(" (",H2294)-1)</f>
        <v>Staff/Principal</v>
      </c>
      <c r="J2294" t="str">
        <f>MID(H2294,FIND("(",H2294)+1,FIND(")",H2294)-FIND("(",H2294)-1)</f>
        <v>8+ yrs</v>
      </c>
      <c r="L2294">
        <v>203071</v>
      </c>
      <c r="M2294" t="s">
        <v>4708</v>
      </c>
      <c r="N2294" t="s">
        <v>149</v>
      </c>
      <c r="O2294" t="s">
        <v>79</v>
      </c>
      <c r="P2294" s="1">
        <v>45605</v>
      </c>
      <c r="Q2294">
        <v>1477</v>
      </c>
      <c r="R2294">
        <v>3663</v>
      </c>
      <c r="S2294" t="s">
        <v>34</v>
      </c>
      <c r="T2294">
        <v>6</v>
      </c>
      <c r="U2294" t="s">
        <v>5123</v>
      </c>
      <c r="V2294" t="s">
        <v>46</v>
      </c>
      <c r="W2294" t="s">
        <v>23</v>
      </c>
    </row>
    <row r="2295" spans="1:23" x14ac:dyDescent="0.3">
      <c r="A2295" t="s">
        <v>4709</v>
      </c>
      <c r="B2295" t="s">
        <v>329</v>
      </c>
      <c r="C2295" t="s">
        <v>92</v>
      </c>
      <c r="D2295" t="s">
        <v>15</v>
      </c>
      <c r="E2295" t="s">
        <v>5132</v>
      </c>
      <c r="F2295" t="s">
        <v>5133</v>
      </c>
      <c r="G2295" t="s">
        <v>41</v>
      </c>
      <c r="H2295" t="s">
        <v>31</v>
      </c>
      <c r="I2295" t="str">
        <f>LEFT(H2295,FIND(" (",H2295)-1)</f>
        <v>Staff/Principal</v>
      </c>
      <c r="J2295" t="str">
        <f>MID(H2295,FIND("(",H2295)+1,FIND(")",H2295)-FIND("(",H2295)-1)</f>
        <v>8+ yrs</v>
      </c>
      <c r="L2295">
        <v>170902</v>
      </c>
      <c r="M2295" t="s">
        <v>4710</v>
      </c>
      <c r="N2295" t="s">
        <v>33</v>
      </c>
      <c r="O2295" t="s">
        <v>44</v>
      </c>
      <c r="P2295" s="1">
        <v>45555</v>
      </c>
      <c r="Q2295">
        <v>1433</v>
      </c>
      <c r="R2295">
        <v>1773</v>
      </c>
      <c r="S2295" t="s">
        <v>34</v>
      </c>
      <c r="T2295">
        <v>6</v>
      </c>
      <c r="U2295" t="s">
        <v>45</v>
      </c>
      <c r="V2295" t="s">
        <v>59</v>
      </c>
      <c r="W2295" t="s">
        <v>23</v>
      </c>
    </row>
    <row r="2296" spans="1:23" x14ac:dyDescent="0.3">
      <c r="A2296" t="s">
        <v>4711</v>
      </c>
      <c r="B2296" t="s">
        <v>151</v>
      </c>
      <c r="C2296" t="s">
        <v>146</v>
      </c>
      <c r="D2296" t="s">
        <v>111</v>
      </c>
      <c r="E2296" t="s">
        <v>5135</v>
      </c>
      <c r="F2296" t="s">
        <v>5133</v>
      </c>
      <c r="G2296" t="s">
        <v>18</v>
      </c>
      <c r="H2296" t="s">
        <v>31</v>
      </c>
      <c r="I2296" t="str">
        <f>LEFT(H2296,FIND(" (",H2296)-1)</f>
        <v>Staff/Principal</v>
      </c>
      <c r="J2296" t="str">
        <f>MID(H2296,FIND("(",H2296)+1,FIND(")",H2296)-FIND("(",H2296)-1)</f>
        <v>8+ yrs</v>
      </c>
      <c r="L2296">
        <v>170104</v>
      </c>
      <c r="M2296" t="s">
        <v>4712</v>
      </c>
      <c r="N2296" t="s">
        <v>120</v>
      </c>
      <c r="O2296" t="s">
        <v>79</v>
      </c>
      <c r="P2296" s="1">
        <v>45581</v>
      </c>
      <c r="Q2296">
        <v>1589</v>
      </c>
      <c r="R2296">
        <v>3072</v>
      </c>
      <c r="S2296" t="s">
        <v>23</v>
      </c>
      <c r="T2296">
        <v>6</v>
      </c>
      <c r="U2296" t="s">
        <v>52</v>
      </c>
      <c r="V2296" t="s">
        <v>24</v>
      </c>
      <c r="W2296" t="s">
        <v>23</v>
      </c>
    </row>
    <row r="2297" spans="1:23" x14ac:dyDescent="0.3">
      <c r="A2297" t="s">
        <v>4713</v>
      </c>
      <c r="B2297" t="s">
        <v>61</v>
      </c>
      <c r="C2297" t="s">
        <v>71</v>
      </c>
      <c r="D2297" t="s">
        <v>15</v>
      </c>
      <c r="E2297" t="s">
        <v>76</v>
      </c>
      <c r="F2297" t="s">
        <v>77</v>
      </c>
      <c r="G2297" t="s">
        <v>41</v>
      </c>
      <c r="H2297" t="s">
        <v>31</v>
      </c>
      <c r="I2297" t="str">
        <f>LEFT(H2297,FIND(" (",H2297)-1)</f>
        <v>Staff/Principal</v>
      </c>
      <c r="J2297" t="str">
        <f>MID(H2297,FIND("(",H2297)+1,FIND(")",H2297)-FIND("(",H2297)-1)</f>
        <v>8+ yrs</v>
      </c>
      <c r="L2297">
        <v>218810</v>
      </c>
      <c r="M2297" t="s">
        <v>4714</v>
      </c>
      <c r="N2297" t="s">
        <v>33</v>
      </c>
      <c r="O2297" t="s">
        <v>51</v>
      </c>
      <c r="P2297" s="1">
        <v>45373</v>
      </c>
      <c r="Q2297">
        <v>504</v>
      </c>
      <c r="R2297">
        <v>3684</v>
      </c>
      <c r="S2297" t="s">
        <v>99</v>
      </c>
      <c r="T2297">
        <v>6</v>
      </c>
      <c r="U2297" t="s">
        <v>83</v>
      </c>
      <c r="V2297" t="s">
        <v>24</v>
      </c>
      <c r="W2297" t="s">
        <v>23</v>
      </c>
    </row>
    <row r="2298" spans="1:23" x14ac:dyDescent="0.3">
      <c r="A2298" t="s">
        <v>4715</v>
      </c>
      <c r="B2298" t="s">
        <v>96</v>
      </c>
      <c r="C2298" t="s">
        <v>62</v>
      </c>
      <c r="D2298" t="s">
        <v>125</v>
      </c>
      <c r="E2298" t="s">
        <v>230</v>
      </c>
      <c r="F2298" t="s">
        <v>231</v>
      </c>
      <c r="G2298" t="s">
        <v>41</v>
      </c>
      <c r="H2298" t="s">
        <v>66</v>
      </c>
      <c r="I2298" t="str">
        <f>LEFT(H2298,FIND(" (",H2298)-1)</f>
        <v>Senior</v>
      </c>
      <c r="J2298" t="str">
        <f>MID(H2298,FIND("(",H2298)+1,FIND(")",H2298)-FIND("(",H2298)-1)</f>
        <v>5-8 yrs</v>
      </c>
      <c r="L2298">
        <v>161296</v>
      </c>
      <c r="M2298" t="s">
        <v>4716</v>
      </c>
      <c r="N2298" t="s">
        <v>68</v>
      </c>
      <c r="O2298" t="s">
        <v>51</v>
      </c>
      <c r="P2298" s="1">
        <v>45569</v>
      </c>
      <c r="Q2298">
        <v>310</v>
      </c>
      <c r="R2298">
        <v>1830</v>
      </c>
      <c r="S2298" t="s">
        <v>34</v>
      </c>
      <c r="T2298">
        <v>4</v>
      </c>
      <c r="U2298" t="s">
        <v>45</v>
      </c>
      <c r="V2298" t="s">
        <v>24</v>
      </c>
      <c r="W2298" t="s">
        <v>34</v>
      </c>
    </row>
    <row r="2299" spans="1:23" x14ac:dyDescent="0.3">
      <c r="A2299" t="s">
        <v>4717</v>
      </c>
      <c r="B2299" t="s">
        <v>61</v>
      </c>
      <c r="C2299" t="s">
        <v>110</v>
      </c>
      <c r="D2299" t="s">
        <v>49</v>
      </c>
      <c r="E2299" t="s">
        <v>5136</v>
      </c>
      <c r="F2299" t="s">
        <v>5133</v>
      </c>
      <c r="G2299" t="s">
        <v>18</v>
      </c>
      <c r="H2299" t="s">
        <v>66</v>
      </c>
      <c r="I2299" t="str">
        <f>LEFT(H2299,FIND(" (",H2299)-1)</f>
        <v>Senior</v>
      </c>
      <c r="J2299" t="str">
        <f>MID(H2299,FIND("(",H2299)+1,FIND(")",H2299)-FIND("(",H2299)-1)</f>
        <v>5-8 yrs</v>
      </c>
      <c r="L2299">
        <v>187843</v>
      </c>
      <c r="M2299" t="s">
        <v>4718</v>
      </c>
      <c r="N2299" t="s">
        <v>89</v>
      </c>
      <c r="O2299" t="s">
        <v>44</v>
      </c>
      <c r="P2299" s="1">
        <v>45481</v>
      </c>
      <c r="Q2299">
        <v>2389</v>
      </c>
      <c r="R2299">
        <v>1951</v>
      </c>
      <c r="S2299" t="s">
        <v>23</v>
      </c>
      <c r="T2299">
        <v>4</v>
      </c>
      <c r="U2299" t="s">
        <v>45</v>
      </c>
      <c r="V2299" t="s">
        <v>24</v>
      </c>
      <c r="W2299" t="s">
        <v>34</v>
      </c>
    </row>
    <row r="2300" spans="1:23" x14ac:dyDescent="0.3">
      <c r="A2300" t="s">
        <v>4719</v>
      </c>
      <c r="B2300" t="s">
        <v>106</v>
      </c>
      <c r="C2300" t="s">
        <v>192</v>
      </c>
      <c r="D2300" t="s">
        <v>28</v>
      </c>
      <c r="E2300" t="s">
        <v>76</v>
      </c>
      <c r="F2300" t="s">
        <v>77</v>
      </c>
      <c r="G2300" t="s">
        <v>41</v>
      </c>
      <c r="H2300" t="s">
        <v>19</v>
      </c>
      <c r="I2300" t="str">
        <f>LEFT(H2300,FIND(" (",H2300)-1)</f>
        <v>Entry</v>
      </c>
      <c r="J2300" t="str">
        <f>MID(H2300,FIND("(",H2300)+1,FIND(")",H2300)-FIND("(",H2300)-1)</f>
        <v>0-2 yrs</v>
      </c>
      <c r="L2300">
        <v>78195</v>
      </c>
      <c r="M2300" t="s">
        <v>4720</v>
      </c>
      <c r="N2300" t="s">
        <v>186</v>
      </c>
      <c r="O2300" t="s">
        <v>51</v>
      </c>
      <c r="P2300" s="1">
        <v>45336</v>
      </c>
      <c r="Q2300">
        <v>470</v>
      </c>
      <c r="R2300">
        <v>1135</v>
      </c>
      <c r="S2300" t="s">
        <v>23</v>
      </c>
      <c r="T2300">
        <v>0</v>
      </c>
      <c r="U2300" t="s">
        <v>45</v>
      </c>
      <c r="V2300" t="s">
        <v>24</v>
      </c>
      <c r="W2300" t="s">
        <v>34</v>
      </c>
    </row>
    <row r="2301" spans="1:23" x14ac:dyDescent="0.3">
      <c r="A2301" t="s">
        <v>4721</v>
      </c>
      <c r="B2301" t="s">
        <v>85</v>
      </c>
      <c r="C2301" t="s">
        <v>173</v>
      </c>
      <c r="D2301" t="s">
        <v>63</v>
      </c>
      <c r="E2301" t="s">
        <v>87</v>
      </c>
      <c r="F2301" t="s">
        <v>87</v>
      </c>
      <c r="G2301" t="s">
        <v>55</v>
      </c>
      <c r="H2301" t="s">
        <v>56</v>
      </c>
      <c r="I2301" t="str">
        <f>LEFT(H2301,FIND(" (",H2301)-1)</f>
        <v>Mid</v>
      </c>
      <c r="J2301" t="str">
        <f>MID(H2301,FIND("(",H2301)+1,FIND(")",H2301)-FIND("(",H2301)-1)</f>
        <v>2-5 yrs</v>
      </c>
      <c r="L2301">
        <v>80239</v>
      </c>
      <c r="M2301" t="s">
        <v>4722</v>
      </c>
      <c r="N2301" t="s">
        <v>21</v>
      </c>
      <c r="O2301" t="s">
        <v>22</v>
      </c>
      <c r="P2301" s="1">
        <v>45370</v>
      </c>
      <c r="Q2301">
        <v>2206</v>
      </c>
      <c r="R2301">
        <v>3439</v>
      </c>
      <c r="S2301" t="s">
        <v>23</v>
      </c>
      <c r="T2301">
        <v>2</v>
      </c>
      <c r="U2301" t="s">
        <v>5123</v>
      </c>
      <c r="V2301" t="s">
        <v>24</v>
      </c>
      <c r="W2301" t="s">
        <v>34</v>
      </c>
    </row>
    <row r="2302" spans="1:23" x14ac:dyDescent="0.3">
      <c r="A2302" t="s">
        <v>4723</v>
      </c>
      <c r="B2302" t="s">
        <v>225</v>
      </c>
      <c r="C2302" t="s">
        <v>146</v>
      </c>
      <c r="D2302" t="s">
        <v>49</v>
      </c>
      <c r="E2302" t="s">
        <v>87</v>
      </c>
      <c r="F2302" t="s">
        <v>87</v>
      </c>
      <c r="G2302" t="s">
        <v>41</v>
      </c>
      <c r="H2302" t="s">
        <v>56</v>
      </c>
      <c r="I2302" t="str">
        <f>LEFT(H2302,FIND(" (",H2302)-1)</f>
        <v>Mid</v>
      </c>
      <c r="J2302" t="str">
        <f>MID(H2302,FIND("(",H2302)+1,FIND(")",H2302)-FIND("(",H2302)-1)</f>
        <v>2-5 yrs</v>
      </c>
      <c r="L2302">
        <v>130828</v>
      </c>
      <c r="M2302" t="s">
        <v>4724</v>
      </c>
      <c r="N2302" t="s">
        <v>186</v>
      </c>
      <c r="O2302" t="s">
        <v>22</v>
      </c>
      <c r="P2302" s="1">
        <v>45484</v>
      </c>
      <c r="Q2302">
        <v>804</v>
      </c>
      <c r="R2302">
        <v>843</v>
      </c>
      <c r="S2302" t="s">
        <v>23</v>
      </c>
      <c r="T2302">
        <v>2</v>
      </c>
      <c r="U2302" t="s">
        <v>83</v>
      </c>
      <c r="V2302" t="s">
        <v>59</v>
      </c>
      <c r="W2302" t="s">
        <v>23</v>
      </c>
    </row>
    <row r="2303" spans="1:23" x14ac:dyDescent="0.3">
      <c r="A2303" t="s">
        <v>4725</v>
      </c>
      <c r="B2303" t="s">
        <v>61</v>
      </c>
      <c r="C2303" t="s">
        <v>226</v>
      </c>
      <c r="D2303" t="s">
        <v>38</v>
      </c>
      <c r="E2303" t="s">
        <v>133</v>
      </c>
      <c r="F2303" t="s">
        <v>134</v>
      </c>
      <c r="G2303" t="s">
        <v>55</v>
      </c>
      <c r="H2303" t="s">
        <v>66</v>
      </c>
      <c r="I2303" t="str">
        <f>LEFT(H2303,FIND(" (",H2303)-1)</f>
        <v>Senior</v>
      </c>
      <c r="J2303" t="str">
        <f>MID(H2303,FIND("(",H2303)+1,FIND(")",H2303)-FIND("(",H2303)-1)</f>
        <v>5-8 yrs</v>
      </c>
      <c r="L2303">
        <v>123052</v>
      </c>
      <c r="M2303" t="s">
        <v>4726</v>
      </c>
      <c r="N2303" t="s">
        <v>141</v>
      </c>
      <c r="O2303" t="s">
        <v>22</v>
      </c>
      <c r="P2303" s="1">
        <v>45327</v>
      </c>
      <c r="Q2303">
        <v>1554</v>
      </c>
      <c r="R2303">
        <v>3701</v>
      </c>
      <c r="S2303" t="s">
        <v>23</v>
      </c>
      <c r="T2303">
        <v>4</v>
      </c>
      <c r="U2303" t="s">
        <v>45</v>
      </c>
      <c r="V2303" t="s">
        <v>24</v>
      </c>
      <c r="W2303" t="s">
        <v>23</v>
      </c>
    </row>
    <row r="2304" spans="1:23" x14ac:dyDescent="0.3">
      <c r="A2304" t="s">
        <v>4727</v>
      </c>
      <c r="B2304" t="s">
        <v>36</v>
      </c>
      <c r="C2304" t="s">
        <v>239</v>
      </c>
      <c r="D2304" t="s">
        <v>28</v>
      </c>
      <c r="E2304" t="s">
        <v>5139</v>
      </c>
      <c r="F2304" t="s">
        <v>5133</v>
      </c>
      <c r="G2304" t="s">
        <v>41</v>
      </c>
      <c r="H2304" t="s">
        <v>66</v>
      </c>
      <c r="I2304" t="str">
        <f>LEFT(H2304,FIND(" (",H2304)-1)</f>
        <v>Senior</v>
      </c>
      <c r="J2304" t="str">
        <f>MID(H2304,FIND("(",H2304)+1,FIND(")",H2304)-FIND("(",H2304)-1)</f>
        <v>5-8 yrs</v>
      </c>
      <c r="L2304">
        <v>139632</v>
      </c>
      <c r="M2304" t="s">
        <v>4728</v>
      </c>
      <c r="N2304" t="s">
        <v>33</v>
      </c>
      <c r="O2304" t="s">
        <v>51</v>
      </c>
      <c r="P2304" s="1">
        <v>45352</v>
      </c>
      <c r="Q2304">
        <v>1253</v>
      </c>
      <c r="R2304">
        <v>3244</v>
      </c>
      <c r="S2304" t="s">
        <v>23</v>
      </c>
      <c r="T2304">
        <v>4</v>
      </c>
      <c r="U2304" t="s">
        <v>5123</v>
      </c>
      <c r="V2304" t="s">
        <v>24</v>
      </c>
      <c r="W2304" t="s">
        <v>23</v>
      </c>
    </row>
    <row r="2305" spans="1:23" x14ac:dyDescent="0.3">
      <c r="A2305" t="s">
        <v>4729</v>
      </c>
      <c r="B2305" t="s">
        <v>143</v>
      </c>
      <c r="C2305" t="s">
        <v>92</v>
      </c>
      <c r="D2305" t="s">
        <v>38</v>
      </c>
      <c r="E2305" t="s">
        <v>5139</v>
      </c>
      <c r="F2305" t="s">
        <v>5133</v>
      </c>
      <c r="G2305" t="s">
        <v>41</v>
      </c>
      <c r="H2305" t="s">
        <v>31</v>
      </c>
      <c r="I2305" t="str">
        <f>LEFT(H2305,FIND(" (",H2305)-1)</f>
        <v>Staff/Principal</v>
      </c>
      <c r="J2305" t="str">
        <f>MID(H2305,FIND("(",H2305)+1,FIND(")",H2305)-FIND("(",H2305)-1)</f>
        <v>8+ yrs</v>
      </c>
      <c r="L2305">
        <v>209007</v>
      </c>
      <c r="M2305" t="s">
        <v>4730</v>
      </c>
      <c r="N2305" t="s">
        <v>245</v>
      </c>
      <c r="O2305" t="s">
        <v>51</v>
      </c>
      <c r="P2305" s="1">
        <v>45414</v>
      </c>
      <c r="Q2305">
        <v>2451</v>
      </c>
      <c r="R2305">
        <v>2596</v>
      </c>
      <c r="S2305" t="s">
        <v>23</v>
      </c>
      <c r="T2305">
        <v>6</v>
      </c>
      <c r="U2305" t="s">
        <v>5123</v>
      </c>
      <c r="V2305" t="s">
        <v>24</v>
      </c>
      <c r="W2305" t="s">
        <v>34</v>
      </c>
    </row>
    <row r="2306" spans="1:23" x14ac:dyDescent="0.3">
      <c r="A2306" t="s">
        <v>4731</v>
      </c>
      <c r="B2306" t="s">
        <v>61</v>
      </c>
      <c r="C2306" t="s">
        <v>239</v>
      </c>
      <c r="D2306" t="s">
        <v>147</v>
      </c>
      <c r="E2306" t="s">
        <v>5140</v>
      </c>
      <c r="F2306" t="s">
        <v>5133</v>
      </c>
      <c r="G2306" t="s">
        <v>41</v>
      </c>
      <c r="H2306" t="s">
        <v>66</v>
      </c>
      <c r="I2306" t="str">
        <f>LEFT(H2306,FIND(" (",H2306)-1)</f>
        <v>Senior</v>
      </c>
      <c r="J2306" t="str">
        <f>MID(H2306,FIND("(",H2306)+1,FIND(")",H2306)-FIND("(",H2306)-1)</f>
        <v>5-8 yrs</v>
      </c>
      <c r="L2306">
        <v>203883</v>
      </c>
      <c r="M2306" t="s">
        <v>4732</v>
      </c>
      <c r="N2306" t="s">
        <v>94</v>
      </c>
      <c r="O2306" t="s">
        <v>79</v>
      </c>
      <c r="P2306" s="1">
        <v>45657</v>
      </c>
      <c r="Q2306">
        <v>2056</v>
      </c>
      <c r="R2306">
        <v>2119</v>
      </c>
      <c r="S2306" t="s">
        <v>23</v>
      </c>
      <c r="T2306">
        <v>4</v>
      </c>
      <c r="U2306" t="s">
        <v>5123</v>
      </c>
      <c r="V2306" t="s">
        <v>59</v>
      </c>
      <c r="W2306" t="s">
        <v>23</v>
      </c>
    </row>
    <row r="2307" spans="1:23" x14ac:dyDescent="0.3">
      <c r="A2307" t="s">
        <v>4733</v>
      </c>
      <c r="B2307" t="s">
        <v>137</v>
      </c>
      <c r="C2307" t="s">
        <v>204</v>
      </c>
      <c r="D2307" t="s">
        <v>75</v>
      </c>
      <c r="E2307" t="s">
        <v>102</v>
      </c>
      <c r="F2307" t="s">
        <v>103</v>
      </c>
      <c r="G2307" t="s">
        <v>41</v>
      </c>
      <c r="H2307" t="s">
        <v>19</v>
      </c>
      <c r="I2307" t="str">
        <f>LEFT(H2307,FIND(" (",H2307)-1)</f>
        <v>Entry</v>
      </c>
      <c r="J2307" t="str">
        <f>MID(H2307,FIND("(",H2307)+1,FIND(")",H2307)-FIND("(",H2307)-1)</f>
        <v>0-2 yrs</v>
      </c>
      <c r="L2307">
        <v>109184</v>
      </c>
      <c r="M2307" t="s">
        <v>4734</v>
      </c>
      <c r="N2307" t="s">
        <v>89</v>
      </c>
      <c r="O2307" t="s">
        <v>22</v>
      </c>
      <c r="P2307" s="1">
        <v>45536</v>
      </c>
      <c r="Q2307">
        <v>2453</v>
      </c>
      <c r="R2307">
        <v>3946</v>
      </c>
      <c r="S2307" t="s">
        <v>34</v>
      </c>
      <c r="T2307">
        <v>0</v>
      </c>
      <c r="U2307" t="s">
        <v>52</v>
      </c>
      <c r="V2307" t="s">
        <v>59</v>
      </c>
      <c r="W2307" t="s">
        <v>34</v>
      </c>
    </row>
    <row r="2308" spans="1:23" x14ac:dyDescent="0.3">
      <c r="A2308" t="s">
        <v>4735</v>
      </c>
      <c r="B2308" t="s">
        <v>172</v>
      </c>
      <c r="C2308" t="s">
        <v>62</v>
      </c>
      <c r="D2308" t="s">
        <v>147</v>
      </c>
      <c r="E2308" t="s">
        <v>5136</v>
      </c>
      <c r="F2308" t="s">
        <v>5133</v>
      </c>
      <c r="G2308" t="s">
        <v>41</v>
      </c>
      <c r="H2308" t="s">
        <v>19</v>
      </c>
      <c r="I2308" t="str">
        <f>LEFT(H2308,FIND(" (",H2308)-1)</f>
        <v>Entry</v>
      </c>
      <c r="J2308" t="str">
        <f>MID(H2308,FIND("(",H2308)+1,FIND(")",H2308)-FIND("(",H2308)-1)</f>
        <v>0-2 yrs</v>
      </c>
      <c r="L2308">
        <v>77644</v>
      </c>
      <c r="M2308" t="s">
        <v>4736</v>
      </c>
      <c r="N2308" t="s">
        <v>149</v>
      </c>
      <c r="O2308" t="s">
        <v>22</v>
      </c>
      <c r="P2308" s="1">
        <v>45589</v>
      </c>
      <c r="Q2308">
        <v>313</v>
      </c>
      <c r="R2308">
        <v>2317</v>
      </c>
      <c r="S2308" t="s">
        <v>23</v>
      </c>
      <c r="T2308">
        <v>0</v>
      </c>
      <c r="U2308" t="s">
        <v>58</v>
      </c>
      <c r="V2308" t="s">
        <v>59</v>
      </c>
      <c r="W2308" t="s">
        <v>34</v>
      </c>
    </row>
    <row r="2309" spans="1:23" x14ac:dyDescent="0.3">
      <c r="A2309" t="s">
        <v>4737</v>
      </c>
      <c r="B2309" t="s">
        <v>131</v>
      </c>
      <c r="C2309" t="s">
        <v>86</v>
      </c>
      <c r="D2309" t="s">
        <v>147</v>
      </c>
      <c r="E2309" t="s">
        <v>76</v>
      </c>
      <c r="F2309" t="s">
        <v>77</v>
      </c>
      <c r="G2309" t="s">
        <v>41</v>
      </c>
      <c r="H2309" t="s">
        <v>56</v>
      </c>
      <c r="I2309" t="str">
        <f>LEFT(H2309,FIND(" (",H2309)-1)</f>
        <v>Mid</v>
      </c>
      <c r="J2309" t="str">
        <f>MID(H2309,FIND("(",H2309)+1,FIND(")",H2309)-FIND("(",H2309)-1)</f>
        <v>2-5 yrs</v>
      </c>
      <c r="L2309">
        <v>106372</v>
      </c>
      <c r="M2309" t="s">
        <v>4738</v>
      </c>
      <c r="N2309" t="s">
        <v>33</v>
      </c>
      <c r="O2309" t="s">
        <v>44</v>
      </c>
      <c r="P2309" s="1">
        <v>45326</v>
      </c>
      <c r="Q2309">
        <v>2365</v>
      </c>
      <c r="R2309">
        <v>2799</v>
      </c>
      <c r="S2309" t="s">
        <v>99</v>
      </c>
      <c r="T2309">
        <v>2</v>
      </c>
      <c r="U2309" t="s">
        <v>5123</v>
      </c>
      <c r="V2309" t="s">
        <v>59</v>
      </c>
      <c r="W2309" t="s">
        <v>34</v>
      </c>
    </row>
    <row r="2310" spans="1:23" x14ac:dyDescent="0.3">
      <c r="A2310" t="s">
        <v>4739</v>
      </c>
      <c r="B2310" t="s">
        <v>143</v>
      </c>
      <c r="C2310" t="s">
        <v>14</v>
      </c>
      <c r="D2310" t="s">
        <v>75</v>
      </c>
      <c r="E2310" t="s">
        <v>230</v>
      </c>
      <c r="F2310" t="s">
        <v>231</v>
      </c>
      <c r="G2310" t="s">
        <v>41</v>
      </c>
      <c r="H2310" t="s">
        <v>19</v>
      </c>
      <c r="I2310" t="str">
        <f>LEFT(H2310,FIND(" (",H2310)-1)</f>
        <v>Entry</v>
      </c>
      <c r="J2310" t="str">
        <f>MID(H2310,FIND("(",H2310)+1,FIND(")",H2310)-FIND("(",H2310)-1)</f>
        <v>0-2 yrs</v>
      </c>
      <c r="L2310">
        <v>76734</v>
      </c>
      <c r="M2310" t="s">
        <v>4740</v>
      </c>
      <c r="N2310" t="s">
        <v>186</v>
      </c>
      <c r="O2310" t="s">
        <v>44</v>
      </c>
      <c r="P2310" s="1">
        <v>45375</v>
      </c>
      <c r="Q2310">
        <v>2141</v>
      </c>
      <c r="R2310">
        <v>2454</v>
      </c>
      <c r="S2310" t="s">
        <v>34</v>
      </c>
      <c r="T2310">
        <v>0</v>
      </c>
      <c r="U2310" t="s">
        <v>45</v>
      </c>
      <c r="V2310" t="s">
        <v>24</v>
      </c>
      <c r="W2310" t="s">
        <v>23</v>
      </c>
    </row>
    <row r="2311" spans="1:23" x14ac:dyDescent="0.3">
      <c r="A2311" t="s">
        <v>4741</v>
      </c>
      <c r="B2311" t="s">
        <v>172</v>
      </c>
      <c r="C2311" t="s">
        <v>86</v>
      </c>
      <c r="D2311" t="s">
        <v>28</v>
      </c>
      <c r="E2311" t="s">
        <v>5140</v>
      </c>
      <c r="F2311" t="s">
        <v>5133</v>
      </c>
      <c r="G2311" t="s">
        <v>18</v>
      </c>
      <c r="H2311" t="s">
        <v>31</v>
      </c>
      <c r="I2311" t="str">
        <f>LEFT(H2311,FIND(" (",H2311)-1)</f>
        <v>Staff/Principal</v>
      </c>
      <c r="J2311" t="str">
        <f>MID(H2311,FIND("(",H2311)+1,FIND(")",H2311)-FIND("(",H2311)-1)</f>
        <v>8+ yrs</v>
      </c>
      <c r="L2311">
        <v>231955</v>
      </c>
      <c r="M2311" t="s">
        <v>4742</v>
      </c>
      <c r="N2311" t="s">
        <v>43</v>
      </c>
      <c r="O2311" t="s">
        <v>22</v>
      </c>
      <c r="P2311" s="1">
        <v>45313</v>
      </c>
      <c r="Q2311">
        <v>2473</v>
      </c>
      <c r="R2311">
        <v>1877</v>
      </c>
      <c r="S2311" t="s">
        <v>23</v>
      </c>
      <c r="T2311">
        <v>6</v>
      </c>
      <c r="U2311" t="s">
        <v>5123</v>
      </c>
      <c r="V2311" t="s">
        <v>46</v>
      </c>
      <c r="W2311" t="s">
        <v>23</v>
      </c>
    </row>
    <row r="2312" spans="1:23" x14ac:dyDescent="0.3">
      <c r="A2312" t="s">
        <v>4743</v>
      </c>
      <c r="B2312" t="s">
        <v>36</v>
      </c>
      <c r="C2312" t="s">
        <v>132</v>
      </c>
      <c r="D2312" t="s">
        <v>125</v>
      </c>
      <c r="E2312" t="s">
        <v>87</v>
      </c>
      <c r="F2312" t="s">
        <v>87</v>
      </c>
      <c r="G2312" t="s">
        <v>18</v>
      </c>
      <c r="H2312" t="s">
        <v>56</v>
      </c>
      <c r="I2312" t="str">
        <f>LEFT(H2312,FIND(" (",H2312)-1)</f>
        <v>Mid</v>
      </c>
      <c r="J2312" t="str">
        <f>MID(H2312,FIND("(",H2312)+1,FIND(")",H2312)-FIND("(",H2312)-1)</f>
        <v>2-5 yrs</v>
      </c>
      <c r="L2312">
        <v>103650</v>
      </c>
      <c r="M2312" t="s">
        <v>4744</v>
      </c>
      <c r="N2312" t="s">
        <v>141</v>
      </c>
      <c r="O2312" t="s">
        <v>22</v>
      </c>
      <c r="P2312" s="1">
        <v>45699</v>
      </c>
      <c r="Q2312">
        <v>587</v>
      </c>
      <c r="R2312">
        <v>2754</v>
      </c>
      <c r="S2312" t="s">
        <v>99</v>
      </c>
      <c r="T2312">
        <v>2</v>
      </c>
      <c r="U2312" t="s">
        <v>5123</v>
      </c>
      <c r="V2312" t="s">
        <v>24</v>
      </c>
      <c r="W2312" t="s">
        <v>34</v>
      </c>
    </row>
    <row r="2313" spans="1:23" x14ac:dyDescent="0.3">
      <c r="A2313" t="s">
        <v>4745</v>
      </c>
      <c r="B2313" t="s">
        <v>329</v>
      </c>
      <c r="C2313" t="s">
        <v>192</v>
      </c>
      <c r="D2313" t="s">
        <v>75</v>
      </c>
      <c r="E2313" t="s">
        <v>5135</v>
      </c>
      <c r="F2313" t="s">
        <v>5133</v>
      </c>
      <c r="G2313" t="s">
        <v>18</v>
      </c>
      <c r="H2313" t="s">
        <v>66</v>
      </c>
      <c r="I2313" t="str">
        <f>LEFT(H2313,FIND(" (",H2313)-1)</f>
        <v>Senior</v>
      </c>
      <c r="J2313" t="str">
        <f>MID(H2313,FIND("(",H2313)+1,FIND(")",H2313)-FIND("(",H2313)-1)</f>
        <v>5-8 yrs</v>
      </c>
      <c r="L2313">
        <v>198470</v>
      </c>
      <c r="M2313" t="s">
        <v>4746</v>
      </c>
      <c r="N2313" t="s">
        <v>94</v>
      </c>
      <c r="O2313" t="s">
        <v>22</v>
      </c>
      <c r="P2313" s="1">
        <v>45619</v>
      </c>
      <c r="Q2313">
        <v>1166</v>
      </c>
      <c r="R2313">
        <v>1833</v>
      </c>
      <c r="S2313" t="s">
        <v>23</v>
      </c>
      <c r="T2313">
        <v>4</v>
      </c>
      <c r="U2313" t="s">
        <v>45</v>
      </c>
      <c r="V2313" t="s">
        <v>59</v>
      </c>
      <c r="W2313" t="s">
        <v>23</v>
      </c>
    </row>
    <row r="2314" spans="1:23" x14ac:dyDescent="0.3">
      <c r="A2314" t="s">
        <v>4747</v>
      </c>
      <c r="B2314" t="s">
        <v>172</v>
      </c>
      <c r="C2314" t="s">
        <v>92</v>
      </c>
      <c r="D2314" t="s">
        <v>63</v>
      </c>
      <c r="E2314" t="s">
        <v>64</v>
      </c>
      <c r="F2314" t="s">
        <v>65</v>
      </c>
      <c r="G2314" t="s">
        <v>18</v>
      </c>
      <c r="H2314" t="s">
        <v>19</v>
      </c>
      <c r="I2314" t="str">
        <f>LEFT(H2314,FIND(" (",H2314)-1)</f>
        <v>Entry</v>
      </c>
      <c r="J2314" t="str">
        <f>MID(H2314,FIND("(",H2314)+1,FIND(")",H2314)-FIND("(",H2314)-1)</f>
        <v>0-2 yrs</v>
      </c>
      <c r="L2314">
        <v>72898</v>
      </c>
      <c r="M2314" t="s">
        <v>4748</v>
      </c>
      <c r="N2314" t="s">
        <v>149</v>
      </c>
      <c r="O2314" t="s">
        <v>22</v>
      </c>
      <c r="P2314" s="1">
        <v>45740</v>
      </c>
      <c r="Q2314">
        <v>618</v>
      </c>
      <c r="R2314">
        <v>1172</v>
      </c>
      <c r="S2314" t="s">
        <v>23</v>
      </c>
      <c r="T2314">
        <v>0</v>
      </c>
      <c r="U2314" t="s">
        <v>5123</v>
      </c>
      <c r="V2314" t="s">
        <v>59</v>
      </c>
      <c r="W2314" t="s">
        <v>23</v>
      </c>
    </row>
    <row r="2315" spans="1:23" x14ac:dyDescent="0.3">
      <c r="A2315" t="s">
        <v>4749</v>
      </c>
      <c r="B2315" t="s">
        <v>137</v>
      </c>
      <c r="C2315" t="s">
        <v>167</v>
      </c>
      <c r="D2315" t="s">
        <v>63</v>
      </c>
      <c r="E2315" t="s">
        <v>16</v>
      </c>
      <c r="F2315" t="s">
        <v>17</v>
      </c>
      <c r="G2315" t="s">
        <v>41</v>
      </c>
      <c r="H2315" t="s">
        <v>56</v>
      </c>
      <c r="I2315" t="str">
        <f>LEFT(H2315,FIND(" (",H2315)-1)</f>
        <v>Mid</v>
      </c>
      <c r="J2315" t="str">
        <f>MID(H2315,FIND("(",H2315)+1,FIND(")",H2315)-FIND("(",H2315)-1)</f>
        <v>2-5 yrs</v>
      </c>
      <c r="L2315">
        <v>119855</v>
      </c>
      <c r="M2315" t="s">
        <v>4750</v>
      </c>
      <c r="N2315" t="s">
        <v>94</v>
      </c>
      <c r="O2315" t="s">
        <v>22</v>
      </c>
      <c r="P2315" s="1">
        <v>45600</v>
      </c>
      <c r="Q2315">
        <v>459</v>
      </c>
      <c r="R2315">
        <v>1451</v>
      </c>
      <c r="S2315" t="s">
        <v>23</v>
      </c>
      <c r="T2315">
        <v>2</v>
      </c>
      <c r="U2315" t="s">
        <v>83</v>
      </c>
      <c r="V2315" t="s">
        <v>24</v>
      </c>
      <c r="W2315" t="s">
        <v>34</v>
      </c>
    </row>
    <row r="2316" spans="1:23" x14ac:dyDescent="0.3">
      <c r="A2316" t="s">
        <v>4751</v>
      </c>
      <c r="B2316" t="s">
        <v>229</v>
      </c>
      <c r="C2316" t="s">
        <v>14</v>
      </c>
      <c r="D2316" t="s">
        <v>147</v>
      </c>
      <c r="E2316" t="s">
        <v>5140</v>
      </c>
      <c r="F2316" t="s">
        <v>5133</v>
      </c>
      <c r="G2316" t="s">
        <v>55</v>
      </c>
      <c r="H2316" t="s">
        <v>66</v>
      </c>
      <c r="I2316" t="str">
        <f>LEFT(H2316,FIND(" (",H2316)-1)</f>
        <v>Senior</v>
      </c>
      <c r="J2316" t="str">
        <f>MID(H2316,FIND("(",H2316)+1,FIND(")",H2316)-FIND("(",H2316)-1)</f>
        <v>5-8 yrs</v>
      </c>
      <c r="L2316">
        <v>167979</v>
      </c>
      <c r="M2316" t="s">
        <v>4752</v>
      </c>
      <c r="N2316" t="s">
        <v>120</v>
      </c>
      <c r="O2316" t="s">
        <v>22</v>
      </c>
      <c r="P2316" s="1">
        <v>45517</v>
      </c>
      <c r="Q2316">
        <v>2289</v>
      </c>
      <c r="R2316">
        <v>2103</v>
      </c>
      <c r="S2316" t="s">
        <v>23</v>
      </c>
      <c r="T2316">
        <v>4</v>
      </c>
      <c r="U2316" t="s">
        <v>58</v>
      </c>
      <c r="V2316" t="s">
        <v>24</v>
      </c>
      <c r="W2316" t="s">
        <v>34</v>
      </c>
    </row>
    <row r="2317" spans="1:23" x14ac:dyDescent="0.3">
      <c r="A2317" t="s">
        <v>4753</v>
      </c>
      <c r="B2317" t="s">
        <v>236</v>
      </c>
      <c r="C2317" t="s">
        <v>167</v>
      </c>
      <c r="D2317" t="s">
        <v>125</v>
      </c>
      <c r="E2317" t="s">
        <v>64</v>
      </c>
      <c r="F2317" t="s">
        <v>65</v>
      </c>
      <c r="G2317" t="s">
        <v>18</v>
      </c>
      <c r="H2317" t="s">
        <v>66</v>
      </c>
      <c r="I2317" t="str">
        <f>LEFT(H2317,FIND(" (",H2317)-1)</f>
        <v>Senior</v>
      </c>
      <c r="J2317" t="str">
        <f>MID(H2317,FIND("(",H2317)+1,FIND(")",H2317)-FIND("(",H2317)-1)</f>
        <v>5-8 yrs</v>
      </c>
      <c r="L2317">
        <v>161382</v>
      </c>
      <c r="M2317" t="s">
        <v>4754</v>
      </c>
      <c r="N2317" t="s">
        <v>89</v>
      </c>
      <c r="O2317" t="s">
        <v>79</v>
      </c>
      <c r="P2317" s="1">
        <v>45579</v>
      </c>
      <c r="Q2317">
        <v>2020</v>
      </c>
      <c r="R2317">
        <v>1944</v>
      </c>
      <c r="S2317" t="s">
        <v>23</v>
      </c>
      <c r="T2317">
        <v>4</v>
      </c>
      <c r="U2317" t="s">
        <v>5123</v>
      </c>
      <c r="V2317" t="s">
        <v>24</v>
      </c>
      <c r="W2317" t="s">
        <v>34</v>
      </c>
    </row>
    <row r="2318" spans="1:23" x14ac:dyDescent="0.3">
      <c r="A2318" t="s">
        <v>4755</v>
      </c>
      <c r="B2318" t="s">
        <v>236</v>
      </c>
      <c r="C2318" t="s">
        <v>195</v>
      </c>
      <c r="D2318" t="s">
        <v>125</v>
      </c>
      <c r="E2318" t="s">
        <v>5137</v>
      </c>
      <c r="F2318" t="s">
        <v>5138</v>
      </c>
      <c r="G2318" t="s">
        <v>18</v>
      </c>
      <c r="H2318" t="s">
        <v>66</v>
      </c>
      <c r="I2318" t="str">
        <f>LEFT(H2318,FIND(" (",H2318)-1)</f>
        <v>Senior</v>
      </c>
      <c r="J2318" t="str">
        <f>MID(H2318,FIND("(",H2318)+1,FIND(")",H2318)-FIND("(",H2318)-1)</f>
        <v>5-8 yrs</v>
      </c>
      <c r="L2318">
        <v>172651</v>
      </c>
      <c r="M2318" t="s">
        <v>4756</v>
      </c>
      <c r="N2318" t="s">
        <v>245</v>
      </c>
      <c r="O2318" t="s">
        <v>44</v>
      </c>
      <c r="P2318" s="1">
        <v>45375</v>
      </c>
      <c r="Q2318">
        <v>2497</v>
      </c>
      <c r="R2318">
        <v>2739</v>
      </c>
      <c r="S2318" t="s">
        <v>23</v>
      </c>
      <c r="T2318">
        <v>4</v>
      </c>
      <c r="U2318" t="s">
        <v>83</v>
      </c>
      <c r="V2318" t="s">
        <v>24</v>
      </c>
      <c r="W2318" t="s">
        <v>34</v>
      </c>
    </row>
    <row r="2319" spans="1:23" x14ac:dyDescent="0.3">
      <c r="A2319" t="s">
        <v>4757</v>
      </c>
      <c r="B2319" t="s">
        <v>36</v>
      </c>
      <c r="C2319" t="s">
        <v>97</v>
      </c>
      <c r="D2319" t="s">
        <v>75</v>
      </c>
      <c r="E2319" t="s">
        <v>76</v>
      </c>
      <c r="F2319" t="s">
        <v>77</v>
      </c>
      <c r="G2319" t="s">
        <v>41</v>
      </c>
      <c r="H2319" t="s">
        <v>31</v>
      </c>
      <c r="I2319" t="str">
        <f>LEFT(H2319,FIND(" (",H2319)-1)</f>
        <v>Staff/Principal</v>
      </c>
      <c r="J2319" t="str">
        <f>MID(H2319,FIND("(",H2319)+1,FIND(")",H2319)-FIND("(",H2319)-1)</f>
        <v>8+ yrs</v>
      </c>
      <c r="L2319">
        <v>177778</v>
      </c>
      <c r="M2319" t="s">
        <v>4758</v>
      </c>
      <c r="N2319" t="s">
        <v>120</v>
      </c>
      <c r="O2319" t="s">
        <v>22</v>
      </c>
      <c r="P2319" s="1">
        <v>45387</v>
      </c>
      <c r="Q2319">
        <v>1578</v>
      </c>
      <c r="R2319">
        <v>832</v>
      </c>
      <c r="S2319" t="s">
        <v>23</v>
      </c>
      <c r="T2319">
        <v>6</v>
      </c>
      <c r="U2319" t="s">
        <v>5123</v>
      </c>
      <c r="V2319" t="s">
        <v>59</v>
      </c>
      <c r="W2319" t="s">
        <v>23</v>
      </c>
    </row>
    <row r="2320" spans="1:23" x14ac:dyDescent="0.3">
      <c r="A2320" t="s">
        <v>4759</v>
      </c>
      <c r="B2320" t="s">
        <v>143</v>
      </c>
      <c r="C2320" t="s">
        <v>14</v>
      </c>
      <c r="D2320" t="s">
        <v>28</v>
      </c>
      <c r="E2320" t="s">
        <v>5139</v>
      </c>
      <c r="F2320" t="s">
        <v>5133</v>
      </c>
      <c r="G2320" t="s">
        <v>18</v>
      </c>
      <c r="H2320" t="s">
        <v>56</v>
      </c>
      <c r="I2320" t="str">
        <f>LEFT(H2320,FIND(" (",H2320)-1)</f>
        <v>Mid</v>
      </c>
      <c r="J2320" t="str">
        <f>MID(H2320,FIND("(",H2320)+1,FIND(")",H2320)-FIND("(",H2320)-1)</f>
        <v>2-5 yrs</v>
      </c>
      <c r="L2320">
        <v>98945</v>
      </c>
      <c r="M2320" t="s">
        <v>4760</v>
      </c>
      <c r="N2320" t="s">
        <v>141</v>
      </c>
      <c r="O2320" t="s">
        <v>44</v>
      </c>
      <c r="P2320" s="1">
        <v>45410</v>
      </c>
      <c r="Q2320">
        <v>448</v>
      </c>
      <c r="R2320">
        <v>2408</v>
      </c>
      <c r="S2320" t="s">
        <v>23</v>
      </c>
      <c r="T2320">
        <v>2</v>
      </c>
      <c r="U2320" t="s">
        <v>5123</v>
      </c>
      <c r="V2320" t="s">
        <v>24</v>
      </c>
      <c r="W2320" t="s">
        <v>23</v>
      </c>
    </row>
    <row r="2321" spans="1:23" x14ac:dyDescent="0.3">
      <c r="A2321" t="s">
        <v>4761</v>
      </c>
      <c r="B2321" t="s">
        <v>143</v>
      </c>
      <c r="C2321" t="s">
        <v>239</v>
      </c>
      <c r="D2321" t="s">
        <v>38</v>
      </c>
      <c r="E2321" t="s">
        <v>5140</v>
      </c>
      <c r="F2321" t="s">
        <v>5133</v>
      </c>
      <c r="G2321" t="s">
        <v>18</v>
      </c>
      <c r="H2321" t="s">
        <v>19</v>
      </c>
      <c r="I2321" t="str">
        <f>LEFT(H2321,FIND(" (",H2321)-1)</f>
        <v>Entry</v>
      </c>
      <c r="J2321" t="str">
        <f>MID(H2321,FIND("(",H2321)+1,FIND(")",H2321)-FIND("(",H2321)-1)</f>
        <v>0-2 yrs</v>
      </c>
      <c r="L2321">
        <v>56138</v>
      </c>
      <c r="M2321" t="s">
        <v>4762</v>
      </c>
      <c r="N2321" t="s">
        <v>120</v>
      </c>
      <c r="O2321" t="s">
        <v>22</v>
      </c>
      <c r="P2321" s="1">
        <v>45346</v>
      </c>
      <c r="Q2321">
        <v>693</v>
      </c>
      <c r="R2321">
        <v>1953</v>
      </c>
      <c r="S2321" t="s">
        <v>99</v>
      </c>
      <c r="T2321">
        <v>0</v>
      </c>
      <c r="U2321" t="s">
        <v>45</v>
      </c>
      <c r="V2321" t="s">
        <v>59</v>
      </c>
      <c r="W2321" t="s">
        <v>34</v>
      </c>
    </row>
    <row r="2322" spans="1:23" x14ac:dyDescent="0.3">
      <c r="A2322" t="s">
        <v>4763</v>
      </c>
      <c r="B2322" t="s">
        <v>96</v>
      </c>
      <c r="C2322" t="s">
        <v>74</v>
      </c>
      <c r="D2322" t="s">
        <v>111</v>
      </c>
      <c r="E2322" t="s">
        <v>102</v>
      </c>
      <c r="F2322" t="s">
        <v>103</v>
      </c>
      <c r="G2322" t="s">
        <v>55</v>
      </c>
      <c r="H2322" t="s">
        <v>66</v>
      </c>
      <c r="I2322" t="str">
        <f>LEFT(H2322,FIND(" (",H2322)-1)</f>
        <v>Senior</v>
      </c>
      <c r="J2322" t="str">
        <f>MID(H2322,FIND("(",H2322)+1,FIND(")",H2322)-FIND("(",H2322)-1)</f>
        <v>5-8 yrs</v>
      </c>
      <c r="L2322">
        <v>161866</v>
      </c>
      <c r="M2322" t="s">
        <v>4764</v>
      </c>
      <c r="N2322" t="s">
        <v>33</v>
      </c>
      <c r="O2322" t="s">
        <v>51</v>
      </c>
      <c r="P2322" s="1">
        <v>45294</v>
      </c>
      <c r="Q2322">
        <v>2174</v>
      </c>
      <c r="R2322">
        <v>2821</v>
      </c>
      <c r="S2322" t="s">
        <v>99</v>
      </c>
      <c r="T2322">
        <v>4</v>
      </c>
      <c r="U2322" t="s">
        <v>52</v>
      </c>
      <c r="V2322" t="s">
        <v>24</v>
      </c>
      <c r="W2322" t="s">
        <v>23</v>
      </c>
    </row>
    <row r="2323" spans="1:23" x14ac:dyDescent="0.3">
      <c r="A2323" t="s">
        <v>4765</v>
      </c>
      <c r="B2323" t="s">
        <v>106</v>
      </c>
      <c r="C2323" t="s">
        <v>132</v>
      </c>
      <c r="D2323" t="s">
        <v>63</v>
      </c>
      <c r="E2323" t="s">
        <v>5137</v>
      </c>
      <c r="F2323" t="s">
        <v>5138</v>
      </c>
      <c r="G2323" t="s">
        <v>18</v>
      </c>
      <c r="H2323" t="s">
        <v>56</v>
      </c>
      <c r="I2323" t="str">
        <f>LEFT(H2323,FIND(" (",H2323)-1)</f>
        <v>Mid</v>
      </c>
      <c r="J2323" t="str">
        <f>MID(H2323,FIND("(",H2323)+1,FIND(")",H2323)-FIND("(",H2323)-1)</f>
        <v>2-5 yrs</v>
      </c>
      <c r="L2323">
        <v>125422</v>
      </c>
      <c r="M2323" t="s">
        <v>4766</v>
      </c>
      <c r="N2323" t="s">
        <v>33</v>
      </c>
      <c r="O2323" t="s">
        <v>22</v>
      </c>
      <c r="P2323" s="1">
        <v>45495</v>
      </c>
      <c r="Q2323">
        <v>2479</v>
      </c>
      <c r="R2323">
        <v>2790</v>
      </c>
      <c r="S2323" t="s">
        <v>23</v>
      </c>
      <c r="T2323">
        <v>2</v>
      </c>
      <c r="U2323" t="s">
        <v>5123</v>
      </c>
      <c r="V2323" t="s">
        <v>59</v>
      </c>
      <c r="W2323" t="s">
        <v>23</v>
      </c>
    </row>
    <row r="2324" spans="1:23" x14ac:dyDescent="0.3">
      <c r="A2324" t="s">
        <v>4767</v>
      </c>
      <c r="B2324" t="s">
        <v>70</v>
      </c>
      <c r="C2324" t="s">
        <v>14</v>
      </c>
      <c r="D2324" t="s">
        <v>28</v>
      </c>
      <c r="E2324" t="s">
        <v>16</v>
      </c>
      <c r="F2324" t="s">
        <v>17</v>
      </c>
      <c r="G2324" t="s">
        <v>18</v>
      </c>
      <c r="H2324" t="s">
        <v>56</v>
      </c>
      <c r="I2324" t="str">
        <f>LEFT(H2324,FIND(" (",H2324)-1)</f>
        <v>Mid</v>
      </c>
      <c r="J2324" t="str">
        <f>MID(H2324,FIND("(",H2324)+1,FIND(")",H2324)-FIND("(",H2324)-1)</f>
        <v>2-5 yrs</v>
      </c>
      <c r="L2324">
        <v>119063</v>
      </c>
      <c r="M2324" t="s">
        <v>4768</v>
      </c>
      <c r="N2324" t="s">
        <v>89</v>
      </c>
      <c r="O2324" t="s">
        <v>22</v>
      </c>
      <c r="P2324" s="1">
        <v>45367</v>
      </c>
      <c r="Q2324">
        <v>1555</v>
      </c>
      <c r="R2324">
        <v>3134</v>
      </c>
      <c r="S2324" t="s">
        <v>23</v>
      </c>
      <c r="T2324">
        <v>2</v>
      </c>
      <c r="U2324" t="s">
        <v>45</v>
      </c>
      <c r="V2324" t="s">
        <v>24</v>
      </c>
      <c r="W2324" t="s">
        <v>34</v>
      </c>
    </row>
    <row r="2325" spans="1:23" x14ac:dyDescent="0.3">
      <c r="A2325" t="s">
        <v>4769</v>
      </c>
      <c r="B2325" t="s">
        <v>225</v>
      </c>
      <c r="C2325" t="s">
        <v>124</v>
      </c>
      <c r="D2325" t="s">
        <v>125</v>
      </c>
      <c r="E2325" t="s">
        <v>5132</v>
      </c>
      <c r="F2325" t="s">
        <v>5133</v>
      </c>
      <c r="G2325" t="s">
        <v>55</v>
      </c>
      <c r="H2325" t="s">
        <v>19</v>
      </c>
      <c r="I2325" t="str">
        <f>LEFT(H2325,FIND(" (",H2325)-1)</f>
        <v>Entry</v>
      </c>
      <c r="J2325" t="str">
        <f>MID(H2325,FIND("(",H2325)+1,FIND(")",H2325)-FIND("(",H2325)-1)</f>
        <v>0-2 yrs</v>
      </c>
      <c r="L2325">
        <v>91098</v>
      </c>
      <c r="M2325" t="s">
        <v>4770</v>
      </c>
      <c r="N2325" t="s">
        <v>33</v>
      </c>
      <c r="O2325" t="s">
        <v>51</v>
      </c>
      <c r="P2325" s="1">
        <v>45437</v>
      </c>
      <c r="Q2325">
        <v>1743</v>
      </c>
      <c r="R2325">
        <v>797</v>
      </c>
      <c r="S2325" t="s">
        <v>23</v>
      </c>
      <c r="T2325">
        <v>0</v>
      </c>
      <c r="U2325" t="s">
        <v>83</v>
      </c>
      <c r="V2325" t="s">
        <v>24</v>
      </c>
      <c r="W2325" t="s">
        <v>23</v>
      </c>
    </row>
    <row r="2326" spans="1:23" x14ac:dyDescent="0.3">
      <c r="A2326" t="s">
        <v>4771</v>
      </c>
      <c r="B2326" t="s">
        <v>225</v>
      </c>
      <c r="C2326" t="s">
        <v>86</v>
      </c>
      <c r="D2326" t="s">
        <v>174</v>
      </c>
      <c r="E2326" t="s">
        <v>5132</v>
      </c>
      <c r="F2326" t="s">
        <v>5133</v>
      </c>
      <c r="G2326" t="s">
        <v>41</v>
      </c>
      <c r="H2326" t="s">
        <v>31</v>
      </c>
      <c r="I2326" t="str">
        <f>LEFT(H2326,FIND(" (",H2326)-1)</f>
        <v>Staff/Principal</v>
      </c>
      <c r="J2326" t="str">
        <f>MID(H2326,FIND("(",H2326)+1,FIND(")",H2326)-FIND("(",H2326)-1)</f>
        <v>8+ yrs</v>
      </c>
      <c r="L2326">
        <v>199798</v>
      </c>
      <c r="M2326" t="s">
        <v>4772</v>
      </c>
      <c r="N2326" t="s">
        <v>33</v>
      </c>
      <c r="O2326" t="s">
        <v>22</v>
      </c>
      <c r="P2326" s="1">
        <v>45670</v>
      </c>
      <c r="Q2326">
        <v>2468</v>
      </c>
      <c r="R2326">
        <v>3031</v>
      </c>
      <c r="S2326" t="s">
        <v>23</v>
      </c>
      <c r="T2326">
        <v>6</v>
      </c>
      <c r="U2326" t="s">
        <v>52</v>
      </c>
      <c r="V2326" t="s">
        <v>59</v>
      </c>
      <c r="W2326" t="s">
        <v>34</v>
      </c>
    </row>
    <row r="2327" spans="1:23" x14ac:dyDescent="0.3">
      <c r="A2327" t="s">
        <v>4773</v>
      </c>
      <c r="B2327" t="s">
        <v>13</v>
      </c>
      <c r="C2327" t="s">
        <v>179</v>
      </c>
      <c r="D2327" t="s">
        <v>28</v>
      </c>
      <c r="E2327" t="s">
        <v>16</v>
      </c>
      <c r="F2327" t="s">
        <v>17</v>
      </c>
      <c r="G2327" t="s">
        <v>41</v>
      </c>
      <c r="H2327" t="s">
        <v>31</v>
      </c>
      <c r="I2327" t="str">
        <f>LEFT(H2327,FIND(" (",H2327)-1)</f>
        <v>Staff/Principal</v>
      </c>
      <c r="J2327" t="str">
        <f>MID(H2327,FIND("(",H2327)+1,FIND(")",H2327)-FIND("(",H2327)-1)</f>
        <v>8+ yrs</v>
      </c>
      <c r="L2327">
        <v>224074</v>
      </c>
      <c r="M2327" t="s">
        <v>4774</v>
      </c>
      <c r="N2327" t="s">
        <v>120</v>
      </c>
      <c r="O2327" t="s">
        <v>22</v>
      </c>
      <c r="P2327" s="1">
        <v>45302</v>
      </c>
      <c r="Q2327">
        <v>895</v>
      </c>
      <c r="R2327">
        <v>2439</v>
      </c>
      <c r="S2327" t="s">
        <v>23</v>
      </c>
      <c r="T2327">
        <v>6</v>
      </c>
      <c r="U2327" t="s">
        <v>45</v>
      </c>
      <c r="V2327" t="s">
        <v>24</v>
      </c>
      <c r="W2327" t="s">
        <v>23</v>
      </c>
    </row>
    <row r="2328" spans="1:23" x14ac:dyDescent="0.3">
      <c r="A2328" t="s">
        <v>4775</v>
      </c>
      <c r="B2328" t="s">
        <v>96</v>
      </c>
      <c r="C2328" t="s">
        <v>239</v>
      </c>
      <c r="D2328" t="s">
        <v>111</v>
      </c>
      <c r="E2328" t="s">
        <v>5135</v>
      </c>
      <c r="F2328" t="s">
        <v>5133</v>
      </c>
      <c r="G2328" t="s">
        <v>18</v>
      </c>
      <c r="H2328" t="s">
        <v>66</v>
      </c>
      <c r="I2328" t="str">
        <f>LEFT(H2328,FIND(" (",H2328)-1)</f>
        <v>Senior</v>
      </c>
      <c r="J2328" t="str">
        <f>MID(H2328,FIND("(",H2328)+1,FIND(")",H2328)-FIND("(",H2328)-1)</f>
        <v>5-8 yrs</v>
      </c>
      <c r="L2328">
        <v>120524</v>
      </c>
      <c r="M2328" t="s">
        <v>4776</v>
      </c>
      <c r="N2328" t="s">
        <v>33</v>
      </c>
      <c r="O2328" t="s">
        <v>51</v>
      </c>
      <c r="P2328" s="1">
        <v>45730</v>
      </c>
      <c r="Q2328">
        <v>2388</v>
      </c>
      <c r="R2328">
        <v>874</v>
      </c>
      <c r="S2328" t="s">
        <v>23</v>
      </c>
      <c r="T2328">
        <v>4</v>
      </c>
      <c r="U2328" t="s">
        <v>45</v>
      </c>
      <c r="V2328" t="s">
        <v>24</v>
      </c>
      <c r="W2328" t="s">
        <v>23</v>
      </c>
    </row>
    <row r="2329" spans="1:23" x14ac:dyDescent="0.3">
      <c r="A2329" t="s">
        <v>4777</v>
      </c>
      <c r="B2329" t="s">
        <v>329</v>
      </c>
      <c r="C2329" t="s">
        <v>92</v>
      </c>
      <c r="D2329" t="s">
        <v>49</v>
      </c>
      <c r="E2329" t="s">
        <v>5136</v>
      </c>
      <c r="F2329" t="s">
        <v>5133</v>
      </c>
      <c r="G2329" t="s">
        <v>18</v>
      </c>
      <c r="H2329" t="s">
        <v>31</v>
      </c>
      <c r="I2329" t="str">
        <f>LEFT(H2329,FIND(" (",H2329)-1)</f>
        <v>Staff/Principal</v>
      </c>
      <c r="J2329" t="str">
        <f>MID(H2329,FIND("(",H2329)+1,FIND(")",H2329)-FIND("(",H2329)-1)</f>
        <v>8+ yrs</v>
      </c>
      <c r="L2329">
        <v>186064</v>
      </c>
      <c r="M2329" t="s">
        <v>4778</v>
      </c>
      <c r="N2329" t="s">
        <v>21</v>
      </c>
      <c r="O2329" t="s">
        <v>51</v>
      </c>
      <c r="P2329" s="1">
        <v>45597</v>
      </c>
      <c r="Q2329">
        <v>1363</v>
      </c>
      <c r="R2329">
        <v>547</v>
      </c>
      <c r="S2329" t="s">
        <v>34</v>
      </c>
      <c r="T2329">
        <v>6</v>
      </c>
      <c r="U2329" t="s">
        <v>83</v>
      </c>
      <c r="V2329" t="s">
        <v>24</v>
      </c>
      <c r="W2329" t="s">
        <v>34</v>
      </c>
    </row>
    <row r="2330" spans="1:23" x14ac:dyDescent="0.3">
      <c r="A2330" t="s">
        <v>4779</v>
      </c>
      <c r="B2330" t="s">
        <v>225</v>
      </c>
      <c r="C2330" t="s">
        <v>192</v>
      </c>
      <c r="D2330" t="s">
        <v>111</v>
      </c>
      <c r="E2330" t="s">
        <v>5135</v>
      </c>
      <c r="F2330" t="s">
        <v>5133</v>
      </c>
      <c r="G2330" t="s">
        <v>55</v>
      </c>
      <c r="H2330" t="s">
        <v>31</v>
      </c>
      <c r="I2330" t="str">
        <f>LEFT(H2330,FIND(" (",H2330)-1)</f>
        <v>Staff/Principal</v>
      </c>
      <c r="J2330" t="str">
        <f>MID(H2330,FIND("(",H2330)+1,FIND(")",H2330)-FIND("(",H2330)-1)</f>
        <v>8+ yrs</v>
      </c>
      <c r="L2330">
        <v>225039</v>
      </c>
      <c r="M2330" t="s">
        <v>4780</v>
      </c>
      <c r="N2330" t="s">
        <v>43</v>
      </c>
      <c r="O2330" t="s">
        <v>51</v>
      </c>
      <c r="P2330" s="1">
        <v>45735</v>
      </c>
      <c r="Q2330">
        <v>662</v>
      </c>
      <c r="R2330">
        <v>1491</v>
      </c>
      <c r="S2330" t="s">
        <v>23</v>
      </c>
      <c r="T2330">
        <v>6</v>
      </c>
      <c r="U2330" t="s">
        <v>83</v>
      </c>
      <c r="V2330" t="s">
        <v>59</v>
      </c>
      <c r="W2330" t="s">
        <v>34</v>
      </c>
    </row>
    <row r="2331" spans="1:23" x14ac:dyDescent="0.3">
      <c r="A2331" t="s">
        <v>4781</v>
      </c>
      <c r="B2331" t="s">
        <v>225</v>
      </c>
      <c r="C2331" t="s">
        <v>173</v>
      </c>
      <c r="D2331" t="s">
        <v>15</v>
      </c>
      <c r="E2331" t="s">
        <v>5141</v>
      </c>
      <c r="F2331" t="s">
        <v>5133</v>
      </c>
      <c r="G2331" t="s">
        <v>55</v>
      </c>
      <c r="H2331" t="s">
        <v>31</v>
      </c>
      <c r="I2331" t="str">
        <f>LEFT(H2331,FIND(" (",H2331)-1)</f>
        <v>Staff/Principal</v>
      </c>
      <c r="J2331" t="str">
        <f>MID(H2331,FIND("(",H2331)+1,FIND(")",H2331)-FIND("(",H2331)-1)</f>
        <v>8+ yrs</v>
      </c>
      <c r="L2331">
        <v>230567</v>
      </c>
      <c r="M2331" t="s">
        <v>4782</v>
      </c>
      <c r="N2331" t="s">
        <v>33</v>
      </c>
      <c r="O2331" t="s">
        <v>44</v>
      </c>
      <c r="P2331" s="1">
        <v>45625</v>
      </c>
      <c r="Q2331">
        <v>2214</v>
      </c>
      <c r="R2331">
        <v>2843</v>
      </c>
      <c r="S2331" t="s">
        <v>34</v>
      </c>
      <c r="T2331">
        <v>6</v>
      </c>
      <c r="U2331" t="s">
        <v>5123</v>
      </c>
      <c r="V2331" t="s">
        <v>24</v>
      </c>
      <c r="W2331" t="s">
        <v>23</v>
      </c>
    </row>
    <row r="2332" spans="1:23" x14ac:dyDescent="0.3">
      <c r="A2332" t="s">
        <v>4783</v>
      </c>
      <c r="B2332" t="s">
        <v>70</v>
      </c>
      <c r="C2332" t="s">
        <v>239</v>
      </c>
      <c r="D2332" t="s">
        <v>28</v>
      </c>
      <c r="E2332" t="s">
        <v>200</v>
      </c>
      <c r="F2332" t="s">
        <v>201</v>
      </c>
      <c r="G2332" t="s">
        <v>18</v>
      </c>
      <c r="H2332" t="s">
        <v>56</v>
      </c>
      <c r="I2332" t="str">
        <f>LEFT(H2332,FIND(" (",H2332)-1)</f>
        <v>Mid</v>
      </c>
      <c r="J2332" t="str">
        <f>MID(H2332,FIND("(",H2332)+1,FIND(")",H2332)-FIND("(",H2332)-1)</f>
        <v>2-5 yrs</v>
      </c>
      <c r="L2332">
        <v>104179</v>
      </c>
      <c r="M2332" t="s">
        <v>4784</v>
      </c>
      <c r="N2332" t="s">
        <v>33</v>
      </c>
      <c r="O2332" t="s">
        <v>44</v>
      </c>
      <c r="P2332" s="1">
        <v>45624</v>
      </c>
      <c r="Q2332">
        <v>384</v>
      </c>
      <c r="R2332">
        <v>3050</v>
      </c>
      <c r="S2332" t="s">
        <v>23</v>
      </c>
      <c r="T2332">
        <v>2</v>
      </c>
      <c r="U2332" t="s">
        <v>5123</v>
      </c>
      <c r="V2332" t="s">
        <v>24</v>
      </c>
      <c r="W2332" t="s">
        <v>34</v>
      </c>
    </row>
    <row r="2333" spans="1:23" x14ac:dyDescent="0.3">
      <c r="A2333" t="s">
        <v>4785</v>
      </c>
      <c r="B2333" t="s">
        <v>13</v>
      </c>
      <c r="C2333" t="s">
        <v>71</v>
      </c>
      <c r="D2333" t="s">
        <v>63</v>
      </c>
      <c r="E2333" t="s">
        <v>102</v>
      </c>
      <c r="F2333" t="s">
        <v>103</v>
      </c>
      <c r="G2333" t="s">
        <v>18</v>
      </c>
      <c r="H2333" t="s">
        <v>19</v>
      </c>
      <c r="I2333" t="str">
        <f>LEFT(H2333,FIND(" (",H2333)-1)</f>
        <v>Entry</v>
      </c>
      <c r="J2333" t="str">
        <f>MID(H2333,FIND("(",H2333)+1,FIND(")",H2333)-FIND("(",H2333)-1)</f>
        <v>0-2 yrs</v>
      </c>
      <c r="L2333">
        <v>69097</v>
      </c>
      <c r="M2333" t="s">
        <v>4786</v>
      </c>
      <c r="N2333" t="s">
        <v>120</v>
      </c>
      <c r="O2333" t="s">
        <v>79</v>
      </c>
      <c r="P2333" s="1">
        <v>45618</v>
      </c>
      <c r="Q2333">
        <v>2369</v>
      </c>
      <c r="R2333">
        <v>2400</v>
      </c>
      <c r="S2333" t="s">
        <v>34</v>
      </c>
      <c r="T2333">
        <v>0</v>
      </c>
      <c r="U2333" t="s">
        <v>58</v>
      </c>
      <c r="V2333" t="s">
        <v>24</v>
      </c>
      <c r="W2333" t="s">
        <v>23</v>
      </c>
    </row>
    <row r="2334" spans="1:23" x14ac:dyDescent="0.3">
      <c r="A2334" t="s">
        <v>4787</v>
      </c>
      <c r="B2334" t="s">
        <v>96</v>
      </c>
      <c r="C2334" t="s">
        <v>97</v>
      </c>
      <c r="D2334" t="s">
        <v>147</v>
      </c>
      <c r="E2334" t="s">
        <v>5141</v>
      </c>
      <c r="F2334" t="s">
        <v>5133</v>
      </c>
      <c r="G2334" t="s">
        <v>55</v>
      </c>
      <c r="H2334" t="s">
        <v>19</v>
      </c>
      <c r="I2334" t="str">
        <f>LEFT(H2334,FIND(" (",H2334)-1)</f>
        <v>Entry</v>
      </c>
      <c r="J2334" t="str">
        <f>MID(H2334,FIND("(",H2334)+1,FIND(")",H2334)-FIND("(",H2334)-1)</f>
        <v>0-2 yrs</v>
      </c>
      <c r="L2334">
        <v>50874</v>
      </c>
      <c r="M2334" t="s">
        <v>4788</v>
      </c>
      <c r="N2334" t="s">
        <v>33</v>
      </c>
      <c r="O2334" t="s">
        <v>79</v>
      </c>
      <c r="P2334" s="1">
        <v>45519</v>
      </c>
      <c r="Q2334">
        <v>1876</v>
      </c>
      <c r="R2334">
        <v>2749</v>
      </c>
      <c r="S2334" t="s">
        <v>34</v>
      </c>
      <c r="T2334">
        <v>0</v>
      </c>
      <c r="U2334" t="s">
        <v>58</v>
      </c>
      <c r="V2334" t="s">
        <v>24</v>
      </c>
      <c r="W2334" t="s">
        <v>23</v>
      </c>
    </row>
    <row r="2335" spans="1:23" x14ac:dyDescent="0.3">
      <c r="A2335" t="s">
        <v>4789</v>
      </c>
      <c r="B2335" t="s">
        <v>106</v>
      </c>
      <c r="C2335" t="s">
        <v>107</v>
      </c>
      <c r="D2335" t="s">
        <v>63</v>
      </c>
      <c r="E2335" t="s">
        <v>5139</v>
      </c>
      <c r="F2335" t="s">
        <v>5133</v>
      </c>
      <c r="G2335" t="s">
        <v>18</v>
      </c>
      <c r="H2335" t="s">
        <v>56</v>
      </c>
      <c r="I2335" t="str">
        <f>LEFT(H2335,FIND(" (",H2335)-1)</f>
        <v>Mid</v>
      </c>
      <c r="J2335" t="str">
        <f>MID(H2335,FIND("(",H2335)+1,FIND(")",H2335)-FIND("(",H2335)-1)</f>
        <v>2-5 yrs</v>
      </c>
      <c r="L2335">
        <v>102930</v>
      </c>
      <c r="M2335" t="s">
        <v>4790</v>
      </c>
      <c r="N2335" t="s">
        <v>120</v>
      </c>
      <c r="O2335" t="s">
        <v>22</v>
      </c>
      <c r="P2335" s="1">
        <v>45370</v>
      </c>
      <c r="Q2335">
        <v>2402</v>
      </c>
      <c r="R2335">
        <v>2555</v>
      </c>
      <c r="S2335" t="s">
        <v>99</v>
      </c>
      <c r="T2335">
        <v>2</v>
      </c>
      <c r="U2335" t="s">
        <v>52</v>
      </c>
      <c r="V2335" t="s">
        <v>24</v>
      </c>
      <c r="W2335" t="s">
        <v>23</v>
      </c>
    </row>
    <row r="2336" spans="1:23" x14ac:dyDescent="0.3">
      <c r="A2336" t="s">
        <v>4791</v>
      </c>
      <c r="B2336" t="s">
        <v>96</v>
      </c>
      <c r="C2336" t="s">
        <v>54</v>
      </c>
      <c r="D2336" t="s">
        <v>111</v>
      </c>
      <c r="E2336" t="s">
        <v>5132</v>
      </c>
      <c r="F2336" t="s">
        <v>5133</v>
      </c>
      <c r="G2336" t="s">
        <v>18</v>
      </c>
      <c r="H2336" t="s">
        <v>31</v>
      </c>
      <c r="I2336" t="str">
        <f>LEFT(H2336,FIND(" (",H2336)-1)</f>
        <v>Staff/Principal</v>
      </c>
      <c r="J2336" t="str">
        <f>MID(H2336,FIND("(",H2336)+1,FIND(")",H2336)-FIND("(",H2336)-1)</f>
        <v>8+ yrs</v>
      </c>
      <c r="L2336">
        <v>232053</v>
      </c>
      <c r="M2336" t="s">
        <v>4792</v>
      </c>
      <c r="N2336" t="s">
        <v>33</v>
      </c>
      <c r="O2336" t="s">
        <v>44</v>
      </c>
      <c r="P2336" s="1">
        <v>45625</v>
      </c>
      <c r="Q2336">
        <v>2426</v>
      </c>
      <c r="R2336">
        <v>1241</v>
      </c>
      <c r="S2336" t="s">
        <v>23</v>
      </c>
      <c r="T2336">
        <v>6</v>
      </c>
      <c r="U2336" t="s">
        <v>45</v>
      </c>
      <c r="V2336" t="s">
        <v>24</v>
      </c>
      <c r="W2336" t="s">
        <v>23</v>
      </c>
    </row>
    <row r="2337" spans="1:23" x14ac:dyDescent="0.3">
      <c r="A2337" t="s">
        <v>4793</v>
      </c>
      <c r="B2337" t="s">
        <v>143</v>
      </c>
      <c r="C2337" t="s">
        <v>158</v>
      </c>
      <c r="D2337" t="s">
        <v>174</v>
      </c>
      <c r="E2337" t="s">
        <v>76</v>
      </c>
      <c r="F2337" t="s">
        <v>77</v>
      </c>
      <c r="G2337" t="s">
        <v>55</v>
      </c>
      <c r="H2337" t="s">
        <v>56</v>
      </c>
      <c r="I2337" t="str">
        <f>LEFT(H2337,FIND(" (",H2337)-1)</f>
        <v>Mid</v>
      </c>
      <c r="J2337" t="str">
        <f>MID(H2337,FIND("(",H2337)+1,FIND(")",H2337)-FIND("(",H2337)-1)</f>
        <v>2-5 yrs</v>
      </c>
      <c r="L2337">
        <v>121389</v>
      </c>
      <c r="M2337" t="s">
        <v>4794</v>
      </c>
      <c r="N2337" t="s">
        <v>141</v>
      </c>
      <c r="O2337" t="s">
        <v>22</v>
      </c>
      <c r="P2337" s="1">
        <v>45523</v>
      </c>
      <c r="Q2337">
        <v>1584</v>
      </c>
      <c r="R2337">
        <v>689</v>
      </c>
      <c r="S2337" t="s">
        <v>23</v>
      </c>
      <c r="T2337">
        <v>2</v>
      </c>
      <c r="U2337" t="s">
        <v>45</v>
      </c>
      <c r="V2337" t="s">
        <v>24</v>
      </c>
      <c r="W2337" t="s">
        <v>23</v>
      </c>
    </row>
    <row r="2338" spans="1:23" x14ac:dyDescent="0.3">
      <c r="A2338" t="s">
        <v>4795</v>
      </c>
      <c r="B2338" t="s">
        <v>96</v>
      </c>
      <c r="C2338" t="s">
        <v>110</v>
      </c>
      <c r="D2338" t="s">
        <v>38</v>
      </c>
      <c r="E2338" t="s">
        <v>5141</v>
      </c>
      <c r="F2338" t="s">
        <v>5133</v>
      </c>
      <c r="G2338" t="s">
        <v>41</v>
      </c>
      <c r="H2338" t="s">
        <v>19</v>
      </c>
      <c r="I2338" t="str">
        <f>LEFT(H2338,FIND(" (",H2338)-1)</f>
        <v>Entry</v>
      </c>
      <c r="J2338" t="str">
        <f>MID(H2338,FIND("(",H2338)+1,FIND(")",H2338)-FIND("(",H2338)-1)</f>
        <v>0-2 yrs</v>
      </c>
      <c r="L2338">
        <v>76308</v>
      </c>
      <c r="M2338" t="s">
        <v>4796</v>
      </c>
      <c r="N2338" t="s">
        <v>245</v>
      </c>
      <c r="O2338" t="s">
        <v>51</v>
      </c>
      <c r="P2338" s="1">
        <v>45668</v>
      </c>
      <c r="Q2338">
        <v>2327</v>
      </c>
      <c r="R2338">
        <v>1359</v>
      </c>
      <c r="S2338" t="s">
        <v>99</v>
      </c>
      <c r="T2338">
        <v>0</v>
      </c>
      <c r="U2338" t="s">
        <v>5123</v>
      </c>
      <c r="V2338" t="s">
        <v>24</v>
      </c>
      <c r="W2338" t="s">
        <v>34</v>
      </c>
    </row>
    <row r="2339" spans="1:23" x14ac:dyDescent="0.3">
      <c r="A2339" t="s">
        <v>4797</v>
      </c>
      <c r="B2339" t="s">
        <v>13</v>
      </c>
      <c r="C2339" t="s">
        <v>14</v>
      </c>
      <c r="D2339" t="s">
        <v>28</v>
      </c>
      <c r="E2339" t="s">
        <v>5134</v>
      </c>
      <c r="F2339" t="s">
        <v>5133</v>
      </c>
      <c r="G2339" t="s">
        <v>18</v>
      </c>
      <c r="H2339" t="s">
        <v>31</v>
      </c>
      <c r="I2339" t="str">
        <f>LEFT(H2339,FIND(" (",H2339)-1)</f>
        <v>Staff/Principal</v>
      </c>
      <c r="J2339" t="str">
        <f>MID(H2339,FIND("(",H2339)+1,FIND(")",H2339)-FIND("(",H2339)-1)</f>
        <v>8+ yrs</v>
      </c>
      <c r="L2339">
        <v>201791</v>
      </c>
      <c r="M2339" t="s">
        <v>4798</v>
      </c>
      <c r="N2339" t="s">
        <v>94</v>
      </c>
      <c r="O2339" t="s">
        <v>51</v>
      </c>
      <c r="P2339" s="1">
        <v>45317</v>
      </c>
      <c r="Q2339">
        <v>1761</v>
      </c>
      <c r="R2339">
        <v>3646</v>
      </c>
      <c r="S2339" t="s">
        <v>23</v>
      </c>
      <c r="T2339">
        <v>6</v>
      </c>
      <c r="U2339" t="s">
        <v>83</v>
      </c>
      <c r="V2339" t="s">
        <v>24</v>
      </c>
      <c r="W2339" t="s">
        <v>23</v>
      </c>
    </row>
    <row r="2340" spans="1:23" x14ac:dyDescent="0.3">
      <c r="A2340" t="s">
        <v>4799</v>
      </c>
      <c r="B2340" t="s">
        <v>172</v>
      </c>
      <c r="C2340" t="s">
        <v>128</v>
      </c>
      <c r="D2340" t="s">
        <v>147</v>
      </c>
      <c r="E2340" t="s">
        <v>5140</v>
      </c>
      <c r="F2340" t="s">
        <v>5133</v>
      </c>
      <c r="G2340" t="s">
        <v>18</v>
      </c>
      <c r="H2340" t="s">
        <v>19</v>
      </c>
      <c r="I2340" t="str">
        <f>LEFT(H2340,FIND(" (",H2340)-1)</f>
        <v>Entry</v>
      </c>
      <c r="J2340" t="str">
        <f>MID(H2340,FIND("(",H2340)+1,FIND(")",H2340)-FIND("(",H2340)-1)</f>
        <v>0-2 yrs</v>
      </c>
      <c r="L2340">
        <v>70088</v>
      </c>
      <c r="M2340" t="s">
        <v>4800</v>
      </c>
      <c r="N2340" t="s">
        <v>33</v>
      </c>
      <c r="O2340" t="s">
        <v>22</v>
      </c>
      <c r="P2340" s="1">
        <v>45617</v>
      </c>
      <c r="Q2340">
        <v>311</v>
      </c>
      <c r="R2340">
        <v>1365</v>
      </c>
      <c r="S2340" t="s">
        <v>99</v>
      </c>
      <c r="T2340">
        <v>0</v>
      </c>
      <c r="U2340" t="s">
        <v>58</v>
      </c>
      <c r="V2340" t="s">
        <v>59</v>
      </c>
      <c r="W2340" t="s">
        <v>34</v>
      </c>
    </row>
    <row r="2341" spans="1:23" x14ac:dyDescent="0.3">
      <c r="A2341" t="s">
        <v>4801</v>
      </c>
      <c r="B2341" t="s">
        <v>85</v>
      </c>
      <c r="C2341" t="s">
        <v>54</v>
      </c>
      <c r="D2341" t="s">
        <v>125</v>
      </c>
      <c r="E2341" t="s">
        <v>102</v>
      </c>
      <c r="F2341" t="s">
        <v>103</v>
      </c>
      <c r="G2341" t="s">
        <v>41</v>
      </c>
      <c r="H2341" t="s">
        <v>56</v>
      </c>
      <c r="I2341" t="str">
        <f>LEFT(H2341,FIND(" (",H2341)-1)</f>
        <v>Mid</v>
      </c>
      <c r="J2341" t="str">
        <f>MID(H2341,FIND("(",H2341)+1,FIND(")",H2341)-FIND("(",H2341)-1)</f>
        <v>2-5 yrs</v>
      </c>
      <c r="L2341">
        <v>96925</v>
      </c>
      <c r="M2341" t="s">
        <v>4802</v>
      </c>
      <c r="N2341" t="s">
        <v>33</v>
      </c>
      <c r="O2341" t="s">
        <v>22</v>
      </c>
      <c r="P2341" s="1">
        <v>45531</v>
      </c>
      <c r="Q2341">
        <v>2411</v>
      </c>
      <c r="R2341">
        <v>2780</v>
      </c>
      <c r="S2341" t="s">
        <v>23</v>
      </c>
      <c r="T2341">
        <v>2</v>
      </c>
      <c r="U2341" t="s">
        <v>45</v>
      </c>
      <c r="V2341" t="s">
        <v>24</v>
      </c>
      <c r="W2341" t="s">
        <v>34</v>
      </c>
    </row>
    <row r="2342" spans="1:23" x14ac:dyDescent="0.3">
      <c r="A2342" t="s">
        <v>4803</v>
      </c>
      <c r="B2342" t="s">
        <v>225</v>
      </c>
      <c r="C2342" t="s">
        <v>179</v>
      </c>
      <c r="D2342" t="s">
        <v>28</v>
      </c>
      <c r="E2342" t="s">
        <v>16</v>
      </c>
      <c r="F2342" t="s">
        <v>17</v>
      </c>
      <c r="G2342" t="s">
        <v>41</v>
      </c>
      <c r="H2342" t="s">
        <v>56</v>
      </c>
      <c r="I2342" t="str">
        <f>LEFT(H2342,FIND(" (",H2342)-1)</f>
        <v>Mid</v>
      </c>
      <c r="J2342" t="str">
        <f>MID(H2342,FIND("(",H2342)+1,FIND(")",H2342)-FIND("(",H2342)-1)</f>
        <v>2-5 yrs</v>
      </c>
      <c r="L2342">
        <v>123836</v>
      </c>
      <c r="M2342" t="s">
        <v>4804</v>
      </c>
      <c r="N2342" t="s">
        <v>149</v>
      </c>
      <c r="O2342" t="s">
        <v>22</v>
      </c>
      <c r="P2342" s="1">
        <v>45397</v>
      </c>
      <c r="Q2342">
        <v>1396</v>
      </c>
      <c r="R2342">
        <v>3324</v>
      </c>
      <c r="S2342" t="s">
        <v>23</v>
      </c>
      <c r="T2342">
        <v>2</v>
      </c>
      <c r="U2342" t="s">
        <v>5123</v>
      </c>
      <c r="V2342" t="s">
        <v>24</v>
      </c>
      <c r="W2342" t="s">
        <v>23</v>
      </c>
    </row>
    <row r="2343" spans="1:23" x14ac:dyDescent="0.3">
      <c r="A2343" t="s">
        <v>4805</v>
      </c>
      <c r="B2343" t="s">
        <v>36</v>
      </c>
      <c r="C2343" t="s">
        <v>239</v>
      </c>
      <c r="D2343" t="s">
        <v>125</v>
      </c>
      <c r="E2343" t="s">
        <v>200</v>
      </c>
      <c r="F2343" t="s">
        <v>201</v>
      </c>
      <c r="G2343" t="s">
        <v>55</v>
      </c>
      <c r="H2343" t="s">
        <v>66</v>
      </c>
      <c r="I2343" t="str">
        <f>LEFT(H2343,FIND(" (",H2343)-1)</f>
        <v>Senior</v>
      </c>
      <c r="J2343" t="str">
        <f>MID(H2343,FIND("(",H2343)+1,FIND(")",H2343)-FIND("(",H2343)-1)</f>
        <v>5-8 yrs</v>
      </c>
      <c r="L2343">
        <v>161366</v>
      </c>
      <c r="M2343" t="s">
        <v>4806</v>
      </c>
      <c r="N2343" t="s">
        <v>21</v>
      </c>
      <c r="O2343" t="s">
        <v>44</v>
      </c>
      <c r="P2343" s="1">
        <v>45680</v>
      </c>
      <c r="Q2343">
        <v>2129</v>
      </c>
      <c r="R2343">
        <v>3865</v>
      </c>
      <c r="S2343" t="s">
        <v>23</v>
      </c>
      <c r="T2343">
        <v>4</v>
      </c>
      <c r="U2343" t="s">
        <v>45</v>
      </c>
      <c r="V2343" t="s">
        <v>24</v>
      </c>
      <c r="W2343" t="s">
        <v>23</v>
      </c>
    </row>
    <row r="2344" spans="1:23" x14ac:dyDescent="0.3">
      <c r="A2344" t="s">
        <v>4807</v>
      </c>
      <c r="B2344" t="s">
        <v>329</v>
      </c>
      <c r="C2344" t="s">
        <v>158</v>
      </c>
      <c r="D2344" t="s">
        <v>15</v>
      </c>
      <c r="E2344" t="s">
        <v>5140</v>
      </c>
      <c r="F2344" t="s">
        <v>5133</v>
      </c>
      <c r="G2344" t="s">
        <v>41</v>
      </c>
      <c r="H2344" t="s">
        <v>66</v>
      </c>
      <c r="I2344" t="str">
        <f>LEFT(H2344,FIND(" (",H2344)-1)</f>
        <v>Senior</v>
      </c>
      <c r="J2344" t="str">
        <f>MID(H2344,FIND("(",H2344)+1,FIND(")",H2344)-FIND("(",H2344)-1)</f>
        <v>5-8 yrs</v>
      </c>
      <c r="L2344">
        <v>163284</v>
      </c>
      <c r="M2344" t="s">
        <v>4808</v>
      </c>
      <c r="N2344" t="s">
        <v>149</v>
      </c>
      <c r="O2344" t="s">
        <v>79</v>
      </c>
      <c r="P2344" s="1">
        <v>45322</v>
      </c>
      <c r="Q2344">
        <v>667</v>
      </c>
      <c r="R2344">
        <v>2684</v>
      </c>
      <c r="S2344" t="s">
        <v>23</v>
      </c>
      <c r="T2344">
        <v>4</v>
      </c>
      <c r="U2344" t="s">
        <v>58</v>
      </c>
      <c r="V2344" t="s">
        <v>24</v>
      </c>
      <c r="W2344" t="s">
        <v>34</v>
      </c>
    </row>
    <row r="2345" spans="1:23" x14ac:dyDescent="0.3">
      <c r="A2345" t="s">
        <v>4809</v>
      </c>
      <c r="B2345" t="s">
        <v>225</v>
      </c>
      <c r="C2345" t="s">
        <v>48</v>
      </c>
      <c r="D2345" t="s">
        <v>147</v>
      </c>
      <c r="E2345" t="s">
        <v>16</v>
      </c>
      <c r="F2345" t="s">
        <v>17</v>
      </c>
      <c r="G2345" t="s">
        <v>18</v>
      </c>
      <c r="H2345" t="s">
        <v>19</v>
      </c>
      <c r="I2345" t="str">
        <f>LEFT(H2345,FIND(" (",H2345)-1)</f>
        <v>Entry</v>
      </c>
      <c r="J2345" t="str">
        <f>MID(H2345,FIND("(",H2345)+1,FIND(")",H2345)-FIND("(",H2345)-1)</f>
        <v>0-2 yrs</v>
      </c>
      <c r="L2345">
        <v>63371</v>
      </c>
      <c r="M2345" t="s">
        <v>4810</v>
      </c>
      <c r="N2345" t="s">
        <v>33</v>
      </c>
      <c r="O2345" t="s">
        <v>44</v>
      </c>
      <c r="P2345" s="1">
        <v>45671</v>
      </c>
      <c r="Q2345">
        <v>677</v>
      </c>
      <c r="R2345">
        <v>2958</v>
      </c>
      <c r="S2345" t="s">
        <v>23</v>
      </c>
      <c r="T2345">
        <v>0</v>
      </c>
      <c r="U2345" t="s">
        <v>45</v>
      </c>
      <c r="V2345" t="s">
        <v>24</v>
      </c>
      <c r="W2345" t="s">
        <v>23</v>
      </c>
    </row>
    <row r="2346" spans="1:23" x14ac:dyDescent="0.3">
      <c r="A2346" t="s">
        <v>4811</v>
      </c>
      <c r="B2346" t="s">
        <v>70</v>
      </c>
      <c r="C2346" t="s">
        <v>226</v>
      </c>
      <c r="D2346" t="s">
        <v>63</v>
      </c>
      <c r="E2346" t="s">
        <v>102</v>
      </c>
      <c r="F2346" t="s">
        <v>103</v>
      </c>
      <c r="G2346" t="s">
        <v>18</v>
      </c>
      <c r="H2346" t="s">
        <v>19</v>
      </c>
      <c r="I2346" t="str">
        <f>LEFT(H2346,FIND(" (",H2346)-1)</f>
        <v>Entry</v>
      </c>
      <c r="J2346" t="str">
        <f>MID(H2346,FIND("(",H2346)+1,FIND(")",H2346)-FIND("(",H2346)-1)</f>
        <v>0-2 yrs</v>
      </c>
      <c r="L2346">
        <v>50000</v>
      </c>
      <c r="M2346" t="s">
        <v>4812</v>
      </c>
      <c r="N2346" t="s">
        <v>141</v>
      </c>
      <c r="O2346" t="s">
        <v>44</v>
      </c>
      <c r="P2346" s="1">
        <v>45482</v>
      </c>
      <c r="Q2346">
        <v>870</v>
      </c>
      <c r="R2346">
        <v>2418</v>
      </c>
      <c r="S2346" t="s">
        <v>23</v>
      </c>
      <c r="T2346">
        <v>0</v>
      </c>
      <c r="U2346" t="s">
        <v>58</v>
      </c>
      <c r="V2346" t="s">
        <v>46</v>
      </c>
      <c r="W2346" t="s">
        <v>34</v>
      </c>
    </row>
    <row r="2347" spans="1:23" x14ac:dyDescent="0.3">
      <c r="A2347" t="s">
        <v>4813</v>
      </c>
      <c r="B2347" t="s">
        <v>229</v>
      </c>
      <c r="C2347" t="s">
        <v>158</v>
      </c>
      <c r="D2347" t="s">
        <v>28</v>
      </c>
      <c r="E2347" t="s">
        <v>5140</v>
      </c>
      <c r="F2347" t="s">
        <v>5133</v>
      </c>
      <c r="G2347" t="s">
        <v>18</v>
      </c>
      <c r="H2347" t="s">
        <v>66</v>
      </c>
      <c r="I2347" t="str">
        <f>LEFT(H2347,FIND(" (",H2347)-1)</f>
        <v>Senior</v>
      </c>
      <c r="J2347" t="str">
        <f>MID(H2347,FIND("(",H2347)+1,FIND(")",H2347)-FIND("(",H2347)-1)</f>
        <v>5-8 yrs</v>
      </c>
      <c r="L2347">
        <v>179623</v>
      </c>
      <c r="M2347" t="s">
        <v>4814</v>
      </c>
      <c r="N2347" t="s">
        <v>21</v>
      </c>
      <c r="O2347" t="s">
        <v>44</v>
      </c>
      <c r="P2347" s="1">
        <v>45458</v>
      </c>
      <c r="Q2347">
        <v>2045</v>
      </c>
      <c r="R2347">
        <v>3126</v>
      </c>
      <c r="S2347" t="s">
        <v>23</v>
      </c>
      <c r="T2347">
        <v>4</v>
      </c>
      <c r="U2347" t="s">
        <v>5123</v>
      </c>
      <c r="V2347" t="s">
        <v>24</v>
      </c>
      <c r="W2347" t="s">
        <v>23</v>
      </c>
    </row>
    <row r="2348" spans="1:23" x14ac:dyDescent="0.3">
      <c r="A2348" t="s">
        <v>4815</v>
      </c>
      <c r="B2348" t="s">
        <v>151</v>
      </c>
      <c r="C2348" t="s">
        <v>27</v>
      </c>
      <c r="D2348" t="s">
        <v>38</v>
      </c>
      <c r="E2348" t="s">
        <v>5137</v>
      </c>
      <c r="F2348" t="s">
        <v>5138</v>
      </c>
      <c r="G2348" t="s">
        <v>55</v>
      </c>
      <c r="H2348" t="s">
        <v>31</v>
      </c>
      <c r="I2348" t="str">
        <f>LEFT(H2348,FIND(" (",H2348)-1)</f>
        <v>Staff/Principal</v>
      </c>
      <c r="J2348" t="str">
        <f>MID(H2348,FIND("(",H2348)+1,FIND(")",H2348)-FIND("(",H2348)-1)</f>
        <v>8+ yrs</v>
      </c>
      <c r="L2348">
        <v>182761</v>
      </c>
      <c r="M2348" t="s">
        <v>4816</v>
      </c>
      <c r="N2348" t="s">
        <v>186</v>
      </c>
      <c r="O2348" t="s">
        <v>44</v>
      </c>
      <c r="P2348" s="1">
        <v>45718</v>
      </c>
      <c r="Q2348">
        <v>1513</v>
      </c>
      <c r="R2348">
        <v>685</v>
      </c>
      <c r="S2348" t="s">
        <v>23</v>
      </c>
      <c r="T2348">
        <v>6</v>
      </c>
      <c r="U2348" t="s">
        <v>5123</v>
      </c>
      <c r="V2348" t="s">
        <v>46</v>
      </c>
      <c r="W2348" t="s">
        <v>23</v>
      </c>
    </row>
    <row r="2349" spans="1:23" x14ac:dyDescent="0.3">
      <c r="A2349" t="s">
        <v>4817</v>
      </c>
      <c r="B2349" t="s">
        <v>70</v>
      </c>
      <c r="C2349" t="s">
        <v>14</v>
      </c>
      <c r="D2349" t="s">
        <v>147</v>
      </c>
      <c r="E2349" t="s">
        <v>64</v>
      </c>
      <c r="F2349" t="s">
        <v>65</v>
      </c>
      <c r="G2349" t="s">
        <v>41</v>
      </c>
      <c r="H2349" t="s">
        <v>31</v>
      </c>
      <c r="I2349" t="str">
        <f>LEFT(H2349,FIND(" (",H2349)-1)</f>
        <v>Staff/Principal</v>
      </c>
      <c r="J2349" t="str">
        <f>MID(H2349,FIND("(",H2349)+1,FIND(")",H2349)-FIND("(",H2349)-1)</f>
        <v>8+ yrs</v>
      </c>
      <c r="L2349">
        <v>168940</v>
      </c>
      <c r="M2349" t="s">
        <v>4818</v>
      </c>
      <c r="N2349" t="s">
        <v>186</v>
      </c>
      <c r="O2349" t="s">
        <v>22</v>
      </c>
      <c r="P2349" s="1">
        <v>45323</v>
      </c>
      <c r="Q2349">
        <v>523</v>
      </c>
      <c r="R2349">
        <v>912</v>
      </c>
      <c r="S2349" t="s">
        <v>23</v>
      </c>
      <c r="T2349">
        <v>6</v>
      </c>
      <c r="U2349" t="s">
        <v>58</v>
      </c>
      <c r="V2349" t="s">
        <v>24</v>
      </c>
      <c r="W2349" t="s">
        <v>23</v>
      </c>
    </row>
    <row r="2350" spans="1:23" x14ac:dyDescent="0.3">
      <c r="A2350" t="s">
        <v>4819</v>
      </c>
      <c r="B2350" t="s">
        <v>36</v>
      </c>
      <c r="C2350" t="s">
        <v>101</v>
      </c>
      <c r="D2350" t="s">
        <v>111</v>
      </c>
      <c r="E2350" t="s">
        <v>5137</v>
      </c>
      <c r="F2350" t="s">
        <v>5138</v>
      </c>
      <c r="G2350" t="s">
        <v>41</v>
      </c>
      <c r="H2350" t="s">
        <v>19</v>
      </c>
      <c r="I2350" t="str">
        <f>LEFT(H2350,FIND(" (",H2350)-1)</f>
        <v>Entry</v>
      </c>
      <c r="J2350" t="str">
        <f>MID(H2350,FIND("(",H2350)+1,FIND(")",H2350)-FIND("(",H2350)-1)</f>
        <v>0-2 yrs</v>
      </c>
      <c r="L2350">
        <v>78737</v>
      </c>
      <c r="M2350" t="s">
        <v>4820</v>
      </c>
      <c r="N2350" t="s">
        <v>33</v>
      </c>
      <c r="O2350" t="s">
        <v>51</v>
      </c>
      <c r="P2350" s="1">
        <v>45722</v>
      </c>
      <c r="Q2350">
        <v>1467</v>
      </c>
      <c r="R2350">
        <v>1699</v>
      </c>
      <c r="S2350" t="s">
        <v>23</v>
      </c>
      <c r="T2350">
        <v>0</v>
      </c>
      <c r="U2350" t="s">
        <v>83</v>
      </c>
      <c r="V2350" t="s">
        <v>46</v>
      </c>
      <c r="W2350" t="s">
        <v>34</v>
      </c>
    </row>
    <row r="2351" spans="1:23" x14ac:dyDescent="0.3">
      <c r="A2351" t="s">
        <v>4821</v>
      </c>
      <c r="B2351" t="s">
        <v>229</v>
      </c>
      <c r="C2351" t="s">
        <v>62</v>
      </c>
      <c r="D2351" t="s">
        <v>38</v>
      </c>
      <c r="E2351" t="s">
        <v>16</v>
      </c>
      <c r="F2351" t="s">
        <v>17</v>
      </c>
      <c r="G2351" t="s">
        <v>41</v>
      </c>
      <c r="H2351" t="s">
        <v>31</v>
      </c>
      <c r="I2351" t="str">
        <f>LEFT(H2351,FIND(" (",H2351)-1)</f>
        <v>Staff/Principal</v>
      </c>
      <c r="J2351" t="str">
        <f>MID(H2351,FIND("(",H2351)+1,FIND(")",H2351)-FIND("(",H2351)-1)</f>
        <v>8+ yrs</v>
      </c>
      <c r="L2351">
        <v>185887</v>
      </c>
      <c r="M2351" t="s">
        <v>4822</v>
      </c>
      <c r="N2351" t="s">
        <v>33</v>
      </c>
      <c r="O2351" t="s">
        <v>22</v>
      </c>
      <c r="P2351" s="1">
        <v>45715</v>
      </c>
      <c r="Q2351">
        <v>2307</v>
      </c>
      <c r="R2351">
        <v>2226</v>
      </c>
      <c r="S2351" t="s">
        <v>23</v>
      </c>
      <c r="T2351">
        <v>6</v>
      </c>
      <c r="U2351" t="s">
        <v>58</v>
      </c>
      <c r="V2351" t="s">
        <v>24</v>
      </c>
      <c r="W2351" t="s">
        <v>23</v>
      </c>
    </row>
    <row r="2352" spans="1:23" x14ac:dyDescent="0.3">
      <c r="A2352" t="s">
        <v>4823</v>
      </c>
      <c r="B2352" t="s">
        <v>131</v>
      </c>
      <c r="C2352" t="s">
        <v>167</v>
      </c>
      <c r="D2352" t="s">
        <v>63</v>
      </c>
      <c r="E2352" t="s">
        <v>16</v>
      </c>
      <c r="F2352" t="s">
        <v>17</v>
      </c>
      <c r="G2352" t="s">
        <v>41</v>
      </c>
      <c r="H2352" t="s">
        <v>56</v>
      </c>
      <c r="I2352" t="str">
        <f>LEFT(H2352,FIND(" (",H2352)-1)</f>
        <v>Mid</v>
      </c>
      <c r="J2352" t="str">
        <f>MID(H2352,FIND("(",H2352)+1,FIND(")",H2352)-FIND("(",H2352)-1)</f>
        <v>2-5 yrs</v>
      </c>
      <c r="L2352">
        <v>130986</v>
      </c>
      <c r="M2352" t="s">
        <v>4824</v>
      </c>
      <c r="N2352" t="s">
        <v>33</v>
      </c>
      <c r="O2352" t="s">
        <v>79</v>
      </c>
      <c r="P2352" s="1">
        <v>45525</v>
      </c>
      <c r="Q2352">
        <v>2357</v>
      </c>
      <c r="R2352">
        <v>777</v>
      </c>
      <c r="S2352" t="s">
        <v>99</v>
      </c>
      <c r="T2352">
        <v>2</v>
      </c>
      <c r="U2352" t="s">
        <v>52</v>
      </c>
      <c r="V2352" t="s">
        <v>24</v>
      </c>
      <c r="W2352" t="s">
        <v>23</v>
      </c>
    </row>
    <row r="2353" spans="1:23" x14ac:dyDescent="0.3">
      <c r="A2353" t="s">
        <v>4825</v>
      </c>
      <c r="B2353" t="s">
        <v>229</v>
      </c>
      <c r="C2353" t="s">
        <v>204</v>
      </c>
      <c r="D2353" t="s">
        <v>38</v>
      </c>
      <c r="E2353" t="s">
        <v>5136</v>
      </c>
      <c r="F2353" t="s">
        <v>5133</v>
      </c>
      <c r="G2353" t="s">
        <v>55</v>
      </c>
      <c r="H2353" t="s">
        <v>31</v>
      </c>
      <c r="I2353" t="str">
        <f>LEFT(H2353,FIND(" (",H2353)-1)</f>
        <v>Staff/Principal</v>
      </c>
      <c r="J2353" t="str">
        <f>MID(H2353,FIND("(",H2353)+1,FIND(")",H2353)-FIND("(",H2353)-1)</f>
        <v>8+ yrs</v>
      </c>
      <c r="L2353">
        <v>222212</v>
      </c>
      <c r="M2353" t="s">
        <v>4826</v>
      </c>
      <c r="N2353" t="s">
        <v>33</v>
      </c>
      <c r="O2353" t="s">
        <v>51</v>
      </c>
      <c r="P2353" s="1">
        <v>45423</v>
      </c>
      <c r="Q2353">
        <v>920</v>
      </c>
      <c r="R2353">
        <v>2987</v>
      </c>
      <c r="S2353" t="s">
        <v>23</v>
      </c>
      <c r="T2353">
        <v>6</v>
      </c>
      <c r="U2353" t="s">
        <v>5123</v>
      </c>
      <c r="V2353" t="s">
        <v>59</v>
      </c>
      <c r="W2353" t="s">
        <v>34</v>
      </c>
    </row>
    <row r="2354" spans="1:23" x14ac:dyDescent="0.3">
      <c r="A2354" t="s">
        <v>4827</v>
      </c>
      <c r="B2354" t="s">
        <v>131</v>
      </c>
      <c r="C2354" t="s">
        <v>158</v>
      </c>
      <c r="D2354" t="s">
        <v>49</v>
      </c>
      <c r="E2354" t="s">
        <v>16</v>
      </c>
      <c r="F2354" t="s">
        <v>17</v>
      </c>
      <c r="G2354" t="s">
        <v>18</v>
      </c>
      <c r="H2354" t="s">
        <v>19</v>
      </c>
      <c r="I2354" t="str">
        <f>LEFT(H2354,FIND(" (",H2354)-1)</f>
        <v>Entry</v>
      </c>
      <c r="J2354" t="str">
        <f>MID(H2354,FIND("(",H2354)+1,FIND(")",H2354)-FIND("(",H2354)-1)</f>
        <v>0-2 yrs</v>
      </c>
      <c r="L2354">
        <v>78612</v>
      </c>
      <c r="M2354" t="s">
        <v>4828</v>
      </c>
      <c r="N2354" t="s">
        <v>33</v>
      </c>
      <c r="O2354" t="s">
        <v>51</v>
      </c>
      <c r="P2354" s="1">
        <v>45373</v>
      </c>
      <c r="Q2354">
        <v>2140</v>
      </c>
      <c r="R2354">
        <v>336</v>
      </c>
      <c r="S2354" t="s">
        <v>23</v>
      </c>
      <c r="T2354">
        <v>0</v>
      </c>
      <c r="U2354" t="s">
        <v>45</v>
      </c>
      <c r="V2354" t="s">
        <v>24</v>
      </c>
      <c r="W2354" t="s">
        <v>34</v>
      </c>
    </row>
    <row r="2355" spans="1:23" x14ac:dyDescent="0.3">
      <c r="A2355" t="s">
        <v>4829</v>
      </c>
      <c r="B2355" t="s">
        <v>222</v>
      </c>
      <c r="C2355" t="s">
        <v>110</v>
      </c>
      <c r="D2355" t="s">
        <v>174</v>
      </c>
      <c r="E2355" t="s">
        <v>5137</v>
      </c>
      <c r="F2355" t="s">
        <v>5138</v>
      </c>
      <c r="G2355" t="s">
        <v>18</v>
      </c>
      <c r="H2355" t="s">
        <v>56</v>
      </c>
      <c r="I2355" t="str">
        <f>LEFT(H2355,FIND(" (",H2355)-1)</f>
        <v>Mid</v>
      </c>
      <c r="J2355" t="str">
        <f>MID(H2355,FIND("(",H2355)+1,FIND(")",H2355)-FIND("(",H2355)-1)</f>
        <v>2-5 yrs</v>
      </c>
      <c r="L2355">
        <v>82954</v>
      </c>
      <c r="M2355" t="s">
        <v>4830</v>
      </c>
      <c r="N2355" t="s">
        <v>21</v>
      </c>
      <c r="O2355" t="s">
        <v>22</v>
      </c>
      <c r="P2355" s="1">
        <v>45583</v>
      </c>
      <c r="Q2355">
        <v>605</v>
      </c>
      <c r="R2355">
        <v>2914</v>
      </c>
      <c r="S2355" t="s">
        <v>34</v>
      </c>
      <c r="T2355">
        <v>2</v>
      </c>
      <c r="U2355" t="s">
        <v>83</v>
      </c>
      <c r="V2355" t="s">
        <v>59</v>
      </c>
      <c r="W2355" t="s">
        <v>34</v>
      </c>
    </row>
    <row r="2356" spans="1:23" x14ac:dyDescent="0.3">
      <c r="A2356" t="s">
        <v>4831</v>
      </c>
      <c r="B2356" t="s">
        <v>172</v>
      </c>
      <c r="C2356" t="s">
        <v>74</v>
      </c>
      <c r="D2356" t="s">
        <v>49</v>
      </c>
      <c r="E2356" t="s">
        <v>230</v>
      </c>
      <c r="F2356" t="s">
        <v>231</v>
      </c>
      <c r="G2356" t="s">
        <v>18</v>
      </c>
      <c r="H2356" t="s">
        <v>19</v>
      </c>
      <c r="I2356" t="str">
        <f>LEFT(H2356,FIND(" (",H2356)-1)</f>
        <v>Entry</v>
      </c>
      <c r="J2356" t="str">
        <f>MID(H2356,FIND("(",H2356)+1,FIND(")",H2356)-FIND("(",H2356)-1)</f>
        <v>0-2 yrs</v>
      </c>
      <c r="L2356">
        <v>85270</v>
      </c>
      <c r="M2356" t="s">
        <v>4832</v>
      </c>
      <c r="N2356" t="s">
        <v>33</v>
      </c>
      <c r="O2356" t="s">
        <v>51</v>
      </c>
      <c r="P2356" s="1">
        <v>45448</v>
      </c>
      <c r="Q2356">
        <v>1212</v>
      </c>
      <c r="R2356">
        <v>2534</v>
      </c>
      <c r="S2356" t="s">
        <v>23</v>
      </c>
      <c r="T2356">
        <v>0</v>
      </c>
      <c r="U2356" t="s">
        <v>52</v>
      </c>
      <c r="V2356" t="s">
        <v>24</v>
      </c>
      <c r="W2356" t="s">
        <v>23</v>
      </c>
    </row>
    <row r="2357" spans="1:23" x14ac:dyDescent="0.3">
      <c r="A2357" t="s">
        <v>4833</v>
      </c>
      <c r="B2357" t="s">
        <v>70</v>
      </c>
      <c r="C2357" t="s">
        <v>48</v>
      </c>
      <c r="D2357" t="s">
        <v>15</v>
      </c>
      <c r="E2357" t="s">
        <v>216</v>
      </c>
      <c r="F2357" t="s">
        <v>217</v>
      </c>
      <c r="G2357" t="s">
        <v>55</v>
      </c>
      <c r="H2357" t="s">
        <v>19</v>
      </c>
      <c r="I2357" t="str">
        <f>LEFT(H2357,FIND(" (",H2357)-1)</f>
        <v>Entry</v>
      </c>
      <c r="J2357" t="str">
        <f>MID(H2357,FIND("(",H2357)+1,FIND(")",H2357)-FIND("(",H2357)-1)</f>
        <v>0-2 yrs</v>
      </c>
      <c r="L2357">
        <v>73291</v>
      </c>
      <c r="M2357" t="s">
        <v>4834</v>
      </c>
      <c r="N2357" t="s">
        <v>141</v>
      </c>
      <c r="O2357" t="s">
        <v>51</v>
      </c>
      <c r="P2357" s="1">
        <v>45374</v>
      </c>
      <c r="Q2357">
        <v>2440</v>
      </c>
      <c r="R2357">
        <v>307</v>
      </c>
      <c r="S2357" t="s">
        <v>99</v>
      </c>
      <c r="T2357">
        <v>0</v>
      </c>
      <c r="U2357" t="s">
        <v>45</v>
      </c>
      <c r="V2357" t="s">
        <v>24</v>
      </c>
      <c r="W2357" t="s">
        <v>34</v>
      </c>
    </row>
    <row r="2358" spans="1:23" x14ac:dyDescent="0.3">
      <c r="A2358" t="s">
        <v>4835</v>
      </c>
      <c r="B2358" t="s">
        <v>329</v>
      </c>
      <c r="C2358" t="s">
        <v>14</v>
      </c>
      <c r="D2358" t="s">
        <v>63</v>
      </c>
      <c r="E2358" t="s">
        <v>5137</v>
      </c>
      <c r="F2358" t="s">
        <v>5138</v>
      </c>
      <c r="G2358" t="s">
        <v>18</v>
      </c>
      <c r="H2358" t="s">
        <v>31</v>
      </c>
      <c r="I2358" t="str">
        <f>LEFT(H2358,FIND(" (",H2358)-1)</f>
        <v>Staff/Principal</v>
      </c>
      <c r="J2358" t="str">
        <f>MID(H2358,FIND("(",H2358)+1,FIND(")",H2358)-FIND("(",H2358)-1)</f>
        <v>8+ yrs</v>
      </c>
      <c r="L2358">
        <v>186706</v>
      </c>
      <c r="M2358" t="s">
        <v>4836</v>
      </c>
      <c r="N2358" t="s">
        <v>33</v>
      </c>
      <c r="O2358" t="s">
        <v>22</v>
      </c>
      <c r="P2358" s="1">
        <v>45680</v>
      </c>
      <c r="Q2358">
        <v>422</v>
      </c>
      <c r="R2358">
        <v>1412</v>
      </c>
      <c r="S2358" t="s">
        <v>23</v>
      </c>
      <c r="T2358">
        <v>6</v>
      </c>
      <c r="U2358" t="s">
        <v>45</v>
      </c>
      <c r="V2358" t="s">
        <v>24</v>
      </c>
      <c r="W2358" t="s">
        <v>34</v>
      </c>
    </row>
    <row r="2359" spans="1:23" x14ac:dyDescent="0.3">
      <c r="A2359" t="s">
        <v>4837</v>
      </c>
      <c r="B2359" t="s">
        <v>151</v>
      </c>
      <c r="C2359" t="s">
        <v>204</v>
      </c>
      <c r="D2359" t="s">
        <v>49</v>
      </c>
      <c r="E2359" t="s">
        <v>216</v>
      </c>
      <c r="F2359" t="s">
        <v>217</v>
      </c>
      <c r="G2359" t="s">
        <v>41</v>
      </c>
      <c r="H2359" t="s">
        <v>66</v>
      </c>
      <c r="I2359" t="str">
        <f>LEFT(H2359,FIND(" (",H2359)-1)</f>
        <v>Senior</v>
      </c>
      <c r="J2359" t="str">
        <f>MID(H2359,FIND("(",H2359)+1,FIND(")",H2359)-FIND("(",H2359)-1)</f>
        <v>5-8 yrs</v>
      </c>
      <c r="L2359">
        <v>153871</v>
      </c>
      <c r="M2359" t="s">
        <v>4838</v>
      </c>
      <c r="N2359" t="s">
        <v>186</v>
      </c>
      <c r="O2359" t="s">
        <v>51</v>
      </c>
      <c r="P2359" s="1">
        <v>45540</v>
      </c>
      <c r="Q2359">
        <v>2429</v>
      </c>
      <c r="R2359">
        <v>3552</v>
      </c>
      <c r="S2359" t="s">
        <v>23</v>
      </c>
      <c r="T2359">
        <v>4</v>
      </c>
      <c r="U2359" t="s">
        <v>58</v>
      </c>
      <c r="V2359" t="s">
        <v>24</v>
      </c>
      <c r="W2359" t="s">
        <v>23</v>
      </c>
    </row>
    <row r="2360" spans="1:23" x14ac:dyDescent="0.3">
      <c r="A2360" t="s">
        <v>4839</v>
      </c>
      <c r="B2360" t="s">
        <v>329</v>
      </c>
      <c r="C2360" t="s">
        <v>116</v>
      </c>
      <c r="D2360" t="s">
        <v>174</v>
      </c>
      <c r="E2360" t="s">
        <v>64</v>
      </c>
      <c r="F2360" t="s">
        <v>65</v>
      </c>
      <c r="G2360" t="s">
        <v>41</v>
      </c>
      <c r="H2360" t="s">
        <v>56</v>
      </c>
      <c r="I2360" t="str">
        <f>LEFT(H2360,FIND(" (",H2360)-1)</f>
        <v>Mid</v>
      </c>
      <c r="J2360" t="str">
        <f>MID(H2360,FIND("(",H2360)+1,FIND(")",H2360)-FIND("(",H2360)-1)</f>
        <v>2-5 yrs</v>
      </c>
      <c r="L2360">
        <v>74830</v>
      </c>
      <c r="M2360" t="s">
        <v>4840</v>
      </c>
      <c r="N2360" t="s">
        <v>21</v>
      </c>
      <c r="O2360" t="s">
        <v>44</v>
      </c>
      <c r="P2360" s="1">
        <v>45604</v>
      </c>
      <c r="Q2360">
        <v>1167</v>
      </c>
      <c r="R2360">
        <v>751</v>
      </c>
      <c r="S2360" t="s">
        <v>99</v>
      </c>
      <c r="T2360">
        <v>2</v>
      </c>
      <c r="U2360" t="s">
        <v>5123</v>
      </c>
      <c r="V2360" t="s">
        <v>24</v>
      </c>
      <c r="W2360" t="s">
        <v>34</v>
      </c>
    </row>
    <row r="2361" spans="1:23" x14ac:dyDescent="0.3">
      <c r="A2361" t="s">
        <v>4841</v>
      </c>
      <c r="B2361" t="s">
        <v>151</v>
      </c>
      <c r="C2361" t="s">
        <v>132</v>
      </c>
      <c r="D2361" t="s">
        <v>75</v>
      </c>
      <c r="E2361" t="s">
        <v>5134</v>
      </c>
      <c r="F2361" t="s">
        <v>5133</v>
      </c>
      <c r="G2361" t="s">
        <v>18</v>
      </c>
      <c r="H2361" t="s">
        <v>56</v>
      </c>
      <c r="I2361" t="str">
        <f>LEFT(H2361,FIND(" (",H2361)-1)</f>
        <v>Mid</v>
      </c>
      <c r="J2361" t="str">
        <f>MID(H2361,FIND("(",H2361)+1,FIND(")",H2361)-FIND("(",H2361)-1)</f>
        <v>2-5 yrs</v>
      </c>
      <c r="L2361">
        <v>118091</v>
      </c>
      <c r="M2361" t="s">
        <v>4842</v>
      </c>
      <c r="N2361" t="s">
        <v>33</v>
      </c>
      <c r="O2361" t="s">
        <v>51</v>
      </c>
      <c r="P2361" s="1">
        <v>45426</v>
      </c>
      <c r="Q2361">
        <v>1553</v>
      </c>
      <c r="R2361">
        <v>3492</v>
      </c>
      <c r="S2361" t="s">
        <v>23</v>
      </c>
      <c r="T2361">
        <v>2</v>
      </c>
      <c r="U2361" t="s">
        <v>58</v>
      </c>
      <c r="V2361" t="s">
        <v>24</v>
      </c>
      <c r="W2361" t="s">
        <v>34</v>
      </c>
    </row>
    <row r="2362" spans="1:23" x14ac:dyDescent="0.3">
      <c r="A2362" t="s">
        <v>4843</v>
      </c>
      <c r="B2362" t="s">
        <v>225</v>
      </c>
      <c r="C2362" t="s">
        <v>101</v>
      </c>
      <c r="D2362" t="s">
        <v>49</v>
      </c>
      <c r="E2362" t="s">
        <v>16</v>
      </c>
      <c r="F2362" t="s">
        <v>17</v>
      </c>
      <c r="G2362" t="s">
        <v>18</v>
      </c>
      <c r="H2362" t="s">
        <v>66</v>
      </c>
      <c r="I2362" t="str">
        <f>LEFT(H2362,FIND(" (",H2362)-1)</f>
        <v>Senior</v>
      </c>
      <c r="J2362" t="str">
        <f>MID(H2362,FIND("(",H2362)+1,FIND(")",H2362)-FIND("(",H2362)-1)</f>
        <v>5-8 yrs</v>
      </c>
      <c r="L2362">
        <v>122206</v>
      </c>
      <c r="M2362" t="s">
        <v>4844</v>
      </c>
      <c r="N2362" t="s">
        <v>186</v>
      </c>
      <c r="O2362" t="s">
        <v>51</v>
      </c>
      <c r="P2362" s="1">
        <v>45434</v>
      </c>
      <c r="Q2362">
        <v>1688</v>
      </c>
      <c r="R2362">
        <v>1964</v>
      </c>
      <c r="S2362" t="s">
        <v>23</v>
      </c>
      <c r="T2362">
        <v>4</v>
      </c>
      <c r="U2362" t="s">
        <v>45</v>
      </c>
      <c r="V2362" t="s">
        <v>59</v>
      </c>
      <c r="W2362" t="s">
        <v>23</v>
      </c>
    </row>
    <row r="2363" spans="1:23" x14ac:dyDescent="0.3">
      <c r="A2363" t="s">
        <v>4845</v>
      </c>
      <c r="B2363" t="s">
        <v>225</v>
      </c>
      <c r="C2363" t="s">
        <v>192</v>
      </c>
      <c r="D2363" t="s">
        <v>174</v>
      </c>
      <c r="E2363" t="s">
        <v>87</v>
      </c>
      <c r="F2363" t="s">
        <v>87</v>
      </c>
      <c r="G2363" t="s">
        <v>41</v>
      </c>
      <c r="H2363" t="s">
        <v>19</v>
      </c>
      <c r="I2363" t="str">
        <f>LEFT(H2363,FIND(" (",H2363)-1)</f>
        <v>Entry</v>
      </c>
      <c r="J2363" t="str">
        <f>MID(H2363,FIND("(",H2363)+1,FIND(")",H2363)-FIND("(",H2363)-1)</f>
        <v>0-2 yrs</v>
      </c>
      <c r="L2363">
        <v>52956</v>
      </c>
      <c r="M2363" t="s">
        <v>4846</v>
      </c>
      <c r="N2363" t="s">
        <v>33</v>
      </c>
      <c r="O2363" t="s">
        <v>22</v>
      </c>
      <c r="P2363" s="1">
        <v>45682</v>
      </c>
      <c r="Q2363">
        <v>1183</v>
      </c>
      <c r="R2363">
        <v>2507</v>
      </c>
      <c r="S2363" t="s">
        <v>23</v>
      </c>
      <c r="T2363">
        <v>0</v>
      </c>
      <c r="U2363" t="s">
        <v>5123</v>
      </c>
      <c r="V2363" t="s">
        <v>24</v>
      </c>
      <c r="W2363" t="s">
        <v>23</v>
      </c>
    </row>
    <row r="2364" spans="1:23" x14ac:dyDescent="0.3">
      <c r="A2364" t="s">
        <v>4847</v>
      </c>
      <c r="B2364" t="s">
        <v>236</v>
      </c>
      <c r="C2364" t="s">
        <v>158</v>
      </c>
      <c r="D2364" t="s">
        <v>111</v>
      </c>
      <c r="E2364" t="s">
        <v>29</v>
      </c>
      <c r="F2364" t="s">
        <v>30</v>
      </c>
      <c r="G2364" t="s">
        <v>18</v>
      </c>
      <c r="H2364" t="s">
        <v>56</v>
      </c>
      <c r="I2364" t="str">
        <f>LEFT(H2364,FIND(" (",H2364)-1)</f>
        <v>Mid</v>
      </c>
      <c r="J2364" t="str">
        <f>MID(H2364,FIND("(",H2364)+1,FIND(")",H2364)-FIND("(",H2364)-1)</f>
        <v>2-5 yrs</v>
      </c>
      <c r="L2364">
        <v>79857</v>
      </c>
      <c r="M2364" t="s">
        <v>4848</v>
      </c>
      <c r="N2364" t="s">
        <v>89</v>
      </c>
      <c r="O2364" t="s">
        <v>44</v>
      </c>
      <c r="P2364" s="1">
        <v>45412</v>
      </c>
      <c r="Q2364">
        <v>1634</v>
      </c>
      <c r="R2364">
        <v>3873</v>
      </c>
      <c r="S2364" t="s">
        <v>23</v>
      </c>
      <c r="T2364">
        <v>2</v>
      </c>
      <c r="U2364" t="s">
        <v>83</v>
      </c>
      <c r="V2364" t="s">
        <v>24</v>
      </c>
      <c r="W2364" t="s">
        <v>34</v>
      </c>
    </row>
    <row r="2365" spans="1:23" x14ac:dyDescent="0.3">
      <c r="A2365" t="s">
        <v>4849</v>
      </c>
      <c r="B2365" t="s">
        <v>91</v>
      </c>
      <c r="C2365" t="s">
        <v>158</v>
      </c>
      <c r="D2365" t="s">
        <v>75</v>
      </c>
      <c r="E2365" t="s">
        <v>5140</v>
      </c>
      <c r="F2365" t="s">
        <v>5133</v>
      </c>
      <c r="G2365" t="s">
        <v>18</v>
      </c>
      <c r="H2365" t="s">
        <v>66</v>
      </c>
      <c r="I2365" t="str">
        <f>LEFT(H2365,FIND(" (",H2365)-1)</f>
        <v>Senior</v>
      </c>
      <c r="J2365" t="str">
        <f>MID(H2365,FIND("(",H2365)+1,FIND(")",H2365)-FIND("(",H2365)-1)</f>
        <v>5-8 yrs</v>
      </c>
      <c r="L2365">
        <v>180042</v>
      </c>
      <c r="M2365" t="s">
        <v>4850</v>
      </c>
      <c r="N2365" t="s">
        <v>120</v>
      </c>
      <c r="O2365" t="s">
        <v>22</v>
      </c>
      <c r="P2365" s="1">
        <v>45655</v>
      </c>
      <c r="Q2365">
        <v>1498</v>
      </c>
      <c r="R2365">
        <v>180</v>
      </c>
      <c r="S2365" t="s">
        <v>23</v>
      </c>
      <c r="T2365">
        <v>4</v>
      </c>
      <c r="U2365" t="s">
        <v>83</v>
      </c>
      <c r="V2365" t="s">
        <v>24</v>
      </c>
      <c r="W2365" t="s">
        <v>34</v>
      </c>
    </row>
    <row r="2366" spans="1:23" x14ac:dyDescent="0.3">
      <c r="A2366" t="s">
        <v>4851</v>
      </c>
      <c r="B2366" t="s">
        <v>225</v>
      </c>
      <c r="C2366" t="s">
        <v>167</v>
      </c>
      <c r="D2366" t="s">
        <v>174</v>
      </c>
      <c r="E2366" t="s">
        <v>76</v>
      </c>
      <c r="F2366" t="s">
        <v>77</v>
      </c>
      <c r="G2366" t="s">
        <v>18</v>
      </c>
      <c r="H2366" t="s">
        <v>66</v>
      </c>
      <c r="I2366" t="str">
        <f>LEFT(H2366,FIND(" (",H2366)-1)</f>
        <v>Senior</v>
      </c>
      <c r="J2366" t="str">
        <f>MID(H2366,FIND("(",H2366)+1,FIND(")",H2366)-FIND("(",H2366)-1)</f>
        <v>5-8 yrs</v>
      </c>
      <c r="L2366">
        <v>133009</v>
      </c>
      <c r="M2366" t="s">
        <v>4852</v>
      </c>
      <c r="N2366" t="s">
        <v>33</v>
      </c>
      <c r="O2366" t="s">
        <v>44</v>
      </c>
      <c r="P2366" s="1">
        <v>45384</v>
      </c>
      <c r="Q2366">
        <v>2196</v>
      </c>
      <c r="R2366">
        <v>2975</v>
      </c>
      <c r="S2366" t="s">
        <v>34</v>
      </c>
      <c r="T2366">
        <v>4</v>
      </c>
      <c r="U2366" t="s">
        <v>5123</v>
      </c>
      <c r="V2366" t="s">
        <v>24</v>
      </c>
      <c r="W2366" t="s">
        <v>34</v>
      </c>
    </row>
    <row r="2367" spans="1:23" x14ac:dyDescent="0.3">
      <c r="A2367" t="s">
        <v>4853</v>
      </c>
      <c r="B2367" t="s">
        <v>26</v>
      </c>
      <c r="C2367" t="s">
        <v>226</v>
      </c>
      <c r="D2367" t="s">
        <v>15</v>
      </c>
      <c r="E2367" t="s">
        <v>64</v>
      </c>
      <c r="F2367" t="s">
        <v>65</v>
      </c>
      <c r="G2367" t="s">
        <v>18</v>
      </c>
      <c r="H2367" t="s">
        <v>56</v>
      </c>
      <c r="I2367" t="str">
        <f>LEFT(H2367,FIND(" (",H2367)-1)</f>
        <v>Mid</v>
      </c>
      <c r="J2367" t="str">
        <f>MID(H2367,FIND("(",H2367)+1,FIND(")",H2367)-FIND("(",H2367)-1)</f>
        <v>2-5 yrs</v>
      </c>
      <c r="L2367">
        <v>140367</v>
      </c>
      <c r="M2367" t="s">
        <v>4854</v>
      </c>
      <c r="N2367" t="s">
        <v>33</v>
      </c>
      <c r="O2367" t="s">
        <v>22</v>
      </c>
      <c r="P2367" s="1">
        <v>45678</v>
      </c>
      <c r="Q2367">
        <v>1815</v>
      </c>
      <c r="R2367">
        <v>820</v>
      </c>
      <c r="S2367" t="s">
        <v>99</v>
      </c>
      <c r="T2367">
        <v>2</v>
      </c>
      <c r="U2367" t="s">
        <v>58</v>
      </c>
      <c r="V2367" t="s">
        <v>59</v>
      </c>
      <c r="W2367" t="s">
        <v>23</v>
      </c>
    </row>
    <row r="2368" spans="1:23" x14ac:dyDescent="0.3">
      <c r="A2368" t="s">
        <v>4855</v>
      </c>
      <c r="B2368" t="s">
        <v>106</v>
      </c>
      <c r="C2368" t="s">
        <v>74</v>
      </c>
      <c r="D2368" t="s">
        <v>75</v>
      </c>
      <c r="E2368" t="s">
        <v>5137</v>
      </c>
      <c r="F2368" t="s">
        <v>5138</v>
      </c>
      <c r="G2368" t="s">
        <v>55</v>
      </c>
      <c r="H2368" t="s">
        <v>66</v>
      </c>
      <c r="I2368" t="str">
        <f>LEFT(H2368,FIND(" (",H2368)-1)</f>
        <v>Senior</v>
      </c>
      <c r="J2368" t="str">
        <f>MID(H2368,FIND("(",H2368)+1,FIND(")",H2368)-FIND("(",H2368)-1)</f>
        <v>5-8 yrs</v>
      </c>
      <c r="L2368">
        <v>135533</v>
      </c>
      <c r="M2368" t="s">
        <v>4856</v>
      </c>
      <c r="N2368" t="s">
        <v>33</v>
      </c>
      <c r="O2368" t="s">
        <v>51</v>
      </c>
      <c r="P2368" s="1">
        <v>45739</v>
      </c>
      <c r="Q2368">
        <v>2026</v>
      </c>
      <c r="R2368">
        <v>876</v>
      </c>
      <c r="S2368" t="s">
        <v>23</v>
      </c>
      <c r="T2368">
        <v>4</v>
      </c>
      <c r="U2368" t="s">
        <v>5123</v>
      </c>
      <c r="V2368" t="s">
        <v>24</v>
      </c>
      <c r="W2368" t="s">
        <v>34</v>
      </c>
    </row>
    <row r="2369" spans="1:23" x14ac:dyDescent="0.3">
      <c r="A2369" t="s">
        <v>4857</v>
      </c>
      <c r="B2369" t="s">
        <v>143</v>
      </c>
      <c r="C2369" t="s">
        <v>158</v>
      </c>
      <c r="D2369" t="s">
        <v>125</v>
      </c>
      <c r="E2369" t="s">
        <v>5140</v>
      </c>
      <c r="F2369" t="s">
        <v>5133</v>
      </c>
      <c r="G2369" t="s">
        <v>41</v>
      </c>
      <c r="H2369" t="s">
        <v>31</v>
      </c>
      <c r="I2369" t="str">
        <f>LEFT(H2369,FIND(" (",H2369)-1)</f>
        <v>Staff/Principal</v>
      </c>
      <c r="J2369" t="str">
        <f>MID(H2369,FIND("(",H2369)+1,FIND(")",H2369)-FIND("(",H2369)-1)</f>
        <v>8+ yrs</v>
      </c>
      <c r="L2369">
        <v>138535</v>
      </c>
      <c r="M2369" t="s">
        <v>4858</v>
      </c>
      <c r="N2369" t="s">
        <v>149</v>
      </c>
      <c r="O2369" t="s">
        <v>44</v>
      </c>
      <c r="P2369" s="1">
        <v>45733</v>
      </c>
      <c r="Q2369">
        <v>1213</v>
      </c>
      <c r="R2369">
        <v>2709</v>
      </c>
      <c r="S2369" t="s">
        <v>99</v>
      </c>
      <c r="T2369">
        <v>6</v>
      </c>
      <c r="U2369" t="s">
        <v>58</v>
      </c>
      <c r="V2369" t="s">
        <v>59</v>
      </c>
      <c r="W2369" t="s">
        <v>34</v>
      </c>
    </row>
    <row r="2370" spans="1:23" x14ac:dyDescent="0.3">
      <c r="A2370" t="s">
        <v>4859</v>
      </c>
      <c r="B2370" t="s">
        <v>225</v>
      </c>
      <c r="C2370" t="s">
        <v>209</v>
      </c>
      <c r="D2370" t="s">
        <v>125</v>
      </c>
      <c r="E2370" t="s">
        <v>159</v>
      </c>
      <c r="F2370" t="s">
        <v>160</v>
      </c>
      <c r="G2370" t="s">
        <v>41</v>
      </c>
      <c r="H2370" t="s">
        <v>56</v>
      </c>
      <c r="I2370" t="str">
        <f>LEFT(H2370,FIND(" (",H2370)-1)</f>
        <v>Mid</v>
      </c>
      <c r="J2370" t="str">
        <f>MID(H2370,FIND("(",H2370)+1,FIND(")",H2370)-FIND("(",H2370)-1)</f>
        <v>2-5 yrs</v>
      </c>
      <c r="L2370">
        <v>87892</v>
      </c>
      <c r="M2370" t="s">
        <v>4860</v>
      </c>
      <c r="N2370" t="s">
        <v>141</v>
      </c>
      <c r="O2370" t="s">
        <v>22</v>
      </c>
      <c r="P2370" s="1">
        <v>45491</v>
      </c>
      <c r="Q2370">
        <v>1141</v>
      </c>
      <c r="R2370">
        <v>3225</v>
      </c>
      <c r="S2370" t="s">
        <v>23</v>
      </c>
      <c r="T2370">
        <v>2</v>
      </c>
      <c r="U2370" t="s">
        <v>58</v>
      </c>
      <c r="V2370" t="s">
        <v>59</v>
      </c>
      <c r="W2370" t="s">
        <v>23</v>
      </c>
    </row>
    <row r="2371" spans="1:23" x14ac:dyDescent="0.3">
      <c r="A2371" t="s">
        <v>4861</v>
      </c>
      <c r="B2371" t="s">
        <v>61</v>
      </c>
      <c r="C2371" t="s">
        <v>158</v>
      </c>
      <c r="D2371" t="s">
        <v>38</v>
      </c>
      <c r="E2371" t="s">
        <v>5137</v>
      </c>
      <c r="F2371" t="s">
        <v>5138</v>
      </c>
      <c r="G2371" t="s">
        <v>18</v>
      </c>
      <c r="H2371" t="s">
        <v>31</v>
      </c>
      <c r="I2371" t="str">
        <f>LEFT(H2371,FIND(" (",H2371)-1)</f>
        <v>Staff/Principal</v>
      </c>
      <c r="J2371" t="str">
        <f>MID(H2371,FIND("(",H2371)+1,FIND(")",H2371)-FIND("(",H2371)-1)</f>
        <v>8+ yrs</v>
      </c>
      <c r="L2371">
        <v>244489</v>
      </c>
      <c r="M2371" t="s">
        <v>4862</v>
      </c>
      <c r="N2371" t="s">
        <v>21</v>
      </c>
      <c r="O2371" t="s">
        <v>51</v>
      </c>
      <c r="P2371" s="1">
        <v>45321</v>
      </c>
      <c r="Q2371">
        <v>1377</v>
      </c>
      <c r="R2371">
        <v>1402</v>
      </c>
      <c r="S2371" t="s">
        <v>34</v>
      </c>
      <c r="T2371">
        <v>6</v>
      </c>
      <c r="U2371" t="s">
        <v>58</v>
      </c>
      <c r="V2371" t="s">
        <v>24</v>
      </c>
      <c r="W2371" t="s">
        <v>23</v>
      </c>
    </row>
    <row r="2372" spans="1:23" x14ac:dyDescent="0.3">
      <c r="A2372" t="s">
        <v>4863</v>
      </c>
      <c r="B2372" t="s">
        <v>131</v>
      </c>
      <c r="C2372" t="s">
        <v>192</v>
      </c>
      <c r="D2372" t="s">
        <v>75</v>
      </c>
      <c r="E2372" t="s">
        <v>216</v>
      </c>
      <c r="F2372" t="s">
        <v>217</v>
      </c>
      <c r="G2372" t="s">
        <v>18</v>
      </c>
      <c r="H2372" t="s">
        <v>56</v>
      </c>
      <c r="I2372" t="str">
        <f>LEFT(H2372,FIND(" (",H2372)-1)</f>
        <v>Mid</v>
      </c>
      <c r="J2372" t="str">
        <f>MID(H2372,FIND("(",H2372)+1,FIND(")",H2372)-FIND("(",H2372)-1)</f>
        <v>2-5 yrs</v>
      </c>
      <c r="L2372">
        <v>106913</v>
      </c>
      <c r="M2372" t="s">
        <v>4864</v>
      </c>
      <c r="N2372" t="s">
        <v>68</v>
      </c>
      <c r="O2372" t="s">
        <v>51</v>
      </c>
      <c r="P2372" s="1">
        <v>45487</v>
      </c>
      <c r="Q2372">
        <v>2329</v>
      </c>
      <c r="R2372">
        <v>3266</v>
      </c>
      <c r="S2372" t="s">
        <v>23</v>
      </c>
      <c r="T2372">
        <v>2</v>
      </c>
      <c r="U2372" t="s">
        <v>5123</v>
      </c>
      <c r="V2372" t="s">
        <v>24</v>
      </c>
      <c r="W2372" t="s">
        <v>23</v>
      </c>
    </row>
    <row r="2373" spans="1:23" x14ac:dyDescent="0.3">
      <c r="A2373" t="s">
        <v>4865</v>
      </c>
      <c r="B2373" t="s">
        <v>151</v>
      </c>
      <c r="C2373" t="s">
        <v>110</v>
      </c>
      <c r="D2373" t="s">
        <v>125</v>
      </c>
      <c r="E2373" t="s">
        <v>5134</v>
      </c>
      <c r="F2373" t="s">
        <v>5133</v>
      </c>
      <c r="G2373" t="s">
        <v>41</v>
      </c>
      <c r="H2373" t="s">
        <v>66</v>
      </c>
      <c r="I2373" t="str">
        <f>LEFT(H2373,FIND(" (",H2373)-1)</f>
        <v>Senior</v>
      </c>
      <c r="J2373" t="str">
        <f>MID(H2373,FIND("(",H2373)+1,FIND(")",H2373)-FIND("(",H2373)-1)</f>
        <v>5-8 yrs</v>
      </c>
      <c r="L2373">
        <v>135196</v>
      </c>
      <c r="M2373" t="s">
        <v>4866</v>
      </c>
      <c r="N2373" t="s">
        <v>120</v>
      </c>
      <c r="O2373" t="s">
        <v>22</v>
      </c>
      <c r="P2373" s="1">
        <v>45625</v>
      </c>
      <c r="Q2373">
        <v>988</v>
      </c>
      <c r="R2373">
        <v>2250</v>
      </c>
      <c r="S2373" t="s">
        <v>23</v>
      </c>
      <c r="T2373">
        <v>4</v>
      </c>
      <c r="U2373" t="s">
        <v>83</v>
      </c>
      <c r="V2373" t="s">
        <v>24</v>
      </c>
      <c r="W2373" t="s">
        <v>23</v>
      </c>
    </row>
    <row r="2374" spans="1:23" x14ac:dyDescent="0.3">
      <c r="A2374" t="s">
        <v>4867</v>
      </c>
      <c r="B2374" t="s">
        <v>151</v>
      </c>
      <c r="C2374" t="s">
        <v>239</v>
      </c>
      <c r="D2374" t="s">
        <v>38</v>
      </c>
      <c r="E2374" t="s">
        <v>5140</v>
      </c>
      <c r="F2374" t="s">
        <v>5133</v>
      </c>
      <c r="G2374" t="s">
        <v>41</v>
      </c>
      <c r="H2374" t="s">
        <v>31</v>
      </c>
      <c r="I2374" t="str">
        <f>LEFT(H2374,FIND(" (",H2374)-1)</f>
        <v>Staff/Principal</v>
      </c>
      <c r="J2374" t="str">
        <f>MID(H2374,FIND("(",H2374)+1,FIND(")",H2374)-FIND("(",H2374)-1)</f>
        <v>8+ yrs</v>
      </c>
      <c r="L2374">
        <v>205760</v>
      </c>
      <c r="M2374" t="s">
        <v>4868</v>
      </c>
      <c r="N2374" t="s">
        <v>68</v>
      </c>
      <c r="O2374" t="s">
        <v>44</v>
      </c>
      <c r="P2374" s="1">
        <v>45338</v>
      </c>
      <c r="Q2374">
        <v>405</v>
      </c>
      <c r="R2374">
        <v>1011</v>
      </c>
      <c r="S2374" t="s">
        <v>23</v>
      </c>
      <c r="T2374">
        <v>6</v>
      </c>
      <c r="U2374" t="s">
        <v>58</v>
      </c>
      <c r="V2374" t="s">
        <v>24</v>
      </c>
      <c r="W2374" t="s">
        <v>23</v>
      </c>
    </row>
    <row r="2375" spans="1:23" x14ac:dyDescent="0.3">
      <c r="A2375" t="s">
        <v>4869</v>
      </c>
      <c r="B2375" t="s">
        <v>236</v>
      </c>
      <c r="C2375" t="s">
        <v>116</v>
      </c>
      <c r="D2375" t="s">
        <v>38</v>
      </c>
      <c r="E2375" t="s">
        <v>16</v>
      </c>
      <c r="F2375" t="s">
        <v>17</v>
      </c>
      <c r="G2375" t="s">
        <v>41</v>
      </c>
      <c r="H2375" t="s">
        <v>66</v>
      </c>
      <c r="I2375" t="str">
        <f>LEFT(H2375,FIND(" (",H2375)-1)</f>
        <v>Senior</v>
      </c>
      <c r="J2375" t="str">
        <f>MID(H2375,FIND("(",H2375)+1,FIND(")",H2375)-FIND("(",H2375)-1)</f>
        <v>5-8 yrs</v>
      </c>
      <c r="L2375">
        <v>163548</v>
      </c>
      <c r="M2375" t="s">
        <v>4870</v>
      </c>
      <c r="N2375" t="s">
        <v>33</v>
      </c>
      <c r="O2375" t="s">
        <v>22</v>
      </c>
      <c r="P2375" s="1">
        <v>45431</v>
      </c>
      <c r="Q2375">
        <v>2324</v>
      </c>
      <c r="R2375">
        <v>2040</v>
      </c>
      <c r="S2375" t="s">
        <v>99</v>
      </c>
      <c r="T2375">
        <v>4</v>
      </c>
      <c r="U2375" t="s">
        <v>52</v>
      </c>
      <c r="V2375" t="s">
        <v>59</v>
      </c>
      <c r="W2375" t="s">
        <v>23</v>
      </c>
    </row>
    <row r="2376" spans="1:23" x14ac:dyDescent="0.3">
      <c r="A2376" t="s">
        <v>4871</v>
      </c>
      <c r="B2376" t="s">
        <v>91</v>
      </c>
      <c r="C2376" t="s">
        <v>182</v>
      </c>
      <c r="D2376" t="s">
        <v>38</v>
      </c>
      <c r="E2376" t="s">
        <v>200</v>
      </c>
      <c r="F2376" t="s">
        <v>201</v>
      </c>
      <c r="G2376" t="s">
        <v>18</v>
      </c>
      <c r="H2376" t="s">
        <v>19</v>
      </c>
      <c r="I2376" t="str">
        <f>LEFT(H2376,FIND(" (",H2376)-1)</f>
        <v>Entry</v>
      </c>
      <c r="J2376" t="str">
        <f>MID(H2376,FIND("(",H2376)+1,FIND(")",H2376)-FIND("(",H2376)-1)</f>
        <v>0-2 yrs</v>
      </c>
      <c r="L2376">
        <v>84079</v>
      </c>
      <c r="M2376" t="s">
        <v>4872</v>
      </c>
      <c r="N2376" t="s">
        <v>120</v>
      </c>
      <c r="O2376" t="s">
        <v>22</v>
      </c>
      <c r="P2376" s="1">
        <v>45550</v>
      </c>
      <c r="Q2376">
        <v>2220</v>
      </c>
      <c r="R2376">
        <v>2344</v>
      </c>
      <c r="S2376" t="s">
        <v>99</v>
      </c>
      <c r="T2376">
        <v>0</v>
      </c>
      <c r="U2376" t="s">
        <v>45</v>
      </c>
      <c r="V2376" t="s">
        <v>46</v>
      </c>
      <c r="W2376" t="s">
        <v>34</v>
      </c>
    </row>
    <row r="2377" spans="1:23" x14ac:dyDescent="0.3">
      <c r="A2377" t="s">
        <v>4873</v>
      </c>
      <c r="B2377" t="s">
        <v>36</v>
      </c>
      <c r="C2377" t="s">
        <v>192</v>
      </c>
      <c r="D2377" t="s">
        <v>28</v>
      </c>
      <c r="E2377" t="s">
        <v>5137</v>
      </c>
      <c r="F2377" t="s">
        <v>5138</v>
      </c>
      <c r="G2377" t="s">
        <v>41</v>
      </c>
      <c r="H2377" t="s">
        <v>56</v>
      </c>
      <c r="I2377" t="str">
        <f>LEFT(H2377,FIND(" (",H2377)-1)</f>
        <v>Mid</v>
      </c>
      <c r="J2377" t="str">
        <f>MID(H2377,FIND("(",H2377)+1,FIND(")",H2377)-FIND("(",H2377)-1)</f>
        <v>2-5 yrs</v>
      </c>
      <c r="L2377">
        <v>138680</v>
      </c>
      <c r="M2377" t="s">
        <v>4874</v>
      </c>
      <c r="N2377" t="s">
        <v>33</v>
      </c>
      <c r="O2377" t="s">
        <v>51</v>
      </c>
      <c r="P2377" s="1">
        <v>45576</v>
      </c>
      <c r="Q2377">
        <v>674</v>
      </c>
      <c r="R2377">
        <v>2932</v>
      </c>
      <c r="S2377" t="s">
        <v>99</v>
      </c>
      <c r="T2377">
        <v>2</v>
      </c>
      <c r="U2377" t="s">
        <v>52</v>
      </c>
      <c r="V2377" t="s">
        <v>24</v>
      </c>
      <c r="W2377" t="s">
        <v>34</v>
      </c>
    </row>
    <row r="2378" spans="1:23" x14ac:dyDescent="0.3">
      <c r="A2378" t="s">
        <v>4875</v>
      </c>
      <c r="B2378" t="s">
        <v>137</v>
      </c>
      <c r="C2378" t="s">
        <v>192</v>
      </c>
      <c r="D2378" t="s">
        <v>75</v>
      </c>
      <c r="E2378" t="s">
        <v>216</v>
      </c>
      <c r="F2378" t="s">
        <v>217</v>
      </c>
      <c r="G2378" t="s">
        <v>41</v>
      </c>
      <c r="H2378" t="s">
        <v>66</v>
      </c>
      <c r="I2378" t="str">
        <f>LEFT(H2378,FIND(" (",H2378)-1)</f>
        <v>Senior</v>
      </c>
      <c r="J2378" t="str">
        <f>MID(H2378,FIND("(",H2378)+1,FIND(")",H2378)-FIND("(",H2378)-1)</f>
        <v>5-8 yrs</v>
      </c>
      <c r="L2378">
        <v>140286</v>
      </c>
      <c r="M2378" t="s">
        <v>4876</v>
      </c>
      <c r="N2378" t="s">
        <v>149</v>
      </c>
      <c r="O2378" t="s">
        <v>22</v>
      </c>
      <c r="P2378" s="1">
        <v>45450</v>
      </c>
      <c r="Q2378">
        <v>369</v>
      </c>
      <c r="R2378">
        <v>1273</v>
      </c>
      <c r="S2378" t="s">
        <v>34</v>
      </c>
      <c r="T2378">
        <v>4</v>
      </c>
      <c r="U2378" t="s">
        <v>52</v>
      </c>
      <c r="V2378" t="s">
        <v>59</v>
      </c>
      <c r="W2378" t="s">
        <v>23</v>
      </c>
    </row>
    <row r="2379" spans="1:23" x14ac:dyDescent="0.3">
      <c r="A2379" t="s">
        <v>4877</v>
      </c>
      <c r="B2379" t="s">
        <v>236</v>
      </c>
      <c r="C2379" t="s">
        <v>226</v>
      </c>
      <c r="D2379" t="s">
        <v>125</v>
      </c>
      <c r="E2379" t="s">
        <v>5136</v>
      </c>
      <c r="F2379" t="s">
        <v>5133</v>
      </c>
      <c r="G2379" t="s">
        <v>41</v>
      </c>
      <c r="H2379" t="s">
        <v>19</v>
      </c>
      <c r="I2379" t="str">
        <f>LEFT(H2379,FIND(" (",H2379)-1)</f>
        <v>Entry</v>
      </c>
      <c r="J2379" t="str">
        <f>MID(H2379,FIND("(",H2379)+1,FIND(")",H2379)-FIND("(",H2379)-1)</f>
        <v>0-2 yrs</v>
      </c>
      <c r="L2379">
        <v>53291</v>
      </c>
      <c r="M2379" t="s">
        <v>4878</v>
      </c>
      <c r="N2379" t="s">
        <v>141</v>
      </c>
      <c r="O2379" t="s">
        <v>44</v>
      </c>
      <c r="P2379" s="1">
        <v>45604</v>
      </c>
      <c r="Q2379">
        <v>985</v>
      </c>
      <c r="R2379">
        <v>3601</v>
      </c>
      <c r="S2379" t="s">
        <v>23</v>
      </c>
      <c r="T2379">
        <v>0</v>
      </c>
      <c r="U2379" t="s">
        <v>83</v>
      </c>
      <c r="V2379" t="s">
        <v>59</v>
      </c>
      <c r="W2379" t="s">
        <v>34</v>
      </c>
    </row>
    <row r="2380" spans="1:23" x14ac:dyDescent="0.3">
      <c r="A2380" t="s">
        <v>4879</v>
      </c>
      <c r="B2380" t="s">
        <v>143</v>
      </c>
      <c r="C2380" t="s">
        <v>71</v>
      </c>
      <c r="D2380" t="s">
        <v>174</v>
      </c>
      <c r="E2380" t="s">
        <v>29</v>
      </c>
      <c r="F2380" t="s">
        <v>30</v>
      </c>
      <c r="G2380" t="s">
        <v>18</v>
      </c>
      <c r="H2380" t="s">
        <v>66</v>
      </c>
      <c r="I2380" t="str">
        <f>LEFT(H2380,FIND(" (",H2380)-1)</f>
        <v>Senior</v>
      </c>
      <c r="J2380" t="str">
        <f>MID(H2380,FIND("(",H2380)+1,FIND(")",H2380)-FIND("(",H2380)-1)</f>
        <v>5-8 yrs</v>
      </c>
      <c r="L2380">
        <v>138836</v>
      </c>
      <c r="M2380" t="s">
        <v>4880</v>
      </c>
      <c r="N2380" t="s">
        <v>68</v>
      </c>
      <c r="O2380" t="s">
        <v>22</v>
      </c>
      <c r="P2380" s="1">
        <v>45313</v>
      </c>
      <c r="Q2380">
        <v>1925</v>
      </c>
      <c r="R2380">
        <v>3563</v>
      </c>
      <c r="S2380" t="s">
        <v>23</v>
      </c>
      <c r="T2380">
        <v>4</v>
      </c>
      <c r="U2380" t="s">
        <v>52</v>
      </c>
      <c r="V2380" t="s">
        <v>24</v>
      </c>
      <c r="W2380" t="s">
        <v>23</v>
      </c>
    </row>
    <row r="2381" spans="1:23" x14ac:dyDescent="0.3">
      <c r="A2381" t="s">
        <v>4881</v>
      </c>
      <c r="B2381" t="s">
        <v>70</v>
      </c>
      <c r="C2381" t="s">
        <v>86</v>
      </c>
      <c r="D2381" t="s">
        <v>49</v>
      </c>
      <c r="E2381" t="s">
        <v>39</v>
      </c>
      <c r="F2381" t="s">
        <v>40</v>
      </c>
      <c r="G2381" t="s">
        <v>55</v>
      </c>
      <c r="H2381" t="s">
        <v>56</v>
      </c>
      <c r="I2381" t="str">
        <f>LEFT(H2381,FIND(" (",H2381)-1)</f>
        <v>Mid</v>
      </c>
      <c r="J2381" t="str">
        <f>MID(H2381,FIND("(",H2381)+1,FIND(")",H2381)-FIND("(",H2381)-1)</f>
        <v>2-5 yrs</v>
      </c>
      <c r="L2381">
        <v>115153</v>
      </c>
      <c r="M2381" t="s">
        <v>4882</v>
      </c>
      <c r="N2381" t="s">
        <v>33</v>
      </c>
      <c r="O2381" t="s">
        <v>44</v>
      </c>
      <c r="P2381" s="1">
        <v>45382</v>
      </c>
      <c r="Q2381">
        <v>1576</v>
      </c>
      <c r="R2381">
        <v>30</v>
      </c>
      <c r="S2381" t="s">
        <v>34</v>
      </c>
      <c r="T2381">
        <v>2</v>
      </c>
      <c r="U2381" t="s">
        <v>45</v>
      </c>
      <c r="V2381" t="s">
        <v>24</v>
      </c>
      <c r="W2381" t="s">
        <v>34</v>
      </c>
    </row>
    <row r="2382" spans="1:23" x14ac:dyDescent="0.3">
      <c r="A2382" t="s">
        <v>4883</v>
      </c>
      <c r="B2382" t="s">
        <v>91</v>
      </c>
      <c r="C2382" t="s">
        <v>226</v>
      </c>
      <c r="D2382" t="s">
        <v>15</v>
      </c>
      <c r="E2382" t="s">
        <v>5135</v>
      </c>
      <c r="F2382" t="s">
        <v>5133</v>
      </c>
      <c r="G2382" t="s">
        <v>55</v>
      </c>
      <c r="H2382" t="s">
        <v>31</v>
      </c>
      <c r="I2382" t="str">
        <f>LEFT(H2382,FIND(" (",H2382)-1)</f>
        <v>Staff/Principal</v>
      </c>
      <c r="J2382" t="str">
        <f>MID(H2382,FIND("(",H2382)+1,FIND(")",H2382)-FIND("(",H2382)-1)</f>
        <v>8+ yrs</v>
      </c>
      <c r="L2382">
        <v>165304</v>
      </c>
      <c r="M2382" t="s">
        <v>4884</v>
      </c>
      <c r="N2382" t="s">
        <v>120</v>
      </c>
      <c r="O2382" t="s">
        <v>51</v>
      </c>
      <c r="P2382" s="1">
        <v>45545</v>
      </c>
      <c r="Q2382">
        <v>329</v>
      </c>
      <c r="R2382">
        <v>1787</v>
      </c>
      <c r="S2382" t="s">
        <v>23</v>
      </c>
      <c r="T2382">
        <v>6</v>
      </c>
      <c r="U2382" t="s">
        <v>52</v>
      </c>
      <c r="V2382" t="s">
        <v>24</v>
      </c>
      <c r="W2382" t="s">
        <v>23</v>
      </c>
    </row>
    <row r="2383" spans="1:23" x14ac:dyDescent="0.3">
      <c r="A2383" t="s">
        <v>4885</v>
      </c>
      <c r="B2383" t="s">
        <v>225</v>
      </c>
      <c r="C2383" t="s">
        <v>27</v>
      </c>
      <c r="D2383" t="s">
        <v>49</v>
      </c>
      <c r="E2383" t="s">
        <v>29</v>
      </c>
      <c r="F2383" t="s">
        <v>30</v>
      </c>
      <c r="G2383" t="s">
        <v>55</v>
      </c>
      <c r="H2383" t="s">
        <v>56</v>
      </c>
      <c r="I2383" t="str">
        <f>LEFT(H2383,FIND(" (",H2383)-1)</f>
        <v>Mid</v>
      </c>
      <c r="J2383" t="str">
        <f>MID(H2383,FIND("(",H2383)+1,FIND(")",H2383)-FIND("(",H2383)-1)</f>
        <v>2-5 yrs</v>
      </c>
      <c r="L2383">
        <v>91048</v>
      </c>
      <c r="M2383" t="s">
        <v>4886</v>
      </c>
      <c r="N2383" t="s">
        <v>68</v>
      </c>
      <c r="O2383" t="s">
        <v>22</v>
      </c>
      <c r="P2383" s="1">
        <v>45477</v>
      </c>
      <c r="Q2383">
        <v>1414</v>
      </c>
      <c r="R2383">
        <v>1557</v>
      </c>
      <c r="S2383" t="s">
        <v>99</v>
      </c>
      <c r="T2383">
        <v>2</v>
      </c>
      <c r="U2383" t="s">
        <v>58</v>
      </c>
      <c r="V2383" t="s">
        <v>24</v>
      </c>
      <c r="W2383" t="s">
        <v>23</v>
      </c>
    </row>
    <row r="2384" spans="1:23" x14ac:dyDescent="0.3">
      <c r="A2384" t="s">
        <v>4887</v>
      </c>
      <c r="B2384" t="s">
        <v>225</v>
      </c>
      <c r="C2384" t="s">
        <v>116</v>
      </c>
      <c r="D2384" t="s">
        <v>125</v>
      </c>
      <c r="E2384" t="s">
        <v>5132</v>
      </c>
      <c r="F2384" t="s">
        <v>5133</v>
      </c>
      <c r="G2384" t="s">
        <v>18</v>
      </c>
      <c r="H2384" t="s">
        <v>19</v>
      </c>
      <c r="I2384" t="str">
        <f>LEFT(H2384,FIND(" (",H2384)-1)</f>
        <v>Entry</v>
      </c>
      <c r="J2384" t="str">
        <f>MID(H2384,FIND("(",H2384)+1,FIND(")",H2384)-FIND("(",H2384)-1)</f>
        <v>0-2 yrs</v>
      </c>
      <c r="L2384">
        <v>74331</v>
      </c>
      <c r="M2384" t="s">
        <v>4888</v>
      </c>
      <c r="N2384" t="s">
        <v>21</v>
      </c>
      <c r="O2384" t="s">
        <v>22</v>
      </c>
      <c r="P2384" s="1">
        <v>45405</v>
      </c>
      <c r="Q2384">
        <v>300</v>
      </c>
      <c r="R2384">
        <v>1966</v>
      </c>
      <c r="S2384" t="s">
        <v>23</v>
      </c>
      <c r="T2384">
        <v>0</v>
      </c>
      <c r="U2384" t="s">
        <v>52</v>
      </c>
      <c r="V2384" t="s">
        <v>24</v>
      </c>
      <c r="W2384" t="s">
        <v>23</v>
      </c>
    </row>
    <row r="2385" spans="1:23" x14ac:dyDescent="0.3">
      <c r="A2385" t="s">
        <v>4889</v>
      </c>
      <c r="B2385" t="s">
        <v>329</v>
      </c>
      <c r="C2385" t="s">
        <v>226</v>
      </c>
      <c r="D2385" t="s">
        <v>63</v>
      </c>
      <c r="E2385" t="s">
        <v>5132</v>
      </c>
      <c r="F2385" t="s">
        <v>5133</v>
      </c>
      <c r="G2385" t="s">
        <v>18</v>
      </c>
      <c r="H2385" t="s">
        <v>31</v>
      </c>
      <c r="I2385" t="str">
        <f>LEFT(H2385,FIND(" (",H2385)-1)</f>
        <v>Staff/Principal</v>
      </c>
      <c r="J2385" t="str">
        <f>MID(H2385,FIND("(",H2385)+1,FIND(")",H2385)-FIND("(",H2385)-1)</f>
        <v>8+ yrs</v>
      </c>
      <c r="L2385">
        <v>198248</v>
      </c>
      <c r="M2385" t="s">
        <v>4890</v>
      </c>
      <c r="N2385" t="s">
        <v>94</v>
      </c>
      <c r="O2385" t="s">
        <v>22</v>
      </c>
      <c r="P2385" s="1">
        <v>45580</v>
      </c>
      <c r="Q2385">
        <v>1206</v>
      </c>
      <c r="R2385">
        <v>2488</v>
      </c>
      <c r="S2385" t="s">
        <v>34</v>
      </c>
      <c r="T2385">
        <v>6</v>
      </c>
      <c r="U2385" t="s">
        <v>45</v>
      </c>
      <c r="V2385" t="s">
        <v>59</v>
      </c>
      <c r="W2385" t="s">
        <v>34</v>
      </c>
    </row>
    <row r="2386" spans="1:23" x14ac:dyDescent="0.3">
      <c r="A2386" t="s">
        <v>4891</v>
      </c>
      <c r="B2386" t="s">
        <v>151</v>
      </c>
      <c r="C2386" t="s">
        <v>14</v>
      </c>
      <c r="D2386" t="s">
        <v>75</v>
      </c>
      <c r="E2386" t="s">
        <v>133</v>
      </c>
      <c r="F2386" t="s">
        <v>134</v>
      </c>
      <c r="G2386" t="s">
        <v>18</v>
      </c>
      <c r="H2386" t="s">
        <v>19</v>
      </c>
      <c r="I2386" t="str">
        <f>LEFT(H2386,FIND(" (",H2386)-1)</f>
        <v>Entry</v>
      </c>
      <c r="J2386" t="str">
        <f>MID(H2386,FIND("(",H2386)+1,FIND(")",H2386)-FIND("(",H2386)-1)</f>
        <v>0-2 yrs</v>
      </c>
      <c r="L2386">
        <v>70413</v>
      </c>
      <c r="M2386" t="s">
        <v>4892</v>
      </c>
      <c r="N2386" t="s">
        <v>120</v>
      </c>
      <c r="O2386" t="s">
        <v>22</v>
      </c>
      <c r="P2386" s="1">
        <v>45492</v>
      </c>
      <c r="Q2386">
        <v>796</v>
      </c>
      <c r="R2386">
        <v>1107</v>
      </c>
      <c r="S2386" t="s">
        <v>23</v>
      </c>
      <c r="T2386">
        <v>0</v>
      </c>
      <c r="U2386" t="s">
        <v>5123</v>
      </c>
      <c r="V2386" t="s">
        <v>46</v>
      </c>
      <c r="W2386" t="s">
        <v>23</v>
      </c>
    </row>
    <row r="2387" spans="1:23" x14ac:dyDescent="0.3">
      <c r="A2387" t="s">
        <v>4893</v>
      </c>
      <c r="B2387" t="s">
        <v>91</v>
      </c>
      <c r="C2387" t="s">
        <v>101</v>
      </c>
      <c r="D2387" t="s">
        <v>75</v>
      </c>
      <c r="E2387" t="s">
        <v>5141</v>
      </c>
      <c r="F2387" t="s">
        <v>5133</v>
      </c>
      <c r="G2387" t="s">
        <v>55</v>
      </c>
      <c r="H2387" t="s">
        <v>66</v>
      </c>
      <c r="I2387" t="str">
        <f>LEFT(H2387,FIND(" (",H2387)-1)</f>
        <v>Senior</v>
      </c>
      <c r="J2387" t="str">
        <f>MID(H2387,FIND("(",H2387)+1,FIND(")",H2387)-FIND("(",H2387)-1)</f>
        <v>5-8 yrs</v>
      </c>
      <c r="L2387">
        <v>129520</v>
      </c>
      <c r="M2387" t="s">
        <v>4894</v>
      </c>
      <c r="N2387" t="s">
        <v>186</v>
      </c>
      <c r="O2387" t="s">
        <v>22</v>
      </c>
      <c r="P2387" s="1">
        <v>45476</v>
      </c>
      <c r="Q2387">
        <v>387</v>
      </c>
      <c r="R2387">
        <v>585</v>
      </c>
      <c r="S2387" t="s">
        <v>34</v>
      </c>
      <c r="T2387">
        <v>4</v>
      </c>
      <c r="U2387" t="s">
        <v>5123</v>
      </c>
      <c r="V2387" t="s">
        <v>24</v>
      </c>
      <c r="W2387" t="s">
        <v>23</v>
      </c>
    </row>
    <row r="2388" spans="1:23" x14ac:dyDescent="0.3">
      <c r="A2388" t="s">
        <v>4895</v>
      </c>
      <c r="B2388" t="s">
        <v>13</v>
      </c>
      <c r="C2388" t="s">
        <v>101</v>
      </c>
      <c r="D2388" t="s">
        <v>111</v>
      </c>
      <c r="E2388" t="s">
        <v>5134</v>
      </c>
      <c r="F2388" t="s">
        <v>5133</v>
      </c>
      <c r="G2388" t="s">
        <v>41</v>
      </c>
      <c r="H2388" t="s">
        <v>19</v>
      </c>
      <c r="I2388" t="str">
        <f>LEFT(H2388,FIND(" (",H2388)-1)</f>
        <v>Entry</v>
      </c>
      <c r="J2388" t="str">
        <f>MID(H2388,FIND("(",H2388)+1,FIND(")",H2388)-FIND("(",H2388)-1)</f>
        <v>0-2 yrs</v>
      </c>
      <c r="L2388">
        <v>67096</v>
      </c>
      <c r="M2388" t="s">
        <v>4896</v>
      </c>
      <c r="N2388" t="s">
        <v>33</v>
      </c>
      <c r="O2388" t="s">
        <v>79</v>
      </c>
      <c r="P2388" s="1">
        <v>45723</v>
      </c>
      <c r="Q2388">
        <v>1896</v>
      </c>
      <c r="R2388">
        <v>3347</v>
      </c>
      <c r="S2388" t="s">
        <v>99</v>
      </c>
      <c r="T2388">
        <v>0</v>
      </c>
      <c r="U2388" t="s">
        <v>58</v>
      </c>
      <c r="V2388" t="s">
        <v>24</v>
      </c>
      <c r="W2388" t="s">
        <v>23</v>
      </c>
    </row>
    <row r="2389" spans="1:23" x14ac:dyDescent="0.3">
      <c r="A2389" t="s">
        <v>4897</v>
      </c>
      <c r="B2389" t="s">
        <v>36</v>
      </c>
      <c r="C2389" t="s">
        <v>204</v>
      </c>
      <c r="D2389" t="s">
        <v>111</v>
      </c>
      <c r="E2389" t="s">
        <v>5137</v>
      </c>
      <c r="F2389" t="s">
        <v>5138</v>
      </c>
      <c r="G2389" t="s">
        <v>55</v>
      </c>
      <c r="H2389" t="s">
        <v>31</v>
      </c>
      <c r="I2389" t="str">
        <f>LEFT(H2389,FIND(" (",H2389)-1)</f>
        <v>Staff/Principal</v>
      </c>
      <c r="J2389" t="str">
        <f>MID(H2389,FIND("(",H2389)+1,FIND(")",H2389)-FIND("(",H2389)-1)</f>
        <v>8+ yrs</v>
      </c>
      <c r="L2389">
        <v>166727</v>
      </c>
      <c r="M2389" t="s">
        <v>4898</v>
      </c>
      <c r="N2389" t="s">
        <v>120</v>
      </c>
      <c r="O2389" t="s">
        <v>51</v>
      </c>
      <c r="P2389" s="1">
        <v>45623</v>
      </c>
      <c r="Q2389">
        <v>1716</v>
      </c>
      <c r="R2389">
        <v>1750</v>
      </c>
      <c r="S2389" t="s">
        <v>23</v>
      </c>
      <c r="T2389">
        <v>6</v>
      </c>
      <c r="U2389" t="s">
        <v>83</v>
      </c>
      <c r="V2389" t="s">
        <v>59</v>
      </c>
      <c r="W2389" t="s">
        <v>23</v>
      </c>
    </row>
    <row r="2390" spans="1:23" x14ac:dyDescent="0.3">
      <c r="A2390" t="s">
        <v>4899</v>
      </c>
      <c r="B2390" t="s">
        <v>222</v>
      </c>
      <c r="C2390" t="s">
        <v>54</v>
      </c>
      <c r="D2390" t="s">
        <v>28</v>
      </c>
      <c r="E2390" t="s">
        <v>64</v>
      </c>
      <c r="F2390" t="s">
        <v>65</v>
      </c>
      <c r="G2390" t="s">
        <v>55</v>
      </c>
      <c r="H2390" t="s">
        <v>19</v>
      </c>
      <c r="I2390" t="str">
        <f>LEFT(H2390,FIND(" (",H2390)-1)</f>
        <v>Entry</v>
      </c>
      <c r="J2390" t="str">
        <f>MID(H2390,FIND("(",H2390)+1,FIND(")",H2390)-FIND("(",H2390)-1)</f>
        <v>0-2 yrs</v>
      </c>
      <c r="L2390">
        <v>81216</v>
      </c>
      <c r="M2390" t="s">
        <v>4900</v>
      </c>
      <c r="N2390" t="s">
        <v>89</v>
      </c>
      <c r="O2390" t="s">
        <v>22</v>
      </c>
      <c r="P2390" s="1">
        <v>45423</v>
      </c>
      <c r="Q2390">
        <v>1493</v>
      </c>
      <c r="R2390">
        <v>3226</v>
      </c>
      <c r="S2390" t="s">
        <v>34</v>
      </c>
      <c r="T2390">
        <v>0</v>
      </c>
      <c r="U2390" t="s">
        <v>58</v>
      </c>
      <c r="V2390" t="s">
        <v>24</v>
      </c>
      <c r="W2390" t="s">
        <v>23</v>
      </c>
    </row>
    <row r="2391" spans="1:23" x14ac:dyDescent="0.3">
      <c r="A2391" t="s">
        <v>4901</v>
      </c>
      <c r="B2391" t="s">
        <v>172</v>
      </c>
      <c r="C2391" t="s">
        <v>86</v>
      </c>
      <c r="D2391" t="s">
        <v>15</v>
      </c>
      <c r="E2391" t="s">
        <v>5132</v>
      </c>
      <c r="F2391" t="s">
        <v>5133</v>
      </c>
      <c r="G2391" t="s">
        <v>18</v>
      </c>
      <c r="H2391" t="s">
        <v>66</v>
      </c>
      <c r="I2391" t="str">
        <f>LEFT(H2391,FIND(" (",H2391)-1)</f>
        <v>Senior</v>
      </c>
      <c r="J2391" t="str">
        <f>MID(H2391,FIND("(",H2391)+1,FIND(")",H2391)-FIND("(",H2391)-1)</f>
        <v>5-8 yrs</v>
      </c>
      <c r="L2391">
        <v>177951</v>
      </c>
      <c r="M2391" t="s">
        <v>4902</v>
      </c>
      <c r="N2391" t="s">
        <v>21</v>
      </c>
      <c r="O2391" t="s">
        <v>79</v>
      </c>
      <c r="P2391" s="1">
        <v>45734</v>
      </c>
      <c r="Q2391">
        <v>1733</v>
      </c>
      <c r="R2391">
        <v>1259</v>
      </c>
      <c r="S2391" t="s">
        <v>23</v>
      </c>
      <c r="T2391">
        <v>4</v>
      </c>
      <c r="U2391" t="s">
        <v>45</v>
      </c>
      <c r="V2391" t="s">
        <v>24</v>
      </c>
      <c r="W2391" t="s">
        <v>23</v>
      </c>
    </row>
    <row r="2392" spans="1:23" x14ac:dyDescent="0.3">
      <c r="A2392" t="s">
        <v>4903</v>
      </c>
      <c r="B2392" t="s">
        <v>61</v>
      </c>
      <c r="C2392" t="s">
        <v>173</v>
      </c>
      <c r="D2392" t="s">
        <v>174</v>
      </c>
      <c r="E2392" t="s">
        <v>64</v>
      </c>
      <c r="F2392" t="s">
        <v>65</v>
      </c>
      <c r="G2392" t="s">
        <v>41</v>
      </c>
      <c r="H2392" t="s">
        <v>31</v>
      </c>
      <c r="I2392" t="str">
        <f>LEFT(H2392,FIND(" (",H2392)-1)</f>
        <v>Staff/Principal</v>
      </c>
      <c r="J2392" t="str">
        <f>MID(H2392,FIND("(",H2392)+1,FIND(")",H2392)-FIND("(",H2392)-1)</f>
        <v>8+ yrs</v>
      </c>
      <c r="L2392">
        <v>133537</v>
      </c>
      <c r="M2392" t="s">
        <v>4904</v>
      </c>
      <c r="N2392" t="s">
        <v>68</v>
      </c>
      <c r="O2392" t="s">
        <v>22</v>
      </c>
      <c r="P2392" s="1">
        <v>45396</v>
      </c>
      <c r="Q2392">
        <v>2436</v>
      </c>
      <c r="R2392">
        <v>486</v>
      </c>
      <c r="S2392" t="s">
        <v>23</v>
      </c>
      <c r="T2392">
        <v>6</v>
      </c>
      <c r="U2392" t="s">
        <v>58</v>
      </c>
      <c r="V2392" t="s">
        <v>24</v>
      </c>
      <c r="W2392" t="s">
        <v>34</v>
      </c>
    </row>
    <row r="2393" spans="1:23" x14ac:dyDescent="0.3">
      <c r="A2393" t="s">
        <v>4905</v>
      </c>
      <c r="B2393" t="s">
        <v>61</v>
      </c>
      <c r="C2393" t="s">
        <v>167</v>
      </c>
      <c r="D2393" t="s">
        <v>174</v>
      </c>
      <c r="E2393" t="s">
        <v>5139</v>
      </c>
      <c r="F2393" t="s">
        <v>5133</v>
      </c>
      <c r="G2393" t="s">
        <v>18</v>
      </c>
      <c r="H2393" t="s">
        <v>56</v>
      </c>
      <c r="I2393" t="str">
        <f>LEFT(H2393,FIND(" (",H2393)-1)</f>
        <v>Mid</v>
      </c>
      <c r="J2393" t="str">
        <f>MID(H2393,FIND("(",H2393)+1,FIND(")",H2393)-FIND("(",H2393)-1)</f>
        <v>2-5 yrs</v>
      </c>
      <c r="L2393">
        <v>91595</v>
      </c>
      <c r="M2393" t="s">
        <v>4906</v>
      </c>
      <c r="N2393" t="s">
        <v>68</v>
      </c>
      <c r="O2393" t="s">
        <v>22</v>
      </c>
      <c r="P2393" s="1">
        <v>45443</v>
      </c>
      <c r="Q2393">
        <v>1623</v>
      </c>
      <c r="R2393">
        <v>3729</v>
      </c>
      <c r="S2393" t="s">
        <v>99</v>
      </c>
      <c r="T2393">
        <v>2</v>
      </c>
      <c r="U2393" t="s">
        <v>5123</v>
      </c>
      <c r="V2393" t="s">
        <v>24</v>
      </c>
      <c r="W2393" t="s">
        <v>23</v>
      </c>
    </row>
    <row r="2394" spans="1:23" x14ac:dyDescent="0.3">
      <c r="A2394" t="s">
        <v>4907</v>
      </c>
      <c r="B2394" t="s">
        <v>172</v>
      </c>
      <c r="C2394" t="s">
        <v>192</v>
      </c>
      <c r="D2394" t="s">
        <v>174</v>
      </c>
      <c r="E2394" t="s">
        <v>102</v>
      </c>
      <c r="F2394" t="s">
        <v>103</v>
      </c>
      <c r="G2394" t="s">
        <v>55</v>
      </c>
      <c r="H2394" t="s">
        <v>31</v>
      </c>
      <c r="I2394" t="str">
        <f>LEFT(H2394,FIND(" (",H2394)-1)</f>
        <v>Staff/Principal</v>
      </c>
      <c r="J2394" t="str">
        <f>MID(H2394,FIND("(",H2394)+1,FIND(")",H2394)-FIND("(",H2394)-1)</f>
        <v>8+ yrs</v>
      </c>
      <c r="L2394">
        <v>146124</v>
      </c>
      <c r="M2394" t="s">
        <v>4908</v>
      </c>
      <c r="N2394" t="s">
        <v>33</v>
      </c>
      <c r="O2394" t="s">
        <v>22</v>
      </c>
      <c r="P2394" s="1">
        <v>45571</v>
      </c>
      <c r="Q2394">
        <v>429</v>
      </c>
      <c r="R2394">
        <v>404</v>
      </c>
      <c r="S2394" t="s">
        <v>23</v>
      </c>
      <c r="T2394">
        <v>6</v>
      </c>
      <c r="U2394" t="s">
        <v>58</v>
      </c>
      <c r="V2394" t="s">
        <v>24</v>
      </c>
      <c r="W2394" t="s">
        <v>34</v>
      </c>
    </row>
    <row r="2395" spans="1:23" x14ac:dyDescent="0.3">
      <c r="A2395" t="s">
        <v>4909</v>
      </c>
      <c r="B2395" t="s">
        <v>26</v>
      </c>
      <c r="C2395" t="s">
        <v>195</v>
      </c>
      <c r="D2395" t="s">
        <v>49</v>
      </c>
      <c r="E2395" t="s">
        <v>133</v>
      </c>
      <c r="F2395" t="s">
        <v>134</v>
      </c>
      <c r="G2395" t="s">
        <v>18</v>
      </c>
      <c r="H2395" t="s">
        <v>66</v>
      </c>
      <c r="I2395" t="str">
        <f>LEFT(H2395,FIND(" (",H2395)-1)</f>
        <v>Senior</v>
      </c>
      <c r="J2395" t="str">
        <f>MID(H2395,FIND("(",H2395)+1,FIND(")",H2395)-FIND("(",H2395)-1)</f>
        <v>5-8 yrs</v>
      </c>
      <c r="L2395">
        <v>132449</v>
      </c>
      <c r="M2395" t="s">
        <v>4910</v>
      </c>
      <c r="N2395" t="s">
        <v>33</v>
      </c>
      <c r="O2395" t="s">
        <v>22</v>
      </c>
      <c r="P2395" s="1">
        <v>45350</v>
      </c>
      <c r="Q2395">
        <v>970</v>
      </c>
      <c r="R2395">
        <v>3292</v>
      </c>
      <c r="S2395" t="s">
        <v>23</v>
      </c>
      <c r="T2395">
        <v>4</v>
      </c>
      <c r="U2395" t="s">
        <v>45</v>
      </c>
      <c r="V2395" t="s">
        <v>24</v>
      </c>
      <c r="W2395" t="s">
        <v>34</v>
      </c>
    </row>
    <row r="2396" spans="1:23" x14ac:dyDescent="0.3">
      <c r="A2396" t="s">
        <v>4911</v>
      </c>
      <c r="B2396" t="s">
        <v>229</v>
      </c>
      <c r="C2396" t="s">
        <v>54</v>
      </c>
      <c r="D2396" t="s">
        <v>125</v>
      </c>
      <c r="E2396" t="s">
        <v>230</v>
      </c>
      <c r="F2396" t="s">
        <v>231</v>
      </c>
      <c r="G2396" t="s">
        <v>18</v>
      </c>
      <c r="H2396" t="s">
        <v>31</v>
      </c>
      <c r="I2396" t="str">
        <f>LEFT(H2396,FIND(" (",H2396)-1)</f>
        <v>Staff/Principal</v>
      </c>
      <c r="J2396" t="str">
        <f>MID(H2396,FIND("(",H2396)+1,FIND(")",H2396)-FIND("(",H2396)-1)</f>
        <v>8+ yrs</v>
      </c>
      <c r="L2396">
        <v>196996</v>
      </c>
      <c r="M2396" t="s">
        <v>4912</v>
      </c>
      <c r="N2396" t="s">
        <v>33</v>
      </c>
      <c r="O2396" t="s">
        <v>51</v>
      </c>
      <c r="P2396" s="1">
        <v>45661</v>
      </c>
      <c r="Q2396">
        <v>495</v>
      </c>
      <c r="R2396">
        <v>2283</v>
      </c>
      <c r="S2396" t="s">
        <v>23</v>
      </c>
      <c r="T2396">
        <v>6</v>
      </c>
      <c r="U2396" t="s">
        <v>45</v>
      </c>
      <c r="V2396" t="s">
        <v>24</v>
      </c>
      <c r="W2396" t="s">
        <v>23</v>
      </c>
    </row>
    <row r="2397" spans="1:23" x14ac:dyDescent="0.3">
      <c r="A2397" t="s">
        <v>4913</v>
      </c>
      <c r="B2397" t="s">
        <v>81</v>
      </c>
      <c r="C2397" t="s">
        <v>124</v>
      </c>
      <c r="D2397" t="s">
        <v>125</v>
      </c>
      <c r="E2397" t="s">
        <v>200</v>
      </c>
      <c r="F2397" t="s">
        <v>201</v>
      </c>
      <c r="G2397" t="s">
        <v>41</v>
      </c>
      <c r="H2397" t="s">
        <v>56</v>
      </c>
      <c r="I2397" t="str">
        <f>LEFT(H2397,FIND(" (",H2397)-1)</f>
        <v>Mid</v>
      </c>
      <c r="J2397" t="str">
        <f>MID(H2397,FIND("(",H2397)+1,FIND(")",H2397)-FIND("(",H2397)-1)</f>
        <v>2-5 yrs</v>
      </c>
      <c r="L2397">
        <v>81297</v>
      </c>
      <c r="M2397" t="s">
        <v>4914</v>
      </c>
      <c r="N2397" t="s">
        <v>149</v>
      </c>
      <c r="O2397" t="s">
        <v>51</v>
      </c>
      <c r="P2397" s="1">
        <v>45371</v>
      </c>
      <c r="Q2397">
        <v>1671</v>
      </c>
      <c r="R2397">
        <v>3142</v>
      </c>
      <c r="S2397" t="s">
        <v>23</v>
      </c>
      <c r="T2397">
        <v>2</v>
      </c>
      <c r="U2397" t="s">
        <v>45</v>
      </c>
      <c r="V2397" t="s">
        <v>24</v>
      </c>
      <c r="W2397" t="s">
        <v>23</v>
      </c>
    </row>
    <row r="2398" spans="1:23" x14ac:dyDescent="0.3">
      <c r="A2398" t="s">
        <v>4915</v>
      </c>
      <c r="B2398" t="s">
        <v>61</v>
      </c>
      <c r="C2398" t="s">
        <v>27</v>
      </c>
      <c r="D2398" t="s">
        <v>111</v>
      </c>
      <c r="E2398" t="s">
        <v>5132</v>
      </c>
      <c r="F2398" t="s">
        <v>5133</v>
      </c>
      <c r="G2398" t="s">
        <v>18</v>
      </c>
      <c r="H2398" t="s">
        <v>66</v>
      </c>
      <c r="I2398" t="str">
        <f>LEFT(H2398,FIND(" (",H2398)-1)</f>
        <v>Senior</v>
      </c>
      <c r="J2398" t="str">
        <f>MID(H2398,FIND("(",H2398)+1,FIND(")",H2398)-FIND("(",H2398)-1)</f>
        <v>5-8 yrs</v>
      </c>
      <c r="L2398">
        <v>125109</v>
      </c>
      <c r="M2398" t="s">
        <v>4916</v>
      </c>
      <c r="N2398" t="s">
        <v>33</v>
      </c>
      <c r="O2398" t="s">
        <v>22</v>
      </c>
      <c r="P2398" s="1">
        <v>45418</v>
      </c>
      <c r="Q2398">
        <v>800</v>
      </c>
      <c r="R2398">
        <v>3537</v>
      </c>
      <c r="S2398" t="s">
        <v>23</v>
      </c>
      <c r="T2398">
        <v>4</v>
      </c>
      <c r="U2398" t="s">
        <v>83</v>
      </c>
      <c r="V2398" t="s">
        <v>24</v>
      </c>
      <c r="W2398" t="s">
        <v>34</v>
      </c>
    </row>
    <row r="2399" spans="1:23" x14ac:dyDescent="0.3">
      <c r="A2399" t="s">
        <v>4917</v>
      </c>
      <c r="B2399" t="s">
        <v>131</v>
      </c>
      <c r="C2399" t="s">
        <v>192</v>
      </c>
      <c r="D2399" t="s">
        <v>38</v>
      </c>
      <c r="E2399" t="s">
        <v>216</v>
      </c>
      <c r="F2399" t="s">
        <v>217</v>
      </c>
      <c r="G2399" t="s">
        <v>41</v>
      </c>
      <c r="H2399" t="s">
        <v>56</v>
      </c>
      <c r="I2399" t="str">
        <f>LEFT(H2399,FIND(" (",H2399)-1)</f>
        <v>Mid</v>
      </c>
      <c r="J2399" t="str">
        <f>MID(H2399,FIND("(",H2399)+1,FIND(")",H2399)-FIND("(",H2399)-1)</f>
        <v>2-5 yrs</v>
      </c>
      <c r="L2399">
        <v>90121</v>
      </c>
      <c r="M2399" t="s">
        <v>4918</v>
      </c>
      <c r="N2399" t="s">
        <v>141</v>
      </c>
      <c r="O2399" t="s">
        <v>44</v>
      </c>
      <c r="P2399" s="1">
        <v>45743</v>
      </c>
      <c r="Q2399">
        <v>1221</v>
      </c>
      <c r="R2399">
        <v>3335</v>
      </c>
      <c r="S2399" t="s">
        <v>34</v>
      </c>
      <c r="T2399">
        <v>2</v>
      </c>
      <c r="U2399" t="s">
        <v>83</v>
      </c>
      <c r="V2399" t="s">
        <v>59</v>
      </c>
      <c r="W2399" t="s">
        <v>34</v>
      </c>
    </row>
    <row r="2400" spans="1:23" x14ac:dyDescent="0.3">
      <c r="A2400" t="s">
        <v>4919</v>
      </c>
      <c r="B2400" t="s">
        <v>13</v>
      </c>
      <c r="C2400" t="s">
        <v>27</v>
      </c>
      <c r="D2400" t="s">
        <v>15</v>
      </c>
      <c r="E2400" t="s">
        <v>159</v>
      </c>
      <c r="F2400" t="s">
        <v>160</v>
      </c>
      <c r="G2400" t="s">
        <v>41</v>
      </c>
      <c r="H2400" t="s">
        <v>31</v>
      </c>
      <c r="I2400" t="str">
        <f>LEFT(H2400,FIND(" (",H2400)-1)</f>
        <v>Staff/Principal</v>
      </c>
      <c r="J2400" t="str">
        <f>MID(H2400,FIND("(",H2400)+1,FIND(")",H2400)-FIND("(",H2400)-1)</f>
        <v>8+ yrs</v>
      </c>
      <c r="L2400">
        <v>207461</v>
      </c>
      <c r="M2400" t="s">
        <v>4920</v>
      </c>
      <c r="N2400" t="s">
        <v>33</v>
      </c>
      <c r="O2400" t="s">
        <v>44</v>
      </c>
      <c r="P2400" s="1">
        <v>45497</v>
      </c>
      <c r="Q2400">
        <v>715</v>
      </c>
      <c r="R2400">
        <v>2380</v>
      </c>
      <c r="S2400" t="s">
        <v>23</v>
      </c>
      <c r="T2400">
        <v>6</v>
      </c>
      <c r="U2400" t="s">
        <v>83</v>
      </c>
      <c r="V2400" t="s">
        <v>24</v>
      </c>
      <c r="W2400" t="s">
        <v>23</v>
      </c>
    </row>
    <row r="2401" spans="1:23" x14ac:dyDescent="0.3">
      <c r="A2401" t="s">
        <v>4921</v>
      </c>
      <c r="B2401" t="s">
        <v>81</v>
      </c>
      <c r="C2401" t="s">
        <v>92</v>
      </c>
      <c r="D2401" t="s">
        <v>49</v>
      </c>
      <c r="E2401" t="s">
        <v>16</v>
      </c>
      <c r="F2401" t="s">
        <v>17</v>
      </c>
      <c r="G2401" t="s">
        <v>18</v>
      </c>
      <c r="H2401" t="s">
        <v>66</v>
      </c>
      <c r="I2401" t="str">
        <f>LEFT(H2401,FIND(" (",H2401)-1)</f>
        <v>Senior</v>
      </c>
      <c r="J2401" t="str">
        <f>MID(H2401,FIND("(",H2401)+1,FIND(")",H2401)-FIND("(",H2401)-1)</f>
        <v>5-8 yrs</v>
      </c>
      <c r="L2401">
        <v>151872</v>
      </c>
      <c r="M2401" t="s">
        <v>4922</v>
      </c>
      <c r="N2401" t="s">
        <v>120</v>
      </c>
      <c r="O2401" t="s">
        <v>44</v>
      </c>
      <c r="P2401" s="1">
        <v>45515</v>
      </c>
      <c r="Q2401">
        <v>1600</v>
      </c>
      <c r="R2401">
        <v>3061</v>
      </c>
      <c r="S2401" t="s">
        <v>23</v>
      </c>
      <c r="T2401">
        <v>4</v>
      </c>
      <c r="U2401" t="s">
        <v>58</v>
      </c>
      <c r="V2401" t="s">
        <v>24</v>
      </c>
      <c r="W2401" t="s">
        <v>23</v>
      </c>
    </row>
    <row r="2402" spans="1:23" x14ac:dyDescent="0.3">
      <c r="A2402" t="s">
        <v>4923</v>
      </c>
      <c r="B2402" t="s">
        <v>85</v>
      </c>
      <c r="C2402" t="s">
        <v>204</v>
      </c>
      <c r="D2402" t="s">
        <v>125</v>
      </c>
      <c r="E2402" t="s">
        <v>216</v>
      </c>
      <c r="F2402" t="s">
        <v>217</v>
      </c>
      <c r="G2402" t="s">
        <v>18</v>
      </c>
      <c r="H2402" t="s">
        <v>31</v>
      </c>
      <c r="I2402" t="str">
        <f>LEFT(H2402,FIND(" (",H2402)-1)</f>
        <v>Staff/Principal</v>
      </c>
      <c r="J2402" t="str">
        <f>MID(H2402,FIND("(",H2402)+1,FIND(")",H2402)-FIND("(",H2402)-1)</f>
        <v>8+ yrs</v>
      </c>
      <c r="L2402">
        <v>174017</v>
      </c>
      <c r="M2402" t="s">
        <v>4924</v>
      </c>
      <c r="N2402" t="s">
        <v>33</v>
      </c>
      <c r="O2402" t="s">
        <v>79</v>
      </c>
      <c r="P2402" s="1">
        <v>45485</v>
      </c>
      <c r="Q2402">
        <v>1235</v>
      </c>
      <c r="R2402">
        <v>2013</v>
      </c>
      <c r="S2402" t="s">
        <v>23</v>
      </c>
      <c r="T2402">
        <v>6</v>
      </c>
      <c r="U2402" t="s">
        <v>52</v>
      </c>
      <c r="V2402" t="s">
        <v>24</v>
      </c>
      <c r="W2402" t="s">
        <v>23</v>
      </c>
    </row>
    <row r="2403" spans="1:23" x14ac:dyDescent="0.3">
      <c r="A2403" t="s">
        <v>4925</v>
      </c>
      <c r="B2403" t="s">
        <v>70</v>
      </c>
      <c r="C2403" t="s">
        <v>179</v>
      </c>
      <c r="D2403" t="s">
        <v>38</v>
      </c>
      <c r="E2403" t="s">
        <v>5132</v>
      </c>
      <c r="F2403" t="s">
        <v>5133</v>
      </c>
      <c r="G2403" t="s">
        <v>18</v>
      </c>
      <c r="H2403" t="s">
        <v>19</v>
      </c>
      <c r="I2403" t="str">
        <f>LEFT(H2403,FIND(" (",H2403)-1)</f>
        <v>Entry</v>
      </c>
      <c r="J2403" t="str">
        <f>MID(H2403,FIND("(",H2403)+1,FIND(")",H2403)-FIND("(",H2403)-1)</f>
        <v>0-2 yrs</v>
      </c>
      <c r="L2403">
        <v>72227</v>
      </c>
      <c r="M2403" t="s">
        <v>4926</v>
      </c>
      <c r="N2403" t="s">
        <v>33</v>
      </c>
      <c r="O2403" t="s">
        <v>22</v>
      </c>
      <c r="P2403" s="1">
        <v>45683</v>
      </c>
      <c r="Q2403">
        <v>2136</v>
      </c>
      <c r="R2403">
        <v>1636</v>
      </c>
      <c r="S2403" t="s">
        <v>23</v>
      </c>
      <c r="T2403">
        <v>0</v>
      </c>
      <c r="U2403" t="s">
        <v>52</v>
      </c>
      <c r="V2403" t="s">
        <v>24</v>
      </c>
      <c r="W2403" t="s">
        <v>23</v>
      </c>
    </row>
    <row r="2404" spans="1:23" x14ac:dyDescent="0.3">
      <c r="A2404" t="s">
        <v>4927</v>
      </c>
      <c r="B2404" t="s">
        <v>131</v>
      </c>
      <c r="C2404" t="s">
        <v>158</v>
      </c>
      <c r="D2404" t="s">
        <v>49</v>
      </c>
      <c r="E2404" t="s">
        <v>5134</v>
      </c>
      <c r="F2404" t="s">
        <v>5133</v>
      </c>
      <c r="G2404" t="s">
        <v>55</v>
      </c>
      <c r="H2404" t="s">
        <v>31</v>
      </c>
      <c r="I2404" t="str">
        <f>LEFT(H2404,FIND(" (",H2404)-1)</f>
        <v>Staff/Principal</v>
      </c>
      <c r="J2404" t="str">
        <f>MID(H2404,FIND("(",H2404)+1,FIND(")",H2404)-FIND("(",H2404)-1)</f>
        <v>8+ yrs</v>
      </c>
      <c r="L2404">
        <v>180319</v>
      </c>
      <c r="M2404" t="s">
        <v>4928</v>
      </c>
      <c r="N2404" t="s">
        <v>43</v>
      </c>
      <c r="O2404" t="s">
        <v>51</v>
      </c>
      <c r="P2404" s="1">
        <v>45572</v>
      </c>
      <c r="Q2404">
        <v>2228</v>
      </c>
      <c r="R2404">
        <v>3255</v>
      </c>
      <c r="S2404" t="s">
        <v>34</v>
      </c>
      <c r="T2404">
        <v>6</v>
      </c>
      <c r="U2404" t="s">
        <v>45</v>
      </c>
      <c r="V2404" t="s">
        <v>24</v>
      </c>
      <c r="W2404" t="s">
        <v>34</v>
      </c>
    </row>
    <row r="2405" spans="1:23" x14ac:dyDescent="0.3">
      <c r="A2405" t="s">
        <v>4929</v>
      </c>
      <c r="B2405" t="s">
        <v>91</v>
      </c>
      <c r="C2405" t="s">
        <v>204</v>
      </c>
      <c r="D2405" t="s">
        <v>28</v>
      </c>
      <c r="E2405" t="s">
        <v>16</v>
      </c>
      <c r="F2405" t="s">
        <v>17</v>
      </c>
      <c r="G2405" t="s">
        <v>41</v>
      </c>
      <c r="H2405" t="s">
        <v>31</v>
      </c>
      <c r="I2405" t="str">
        <f>LEFT(H2405,FIND(" (",H2405)-1)</f>
        <v>Staff/Principal</v>
      </c>
      <c r="J2405" t="str">
        <f>MID(H2405,FIND("(",H2405)+1,FIND(")",H2405)-FIND("(",H2405)-1)</f>
        <v>8+ yrs</v>
      </c>
      <c r="L2405">
        <v>190220</v>
      </c>
      <c r="M2405" t="s">
        <v>4930</v>
      </c>
      <c r="N2405" t="s">
        <v>120</v>
      </c>
      <c r="O2405" t="s">
        <v>22</v>
      </c>
      <c r="P2405" s="1">
        <v>45402</v>
      </c>
      <c r="Q2405">
        <v>1710</v>
      </c>
      <c r="R2405">
        <v>3530</v>
      </c>
      <c r="S2405" t="s">
        <v>23</v>
      </c>
      <c r="T2405">
        <v>6</v>
      </c>
      <c r="U2405" t="s">
        <v>5123</v>
      </c>
      <c r="V2405" t="s">
        <v>59</v>
      </c>
      <c r="W2405" t="s">
        <v>23</v>
      </c>
    </row>
    <row r="2406" spans="1:23" x14ac:dyDescent="0.3">
      <c r="A2406" t="s">
        <v>4931</v>
      </c>
      <c r="B2406" t="s">
        <v>61</v>
      </c>
      <c r="C2406" t="s">
        <v>146</v>
      </c>
      <c r="D2406" t="s">
        <v>75</v>
      </c>
      <c r="E2406" t="s">
        <v>5137</v>
      </c>
      <c r="F2406" t="s">
        <v>5138</v>
      </c>
      <c r="G2406" t="s">
        <v>18</v>
      </c>
      <c r="H2406" t="s">
        <v>31</v>
      </c>
      <c r="I2406" t="str">
        <f>LEFT(H2406,FIND(" (",H2406)-1)</f>
        <v>Staff/Principal</v>
      </c>
      <c r="J2406" t="str">
        <f>MID(H2406,FIND("(",H2406)+1,FIND(")",H2406)-FIND("(",H2406)-1)</f>
        <v>8+ yrs</v>
      </c>
      <c r="L2406">
        <v>260244</v>
      </c>
      <c r="M2406" t="s">
        <v>4932</v>
      </c>
      <c r="N2406" t="s">
        <v>120</v>
      </c>
      <c r="O2406" t="s">
        <v>51</v>
      </c>
      <c r="P2406" s="1">
        <v>45671</v>
      </c>
      <c r="Q2406">
        <v>1237</v>
      </c>
      <c r="R2406">
        <v>3012</v>
      </c>
      <c r="S2406" t="s">
        <v>23</v>
      </c>
      <c r="T2406">
        <v>6</v>
      </c>
      <c r="U2406" t="s">
        <v>5123</v>
      </c>
      <c r="V2406" t="s">
        <v>24</v>
      </c>
      <c r="W2406" t="s">
        <v>23</v>
      </c>
    </row>
    <row r="2407" spans="1:23" x14ac:dyDescent="0.3">
      <c r="A2407" t="s">
        <v>4933</v>
      </c>
      <c r="B2407" t="s">
        <v>225</v>
      </c>
      <c r="C2407" t="s">
        <v>27</v>
      </c>
      <c r="D2407" t="s">
        <v>111</v>
      </c>
      <c r="E2407" t="s">
        <v>230</v>
      </c>
      <c r="F2407" t="s">
        <v>231</v>
      </c>
      <c r="G2407" t="s">
        <v>41</v>
      </c>
      <c r="H2407" t="s">
        <v>31</v>
      </c>
      <c r="I2407" t="str">
        <f>LEFT(H2407,FIND(" (",H2407)-1)</f>
        <v>Staff/Principal</v>
      </c>
      <c r="J2407" t="str">
        <f>MID(H2407,FIND("(",H2407)+1,FIND(")",H2407)-FIND("(",H2407)-1)</f>
        <v>8+ yrs</v>
      </c>
      <c r="L2407">
        <v>248256</v>
      </c>
      <c r="M2407" t="s">
        <v>4934</v>
      </c>
      <c r="N2407" t="s">
        <v>94</v>
      </c>
      <c r="O2407" t="s">
        <v>22</v>
      </c>
      <c r="P2407" s="1">
        <v>45391</v>
      </c>
      <c r="Q2407">
        <v>1948</v>
      </c>
      <c r="R2407">
        <v>957</v>
      </c>
      <c r="S2407" t="s">
        <v>23</v>
      </c>
      <c r="T2407">
        <v>6</v>
      </c>
      <c r="U2407" t="s">
        <v>5123</v>
      </c>
      <c r="V2407" t="s">
        <v>24</v>
      </c>
      <c r="W2407" t="s">
        <v>23</v>
      </c>
    </row>
    <row r="2408" spans="1:23" x14ac:dyDescent="0.3">
      <c r="A2408" t="s">
        <v>4935</v>
      </c>
      <c r="B2408" t="s">
        <v>131</v>
      </c>
      <c r="C2408" t="s">
        <v>107</v>
      </c>
      <c r="D2408" t="s">
        <v>49</v>
      </c>
      <c r="E2408" t="s">
        <v>29</v>
      </c>
      <c r="F2408" t="s">
        <v>30</v>
      </c>
      <c r="G2408" t="s">
        <v>41</v>
      </c>
      <c r="H2408" t="s">
        <v>66</v>
      </c>
      <c r="I2408" t="str">
        <f>LEFT(H2408,FIND(" (",H2408)-1)</f>
        <v>Senior</v>
      </c>
      <c r="J2408" t="str">
        <f>MID(H2408,FIND("(",H2408)+1,FIND(")",H2408)-FIND("(",H2408)-1)</f>
        <v>5-8 yrs</v>
      </c>
      <c r="L2408">
        <v>114911</v>
      </c>
      <c r="M2408" t="s">
        <v>4936</v>
      </c>
      <c r="N2408" t="s">
        <v>94</v>
      </c>
      <c r="O2408" t="s">
        <v>51</v>
      </c>
      <c r="P2408" s="1">
        <v>45315</v>
      </c>
      <c r="Q2408">
        <v>2075</v>
      </c>
      <c r="R2408">
        <v>50</v>
      </c>
      <c r="S2408" t="s">
        <v>23</v>
      </c>
      <c r="T2408">
        <v>4</v>
      </c>
      <c r="U2408" t="s">
        <v>5123</v>
      </c>
      <c r="V2408" t="s">
        <v>59</v>
      </c>
      <c r="W2408" t="s">
        <v>23</v>
      </c>
    </row>
    <row r="2409" spans="1:23" x14ac:dyDescent="0.3">
      <c r="A2409" t="s">
        <v>4937</v>
      </c>
      <c r="B2409" t="s">
        <v>36</v>
      </c>
      <c r="C2409" t="s">
        <v>158</v>
      </c>
      <c r="D2409" t="s">
        <v>125</v>
      </c>
      <c r="E2409" t="s">
        <v>76</v>
      </c>
      <c r="F2409" t="s">
        <v>77</v>
      </c>
      <c r="G2409" t="s">
        <v>41</v>
      </c>
      <c r="H2409" t="s">
        <v>19</v>
      </c>
      <c r="I2409" t="str">
        <f>LEFT(H2409,FIND(" (",H2409)-1)</f>
        <v>Entry</v>
      </c>
      <c r="J2409" t="str">
        <f>MID(H2409,FIND("(",H2409)+1,FIND(")",H2409)-FIND("(",H2409)-1)</f>
        <v>0-2 yrs</v>
      </c>
      <c r="L2409">
        <v>80454</v>
      </c>
      <c r="M2409" t="s">
        <v>4938</v>
      </c>
      <c r="N2409" t="s">
        <v>94</v>
      </c>
      <c r="O2409" t="s">
        <v>51</v>
      </c>
      <c r="P2409" s="1">
        <v>45311</v>
      </c>
      <c r="Q2409">
        <v>2214</v>
      </c>
      <c r="R2409">
        <v>850</v>
      </c>
      <c r="S2409" t="s">
        <v>23</v>
      </c>
      <c r="T2409">
        <v>0</v>
      </c>
      <c r="U2409" t="s">
        <v>58</v>
      </c>
      <c r="V2409" t="s">
        <v>24</v>
      </c>
      <c r="W2409" t="s">
        <v>23</v>
      </c>
    </row>
    <row r="2410" spans="1:23" x14ac:dyDescent="0.3">
      <c r="A2410" t="s">
        <v>4939</v>
      </c>
      <c r="B2410" t="s">
        <v>26</v>
      </c>
      <c r="C2410" t="s">
        <v>62</v>
      </c>
      <c r="D2410" t="s">
        <v>49</v>
      </c>
      <c r="E2410" t="s">
        <v>87</v>
      </c>
      <c r="F2410" t="s">
        <v>87</v>
      </c>
      <c r="G2410" t="s">
        <v>41</v>
      </c>
      <c r="H2410" t="s">
        <v>31</v>
      </c>
      <c r="I2410" t="str">
        <f>LEFT(H2410,FIND(" (",H2410)-1)</f>
        <v>Staff/Principal</v>
      </c>
      <c r="J2410" t="str">
        <f>MID(H2410,FIND("(",H2410)+1,FIND(")",H2410)-FIND("(",H2410)-1)</f>
        <v>8+ yrs</v>
      </c>
      <c r="L2410">
        <v>229210</v>
      </c>
      <c r="M2410" t="s">
        <v>4940</v>
      </c>
      <c r="N2410" t="s">
        <v>33</v>
      </c>
      <c r="O2410" t="s">
        <v>22</v>
      </c>
      <c r="P2410" s="1">
        <v>45514</v>
      </c>
      <c r="Q2410">
        <v>847</v>
      </c>
      <c r="R2410">
        <v>3135</v>
      </c>
      <c r="S2410" t="s">
        <v>34</v>
      </c>
      <c r="T2410">
        <v>6</v>
      </c>
      <c r="U2410" t="s">
        <v>52</v>
      </c>
      <c r="V2410" t="s">
        <v>24</v>
      </c>
      <c r="W2410" t="s">
        <v>23</v>
      </c>
    </row>
    <row r="2411" spans="1:23" x14ac:dyDescent="0.3">
      <c r="A2411" t="s">
        <v>4941</v>
      </c>
      <c r="B2411" t="s">
        <v>81</v>
      </c>
      <c r="C2411" t="s">
        <v>192</v>
      </c>
      <c r="D2411" t="s">
        <v>147</v>
      </c>
      <c r="E2411" t="s">
        <v>5140</v>
      </c>
      <c r="F2411" t="s">
        <v>5133</v>
      </c>
      <c r="G2411" t="s">
        <v>41</v>
      </c>
      <c r="H2411" t="s">
        <v>66</v>
      </c>
      <c r="I2411" t="str">
        <f>LEFT(H2411,FIND(" (",H2411)-1)</f>
        <v>Senior</v>
      </c>
      <c r="J2411" t="str">
        <f>MID(H2411,FIND("(",H2411)+1,FIND(")",H2411)-FIND("(",H2411)-1)</f>
        <v>5-8 yrs</v>
      </c>
      <c r="L2411">
        <v>118996</v>
      </c>
      <c r="M2411" t="s">
        <v>4942</v>
      </c>
      <c r="N2411" t="s">
        <v>120</v>
      </c>
      <c r="O2411" t="s">
        <v>22</v>
      </c>
      <c r="P2411" s="1">
        <v>45293</v>
      </c>
      <c r="Q2411">
        <v>1057</v>
      </c>
      <c r="R2411">
        <v>2981</v>
      </c>
      <c r="S2411" t="s">
        <v>23</v>
      </c>
      <c r="T2411">
        <v>4</v>
      </c>
      <c r="U2411" t="s">
        <v>83</v>
      </c>
      <c r="V2411" t="s">
        <v>24</v>
      </c>
      <c r="W2411" t="s">
        <v>34</v>
      </c>
    </row>
    <row r="2412" spans="1:23" x14ac:dyDescent="0.3">
      <c r="A2412" t="s">
        <v>4943</v>
      </c>
      <c r="B2412" t="s">
        <v>13</v>
      </c>
      <c r="C2412" t="s">
        <v>101</v>
      </c>
      <c r="D2412" t="s">
        <v>75</v>
      </c>
      <c r="E2412" t="s">
        <v>29</v>
      </c>
      <c r="F2412" t="s">
        <v>30</v>
      </c>
      <c r="G2412" t="s">
        <v>55</v>
      </c>
      <c r="H2412" t="s">
        <v>56</v>
      </c>
      <c r="I2412" t="str">
        <f>LEFT(H2412,FIND(" (",H2412)-1)</f>
        <v>Mid</v>
      </c>
      <c r="J2412" t="str">
        <f>MID(H2412,FIND("(",H2412)+1,FIND(")",H2412)-FIND("(",H2412)-1)</f>
        <v>2-5 yrs</v>
      </c>
      <c r="L2412">
        <v>126211</v>
      </c>
      <c r="M2412" t="s">
        <v>4944</v>
      </c>
      <c r="N2412" t="s">
        <v>94</v>
      </c>
      <c r="O2412" t="s">
        <v>22</v>
      </c>
      <c r="P2412" s="1">
        <v>45535</v>
      </c>
      <c r="Q2412">
        <v>1714</v>
      </c>
      <c r="R2412">
        <v>3688</v>
      </c>
      <c r="S2412" t="s">
        <v>34</v>
      </c>
      <c r="T2412">
        <v>2</v>
      </c>
      <c r="U2412" t="s">
        <v>83</v>
      </c>
      <c r="V2412" t="s">
        <v>24</v>
      </c>
      <c r="W2412" t="s">
        <v>23</v>
      </c>
    </row>
    <row r="2413" spans="1:23" x14ac:dyDescent="0.3">
      <c r="A2413" t="s">
        <v>4945</v>
      </c>
      <c r="B2413" t="s">
        <v>26</v>
      </c>
      <c r="C2413" t="s">
        <v>92</v>
      </c>
      <c r="D2413" t="s">
        <v>75</v>
      </c>
      <c r="E2413" t="s">
        <v>5135</v>
      </c>
      <c r="F2413" t="s">
        <v>5133</v>
      </c>
      <c r="G2413" t="s">
        <v>55</v>
      </c>
      <c r="H2413" t="s">
        <v>56</v>
      </c>
      <c r="I2413" t="str">
        <f>LEFT(H2413,FIND(" (",H2413)-1)</f>
        <v>Mid</v>
      </c>
      <c r="J2413" t="str">
        <f>MID(H2413,FIND("(",H2413)+1,FIND(")",H2413)-FIND("(",H2413)-1)</f>
        <v>2-5 yrs</v>
      </c>
      <c r="L2413">
        <v>140451</v>
      </c>
      <c r="M2413" t="s">
        <v>4946</v>
      </c>
      <c r="N2413" t="s">
        <v>245</v>
      </c>
      <c r="O2413" t="s">
        <v>51</v>
      </c>
      <c r="P2413" s="1">
        <v>45337</v>
      </c>
      <c r="Q2413">
        <v>2239</v>
      </c>
      <c r="R2413">
        <v>3119</v>
      </c>
      <c r="S2413" t="s">
        <v>23</v>
      </c>
      <c r="T2413">
        <v>2</v>
      </c>
      <c r="U2413" t="s">
        <v>58</v>
      </c>
      <c r="V2413" t="s">
        <v>24</v>
      </c>
      <c r="W2413" t="s">
        <v>23</v>
      </c>
    </row>
    <row r="2414" spans="1:23" x14ac:dyDescent="0.3">
      <c r="A2414" t="s">
        <v>4947</v>
      </c>
      <c r="B2414" t="s">
        <v>81</v>
      </c>
      <c r="C2414" t="s">
        <v>110</v>
      </c>
      <c r="D2414" t="s">
        <v>147</v>
      </c>
      <c r="E2414" t="s">
        <v>159</v>
      </c>
      <c r="F2414" t="s">
        <v>160</v>
      </c>
      <c r="G2414" t="s">
        <v>18</v>
      </c>
      <c r="H2414" t="s">
        <v>19</v>
      </c>
      <c r="I2414" t="str">
        <f>LEFT(H2414,FIND(" (",H2414)-1)</f>
        <v>Entry</v>
      </c>
      <c r="J2414" t="str">
        <f>MID(H2414,FIND("(",H2414)+1,FIND(")",H2414)-FIND("(",H2414)-1)</f>
        <v>0-2 yrs</v>
      </c>
      <c r="L2414">
        <v>55855</v>
      </c>
      <c r="M2414" t="s">
        <v>4948</v>
      </c>
      <c r="N2414" t="s">
        <v>21</v>
      </c>
      <c r="O2414" t="s">
        <v>51</v>
      </c>
      <c r="P2414" s="1">
        <v>45645</v>
      </c>
      <c r="Q2414">
        <v>605</v>
      </c>
      <c r="R2414">
        <v>721</v>
      </c>
      <c r="S2414" t="s">
        <v>23</v>
      </c>
      <c r="T2414">
        <v>0</v>
      </c>
      <c r="U2414" t="s">
        <v>52</v>
      </c>
      <c r="V2414" t="s">
        <v>24</v>
      </c>
      <c r="W2414" t="s">
        <v>23</v>
      </c>
    </row>
    <row r="2415" spans="1:23" x14ac:dyDescent="0.3">
      <c r="A2415" t="s">
        <v>4949</v>
      </c>
      <c r="B2415" t="s">
        <v>85</v>
      </c>
      <c r="C2415" t="s">
        <v>158</v>
      </c>
      <c r="D2415" t="s">
        <v>63</v>
      </c>
      <c r="E2415" t="s">
        <v>200</v>
      </c>
      <c r="F2415" t="s">
        <v>201</v>
      </c>
      <c r="G2415" t="s">
        <v>18</v>
      </c>
      <c r="H2415" t="s">
        <v>66</v>
      </c>
      <c r="I2415" t="str">
        <f>LEFT(H2415,FIND(" (",H2415)-1)</f>
        <v>Senior</v>
      </c>
      <c r="J2415" t="str">
        <f>MID(H2415,FIND("(",H2415)+1,FIND(")",H2415)-FIND("(",H2415)-1)</f>
        <v>5-8 yrs</v>
      </c>
      <c r="L2415">
        <v>125227</v>
      </c>
      <c r="M2415" t="s">
        <v>4950</v>
      </c>
      <c r="N2415" t="s">
        <v>68</v>
      </c>
      <c r="O2415" t="s">
        <v>51</v>
      </c>
      <c r="P2415" s="1">
        <v>45679</v>
      </c>
      <c r="Q2415">
        <v>2417</v>
      </c>
      <c r="R2415">
        <v>404</v>
      </c>
      <c r="S2415" t="s">
        <v>23</v>
      </c>
      <c r="T2415">
        <v>4</v>
      </c>
      <c r="U2415" t="s">
        <v>83</v>
      </c>
      <c r="V2415" t="s">
        <v>24</v>
      </c>
      <c r="W2415" t="s">
        <v>23</v>
      </c>
    </row>
    <row r="2416" spans="1:23" x14ac:dyDescent="0.3">
      <c r="A2416" t="s">
        <v>4951</v>
      </c>
      <c r="B2416" t="s">
        <v>91</v>
      </c>
      <c r="C2416" t="s">
        <v>116</v>
      </c>
      <c r="D2416" t="s">
        <v>75</v>
      </c>
      <c r="E2416" t="s">
        <v>200</v>
      </c>
      <c r="F2416" t="s">
        <v>201</v>
      </c>
      <c r="G2416" t="s">
        <v>41</v>
      </c>
      <c r="H2416" t="s">
        <v>31</v>
      </c>
      <c r="I2416" t="str">
        <f>LEFT(H2416,FIND(" (",H2416)-1)</f>
        <v>Staff/Principal</v>
      </c>
      <c r="J2416" t="str">
        <f>MID(H2416,FIND("(",H2416)+1,FIND(")",H2416)-FIND("(",H2416)-1)</f>
        <v>8+ yrs</v>
      </c>
      <c r="L2416">
        <v>236635</v>
      </c>
      <c r="M2416" t="s">
        <v>4952</v>
      </c>
      <c r="N2416" t="s">
        <v>120</v>
      </c>
      <c r="O2416" t="s">
        <v>51</v>
      </c>
      <c r="P2416" s="1">
        <v>45368</v>
      </c>
      <c r="Q2416">
        <v>650</v>
      </c>
      <c r="R2416">
        <v>1405</v>
      </c>
      <c r="S2416" t="s">
        <v>23</v>
      </c>
      <c r="T2416">
        <v>6</v>
      </c>
      <c r="U2416" t="s">
        <v>52</v>
      </c>
      <c r="V2416" t="s">
        <v>24</v>
      </c>
      <c r="W2416" t="s">
        <v>34</v>
      </c>
    </row>
    <row r="2417" spans="1:23" x14ac:dyDescent="0.3">
      <c r="A2417" t="s">
        <v>4953</v>
      </c>
      <c r="B2417" t="s">
        <v>137</v>
      </c>
      <c r="C2417" t="s">
        <v>128</v>
      </c>
      <c r="D2417" t="s">
        <v>125</v>
      </c>
      <c r="E2417" t="s">
        <v>133</v>
      </c>
      <c r="F2417" t="s">
        <v>134</v>
      </c>
      <c r="G2417" t="s">
        <v>18</v>
      </c>
      <c r="H2417" t="s">
        <v>31</v>
      </c>
      <c r="I2417" t="str">
        <f>LEFT(H2417,FIND(" (",H2417)-1)</f>
        <v>Staff/Principal</v>
      </c>
      <c r="J2417" t="str">
        <f>MID(H2417,FIND("(",H2417)+1,FIND(")",H2417)-FIND("(",H2417)-1)</f>
        <v>8+ yrs</v>
      </c>
      <c r="L2417">
        <v>209773</v>
      </c>
      <c r="M2417" t="s">
        <v>4954</v>
      </c>
      <c r="N2417" t="s">
        <v>33</v>
      </c>
      <c r="O2417" t="s">
        <v>51</v>
      </c>
      <c r="P2417" s="1">
        <v>45639</v>
      </c>
      <c r="Q2417">
        <v>303</v>
      </c>
      <c r="R2417">
        <v>1055</v>
      </c>
      <c r="S2417" t="s">
        <v>23</v>
      </c>
      <c r="T2417">
        <v>6</v>
      </c>
      <c r="U2417" t="s">
        <v>5123</v>
      </c>
      <c r="V2417" t="s">
        <v>46</v>
      </c>
      <c r="W2417" t="s">
        <v>23</v>
      </c>
    </row>
    <row r="2418" spans="1:23" x14ac:dyDescent="0.3">
      <c r="A2418" t="s">
        <v>4955</v>
      </c>
      <c r="B2418" t="s">
        <v>222</v>
      </c>
      <c r="C2418" t="s">
        <v>204</v>
      </c>
      <c r="D2418" t="s">
        <v>63</v>
      </c>
      <c r="E2418" t="s">
        <v>133</v>
      </c>
      <c r="F2418" t="s">
        <v>134</v>
      </c>
      <c r="G2418" t="s">
        <v>18</v>
      </c>
      <c r="H2418" t="s">
        <v>19</v>
      </c>
      <c r="I2418" t="str">
        <f>LEFT(H2418,FIND(" (",H2418)-1)</f>
        <v>Entry</v>
      </c>
      <c r="J2418" t="str">
        <f>MID(H2418,FIND("(",H2418)+1,FIND(")",H2418)-FIND("(",H2418)-1)</f>
        <v>0-2 yrs</v>
      </c>
      <c r="L2418">
        <v>76948</v>
      </c>
      <c r="M2418" t="s">
        <v>4956</v>
      </c>
      <c r="N2418" t="s">
        <v>68</v>
      </c>
      <c r="O2418" t="s">
        <v>51</v>
      </c>
      <c r="P2418" s="1">
        <v>45506</v>
      </c>
      <c r="Q2418">
        <v>2043</v>
      </c>
      <c r="R2418">
        <v>2887</v>
      </c>
      <c r="S2418" t="s">
        <v>34</v>
      </c>
      <c r="T2418">
        <v>0</v>
      </c>
      <c r="U2418" t="s">
        <v>52</v>
      </c>
      <c r="V2418" t="s">
        <v>59</v>
      </c>
      <c r="W2418" t="s">
        <v>34</v>
      </c>
    </row>
    <row r="2419" spans="1:23" x14ac:dyDescent="0.3">
      <c r="A2419" t="s">
        <v>4957</v>
      </c>
      <c r="B2419" t="s">
        <v>172</v>
      </c>
      <c r="C2419" t="s">
        <v>182</v>
      </c>
      <c r="D2419" t="s">
        <v>38</v>
      </c>
      <c r="E2419" t="s">
        <v>5139</v>
      </c>
      <c r="F2419" t="s">
        <v>5133</v>
      </c>
      <c r="G2419" t="s">
        <v>18</v>
      </c>
      <c r="H2419" t="s">
        <v>31</v>
      </c>
      <c r="I2419" t="str">
        <f>LEFT(H2419,FIND(" (",H2419)-1)</f>
        <v>Staff/Principal</v>
      </c>
      <c r="J2419" t="str">
        <f>MID(H2419,FIND("(",H2419)+1,FIND(")",H2419)-FIND("(",H2419)-1)</f>
        <v>8+ yrs</v>
      </c>
      <c r="L2419">
        <v>212261</v>
      </c>
      <c r="M2419" t="s">
        <v>4958</v>
      </c>
      <c r="N2419" t="s">
        <v>149</v>
      </c>
      <c r="O2419" t="s">
        <v>51</v>
      </c>
      <c r="P2419" s="1">
        <v>45504</v>
      </c>
      <c r="Q2419">
        <v>501</v>
      </c>
      <c r="R2419">
        <v>1757</v>
      </c>
      <c r="S2419" t="s">
        <v>23</v>
      </c>
      <c r="T2419">
        <v>6</v>
      </c>
      <c r="U2419" t="s">
        <v>58</v>
      </c>
      <c r="V2419" t="s">
        <v>24</v>
      </c>
      <c r="W2419" t="s">
        <v>23</v>
      </c>
    </row>
    <row r="2420" spans="1:23" x14ac:dyDescent="0.3">
      <c r="A2420" t="s">
        <v>4959</v>
      </c>
      <c r="B2420" t="s">
        <v>143</v>
      </c>
      <c r="C2420" t="s">
        <v>226</v>
      </c>
      <c r="D2420" t="s">
        <v>147</v>
      </c>
      <c r="E2420" t="s">
        <v>29</v>
      </c>
      <c r="F2420" t="s">
        <v>30</v>
      </c>
      <c r="G2420" t="s">
        <v>55</v>
      </c>
      <c r="H2420" t="s">
        <v>66</v>
      </c>
      <c r="I2420" t="str">
        <f>LEFT(H2420,FIND(" (",H2420)-1)</f>
        <v>Senior</v>
      </c>
      <c r="J2420" t="str">
        <f>MID(H2420,FIND("(",H2420)+1,FIND(")",H2420)-FIND("(",H2420)-1)</f>
        <v>5-8 yrs</v>
      </c>
      <c r="L2420">
        <v>160548</v>
      </c>
      <c r="M2420" t="s">
        <v>4960</v>
      </c>
      <c r="N2420" t="s">
        <v>33</v>
      </c>
      <c r="O2420" t="s">
        <v>44</v>
      </c>
      <c r="P2420" s="1">
        <v>45504</v>
      </c>
      <c r="Q2420">
        <v>2377</v>
      </c>
      <c r="R2420">
        <v>1125</v>
      </c>
      <c r="S2420" t="s">
        <v>23</v>
      </c>
      <c r="T2420">
        <v>4</v>
      </c>
      <c r="U2420" t="s">
        <v>45</v>
      </c>
      <c r="V2420" t="s">
        <v>24</v>
      </c>
      <c r="W2420" t="s">
        <v>23</v>
      </c>
    </row>
    <row r="2421" spans="1:23" x14ac:dyDescent="0.3">
      <c r="A2421" t="s">
        <v>4961</v>
      </c>
      <c r="B2421" t="s">
        <v>96</v>
      </c>
      <c r="C2421" t="s">
        <v>239</v>
      </c>
      <c r="D2421" t="s">
        <v>38</v>
      </c>
      <c r="E2421" t="s">
        <v>200</v>
      </c>
      <c r="F2421" t="s">
        <v>201</v>
      </c>
      <c r="G2421" t="s">
        <v>18</v>
      </c>
      <c r="H2421" t="s">
        <v>66</v>
      </c>
      <c r="I2421" t="str">
        <f>LEFT(H2421,FIND(" (",H2421)-1)</f>
        <v>Senior</v>
      </c>
      <c r="J2421" t="str">
        <f>MID(H2421,FIND("(",H2421)+1,FIND(")",H2421)-FIND("(",H2421)-1)</f>
        <v>5-8 yrs</v>
      </c>
      <c r="L2421">
        <v>114185</v>
      </c>
      <c r="M2421" t="s">
        <v>4962</v>
      </c>
      <c r="N2421" t="s">
        <v>94</v>
      </c>
      <c r="O2421" t="s">
        <v>51</v>
      </c>
      <c r="P2421" s="1">
        <v>45604</v>
      </c>
      <c r="Q2421">
        <v>1578</v>
      </c>
      <c r="R2421">
        <v>2227</v>
      </c>
      <c r="S2421" t="s">
        <v>99</v>
      </c>
      <c r="T2421">
        <v>4</v>
      </c>
      <c r="U2421" t="s">
        <v>52</v>
      </c>
      <c r="V2421" t="s">
        <v>24</v>
      </c>
      <c r="W2421" t="s">
        <v>23</v>
      </c>
    </row>
    <row r="2422" spans="1:23" x14ac:dyDescent="0.3">
      <c r="A2422" t="s">
        <v>4963</v>
      </c>
      <c r="B2422" t="s">
        <v>137</v>
      </c>
      <c r="C2422" t="s">
        <v>209</v>
      </c>
      <c r="D2422" t="s">
        <v>49</v>
      </c>
      <c r="E2422" t="s">
        <v>230</v>
      </c>
      <c r="F2422" t="s">
        <v>231</v>
      </c>
      <c r="G2422" t="s">
        <v>18</v>
      </c>
      <c r="H2422" t="s">
        <v>19</v>
      </c>
      <c r="I2422" t="str">
        <f>LEFT(H2422,FIND(" (",H2422)-1)</f>
        <v>Entry</v>
      </c>
      <c r="J2422" t="str">
        <f>MID(H2422,FIND("(",H2422)+1,FIND(")",H2422)-FIND("(",H2422)-1)</f>
        <v>0-2 yrs</v>
      </c>
      <c r="L2422">
        <v>83196</v>
      </c>
      <c r="M2422" t="s">
        <v>4964</v>
      </c>
      <c r="N2422" t="s">
        <v>186</v>
      </c>
      <c r="O2422" t="s">
        <v>79</v>
      </c>
      <c r="P2422" s="1">
        <v>45428</v>
      </c>
      <c r="Q2422">
        <v>2417</v>
      </c>
      <c r="R2422">
        <v>718</v>
      </c>
      <c r="S2422" t="s">
        <v>23</v>
      </c>
      <c r="T2422">
        <v>0</v>
      </c>
      <c r="U2422" t="s">
        <v>83</v>
      </c>
      <c r="V2422" t="s">
        <v>24</v>
      </c>
      <c r="W2422" t="s">
        <v>23</v>
      </c>
    </row>
    <row r="2423" spans="1:23" x14ac:dyDescent="0.3">
      <c r="A2423" t="s">
        <v>4965</v>
      </c>
      <c r="B2423" t="s">
        <v>137</v>
      </c>
      <c r="C2423" t="s">
        <v>116</v>
      </c>
      <c r="D2423" t="s">
        <v>15</v>
      </c>
      <c r="E2423" t="s">
        <v>5140</v>
      </c>
      <c r="F2423" t="s">
        <v>5133</v>
      </c>
      <c r="G2423" t="s">
        <v>55</v>
      </c>
      <c r="H2423" t="s">
        <v>19</v>
      </c>
      <c r="I2423" t="str">
        <f>LEFT(H2423,FIND(" (",H2423)-1)</f>
        <v>Entry</v>
      </c>
      <c r="J2423" t="str">
        <f>MID(H2423,FIND("(",H2423)+1,FIND(")",H2423)-FIND("(",H2423)-1)</f>
        <v>0-2 yrs</v>
      </c>
      <c r="L2423">
        <v>84736</v>
      </c>
      <c r="M2423" t="s">
        <v>4966</v>
      </c>
      <c r="N2423" t="s">
        <v>94</v>
      </c>
      <c r="O2423" t="s">
        <v>51</v>
      </c>
      <c r="P2423" s="1">
        <v>45516</v>
      </c>
      <c r="Q2423">
        <v>2310</v>
      </c>
      <c r="R2423">
        <v>1056</v>
      </c>
      <c r="S2423" t="s">
        <v>34</v>
      </c>
      <c r="T2423">
        <v>0</v>
      </c>
      <c r="U2423" t="s">
        <v>52</v>
      </c>
      <c r="V2423" t="s">
        <v>24</v>
      </c>
      <c r="W2423" t="s">
        <v>23</v>
      </c>
    </row>
    <row r="2424" spans="1:23" x14ac:dyDescent="0.3">
      <c r="A2424" t="s">
        <v>4967</v>
      </c>
      <c r="B2424" t="s">
        <v>26</v>
      </c>
      <c r="C2424" t="s">
        <v>101</v>
      </c>
      <c r="D2424" t="s">
        <v>111</v>
      </c>
      <c r="E2424" t="s">
        <v>76</v>
      </c>
      <c r="F2424" t="s">
        <v>77</v>
      </c>
      <c r="G2424" t="s">
        <v>41</v>
      </c>
      <c r="H2424" t="s">
        <v>19</v>
      </c>
      <c r="I2424" t="str">
        <f>LEFT(H2424,FIND(" (",H2424)-1)</f>
        <v>Entry</v>
      </c>
      <c r="J2424" t="str">
        <f>MID(H2424,FIND("(",H2424)+1,FIND(")",H2424)-FIND("(",H2424)-1)</f>
        <v>0-2 yrs</v>
      </c>
      <c r="L2424">
        <v>67109</v>
      </c>
      <c r="M2424" t="s">
        <v>4968</v>
      </c>
      <c r="N2424" t="s">
        <v>33</v>
      </c>
      <c r="O2424" t="s">
        <v>44</v>
      </c>
      <c r="P2424" s="1">
        <v>45455</v>
      </c>
      <c r="Q2424">
        <v>2194</v>
      </c>
      <c r="R2424">
        <v>3769</v>
      </c>
      <c r="S2424" t="s">
        <v>99</v>
      </c>
      <c r="T2424">
        <v>0</v>
      </c>
      <c r="U2424" t="s">
        <v>58</v>
      </c>
      <c r="V2424" t="s">
        <v>59</v>
      </c>
      <c r="W2424" t="s">
        <v>23</v>
      </c>
    </row>
    <row r="2425" spans="1:23" x14ac:dyDescent="0.3">
      <c r="A2425" t="s">
        <v>4969</v>
      </c>
      <c r="B2425" t="s">
        <v>106</v>
      </c>
      <c r="C2425" t="s">
        <v>167</v>
      </c>
      <c r="D2425" t="s">
        <v>174</v>
      </c>
      <c r="E2425" t="s">
        <v>5136</v>
      </c>
      <c r="F2425" t="s">
        <v>5133</v>
      </c>
      <c r="G2425" t="s">
        <v>18</v>
      </c>
      <c r="H2425" t="s">
        <v>56</v>
      </c>
      <c r="I2425" t="str">
        <f>LEFT(H2425,FIND(" (",H2425)-1)</f>
        <v>Mid</v>
      </c>
      <c r="J2425" t="str">
        <f>MID(H2425,FIND("(",H2425)+1,FIND(")",H2425)-FIND("(",H2425)-1)</f>
        <v>2-5 yrs</v>
      </c>
      <c r="L2425">
        <v>109139</v>
      </c>
      <c r="M2425" t="s">
        <v>4970</v>
      </c>
      <c r="N2425" t="s">
        <v>120</v>
      </c>
      <c r="O2425" t="s">
        <v>79</v>
      </c>
      <c r="P2425" s="1">
        <v>45610</v>
      </c>
      <c r="Q2425">
        <v>570</v>
      </c>
      <c r="R2425">
        <v>3644</v>
      </c>
      <c r="S2425" t="s">
        <v>99</v>
      </c>
      <c r="T2425">
        <v>2</v>
      </c>
      <c r="U2425" t="s">
        <v>45</v>
      </c>
      <c r="V2425" t="s">
        <v>24</v>
      </c>
      <c r="W2425" t="s">
        <v>34</v>
      </c>
    </row>
    <row r="2426" spans="1:23" x14ac:dyDescent="0.3">
      <c r="A2426" t="s">
        <v>4971</v>
      </c>
      <c r="B2426" t="s">
        <v>96</v>
      </c>
      <c r="C2426" t="s">
        <v>192</v>
      </c>
      <c r="D2426" t="s">
        <v>15</v>
      </c>
      <c r="E2426" t="s">
        <v>76</v>
      </c>
      <c r="F2426" t="s">
        <v>77</v>
      </c>
      <c r="G2426" t="s">
        <v>18</v>
      </c>
      <c r="H2426" t="s">
        <v>66</v>
      </c>
      <c r="I2426" t="str">
        <f>LEFT(H2426,FIND(" (",H2426)-1)</f>
        <v>Senior</v>
      </c>
      <c r="J2426" t="str">
        <f>MID(H2426,FIND("(",H2426)+1,FIND(")",H2426)-FIND("(",H2426)-1)</f>
        <v>5-8 yrs</v>
      </c>
      <c r="L2426">
        <v>108660</v>
      </c>
      <c r="M2426" t="s">
        <v>4972</v>
      </c>
      <c r="N2426" t="s">
        <v>33</v>
      </c>
      <c r="O2426" t="s">
        <v>44</v>
      </c>
      <c r="P2426" s="1">
        <v>45616</v>
      </c>
      <c r="Q2426">
        <v>1915</v>
      </c>
      <c r="R2426">
        <v>252</v>
      </c>
      <c r="S2426" t="s">
        <v>99</v>
      </c>
      <c r="T2426">
        <v>4</v>
      </c>
      <c r="U2426" t="s">
        <v>45</v>
      </c>
      <c r="V2426" t="s">
        <v>46</v>
      </c>
      <c r="W2426" t="s">
        <v>23</v>
      </c>
    </row>
    <row r="2427" spans="1:23" x14ac:dyDescent="0.3">
      <c r="A2427" t="s">
        <v>4973</v>
      </c>
      <c r="B2427" t="s">
        <v>131</v>
      </c>
      <c r="C2427" t="s">
        <v>116</v>
      </c>
      <c r="D2427" t="s">
        <v>49</v>
      </c>
      <c r="E2427" t="s">
        <v>5137</v>
      </c>
      <c r="F2427" t="s">
        <v>5138</v>
      </c>
      <c r="G2427" t="s">
        <v>18</v>
      </c>
      <c r="H2427" t="s">
        <v>66</v>
      </c>
      <c r="I2427" t="str">
        <f>LEFT(H2427,FIND(" (",H2427)-1)</f>
        <v>Senior</v>
      </c>
      <c r="J2427" t="str">
        <f>MID(H2427,FIND("(",H2427)+1,FIND(")",H2427)-FIND("(",H2427)-1)</f>
        <v>5-8 yrs</v>
      </c>
      <c r="L2427">
        <v>163884</v>
      </c>
      <c r="M2427" t="s">
        <v>4974</v>
      </c>
      <c r="N2427" t="s">
        <v>141</v>
      </c>
      <c r="O2427" t="s">
        <v>51</v>
      </c>
      <c r="P2427" s="1">
        <v>45499</v>
      </c>
      <c r="Q2427">
        <v>573</v>
      </c>
      <c r="R2427">
        <v>2713</v>
      </c>
      <c r="S2427" t="s">
        <v>23</v>
      </c>
      <c r="T2427">
        <v>4</v>
      </c>
      <c r="U2427" t="s">
        <v>5123</v>
      </c>
      <c r="V2427" t="s">
        <v>24</v>
      </c>
      <c r="W2427" t="s">
        <v>34</v>
      </c>
    </row>
    <row r="2428" spans="1:23" x14ac:dyDescent="0.3">
      <c r="A2428" t="s">
        <v>4975</v>
      </c>
      <c r="B2428" t="s">
        <v>222</v>
      </c>
      <c r="C2428" t="s">
        <v>128</v>
      </c>
      <c r="D2428" t="s">
        <v>111</v>
      </c>
      <c r="E2428" t="s">
        <v>230</v>
      </c>
      <c r="F2428" t="s">
        <v>231</v>
      </c>
      <c r="G2428" t="s">
        <v>41</v>
      </c>
      <c r="H2428" t="s">
        <v>66</v>
      </c>
      <c r="I2428" t="str">
        <f>LEFT(H2428,FIND(" (",H2428)-1)</f>
        <v>Senior</v>
      </c>
      <c r="J2428" t="str">
        <f>MID(H2428,FIND("(",H2428)+1,FIND(")",H2428)-FIND("(",H2428)-1)</f>
        <v>5-8 yrs</v>
      </c>
      <c r="L2428">
        <v>165445</v>
      </c>
      <c r="M2428" t="s">
        <v>4976</v>
      </c>
      <c r="N2428" t="s">
        <v>141</v>
      </c>
      <c r="O2428" t="s">
        <v>79</v>
      </c>
      <c r="P2428" s="1">
        <v>45484</v>
      </c>
      <c r="Q2428">
        <v>1644</v>
      </c>
      <c r="R2428">
        <v>1886</v>
      </c>
      <c r="S2428" t="s">
        <v>23</v>
      </c>
      <c r="T2428">
        <v>4</v>
      </c>
      <c r="U2428" t="s">
        <v>45</v>
      </c>
      <c r="V2428" t="s">
        <v>24</v>
      </c>
      <c r="W2428" t="s">
        <v>23</v>
      </c>
    </row>
    <row r="2429" spans="1:23" x14ac:dyDescent="0.3">
      <c r="A2429" t="s">
        <v>4977</v>
      </c>
      <c r="B2429" t="s">
        <v>137</v>
      </c>
      <c r="C2429" t="s">
        <v>195</v>
      </c>
      <c r="D2429" t="s">
        <v>111</v>
      </c>
      <c r="E2429" t="s">
        <v>16</v>
      </c>
      <c r="F2429" t="s">
        <v>17</v>
      </c>
      <c r="G2429" t="s">
        <v>41</v>
      </c>
      <c r="H2429" t="s">
        <v>56</v>
      </c>
      <c r="I2429" t="str">
        <f>LEFT(H2429,FIND(" (",H2429)-1)</f>
        <v>Mid</v>
      </c>
      <c r="J2429" t="str">
        <f>MID(H2429,FIND("(",H2429)+1,FIND(")",H2429)-FIND("(",H2429)-1)</f>
        <v>2-5 yrs</v>
      </c>
      <c r="L2429">
        <v>108768</v>
      </c>
      <c r="M2429" t="s">
        <v>4978</v>
      </c>
      <c r="N2429" t="s">
        <v>120</v>
      </c>
      <c r="O2429" t="s">
        <v>79</v>
      </c>
      <c r="P2429" s="1">
        <v>45384</v>
      </c>
      <c r="Q2429">
        <v>1939</v>
      </c>
      <c r="R2429">
        <v>1554</v>
      </c>
      <c r="S2429" t="s">
        <v>23</v>
      </c>
      <c r="T2429">
        <v>2</v>
      </c>
      <c r="U2429" t="s">
        <v>83</v>
      </c>
      <c r="V2429" t="s">
        <v>59</v>
      </c>
      <c r="W2429" t="s">
        <v>23</v>
      </c>
    </row>
    <row r="2430" spans="1:23" x14ac:dyDescent="0.3">
      <c r="A2430" t="s">
        <v>4979</v>
      </c>
      <c r="B2430" t="s">
        <v>13</v>
      </c>
      <c r="C2430" t="s">
        <v>179</v>
      </c>
      <c r="D2430" t="s">
        <v>75</v>
      </c>
      <c r="E2430" t="s">
        <v>5132</v>
      </c>
      <c r="F2430" t="s">
        <v>5133</v>
      </c>
      <c r="G2430" t="s">
        <v>41</v>
      </c>
      <c r="H2430" t="s">
        <v>31</v>
      </c>
      <c r="I2430" t="str">
        <f>LEFT(H2430,FIND(" (",H2430)-1)</f>
        <v>Staff/Principal</v>
      </c>
      <c r="J2430" t="str">
        <f>MID(H2430,FIND("(",H2430)+1,FIND(")",H2430)-FIND("(",H2430)-1)</f>
        <v>8+ yrs</v>
      </c>
      <c r="L2430">
        <v>240476</v>
      </c>
      <c r="M2430" t="s">
        <v>4980</v>
      </c>
      <c r="N2430" t="s">
        <v>245</v>
      </c>
      <c r="O2430" t="s">
        <v>51</v>
      </c>
      <c r="P2430" s="1">
        <v>45310</v>
      </c>
      <c r="Q2430">
        <v>1666</v>
      </c>
      <c r="R2430">
        <v>441</v>
      </c>
      <c r="S2430" t="s">
        <v>34</v>
      </c>
      <c r="T2430">
        <v>6</v>
      </c>
      <c r="U2430" t="s">
        <v>58</v>
      </c>
      <c r="V2430" t="s">
        <v>24</v>
      </c>
      <c r="W2430" t="s">
        <v>23</v>
      </c>
    </row>
    <row r="2431" spans="1:23" x14ac:dyDescent="0.3">
      <c r="A2431" t="s">
        <v>4981</v>
      </c>
      <c r="B2431" t="s">
        <v>91</v>
      </c>
      <c r="C2431" t="s">
        <v>195</v>
      </c>
      <c r="D2431" t="s">
        <v>28</v>
      </c>
      <c r="E2431" t="s">
        <v>216</v>
      </c>
      <c r="F2431" t="s">
        <v>217</v>
      </c>
      <c r="G2431" t="s">
        <v>18</v>
      </c>
      <c r="H2431" t="s">
        <v>31</v>
      </c>
      <c r="I2431" t="str">
        <f>LEFT(H2431,FIND(" (",H2431)-1)</f>
        <v>Staff/Principal</v>
      </c>
      <c r="J2431" t="str">
        <f>MID(H2431,FIND("(",H2431)+1,FIND(")",H2431)-FIND("(",H2431)-1)</f>
        <v>8+ yrs</v>
      </c>
      <c r="L2431">
        <v>187973</v>
      </c>
      <c r="M2431" t="s">
        <v>4982</v>
      </c>
      <c r="N2431" t="s">
        <v>186</v>
      </c>
      <c r="O2431" t="s">
        <v>22</v>
      </c>
      <c r="P2431" s="1">
        <v>45376</v>
      </c>
      <c r="Q2431">
        <v>587</v>
      </c>
      <c r="R2431">
        <v>2821</v>
      </c>
      <c r="S2431" t="s">
        <v>34</v>
      </c>
      <c r="T2431">
        <v>6</v>
      </c>
      <c r="U2431" t="s">
        <v>52</v>
      </c>
      <c r="V2431" t="s">
        <v>24</v>
      </c>
      <c r="W2431" t="s">
        <v>23</v>
      </c>
    </row>
    <row r="2432" spans="1:23" x14ac:dyDescent="0.3">
      <c r="A2432" t="s">
        <v>4983</v>
      </c>
      <c r="B2432" t="s">
        <v>236</v>
      </c>
      <c r="C2432" t="s">
        <v>158</v>
      </c>
      <c r="D2432" t="s">
        <v>75</v>
      </c>
      <c r="E2432" t="s">
        <v>39</v>
      </c>
      <c r="F2432" t="s">
        <v>40</v>
      </c>
      <c r="G2432" t="s">
        <v>41</v>
      </c>
      <c r="H2432" t="s">
        <v>66</v>
      </c>
      <c r="I2432" t="str">
        <f>LEFT(H2432,FIND(" (",H2432)-1)</f>
        <v>Senior</v>
      </c>
      <c r="J2432" t="str">
        <f>MID(H2432,FIND("(",H2432)+1,FIND(")",H2432)-FIND("(",H2432)-1)</f>
        <v>5-8 yrs</v>
      </c>
      <c r="L2432">
        <v>165244</v>
      </c>
      <c r="M2432" t="s">
        <v>4984</v>
      </c>
      <c r="N2432" t="s">
        <v>141</v>
      </c>
      <c r="O2432" t="s">
        <v>51</v>
      </c>
      <c r="P2432" s="1">
        <v>45597</v>
      </c>
      <c r="Q2432">
        <v>1322</v>
      </c>
      <c r="R2432">
        <v>245</v>
      </c>
      <c r="S2432" t="s">
        <v>23</v>
      </c>
      <c r="T2432">
        <v>4</v>
      </c>
      <c r="U2432" t="s">
        <v>52</v>
      </c>
      <c r="V2432" t="s">
        <v>46</v>
      </c>
      <c r="W2432" t="s">
        <v>34</v>
      </c>
    </row>
    <row r="2433" spans="1:23" x14ac:dyDescent="0.3">
      <c r="A2433" t="s">
        <v>4985</v>
      </c>
      <c r="B2433" t="s">
        <v>131</v>
      </c>
      <c r="C2433" t="s">
        <v>192</v>
      </c>
      <c r="D2433" t="s">
        <v>147</v>
      </c>
      <c r="E2433" t="s">
        <v>39</v>
      </c>
      <c r="F2433" t="s">
        <v>40</v>
      </c>
      <c r="G2433" t="s">
        <v>41</v>
      </c>
      <c r="H2433" t="s">
        <v>56</v>
      </c>
      <c r="I2433" t="str">
        <f>LEFT(H2433,FIND(" (",H2433)-1)</f>
        <v>Mid</v>
      </c>
      <c r="J2433" t="str">
        <f>MID(H2433,FIND("(",H2433)+1,FIND(")",H2433)-FIND("(",H2433)-1)</f>
        <v>2-5 yrs</v>
      </c>
      <c r="L2433">
        <v>89810</v>
      </c>
      <c r="M2433" t="s">
        <v>4986</v>
      </c>
      <c r="N2433" t="s">
        <v>89</v>
      </c>
      <c r="O2433" t="s">
        <v>79</v>
      </c>
      <c r="P2433" s="1">
        <v>45623</v>
      </c>
      <c r="Q2433">
        <v>1779</v>
      </c>
      <c r="R2433">
        <v>3305</v>
      </c>
      <c r="S2433" t="s">
        <v>23</v>
      </c>
      <c r="T2433">
        <v>2</v>
      </c>
      <c r="U2433" t="s">
        <v>52</v>
      </c>
      <c r="V2433" t="s">
        <v>59</v>
      </c>
      <c r="W2433" t="s">
        <v>23</v>
      </c>
    </row>
    <row r="2434" spans="1:23" x14ac:dyDescent="0.3">
      <c r="A2434" t="s">
        <v>4987</v>
      </c>
      <c r="B2434" t="s">
        <v>61</v>
      </c>
      <c r="C2434" t="s">
        <v>37</v>
      </c>
      <c r="D2434" t="s">
        <v>49</v>
      </c>
      <c r="E2434" t="s">
        <v>216</v>
      </c>
      <c r="F2434" t="s">
        <v>217</v>
      </c>
      <c r="G2434" t="s">
        <v>18</v>
      </c>
      <c r="H2434" t="s">
        <v>66</v>
      </c>
      <c r="I2434" t="str">
        <f>LEFT(H2434,FIND(" (",H2434)-1)</f>
        <v>Senior</v>
      </c>
      <c r="J2434" t="str">
        <f>MID(H2434,FIND("(",H2434)+1,FIND(")",H2434)-FIND("(",H2434)-1)</f>
        <v>5-8 yrs</v>
      </c>
      <c r="L2434">
        <v>149364</v>
      </c>
      <c r="M2434" t="s">
        <v>4988</v>
      </c>
      <c r="N2434" t="s">
        <v>33</v>
      </c>
      <c r="O2434" t="s">
        <v>44</v>
      </c>
      <c r="P2434" s="1">
        <v>45403</v>
      </c>
      <c r="Q2434">
        <v>423</v>
      </c>
      <c r="R2434">
        <v>3440</v>
      </c>
      <c r="S2434" t="s">
        <v>23</v>
      </c>
      <c r="T2434">
        <v>4</v>
      </c>
      <c r="U2434" t="s">
        <v>45</v>
      </c>
      <c r="V2434" t="s">
        <v>24</v>
      </c>
      <c r="W2434" t="s">
        <v>34</v>
      </c>
    </row>
    <row r="2435" spans="1:23" x14ac:dyDescent="0.3">
      <c r="A2435" t="s">
        <v>4989</v>
      </c>
      <c r="B2435" t="s">
        <v>222</v>
      </c>
      <c r="C2435" t="s">
        <v>92</v>
      </c>
      <c r="D2435" t="s">
        <v>147</v>
      </c>
      <c r="E2435" t="s">
        <v>230</v>
      </c>
      <c r="F2435" t="s">
        <v>231</v>
      </c>
      <c r="G2435" t="s">
        <v>18</v>
      </c>
      <c r="H2435" t="s">
        <v>66</v>
      </c>
      <c r="I2435" t="str">
        <f>LEFT(H2435,FIND(" (",H2435)-1)</f>
        <v>Senior</v>
      </c>
      <c r="J2435" t="str">
        <f>MID(H2435,FIND("(",H2435)+1,FIND(")",H2435)-FIND("(",H2435)-1)</f>
        <v>5-8 yrs</v>
      </c>
      <c r="L2435">
        <v>145292</v>
      </c>
      <c r="M2435" t="s">
        <v>4990</v>
      </c>
      <c r="N2435" t="s">
        <v>149</v>
      </c>
      <c r="O2435" t="s">
        <v>51</v>
      </c>
      <c r="P2435" s="1">
        <v>45669</v>
      </c>
      <c r="Q2435">
        <v>1404</v>
      </c>
      <c r="R2435">
        <v>3149</v>
      </c>
      <c r="S2435" t="s">
        <v>23</v>
      </c>
      <c r="T2435">
        <v>4</v>
      </c>
      <c r="U2435" t="s">
        <v>58</v>
      </c>
      <c r="V2435" t="s">
        <v>59</v>
      </c>
      <c r="W2435" t="s">
        <v>23</v>
      </c>
    </row>
    <row r="2436" spans="1:23" x14ac:dyDescent="0.3">
      <c r="A2436" t="s">
        <v>4991</v>
      </c>
      <c r="B2436" t="s">
        <v>143</v>
      </c>
      <c r="C2436" t="s">
        <v>27</v>
      </c>
      <c r="D2436" t="s">
        <v>111</v>
      </c>
      <c r="E2436" t="s">
        <v>216</v>
      </c>
      <c r="F2436" t="s">
        <v>217</v>
      </c>
      <c r="G2436" t="s">
        <v>55</v>
      </c>
      <c r="H2436" t="s">
        <v>31</v>
      </c>
      <c r="I2436" t="str">
        <f>LEFT(H2436,FIND(" (",H2436)-1)</f>
        <v>Staff/Principal</v>
      </c>
      <c r="J2436" t="str">
        <f>MID(H2436,FIND("(",H2436)+1,FIND(")",H2436)-FIND("(",H2436)-1)</f>
        <v>8+ yrs</v>
      </c>
      <c r="L2436">
        <v>208111</v>
      </c>
      <c r="M2436" t="s">
        <v>4992</v>
      </c>
      <c r="N2436" t="s">
        <v>245</v>
      </c>
      <c r="O2436" t="s">
        <v>22</v>
      </c>
      <c r="P2436" s="1">
        <v>45557</v>
      </c>
      <c r="Q2436">
        <v>1468</v>
      </c>
      <c r="R2436">
        <v>2508</v>
      </c>
      <c r="S2436" t="s">
        <v>34</v>
      </c>
      <c r="T2436">
        <v>6</v>
      </c>
      <c r="U2436" t="s">
        <v>45</v>
      </c>
      <c r="V2436" t="s">
        <v>59</v>
      </c>
      <c r="W2436" t="s">
        <v>34</v>
      </c>
    </row>
    <row r="2437" spans="1:23" x14ac:dyDescent="0.3">
      <c r="A2437" t="s">
        <v>4993</v>
      </c>
      <c r="B2437" t="s">
        <v>36</v>
      </c>
      <c r="C2437" t="s">
        <v>110</v>
      </c>
      <c r="D2437" t="s">
        <v>15</v>
      </c>
      <c r="E2437" t="s">
        <v>39</v>
      </c>
      <c r="F2437" t="s">
        <v>40</v>
      </c>
      <c r="G2437" t="s">
        <v>18</v>
      </c>
      <c r="H2437" t="s">
        <v>56</v>
      </c>
      <c r="I2437" t="str">
        <f>LEFT(H2437,FIND(" (",H2437)-1)</f>
        <v>Mid</v>
      </c>
      <c r="J2437" t="str">
        <f>MID(H2437,FIND("(",H2437)+1,FIND(")",H2437)-FIND("(",H2437)-1)</f>
        <v>2-5 yrs</v>
      </c>
      <c r="L2437">
        <v>102683</v>
      </c>
      <c r="M2437" t="s">
        <v>4994</v>
      </c>
      <c r="N2437" t="s">
        <v>141</v>
      </c>
      <c r="O2437" t="s">
        <v>51</v>
      </c>
      <c r="P2437" s="1">
        <v>45362</v>
      </c>
      <c r="Q2437">
        <v>1334</v>
      </c>
      <c r="R2437">
        <v>1894</v>
      </c>
      <c r="S2437" t="s">
        <v>23</v>
      </c>
      <c r="T2437">
        <v>2</v>
      </c>
      <c r="U2437" t="s">
        <v>52</v>
      </c>
      <c r="V2437" t="s">
        <v>24</v>
      </c>
      <c r="W2437" t="s">
        <v>34</v>
      </c>
    </row>
    <row r="2438" spans="1:23" x14ac:dyDescent="0.3">
      <c r="A2438" t="s">
        <v>4995</v>
      </c>
      <c r="B2438" t="s">
        <v>229</v>
      </c>
      <c r="C2438" t="s">
        <v>74</v>
      </c>
      <c r="D2438" t="s">
        <v>15</v>
      </c>
      <c r="E2438" t="s">
        <v>5132</v>
      </c>
      <c r="F2438" t="s">
        <v>5133</v>
      </c>
      <c r="G2438" t="s">
        <v>55</v>
      </c>
      <c r="H2438" t="s">
        <v>31</v>
      </c>
      <c r="I2438" t="str">
        <f>LEFT(H2438,FIND(" (",H2438)-1)</f>
        <v>Staff/Principal</v>
      </c>
      <c r="J2438" t="str">
        <f>MID(H2438,FIND("(",H2438)+1,FIND(")",H2438)-FIND("(",H2438)-1)</f>
        <v>8+ yrs</v>
      </c>
      <c r="L2438">
        <v>195266</v>
      </c>
      <c r="M2438" t="s">
        <v>4996</v>
      </c>
      <c r="N2438" t="s">
        <v>68</v>
      </c>
      <c r="O2438" t="s">
        <v>22</v>
      </c>
      <c r="P2438" s="1">
        <v>45738</v>
      </c>
      <c r="Q2438">
        <v>1995</v>
      </c>
      <c r="R2438">
        <v>2153</v>
      </c>
      <c r="S2438" t="s">
        <v>99</v>
      </c>
      <c r="T2438">
        <v>6</v>
      </c>
      <c r="U2438" t="s">
        <v>83</v>
      </c>
      <c r="V2438" t="s">
        <v>24</v>
      </c>
      <c r="W2438" t="s">
        <v>23</v>
      </c>
    </row>
    <row r="2439" spans="1:23" x14ac:dyDescent="0.3">
      <c r="A2439" t="s">
        <v>4997</v>
      </c>
      <c r="B2439" t="s">
        <v>151</v>
      </c>
      <c r="C2439" t="s">
        <v>204</v>
      </c>
      <c r="D2439" t="s">
        <v>111</v>
      </c>
      <c r="E2439" t="s">
        <v>133</v>
      </c>
      <c r="F2439" t="s">
        <v>134</v>
      </c>
      <c r="G2439" t="s">
        <v>41</v>
      </c>
      <c r="H2439" t="s">
        <v>66</v>
      </c>
      <c r="I2439" t="str">
        <f>LEFT(H2439,FIND(" (",H2439)-1)</f>
        <v>Senior</v>
      </c>
      <c r="J2439" t="str">
        <f>MID(H2439,FIND("(",H2439)+1,FIND(")",H2439)-FIND("(",H2439)-1)</f>
        <v>5-8 yrs</v>
      </c>
      <c r="L2439">
        <v>172303</v>
      </c>
      <c r="M2439" t="s">
        <v>4998</v>
      </c>
      <c r="N2439" t="s">
        <v>149</v>
      </c>
      <c r="O2439" t="s">
        <v>51</v>
      </c>
      <c r="P2439" s="1">
        <v>45527</v>
      </c>
      <c r="Q2439">
        <v>1182</v>
      </c>
      <c r="R2439">
        <v>3442</v>
      </c>
      <c r="S2439" t="s">
        <v>23</v>
      </c>
      <c r="T2439">
        <v>4</v>
      </c>
      <c r="U2439" t="s">
        <v>52</v>
      </c>
      <c r="V2439" t="s">
        <v>46</v>
      </c>
      <c r="W2439" t="s">
        <v>34</v>
      </c>
    </row>
    <row r="2440" spans="1:23" x14ac:dyDescent="0.3">
      <c r="A2440" t="s">
        <v>4999</v>
      </c>
      <c r="B2440" t="s">
        <v>172</v>
      </c>
      <c r="C2440" t="s">
        <v>167</v>
      </c>
      <c r="D2440" t="s">
        <v>147</v>
      </c>
      <c r="E2440" t="s">
        <v>230</v>
      </c>
      <c r="F2440" t="s">
        <v>231</v>
      </c>
      <c r="G2440" t="s">
        <v>41</v>
      </c>
      <c r="H2440" t="s">
        <v>31</v>
      </c>
      <c r="I2440" t="str">
        <f>LEFT(H2440,FIND(" (",H2440)-1)</f>
        <v>Staff/Principal</v>
      </c>
      <c r="J2440" t="str">
        <f>MID(H2440,FIND("(",H2440)+1,FIND(")",H2440)-FIND("(",H2440)-1)</f>
        <v>8+ yrs</v>
      </c>
      <c r="L2440">
        <v>184276</v>
      </c>
      <c r="M2440" t="s">
        <v>5000</v>
      </c>
      <c r="N2440" t="s">
        <v>141</v>
      </c>
      <c r="O2440" t="s">
        <v>51</v>
      </c>
      <c r="P2440" s="1">
        <v>45706</v>
      </c>
      <c r="Q2440">
        <v>2100</v>
      </c>
      <c r="R2440">
        <v>3019</v>
      </c>
      <c r="S2440" t="s">
        <v>23</v>
      </c>
      <c r="T2440">
        <v>6</v>
      </c>
      <c r="U2440" t="s">
        <v>83</v>
      </c>
      <c r="V2440" t="s">
        <v>24</v>
      </c>
      <c r="W2440" t="s">
        <v>34</v>
      </c>
    </row>
    <row r="2441" spans="1:23" x14ac:dyDescent="0.3">
      <c r="A2441" t="s">
        <v>5001</v>
      </c>
      <c r="B2441" t="s">
        <v>91</v>
      </c>
      <c r="C2441" t="s">
        <v>62</v>
      </c>
      <c r="D2441" t="s">
        <v>147</v>
      </c>
      <c r="E2441" t="s">
        <v>133</v>
      </c>
      <c r="F2441" t="s">
        <v>134</v>
      </c>
      <c r="G2441" t="s">
        <v>18</v>
      </c>
      <c r="H2441" t="s">
        <v>56</v>
      </c>
      <c r="I2441" t="str">
        <f>LEFT(H2441,FIND(" (",H2441)-1)</f>
        <v>Mid</v>
      </c>
      <c r="J2441" t="str">
        <f>MID(H2441,FIND("(",H2441)+1,FIND(")",H2441)-FIND("(",H2441)-1)</f>
        <v>2-5 yrs</v>
      </c>
      <c r="L2441">
        <v>78189</v>
      </c>
      <c r="M2441" t="s">
        <v>5002</v>
      </c>
      <c r="N2441" t="s">
        <v>21</v>
      </c>
      <c r="O2441" t="s">
        <v>51</v>
      </c>
      <c r="P2441" s="1">
        <v>45697</v>
      </c>
      <c r="Q2441">
        <v>1335</v>
      </c>
      <c r="R2441">
        <v>1658</v>
      </c>
      <c r="S2441" t="s">
        <v>23</v>
      </c>
      <c r="T2441">
        <v>2</v>
      </c>
      <c r="U2441" t="s">
        <v>45</v>
      </c>
      <c r="V2441" t="s">
        <v>24</v>
      </c>
      <c r="W2441" t="s">
        <v>23</v>
      </c>
    </row>
    <row r="2442" spans="1:23" x14ac:dyDescent="0.3">
      <c r="A2442" t="s">
        <v>5003</v>
      </c>
      <c r="B2442" t="s">
        <v>236</v>
      </c>
      <c r="C2442" t="s">
        <v>209</v>
      </c>
      <c r="D2442" t="s">
        <v>49</v>
      </c>
      <c r="E2442" t="s">
        <v>5134</v>
      </c>
      <c r="F2442" t="s">
        <v>5133</v>
      </c>
      <c r="G2442" t="s">
        <v>18</v>
      </c>
      <c r="H2442" t="s">
        <v>56</v>
      </c>
      <c r="I2442" t="str">
        <f>LEFT(H2442,FIND(" (",H2442)-1)</f>
        <v>Mid</v>
      </c>
      <c r="J2442" t="str">
        <f>MID(H2442,FIND("(",H2442)+1,FIND(")",H2442)-FIND("(",H2442)-1)</f>
        <v>2-5 yrs</v>
      </c>
      <c r="L2442">
        <v>144641</v>
      </c>
      <c r="M2442" t="s">
        <v>5004</v>
      </c>
      <c r="N2442" t="s">
        <v>149</v>
      </c>
      <c r="O2442" t="s">
        <v>51</v>
      </c>
      <c r="P2442" s="1">
        <v>45703</v>
      </c>
      <c r="Q2442">
        <v>1857</v>
      </c>
      <c r="R2442">
        <v>707</v>
      </c>
      <c r="S2442" t="s">
        <v>34</v>
      </c>
      <c r="T2442">
        <v>2</v>
      </c>
      <c r="U2442" t="s">
        <v>83</v>
      </c>
      <c r="V2442" t="s">
        <v>24</v>
      </c>
      <c r="W2442" t="s">
        <v>23</v>
      </c>
    </row>
    <row r="2443" spans="1:23" x14ac:dyDescent="0.3">
      <c r="A2443" t="s">
        <v>5005</v>
      </c>
      <c r="B2443" t="s">
        <v>222</v>
      </c>
      <c r="C2443" t="s">
        <v>27</v>
      </c>
      <c r="D2443" t="s">
        <v>15</v>
      </c>
      <c r="E2443" t="s">
        <v>16</v>
      </c>
      <c r="F2443" t="s">
        <v>17</v>
      </c>
      <c r="G2443" t="s">
        <v>55</v>
      </c>
      <c r="H2443" t="s">
        <v>56</v>
      </c>
      <c r="I2443" t="str">
        <f>LEFT(H2443,FIND(" (",H2443)-1)</f>
        <v>Mid</v>
      </c>
      <c r="J2443" t="str">
        <f>MID(H2443,FIND("(",H2443)+1,FIND(")",H2443)-FIND("(",H2443)-1)</f>
        <v>2-5 yrs</v>
      </c>
      <c r="L2443">
        <v>137352</v>
      </c>
      <c r="M2443" t="s">
        <v>5006</v>
      </c>
      <c r="N2443" t="s">
        <v>141</v>
      </c>
      <c r="O2443" t="s">
        <v>22</v>
      </c>
      <c r="P2443" s="1">
        <v>45375</v>
      </c>
      <c r="Q2443">
        <v>1753</v>
      </c>
      <c r="R2443">
        <v>1645</v>
      </c>
      <c r="S2443" t="s">
        <v>23</v>
      </c>
      <c r="T2443">
        <v>2</v>
      </c>
      <c r="U2443" t="s">
        <v>83</v>
      </c>
      <c r="V2443" t="s">
        <v>24</v>
      </c>
      <c r="W2443" t="s">
        <v>34</v>
      </c>
    </row>
    <row r="2444" spans="1:23" x14ac:dyDescent="0.3">
      <c r="A2444" t="s">
        <v>5007</v>
      </c>
      <c r="B2444" t="s">
        <v>70</v>
      </c>
      <c r="C2444" t="s">
        <v>101</v>
      </c>
      <c r="D2444" t="s">
        <v>174</v>
      </c>
      <c r="E2444" t="s">
        <v>87</v>
      </c>
      <c r="F2444" t="s">
        <v>87</v>
      </c>
      <c r="G2444" t="s">
        <v>18</v>
      </c>
      <c r="H2444" t="s">
        <v>56</v>
      </c>
      <c r="I2444" t="str">
        <f>LEFT(H2444,FIND(" (",H2444)-1)</f>
        <v>Mid</v>
      </c>
      <c r="J2444" t="str">
        <f>MID(H2444,FIND("(",H2444)+1,FIND(")",H2444)-FIND("(",H2444)-1)</f>
        <v>2-5 yrs</v>
      </c>
      <c r="L2444">
        <v>84413</v>
      </c>
      <c r="M2444" t="s">
        <v>5008</v>
      </c>
      <c r="N2444" t="s">
        <v>33</v>
      </c>
      <c r="O2444" t="s">
        <v>51</v>
      </c>
      <c r="P2444" s="1">
        <v>45694</v>
      </c>
      <c r="Q2444">
        <v>1639</v>
      </c>
      <c r="R2444">
        <v>2115</v>
      </c>
      <c r="S2444" t="s">
        <v>23</v>
      </c>
      <c r="T2444">
        <v>2</v>
      </c>
      <c r="U2444" t="s">
        <v>52</v>
      </c>
      <c r="V2444" t="s">
        <v>24</v>
      </c>
      <c r="W2444" t="s">
        <v>23</v>
      </c>
    </row>
    <row r="2445" spans="1:23" x14ac:dyDescent="0.3">
      <c r="A2445" t="s">
        <v>5009</v>
      </c>
      <c r="B2445" t="s">
        <v>70</v>
      </c>
      <c r="C2445" t="s">
        <v>14</v>
      </c>
      <c r="D2445" t="s">
        <v>111</v>
      </c>
      <c r="E2445" t="s">
        <v>159</v>
      </c>
      <c r="F2445" t="s">
        <v>160</v>
      </c>
      <c r="G2445" t="s">
        <v>18</v>
      </c>
      <c r="H2445" t="s">
        <v>56</v>
      </c>
      <c r="I2445" t="str">
        <f>LEFT(H2445,FIND(" (",H2445)-1)</f>
        <v>Mid</v>
      </c>
      <c r="J2445" t="str">
        <f>MID(H2445,FIND("(",H2445)+1,FIND(")",H2445)-FIND("(",H2445)-1)</f>
        <v>2-5 yrs</v>
      </c>
      <c r="L2445">
        <v>123656</v>
      </c>
      <c r="M2445" t="s">
        <v>5010</v>
      </c>
      <c r="N2445" t="s">
        <v>33</v>
      </c>
      <c r="O2445" t="s">
        <v>51</v>
      </c>
      <c r="P2445" s="1">
        <v>45664</v>
      </c>
      <c r="Q2445">
        <v>933</v>
      </c>
      <c r="R2445">
        <v>91</v>
      </c>
      <c r="S2445" t="s">
        <v>34</v>
      </c>
      <c r="T2445">
        <v>2</v>
      </c>
      <c r="U2445" t="s">
        <v>45</v>
      </c>
      <c r="V2445" t="s">
        <v>24</v>
      </c>
      <c r="W2445" t="s">
        <v>34</v>
      </c>
    </row>
    <row r="2446" spans="1:23" x14ac:dyDescent="0.3">
      <c r="A2446" t="s">
        <v>5011</v>
      </c>
      <c r="B2446" t="s">
        <v>137</v>
      </c>
      <c r="C2446" t="s">
        <v>132</v>
      </c>
      <c r="D2446" t="s">
        <v>147</v>
      </c>
      <c r="E2446" t="s">
        <v>5136</v>
      </c>
      <c r="F2446" t="s">
        <v>5133</v>
      </c>
      <c r="G2446" t="s">
        <v>18</v>
      </c>
      <c r="H2446" t="s">
        <v>31</v>
      </c>
      <c r="I2446" t="str">
        <f>LEFT(H2446,FIND(" (",H2446)-1)</f>
        <v>Staff/Principal</v>
      </c>
      <c r="J2446" t="str">
        <f>MID(H2446,FIND("(",H2446)+1,FIND(")",H2446)-FIND("(",H2446)-1)</f>
        <v>8+ yrs</v>
      </c>
      <c r="L2446">
        <v>181892</v>
      </c>
      <c r="M2446" t="s">
        <v>5012</v>
      </c>
      <c r="N2446" t="s">
        <v>33</v>
      </c>
      <c r="O2446" t="s">
        <v>22</v>
      </c>
      <c r="P2446" s="1">
        <v>45715</v>
      </c>
      <c r="Q2446">
        <v>356</v>
      </c>
      <c r="R2446">
        <v>885</v>
      </c>
      <c r="S2446" t="s">
        <v>34</v>
      </c>
      <c r="T2446">
        <v>6</v>
      </c>
      <c r="U2446" t="s">
        <v>45</v>
      </c>
      <c r="V2446" t="s">
        <v>24</v>
      </c>
      <c r="W2446" t="s">
        <v>23</v>
      </c>
    </row>
    <row r="2447" spans="1:23" x14ac:dyDescent="0.3">
      <c r="A2447" t="s">
        <v>5013</v>
      </c>
      <c r="B2447" t="s">
        <v>96</v>
      </c>
      <c r="C2447" t="s">
        <v>179</v>
      </c>
      <c r="D2447" t="s">
        <v>147</v>
      </c>
      <c r="E2447" t="s">
        <v>102</v>
      </c>
      <c r="F2447" t="s">
        <v>103</v>
      </c>
      <c r="G2447" t="s">
        <v>41</v>
      </c>
      <c r="H2447" t="s">
        <v>56</v>
      </c>
      <c r="I2447" t="str">
        <f>LEFT(H2447,FIND(" (",H2447)-1)</f>
        <v>Mid</v>
      </c>
      <c r="J2447" t="str">
        <f>MID(H2447,FIND("(",H2447)+1,FIND(")",H2447)-FIND("(",H2447)-1)</f>
        <v>2-5 yrs</v>
      </c>
      <c r="L2447">
        <v>115217</v>
      </c>
      <c r="M2447" t="s">
        <v>5014</v>
      </c>
      <c r="N2447" t="s">
        <v>43</v>
      </c>
      <c r="O2447" t="s">
        <v>44</v>
      </c>
      <c r="P2447" s="1">
        <v>45480</v>
      </c>
      <c r="Q2447">
        <v>822</v>
      </c>
      <c r="R2447">
        <v>3361</v>
      </c>
      <c r="S2447" t="s">
        <v>23</v>
      </c>
      <c r="T2447">
        <v>2</v>
      </c>
      <c r="U2447" t="s">
        <v>5123</v>
      </c>
      <c r="V2447" t="s">
        <v>24</v>
      </c>
      <c r="W2447" t="s">
        <v>23</v>
      </c>
    </row>
    <row r="2448" spans="1:23" x14ac:dyDescent="0.3">
      <c r="A2448" t="s">
        <v>5015</v>
      </c>
      <c r="B2448" t="s">
        <v>36</v>
      </c>
      <c r="C2448" t="s">
        <v>195</v>
      </c>
      <c r="D2448" t="s">
        <v>125</v>
      </c>
      <c r="E2448" t="s">
        <v>39</v>
      </c>
      <c r="F2448" t="s">
        <v>40</v>
      </c>
      <c r="G2448" t="s">
        <v>41</v>
      </c>
      <c r="H2448" t="s">
        <v>31</v>
      </c>
      <c r="I2448" t="str">
        <f>LEFT(H2448,FIND(" (",H2448)-1)</f>
        <v>Staff/Principal</v>
      </c>
      <c r="J2448" t="str">
        <f>MID(H2448,FIND("(",H2448)+1,FIND(")",H2448)-FIND("(",H2448)-1)</f>
        <v>8+ yrs</v>
      </c>
      <c r="L2448">
        <v>210592</v>
      </c>
      <c r="M2448" t="s">
        <v>5016</v>
      </c>
      <c r="N2448" t="s">
        <v>94</v>
      </c>
      <c r="O2448" t="s">
        <v>44</v>
      </c>
      <c r="P2448" s="1">
        <v>45515</v>
      </c>
      <c r="Q2448">
        <v>2389</v>
      </c>
      <c r="R2448">
        <v>3688</v>
      </c>
      <c r="S2448" t="s">
        <v>23</v>
      </c>
      <c r="T2448">
        <v>6</v>
      </c>
      <c r="U2448" t="s">
        <v>45</v>
      </c>
      <c r="V2448" t="s">
        <v>24</v>
      </c>
      <c r="W2448" t="s">
        <v>23</v>
      </c>
    </row>
    <row r="2449" spans="1:23" x14ac:dyDescent="0.3">
      <c r="A2449" t="s">
        <v>5017</v>
      </c>
      <c r="B2449" t="s">
        <v>106</v>
      </c>
      <c r="C2449" t="s">
        <v>182</v>
      </c>
      <c r="D2449" t="s">
        <v>75</v>
      </c>
      <c r="E2449" t="s">
        <v>16</v>
      </c>
      <c r="F2449" t="s">
        <v>17</v>
      </c>
      <c r="G2449" t="s">
        <v>55</v>
      </c>
      <c r="H2449" t="s">
        <v>66</v>
      </c>
      <c r="I2449" t="str">
        <f>LEFT(H2449,FIND(" (",H2449)-1)</f>
        <v>Senior</v>
      </c>
      <c r="J2449" t="str">
        <f>MID(H2449,FIND("(",H2449)+1,FIND(")",H2449)-FIND("(",H2449)-1)</f>
        <v>5-8 yrs</v>
      </c>
      <c r="L2449">
        <v>143670</v>
      </c>
      <c r="M2449" t="s">
        <v>5018</v>
      </c>
      <c r="N2449" t="s">
        <v>89</v>
      </c>
      <c r="O2449" t="s">
        <v>22</v>
      </c>
      <c r="P2449" s="1">
        <v>45467</v>
      </c>
      <c r="Q2449">
        <v>1316</v>
      </c>
      <c r="R2449">
        <v>3213</v>
      </c>
      <c r="S2449" t="s">
        <v>99</v>
      </c>
      <c r="T2449">
        <v>4</v>
      </c>
      <c r="U2449" t="s">
        <v>83</v>
      </c>
      <c r="V2449" t="s">
        <v>24</v>
      </c>
      <c r="W2449" t="s">
        <v>23</v>
      </c>
    </row>
    <row r="2450" spans="1:23" x14ac:dyDescent="0.3">
      <c r="A2450" t="s">
        <v>5019</v>
      </c>
      <c r="B2450" t="s">
        <v>236</v>
      </c>
      <c r="C2450" t="s">
        <v>128</v>
      </c>
      <c r="D2450" t="s">
        <v>174</v>
      </c>
      <c r="E2450" t="s">
        <v>29</v>
      </c>
      <c r="F2450" t="s">
        <v>30</v>
      </c>
      <c r="G2450" t="s">
        <v>41</v>
      </c>
      <c r="H2450" t="s">
        <v>19</v>
      </c>
      <c r="I2450" t="str">
        <f>LEFT(H2450,FIND(" (",H2450)-1)</f>
        <v>Entry</v>
      </c>
      <c r="J2450" t="str">
        <f>MID(H2450,FIND("(",H2450)+1,FIND(")",H2450)-FIND("(",H2450)-1)</f>
        <v>0-2 yrs</v>
      </c>
      <c r="L2450">
        <v>60124</v>
      </c>
      <c r="M2450" t="s">
        <v>5020</v>
      </c>
      <c r="N2450" t="s">
        <v>94</v>
      </c>
      <c r="O2450" t="s">
        <v>22</v>
      </c>
      <c r="P2450" s="1">
        <v>45423</v>
      </c>
      <c r="Q2450">
        <v>2494</v>
      </c>
      <c r="R2450">
        <v>3633</v>
      </c>
      <c r="S2450" t="s">
        <v>99</v>
      </c>
      <c r="T2450">
        <v>0</v>
      </c>
      <c r="U2450" t="s">
        <v>45</v>
      </c>
      <c r="V2450" t="s">
        <v>24</v>
      </c>
      <c r="W2450" t="s">
        <v>34</v>
      </c>
    </row>
    <row r="2451" spans="1:23" x14ac:dyDescent="0.3">
      <c r="A2451" t="s">
        <v>5021</v>
      </c>
      <c r="B2451" t="s">
        <v>236</v>
      </c>
      <c r="C2451" t="s">
        <v>97</v>
      </c>
      <c r="D2451" t="s">
        <v>147</v>
      </c>
      <c r="E2451" t="s">
        <v>5139</v>
      </c>
      <c r="F2451" t="s">
        <v>5133</v>
      </c>
      <c r="G2451" t="s">
        <v>41</v>
      </c>
      <c r="H2451" t="s">
        <v>66</v>
      </c>
      <c r="I2451" t="str">
        <f>LEFT(H2451,FIND(" (",H2451)-1)</f>
        <v>Senior</v>
      </c>
      <c r="J2451" t="str">
        <f>MID(H2451,FIND("(",H2451)+1,FIND(")",H2451)-FIND("(",H2451)-1)</f>
        <v>5-8 yrs</v>
      </c>
      <c r="L2451">
        <v>131355</v>
      </c>
      <c r="M2451" t="s">
        <v>5022</v>
      </c>
      <c r="N2451" t="s">
        <v>33</v>
      </c>
      <c r="O2451" t="s">
        <v>22</v>
      </c>
      <c r="P2451" s="1">
        <v>45331</v>
      </c>
      <c r="Q2451">
        <v>1728</v>
      </c>
      <c r="R2451">
        <v>3169</v>
      </c>
      <c r="S2451" t="s">
        <v>23</v>
      </c>
      <c r="T2451">
        <v>4</v>
      </c>
      <c r="U2451" t="s">
        <v>52</v>
      </c>
      <c r="V2451" t="s">
        <v>24</v>
      </c>
      <c r="W2451" t="s">
        <v>34</v>
      </c>
    </row>
    <row r="2452" spans="1:23" x14ac:dyDescent="0.3">
      <c r="A2452" t="s">
        <v>5023</v>
      </c>
      <c r="B2452" t="s">
        <v>91</v>
      </c>
      <c r="C2452" t="s">
        <v>173</v>
      </c>
      <c r="D2452" t="s">
        <v>125</v>
      </c>
      <c r="E2452" t="s">
        <v>29</v>
      </c>
      <c r="F2452" t="s">
        <v>30</v>
      </c>
      <c r="G2452" t="s">
        <v>18</v>
      </c>
      <c r="H2452" t="s">
        <v>19</v>
      </c>
      <c r="I2452" t="str">
        <f>LEFT(H2452,FIND(" (",H2452)-1)</f>
        <v>Entry</v>
      </c>
      <c r="J2452" t="str">
        <f>MID(H2452,FIND("(",H2452)+1,FIND(")",H2452)-FIND("(",H2452)-1)</f>
        <v>0-2 yrs</v>
      </c>
      <c r="L2452">
        <v>58455</v>
      </c>
      <c r="M2452" t="s">
        <v>5024</v>
      </c>
      <c r="N2452" t="s">
        <v>33</v>
      </c>
      <c r="O2452" t="s">
        <v>51</v>
      </c>
      <c r="P2452" s="1">
        <v>45565</v>
      </c>
      <c r="Q2452">
        <v>1612</v>
      </c>
      <c r="R2452">
        <v>1051</v>
      </c>
      <c r="S2452" t="s">
        <v>23</v>
      </c>
      <c r="T2452">
        <v>0</v>
      </c>
      <c r="U2452" t="s">
        <v>5123</v>
      </c>
      <c r="V2452" t="s">
        <v>24</v>
      </c>
      <c r="W2452" t="s">
        <v>34</v>
      </c>
    </row>
    <row r="2453" spans="1:23" x14ac:dyDescent="0.3">
      <c r="A2453" t="s">
        <v>5025</v>
      </c>
      <c r="B2453" t="s">
        <v>106</v>
      </c>
      <c r="C2453" t="s">
        <v>128</v>
      </c>
      <c r="D2453" t="s">
        <v>15</v>
      </c>
      <c r="E2453" t="s">
        <v>200</v>
      </c>
      <c r="F2453" t="s">
        <v>201</v>
      </c>
      <c r="G2453" t="s">
        <v>18</v>
      </c>
      <c r="H2453" t="s">
        <v>19</v>
      </c>
      <c r="I2453" t="str">
        <f>LEFT(H2453,FIND(" (",H2453)-1)</f>
        <v>Entry</v>
      </c>
      <c r="J2453" t="str">
        <f>MID(H2453,FIND("(",H2453)+1,FIND(")",H2453)-FIND("(",H2453)-1)</f>
        <v>0-2 yrs</v>
      </c>
      <c r="L2453">
        <v>59519</v>
      </c>
      <c r="M2453" t="s">
        <v>5026</v>
      </c>
      <c r="N2453" t="s">
        <v>186</v>
      </c>
      <c r="O2453" t="s">
        <v>22</v>
      </c>
      <c r="P2453" s="1">
        <v>45316</v>
      </c>
      <c r="Q2453">
        <v>1412</v>
      </c>
      <c r="R2453">
        <v>2606</v>
      </c>
      <c r="S2453" t="s">
        <v>23</v>
      </c>
      <c r="T2453">
        <v>0</v>
      </c>
      <c r="U2453" t="s">
        <v>52</v>
      </c>
      <c r="V2453" t="s">
        <v>46</v>
      </c>
      <c r="W2453" t="s">
        <v>23</v>
      </c>
    </row>
    <row r="2454" spans="1:23" x14ac:dyDescent="0.3">
      <c r="A2454" t="s">
        <v>5027</v>
      </c>
      <c r="B2454" t="s">
        <v>222</v>
      </c>
      <c r="C2454" t="s">
        <v>86</v>
      </c>
      <c r="D2454" t="s">
        <v>75</v>
      </c>
      <c r="E2454" t="s">
        <v>64</v>
      </c>
      <c r="F2454" t="s">
        <v>65</v>
      </c>
      <c r="G2454" t="s">
        <v>18</v>
      </c>
      <c r="H2454" t="s">
        <v>31</v>
      </c>
      <c r="I2454" t="str">
        <f>LEFT(H2454,FIND(" (",H2454)-1)</f>
        <v>Staff/Principal</v>
      </c>
      <c r="J2454" t="str">
        <f>MID(H2454,FIND("(",H2454)+1,FIND(")",H2454)-FIND("(",H2454)-1)</f>
        <v>8+ yrs</v>
      </c>
      <c r="L2454">
        <v>197581</v>
      </c>
      <c r="M2454" t="s">
        <v>5028</v>
      </c>
      <c r="N2454" t="s">
        <v>33</v>
      </c>
      <c r="O2454" t="s">
        <v>51</v>
      </c>
      <c r="P2454" s="1">
        <v>45461</v>
      </c>
      <c r="Q2454">
        <v>2339</v>
      </c>
      <c r="R2454">
        <v>1531</v>
      </c>
      <c r="S2454" t="s">
        <v>23</v>
      </c>
      <c r="T2454">
        <v>6</v>
      </c>
      <c r="U2454" t="s">
        <v>45</v>
      </c>
      <c r="V2454" t="s">
        <v>59</v>
      </c>
      <c r="W2454" t="s">
        <v>34</v>
      </c>
    </row>
    <row r="2455" spans="1:23" x14ac:dyDescent="0.3">
      <c r="A2455" t="s">
        <v>5029</v>
      </c>
      <c r="B2455" t="s">
        <v>91</v>
      </c>
      <c r="C2455" t="s">
        <v>62</v>
      </c>
      <c r="D2455" t="s">
        <v>75</v>
      </c>
      <c r="E2455" t="s">
        <v>216</v>
      </c>
      <c r="F2455" t="s">
        <v>217</v>
      </c>
      <c r="G2455" t="s">
        <v>18</v>
      </c>
      <c r="H2455" t="s">
        <v>56</v>
      </c>
      <c r="I2455" t="str">
        <f>LEFT(H2455,FIND(" (",H2455)-1)</f>
        <v>Mid</v>
      </c>
      <c r="J2455" t="str">
        <f>MID(H2455,FIND("(",H2455)+1,FIND(")",H2455)-FIND("(",H2455)-1)</f>
        <v>2-5 yrs</v>
      </c>
      <c r="L2455">
        <v>95827</v>
      </c>
      <c r="M2455" t="s">
        <v>5030</v>
      </c>
      <c r="N2455" t="s">
        <v>94</v>
      </c>
      <c r="O2455" t="s">
        <v>51</v>
      </c>
      <c r="P2455" s="1">
        <v>45589</v>
      </c>
      <c r="Q2455">
        <v>2122</v>
      </c>
      <c r="R2455">
        <v>2250</v>
      </c>
      <c r="S2455" t="s">
        <v>23</v>
      </c>
      <c r="T2455">
        <v>2</v>
      </c>
      <c r="U2455" t="s">
        <v>52</v>
      </c>
      <c r="V2455" t="s">
        <v>59</v>
      </c>
      <c r="W2455" t="s">
        <v>23</v>
      </c>
    </row>
    <row r="2456" spans="1:23" x14ac:dyDescent="0.3">
      <c r="A2456" t="s">
        <v>5031</v>
      </c>
      <c r="B2456" t="s">
        <v>151</v>
      </c>
      <c r="C2456" t="s">
        <v>74</v>
      </c>
      <c r="D2456" t="s">
        <v>111</v>
      </c>
      <c r="E2456" t="s">
        <v>159</v>
      </c>
      <c r="F2456" t="s">
        <v>160</v>
      </c>
      <c r="G2456" t="s">
        <v>18</v>
      </c>
      <c r="H2456" t="s">
        <v>66</v>
      </c>
      <c r="I2456" t="str">
        <f>LEFT(H2456,FIND(" (",H2456)-1)</f>
        <v>Senior</v>
      </c>
      <c r="J2456" t="str">
        <f>MID(H2456,FIND("(",H2456)+1,FIND(")",H2456)-FIND("(",H2456)-1)</f>
        <v>5-8 yrs</v>
      </c>
      <c r="L2456">
        <v>168415</v>
      </c>
      <c r="M2456" t="s">
        <v>5032</v>
      </c>
      <c r="N2456" t="s">
        <v>33</v>
      </c>
      <c r="O2456" t="s">
        <v>51</v>
      </c>
      <c r="P2456" s="1">
        <v>45736</v>
      </c>
      <c r="Q2456">
        <v>1780</v>
      </c>
      <c r="R2456">
        <v>2595</v>
      </c>
      <c r="S2456" t="s">
        <v>23</v>
      </c>
      <c r="T2456">
        <v>4</v>
      </c>
      <c r="U2456" t="s">
        <v>83</v>
      </c>
      <c r="V2456" t="s">
        <v>24</v>
      </c>
      <c r="W2456" t="s">
        <v>23</v>
      </c>
    </row>
    <row r="2457" spans="1:23" x14ac:dyDescent="0.3">
      <c r="A2457" t="s">
        <v>5033</v>
      </c>
      <c r="B2457" t="s">
        <v>151</v>
      </c>
      <c r="C2457" t="s">
        <v>86</v>
      </c>
      <c r="D2457" t="s">
        <v>38</v>
      </c>
      <c r="E2457" t="s">
        <v>230</v>
      </c>
      <c r="F2457" t="s">
        <v>231</v>
      </c>
      <c r="G2457" t="s">
        <v>18</v>
      </c>
      <c r="H2457" t="s">
        <v>31</v>
      </c>
      <c r="I2457" t="str">
        <f>LEFT(H2457,FIND(" (",H2457)-1)</f>
        <v>Staff/Principal</v>
      </c>
      <c r="J2457" t="str">
        <f>MID(H2457,FIND("(",H2457)+1,FIND(")",H2457)-FIND("(",H2457)-1)</f>
        <v>8+ yrs</v>
      </c>
      <c r="L2457">
        <v>253540</v>
      </c>
      <c r="M2457" t="s">
        <v>5034</v>
      </c>
      <c r="N2457" t="s">
        <v>186</v>
      </c>
      <c r="O2457" t="s">
        <v>79</v>
      </c>
      <c r="P2457" s="1">
        <v>45506</v>
      </c>
      <c r="Q2457">
        <v>2132</v>
      </c>
      <c r="R2457">
        <v>417</v>
      </c>
      <c r="S2457" t="s">
        <v>99</v>
      </c>
      <c r="T2457">
        <v>6</v>
      </c>
      <c r="U2457" t="s">
        <v>83</v>
      </c>
      <c r="V2457" t="s">
        <v>24</v>
      </c>
      <c r="W2457" t="s">
        <v>23</v>
      </c>
    </row>
    <row r="2458" spans="1:23" x14ac:dyDescent="0.3">
      <c r="A2458" t="s">
        <v>5035</v>
      </c>
      <c r="B2458" t="s">
        <v>236</v>
      </c>
      <c r="C2458" t="s">
        <v>239</v>
      </c>
      <c r="D2458" t="s">
        <v>125</v>
      </c>
      <c r="E2458" t="s">
        <v>200</v>
      </c>
      <c r="F2458" t="s">
        <v>201</v>
      </c>
      <c r="G2458" t="s">
        <v>41</v>
      </c>
      <c r="H2458" t="s">
        <v>19</v>
      </c>
      <c r="I2458" t="str">
        <f>LEFT(H2458,FIND(" (",H2458)-1)</f>
        <v>Entry</v>
      </c>
      <c r="J2458" t="str">
        <f>MID(H2458,FIND("(",H2458)+1,FIND(")",H2458)-FIND("(",H2458)-1)</f>
        <v>0-2 yrs</v>
      </c>
      <c r="L2458">
        <v>62691</v>
      </c>
      <c r="M2458" t="s">
        <v>5036</v>
      </c>
      <c r="N2458" t="s">
        <v>33</v>
      </c>
      <c r="O2458" t="s">
        <v>22</v>
      </c>
      <c r="P2458" s="1">
        <v>45308</v>
      </c>
      <c r="Q2458">
        <v>1939</v>
      </c>
      <c r="R2458">
        <v>3258</v>
      </c>
      <c r="S2458" t="s">
        <v>99</v>
      </c>
      <c r="T2458">
        <v>0</v>
      </c>
      <c r="U2458" t="s">
        <v>5123</v>
      </c>
      <c r="V2458" t="s">
        <v>59</v>
      </c>
      <c r="W2458" t="s">
        <v>23</v>
      </c>
    </row>
    <row r="2459" spans="1:23" x14ac:dyDescent="0.3">
      <c r="A2459" t="s">
        <v>5037</v>
      </c>
      <c r="B2459" t="s">
        <v>106</v>
      </c>
      <c r="C2459" t="s">
        <v>116</v>
      </c>
      <c r="D2459" t="s">
        <v>28</v>
      </c>
      <c r="E2459" t="s">
        <v>5134</v>
      </c>
      <c r="F2459" t="s">
        <v>5133</v>
      </c>
      <c r="G2459" t="s">
        <v>55</v>
      </c>
      <c r="H2459" t="s">
        <v>19</v>
      </c>
      <c r="I2459" t="str">
        <f>LEFT(H2459,FIND(" (",H2459)-1)</f>
        <v>Entry</v>
      </c>
      <c r="J2459" t="str">
        <f>MID(H2459,FIND("(",H2459)+1,FIND(")",H2459)-FIND("(",H2459)-1)</f>
        <v>0-2 yrs</v>
      </c>
      <c r="L2459">
        <v>73016</v>
      </c>
      <c r="M2459" t="s">
        <v>5038</v>
      </c>
      <c r="N2459" t="s">
        <v>120</v>
      </c>
      <c r="O2459" t="s">
        <v>22</v>
      </c>
      <c r="P2459" s="1">
        <v>45564</v>
      </c>
      <c r="Q2459">
        <v>2256</v>
      </c>
      <c r="R2459">
        <v>974</v>
      </c>
      <c r="S2459" t="s">
        <v>23</v>
      </c>
      <c r="T2459">
        <v>0</v>
      </c>
      <c r="U2459" t="s">
        <v>83</v>
      </c>
      <c r="V2459" t="s">
        <v>24</v>
      </c>
      <c r="W2459" t="s">
        <v>23</v>
      </c>
    </row>
    <row r="2460" spans="1:23" x14ac:dyDescent="0.3">
      <c r="A2460" t="s">
        <v>5039</v>
      </c>
      <c r="B2460" t="s">
        <v>85</v>
      </c>
      <c r="C2460" t="s">
        <v>107</v>
      </c>
      <c r="D2460" t="s">
        <v>147</v>
      </c>
      <c r="E2460" t="s">
        <v>5137</v>
      </c>
      <c r="F2460" t="s">
        <v>5138</v>
      </c>
      <c r="G2460" t="s">
        <v>18</v>
      </c>
      <c r="H2460" t="s">
        <v>19</v>
      </c>
      <c r="I2460" t="str">
        <f>LEFT(H2460,FIND(" (",H2460)-1)</f>
        <v>Entry</v>
      </c>
      <c r="J2460" t="str">
        <f>MID(H2460,FIND("(",H2460)+1,FIND(")",H2460)-FIND("(",H2460)-1)</f>
        <v>0-2 yrs</v>
      </c>
      <c r="L2460">
        <v>76296</v>
      </c>
      <c r="M2460" t="s">
        <v>5040</v>
      </c>
      <c r="N2460" t="s">
        <v>149</v>
      </c>
      <c r="O2460" t="s">
        <v>51</v>
      </c>
      <c r="P2460" s="1">
        <v>45321</v>
      </c>
      <c r="Q2460">
        <v>1334</v>
      </c>
      <c r="R2460">
        <v>3810</v>
      </c>
      <c r="S2460" t="s">
        <v>34</v>
      </c>
      <c r="T2460">
        <v>0</v>
      </c>
      <c r="U2460" t="s">
        <v>58</v>
      </c>
      <c r="V2460" t="s">
        <v>24</v>
      </c>
      <c r="W2460" t="s">
        <v>23</v>
      </c>
    </row>
    <row r="2461" spans="1:23" x14ac:dyDescent="0.3">
      <c r="A2461" t="s">
        <v>5041</v>
      </c>
      <c r="B2461" t="s">
        <v>137</v>
      </c>
      <c r="C2461" t="s">
        <v>146</v>
      </c>
      <c r="D2461" t="s">
        <v>174</v>
      </c>
      <c r="E2461" t="s">
        <v>5139</v>
      </c>
      <c r="F2461" t="s">
        <v>5133</v>
      </c>
      <c r="G2461" t="s">
        <v>18</v>
      </c>
      <c r="H2461" t="s">
        <v>31</v>
      </c>
      <c r="I2461" t="str">
        <f>LEFT(H2461,FIND(" (",H2461)-1)</f>
        <v>Staff/Principal</v>
      </c>
      <c r="J2461" t="str">
        <f>MID(H2461,FIND("(",H2461)+1,FIND(")",H2461)-FIND("(",H2461)-1)</f>
        <v>8+ yrs</v>
      </c>
      <c r="L2461">
        <v>216992</v>
      </c>
      <c r="M2461" t="s">
        <v>5042</v>
      </c>
      <c r="N2461" t="s">
        <v>68</v>
      </c>
      <c r="O2461" t="s">
        <v>51</v>
      </c>
      <c r="P2461" s="1">
        <v>45325</v>
      </c>
      <c r="Q2461">
        <v>853</v>
      </c>
      <c r="R2461">
        <v>2881</v>
      </c>
      <c r="S2461" t="s">
        <v>23</v>
      </c>
      <c r="T2461">
        <v>6</v>
      </c>
      <c r="U2461" t="s">
        <v>83</v>
      </c>
      <c r="V2461" t="s">
        <v>24</v>
      </c>
      <c r="W2461" t="s">
        <v>23</v>
      </c>
    </row>
    <row r="2462" spans="1:23" x14ac:dyDescent="0.3">
      <c r="A2462" t="s">
        <v>5043</v>
      </c>
      <c r="B2462" t="s">
        <v>106</v>
      </c>
      <c r="C2462" t="s">
        <v>27</v>
      </c>
      <c r="D2462" t="s">
        <v>125</v>
      </c>
      <c r="E2462" t="s">
        <v>5140</v>
      </c>
      <c r="F2462" t="s">
        <v>5133</v>
      </c>
      <c r="G2462" t="s">
        <v>18</v>
      </c>
      <c r="H2462" t="s">
        <v>19</v>
      </c>
      <c r="I2462" t="str">
        <f>LEFT(H2462,FIND(" (",H2462)-1)</f>
        <v>Entry</v>
      </c>
      <c r="J2462" t="str">
        <f>MID(H2462,FIND("(",H2462)+1,FIND(")",H2462)-FIND("(",H2462)-1)</f>
        <v>0-2 yrs</v>
      </c>
      <c r="L2462">
        <v>70957</v>
      </c>
      <c r="M2462" t="s">
        <v>5044</v>
      </c>
      <c r="N2462" t="s">
        <v>149</v>
      </c>
      <c r="O2462" t="s">
        <v>79</v>
      </c>
      <c r="P2462" s="1">
        <v>45489</v>
      </c>
      <c r="Q2462">
        <v>491</v>
      </c>
      <c r="R2462">
        <v>253</v>
      </c>
      <c r="S2462" t="s">
        <v>23</v>
      </c>
      <c r="T2462">
        <v>0</v>
      </c>
      <c r="U2462" t="s">
        <v>58</v>
      </c>
      <c r="V2462" t="s">
        <v>24</v>
      </c>
      <c r="W2462" t="s">
        <v>23</v>
      </c>
    </row>
    <row r="2463" spans="1:23" x14ac:dyDescent="0.3">
      <c r="A2463" t="s">
        <v>5045</v>
      </c>
      <c r="B2463" t="s">
        <v>137</v>
      </c>
      <c r="C2463" t="s">
        <v>192</v>
      </c>
      <c r="D2463" t="s">
        <v>125</v>
      </c>
      <c r="E2463" t="s">
        <v>16</v>
      </c>
      <c r="F2463" t="s">
        <v>17</v>
      </c>
      <c r="G2463" t="s">
        <v>18</v>
      </c>
      <c r="H2463" t="s">
        <v>31</v>
      </c>
      <c r="I2463" t="str">
        <f>LEFT(H2463,FIND(" (",H2463)-1)</f>
        <v>Staff/Principal</v>
      </c>
      <c r="J2463" t="str">
        <f>MID(H2463,FIND("(",H2463)+1,FIND(")",H2463)-FIND("(",H2463)-1)</f>
        <v>8+ yrs</v>
      </c>
      <c r="L2463">
        <v>226736</v>
      </c>
      <c r="M2463" t="s">
        <v>5046</v>
      </c>
      <c r="N2463" t="s">
        <v>141</v>
      </c>
      <c r="O2463" t="s">
        <v>22</v>
      </c>
      <c r="P2463" s="1">
        <v>45311</v>
      </c>
      <c r="Q2463">
        <v>1531</v>
      </c>
      <c r="R2463">
        <v>1574</v>
      </c>
      <c r="S2463" t="s">
        <v>23</v>
      </c>
      <c r="T2463">
        <v>6</v>
      </c>
      <c r="U2463" t="s">
        <v>45</v>
      </c>
      <c r="V2463" t="s">
        <v>46</v>
      </c>
      <c r="W2463" t="s">
        <v>23</v>
      </c>
    </row>
    <row r="2464" spans="1:23" x14ac:dyDescent="0.3">
      <c r="A2464" t="s">
        <v>5047</v>
      </c>
      <c r="B2464" t="s">
        <v>229</v>
      </c>
      <c r="C2464" t="s">
        <v>167</v>
      </c>
      <c r="D2464" t="s">
        <v>49</v>
      </c>
      <c r="E2464" t="s">
        <v>5135</v>
      </c>
      <c r="F2464" t="s">
        <v>5133</v>
      </c>
      <c r="G2464" t="s">
        <v>41</v>
      </c>
      <c r="H2464" t="s">
        <v>31</v>
      </c>
      <c r="I2464" t="str">
        <f>LEFT(H2464,FIND(" (",H2464)-1)</f>
        <v>Staff/Principal</v>
      </c>
      <c r="J2464" t="str">
        <f>MID(H2464,FIND("(",H2464)+1,FIND(")",H2464)-FIND("(",H2464)-1)</f>
        <v>8+ yrs</v>
      </c>
      <c r="L2464">
        <v>217360</v>
      </c>
      <c r="M2464" t="s">
        <v>5048</v>
      </c>
      <c r="N2464" t="s">
        <v>21</v>
      </c>
      <c r="O2464" t="s">
        <v>22</v>
      </c>
      <c r="P2464" s="1">
        <v>45323</v>
      </c>
      <c r="Q2464">
        <v>782</v>
      </c>
      <c r="R2464">
        <v>171</v>
      </c>
      <c r="S2464" t="s">
        <v>34</v>
      </c>
      <c r="T2464">
        <v>6</v>
      </c>
      <c r="U2464" t="s">
        <v>52</v>
      </c>
      <c r="V2464" t="s">
        <v>59</v>
      </c>
      <c r="W2464" t="s">
        <v>34</v>
      </c>
    </row>
    <row r="2465" spans="1:23" x14ac:dyDescent="0.3">
      <c r="A2465" t="s">
        <v>5049</v>
      </c>
      <c r="B2465" t="s">
        <v>36</v>
      </c>
      <c r="C2465" t="s">
        <v>71</v>
      </c>
      <c r="D2465" t="s">
        <v>147</v>
      </c>
      <c r="E2465" t="s">
        <v>216</v>
      </c>
      <c r="F2465" t="s">
        <v>217</v>
      </c>
      <c r="G2465" t="s">
        <v>55</v>
      </c>
      <c r="H2465" t="s">
        <v>31</v>
      </c>
      <c r="I2465" t="str">
        <f>LEFT(H2465,FIND(" (",H2465)-1)</f>
        <v>Staff/Principal</v>
      </c>
      <c r="J2465" t="str">
        <f>MID(H2465,FIND("(",H2465)+1,FIND(")",H2465)-FIND("(",H2465)-1)</f>
        <v>8+ yrs</v>
      </c>
      <c r="L2465">
        <v>155444</v>
      </c>
      <c r="M2465" t="s">
        <v>5050</v>
      </c>
      <c r="N2465" t="s">
        <v>43</v>
      </c>
      <c r="O2465" t="s">
        <v>22</v>
      </c>
      <c r="P2465" s="1">
        <v>45717</v>
      </c>
      <c r="Q2465">
        <v>2055</v>
      </c>
      <c r="R2465">
        <v>3041</v>
      </c>
      <c r="S2465" t="s">
        <v>23</v>
      </c>
      <c r="T2465">
        <v>6</v>
      </c>
      <c r="U2465" t="s">
        <v>45</v>
      </c>
      <c r="V2465" t="s">
        <v>24</v>
      </c>
      <c r="W2465" t="s">
        <v>34</v>
      </c>
    </row>
    <row r="2466" spans="1:23" x14ac:dyDescent="0.3">
      <c r="A2466" t="s">
        <v>5051</v>
      </c>
      <c r="B2466" t="s">
        <v>143</v>
      </c>
      <c r="C2466" t="s">
        <v>239</v>
      </c>
      <c r="D2466" t="s">
        <v>28</v>
      </c>
      <c r="E2466" t="s">
        <v>29</v>
      </c>
      <c r="F2466" t="s">
        <v>30</v>
      </c>
      <c r="G2466" t="s">
        <v>55</v>
      </c>
      <c r="H2466" t="s">
        <v>19</v>
      </c>
      <c r="I2466" t="str">
        <f>LEFT(H2466,FIND(" (",H2466)-1)</f>
        <v>Entry</v>
      </c>
      <c r="J2466" t="str">
        <f>MID(H2466,FIND("(",H2466)+1,FIND(")",H2466)-FIND("(",H2466)-1)</f>
        <v>0-2 yrs</v>
      </c>
      <c r="L2466">
        <v>80951</v>
      </c>
      <c r="M2466" t="s">
        <v>5052</v>
      </c>
      <c r="N2466" t="s">
        <v>33</v>
      </c>
      <c r="O2466" t="s">
        <v>44</v>
      </c>
      <c r="P2466" s="1">
        <v>45407</v>
      </c>
      <c r="Q2466">
        <v>640</v>
      </c>
      <c r="R2466">
        <v>3423</v>
      </c>
      <c r="S2466" t="s">
        <v>99</v>
      </c>
      <c r="T2466">
        <v>0</v>
      </c>
      <c r="U2466" t="s">
        <v>83</v>
      </c>
      <c r="V2466" t="s">
        <v>59</v>
      </c>
      <c r="W2466" t="s">
        <v>23</v>
      </c>
    </row>
    <row r="2467" spans="1:23" x14ac:dyDescent="0.3">
      <c r="A2467" t="s">
        <v>5053</v>
      </c>
      <c r="B2467" t="s">
        <v>143</v>
      </c>
      <c r="C2467" t="s">
        <v>116</v>
      </c>
      <c r="D2467" t="s">
        <v>38</v>
      </c>
      <c r="E2467" t="s">
        <v>159</v>
      </c>
      <c r="F2467" t="s">
        <v>160</v>
      </c>
      <c r="G2467" t="s">
        <v>41</v>
      </c>
      <c r="H2467" t="s">
        <v>56</v>
      </c>
      <c r="I2467" t="str">
        <f>LEFT(H2467,FIND(" (",H2467)-1)</f>
        <v>Mid</v>
      </c>
      <c r="J2467" t="str">
        <f>MID(H2467,FIND("(",H2467)+1,FIND(")",H2467)-FIND("(",H2467)-1)</f>
        <v>2-5 yrs</v>
      </c>
      <c r="L2467">
        <v>127568</v>
      </c>
      <c r="M2467" t="s">
        <v>5054</v>
      </c>
      <c r="N2467" t="s">
        <v>43</v>
      </c>
      <c r="O2467" t="s">
        <v>22</v>
      </c>
      <c r="P2467" s="1">
        <v>45568</v>
      </c>
      <c r="Q2467">
        <v>1168</v>
      </c>
      <c r="R2467">
        <v>111</v>
      </c>
      <c r="S2467" t="s">
        <v>23</v>
      </c>
      <c r="T2467">
        <v>2</v>
      </c>
      <c r="U2467" t="s">
        <v>83</v>
      </c>
      <c r="V2467" t="s">
        <v>24</v>
      </c>
      <c r="W2467" t="s">
        <v>23</v>
      </c>
    </row>
    <row r="2468" spans="1:23" x14ac:dyDescent="0.3">
      <c r="A2468" t="s">
        <v>5055</v>
      </c>
      <c r="B2468" t="s">
        <v>229</v>
      </c>
      <c r="C2468" t="s">
        <v>71</v>
      </c>
      <c r="D2468" t="s">
        <v>111</v>
      </c>
      <c r="E2468" t="s">
        <v>5140</v>
      </c>
      <c r="F2468" t="s">
        <v>5133</v>
      </c>
      <c r="G2468" t="s">
        <v>18</v>
      </c>
      <c r="H2468" t="s">
        <v>19</v>
      </c>
      <c r="I2468" t="str">
        <f>LEFT(H2468,FIND(" (",H2468)-1)</f>
        <v>Entry</v>
      </c>
      <c r="J2468" t="str">
        <f>MID(H2468,FIND("(",H2468)+1,FIND(")",H2468)-FIND("(",H2468)-1)</f>
        <v>0-2 yrs</v>
      </c>
      <c r="L2468">
        <v>60382</v>
      </c>
      <c r="M2468" t="s">
        <v>5056</v>
      </c>
      <c r="N2468" t="s">
        <v>33</v>
      </c>
      <c r="O2468" t="s">
        <v>51</v>
      </c>
      <c r="P2468" s="1">
        <v>45685</v>
      </c>
      <c r="Q2468">
        <v>1490</v>
      </c>
      <c r="R2468">
        <v>3245</v>
      </c>
      <c r="S2468" t="s">
        <v>23</v>
      </c>
      <c r="T2468">
        <v>0</v>
      </c>
      <c r="U2468" t="s">
        <v>58</v>
      </c>
      <c r="V2468" t="s">
        <v>24</v>
      </c>
      <c r="W2468" t="s">
        <v>34</v>
      </c>
    </row>
    <row r="2469" spans="1:23" x14ac:dyDescent="0.3">
      <c r="A2469" t="s">
        <v>5057</v>
      </c>
      <c r="B2469" t="s">
        <v>70</v>
      </c>
      <c r="C2469" t="s">
        <v>110</v>
      </c>
      <c r="D2469" t="s">
        <v>63</v>
      </c>
      <c r="E2469" t="s">
        <v>159</v>
      </c>
      <c r="F2469" t="s">
        <v>160</v>
      </c>
      <c r="G2469" t="s">
        <v>55</v>
      </c>
      <c r="H2469" t="s">
        <v>19</v>
      </c>
      <c r="I2469" t="str">
        <f>LEFT(H2469,FIND(" (",H2469)-1)</f>
        <v>Entry</v>
      </c>
      <c r="J2469" t="str">
        <f>MID(H2469,FIND("(",H2469)+1,FIND(")",H2469)-FIND("(",H2469)-1)</f>
        <v>0-2 yrs</v>
      </c>
      <c r="L2469">
        <v>70478</v>
      </c>
      <c r="M2469" t="s">
        <v>5058</v>
      </c>
      <c r="N2469" t="s">
        <v>68</v>
      </c>
      <c r="O2469" t="s">
        <v>44</v>
      </c>
      <c r="P2469" s="1">
        <v>45364</v>
      </c>
      <c r="Q2469">
        <v>1017</v>
      </c>
      <c r="R2469">
        <v>1600</v>
      </c>
      <c r="S2469" t="s">
        <v>99</v>
      </c>
      <c r="T2469">
        <v>0</v>
      </c>
      <c r="U2469" t="s">
        <v>52</v>
      </c>
      <c r="V2469" t="s">
        <v>59</v>
      </c>
      <c r="W2469" t="s">
        <v>23</v>
      </c>
    </row>
    <row r="2470" spans="1:23" x14ac:dyDescent="0.3">
      <c r="A2470" t="s">
        <v>5059</v>
      </c>
      <c r="B2470" t="s">
        <v>229</v>
      </c>
      <c r="C2470" t="s">
        <v>86</v>
      </c>
      <c r="D2470" t="s">
        <v>49</v>
      </c>
      <c r="E2470" t="s">
        <v>133</v>
      </c>
      <c r="F2470" t="s">
        <v>134</v>
      </c>
      <c r="G2470" t="s">
        <v>55</v>
      </c>
      <c r="H2470" t="s">
        <v>66</v>
      </c>
      <c r="I2470" t="str">
        <f>LEFT(H2470,FIND(" (",H2470)-1)</f>
        <v>Senior</v>
      </c>
      <c r="J2470" t="str">
        <f>MID(H2470,FIND("(",H2470)+1,FIND(")",H2470)-FIND("(",H2470)-1)</f>
        <v>5-8 yrs</v>
      </c>
      <c r="L2470">
        <v>168449</v>
      </c>
      <c r="M2470" t="s">
        <v>5060</v>
      </c>
      <c r="N2470" t="s">
        <v>141</v>
      </c>
      <c r="O2470" t="s">
        <v>22</v>
      </c>
      <c r="P2470" s="1">
        <v>45723</v>
      </c>
      <c r="Q2470">
        <v>1804</v>
      </c>
      <c r="R2470">
        <v>2066</v>
      </c>
      <c r="S2470" t="s">
        <v>34</v>
      </c>
      <c r="T2470">
        <v>4</v>
      </c>
      <c r="U2470" t="s">
        <v>45</v>
      </c>
      <c r="V2470" t="s">
        <v>59</v>
      </c>
      <c r="W2470" t="s">
        <v>34</v>
      </c>
    </row>
    <row r="2471" spans="1:23" x14ac:dyDescent="0.3">
      <c r="A2471" t="s">
        <v>5061</v>
      </c>
      <c r="B2471" t="s">
        <v>137</v>
      </c>
      <c r="C2471" t="s">
        <v>62</v>
      </c>
      <c r="D2471" t="s">
        <v>49</v>
      </c>
      <c r="E2471" t="s">
        <v>39</v>
      </c>
      <c r="F2471" t="s">
        <v>40</v>
      </c>
      <c r="G2471" t="s">
        <v>55</v>
      </c>
      <c r="H2471" t="s">
        <v>66</v>
      </c>
      <c r="I2471" t="str">
        <f>LEFT(H2471,FIND(" (",H2471)-1)</f>
        <v>Senior</v>
      </c>
      <c r="J2471" t="str">
        <f>MID(H2471,FIND("(",H2471)+1,FIND(")",H2471)-FIND("(",H2471)-1)</f>
        <v>5-8 yrs</v>
      </c>
      <c r="L2471">
        <v>144348</v>
      </c>
      <c r="M2471" t="s">
        <v>5062</v>
      </c>
      <c r="N2471" t="s">
        <v>141</v>
      </c>
      <c r="O2471" t="s">
        <v>22</v>
      </c>
      <c r="P2471" s="1">
        <v>45356</v>
      </c>
      <c r="Q2471">
        <v>2474</v>
      </c>
      <c r="R2471">
        <v>3696</v>
      </c>
      <c r="S2471" t="s">
        <v>34</v>
      </c>
      <c r="T2471">
        <v>4</v>
      </c>
      <c r="U2471" t="s">
        <v>58</v>
      </c>
      <c r="V2471" t="s">
        <v>46</v>
      </c>
      <c r="W2471" t="s">
        <v>23</v>
      </c>
    </row>
    <row r="2472" spans="1:23" x14ac:dyDescent="0.3">
      <c r="A2472" t="s">
        <v>5063</v>
      </c>
      <c r="B2472" t="s">
        <v>91</v>
      </c>
      <c r="C2472" t="s">
        <v>71</v>
      </c>
      <c r="D2472" t="s">
        <v>15</v>
      </c>
      <c r="E2472" t="s">
        <v>64</v>
      </c>
      <c r="F2472" t="s">
        <v>65</v>
      </c>
      <c r="G2472" t="s">
        <v>18</v>
      </c>
      <c r="H2472" t="s">
        <v>66</v>
      </c>
      <c r="I2472" t="str">
        <f>LEFT(H2472,FIND(" (",H2472)-1)</f>
        <v>Senior</v>
      </c>
      <c r="J2472" t="str">
        <f>MID(H2472,FIND("(",H2472)+1,FIND(")",H2472)-FIND("(",H2472)-1)</f>
        <v>5-8 yrs</v>
      </c>
      <c r="L2472">
        <v>178970</v>
      </c>
      <c r="M2472" t="s">
        <v>5064</v>
      </c>
      <c r="N2472" t="s">
        <v>89</v>
      </c>
      <c r="O2472" t="s">
        <v>79</v>
      </c>
      <c r="P2472" s="1">
        <v>45369</v>
      </c>
      <c r="Q2472">
        <v>2487</v>
      </c>
      <c r="R2472">
        <v>1691</v>
      </c>
      <c r="S2472" t="s">
        <v>23</v>
      </c>
      <c r="T2472">
        <v>4</v>
      </c>
      <c r="U2472" t="s">
        <v>58</v>
      </c>
      <c r="V2472" t="s">
        <v>24</v>
      </c>
      <c r="W2472" t="s">
        <v>23</v>
      </c>
    </row>
    <row r="2473" spans="1:23" x14ac:dyDescent="0.3">
      <c r="A2473" t="s">
        <v>5065</v>
      </c>
      <c r="B2473" t="s">
        <v>81</v>
      </c>
      <c r="C2473" t="s">
        <v>204</v>
      </c>
      <c r="D2473" t="s">
        <v>63</v>
      </c>
      <c r="E2473" t="s">
        <v>230</v>
      </c>
      <c r="F2473" t="s">
        <v>231</v>
      </c>
      <c r="G2473" t="s">
        <v>41</v>
      </c>
      <c r="H2473" t="s">
        <v>19</v>
      </c>
      <c r="I2473" t="str">
        <f>LEFT(H2473,FIND(" (",H2473)-1)</f>
        <v>Entry</v>
      </c>
      <c r="J2473" t="str">
        <f>MID(H2473,FIND("(",H2473)+1,FIND(")",H2473)-FIND("(",H2473)-1)</f>
        <v>0-2 yrs</v>
      </c>
      <c r="L2473">
        <v>99784</v>
      </c>
      <c r="M2473" t="s">
        <v>5066</v>
      </c>
      <c r="N2473" t="s">
        <v>43</v>
      </c>
      <c r="O2473" t="s">
        <v>22</v>
      </c>
      <c r="P2473" s="1">
        <v>45412</v>
      </c>
      <c r="Q2473">
        <v>1060</v>
      </c>
      <c r="R2473">
        <v>1414</v>
      </c>
      <c r="S2473" t="s">
        <v>34</v>
      </c>
      <c r="T2473">
        <v>0</v>
      </c>
      <c r="U2473" t="s">
        <v>58</v>
      </c>
      <c r="V2473" t="s">
        <v>24</v>
      </c>
      <c r="W2473" t="s">
        <v>34</v>
      </c>
    </row>
    <row r="2474" spans="1:23" x14ac:dyDescent="0.3">
      <c r="A2474" t="s">
        <v>5067</v>
      </c>
      <c r="B2474" t="s">
        <v>143</v>
      </c>
      <c r="C2474" t="s">
        <v>48</v>
      </c>
      <c r="D2474" t="s">
        <v>38</v>
      </c>
      <c r="E2474" t="s">
        <v>159</v>
      </c>
      <c r="F2474" t="s">
        <v>160</v>
      </c>
      <c r="G2474" t="s">
        <v>55</v>
      </c>
      <c r="H2474" t="s">
        <v>31</v>
      </c>
      <c r="I2474" t="str">
        <f>LEFT(H2474,FIND(" (",H2474)-1)</f>
        <v>Staff/Principal</v>
      </c>
      <c r="J2474" t="str">
        <f>MID(H2474,FIND("(",H2474)+1,FIND(")",H2474)-FIND("(",H2474)-1)</f>
        <v>8+ yrs</v>
      </c>
      <c r="L2474">
        <v>171704</v>
      </c>
      <c r="M2474" t="s">
        <v>5068</v>
      </c>
      <c r="N2474" t="s">
        <v>33</v>
      </c>
      <c r="O2474" t="s">
        <v>51</v>
      </c>
      <c r="P2474" s="1">
        <v>45405</v>
      </c>
      <c r="Q2474">
        <v>423</v>
      </c>
      <c r="R2474">
        <v>418</v>
      </c>
      <c r="S2474" t="s">
        <v>23</v>
      </c>
      <c r="T2474">
        <v>6</v>
      </c>
      <c r="U2474" t="s">
        <v>5123</v>
      </c>
      <c r="V2474" t="s">
        <v>59</v>
      </c>
      <c r="W2474" t="s">
        <v>34</v>
      </c>
    </row>
    <row r="2475" spans="1:23" x14ac:dyDescent="0.3">
      <c r="A2475" t="s">
        <v>5069</v>
      </c>
      <c r="B2475" t="s">
        <v>229</v>
      </c>
      <c r="C2475" t="s">
        <v>107</v>
      </c>
      <c r="D2475" t="s">
        <v>38</v>
      </c>
      <c r="E2475" t="s">
        <v>5136</v>
      </c>
      <c r="F2475" t="s">
        <v>5133</v>
      </c>
      <c r="G2475" t="s">
        <v>18</v>
      </c>
      <c r="H2475" t="s">
        <v>31</v>
      </c>
      <c r="I2475" t="str">
        <f>LEFT(H2475,FIND(" (",H2475)-1)</f>
        <v>Staff/Principal</v>
      </c>
      <c r="J2475" t="str">
        <f>MID(H2475,FIND("(",H2475)+1,FIND(")",H2475)-FIND("(",H2475)-1)</f>
        <v>8+ yrs</v>
      </c>
      <c r="L2475">
        <v>150282</v>
      </c>
      <c r="M2475" t="s">
        <v>5070</v>
      </c>
      <c r="N2475" t="s">
        <v>33</v>
      </c>
      <c r="O2475" t="s">
        <v>22</v>
      </c>
      <c r="P2475" s="1">
        <v>45685</v>
      </c>
      <c r="Q2475">
        <v>537</v>
      </c>
      <c r="R2475">
        <v>2674</v>
      </c>
      <c r="S2475" t="s">
        <v>23</v>
      </c>
      <c r="T2475">
        <v>6</v>
      </c>
      <c r="U2475" t="s">
        <v>58</v>
      </c>
      <c r="V2475" t="s">
        <v>24</v>
      </c>
      <c r="W2475" t="s">
        <v>23</v>
      </c>
    </row>
    <row r="2476" spans="1:23" x14ac:dyDescent="0.3">
      <c r="A2476" t="s">
        <v>5071</v>
      </c>
      <c r="B2476" t="s">
        <v>329</v>
      </c>
      <c r="C2476" t="s">
        <v>62</v>
      </c>
      <c r="D2476" t="s">
        <v>28</v>
      </c>
      <c r="E2476" t="s">
        <v>5136</v>
      </c>
      <c r="F2476" t="s">
        <v>5133</v>
      </c>
      <c r="G2476" t="s">
        <v>18</v>
      </c>
      <c r="H2476" t="s">
        <v>19</v>
      </c>
      <c r="I2476" t="str">
        <f>LEFT(H2476,FIND(" (",H2476)-1)</f>
        <v>Entry</v>
      </c>
      <c r="J2476" t="str">
        <f>MID(H2476,FIND("(",H2476)+1,FIND(")",H2476)-FIND("(",H2476)-1)</f>
        <v>0-2 yrs</v>
      </c>
      <c r="L2476">
        <v>73828</v>
      </c>
      <c r="M2476" t="s">
        <v>5072</v>
      </c>
      <c r="N2476" t="s">
        <v>33</v>
      </c>
      <c r="O2476" t="s">
        <v>22</v>
      </c>
      <c r="P2476" s="1">
        <v>45620</v>
      </c>
      <c r="Q2476">
        <v>814</v>
      </c>
      <c r="R2476">
        <v>3794</v>
      </c>
      <c r="S2476" t="s">
        <v>23</v>
      </c>
      <c r="T2476">
        <v>0</v>
      </c>
      <c r="U2476" t="s">
        <v>83</v>
      </c>
      <c r="V2476" t="s">
        <v>24</v>
      </c>
      <c r="W2476" t="s">
        <v>23</v>
      </c>
    </row>
    <row r="2477" spans="1:23" x14ac:dyDescent="0.3">
      <c r="A2477" t="s">
        <v>5073</v>
      </c>
      <c r="B2477" t="s">
        <v>151</v>
      </c>
      <c r="C2477" t="s">
        <v>124</v>
      </c>
      <c r="D2477" t="s">
        <v>111</v>
      </c>
      <c r="E2477" t="s">
        <v>102</v>
      </c>
      <c r="F2477" t="s">
        <v>103</v>
      </c>
      <c r="G2477" t="s">
        <v>41</v>
      </c>
      <c r="H2477" t="s">
        <v>31</v>
      </c>
      <c r="I2477" t="str">
        <f>LEFT(H2477,FIND(" (",H2477)-1)</f>
        <v>Staff/Principal</v>
      </c>
      <c r="J2477" t="str">
        <f>MID(H2477,FIND("(",H2477)+1,FIND(")",H2477)-FIND("(",H2477)-1)</f>
        <v>8+ yrs</v>
      </c>
      <c r="L2477">
        <v>225976</v>
      </c>
      <c r="M2477" t="s">
        <v>5074</v>
      </c>
      <c r="N2477" t="s">
        <v>245</v>
      </c>
      <c r="O2477" t="s">
        <v>51</v>
      </c>
      <c r="P2477" s="1">
        <v>45683</v>
      </c>
      <c r="Q2477">
        <v>1739</v>
      </c>
      <c r="R2477">
        <v>3866</v>
      </c>
      <c r="S2477" t="s">
        <v>34</v>
      </c>
      <c r="T2477">
        <v>6</v>
      </c>
      <c r="U2477" t="s">
        <v>83</v>
      </c>
      <c r="V2477" t="s">
        <v>24</v>
      </c>
      <c r="W2477" t="s">
        <v>23</v>
      </c>
    </row>
    <row r="2478" spans="1:23" x14ac:dyDescent="0.3">
      <c r="A2478" t="s">
        <v>5075</v>
      </c>
      <c r="B2478" t="s">
        <v>36</v>
      </c>
      <c r="C2478" t="s">
        <v>239</v>
      </c>
      <c r="D2478" t="s">
        <v>38</v>
      </c>
      <c r="E2478" t="s">
        <v>5139</v>
      </c>
      <c r="F2478" t="s">
        <v>5133</v>
      </c>
      <c r="G2478" t="s">
        <v>18</v>
      </c>
      <c r="H2478" t="s">
        <v>56</v>
      </c>
      <c r="I2478" t="str">
        <f>LEFT(H2478,FIND(" (",H2478)-1)</f>
        <v>Mid</v>
      </c>
      <c r="J2478" t="str">
        <f>MID(H2478,FIND("(",H2478)+1,FIND(")",H2478)-FIND("(",H2478)-1)</f>
        <v>2-5 yrs</v>
      </c>
      <c r="L2478">
        <v>105428</v>
      </c>
      <c r="M2478" t="s">
        <v>5076</v>
      </c>
      <c r="N2478" t="s">
        <v>33</v>
      </c>
      <c r="O2478" t="s">
        <v>22</v>
      </c>
      <c r="P2478" s="1">
        <v>45514</v>
      </c>
      <c r="Q2478">
        <v>893</v>
      </c>
      <c r="R2478">
        <v>1217</v>
      </c>
      <c r="S2478" t="s">
        <v>99</v>
      </c>
      <c r="T2478">
        <v>2</v>
      </c>
      <c r="U2478" t="s">
        <v>45</v>
      </c>
      <c r="V2478" t="s">
        <v>24</v>
      </c>
      <c r="W2478" t="s">
        <v>34</v>
      </c>
    </row>
    <row r="2479" spans="1:23" x14ac:dyDescent="0.3">
      <c r="A2479" t="s">
        <v>5077</v>
      </c>
      <c r="B2479" t="s">
        <v>137</v>
      </c>
      <c r="C2479" t="s">
        <v>195</v>
      </c>
      <c r="D2479" t="s">
        <v>38</v>
      </c>
      <c r="E2479" t="s">
        <v>5137</v>
      </c>
      <c r="F2479" t="s">
        <v>5138</v>
      </c>
      <c r="G2479" t="s">
        <v>55</v>
      </c>
      <c r="H2479" t="s">
        <v>56</v>
      </c>
      <c r="I2479" t="str">
        <f>LEFT(H2479,FIND(" (",H2479)-1)</f>
        <v>Mid</v>
      </c>
      <c r="J2479" t="str">
        <f>MID(H2479,FIND("(",H2479)+1,FIND(")",H2479)-FIND("(",H2479)-1)</f>
        <v>2-5 yrs</v>
      </c>
      <c r="L2479">
        <v>138774</v>
      </c>
      <c r="M2479" t="s">
        <v>5078</v>
      </c>
      <c r="N2479" t="s">
        <v>68</v>
      </c>
      <c r="O2479" t="s">
        <v>22</v>
      </c>
      <c r="P2479" s="1">
        <v>45543</v>
      </c>
      <c r="Q2479">
        <v>2463</v>
      </c>
      <c r="R2479">
        <v>977</v>
      </c>
      <c r="S2479" t="s">
        <v>23</v>
      </c>
      <c r="T2479">
        <v>2</v>
      </c>
      <c r="U2479" t="s">
        <v>83</v>
      </c>
      <c r="V2479" t="s">
        <v>24</v>
      </c>
      <c r="W2479" t="s">
        <v>23</v>
      </c>
    </row>
    <row r="2480" spans="1:23" x14ac:dyDescent="0.3">
      <c r="A2480" t="s">
        <v>5079</v>
      </c>
      <c r="B2480" t="s">
        <v>222</v>
      </c>
      <c r="C2480" t="s">
        <v>54</v>
      </c>
      <c r="D2480" t="s">
        <v>125</v>
      </c>
      <c r="E2480" t="s">
        <v>5137</v>
      </c>
      <c r="F2480" t="s">
        <v>5138</v>
      </c>
      <c r="G2480" t="s">
        <v>18</v>
      </c>
      <c r="H2480" t="s">
        <v>66</v>
      </c>
      <c r="I2480" t="str">
        <f>LEFT(H2480,FIND(" (",H2480)-1)</f>
        <v>Senior</v>
      </c>
      <c r="J2480" t="str">
        <f>MID(H2480,FIND("(",H2480)+1,FIND(")",H2480)-FIND("(",H2480)-1)</f>
        <v>5-8 yrs</v>
      </c>
      <c r="L2480">
        <v>113857</v>
      </c>
      <c r="M2480" t="s">
        <v>5080</v>
      </c>
      <c r="N2480" t="s">
        <v>68</v>
      </c>
      <c r="O2480" t="s">
        <v>51</v>
      </c>
      <c r="P2480" s="1">
        <v>45378</v>
      </c>
      <c r="Q2480">
        <v>1142</v>
      </c>
      <c r="R2480">
        <v>924</v>
      </c>
      <c r="S2480" t="s">
        <v>34</v>
      </c>
      <c r="T2480">
        <v>4</v>
      </c>
      <c r="U2480" t="s">
        <v>52</v>
      </c>
      <c r="V2480" t="s">
        <v>24</v>
      </c>
      <c r="W2480" t="s">
        <v>34</v>
      </c>
    </row>
    <row r="2481" spans="1:23" x14ac:dyDescent="0.3">
      <c r="A2481" t="s">
        <v>5081</v>
      </c>
      <c r="B2481" t="s">
        <v>26</v>
      </c>
      <c r="C2481" t="s">
        <v>173</v>
      </c>
      <c r="D2481" t="s">
        <v>63</v>
      </c>
      <c r="E2481" t="s">
        <v>5134</v>
      </c>
      <c r="F2481" t="s">
        <v>5133</v>
      </c>
      <c r="G2481" t="s">
        <v>55</v>
      </c>
      <c r="H2481" t="s">
        <v>31</v>
      </c>
      <c r="I2481" t="str">
        <f>LEFT(H2481,FIND(" (",H2481)-1)</f>
        <v>Staff/Principal</v>
      </c>
      <c r="J2481" t="str">
        <f>MID(H2481,FIND("(",H2481)+1,FIND(")",H2481)-FIND("(",H2481)-1)</f>
        <v>8+ yrs</v>
      </c>
      <c r="L2481">
        <v>224945</v>
      </c>
      <c r="M2481" t="s">
        <v>5082</v>
      </c>
      <c r="N2481" t="s">
        <v>120</v>
      </c>
      <c r="O2481" t="s">
        <v>51</v>
      </c>
      <c r="P2481" s="1">
        <v>45406</v>
      </c>
      <c r="Q2481">
        <v>1045</v>
      </c>
      <c r="R2481">
        <v>3490</v>
      </c>
      <c r="S2481" t="s">
        <v>23</v>
      </c>
      <c r="T2481">
        <v>6</v>
      </c>
      <c r="U2481" t="s">
        <v>45</v>
      </c>
      <c r="V2481" t="s">
        <v>24</v>
      </c>
      <c r="W2481" t="s">
        <v>23</v>
      </c>
    </row>
    <row r="2482" spans="1:23" x14ac:dyDescent="0.3">
      <c r="A2482" t="s">
        <v>5083</v>
      </c>
      <c r="B2482" t="s">
        <v>131</v>
      </c>
      <c r="C2482" t="s">
        <v>226</v>
      </c>
      <c r="D2482" t="s">
        <v>125</v>
      </c>
      <c r="E2482" t="s">
        <v>5137</v>
      </c>
      <c r="F2482" t="s">
        <v>5138</v>
      </c>
      <c r="G2482" t="s">
        <v>18</v>
      </c>
      <c r="H2482" t="s">
        <v>66</v>
      </c>
      <c r="I2482" t="str">
        <f>LEFT(H2482,FIND(" (",H2482)-1)</f>
        <v>Senior</v>
      </c>
      <c r="J2482" t="str">
        <f>MID(H2482,FIND("(",H2482)+1,FIND(")",H2482)-FIND("(",H2482)-1)</f>
        <v>5-8 yrs</v>
      </c>
      <c r="L2482">
        <v>133641</v>
      </c>
      <c r="M2482" t="s">
        <v>5084</v>
      </c>
      <c r="N2482" t="s">
        <v>245</v>
      </c>
      <c r="O2482" t="s">
        <v>51</v>
      </c>
      <c r="P2482" s="1">
        <v>45383</v>
      </c>
      <c r="Q2482">
        <v>1516</v>
      </c>
      <c r="R2482">
        <v>1352</v>
      </c>
      <c r="S2482" t="s">
        <v>23</v>
      </c>
      <c r="T2482">
        <v>4</v>
      </c>
      <c r="U2482" t="s">
        <v>58</v>
      </c>
      <c r="V2482" t="s">
        <v>24</v>
      </c>
      <c r="W2482" t="s">
        <v>23</v>
      </c>
    </row>
    <row r="2483" spans="1:23" x14ac:dyDescent="0.3">
      <c r="A2483" t="s">
        <v>5085</v>
      </c>
      <c r="B2483" t="s">
        <v>236</v>
      </c>
      <c r="C2483" t="s">
        <v>179</v>
      </c>
      <c r="D2483" t="s">
        <v>75</v>
      </c>
      <c r="E2483" t="s">
        <v>5140</v>
      </c>
      <c r="F2483" t="s">
        <v>5133</v>
      </c>
      <c r="G2483" t="s">
        <v>18</v>
      </c>
      <c r="H2483" t="s">
        <v>19</v>
      </c>
      <c r="I2483" t="str">
        <f>LEFT(H2483,FIND(" (",H2483)-1)</f>
        <v>Entry</v>
      </c>
      <c r="J2483" t="str">
        <f>MID(H2483,FIND("(",H2483)+1,FIND(")",H2483)-FIND("(",H2483)-1)</f>
        <v>0-2 yrs</v>
      </c>
      <c r="L2483">
        <v>91664</v>
      </c>
      <c r="M2483" t="s">
        <v>5086</v>
      </c>
      <c r="N2483" t="s">
        <v>141</v>
      </c>
      <c r="O2483" t="s">
        <v>51</v>
      </c>
      <c r="P2483" s="1">
        <v>45744</v>
      </c>
      <c r="Q2483">
        <v>1521</v>
      </c>
      <c r="R2483">
        <v>481</v>
      </c>
      <c r="S2483" t="s">
        <v>34</v>
      </c>
      <c r="T2483">
        <v>0</v>
      </c>
      <c r="U2483" t="s">
        <v>52</v>
      </c>
      <c r="V2483" t="s">
        <v>24</v>
      </c>
      <c r="W2483" t="s">
        <v>23</v>
      </c>
    </row>
    <row r="2484" spans="1:23" x14ac:dyDescent="0.3">
      <c r="A2484" t="s">
        <v>5087</v>
      </c>
      <c r="B2484" t="s">
        <v>229</v>
      </c>
      <c r="C2484" t="s">
        <v>158</v>
      </c>
      <c r="D2484" t="s">
        <v>125</v>
      </c>
      <c r="E2484" t="s">
        <v>133</v>
      </c>
      <c r="F2484" t="s">
        <v>134</v>
      </c>
      <c r="G2484" t="s">
        <v>41</v>
      </c>
      <c r="H2484" t="s">
        <v>31</v>
      </c>
      <c r="I2484" t="str">
        <f>LEFT(H2484,FIND(" (",H2484)-1)</f>
        <v>Staff/Principal</v>
      </c>
      <c r="J2484" t="str">
        <f>MID(H2484,FIND("(",H2484)+1,FIND(")",H2484)-FIND("(",H2484)-1)</f>
        <v>8+ yrs</v>
      </c>
      <c r="L2484">
        <v>271730</v>
      </c>
      <c r="M2484" t="s">
        <v>5088</v>
      </c>
      <c r="N2484" t="s">
        <v>33</v>
      </c>
      <c r="O2484" t="s">
        <v>79</v>
      </c>
      <c r="P2484" s="1">
        <v>45392</v>
      </c>
      <c r="Q2484">
        <v>1784</v>
      </c>
      <c r="R2484">
        <v>529</v>
      </c>
      <c r="S2484" t="s">
        <v>23</v>
      </c>
      <c r="T2484">
        <v>6</v>
      </c>
      <c r="U2484" t="s">
        <v>83</v>
      </c>
      <c r="V2484" t="s">
        <v>24</v>
      </c>
      <c r="W2484" t="s">
        <v>34</v>
      </c>
    </row>
    <row r="2485" spans="1:23" x14ac:dyDescent="0.3">
      <c r="A2485" t="s">
        <v>5089</v>
      </c>
      <c r="B2485" t="s">
        <v>151</v>
      </c>
      <c r="C2485" t="s">
        <v>179</v>
      </c>
      <c r="D2485" t="s">
        <v>147</v>
      </c>
      <c r="E2485" t="s">
        <v>5141</v>
      </c>
      <c r="F2485" t="s">
        <v>5133</v>
      </c>
      <c r="G2485" t="s">
        <v>55</v>
      </c>
      <c r="H2485" t="s">
        <v>56</v>
      </c>
      <c r="I2485" t="str">
        <f>LEFT(H2485,FIND(" (",H2485)-1)</f>
        <v>Mid</v>
      </c>
      <c r="J2485" t="str">
        <f>MID(H2485,FIND("(",H2485)+1,FIND(")",H2485)-FIND("(",H2485)-1)</f>
        <v>2-5 yrs</v>
      </c>
      <c r="L2485">
        <v>94820</v>
      </c>
      <c r="M2485" t="s">
        <v>5090</v>
      </c>
      <c r="N2485" t="s">
        <v>33</v>
      </c>
      <c r="O2485" t="s">
        <v>22</v>
      </c>
      <c r="P2485" s="1">
        <v>45450</v>
      </c>
      <c r="Q2485">
        <v>1373</v>
      </c>
      <c r="R2485">
        <v>414</v>
      </c>
      <c r="S2485" t="s">
        <v>34</v>
      </c>
      <c r="T2485">
        <v>2</v>
      </c>
      <c r="U2485" t="s">
        <v>83</v>
      </c>
      <c r="V2485" t="s">
        <v>24</v>
      </c>
      <c r="W2485" t="s">
        <v>34</v>
      </c>
    </row>
    <row r="2486" spans="1:23" x14ac:dyDescent="0.3">
      <c r="A2486" t="s">
        <v>5091</v>
      </c>
      <c r="B2486" t="s">
        <v>13</v>
      </c>
      <c r="C2486" t="s">
        <v>158</v>
      </c>
      <c r="D2486" t="s">
        <v>174</v>
      </c>
      <c r="E2486" t="s">
        <v>39</v>
      </c>
      <c r="F2486" t="s">
        <v>40</v>
      </c>
      <c r="G2486" t="s">
        <v>55</v>
      </c>
      <c r="H2486" t="s">
        <v>66</v>
      </c>
      <c r="I2486" t="str">
        <f>LEFT(H2486,FIND(" (",H2486)-1)</f>
        <v>Senior</v>
      </c>
      <c r="J2486" t="str">
        <f>MID(H2486,FIND("(",H2486)+1,FIND(")",H2486)-FIND("(",H2486)-1)</f>
        <v>5-8 yrs</v>
      </c>
      <c r="L2486">
        <v>135161</v>
      </c>
      <c r="M2486" t="s">
        <v>5092</v>
      </c>
      <c r="N2486" t="s">
        <v>245</v>
      </c>
      <c r="O2486" t="s">
        <v>51</v>
      </c>
      <c r="P2486" s="1">
        <v>45582</v>
      </c>
      <c r="Q2486">
        <v>1453</v>
      </c>
      <c r="R2486">
        <v>2303</v>
      </c>
      <c r="S2486" t="s">
        <v>99</v>
      </c>
      <c r="T2486">
        <v>4</v>
      </c>
      <c r="U2486" t="s">
        <v>5123</v>
      </c>
      <c r="V2486" t="s">
        <v>24</v>
      </c>
      <c r="W2486" t="s">
        <v>34</v>
      </c>
    </row>
    <row r="2487" spans="1:23" x14ac:dyDescent="0.3">
      <c r="A2487" t="s">
        <v>5093</v>
      </c>
      <c r="B2487" t="s">
        <v>96</v>
      </c>
      <c r="C2487" t="s">
        <v>204</v>
      </c>
      <c r="D2487" t="s">
        <v>111</v>
      </c>
      <c r="E2487" t="s">
        <v>64</v>
      </c>
      <c r="F2487" t="s">
        <v>65</v>
      </c>
      <c r="G2487" t="s">
        <v>55</v>
      </c>
      <c r="H2487" t="s">
        <v>19</v>
      </c>
      <c r="I2487" t="str">
        <f>LEFT(H2487,FIND(" (",H2487)-1)</f>
        <v>Entry</v>
      </c>
      <c r="J2487" t="str">
        <f>MID(H2487,FIND("(",H2487)+1,FIND(")",H2487)-FIND("(",H2487)-1)</f>
        <v>0-2 yrs</v>
      </c>
      <c r="L2487">
        <v>80830</v>
      </c>
      <c r="M2487" t="s">
        <v>5094</v>
      </c>
      <c r="N2487" t="s">
        <v>43</v>
      </c>
      <c r="O2487" t="s">
        <v>22</v>
      </c>
      <c r="P2487" s="1">
        <v>45542</v>
      </c>
      <c r="Q2487">
        <v>693</v>
      </c>
      <c r="R2487">
        <v>2799</v>
      </c>
      <c r="S2487" t="s">
        <v>23</v>
      </c>
      <c r="T2487">
        <v>0</v>
      </c>
      <c r="U2487" t="s">
        <v>45</v>
      </c>
      <c r="V2487" t="s">
        <v>24</v>
      </c>
      <c r="W2487" t="s">
        <v>23</v>
      </c>
    </row>
    <row r="2488" spans="1:23" x14ac:dyDescent="0.3">
      <c r="A2488" t="s">
        <v>5095</v>
      </c>
      <c r="B2488" t="s">
        <v>36</v>
      </c>
      <c r="C2488" t="s">
        <v>167</v>
      </c>
      <c r="D2488" t="s">
        <v>111</v>
      </c>
      <c r="E2488" t="s">
        <v>76</v>
      </c>
      <c r="F2488" t="s">
        <v>77</v>
      </c>
      <c r="G2488" t="s">
        <v>18</v>
      </c>
      <c r="H2488" t="s">
        <v>19</v>
      </c>
      <c r="I2488" t="str">
        <f>LEFT(H2488,FIND(" (",H2488)-1)</f>
        <v>Entry</v>
      </c>
      <c r="J2488" t="str">
        <f>MID(H2488,FIND("(",H2488)+1,FIND(")",H2488)-FIND("(",H2488)-1)</f>
        <v>0-2 yrs</v>
      </c>
      <c r="L2488">
        <v>65122</v>
      </c>
      <c r="M2488" t="s">
        <v>5096</v>
      </c>
      <c r="N2488" t="s">
        <v>68</v>
      </c>
      <c r="O2488" t="s">
        <v>51</v>
      </c>
      <c r="P2488" s="1">
        <v>45390</v>
      </c>
      <c r="Q2488">
        <v>1948</v>
      </c>
      <c r="R2488">
        <v>1080</v>
      </c>
      <c r="S2488" t="s">
        <v>23</v>
      </c>
      <c r="T2488">
        <v>0</v>
      </c>
      <c r="U2488" t="s">
        <v>83</v>
      </c>
      <c r="V2488" t="s">
        <v>24</v>
      </c>
      <c r="W2488" t="s">
        <v>34</v>
      </c>
    </row>
    <row r="2489" spans="1:23" x14ac:dyDescent="0.3">
      <c r="A2489" t="s">
        <v>5097</v>
      </c>
      <c r="B2489" t="s">
        <v>26</v>
      </c>
      <c r="C2489" t="s">
        <v>97</v>
      </c>
      <c r="D2489" t="s">
        <v>174</v>
      </c>
      <c r="E2489" t="s">
        <v>5135</v>
      </c>
      <c r="F2489" t="s">
        <v>5133</v>
      </c>
      <c r="G2489" t="s">
        <v>18</v>
      </c>
      <c r="H2489" t="s">
        <v>66</v>
      </c>
      <c r="I2489" t="str">
        <f>LEFT(H2489,FIND(" (",H2489)-1)</f>
        <v>Senior</v>
      </c>
      <c r="J2489" t="str">
        <f>MID(H2489,FIND("(",H2489)+1,FIND(")",H2489)-FIND("(",H2489)-1)</f>
        <v>5-8 yrs</v>
      </c>
      <c r="L2489">
        <v>148773</v>
      </c>
      <c r="M2489" t="s">
        <v>5098</v>
      </c>
      <c r="N2489" t="s">
        <v>141</v>
      </c>
      <c r="O2489" t="s">
        <v>51</v>
      </c>
      <c r="P2489" s="1">
        <v>45581</v>
      </c>
      <c r="Q2489">
        <v>830</v>
      </c>
      <c r="R2489">
        <v>2159</v>
      </c>
      <c r="S2489" t="s">
        <v>34</v>
      </c>
      <c r="T2489">
        <v>4</v>
      </c>
      <c r="U2489" t="s">
        <v>52</v>
      </c>
      <c r="V2489" t="s">
        <v>24</v>
      </c>
      <c r="W2489" t="s">
        <v>23</v>
      </c>
    </row>
    <row r="2490" spans="1:23" x14ac:dyDescent="0.3">
      <c r="A2490" t="s">
        <v>5099</v>
      </c>
      <c r="B2490" t="s">
        <v>236</v>
      </c>
      <c r="C2490" t="s">
        <v>48</v>
      </c>
      <c r="D2490" t="s">
        <v>49</v>
      </c>
      <c r="E2490" t="s">
        <v>102</v>
      </c>
      <c r="F2490" t="s">
        <v>103</v>
      </c>
      <c r="G2490" t="s">
        <v>55</v>
      </c>
      <c r="H2490" t="s">
        <v>31</v>
      </c>
      <c r="I2490" t="str">
        <f>LEFT(H2490,FIND(" (",H2490)-1)</f>
        <v>Staff/Principal</v>
      </c>
      <c r="J2490" t="str">
        <f>MID(H2490,FIND("(",H2490)+1,FIND(")",H2490)-FIND("(",H2490)-1)</f>
        <v>8+ yrs</v>
      </c>
      <c r="L2490">
        <v>200913</v>
      </c>
      <c r="M2490" t="s">
        <v>5100</v>
      </c>
      <c r="N2490" t="s">
        <v>186</v>
      </c>
      <c r="O2490" t="s">
        <v>44</v>
      </c>
      <c r="P2490" s="1">
        <v>45314</v>
      </c>
      <c r="Q2490">
        <v>2394</v>
      </c>
      <c r="R2490">
        <v>65</v>
      </c>
      <c r="S2490" t="s">
        <v>34</v>
      </c>
      <c r="T2490">
        <v>6</v>
      </c>
      <c r="U2490" t="s">
        <v>52</v>
      </c>
      <c r="V2490" t="s">
        <v>24</v>
      </c>
      <c r="W2490" t="s">
        <v>34</v>
      </c>
    </row>
    <row r="2491" spans="1:23" x14ac:dyDescent="0.3">
      <c r="A2491" t="s">
        <v>5101</v>
      </c>
      <c r="B2491" t="s">
        <v>106</v>
      </c>
      <c r="C2491" t="s">
        <v>124</v>
      </c>
      <c r="D2491" t="s">
        <v>63</v>
      </c>
      <c r="E2491" t="s">
        <v>133</v>
      </c>
      <c r="F2491" t="s">
        <v>134</v>
      </c>
      <c r="G2491" t="s">
        <v>18</v>
      </c>
      <c r="H2491" t="s">
        <v>31</v>
      </c>
      <c r="I2491" t="str">
        <f>LEFT(H2491,FIND(" (",H2491)-1)</f>
        <v>Staff/Principal</v>
      </c>
      <c r="J2491" t="str">
        <f>MID(H2491,FIND("(",H2491)+1,FIND(")",H2491)-FIND("(",H2491)-1)</f>
        <v>8+ yrs</v>
      </c>
      <c r="L2491">
        <v>130891</v>
      </c>
      <c r="M2491" t="s">
        <v>5102</v>
      </c>
      <c r="N2491" t="s">
        <v>245</v>
      </c>
      <c r="O2491" t="s">
        <v>22</v>
      </c>
      <c r="P2491" s="1">
        <v>45495</v>
      </c>
      <c r="Q2491">
        <v>556</v>
      </c>
      <c r="R2491">
        <v>3694</v>
      </c>
      <c r="S2491" t="s">
        <v>23</v>
      </c>
      <c r="T2491">
        <v>6</v>
      </c>
      <c r="U2491" t="s">
        <v>83</v>
      </c>
      <c r="V2491" t="s">
        <v>59</v>
      </c>
      <c r="W2491" t="s">
        <v>23</v>
      </c>
    </row>
    <row r="2492" spans="1:23" x14ac:dyDescent="0.3">
      <c r="A2492" t="s">
        <v>5103</v>
      </c>
      <c r="B2492" t="s">
        <v>106</v>
      </c>
      <c r="C2492" t="s">
        <v>37</v>
      </c>
      <c r="D2492" t="s">
        <v>75</v>
      </c>
      <c r="E2492" t="s">
        <v>5134</v>
      </c>
      <c r="F2492" t="s">
        <v>5133</v>
      </c>
      <c r="G2492" t="s">
        <v>55</v>
      </c>
      <c r="H2492" t="s">
        <v>31</v>
      </c>
      <c r="I2492" t="str">
        <f>LEFT(H2492,FIND(" (",H2492)-1)</f>
        <v>Staff/Principal</v>
      </c>
      <c r="J2492" t="str">
        <f>MID(H2492,FIND("(",H2492)+1,FIND(")",H2492)-FIND("(",H2492)-1)</f>
        <v>8+ yrs</v>
      </c>
      <c r="L2492">
        <v>199501</v>
      </c>
      <c r="M2492" t="s">
        <v>5104</v>
      </c>
      <c r="N2492" t="s">
        <v>149</v>
      </c>
      <c r="O2492" t="s">
        <v>22</v>
      </c>
      <c r="P2492" s="1">
        <v>45492</v>
      </c>
      <c r="Q2492">
        <v>310</v>
      </c>
      <c r="R2492">
        <v>3444</v>
      </c>
      <c r="S2492" t="s">
        <v>23</v>
      </c>
      <c r="T2492">
        <v>6</v>
      </c>
      <c r="U2492" t="s">
        <v>52</v>
      </c>
      <c r="V2492" t="s">
        <v>24</v>
      </c>
      <c r="W2492" t="s">
        <v>34</v>
      </c>
    </row>
    <row r="2493" spans="1:23" x14ac:dyDescent="0.3">
      <c r="A2493" t="s">
        <v>5105</v>
      </c>
      <c r="B2493" t="s">
        <v>222</v>
      </c>
      <c r="C2493" t="s">
        <v>167</v>
      </c>
      <c r="D2493" t="s">
        <v>147</v>
      </c>
      <c r="E2493" t="s">
        <v>64</v>
      </c>
      <c r="F2493" t="s">
        <v>65</v>
      </c>
      <c r="G2493" t="s">
        <v>41</v>
      </c>
      <c r="H2493" t="s">
        <v>66</v>
      </c>
      <c r="I2493" t="str">
        <f>LEFT(H2493,FIND(" (",H2493)-1)</f>
        <v>Senior</v>
      </c>
      <c r="J2493" t="str">
        <f>MID(H2493,FIND("(",H2493)+1,FIND(")",H2493)-FIND("(",H2493)-1)</f>
        <v>5-8 yrs</v>
      </c>
      <c r="L2493">
        <v>131377</v>
      </c>
      <c r="M2493" t="s">
        <v>5106</v>
      </c>
      <c r="N2493" t="s">
        <v>21</v>
      </c>
      <c r="O2493" t="s">
        <v>22</v>
      </c>
      <c r="P2493" s="1">
        <v>45501</v>
      </c>
      <c r="Q2493">
        <v>2296</v>
      </c>
      <c r="R2493">
        <v>2651</v>
      </c>
      <c r="S2493" t="s">
        <v>23</v>
      </c>
      <c r="T2493">
        <v>4</v>
      </c>
      <c r="U2493" t="s">
        <v>83</v>
      </c>
      <c r="V2493" t="s">
        <v>24</v>
      </c>
      <c r="W2493" t="s">
        <v>23</v>
      </c>
    </row>
    <row r="2494" spans="1:23" x14ac:dyDescent="0.3">
      <c r="A2494" t="s">
        <v>5107</v>
      </c>
      <c r="B2494" t="s">
        <v>229</v>
      </c>
      <c r="C2494" t="s">
        <v>97</v>
      </c>
      <c r="D2494" t="s">
        <v>38</v>
      </c>
      <c r="E2494" t="s">
        <v>29</v>
      </c>
      <c r="F2494" t="s">
        <v>30</v>
      </c>
      <c r="G2494" t="s">
        <v>55</v>
      </c>
      <c r="H2494" t="s">
        <v>56</v>
      </c>
      <c r="I2494" t="str">
        <f>LEFT(H2494,FIND(" (",H2494)-1)</f>
        <v>Mid</v>
      </c>
      <c r="J2494" t="str">
        <f>MID(H2494,FIND("(",H2494)+1,FIND(")",H2494)-FIND("(",H2494)-1)</f>
        <v>2-5 yrs</v>
      </c>
      <c r="L2494">
        <v>100236</v>
      </c>
      <c r="M2494" t="s">
        <v>5108</v>
      </c>
      <c r="N2494" t="s">
        <v>33</v>
      </c>
      <c r="O2494" t="s">
        <v>22</v>
      </c>
      <c r="P2494" s="1">
        <v>45476</v>
      </c>
      <c r="Q2494">
        <v>1182</v>
      </c>
      <c r="R2494">
        <v>2662</v>
      </c>
      <c r="S2494" t="s">
        <v>23</v>
      </c>
      <c r="T2494">
        <v>2</v>
      </c>
      <c r="U2494" t="s">
        <v>83</v>
      </c>
      <c r="V2494" t="s">
        <v>24</v>
      </c>
      <c r="W2494" t="s">
        <v>34</v>
      </c>
    </row>
    <row r="2495" spans="1:23" x14ac:dyDescent="0.3">
      <c r="A2495" t="s">
        <v>5109</v>
      </c>
      <c r="B2495" t="s">
        <v>85</v>
      </c>
      <c r="C2495" t="s">
        <v>173</v>
      </c>
      <c r="D2495" t="s">
        <v>111</v>
      </c>
      <c r="E2495" t="s">
        <v>5141</v>
      </c>
      <c r="F2495" t="s">
        <v>5133</v>
      </c>
      <c r="G2495" t="s">
        <v>18</v>
      </c>
      <c r="H2495" t="s">
        <v>19</v>
      </c>
      <c r="I2495" t="str">
        <f>LEFT(H2495,FIND(" (",H2495)-1)</f>
        <v>Entry</v>
      </c>
      <c r="J2495" t="str">
        <f>MID(H2495,FIND("(",H2495)+1,FIND(")",H2495)-FIND("(",H2495)-1)</f>
        <v>0-2 yrs</v>
      </c>
      <c r="L2495">
        <v>88189</v>
      </c>
      <c r="M2495" t="s">
        <v>5110</v>
      </c>
      <c r="N2495" t="s">
        <v>149</v>
      </c>
      <c r="O2495" t="s">
        <v>51</v>
      </c>
      <c r="P2495" s="1">
        <v>45576</v>
      </c>
      <c r="Q2495">
        <v>533</v>
      </c>
      <c r="R2495">
        <v>3243</v>
      </c>
      <c r="S2495" t="s">
        <v>99</v>
      </c>
      <c r="T2495">
        <v>0</v>
      </c>
      <c r="U2495" t="s">
        <v>83</v>
      </c>
      <c r="V2495" t="s">
        <v>24</v>
      </c>
      <c r="W2495" t="s">
        <v>34</v>
      </c>
    </row>
    <row r="2496" spans="1:23" x14ac:dyDescent="0.3">
      <c r="A2496" t="s">
        <v>5111</v>
      </c>
      <c r="B2496" t="s">
        <v>143</v>
      </c>
      <c r="C2496" t="s">
        <v>173</v>
      </c>
      <c r="D2496" t="s">
        <v>174</v>
      </c>
      <c r="E2496" t="s">
        <v>102</v>
      </c>
      <c r="F2496" t="s">
        <v>103</v>
      </c>
      <c r="G2496" t="s">
        <v>41</v>
      </c>
      <c r="H2496" t="s">
        <v>66</v>
      </c>
      <c r="I2496" t="str">
        <f>LEFT(H2496,FIND(" (",H2496)-1)</f>
        <v>Senior</v>
      </c>
      <c r="J2496" t="str">
        <f>MID(H2496,FIND("(",H2496)+1,FIND(")",H2496)-FIND("(",H2496)-1)</f>
        <v>5-8 yrs</v>
      </c>
      <c r="L2496">
        <v>116074</v>
      </c>
      <c r="M2496" t="s">
        <v>5112</v>
      </c>
      <c r="N2496" t="s">
        <v>33</v>
      </c>
      <c r="O2496" t="s">
        <v>44</v>
      </c>
      <c r="P2496" s="1">
        <v>45387</v>
      </c>
      <c r="Q2496">
        <v>631</v>
      </c>
      <c r="R2496">
        <v>3326</v>
      </c>
      <c r="S2496" t="s">
        <v>34</v>
      </c>
      <c r="T2496">
        <v>4</v>
      </c>
      <c r="U2496" t="s">
        <v>83</v>
      </c>
      <c r="V2496" t="s">
        <v>46</v>
      </c>
      <c r="W2496" t="s">
        <v>23</v>
      </c>
    </row>
    <row r="2497" spans="1:23" x14ac:dyDescent="0.3">
      <c r="A2497" t="s">
        <v>5113</v>
      </c>
      <c r="B2497" t="s">
        <v>222</v>
      </c>
      <c r="C2497" t="s">
        <v>14</v>
      </c>
      <c r="D2497" t="s">
        <v>125</v>
      </c>
      <c r="E2497" t="s">
        <v>5132</v>
      </c>
      <c r="F2497" t="s">
        <v>5133</v>
      </c>
      <c r="G2497" t="s">
        <v>41</v>
      </c>
      <c r="H2497" t="s">
        <v>66</v>
      </c>
      <c r="I2497" t="str">
        <f>LEFT(H2497,FIND(" (",H2497)-1)</f>
        <v>Senior</v>
      </c>
      <c r="J2497" t="str">
        <f>MID(H2497,FIND("(",H2497)+1,FIND(")",H2497)-FIND("(",H2497)-1)</f>
        <v>5-8 yrs</v>
      </c>
      <c r="L2497">
        <v>171956</v>
      </c>
      <c r="M2497" t="s">
        <v>5114</v>
      </c>
      <c r="N2497" t="s">
        <v>68</v>
      </c>
      <c r="O2497" t="s">
        <v>51</v>
      </c>
      <c r="P2497" s="1">
        <v>45446</v>
      </c>
      <c r="Q2497">
        <v>2416</v>
      </c>
      <c r="R2497">
        <v>3983</v>
      </c>
      <c r="S2497" t="s">
        <v>23</v>
      </c>
      <c r="T2497">
        <v>4</v>
      </c>
      <c r="U2497" t="s">
        <v>83</v>
      </c>
      <c r="V2497" t="s">
        <v>59</v>
      </c>
      <c r="W2497" t="s">
        <v>23</v>
      </c>
    </row>
    <row r="2498" spans="1:23" x14ac:dyDescent="0.3">
      <c r="A2498" t="s">
        <v>5115</v>
      </c>
      <c r="B2498" t="s">
        <v>96</v>
      </c>
      <c r="C2498" t="s">
        <v>86</v>
      </c>
      <c r="D2498" t="s">
        <v>63</v>
      </c>
      <c r="E2498" t="s">
        <v>5140</v>
      </c>
      <c r="F2498" t="s">
        <v>5133</v>
      </c>
      <c r="G2498" t="s">
        <v>55</v>
      </c>
      <c r="H2498" t="s">
        <v>56</v>
      </c>
      <c r="I2498" t="str">
        <f>LEFT(H2498,FIND(" (",H2498)-1)</f>
        <v>Mid</v>
      </c>
      <c r="J2498" t="str">
        <f>MID(H2498,FIND("(",H2498)+1,FIND(")",H2498)-FIND("(",H2498)-1)</f>
        <v>2-5 yrs</v>
      </c>
      <c r="L2498">
        <v>104476</v>
      </c>
      <c r="M2498" t="s">
        <v>5116</v>
      </c>
      <c r="N2498" t="s">
        <v>21</v>
      </c>
      <c r="O2498" t="s">
        <v>22</v>
      </c>
      <c r="P2498" s="1">
        <v>45577</v>
      </c>
      <c r="Q2498">
        <v>1161</v>
      </c>
      <c r="R2498">
        <v>3960</v>
      </c>
      <c r="S2498" t="s">
        <v>23</v>
      </c>
      <c r="T2498">
        <v>2</v>
      </c>
      <c r="U2498" t="s">
        <v>45</v>
      </c>
      <c r="V2498" t="s">
        <v>24</v>
      </c>
      <c r="W2498" t="s">
        <v>23</v>
      </c>
    </row>
    <row r="2499" spans="1:23" x14ac:dyDescent="0.3">
      <c r="A2499" t="s">
        <v>5117</v>
      </c>
      <c r="B2499" t="s">
        <v>85</v>
      </c>
      <c r="C2499" t="s">
        <v>74</v>
      </c>
      <c r="D2499" t="s">
        <v>28</v>
      </c>
      <c r="E2499" t="s">
        <v>5132</v>
      </c>
      <c r="F2499" t="s">
        <v>5133</v>
      </c>
      <c r="G2499" t="s">
        <v>18</v>
      </c>
      <c r="H2499" t="s">
        <v>56</v>
      </c>
      <c r="I2499" t="str">
        <f>LEFT(H2499,FIND(" (",H2499)-1)</f>
        <v>Mid</v>
      </c>
      <c r="J2499" t="str">
        <f>MID(H2499,FIND("(",H2499)+1,FIND(")",H2499)-FIND("(",H2499)-1)</f>
        <v>2-5 yrs</v>
      </c>
      <c r="L2499">
        <v>104460</v>
      </c>
      <c r="M2499" t="s">
        <v>5118</v>
      </c>
      <c r="N2499" t="s">
        <v>33</v>
      </c>
      <c r="O2499" t="s">
        <v>51</v>
      </c>
      <c r="P2499" s="1">
        <v>45711</v>
      </c>
      <c r="Q2499">
        <v>354</v>
      </c>
      <c r="R2499">
        <v>15</v>
      </c>
      <c r="S2499" t="s">
        <v>34</v>
      </c>
      <c r="T2499">
        <v>2</v>
      </c>
      <c r="U2499" t="s">
        <v>83</v>
      </c>
      <c r="V2499" t="s">
        <v>24</v>
      </c>
      <c r="W2499" t="s">
        <v>23</v>
      </c>
    </row>
    <row r="2500" spans="1:23" x14ac:dyDescent="0.3">
      <c r="A2500" t="s">
        <v>5119</v>
      </c>
      <c r="B2500" t="s">
        <v>137</v>
      </c>
      <c r="C2500" t="s">
        <v>101</v>
      </c>
      <c r="D2500" t="s">
        <v>111</v>
      </c>
      <c r="E2500" t="s">
        <v>16</v>
      </c>
      <c r="F2500" t="s">
        <v>17</v>
      </c>
      <c r="G2500" t="s">
        <v>41</v>
      </c>
      <c r="H2500" t="s">
        <v>56</v>
      </c>
      <c r="I2500" t="str">
        <f>LEFT(H2500,FIND(" (",H2500)-1)</f>
        <v>Mid</v>
      </c>
      <c r="J2500" t="str">
        <f>MID(H2500,FIND("(",H2500)+1,FIND(")",H2500)-FIND("(",H2500)-1)</f>
        <v>2-5 yrs</v>
      </c>
      <c r="L2500">
        <v>125649</v>
      </c>
      <c r="M2500" t="s">
        <v>5120</v>
      </c>
      <c r="N2500" t="s">
        <v>43</v>
      </c>
      <c r="O2500" t="s">
        <v>51</v>
      </c>
      <c r="P2500" s="1">
        <v>45442</v>
      </c>
      <c r="Q2500">
        <v>1910</v>
      </c>
      <c r="R2500">
        <v>3681</v>
      </c>
      <c r="S2500" t="s">
        <v>23</v>
      </c>
      <c r="T2500">
        <v>2</v>
      </c>
      <c r="U2500" t="s">
        <v>52</v>
      </c>
      <c r="V2500" t="s">
        <v>24</v>
      </c>
      <c r="W2500" t="s">
        <v>34</v>
      </c>
    </row>
    <row r="2501" spans="1:23" x14ac:dyDescent="0.3">
      <c r="A2501" t="s">
        <v>5121</v>
      </c>
      <c r="B2501" t="s">
        <v>329</v>
      </c>
      <c r="C2501" t="s">
        <v>54</v>
      </c>
      <c r="D2501" t="s">
        <v>38</v>
      </c>
      <c r="E2501" t="s">
        <v>216</v>
      </c>
      <c r="F2501" t="s">
        <v>217</v>
      </c>
      <c r="G2501" t="s">
        <v>55</v>
      </c>
      <c r="H2501" t="s">
        <v>19</v>
      </c>
      <c r="I2501" t="str">
        <f>LEFT(H2501,FIND(" (",H2501)-1)</f>
        <v>Entry</v>
      </c>
      <c r="J2501" t="str">
        <f>MID(H2501,FIND("(",H2501)+1,FIND(")",H2501)-FIND("(",H2501)-1)</f>
        <v>0-2 yrs</v>
      </c>
      <c r="L2501">
        <v>74284</v>
      </c>
      <c r="M2501" t="s">
        <v>5122</v>
      </c>
      <c r="N2501" t="s">
        <v>89</v>
      </c>
      <c r="O2501" t="s">
        <v>79</v>
      </c>
      <c r="P2501" s="1">
        <v>45706</v>
      </c>
      <c r="Q2501">
        <v>522</v>
      </c>
      <c r="R2501">
        <v>3876</v>
      </c>
      <c r="S2501" t="s">
        <v>23</v>
      </c>
      <c r="T2501">
        <v>0</v>
      </c>
      <c r="U2501" t="s">
        <v>52</v>
      </c>
      <c r="V2501" t="s">
        <v>24</v>
      </c>
      <c r="W2501" t="s">
        <v>34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AI &amp; LLM Jobs 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Abhisekha Gautam</cp:lastModifiedBy>
  <dcterms:created xsi:type="dcterms:W3CDTF">2026-10-02T14:49:32Z</dcterms:created>
  <dcterms:modified xsi:type="dcterms:W3CDTF">2026-10-04T06:32:44Z</dcterms:modified>
</cp:coreProperties>
</file>