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F67E657-9740-4D06-9D8A-CB5CE91540C0}" xr6:coauthVersionLast="47" xr6:coauthVersionMax="47" xr10:uidLastSave="{00000000-0000-0000-0000-000000000000}"/>
  <bookViews>
    <workbookView xWindow="-108" yWindow="-108" windowWidth="23256" windowHeight="13176" activeTab="2" xr2:uid="{1DCA858C-4733-45EC-947B-61056837BEF0}"/>
  </bookViews>
  <sheets>
    <sheet name="Cleaned_Global_AI_LLM_Jobs" sheetId="1" r:id="rId1"/>
    <sheet name="Analysis" sheetId="3" r:id="rId2"/>
    <sheet name="Dashboard" sheetId="5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5" l="1"/>
  <c r="B12" i="3"/>
  <c r="B13" i="3"/>
  <c r="B14" i="3"/>
  <c r="B15" i="3"/>
  <c r="B16" i="3"/>
  <c r="B17" i="3"/>
  <c r="B18" i="3"/>
  <c r="B19" i="3"/>
  <c r="B20" i="3"/>
  <c r="B21" i="3"/>
  <c r="B11" i="3"/>
  <c r="H21" i="3"/>
  <c r="H11" i="3"/>
  <c r="H8" i="3"/>
  <c r="H16" i="3"/>
  <c r="H19" i="3"/>
  <c r="H6" i="3"/>
  <c r="H15" i="3"/>
  <c r="H5" i="3"/>
  <c r="H18" i="3"/>
  <c r="H14" i="3"/>
  <c r="H13" i="3"/>
  <c r="H9" i="3"/>
  <c r="H3" i="3"/>
  <c r="H22" i="3"/>
  <c r="H12" i="3"/>
  <c r="H10" i="3"/>
  <c r="H17" i="3"/>
  <c r="H7" i="3"/>
  <c r="H4" i="3"/>
  <c r="H20" i="3"/>
  <c r="E11" i="3"/>
  <c r="E19" i="3"/>
  <c r="E15" i="3"/>
  <c r="E13" i="3"/>
  <c r="E14" i="3"/>
  <c r="E12" i="3"/>
  <c r="E17" i="3"/>
  <c r="E18" i="3"/>
  <c r="E16" i="3"/>
  <c r="E20" i="3"/>
  <c r="E4" i="3"/>
  <c r="E5" i="3"/>
  <c r="E3" i="3"/>
  <c r="B8" i="3"/>
  <c r="B7" i="3"/>
  <c r="K7" i="5" s="1"/>
  <c r="B6" i="3"/>
  <c r="M7" i="5" s="1"/>
  <c r="B5" i="3"/>
  <c r="B4" i="3"/>
  <c r="E7" i="5" s="1"/>
  <c r="B3" i="3"/>
  <c r="B7" i="5" s="1"/>
</calcChain>
</file>

<file path=xl/sharedStrings.xml><?xml version="1.0" encoding="utf-8"?>
<sst xmlns="http://schemas.openxmlformats.org/spreadsheetml/2006/main" count="40145" uniqueCount="5166">
  <si>
    <t>salary_usd_annual</t>
  </si>
  <si>
    <t>required_skills</t>
  </si>
  <si>
    <t>primary_llm_mentioned</t>
  </si>
  <si>
    <t>education_required</t>
  </si>
  <si>
    <t>date_posted</t>
  </si>
  <si>
    <t>applies_count</t>
  </si>
  <si>
    <t>visa_sponsorship</t>
  </si>
  <si>
    <t>years_experience_min</t>
  </si>
  <si>
    <t>company_size</t>
  </si>
  <si>
    <t>is_contract</t>
  </si>
  <si>
    <t>has_equity</t>
  </si>
  <si>
    <t>AIJOB00001</t>
  </si>
  <si>
    <t>Prompt Engineer</t>
  </si>
  <si>
    <t>Palantir</t>
  </si>
  <si>
    <t>Amsterdam, Netherlands</t>
  </si>
  <si>
    <t>Netherlands</t>
  </si>
  <si>
    <t>Remote</t>
  </si>
  <si>
    <t>dbt, Weights &amp; Biases, JAX</t>
  </si>
  <si>
    <t>Grok</t>
  </si>
  <si>
    <t>Bachelor's</t>
  </si>
  <si>
    <t>No</t>
  </si>
  <si>
    <t>Full-time</t>
  </si>
  <si>
    <t>AIJOB00002</t>
  </si>
  <si>
    <t>RAG Engineer</t>
  </si>
  <si>
    <t>Mistral AI</t>
  </si>
  <si>
    <t>Automotive</t>
  </si>
  <si>
    <t>Paris, France</t>
  </si>
  <si>
    <t>France</t>
  </si>
  <si>
    <t>FastAPI, Rust, Hugging Face Transformers</t>
  </si>
  <si>
    <t>Yes</t>
  </si>
  <si>
    <t>AIJOB00003</t>
  </si>
  <si>
    <t>Computer Vision Engineer</t>
  </si>
  <si>
    <t>Adobe Firefly</t>
  </si>
  <si>
    <t>Retail</t>
  </si>
  <si>
    <t>Bangalore, India</t>
  </si>
  <si>
    <t>India</t>
  </si>
  <si>
    <t>Hybrid</t>
  </si>
  <si>
    <t>Weaviate, AWS SageMaker, C++</t>
  </si>
  <si>
    <t>Falcon</t>
  </si>
  <si>
    <t>PhD</t>
  </si>
  <si>
    <t>201-1000</t>
  </si>
  <si>
    <t>Part-time</t>
  </si>
  <si>
    <t>AIJOB00004</t>
  </si>
  <si>
    <t>Baidu</t>
  </si>
  <si>
    <t>Finance</t>
  </si>
  <si>
    <t>Hugging Face Transformers, Azure ML, OpenAI API, dbt, Docker</t>
  </si>
  <si>
    <t>Master's</t>
  </si>
  <si>
    <t>51-200</t>
  </si>
  <si>
    <t>AIJOB00005</t>
  </si>
  <si>
    <t>Scale AI</t>
  </si>
  <si>
    <t>On-site</t>
  </si>
  <si>
    <t>Kubernetes, C++, PyTorch</t>
  </si>
  <si>
    <t>1001-5000</t>
  </si>
  <si>
    <t>Contract</t>
  </si>
  <si>
    <t>AIJOB00006</t>
  </si>
  <si>
    <t>AI Research Scientist</t>
  </si>
  <si>
    <t>IBM Watson</t>
  </si>
  <si>
    <t>Education</t>
  </si>
  <si>
    <t>Berlin, Germany</t>
  </si>
  <si>
    <t>Germany</t>
  </si>
  <si>
    <t>Docker, Weights &amp; Biases, ChromaDB, Fine-tuning, C++, RAG, Azure ML</t>
  </si>
  <si>
    <t>Gemini</t>
  </si>
  <si>
    <t>AIJOB00007</t>
  </si>
  <si>
    <t>LLM Engineer</t>
  </si>
  <si>
    <t>Accenture AI</t>
  </si>
  <si>
    <t>Docker, Weaviate, Python, dbt, Weights &amp; Biases, LangChain, Rust</t>
  </si>
  <si>
    <t>AIJOB00008</t>
  </si>
  <si>
    <t>Salesforce Einstein</t>
  </si>
  <si>
    <t>Energy</t>
  </si>
  <si>
    <t>Dublin, Ireland</t>
  </si>
  <si>
    <t>Ireland</t>
  </si>
  <si>
    <t>C++, Spark, Pinecone, SQL, OpenAI API</t>
  </si>
  <si>
    <t>Bootcamp/Self-taught</t>
  </si>
  <si>
    <t>AIJOB00009</t>
  </si>
  <si>
    <t>NLP Engineer</t>
  </si>
  <si>
    <t>TensorFlow, Weights &amp; Biases, Vector Databases</t>
  </si>
  <si>
    <t>5000+</t>
  </si>
  <si>
    <t>AIJOB00010</t>
  </si>
  <si>
    <t>AI Platform Engineer</t>
  </si>
  <si>
    <t>Morgan Stanley AI</t>
  </si>
  <si>
    <t>Singapore</t>
  </si>
  <si>
    <t>MLflow, AWS SageMaker, RAG, dbt</t>
  </si>
  <si>
    <t>Command R</t>
  </si>
  <si>
    <t>AIJOB00011</t>
  </si>
  <si>
    <t>GenAI Developer</t>
  </si>
  <si>
    <t>Nvidia</t>
  </si>
  <si>
    <t>TensorFlow, JAX, PyTorch, CUDA</t>
  </si>
  <si>
    <t>Phi</t>
  </si>
  <si>
    <t>AIJOB00012</t>
  </si>
  <si>
    <t>AI Infrastructure Engineer</t>
  </si>
  <si>
    <t>ByteDance</t>
  </si>
  <si>
    <t>Azure ML, Fine-tuning, CUDA, RLHF, Weights &amp; Biases, PyTorch</t>
  </si>
  <si>
    <t>Maybe</t>
  </si>
  <si>
    <t>AIJOB00013</t>
  </si>
  <si>
    <t>Meta AI</t>
  </si>
  <si>
    <t>Toronto, Canada</t>
  </si>
  <si>
    <t>Canada</t>
  </si>
  <si>
    <t>RLHF, Rust, CUDA</t>
  </si>
  <si>
    <t>AIJOB00014</t>
  </si>
  <si>
    <t>MLOps Engineer</t>
  </si>
  <si>
    <t>SAP AI</t>
  </si>
  <si>
    <t>Docker, Rust, CUDA, RLHF, AWS SageMaker, Fine-tuning</t>
  </si>
  <si>
    <t>AIJOB00015</t>
  </si>
  <si>
    <t>Anthropic</t>
  </si>
  <si>
    <t>Defense</t>
  </si>
  <si>
    <t>Pinecone, CUDA, JAX, Hugging Face Transformers, PyTorch, C++</t>
  </si>
  <si>
    <t>AIJOB00016</t>
  </si>
  <si>
    <t>GCP Vertex AI, Docker, OpenAI API, dbt, MLflow, JAX, Kubernetes</t>
  </si>
  <si>
    <t>AIJOB00017</t>
  </si>
  <si>
    <t>Goldman Sachs AI</t>
  </si>
  <si>
    <t>JAX, Kubernetes, Azure ML</t>
  </si>
  <si>
    <t>AIJOB00018</t>
  </si>
  <si>
    <t>LlamaIndex, Docker, AWS SageMaker, SQL, OpenAI API, MLflow, GCP Vertex AI</t>
  </si>
  <si>
    <t>Mistral</t>
  </si>
  <si>
    <t>AIJOB00019</t>
  </si>
  <si>
    <t>Weaviate, Python, LangChain, TensorFlow, MLflow, LlamaIndex</t>
  </si>
  <si>
    <t>AIJOB00020</t>
  </si>
  <si>
    <t>Google DeepMind</t>
  </si>
  <si>
    <t>Healthcare</t>
  </si>
  <si>
    <t>SQL, Weights &amp; Biases, LlamaIndex, Kubernetes, Hugging Face Transformers, FastAPI</t>
  </si>
  <si>
    <t>AIJOB00021</t>
  </si>
  <si>
    <t>JPMorgan AI</t>
  </si>
  <si>
    <t>C++, RLHF, Azure ML, AWS SageMaker</t>
  </si>
  <si>
    <t>AIJOB00022</t>
  </si>
  <si>
    <t>Foundation Model Engineer</t>
  </si>
  <si>
    <t>OpenAI</t>
  </si>
  <si>
    <t>Stockholm, Sweden</t>
  </si>
  <si>
    <t>Sweden</t>
  </si>
  <si>
    <t>JAX, Docker, Hugging Face Transformers</t>
  </si>
  <si>
    <t>AIJOB00023</t>
  </si>
  <si>
    <t>Deep Learning Engineer</t>
  </si>
  <si>
    <t>Pinecone, Rust, Weaviate</t>
  </si>
  <si>
    <t>AIJOB00024</t>
  </si>
  <si>
    <t>RAG, MLflow, AWS SageMaker, Weaviate, LlamaIndex</t>
  </si>
  <si>
    <t>BLOOM</t>
  </si>
  <si>
    <t>AIJOB00025</t>
  </si>
  <si>
    <t>AI Safety Researcher</t>
  </si>
  <si>
    <t>Pinecone, Vector Databases, Rust, JAX</t>
  </si>
  <si>
    <t>AIJOB00026</t>
  </si>
  <si>
    <t>DataBricks</t>
  </si>
  <si>
    <t>Media</t>
  </si>
  <si>
    <t>PyTorch, Kubernetes, Vector Databases</t>
  </si>
  <si>
    <t>Claude</t>
  </si>
  <si>
    <t>AIJOB00027</t>
  </si>
  <si>
    <t>AI Engineer</t>
  </si>
  <si>
    <t>RLHF, PyTorch, Weaviate, Kubernetes, LangChain, JAX, LlamaIndex</t>
  </si>
  <si>
    <t>AIJOB00028</t>
  </si>
  <si>
    <t>RLHF, Docker, FastAPI, Kubernetes, Spark, CUDA</t>
  </si>
  <si>
    <t>AIJOB00029</t>
  </si>
  <si>
    <t>MLflow, OpenAI API, TensorFlow, Fine-tuning</t>
  </si>
  <si>
    <t>AIJOB00030</t>
  </si>
  <si>
    <t>Deloitte AI</t>
  </si>
  <si>
    <t>Tel Aviv, Israel</t>
  </si>
  <si>
    <t>Israel</t>
  </si>
  <si>
    <t>FastAPI, RAG, CUDA, JAX, C++</t>
  </si>
  <si>
    <t>AIJOB00031</t>
  </si>
  <si>
    <t>Python, RAG, ChromaDB, C++, dbt, JAX, TensorFlow</t>
  </si>
  <si>
    <t>AIJOB00032</t>
  </si>
  <si>
    <t>Python, Weights &amp; Biases, Weaviate, PyTorch, Azure ML, Kubernetes</t>
  </si>
  <si>
    <t>AIJOB00033</t>
  </si>
  <si>
    <t>Amazon AWS AI</t>
  </si>
  <si>
    <t>Hugging Face Transformers, SQL, Weights &amp; Biases, MLflow, LangChain</t>
  </si>
  <si>
    <t>AIJOB00034</t>
  </si>
  <si>
    <t>Rust, LangChain, JAX, ChromaDB, PyTorch, Azure ML, Weaviate</t>
  </si>
  <si>
    <t>AIJOB00035</t>
  </si>
  <si>
    <t>Reinforcement Learning Engineer</t>
  </si>
  <si>
    <t>Hugging Face</t>
  </si>
  <si>
    <t>Government</t>
  </si>
  <si>
    <t>SQL, Rust, Weaviate, FastAPI, Vector Databases</t>
  </si>
  <si>
    <t>AIJOB00036</t>
  </si>
  <si>
    <t>Vector Databases, OpenAI API, Azure ML, Rust</t>
  </si>
  <si>
    <t>AIJOB00037</t>
  </si>
  <si>
    <t>Cohere</t>
  </si>
  <si>
    <t>Rust, Python, TensorFlow, AWS SageMaker, Kubernetes, RAG</t>
  </si>
  <si>
    <t>AIJOB00038</t>
  </si>
  <si>
    <t>Samsung AI</t>
  </si>
  <si>
    <t>GCP Vertex AI, LangChain, Weights &amp; Biases, Weaviate</t>
  </si>
  <si>
    <t>AIJOB00039</t>
  </si>
  <si>
    <t>MLflow, Weaviate, LlamaIndex</t>
  </si>
  <si>
    <t>GPT-4</t>
  </si>
  <si>
    <t>AIJOB00040</t>
  </si>
  <si>
    <t>Docker, CUDA, Vector Databases</t>
  </si>
  <si>
    <t>AIJOB00041</t>
  </si>
  <si>
    <t>Rust, SQL, Kubernetes, FastAPI, Pinecone, RAG, RLHF</t>
  </si>
  <si>
    <t>AIJOB00042</t>
  </si>
  <si>
    <t>Snowflake</t>
  </si>
  <si>
    <t>Hugging Face Transformers, Weaviate, TensorFlow, Python</t>
  </si>
  <si>
    <t>AIJOB00043</t>
  </si>
  <si>
    <t>Tesla AI</t>
  </si>
  <si>
    <t>Docker, C++, LlamaIndex, TensorFlow</t>
  </si>
  <si>
    <t>AIJOB00044</t>
  </si>
  <si>
    <t>Weights &amp; Biases, GCP Vertex AI, SQL, Docker, Python, TensorFlow</t>
  </si>
  <si>
    <t>AIJOB00045</t>
  </si>
  <si>
    <t>Zurich, Switzerland</t>
  </si>
  <si>
    <t>Switzerland</t>
  </si>
  <si>
    <t>TensorFlow, Vector Databases, Azure ML, Fine-tuning, GCP Vertex AI, FastAPI</t>
  </si>
  <si>
    <t>AIJOB00046</t>
  </si>
  <si>
    <t>Apple ML</t>
  </si>
  <si>
    <t>CUDA, Pinecone, C++, Python, dbt, Weaviate</t>
  </si>
  <si>
    <t>AIJOB00047</t>
  </si>
  <si>
    <t>Rust, Kubernetes, MLflow, Hugging Face Transformers, AWS SageMaker, Weaviate, Python</t>
  </si>
  <si>
    <t>AIJOB00048</t>
  </si>
  <si>
    <t>Microsoft AI</t>
  </si>
  <si>
    <t>Weaviate, LlamaIndex, RAG, OpenAI API, SQL, Pinecone</t>
  </si>
  <si>
    <t>AIJOB00049</t>
  </si>
  <si>
    <t>GCP Vertex AI, Weaviate, FastAPI, RAG, RLHF</t>
  </si>
  <si>
    <t>AIJOB00050</t>
  </si>
  <si>
    <t>Pinecone, ChromaDB, GCP Vertex AI, CUDA</t>
  </si>
  <si>
    <t>AIJOB00051</t>
  </si>
  <si>
    <t>Tokyo, Japan</t>
  </si>
  <si>
    <t>Japan</t>
  </si>
  <si>
    <t>CUDA, GCP Vertex AI, dbt</t>
  </si>
  <si>
    <t>AIJOB00052</t>
  </si>
  <si>
    <t>RLHF, Hugging Face Transformers, MLflow</t>
  </si>
  <si>
    <t>AIJOB00053</t>
  </si>
  <si>
    <t>Data Scientist (AI/ML)</t>
  </si>
  <si>
    <t>SQL, dbt, Kubernetes, Vector Databases, ChromaDB, LlamaIndex</t>
  </si>
  <si>
    <t>AIJOB00054</t>
  </si>
  <si>
    <t>AI Solutions Architect</t>
  </si>
  <si>
    <t>Stability AI</t>
  </si>
  <si>
    <t>OpenAI API, RAG, CUDA, Vector Databases, LangChain</t>
  </si>
  <si>
    <t>AIJOB00055</t>
  </si>
  <si>
    <t>ML Engineer</t>
  </si>
  <si>
    <t>Sydney, Australia</t>
  </si>
  <si>
    <t>Australia</t>
  </si>
  <si>
    <t>Rust, Azure ML, Kubernetes, Spark, OpenAI API, SQL, Docker</t>
  </si>
  <si>
    <t>AIJOB00056</t>
  </si>
  <si>
    <t>LlamaIndex, Rust, Weaviate, JAX</t>
  </si>
  <si>
    <t>AIJOB00057</t>
  </si>
  <si>
    <t>AI Product Manager</t>
  </si>
  <si>
    <t>CUDA, dbt, Weights &amp; Biases, RAG</t>
  </si>
  <si>
    <t>AIJOB00058</t>
  </si>
  <si>
    <t>Uber AI</t>
  </si>
  <si>
    <t>Python, SQL, Weaviate, GCP Vertex AI, CUDA, Kubernetes</t>
  </si>
  <si>
    <t>AIJOB00059</t>
  </si>
  <si>
    <t>dbt, Weights &amp; Biases, MLflow, Weaviate, Fine-tuning</t>
  </si>
  <si>
    <t>AIJOB00060</t>
  </si>
  <si>
    <t>Weaviate, JAX, Spark, Azure ML, PyTorch</t>
  </si>
  <si>
    <t>Llama</t>
  </si>
  <si>
    <t>AIJOB00061</t>
  </si>
  <si>
    <t>ChromaDB, OpenAI API, C++, CUDA</t>
  </si>
  <si>
    <t>AIJOB00062</t>
  </si>
  <si>
    <t>GCP Vertex AI, Python, Hugging Face Transformers, Docker, PyTorch, LlamaIndex, Fine-tuning</t>
  </si>
  <si>
    <t>AIJOB00063</t>
  </si>
  <si>
    <t>Vector Databases, CUDA, RAG</t>
  </si>
  <si>
    <t>AIJOB00064</t>
  </si>
  <si>
    <t>RLHF, Pinecone, SQL, Fine-tuning, LangChain</t>
  </si>
  <si>
    <t>AIJOB00065</t>
  </si>
  <si>
    <t>Azure ML, LlamaIndex, dbt, Vector Databases, TensorFlow</t>
  </si>
  <si>
    <t>AIJOB00066</t>
  </si>
  <si>
    <t>CUDA, Weights &amp; Biases, PyTorch, AWS SageMaker, SQL, Rust</t>
  </si>
  <si>
    <t>AIJOB00067</t>
  </si>
  <si>
    <t>SQL, dbt, Spark, Weaviate, Python, JAX, CUDA</t>
  </si>
  <si>
    <t>AIJOB00068</t>
  </si>
  <si>
    <t>Weights &amp; Biases, Pinecone, OpenAI API</t>
  </si>
  <si>
    <t>AIJOB00069</t>
  </si>
  <si>
    <t>Vector Databases, SQL, RLHF, Fine-tuning, Docker, OpenAI API</t>
  </si>
  <si>
    <t>AIJOB00070</t>
  </si>
  <si>
    <t>OpenAI API, FastAPI, LlamaIndex, Docker, AWS SageMaker</t>
  </si>
  <si>
    <t>AIJOB00071</t>
  </si>
  <si>
    <t>Python, RLHF, TensorFlow, GCP Vertex AI, ChromaDB, Fine-tuning</t>
  </si>
  <si>
    <t>AIJOB00072</t>
  </si>
  <si>
    <t>ChromaDB, RAG, Pinecone, TensorFlow, CUDA, AWS SageMaker</t>
  </si>
  <si>
    <t>AIJOB00073</t>
  </si>
  <si>
    <t>OpenAI API, Hugging Face Transformers, SQL, LlamaIndex, FastAPI</t>
  </si>
  <si>
    <t>AIJOB00074</t>
  </si>
  <si>
    <t>RLHF, Spark, AWS SageMaker, Rust, Docker, ChromaDB</t>
  </si>
  <si>
    <t>AIJOB00075</t>
  </si>
  <si>
    <t>RLHF, Rust, ChromaDB</t>
  </si>
  <si>
    <t>AIJOB00076</t>
  </si>
  <si>
    <t>Pinecone, JAX, SQL, Hugging Face Transformers, Azure ML, FastAPI</t>
  </si>
  <si>
    <t>AIJOB00077</t>
  </si>
  <si>
    <t>CUDA, LlamaIndex, GCP Vertex AI, TensorFlow, ChromaDB, dbt, JAX</t>
  </si>
  <si>
    <t>AIJOB00078</t>
  </si>
  <si>
    <t>AWS SageMaker, Hugging Face Transformers, OpenAI API, GCP Vertex AI, FastAPI</t>
  </si>
  <si>
    <t>AIJOB00079</t>
  </si>
  <si>
    <t>C++, MLflow, FastAPI, SQL</t>
  </si>
  <si>
    <t>AIJOB00080</t>
  </si>
  <si>
    <t>JAX, C++, OpenAI API, Azure ML, dbt, ChromaDB</t>
  </si>
  <si>
    <t>AIJOB00081</t>
  </si>
  <si>
    <t>Weaviate, LangChain, MLflow, CUDA, Pinecone</t>
  </si>
  <si>
    <t>AIJOB00082</t>
  </si>
  <si>
    <t>RAG, Pinecone, Azure ML</t>
  </si>
  <si>
    <t>AIJOB00083</t>
  </si>
  <si>
    <t>SQL, Python, TensorFlow, CUDA, Docker, OpenAI API</t>
  </si>
  <si>
    <t>AIJOB00084</t>
  </si>
  <si>
    <t>Weaviate, Python, Spark, Pinecone, ChromaDB, Kubernetes, MLflow</t>
  </si>
  <si>
    <t>AIJOB00085</t>
  </si>
  <si>
    <t>Azure ML, Docker, Weights &amp; Biases, Python, JAX, TensorFlow</t>
  </si>
  <si>
    <t>AIJOB00086</t>
  </si>
  <si>
    <t>PyTorch, AWS SageMaker, OpenAI API, JAX, C++, Rust</t>
  </si>
  <si>
    <t>AIJOB00087</t>
  </si>
  <si>
    <t>JAX, RAG, Weights &amp; Biases, RLHF, CUDA, GCP Vertex AI</t>
  </si>
  <si>
    <t>AIJOB00088</t>
  </si>
  <si>
    <t>AWS SageMaker, RLHF, SQL, MLflow, Fine-tuning</t>
  </si>
  <si>
    <t>AIJOB00089</t>
  </si>
  <si>
    <t>Python, LlamaIndex, CUDA, SQL</t>
  </si>
  <si>
    <t>AIJOB00090</t>
  </si>
  <si>
    <t>FastAPI, TensorFlow, ChromaDB, LlamaIndex, Pinecone, Azure ML</t>
  </si>
  <si>
    <t>AIJOB00091</t>
  </si>
  <si>
    <t>LangChain, LlamaIndex, CUDA, TensorFlow</t>
  </si>
  <si>
    <t>AIJOB00092</t>
  </si>
  <si>
    <t>Kubernetes, Rust, Vector Databases, Python</t>
  </si>
  <si>
    <t>AIJOB00093</t>
  </si>
  <si>
    <t>GCP Vertex AI, Spark, TensorFlow, RLHF</t>
  </si>
  <si>
    <t>AIJOB00094</t>
  </si>
  <si>
    <t>Azure ML, Pinecone, JAX, AWS SageMaker</t>
  </si>
  <si>
    <t>AIJOB00095</t>
  </si>
  <si>
    <t>GCP Vertex AI, C++, ChromaDB, PyTorch, Python, TensorFlow, Rust</t>
  </si>
  <si>
    <t>AIJOB00096</t>
  </si>
  <si>
    <t>AWS SageMaker, RLHF, TensorFlow, MLflow, PyTorch, Hugging Face Transformers</t>
  </si>
  <si>
    <t>AIJOB00097</t>
  </si>
  <si>
    <t>Kubernetes, RLHF, LangChain, Docker, LlamaIndex</t>
  </si>
  <si>
    <t>AIJOB00098</t>
  </si>
  <si>
    <t>Vector Databases, Python, TensorFlow, RAG, Pinecone</t>
  </si>
  <si>
    <t>AIJOB00099</t>
  </si>
  <si>
    <t>FastAPI, RAG, Azure ML, PyTorch, ChromaDB</t>
  </si>
  <si>
    <t>AIJOB00100</t>
  </si>
  <si>
    <t>Rust, GCP Vertex AI, Weaviate, Azure ML, FastAPI</t>
  </si>
  <si>
    <t>AIJOB00101</t>
  </si>
  <si>
    <t>RAG, SQL, Weights &amp; Biases, C++</t>
  </si>
  <si>
    <t>AIJOB00102</t>
  </si>
  <si>
    <t>AI Ethics Researcher</t>
  </si>
  <si>
    <t>ChromaDB, Kubernetes, Weights &amp; Biases, PyTorch, JAX, Vector Databases, Hugging Face Transformers</t>
  </si>
  <si>
    <t>AIJOB00103</t>
  </si>
  <si>
    <t>FastAPI, SQL, Vector Databases, Weights &amp; Biases, Rust, PyTorch, MLflow</t>
  </si>
  <si>
    <t>AIJOB00104</t>
  </si>
  <si>
    <t>Docker, Weaviate, AWS SageMaker, Kubernetes</t>
  </si>
  <si>
    <t>AIJOB00105</t>
  </si>
  <si>
    <t>JAX, RAG, C++, Azure ML, FastAPI, LlamaIndex</t>
  </si>
  <si>
    <t>AIJOB00106</t>
  </si>
  <si>
    <t>Kubernetes, JAX, PyTorch, dbt, Pinecone, CUDA, Spark</t>
  </si>
  <si>
    <t>AIJOB00107</t>
  </si>
  <si>
    <t>GCP Vertex AI, AWS SageMaker, Spark, PyTorch, FastAPI</t>
  </si>
  <si>
    <t>AIJOB00108</t>
  </si>
  <si>
    <t>JAX, PyTorch, Python, AWS SageMaker, ChromaDB</t>
  </si>
  <si>
    <t>AIJOB00109</t>
  </si>
  <si>
    <t>MLflow, Hugging Face Transformers, Python, Weights &amp; Biases, GCP Vertex AI</t>
  </si>
  <si>
    <t>AIJOB00110</t>
  </si>
  <si>
    <t>Docker, RAG, Kubernetes</t>
  </si>
  <si>
    <t>AIJOB00111</t>
  </si>
  <si>
    <t>MLflow, LangChain, Spark, AWS SageMaker, Azure ML</t>
  </si>
  <si>
    <t>AIJOB00112</t>
  </si>
  <si>
    <t>RLHF, Pinecone, MLflow, Azure ML, TensorFlow, ChromaDB, LangChain</t>
  </si>
  <si>
    <t>AIJOB00113</t>
  </si>
  <si>
    <t>RLHF, LlamaIndex, Pinecone</t>
  </si>
  <si>
    <t>AIJOB00114</t>
  </si>
  <si>
    <t>Weaviate, PyTorch, JAX</t>
  </si>
  <si>
    <t>AIJOB00115</t>
  </si>
  <si>
    <t>LlamaIndex, Spark, Azure ML, LangChain, Hugging Face Transformers, Weaviate, RAG</t>
  </si>
  <si>
    <t>AIJOB00116</t>
  </si>
  <si>
    <t>JAX, Weights &amp; Biases, FastAPI, LangChain</t>
  </si>
  <si>
    <t>AIJOB00117</t>
  </si>
  <si>
    <t>OpenAI API, FastAPI, CUDA, PyTorch, LlamaIndex, Pinecone, AWS SageMaker</t>
  </si>
  <si>
    <t>AIJOB00118</t>
  </si>
  <si>
    <t>Spark, dbt, Fine-tuning, Weaviate</t>
  </si>
  <si>
    <t>AIJOB00119</t>
  </si>
  <si>
    <t>Rust, RLHF, PyTorch, Weaviate</t>
  </si>
  <si>
    <t>AIJOB00120</t>
  </si>
  <si>
    <t>SQL, PyTorch, TensorFlow, OpenAI API, FastAPI, ChromaDB, dbt</t>
  </si>
  <si>
    <t>AIJOB00121</t>
  </si>
  <si>
    <t>FastAPI, AWS SageMaker, RAG, RLHF, Weaviate</t>
  </si>
  <si>
    <t>AIJOB00122</t>
  </si>
  <si>
    <t>Weights &amp; Biases, LlamaIndex, Python, Docker</t>
  </si>
  <si>
    <t>AIJOB00123</t>
  </si>
  <si>
    <t>RLHF, Hugging Face Transformers, Weights &amp; Biases, Rust, Azure ML, CUDA</t>
  </si>
  <si>
    <t>AIJOB00124</t>
  </si>
  <si>
    <t>MLflow, LlamaIndex, Python</t>
  </si>
  <si>
    <t>AIJOB00125</t>
  </si>
  <si>
    <t>C++, MLflow, dbt, Fine-tuning, Hugging Face Transformers, LangChain, Weights &amp; Biases</t>
  </si>
  <si>
    <t>AIJOB00126</t>
  </si>
  <si>
    <t>Spark, CUDA, FastAPI</t>
  </si>
  <si>
    <t>AIJOB00127</t>
  </si>
  <si>
    <t>JAX, CUDA, MLflow, ChromaDB</t>
  </si>
  <si>
    <t>AIJOB00128</t>
  </si>
  <si>
    <t>TensorFlow, AWS SageMaker, Hugging Face Transformers, ChromaDB, Kubernetes, Rust</t>
  </si>
  <si>
    <t>AIJOB00129</t>
  </si>
  <si>
    <t>SQL, FastAPI, RAG, GCP Vertex AI, Python</t>
  </si>
  <si>
    <t>AIJOB00130</t>
  </si>
  <si>
    <t>LlamaIndex, RAG, MLflow, Rust, Spark</t>
  </si>
  <si>
    <t>AIJOB00131</t>
  </si>
  <si>
    <t>Fine-tuning, LangChain, Python, TensorFlow, Azure ML, Weaviate, Rust</t>
  </si>
  <si>
    <t>AIJOB00132</t>
  </si>
  <si>
    <t>Docker, Vector Databases, LlamaIndex, TensorFlow, Hugging Face Transformers</t>
  </si>
  <si>
    <t>AIJOB00133</t>
  </si>
  <si>
    <t>C++, SQL, RAG, Rust, CUDA</t>
  </si>
  <si>
    <t>AIJOB00134</t>
  </si>
  <si>
    <t>ChromaDB, Rust, Kubernetes, GCP Vertex AI, RAG, Docker</t>
  </si>
  <si>
    <t>AIJOB00135</t>
  </si>
  <si>
    <t>C++, CUDA, Rust</t>
  </si>
  <si>
    <t>AIJOB00136</t>
  </si>
  <si>
    <t>Pinecone, CUDA, MLflow, Fine-tuning, Weaviate, PyTorch, Azure ML</t>
  </si>
  <si>
    <t>AIJOB00137</t>
  </si>
  <si>
    <t>Python, LangChain, Docker</t>
  </si>
  <si>
    <t>AIJOB00138</t>
  </si>
  <si>
    <t>AWS SageMaker, Fine-tuning, TensorFlow</t>
  </si>
  <si>
    <t>AIJOB00139</t>
  </si>
  <si>
    <t>Python, CUDA, GCP Vertex AI</t>
  </si>
  <si>
    <t>AIJOB00140</t>
  </si>
  <si>
    <t>JAX, OpenAI API, RLHF, ChromaDB, Fine-tuning, RAG, Python</t>
  </si>
  <si>
    <t>AIJOB00141</t>
  </si>
  <si>
    <t>Spark, GCP Vertex AI, SQL, RAG, C++, Rust, ChromaDB</t>
  </si>
  <si>
    <t>AIJOB00142</t>
  </si>
  <si>
    <t>Pinecone, RAG, Fine-tuning, SQL</t>
  </si>
  <si>
    <t>AIJOB00143</t>
  </si>
  <si>
    <t>OpenAI API, C++, RAG, Weaviate</t>
  </si>
  <si>
    <t>AIJOB00144</t>
  </si>
  <si>
    <t>FastAPI, RLHF, ChromaDB, Weights &amp; Biases</t>
  </si>
  <si>
    <t>AIJOB00145</t>
  </si>
  <si>
    <t>AWS SageMaker, CUDA, PyTorch, RLHF</t>
  </si>
  <si>
    <t>AIJOB00146</t>
  </si>
  <si>
    <t>C++, OpenAI API, Rust, PyTorch</t>
  </si>
  <si>
    <t>AIJOB00147</t>
  </si>
  <si>
    <t>MLflow, CUDA, LlamaIndex, Kubernetes</t>
  </si>
  <si>
    <t>AIJOB00148</t>
  </si>
  <si>
    <t>RLHF, Vector Databases, GCP Vertex AI, ChromaDB, Python</t>
  </si>
  <si>
    <t>AIJOB00149</t>
  </si>
  <si>
    <t>GCP Vertex AI, C++, AWS SageMaker, Weaviate, ChromaDB</t>
  </si>
  <si>
    <t>AIJOB00150</t>
  </si>
  <si>
    <t>MLflow, LlamaIndex, JAX, Spark</t>
  </si>
  <si>
    <t>AIJOB00151</t>
  </si>
  <si>
    <t>Vector Databases, TensorFlow, LlamaIndex, ChromaDB</t>
  </si>
  <si>
    <t>AIJOB00152</t>
  </si>
  <si>
    <t>LlamaIndex, RAG, FastAPI, C++, CUDA</t>
  </si>
  <si>
    <t>AIJOB00153</t>
  </si>
  <si>
    <t>FastAPI, LangChain, ChromaDB, Weights &amp; Biases</t>
  </si>
  <si>
    <t>AIJOB00154</t>
  </si>
  <si>
    <t>Weights &amp; Biases, RAG, AWS SageMaker, Spark</t>
  </si>
  <si>
    <t>AIJOB00155</t>
  </si>
  <si>
    <t>Fine-tuning, Azure ML, Weaviate, dbt, Hugging Face Transformers, Vector Databases, TensorFlow</t>
  </si>
  <si>
    <t>AIJOB00156</t>
  </si>
  <si>
    <t>SQL, LlamaIndex, Docker, TensorFlow, AWS SageMaker, Rust, Pinecone</t>
  </si>
  <si>
    <t>AIJOB00157</t>
  </si>
  <si>
    <t>RLHF, SQL, PyTorch</t>
  </si>
  <si>
    <t>AIJOB00158</t>
  </si>
  <si>
    <t>Weights &amp; Biases, JAX, LangChain, FastAPI, Python</t>
  </si>
  <si>
    <t>AIJOB00159</t>
  </si>
  <si>
    <t>dbt, Weights &amp; Biases, LangChain, Kubernetes, CUDA, Pinecone, Python</t>
  </si>
  <si>
    <t>AIJOB00160</t>
  </si>
  <si>
    <t>Docker, C++, TensorFlow, ChromaDB, Azure ML</t>
  </si>
  <si>
    <t>AIJOB00161</t>
  </si>
  <si>
    <t>OpenAI API, AWS SageMaker, ChromaDB, Rust, Weights &amp; Biases</t>
  </si>
  <si>
    <t>AIJOB00162</t>
  </si>
  <si>
    <t>GCP Vertex AI, Python, FastAPI</t>
  </si>
  <si>
    <t>AIJOB00163</t>
  </si>
  <si>
    <t>Fine-tuning, MLflow, Azure ML, RLHF, Weights &amp; Biases, TensorFlow, ChromaDB</t>
  </si>
  <si>
    <t>AIJOB00164</t>
  </si>
  <si>
    <t>TensorFlow, OpenAI API, LlamaIndex, FastAPI</t>
  </si>
  <si>
    <t>AIJOB00165</t>
  </si>
  <si>
    <t>TensorFlow, Hugging Face Transformers, Rust</t>
  </si>
  <si>
    <t>AIJOB00166</t>
  </si>
  <si>
    <t>RAG, CUDA, RLHF</t>
  </si>
  <si>
    <t>AIJOB00167</t>
  </si>
  <si>
    <t>Python, TensorFlow, OpenAI API</t>
  </si>
  <si>
    <t>AIJOB00168</t>
  </si>
  <si>
    <t>Hugging Face Transformers, Azure ML, OpenAI API, JAX, Docker, FastAPI</t>
  </si>
  <si>
    <t>AIJOB00169</t>
  </si>
  <si>
    <t>Kubernetes, Spark, Rust, Weaviate, Python, RAG, MLflow</t>
  </si>
  <si>
    <t>AIJOB00170</t>
  </si>
  <si>
    <t>Azure ML, FastAPI, ChromaDB, Kubernetes, Hugging Face Transformers, LangChain, Rust</t>
  </si>
  <si>
    <t>AIJOB00171</t>
  </si>
  <si>
    <t>Rust, Weights &amp; Biases, MLflow, Azure ML, ChromaDB</t>
  </si>
  <si>
    <t>AIJOB00172</t>
  </si>
  <si>
    <t>Pinecone, Vector Databases, Python</t>
  </si>
  <si>
    <t>AIJOB00173</t>
  </si>
  <si>
    <t>MLflow, dbt, RAG, ChromaDB, LangChain</t>
  </si>
  <si>
    <t>AIJOB00174</t>
  </si>
  <si>
    <t>RAG, AWS SageMaker, Weights &amp; Biases, MLflow</t>
  </si>
  <si>
    <t>AIJOB00175</t>
  </si>
  <si>
    <t>GCP Vertex AI, Weights &amp; Biases, TensorFlow, Kubernetes</t>
  </si>
  <si>
    <t>AIJOB00176</t>
  </si>
  <si>
    <t>Hugging Face Transformers, Fine-tuning, Vector Databases, RAG, Azure ML, Weaviate</t>
  </si>
  <si>
    <t>AIJOB00177</t>
  </si>
  <si>
    <t>Weights &amp; Biases, TensorFlow, Weaviate, JAX</t>
  </si>
  <si>
    <t>AIJOB00178</t>
  </si>
  <si>
    <t>MLflow, Weaviate, Weights &amp; Biases, C++, CUDA, Docker</t>
  </si>
  <si>
    <t>AIJOB00179</t>
  </si>
  <si>
    <t>Vector Databases, OpenAI API, LangChain, Python, CUDA, Hugging Face Transformers, Spark</t>
  </si>
  <si>
    <t>AIJOB00180</t>
  </si>
  <si>
    <t>Docker, RLHF, Kubernetes</t>
  </si>
  <si>
    <t>AIJOB00181</t>
  </si>
  <si>
    <t>dbt, CUDA, Vector Databases, ChromaDB, Kubernetes, C++, AWS SageMaker</t>
  </si>
  <si>
    <t>AIJOB00182</t>
  </si>
  <si>
    <t>OpenAI API, C++, Spark, LlamaIndex, SQL, Docker</t>
  </si>
  <si>
    <t>AIJOB00183</t>
  </si>
  <si>
    <t>ChromaDB, JAX, FastAPI, LangChain, Rust, CUDA, C++</t>
  </si>
  <si>
    <t>AIJOB00184</t>
  </si>
  <si>
    <t>PyTorch, RAG, GCP Vertex AI, MLflow, Kubernetes, JAX</t>
  </si>
  <si>
    <t>AIJOB00185</t>
  </si>
  <si>
    <t>FastAPI, C++, GCP Vertex AI, Docker, Weights &amp; Biases, Fine-tuning</t>
  </si>
  <si>
    <t>AIJOB00186</t>
  </si>
  <si>
    <t>LlamaIndex, FastAPI, Pinecone, ChromaDB, Python, Hugging Face Transformers</t>
  </si>
  <si>
    <t>AIJOB00187</t>
  </si>
  <si>
    <t>Vector Databases, SQL, RLHF, Hugging Face Transformers, CUDA</t>
  </si>
  <si>
    <t>AIJOB00188</t>
  </si>
  <si>
    <t>Docker, Spark, Fine-tuning, Pinecone</t>
  </si>
  <si>
    <t>AIJOB00189</t>
  </si>
  <si>
    <t>OpenAI API, RLHF, AWS SageMaker, dbt, Pinecone</t>
  </si>
  <si>
    <t>AIJOB00190</t>
  </si>
  <si>
    <t>Spark, GCP Vertex AI, CUDA, Docker, MLflow</t>
  </si>
  <si>
    <t>AIJOB00191</t>
  </si>
  <si>
    <t>Spark, Vector Databases, AWS SageMaker</t>
  </si>
  <si>
    <t>AIJOB00192</t>
  </si>
  <si>
    <t>Hugging Face Transformers, AWS SageMaker, LangChain, Vector Databases, LlamaIndex, Weights &amp; Biases, Docker</t>
  </si>
  <si>
    <t>AIJOB00193</t>
  </si>
  <si>
    <t>CUDA, LangChain, Vector Databases, PyTorch, Spark, ChromaDB</t>
  </si>
  <si>
    <t>AIJOB00194</t>
  </si>
  <si>
    <t>LlamaIndex, GCP Vertex AI, MLflow, Hugging Face Transformers, FastAPI, TensorFlow</t>
  </si>
  <si>
    <t>AIJOB00195</t>
  </si>
  <si>
    <t>Fine-tuning, Vector Databases, RAG, Python, PyTorch, Weaviate</t>
  </si>
  <si>
    <t>AIJOB00196</t>
  </si>
  <si>
    <t>AWS SageMaker, Hugging Face Transformers, TensorFlow, PyTorch, JAX, FastAPI, RLHF</t>
  </si>
  <si>
    <t>AIJOB00197</t>
  </si>
  <si>
    <t>Weights &amp; Biases, Python, ChromaDB, Pinecone</t>
  </si>
  <si>
    <t>AIJOB00198</t>
  </si>
  <si>
    <t>RAG, LangChain, Weaviate, Docker, Vector Databases, MLflow</t>
  </si>
  <si>
    <t>AIJOB00199</t>
  </si>
  <si>
    <t>OpenAI API, SQL, JAX, FastAPI, Docker, Pinecone</t>
  </si>
  <si>
    <t>AIJOB00200</t>
  </si>
  <si>
    <t>dbt, Vector Databases, LlamaIndex, TensorFlow, FastAPI, Pinecone, Rust</t>
  </si>
  <si>
    <t>AIJOB00201</t>
  </si>
  <si>
    <t>Weights &amp; Biases, LangChain, CUDA, FastAPI, PyTorch, Python</t>
  </si>
  <si>
    <t>AIJOB00202</t>
  </si>
  <si>
    <t>MLflow, CUDA, Vector Databases, Rust, Fine-tuning, Spark</t>
  </si>
  <si>
    <t>AIJOB00203</t>
  </si>
  <si>
    <t>SQL, Python, CUDA, dbt, JAX</t>
  </si>
  <si>
    <t>AIJOB00204</t>
  </si>
  <si>
    <t>Kubernetes, dbt, GCP Vertex AI, Pinecone, Rust, MLflow, Weights &amp; Biases</t>
  </si>
  <si>
    <t>AIJOB00205</t>
  </si>
  <si>
    <t>CUDA, Hugging Face Transformers, TensorFlow, FastAPI, Vector Databases, GCP Vertex AI</t>
  </si>
  <si>
    <t>AIJOB00206</t>
  </si>
  <si>
    <t>Weights &amp; Biases, Spark, Python, LangChain, RAG, Fine-tuning</t>
  </si>
  <si>
    <t>AIJOB00207</t>
  </si>
  <si>
    <t>GCP Vertex AI, Weaviate, FastAPI, SQL, Rust, Vector Databases</t>
  </si>
  <si>
    <t>AIJOB00208</t>
  </si>
  <si>
    <t>LangChain, Docker, SQL, OpenAI API, Rust, JAX</t>
  </si>
  <si>
    <t>AIJOB00209</t>
  </si>
  <si>
    <t>LlamaIndex, Vector Databases, Python, Pinecone, Weights &amp; Biases, PyTorch, Weaviate</t>
  </si>
  <si>
    <t>AIJOB00210</t>
  </si>
  <si>
    <t>Pinecone, JAX, RAG, Fine-tuning, SQL</t>
  </si>
  <si>
    <t>AIJOB00211</t>
  </si>
  <si>
    <t>Spark, OpenAI API, CUDA, C++, SQL, MLflow, AWS SageMaker</t>
  </si>
  <si>
    <t>AIJOB00212</t>
  </si>
  <si>
    <t>dbt, Weights &amp; Biases, C++, Weaviate, AWS SageMaker, Fine-tuning</t>
  </si>
  <si>
    <t>AIJOB00213</t>
  </si>
  <si>
    <t>OpenAI API, FastAPI, Weaviate, PyTorch, Azure ML</t>
  </si>
  <si>
    <t>AIJOB00214</t>
  </si>
  <si>
    <t>Weaviate, PyTorch, Python, Weights &amp; Biases, Docker</t>
  </si>
  <si>
    <t>AIJOB00215</t>
  </si>
  <si>
    <t>Hugging Face Transformers, Weights &amp; Biases, Pinecone</t>
  </si>
  <si>
    <t>AIJOB00216</t>
  </si>
  <si>
    <t>FastAPI, Spark, SQL</t>
  </si>
  <si>
    <t>AIJOB00217</t>
  </si>
  <si>
    <t>RAG, TensorFlow, Azure ML, Kubernetes, OpenAI API, dbt, GCP Vertex AI</t>
  </si>
  <si>
    <t>AIJOB00218</t>
  </si>
  <si>
    <t>Rust, LangChain, RAG, Docker, Weaviate, Weights &amp; Biases</t>
  </si>
  <si>
    <t>AIJOB00219</t>
  </si>
  <si>
    <t>Weaviate, Python, Spark, TensorFlow, OpenAI API, dbt, C++</t>
  </si>
  <si>
    <t>AIJOB00220</t>
  </si>
  <si>
    <t>TensorFlow, PyTorch, Hugging Face Transformers</t>
  </si>
  <si>
    <t>AIJOB00221</t>
  </si>
  <si>
    <t>Spark, Weights &amp; Biases, SQL</t>
  </si>
  <si>
    <t>AIJOB00222</t>
  </si>
  <si>
    <t>Hugging Face Transformers, Weaviate, Kubernetes, LlamaIndex, Weights &amp; Biases, RAG</t>
  </si>
  <si>
    <t>AIJOB00223</t>
  </si>
  <si>
    <t>RAG, Weaviate, CUDA, TensorFlow, AWS SageMaker, OpenAI API, Azure ML</t>
  </si>
  <si>
    <t>AIJOB00224</t>
  </si>
  <si>
    <t>Docker, LangChain, OpenAI API</t>
  </si>
  <si>
    <t>AIJOB00225</t>
  </si>
  <si>
    <t>LlamaIndex, ChromaDB, CUDA, Azure ML, GCP Vertex AI, Fine-tuning, Hugging Face Transformers</t>
  </si>
  <si>
    <t>AIJOB00226</t>
  </si>
  <si>
    <t>Weaviate, LangChain, Hugging Face Transformers, Spark, SQL, TensorFlow</t>
  </si>
  <si>
    <t>AIJOB00227</t>
  </si>
  <si>
    <t>OpenAI API, PyTorch, Weaviate, Docker, C++, FastAPI, Vector Databases</t>
  </si>
  <si>
    <t>AIJOB00228</t>
  </si>
  <si>
    <t>LlamaIndex, RLHF, Hugging Face Transformers, C++, ChromaDB, FastAPI, dbt</t>
  </si>
  <si>
    <t>AIJOB00229</t>
  </si>
  <si>
    <t>Vector Databases, RLHF, PyTorch, C++, Spark, GCP Vertex AI</t>
  </si>
  <si>
    <t>AIJOB00230</t>
  </si>
  <si>
    <t>RAG, Azure ML, C++, CUDA, Vector Databases, FastAPI, SQL</t>
  </si>
  <si>
    <t>AIJOB00231</t>
  </si>
  <si>
    <t>Vector Databases, dbt, OpenAI API</t>
  </si>
  <si>
    <t>AIJOB00232</t>
  </si>
  <si>
    <t>ChromaDB, Spark, Python, Weights &amp; Biases, Rust, dbt, AWS SageMaker</t>
  </si>
  <si>
    <t>AIJOB00233</t>
  </si>
  <si>
    <t>Weights &amp; Biases, dbt, GCP Vertex AI, RLHF</t>
  </si>
  <si>
    <t>AIJOB00234</t>
  </si>
  <si>
    <t>PyTorch, Rust, Weaviate, Pinecone, FastAPI, LangChain, TensorFlow</t>
  </si>
  <si>
    <t>AIJOB00235</t>
  </si>
  <si>
    <t>Azure ML, ChromaDB, Rust, Weights &amp; Biases, FastAPI, MLflow</t>
  </si>
  <si>
    <t>AIJOB00236</t>
  </si>
  <si>
    <t>ChromaDB, Pinecone, LangChain</t>
  </si>
  <si>
    <t>AIJOB00237</t>
  </si>
  <si>
    <t>FastAPI, OpenAI API, Fine-tuning, Weaviate, Rust, Vector Databases</t>
  </si>
  <si>
    <t>AIJOB00238</t>
  </si>
  <si>
    <t>OpenAI API, Pinecone, RAG</t>
  </si>
  <si>
    <t>AIJOB00239</t>
  </si>
  <si>
    <t>TensorFlow, SQL, PyTorch, Weights &amp; Biases, RAG</t>
  </si>
  <si>
    <t>AIJOB00240</t>
  </si>
  <si>
    <t>AWS SageMaker, OpenAI API, PyTorch, Rust, SQL, Pinecone, Weights &amp; Biases</t>
  </si>
  <si>
    <t>AIJOB00241</t>
  </si>
  <si>
    <t>Python, Weights &amp; Biases, MLflow, TensorFlow, Rust, Weaviate, AWS SageMaker</t>
  </si>
  <si>
    <t>AIJOB00242</t>
  </si>
  <si>
    <t>TensorFlow, Pinecone, AWS SageMaker, GCP Vertex AI, LangChain, CUDA, Docker</t>
  </si>
  <si>
    <t>AIJOB00243</t>
  </si>
  <si>
    <t>Docker, TensorFlow, RAG</t>
  </si>
  <si>
    <t>AIJOB00244</t>
  </si>
  <si>
    <t>TensorFlow, Weaviate, Hugging Face Transformers, Vector Databases, GCP Vertex AI</t>
  </si>
  <si>
    <t>AIJOB00245</t>
  </si>
  <si>
    <t>Azure ML, LlamaIndex, FastAPI, LangChain, Rust, TensorFlow, dbt</t>
  </si>
  <si>
    <t>AIJOB00246</t>
  </si>
  <si>
    <t>Docker, RAG, Kubernetes, FastAPI, ChromaDB, LlamaIndex, PyTorch</t>
  </si>
  <si>
    <t>AIJOB00247</t>
  </si>
  <si>
    <t>RAG, ChromaDB, LangChain, GCP Vertex AI</t>
  </si>
  <si>
    <t>AIJOB00248</t>
  </si>
  <si>
    <t>RLHF, Hugging Face Transformers, ChromaDB, LlamaIndex, dbt</t>
  </si>
  <si>
    <t>AIJOB00249</t>
  </si>
  <si>
    <t>Weaviate, Weights &amp; Biases, GCP Vertex AI, Rust, Vector Databases, AWS SageMaker, Docker</t>
  </si>
  <si>
    <t>AIJOB00250</t>
  </si>
  <si>
    <t>Rust, Docker, Azure ML, Python, Fine-tuning, LangChain, C++</t>
  </si>
  <si>
    <t>AIJOB00251</t>
  </si>
  <si>
    <t>CUDA, Hugging Face Transformers, Spark, Rust</t>
  </si>
  <si>
    <t>AIJOB00252</t>
  </si>
  <si>
    <t>Weights &amp; Biases, ChromaDB, Pinecone, RLHF, Fine-tuning</t>
  </si>
  <si>
    <t>AIJOB00253</t>
  </si>
  <si>
    <t>LangChain, Docker, SQL</t>
  </si>
  <si>
    <t>AIJOB00254</t>
  </si>
  <si>
    <t>Docker, Weaviate, RLHF, LlamaIndex, MLflow, CUDA, Hugging Face Transformers</t>
  </si>
  <si>
    <t>AIJOB00255</t>
  </si>
  <si>
    <t>Python, Pinecone, C++, FastAPI, CUDA</t>
  </si>
  <si>
    <t>AIJOB00256</t>
  </si>
  <si>
    <t>JAX, Weaviate, Fine-tuning, RAG, Kubernetes, Hugging Face Transformers</t>
  </si>
  <si>
    <t>AIJOB00257</t>
  </si>
  <si>
    <t>Fine-tuning, OpenAI API, CUDA, TensorFlow, Hugging Face Transformers</t>
  </si>
  <si>
    <t>AIJOB00258</t>
  </si>
  <si>
    <t>LlamaIndex, MLflow, RLHF, Weights &amp; Biases, Python</t>
  </si>
  <si>
    <t>AIJOB00259</t>
  </si>
  <si>
    <t>Docker, FastAPI, RAG</t>
  </si>
  <si>
    <t>AIJOB00260</t>
  </si>
  <si>
    <t>RLHF, Weights &amp; Biases, FastAPI, LangChain</t>
  </si>
  <si>
    <t>AIJOB00261</t>
  </si>
  <si>
    <t>JAX, PyTorch, CUDA, dbt, OpenAI API</t>
  </si>
  <si>
    <t>AIJOB00262</t>
  </si>
  <si>
    <t>Kubernetes, Hugging Face Transformers, Vector Databases</t>
  </si>
  <si>
    <t>AIJOB00263</t>
  </si>
  <si>
    <t>Azure ML, Weights &amp; Biases, LlamaIndex, Docker, PyTorch, Vector Databases</t>
  </si>
  <si>
    <t>AIJOB00264</t>
  </si>
  <si>
    <t>C++, Docker, Weaviate, Azure ML, RLHF</t>
  </si>
  <si>
    <t>AIJOB00265</t>
  </si>
  <si>
    <t>LlamaIndex, SQL, AWS SageMaker, GCP Vertex AI, Fine-tuning, Spark, Rust</t>
  </si>
  <si>
    <t>AIJOB00266</t>
  </si>
  <si>
    <t>Docker, PyTorch, Azure ML, Kubernetes, SQL, MLflow, TensorFlow</t>
  </si>
  <si>
    <t>AIJOB00267</t>
  </si>
  <si>
    <t>PyTorch, Weights &amp; Biases, TensorFlow, AWS SageMaker, C++, OpenAI API, Pinecone</t>
  </si>
  <si>
    <t>AIJOB00268</t>
  </si>
  <si>
    <t>Hugging Face Transformers, Rust, Weaviate</t>
  </si>
  <si>
    <t>AIJOB00269</t>
  </si>
  <si>
    <t>Kubernetes, ChromaDB, Weaviate, OpenAI API, RAG, C++, Docker</t>
  </si>
  <si>
    <t>AIJOB00270</t>
  </si>
  <si>
    <t>FastAPI, C++, MLflow</t>
  </si>
  <si>
    <t>AIJOB00271</t>
  </si>
  <si>
    <t>ChromaDB, RAG, OpenAI API</t>
  </si>
  <si>
    <t>AIJOB00272</t>
  </si>
  <si>
    <t>FastAPI, GCP Vertex AI, Azure ML</t>
  </si>
  <si>
    <t>AIJOB00273</t>
  </si>
  <si>
    <t>ChromaDB, LlamaIndex, GCP Vertex AI, Pinecone, MLflow, Kubernetes, CUDA</t>
  </si>
  <si>
    <t>AIJOB00274</t>
  </si>
  <si>
    <t>Pinecone, Fine-tuning, FastAPI, MLflow, LlamaIndex, C++</t>
  </si>
  <si>
    <t>AIJOB00275</t>
  </si>
  <si>
    <t>Fine-tuning, Azure ML, CUDA, OpenAI API, GCP Vertex AI, C++</t>
  </si>
  <si>
    <t>AIJOB00276</t>
  </si>
  <si>
    <t>LangChain, Weights &amp; Biases, PyTorch</t>
  </si>
  <si>
    <t>AIJOB00277</t>
  </si>
  <si>
    <t>FastAPI, Docker, Weaviate, Vector Databases, SQL, Weights &amp; Biases, LlamaIndex</t>
  </si>
  <si>
    <t>AIJOB00278</t>
  </si>
  <si>
    <t>RAG, dbt, Docker</t>
  </si>
  <si>
    <t>AIJOB00279</t>
  </si>
  <si>
    <t>Hugging Face Transformers, OpenAI API, Pinecone</t>
  </si>
  <si>
    <t>AIJOB00280</t>
  </si>
  <si>
    <t>Rust, PyTorch, Spark, Docker, JAX</t>
  </si>
  <si>
    <t>AIJOB00281</t>
  </si>
  <si>
    <t>AWS SageMaker, SQL, GCP Vertex AI, RLHF, Weaviate, LlamaIndex</t>
  </si>
  <si>
    <t>AIJOB00282</t>
  </si>
  <si>
    <t>Hugging Face Transformers, GCP Vertex AI, C++</t>
  </si>
  <si>
    <t>AIJOB00283</t>
  </si>
  <si>
    <t>FastAPI, SQL, Docker</t>
  </si>
  <si>
    <t>AIJOB00284</t>
  </si>
  <si>
    <t>LlamaIndex, Hugging Face Transformers, OpenAI API, Kubernetes, PyTorch, Fine-tuning</t>
  </si>
  <si>
    <t>AIJOB00285</t>
  </si>
  <si>
    <t>Fine-tuning, RAG, FastAPI, PyTorch</t>
  </si>
  <si>
    <t>AIJOB00286</t>
  </si>
  <si>
    <t>Weaviate, RAG, Pinecone</t>
  </si>
  <si>
    <t>AIJOB00287</t>
  </si>
  <si>
    <t>TensorFlow, Weights &amp; Biases, Pinecone, LangChain, Hugging Face Transformers, ChromaDB</t>
  </si>
  <si>
    <t>AIJOB00288</t>
  </si>
  <si>
    <t>MLflow, Weights &amp; Biases, LangChain, TensorFlow</t>
  </si>
  <si>
    <t>AIJOB00289</t>
  </si>
  <si>
    <t>CUDA, dbt, LlamaIndex, Hugging Face Transformers, C++, Rust, MLflow</t>
  </si>
  <si>
    <t>AIJOB00290</t>
  </si>
  <si>
    <t>SQL, JAX, Vector Databases</t>
  </si>
  <si>
    <t>AIJOB00291</t>
  </si>
  <si>
    <t>PyTorch, LlamaIndex, CUDA, dbt, ChromaDB</t>
  </si>
  <si>
    <t>AIJOB00292</t>
  </si>
  <si>
    <t>TensorFlow, FastAPI, AWS SageMaker</t>
  </si>
  <si>
    <t>AIJOB00293</t>
  </si>
  <si>
    <t>PyTorch, LangChain, ChromaDB, Weights &amp; Biases, Spark, Pinecone, TensorFlow</t>
  </si>
  <si>
    <t>AIJOB00294</t>
  </si>
  <si>
    <t>Rust, Hugging Face Transformers, SQL, Kubernetes, MLflow, AWS SageMaker</t>
  </si>
  <si>
    <t>AIJOB00295</t>
  </si>
  <si>
    <t>Spark, OpenAI API, MLflow</t>
  </si>
  <si>
    <t>AIJOB00296</t>
  </si>
  <si>
    <t>dbt, Vector Databases, Rust, PyTorch, Spark</t>
  </si>
  <si>
    <t>AIJOB00297</t>
  </si>
  <si>
    <t>Weaviate, Python, OpenAI API, ChromaDB, dbt, GCP Vertex AI, Azure ML</t>
  </si>
  <si>
    <t>AIJOB00298</t>
  </si>
  <si>
    <t>Docker, Fine-tuning, TensorFlow</t>
  </si>
  <si>
    <t>AIJOB00299</t>
  </si>
  <si>
    <t>JAX, Pinecone, LlamaIndex, OpenAI API, GCP Vertex AI, Vector Databases</t>
  </si>
  <si>
    <t>AIJOB00300</t>
  </si>
  <si>
    <t>Python, AWS SageMaker, PyTorch</t>
  </si>
  <si>
    <t>AIJOB00301</t>
  </si>
  <si>
    <t>GCP Vertex AI, FastAPI, RLHF, dbt, LangChain, Docker, LlamaIndex</t>
  </si>
  <si>
    <t>AIJOB00302</t>
  </si>
  <si>
    <t>Weaviate, RLHF, PyTorch, LlamaIndex, Python</t>
  </si>
  <si>
    <t>AIJOB00303</t>
  </si>
  <si>
    <t>TensorFlow, FastAPI, CUDA, RLHF, ChromaDB, LlamaIndex, JAX</t>
  </si>
  <si>
    <t>AIJOB00304</t>
  </si>
  <si>
    <t>Rust, CUDA, JAX, GCP Vertex AI, RLHF</t>
  </si>
  <si>
    <t>AIJOB00305</t>
  </si>
  <si>
    <t>Rust, AWS SageMaker, Weaviate</t>
  </si>
  <si>
    <t>AIJOB00306</t>
  </si>
  <si>
    <t>MLflow, Kubernetes, Hugging Face Transformers, dbt, Rust, TensorFlow, JAX</t>
  </si>
  <si>
    <t>AIJOB00307</t>
  </si>
  <si>
    <t>Vector Databases, Spark, dbt, PyTorch, TensorFlow</t>
  </si>
  <si>
    <t>AIJOB00308</t>
  </si>
  <si>
    <t>AWS SageMaker, ChromaDB, Rust, dbt, Fine-tuning</t>
  </si>
  <si>
    <t>AIJOB00309</t>
  </si>
  <si>
    <t>C++, Azure ML, LangChain, AWS SageMaker, Python, Kubernetes, Fine-tuning</t>
  </si>
  <si>
    <t>AIJOB00310</t>
  </si>
  <si>
    <t>CUDA, dbt, LlamaIndex, Python, TensorFlow</t>
  </si>
  <si>
    <t>AIJOB00311</t>
  </si>
  <si>
    <t>Weaviate, C++, RLHF, RAG, Azure ML, Kubernetes</t>
  </si>
  <si>
    <t>AIJOB00312</t>
  </si>
  <si>
    <t>ChromaDB, Vector Databases, MLflow</t>
  </si>
  <si>
    <t>AIJOB00313</t>
  </si>
  <si>
    <t>FastAPI, Python, Vector Databases, RLHF, Pinecone, C++, ChromaDB</t>
  </si>
  <si>
    <t>AIJOB00314</t>
  </si>
  <si>
    <t>ChromaDB, PyTorch, dbt, AWS SageMaker</t>
  </si>
  <si>
    <t>AIJOB00315</t>
  </si>
  <si>
    <t>ChromaDB, Weights &amp; Biases, LlamaIndex, dbt</t>
  </si>
  <si>
    <t>AIJOB00316</t>
  </si>
  <si>
    <t>Weights &amp; Biases, Spark, Hugging Face Transformers, OpenAI API, ChromaDB, JAX</t>
  </si>
  <si>
    <t>AIJOB00317</t>
  </si>
  <si>
    <t>Docker, LlamaIndex, Pinecone, Fine-tuning, Python, AWS SageMaker</t>
  </si>
  <si>
    <t>AIJOB00318</t>
  </si>
  <si>
    <t>Docker, Spark, ChromaDB</t>
  </si>
  <si>
    <t>AIJOB00319</t>
  </si>
  <si>
    <t>dbt, RLHF, Azure ML</t>
  </si>
  <si>
    <t>AIJOB00320</t>
  </si>
  <si>
    <t>Rust, Hugging Face Transformers, LangChain, MLflow, CUDA, Docker, AWS SageMaker</t>
  </si>
  <si>
    <t>AIJOB00321</t>
  </si>
  <si>
    <t>C++, Docker, Hugging Face Transformers, RLHF, TensorFlow</t>
  </si>
  <si>
    <t>AIJOB00322</t>
  </si>
  <si>
    <t>Weights &amp; Biases, Docker, FastAPI, RLHF, Python, Vector Databases, LlamaIndex</t>
  </si>
  <si>
    <t>AIJOB00323</t>
  </si>
  <si>
    <t>Weaviate, Kubernetes, Python</t>
  </si>
  <si>
    <t>AIJOB00324</t>
  </si>
  <si>
    <t>C++, RLHF, FastAPI</t>
  </si>
  <si>
    <t>AIJOB00325</t>
  </si>
  <si>
    <t>Weights &amp; Biases, OpenAI API, LlamaIndex, PyTorch, CUDA, Python</t>
  </si>
  <si>
    <t>AIJOB00326</t>
  </si>
  <si>
    <t>RAG, LangChain, OpenAI API</t>
  </si>
  <si>
    <t>AIJOB00327</t>
  </si>
  <si>
    <t>Kubernetes, MLflow, Spark</t>
  </si>
  <si>
    <t>AIJOB00328</t>
  </si>
  <si>
    <t>Rust, OpenAI API, Fine-tuning</t>
  </si>
  <si>
    <t>AIJOB00329</t>
  </si>
  <si>
    <t>Hugging Face Transformers, MLflow, Azure ML, Weaviate, JAX, RLHF</t>
  </si>
  <si>
    <t>AIJOB00330</t>
  </si>
  <si>
    <t>MLflow, LlamaIndex, OpenAI API, CUDA, Spark, Docker</t>
  </si>
  <si>
    <t>AIJOB00331</t>
  </si>
  <si>
    <t>LangChain, Pinecone, SQL, Azure ML</t>
  </si>
  <si>
    <t>AIJOB00332</t>
  </si>
  <si>
    <t>Spark, Azure ML, AWS SageMaker</t>
  </si>
  <si>
    <t>AIJOB00333</t>
  </si>
  <si>
    <t>ChromaDB, JAX, GCP Vertex AI, Fine-tuning, OpenAI API, Weights &amp; Biases</t>
  </si>
  <si>
    <t>AIJOB00334</t>
  </si>
  <si>
    <t>LlamaIndex, OpenAI API, SQL, RLHF, Hugging Face Transformers, RAG</t>
  </si>
  <si>
    <t>AIJOB00335</t>
  </si>
  <si>
    <t>Kubernetes, JAX, AWS SageMaker, SQL, Hugging Face Transformers</t>
  </si>
  <si>
    <t>AIJOB00336</t>
  </si>
  <si>
    <t>Weights &amp; Biases, CUDA, Kubernetes, C++, GCP Vertex AI, Fine-tuning</t>
  </si>
  <si>
    <t>AIJOB00337</t>
  </si>
  <si>
    <t>RLHF, Vector Databases, Kubernetes</t>
  </si>
  <si>
    <t>AIJOB00338</t>
  </si>
  <si>
    <t>RLHF, FastAPI, LlamaIndex, MLflow, RAG, Hugging Face Transformers</t>
  </si>
  <si>
    <t>AIJOB00339</t>
  </si>
  <si>
    <t>Weaviate, ChromaDB, Rust, OpenAI API, dbt, TensorFlow, SQL</t>
  </si>
  <si>
    <t>AIJOB00340</t>
  </si>
  <si>
    <t>Weaviate, MLflow, FastAPI</t>
  </si>
  <si>
    <t>AIJOB00341</t>
  </si>
  <si>
    <t>Docker, PyTorch, TensorFlow, Azure ML, Rust, RLHF</t>
  </si>
  <si>
    <t>AIJOB00342</t>
  </si>
  <si>
    <t>AWS SageMaker, TensorFlow, LangChain, Hugging Face Transformers</t>
  </si>
  <si>
    <t>AIJOB00343</t>
  </si>
  <si>
    <t>AWS SageMaker, OpenAI API, TensorFlow</t>
  </si>
  <si>
    <t>AIJOB00344</t>
  </si>
  <si>
    <t>Hugging Face Transformers, Rust, Docker, Kubernetes, Vector Databases</t>
  </si>
  <si>
    <t>AIJOB00345</t>
  </si>
  <si>
    <t>Hugging Face Transformers, Kubernetes, LangChain, PyTorch</t>
  </si>
  <si>
    <t>AIJOB00346</t>
  </si>
  <si>
    <t>AWS SageMaker, LangChain, Python, RAG, Vector Databases, LlamaIndex, RLHF</t>
  </si>
  <si>
    <t>AIJOB00347</t>
  </si>
  <si>
    <t>MLflow, LangChain, Weights &amp; Biases, Vector Databases, JAX</t>
  </si>
  <si>
    <t>AIJOB00348</t>
  </si>
  <si>
    <t>CUDA, RLHF, dbt, C++, TensorFlow, Pinecone, RAG</t>
  </si>
  <si>
    <t>AIJOB00349</t>
  </si>
  <si>
    <t>AWS SageMaker, RLHF, CUDA, Weaviate, TensorFlow</t>
  </si>
  <si>
    <t>AIJOB00350</t>
  </si>
  <si>
    <t>GCP Vertex AI, TensorFlow, ChromaDB, FastAPI, RAG, CUDA, Python</t>
  </si>
  <si>
    <t>AIJOB00351</t>
  </si>
  <si>
    <t>Python, Rust, LlamaIndex, Docker</t>
  </si>
  <si>
    <t>AIJOB00352</t>
  </si>
  <si>
    <t>ChromaDB, Fine-tuning, Docker, Spark, dbt, Vector Databases</t>
  </si>
  <si>
    <t>AIJOB00353</t>
  </si>
  <si>
    <t>Spark, Azure ML, PyTorch, AWS SageMaker, Rust, Pinecone</t>
  </si>
  <si>
    <t>AIJOB00354</t>
  </si>
  <si>
    <t>C++, LlamaIndex, Python, Pinecone, AWS SageMaker</t>
  </si>
  <si>
    <t>AIJOB00355</t>
  </si>
  <si>
    <t>C++, LlamaIndex, Python</t>
  </si>
  <si>
    <t>AIJOB00356</t>
  </si>
  <si>
    <t>MLflow, Kubernetes, AWS SageMaker, LlamaIndex</t>
  </si>
  <si>
    <t>AIJOB00357</t>
  </si>
  <si>
    <t>TensorFlow, AWS SageMaker, dbt</t>
  </si>
  <si>
    <t>AIJOB00358</t>
  </si>
  <si>
    <t>FastAPI, Weights &amp; Biases, SQL, Kubernetes, Pinecone, ChromaDB, TensorFlow</t>
  </si>
  <si>
    <t>AIJOB00359</t>
  </si>
  <si>
    <t>dbt, LangChain, Hugging Face Transformers, Azure ML, RAG, Fine-tuning</t>
  </si>
  <si>
    <t>AIJOB00360</t>
  </si>
  <si>
    <t>AWS SageMaker, RLHF, SQL, Weights &amp; Biases, JAX, dbt</t>
  </si>
  <si>
    <t>AIJOB00361</t>
  </si>
  <si>
    <t>RAG, RLHF, Pinecone</t>
  </si>
  <si>
    <t>AIJOB00362</t>
  </si>
  <si>
    <t>SQL, CUDA, RAG, LangChain</t>
  </si>
  <si>
    <t>AIJOB00363</t>
  </si>
  <si>
    <t>LangChain, JAX, Docker, Vector Databases, Rust, Kubernetes</t>
  </si>
  <si>
    <t>AIJOB00364</t>
  </si>
  <si>
    <t>dbt, FastAPI, Pinecone</t>
  </si>
  <si>
    <t>AIJOB00365</t>
  </si>
  <si>
    <t>RAG, RLHF, GCP Vertex AI</t>
  </si>
  <si>
    <t>AIJOB00366</t>
  </si>
  <si>
    <t>ChromaDB, dbt, Vector Databases</t>
  </si>
  <si>
    <t>AIJOB00367</t>
  </si>
  <si>
    <t>GCP Vertex AI, PyTorch, Python, ChromaDB, LlamaIndex</t>
  </si>
  <si>
    <t>AIJOB00368</t>
  </si>
  <si>
    <t>TensorFlow, MLflow, JAX, AWS SageMaker, LangChain, GCP Vertex AI, Hugging Face Transformers</t>
  </si>
  <si>
    <t>AIJOB00369</t>
  </si>
  <si>
    <t>ChromaDB, LangChain, Rust, Vector Databases, MLflow</t>
  </si>
  <si>
    <t>AIJOB00370</t>
  </si>
  <si>
    <t>RAG, Rust, Kubernetes, SQL, Weights &amp; Biases, TensorFlow, MLflow</t>
  </si>
  <si>
    <t>AIJOB00371</t>
  </si>
  <si>
    <t>GCP Vertex AI, OpenAI API, Fine-tuning, RAG, Docker, SQL, Pinecone</t>
  </si>
  <si>
    <t>AIJOB00372</t>
  </si>
  <si>
    <t>ChromaDB, Weights &amp; Biases, Spark, PyTorch, Pinecone, OpenAI API</t>
  </si>
  <si>
    <t>AIJOB00373</t>
  </si>
  <si>
    <t>Docker, dbt, SQL, Kubernetes</t>
  </si>
  <si>
    <t>AIJOB00374</t>
  </si>
  <si>
    <t>dbt, Weaviate, Hugging Face Transformers, Spark, CUDA</t>
  </si>
  <si>
    <t>AIJOB00375</t>
  </si>
  <si>
    <t>Kubernetes, LangChain, ChromaDB, Weights &amp; Biases</t>
  </si>
  <si>
    <t>AIJOB00376</t>
  </si>
  <si>
    <t>Fine-tuning, OpenAI API, LlamaIndex, LangChain</t>
  </si>
  <si>
    <t>AIJOB00377</t>
  </si>
  <si>
    <t>C++, AWS SageMaker, Python, Spark, JAX</t>
  </si>
  <si>
    <t>AIJOB00378</t>
  </si>
  <si>
    <t>AWS SageMaker, TensorFlow, C++, FastAPI, Kubernetes</t>
  </si>
  <si>
    <t>AIJOB00379</t>
  </si>
  <si>
    <t>C++, Hugging Face Transformers, MLflow</t>
  </si>
  <si>
    <t>AIJOB00380</t>
  </si>
  <si>
    <t>GCP Vertex AI, ChromaDB, TensorFlow, LangChain, Hugging Face Transformers</t>
  </si>
  <si>
    <t>AIJOB00381</t>
  </si>
  <si>
    <t>RAG, JAX, C++, ChromaDB</t>
  </si>
  <si>
    <t>AIJOB00382</t>
  </si>
  <si>
    <t>LlamaIndex, TensorFlow, Azure ML, Hugging Face Transformers, ChromaDB</t>
  </si>
  <si>
    <t>AIJOB00383</t>
  </si>
  <si>
    <t>SQL, OpenAI API, C++, AWS SageMaker</t>
  </si>
  <si>
    <t>AIJOB00384</t>
  </si>
  <si>
    <t>Python, Vector Databases, LlamaIndex</t>
  </si>
  <si>
    <t>AIJOB00385</t>
  </si>
  <si>
    <t>SQL, dbt, Rust, MLflow, Weights &amp; Biases</t>
  </si>
  <si>
    <t>AIJOB00386</t>
  </si>
  <si>
    <t>JAX, RLHF, LlamaIndex, TensorFlow, GCP Vertex AI</t>
  </si>
  <si>
    <t>AIJOB00387</t>
  </si>
  <si>
    <t>C++, FastAPI, Docker, Pinecone, GCP Vertex AI, Fine-tuning, Hugging Face Transformers</t>
  </si>
  <si>
    <t>AIJOB00388</t>
  </si>
  <si>
    <t>RLHF, Azure ML, MLflow</t>
  </si>
  <si>
    <t>AIJOB00389</t>
  </si>
  <si>
    <t>ChromaDB, Python, Pinecone, FastAPI</t>
  </si>
  <si>
    <t>AIJOB00390</t>
  </si>
  <si>
    <t>LlamaIndex, Python, TensorFlow, RLHF, C++</t>
  </si>
  <si>
    <t>AIJOB00391</t>
  </si>
  <si>
    <t>Rust, Spark, AWS SageMaker</t>
  </si>
  <si>
    <t>AIJOB00392</t>
  </si>
  <si>
    <t>FastAPI, RAG, AWS SageMaker, Spark, JAX, Rust</t>
  </si>
  <si>
    <t>AIJOB00393</t>
  </si>
  <si>
    <t>Docker, ChromaDB, SQL, Fine-tuning, TensorFlow, Rust</t>
  </si>
  <si>
    <t>AIJOB00394</t>
  </si>
  <si>
    <t>AWS SageMaker, RLHF, Fine-tuning</t>
  </si>
  <si>
    <t>AIJOB00395</t>
  </si>
  <si>
    <t>LangChain, RLHF, dbt, Weights &amp; Biases, ChromaDB, Docker</t>
  </si>
  <si>
    <t>AIJOB00396</t>
  </si>
  <si>
    <t>SQL, Rust, Docker, GCP Vertex AI, Hugging Face Transformers, OpenAI API</t>
  </si>
  <si>
    <t>AIJOB00397</t>
  </si>
  <si>
    <t>MLflow, dbt, RAG, Rust, AWS SageMaker</t>
  </si>
  <si>
    <t>AIJOB00398</t>
  </si>
  <si>
    <t>LlamaIndex, Vector Databases, Fine-tuning, Python, LangChain, Hugging Face Transformers</t>
  </si>
  <si>
    <t>AIJOB00399</t>
  </si>
  <si>
    <t>Fine-tuning, CUDA, Vector Databases, Weights &amp; Biases, ChromaDB, SQL</t>
  </si>
  <si>
    <t>AIJOB00400</t>
  </si>
  <si>
    <t>GCP Vertex AI, Weaviate, TensorFlow, Docker, Spark, Fine-tuning, Vector Databases</t>
  </si>
  <si>
    <t>AIJOB00401</t>
  </si>
  <si>
    <t>CUDA, C++, MLflow, dbt, RLHF, LlamaIndex, AWS SageMaker</t>
  </si>
  <si>
    <t>AIJOB00402</t>
  </si>
  <si>
    <t>Vector Databases, LangChain, Rust, Fine-tuning, JAX, AWS SageMaker, Kubernetes</t>
  </si>
  <si>
    <t>AIJOB00403</t>
  </si>
  <si>
    <t>Vector Databases, Docker, GCP Vertex AI, Rust</t>
  </si>
  <si>
    <t>AIJOB00404</t>
  </si>
  <si>
    <t>LangChain, Rust, SQL</t>
  </si>
  <si>
    <t>AIJOB00405</t>
  </si>
  <si>
    <t>LlamaIndex, Spark, Azure ML</t>
  </si>
  <si>
    <t>AIJOB00406</t>
  </si>
  <si>
    <t>Azure ML, Spark, dbt, Kubernetes, LlamaIndex, Pinecone</t>
  </si>
  <si>
    <t>AIJOB00407</t>
  </si>
  <si>
    <t>TensorFlow, JAX, GCP Vertex AI, C++, RAG, Hugging Face Transformers, Fine-tuning</t>
  </si>
  <si>
    <t>AIJOB00408</t>
  </si>
  <si>
    <t>JAX, Pinecone, SQL, LlamaIndex, MLflow</t>
  </si>
  <si>
    <t>AIJOB00409</t>
  </si>
  <si>
    <t>Pinecone, Weaviate, AWS SageMaker, OpenAI API</t>
  </si>
  <si>
    <t>AIJOB00410</t>
  </si>
  <si>
    <t>Docker, Spark, Pinecone, Azure ML, LangChain</t>
  </si>
  <si>
    <t>AIJOB00411</t>
  </si>
  <si>
    <t>dbt, LlamaIndex, MLflow, RAG, Pinecone, Weights &amp; Biases, Kubernetes</t>
  </si>
  <si>
    <t>AIJOB00412</t>
  </si>
  <si>
    <t>Azure ML, dbt, Pinecone</t>
  </si>
  <si>
    <t>AIJOB00413</t>
  </si>
  <si>
    <t>LlamaIndex, MLflow, Pinecone, C++, LangChain, CUDA</t>
  </si>
  <si>
    <t>AIJOB00414</t>
  </si>
  <si>
    <t>AWS SageMaker, Azure ML, Vector Databases, Python, Rust</t>
  </si>
  <si>
    <t>AIJOB00415</t>
  </si>
  <si>
    <t>ChromaDB, AWS SageMaker, JAX, RLHF, GCP Vertex AI, RAG</t>
  </si>
  <si>
    <t>AIJOB00416</t>
  </si>
  <si>
    <t>Weaviate, PyTorch, dbt, JAX, RLHF</t>
  </si>
  <si>
    <t>AIJOB00417</t>
  </si>
  <si>
    <t>FastAPI, PyTorch, ChromaDB, Pinecone, OpenAI API, Vector Databases, Rust</t>
  </si>
  <si>
    <t>AIJOB00418</t>
  </si>
  <si>
    <t>RAG, ChromaDB, PyTorch, Vector Databases, CUDA</t>
  </si>
  <si>
    <t>AIJOB00419</t>
  </si>
  <si>
    <t>LlamaIndex, AWS SageMaker, Fine-tuning</t>
  </si>
  <si>
    <t>AIJOB00420</t>
  </si>
  <si>
    <t>PyTorch, OpenAI API, Kubernetes</t>
  </si>
  <si>
    <t>AIJOB00421</t>
  </si>
  <si>
    <t>JAX, Python, Docker, Weaviate</t>
  </si>
  <si>
    <t>AIJOB00422</t>
  </si>
  <si>
    <t>Weaviate, Fine-tuning, RLHF, PyTorch</t>
  </si>
  <si>
    <t>AIJOB00423</t>
  </si>
  <si>
    <t>PyTorch, Hugging Face Transformers, Weights &amp; Biases, Weaviate, ChromaDB</t>
  </si>
  <si>
    <t>AIJOB00424</t>
  </si>
  <si>
    <t>GCP Vertex AI, OpenAI API, RLHF, SQL, Python</t>
  </si>
  <si>
    <t>AIJOB00425</t>
  </si>
  <si>
    <t>Weaviate, Python, JAX</t>
  </si>
  <si>
    <t>AIJOB00426</t>
  </si>
  <si>
    <t>Python, Kubernetes, Weights &amp; Biases, JAX, FastAPI, Docker</t>
  </si>
  <si>
    <t>AIJOB00427</t>
  </si>
  <si>
    <t>OpenAI API, Python, JAX, Spark, RAG, LangChain, Docker</t>
  </si>
  <si>
    <t>AIJOB00428</t>
  </si>
  <si>
    <t>SQL, Docker, dbt, Weaviate, RLHF, Python, Fine-tuning</t>
  </si>
  <si>
    <t>AIJOB00429</t>
  </si>
  <si>
    <t>RLHF, GCP Vertex AI, Python, RAG, OpenAI API, CUDA, TensorFlow</t>
  </si>
  <si>
    <t>AIJOB00430</t>
  </si>
  <si>
    <t>Vector Databases, Fine-tuning, Rust</t>
  </si>
  <si>
    <t>AIJOB00431</t>
  </si>
  <si>
    <t>Spark, RLHF, ChromaDB</t>
  </si>
  <si>
    <t>AIJOB00432</t>
  </si>
  <si>
    <t>AWS SageMaker, CUDA, RAG</t>
  </si>
  <si>
    <t>AIJOB00433</t>
  </si>
  <si>
    <t>LangChain, Python, SQL, MLflow</t>
  </si>
  <si>
    <t>AIJOB00434</t>
  </si>
  <si>
    <t>Fine-tuning, Pinecone, Spark, FastAPI, Azure ML, AWS SageMaker, ChromaDB</t>
  </si>
  <si>
    <t>AIJOB00435</t>
  </si>
  <si>
    <t>CUDA, PyTorch, Fine-tuning, Azure ML, OpenAI API, FastAPI, Spark</t>
  </si>
  <si>
    <t>AIJOB00436</t>
  </si>
  <si>
    <t>LangChain, RLHF, JAX, Rust</t>
  </si>
  <si>
    <t>AIJOB00437</t>
  </si>
  <si>
    <t>Azure ML, Python, TensorFlow</t>
  </si>
  <si>
    <t>AIJOB00438</t>
  </si>
  <si>
    <t>GCP Vertex AI, CUDA, Weaviate, Kubernetes</t>
  </si>
  <si>
    <t>AIJOB00439</t>
  </si>
  <si>
    <t>dbt, Hugging Face Transformers, Pinecone, Rust, SQL</t>
  </si>
  <si>
    <t>AIJOB00440</t>
  </si>
  <si>
    <t>ChromaDB, OpenAI API, Weaviate, AWS SageMaker, LlamaIndex, GCP Vertex AI, Kubernetes</t>
  </si>
  <si>
    <t>AIJOB00441</t>
  </si>
  <si>
    <t>Hugging Face Transformers, GCP Vertex AI, MLflow, Azure ML, Pinecone, C++</t>
  </si>
  <si>
    <t>AIJOB00442</t>
  </si>
  <si>
    <t>C++, Azure ML, Docker, Weaviate</t>
  </si>
  <si>
    <t>AIJOB00443</t>
  </si>
  <si>
    <t>Docker, RAG, Python, Hugging Face Transformers, RLHF</t>
  </si>
  <si>
    <t>AIJOB00444</t>
  </si>
  <si>
    <t>GCP Vertex AI, OpenAI API, dbt, Docker</t>
  </si>
  <si>
    <t>AIJOB00445</t>
  </si>
  <si>
    <t>Spark, Pinecone, FastAPI, LlamaIndex, RAG, Kubernetes</t>
  </si>
  <si>
    <t>AIJOB00446</t>
  </si>
  <si>
    <t>Python, Azure ML, LlamaIndex, ChromaDB, C++, AWS SageMaker, JAX</t>
  </si>
  <si>
    <t>AIJOB00447</t>
  </si>
  <si>
    <t>Spark, Rust, SQL, C++, ChromaDB, RAG, Weights &amp; Biases</t>
  </si>
  <si>
    <t>AIJOB00448</t>
  </si>
  <si>
    <t>Vector Databases, Python, Hugging Face Transformers, OpenAI API, TensorFlow, RAG, AWS SageMaker</t>
  </si>
  <si>
    <t>AIJOB00449</t>
  </si>
  <si>
    <t>Weights &amp; Biases, TensorFlow, RAG, OpenAI API, LlamaIndex, Rust</t>
  </si>
  <si>
    <t>AIJOB00450</t>
  </si>
  <si>
    <t>Pinecone, GCP Vertex AI, ChromaDB, JAX</t>
  </si>
  <si>
    <t>AIJOB00451</t>
  </si>
  <si>
    <t>Fine-tuning, Kubernetes, Hugging Face Transformers, JAX</t>
  </si>
  <si>
    <t>AIJOB00452</t>
  </si>
  <si>
    <t>Vector Databases, Fine-tuning, FastAPI, Weaviate</t>
  </si>
  <si>
    <t>AIJOB00453</t>
  </si>
  <si>
    <t>CUDA, OpenAI API, RAG, PyTorch, Python, Docker</t>
  </si>
  <si>
    <t>AIJOB00454</t>
  </si>
  <si>
    <t>LangChain, Hugging Face Transformers, AWS SageMaker, JAX, Weaviate, Weights &amp; Biases, RAG</t>
  </si>
  <si>
    <t>AIJOB00455</t>
  </si>
  <si>
    <t>RAG, MLflow, AWS SageMaker</t>
  </si>
  <si>
    <t>AIJOB00456</t>
  </si>
  <si>
    <t>Kubernetes, JAX, LangChain</t>
  </si>
  <si>
    <t>AIJOB00457</t>
  </si>
  <si>
    <t>Kubernetes, OpenAI API, LangChain</t>
  </si>
  <si>
    <t>AIJOB00458</t>
  </si>
  <si>
    <t>AWS SageMaker, FastAPI, SQL, Vector Databases, LangChain, MLflow</t>
  </si>
  <si>
    <t>AIJOB00459</t>
  </si>
  <si>
    <t>RLHF, RAG, Pinecone, Spark, Weights &amp; Biases, Kubernetes, C++</t>
  </si>
  <si>
    <t>AIJOB00460</t>
  </si>
  <si>
    <t>RAG, OpenAI API, Spark, PyTorch</t>
  </si>
  <si>
    <t>AIJOB00461</t>
  </si>
  <si>
    <t>Kubernetes, OpenAI API, Weaviate, PyTorch, dbt</t>
  </si>
  <si>
    <t>AIJOB00462</t>
  </si>
  <si>
    <t>LlamaIndex, TensorFlow, Hugging Face Transformers, ChromaDB</t>
  </si>
  <si>
    <t>AIJOB00463</t>
  </si>
  <si>
    <t>Docker, CUDA, Rust, Vector Databases</t>
  </si>
  <si>
    <t>AIJOB00464</t>
  </si>
  <si>
    <t>SQL, Weaviate, LlamaIndex, Weights &amp; Biases, Hugging Face Transformers</t>
  </si>
  <si>
    <t>AIJOB00465</t>
  </si>
  <si>
    <t>RAG, Fine-tuning, JAX, Weights &amp; Biases, Azure ML, C++</t>
  </si>
  <si>
    <t>AIJOB00466</t>
  </si>
  <si>
    <t>MLflow, PyTorch, Spark, RAG, Fine-tuning</t>
  </si>
  <si>
    <t>AIJOB00467</t>
  </si>
  <si>
    <t>dbt, C++, Hugging Face Transformers, Python, LangChain, TensorFlow, Spark</t>
  </si>
  <si>
    <t>AIJOB00468</t>
  </si>
  <si>
    <t>LangChain, Spark, ChromaDB</t>
  </si>
  <si>
    <t>AIJOB00469</t>
  </si>
  <si>
    <t>Pinecone, Fine-tuning, Spark, AWS SageMaker, Weights &amp; Biases, CUDA</t>
  </si>
  <si>
    <t>AIJOB00470</t>
  </si>
  <si>
    <t>JAX, CUDA, Fine-tuning, RLHF, Spark</t>
  </si>
  <si>
    <t>AIJOB00471</t>
  </si>
  <si>
    <t>dbt, ChromaDB, Rust</t>
  </si>
  <si>
    <t>AIJOB00472</t>
  </si>
  <si>
    <t>GCP Vertex AI, C++, Kubernetes, Azure ML, dbt</t>
  </si>
  <si>
    <t>AIJOB00473</t>
  </si>
  <si>
    <t>MLflow, FastAPI, C++, Kubernetes, Azure ML</t>
  </si>
  <si>
    <t>AIJOB00474</t>
  </si>
  <si>
    <t>Weights &amp; Biases, SQL, Rust, TensorFlow, Azure ML, Fine-tuning</t>
  </si>
  <si>
    <t>AIJOB00475</t>
  </si>
  <si>
    <t>C++, dbt, Weaviate, CUDA, RLHF</t>
  </si>
  <si>
    <t>AIJOB00476</t>
  </si>
  <si>
    <t>Kubernetes, Weights &amp; Biases, Docker, dbt, Vector Databases</t>
  </si>
  <si>
    <t>AIJOB00477</t>
  </si>
  <si>
    <t>Spark, JAX, Rust, Weaviate, Fine-tuning, Kubernetes</t>
  </si>
  <si>
    <t>AIJOB00478</t>
  </si>
  <si>
    <t>AWS SageMaker, PyTorch, ChromaDB</t>
  </si>
  <si>
    <t>AIJOB00479</t>
  </si>
  <si>
    <t>Vector Databases, dbt, RLHF, LlamaIndex</t>
  </si>
  <si>
    <t>AIJOB00480</t>
  </si>
  <si>
    <t>PyTorch, Rust, GCP Vertex AI, LlamaIndex, MLflow, OpenAI API</t>
  </si>
  <si>
    <t>AIJOB00481</t>
  </si>
  <si>
    <t>dbt, Vector Databases, Azure ML, FastAPI, RAG, Rust</t>
  </si>
  <si>
    <t>AIJOB00482</t>
  </si>
  <si>
    <t>AWS SageMaker, LlamaIndex, OpenAI API, C++, Weights &amp; Biases, Rust</t>
  </si>
  <si>
    <t>AIJOB00483</t>
  </si>
  <si>
    <t>PyTorch, LangChain, Pinecone, Spark</t>
  </si>
  <si>
    <t>AIJOB00484</t>
  </si>
  <si>
    <t>Docker, Spark, CUDA, RLHF, Azure ML, Python</t>
  </si>
  <si>
    <t>AIJOB00485</t>
  </si>
  <si>
    <t>AWS SageMaker, ChromaDB, LlamaIndex, LangChain, GCP Vertex AI, TensorFlow</t>
  </si>
  <si>
    <t>AIJOB00486</t>
  </si>
  <si>
    <t>CUDA, SQL, MLflow, Hugging Face Transformers</t>
  </si>
  <si>
    <t>AIJOB00487</t>
  </si>
  <si>
    <t>Hugging Face Transformers, Fine-tuning, dbt, Python, Kubernetes, AWS SageMaker, PyTorch</t>
  </si>
  <si>
    <t>AIJOB00488</t>
  </si>
  <si>
    <t>PyTorch, OpenAI API, LlamaIndex, AWS SageMaker</t>
  </si>
  <si>
    <t>AIJOB00489</t>
  </si>
  <si>
    <t>RLHF, TensorFlow, Docker, dbt, Fine-tuning, MLflow</t>
  </si>
  <si>
    <t>AIJOB00490</t>
  </si>
  <si>
    <t>TensorFlow, Docker, LangChain, Weaviate</t>
  </si>
  <si>
    <t>AIJOB00491</t>
  </si>
  <si>
    <t>LangChain, Rust, JAX, Hugging Face Transformers, Pinecone, Weights &amp; Biases</t>
  </si>
  <si>
    <t>AIJOB00492</t>
  </si>
  <si>
    <t>Azure ML, Rust, Weights &amp; Biases, dbt</t>
  </si>
  <si>
    <t>AIJOB00493</t>
  </si>
  <si>
    <t>PyTorch, Weights &amp; Biases, Spark, Azure ML, MLflow</t>
  </si>
  <si>
    <t>AIJOB00494</t>
  </si>
  <si>
    <t>AWS SageMaker, Spark, CUDA, TensorFlow</t>
  </si>
  <si>
    <t>AIJOB00495</t>
  </si>
  <si>
    <t>Weights &amp; Biases, LlamaIndex, Vector Databases, C++, Pinecone, dbt, JAX</t>
  </si>
  <si>
    <t>AIJOB00496</t>
  </si>
  <si>
    <t>RLHF, Hugging Face Transformers, dbt, FastAPI, Pinecone, Kubernetes, CUDA</t>
  </si>
  <si>
    <t>AIJOB00497</t>
  </si>
  <si>
    <t>OpenAI API, Python, Weights &amp; Biases, Spark, ChromaDB</t>
  </si>
  <si>
    <t>AIJOB00498</t>
  </si>
  <si>
    <t>Azure ML, JAX, Weights &amp; Biases</t>
  </si>
  <si>
    <t>AIJOB00499</t>
  </si>
  <si>
    <t>AWS SageMaker, Azure ML, Fine-tuning, JAX, Hugging Face Transformers</t>
  </si>
  <si>
    <t>AIJOB00500</t>
  </si>
  <si>
    <t>Fine-tuning, Weights &amp; Biases, GCP Vertex AI, PyTorch, Hugging Face Transformers, dbt</t>
  </si>
  <si>
    <t>AIJOB00501</t>
  </si>
  <si>
    <t>LlamaIndex, Azure ML, Pinecone</t>
  </si>
  <si>
    <t>AIJOB00502</t>
  </si>
  <si>
    <t>CUDA, Docker, MLflow</t>
  </si>
  <si>
    <t>AIJOB00503</t>
  </si>
  <si>
    <t>Docker, OpenAI API, LlamaIndex</t>
  </si>
  <si>
    <t>AIJOB00504</t>
  </si>
  <si>
    <t>Docker, Azure ML, MLflow, Fine-tuning, Kubernetes</t>
  </si>
  <si>
    <t>AIJOB00505</t>
  </si>
  <si>
    <t>LangChain, dbt, Python</t>
  </si>
  <si>
    <t>AIJOB00506</t>
  </si>
  <si>
    <t>LlamaIndex, Spark, Weights &amp; Biases</t>
  </si>
  <si>
    <t>AIJOB00507</t>
  </si>
  <si>
    <t>OpenAI API, Fine-tuning, Weaviate, MLflow</t>
  </si>
  <si>
    <t>AIJOB00508</t>
  </si>
  <si>
    <t>AWS SageMaker, PyTorch, ChromaDB, Rust</t>
  </si>
  <si>
    <t>AIJOB00509</t>
  </si>
  <si>
    <t>Python, Hugging Face Transformers, ChromaDB, OpenAI API</t>
  </si>
  <si>
    <t>AIJOB00510</t>
  </si>
  <si>
    <t>PyTorch, Spark, LlamaIndex, JAX, Docker</t>
  </si>
  <si>
    <t>AIJOB00511</t>
  </si>
  <si>
    <t>Docker, Weights &amp; Biases, LlamaIndex, Fine-tuning, SQL, AWS SageMaker, GCP Vertex AI</t>
  </si>
  <si>
    <t>AIJOB00512</t>
  </si>
  <si>
    <t>Weaviate, OpenAI API, C++, RLHF, Kubernetes, GCP Vertex AI, Docker</t>
  </si>
  <si>
    <t>AIJOB00513</t>
  </si>
  <si>
    <t>Spark, AWS SageMaker, Python, Hugging Face Transformers</t>
  </si>
  <si>
    <t>AIJOB00514</t>
  </si>
  <si>
    <t>SQL, LangChain, RAG</t>
  </si>
  <si>
    <t>AIJOB00515</t>
  </si>
  <si>
    <t>Weights &amp; Biases, C++, GCP Vertex AI, MLflow, TensorFlow, OpenAI API, LlamaIndex</t>
  </si>
  <si>
    <t>AIJOB00516</t>
  </si>
  <si>
    <t>AWS SageMaker, LangChain, Pinecone, Fine-tuning, LlamaIndex, Python, Kubernetes</t>
  </si>
  <si>
    <t>AIJOB00517</t>
  </si>
  <si>
    <t>AWS SageMaker, Azure ML, TensorFlow</t>
  </si>
  <si>
    <t>AIJOB00518</t>
  </si>
  <si>
    <t>Docker, Vector Databases, dbt</t>
  </si>
  <si>
    <t>AIJOB00519</t>
  </si>
  <si>
    <t>LlamaIndex, TensorFlow, GCP Vertex AI, Hugging Face Transformers, FastAPI</t>
  </si>
  <si>
    <t>AIJOB00520</t>
  </si>
  <si>
    <t>Vector Databases, Weaviate, CUDA, Kubernetes, RAG, TensorFlow, ChromaDB</t>
  </si>
  <si>
    <t>AIJOB00521</t>
  </si>
  <si>
    <t>PyTorch, Azure ML, CUDA</t>
  </si>
  <si>
    <t>AIJOB00522</t>
  </si>
  <si>
    <t>RAG, Weights &amp; Biases, Python, MLflow</t>
  </si>
  <si>
    <t>AIJOB00523</t>
  </si>
  <si>
    <t>LlamaIndex, FastAPI, Hugging Face Transformers, Vector Databases, Weights &amp; Biases, JAX</t>
  </si>
  <si>
    <t>AIJOB00524</t>
  </si>
  <si>
    <t>dbt, RLHF, Weaviate, MLflow, Docker, ChromaDB</t>
  </si>
  <si>
    <t>AIJOB00525</t>
  </si>
  <si>
    <t>SQL, C++, TensorFlow, MLflow, RLHF, Vector Databases, GCP Vertex AI</t>
  </si>
  <si>
    <t>AIJOB00526</t>
  </si>
  <si>
    <t>LangChain, TensorFlow, OpenAI API, SQL, Python, AWS SageMaker, C++</t>
  </si>
  <si>
    <t>AIJOB00527</t>
  </si>
  <si>
    <t>OpenAI API, GCP Vertex AI, FastAPI, RAG, Weights &amp; Biases, Azure ML, LlamaIndex</t>
  </si>
  <si>
    <t>AIJOB00528</t>
  </si>
  <si>
    <t>TensorFlow, Spark, JAX, MLflow, Kubernetes, OpenAI API</t>
  </si>
  <si>
    <t>AIJOB00529</t>
  </si>
  <si>
    <t>CUDA, Fine-tuning, PyTorch, MLflow, FastAPI, dbt, RAG</t>
  </si>
  <si>
    <t>AIJOB00530</t>
  </si>
  <si>
    <t>Hugging Face Transformers, TensorFlow, Docker, ChromaDB, Azure ML</t>
  </si>
  <si>
    <t>AIJOB00531</t>
  </si>
  <si>
    <t>Fine-tuning, CUDA, SQL, dbt, LlamaIndex, RLHF</t>
  </si>
  <si>
    <t>AIJOB00532</t>
  </si>
  <si>
    <t>Hugging Face Transformers, ChromaDB, RAG, TensorFlow, Kubernetes, C++</t>
  </si>
  <si>
    <t>AIJOB00533</t>
  </si>
  <si>
    <t>GCP Vertex AI, SQL, Vector Databases</t>
  </si>
  <si>
    <t>AIJOB00534</t>
  </si>
  <si>
    <t>Vector Databases, OpenAI API, PyTorch, CUDA, Python, dbt</t>
  </si>
  <si>
    <t>AIJOB00535</t>
  </si>
  <si>
    <t>JAX, Fine-tuning, GCP Vertex AI</t>
  </si>
  <si>
    <t>AIJOB00536</t>
  </si>
  <si>
    <t>TensorFlow, Weights &amp; Biases, dbt, ChromaDB</t>
  </si>
  <si>
    <t>AIJOB00537</t>
  </si>
  <si>
    <t>Spark, RLHF, ChromaDB, LangChain</t>
  </si>
  <si>
    <t>AIJOB00538</t>
  </si>
  <si>
    <t>C++, CUDA, LangChain, MLflow, Vector Databases, Spark, RLHF</t>
  </si>
  <si>
    <t>AIJOB00539</t>
  </si>
  <si>
    <t>Spark, AWS SageMaker, MLflow, SQL, LangChain, TensorFlow</t>
  </si>
  <si>
    <t>AIJOB00540</t>
  </si>
  <si>
    <t>FastAPI, RLHF, Weaviate, RAG</t>
  </si>
  <si>
    <t>AIJOB00541</t>
  </si>
  <si>
    <t>C++, JAX, Rust, Fine-tuning, dbt</t>
  </si>
  <si>
    <t>AIJOB00542</t>
  </si>
  <si>
    <t>SQL, Spark, RAG, C++</t>
  </si>
  <si>
    <t>AIJOB00543</t>
  </si>
  <si>
    <t>C++, FastAPI, Spark, Docker, Weaviate, Hugging Face Transformers</t>
  </si>
  <si>
    <t>AIJOB00544</t>
  </si>
  <si>
    <t>RLHF, Spark, FastAPI, Azure ML</t>
  </si>
  <si>
    <t>AIJOB00545</t>
  </si>
  <si>
    <t>CUDA, LangChain, JAX, RLHF, SQL, C++, Weights &amp; Biases</t>
  </si>
  <si>
    <t>AIJOB00546</t>
  </si>
  <si>
    <t>OpenAI API, dbt, Fine-tuning</t>
  </si>
  <si>
    <t>AIJOB00547</t>
  </si>
  <si>
    <t>SQL, Weaviate, Python, Hugging Face Transformers, Pinecone, Weights &amp; Biases, Docker</t>
  </si>
  <si>
    <t>AIJOB00548</t>
  </si>
  <si>
    <t>Docker, Vector Databases, OpenAI API, TensorFlow</t>
  </si>
  <si>
    <t>AIJOB00549</t>
  </si>
  <si>
    <t>AWS SageMaker, Hugging Face Transformers, Rust, OpenAI API, Weights &amp; Biases, Vector Databases, Fine-tuning</t>
  </si>
  <si>
    <t>AIJOB00550</t>
  </si>
  <si>
    <t>Docker, ChromaDB, Fine-tuning, AWS SageMaker, SQL, Spark, Pinecone</t>
  </si>
  <si>
    <t>AIJOB00551</t>
  </si>
  <si>
    <t>MLflow, GCP Vertex AI, OpenAI API</t>
  </si>
  <si>
    <t>AIJOB00552</t>
  </si>
  <si>
    <t>GCP Vertex AI, C++, JAX, OpenAI API, Rust, PyTorch</t>
  </si>
  <si>
    <t>AIJOB00553</t>
  </si>
  <si>
    <t>Python, RLHF, AWS SageMaker, LlamaIndex, RAG, PyTorch, Weaviate</t>
  </si>
  <si>
    <t>AIJOB00554</t>
  </si>
  <si>
    <t>SQL, PyTorch, RAG, AWS SageMaker, MLflow, RLHF</t>
  </si>
  <si>
    <t>AIJOB00555</t>
  </si>
  <si>
    <t>C++, JAX, Weaviate, Python, MLflow</t>
  </si>
  <si>
    <t>AIJOB00556</t>
  </si>
  <si>
    <t>CUDA, LlamaIndex, FastAPI, ChromaDB, JAX</t>
  </si>
  <si>
    <t>AIJOB00557</t>
  </si>
  <si>
    <t>MLflow, TensorFlow, Azure ML, Weaviate, C++</t>
  </si>
  <si>
    <t>AIJOB00558</t>
  </si>
  <si>
    <t>FastAPI, Pinecone, CUDA, GCP Vertex AI, JAX, AWS SageMaker, MLflow</t>
  </si>
  <si>
    <t>AIJOB00559</t>
  </si>
  <si>
    <t>Hugging Face Transformers, dbt, AWS SageMaker, ChromaDB, Spark, LangChain</t>
  </si>
  <si>
    <t>AIJOB00560</t>
  </si>
  <si>
    <t>LlamaIndex, RAG, Pinecone, Fine-tuning</t>
  </si>
  <si>
    <t>AIJOB00561</t>
  </si>
  <si>
    <t>LangChain, dbt, PyTorch, Spark, Kubernetes, JAX</t>
  </si>
  <si>
    <t>AIJOB00562</t>
  </si>
  <si>
    <t>Vector Databases, OpenAI API, Hugging Face Transformers, Rust, Azure ML</t>
  </si>
  <si>
    <t>AIJOB00563</t>
  </si>
  <si>
    <t>GCP Vertex AI, JAX, RLHF, LlamaIndex</t>
  </si>
  <si>
    <t>AIJOB00564</t>
  </si>
  <si>
    <t>Vector Databases, LangChain, PyTorch, C++</t>
  </si>
  <si>
    <t>AIJOB00565</t>
  </si>
  <si>
    <t>dbt, Vector Databases, Docker, Azure ML, RLHF</t>
  </si>
  <si>
    <t>AIJOB00566</t>
  </si>
  <si>
    <t>ChromaDB, Weights &amp; Biases, MLflow, Fine-tuning</t>
  </si>
  <si>
    <t>AIJOB00567</t>
  </si>
  <si>
    <t>RAG, ChromaDB, Fine-tuning, Docker, AWS SageMaker</t>
  </si>
  <si>
    <t>AIJOB00568</t>
  </si>
  <si>
    <t>RLHF, dbt, LlamaIndex, Pinecone</t>
  </si>
  <si>
    <t>AIJOB00569</t>
  </si>
  <si>
    <t>Azure ML, dbt, C++, Python, PyTorch, Docker</t>
  </si>
  <si>
    <t>AIJOB00570</t>
  </si>
  <si>
    <t>Kubernetes, Rust, dbt, Spark, RAG</t>
  </si>
  <si>
    <t>AIJOB00571</t>
  </si>
  <si>
    <t>AWS SageMaker, TensorFlow, ChromaDB, Spark, RLHF</t>
  </si>
  <si>
    <t>AIJOB00572</t>
  </si>
  <si>
    <t>Python, Weaviate, JAX, FastAPI, Fine-tuning, TensorFlow</t>
  </si>
  <si>
    <t>AIJOB00573</t>
  </si>
  <si>
    <t>Rust, FastAPI, Pinecone, RLHF, PyTorch, TensorFlow</t>
  </si>
  <si>
    <t>AIJOB00574</t>
  </si>
  <si>
    <t>LlamaIndex, Kubernetes, dbt, Spark, JAX, AWS SageMaker</t>
  </si>
  <si>
    <t>AIJOB00575</t>
  </si>
  <si>
    <t>RLHF, RAG, PyTorch, LangChain, AWS SageMaker, CUDA, Vector Databases</t>
  </si>
  <si>
    <t>AIJOB00576</t>
  </si>
  <si>
    <t>Hugging Face Transformers, Pinecone, Weights &amp; Biases, MLflow</t>
  </si>
  <si>
    <t>AIJOB00577</t>
  </si>
  <si>
    <t>AWS SageMaker, RLHF, LangChain</t>
  </si>
  <si>
    <t>AIJOB00578</t>
  </si>
  <si>
    <t>CUDA, JAX, Pinecone, OpenAI API, Azure ML, MLflow, C++</t>
  </si>
  <si>
    <t>AIJOB00579</t>
  </si>
  <si>
    <t>RAG, Vector Databases, SQL, dbt, Hugging Face Transformers, ChromaDB</t>
  </si>
  <si>
    <t>AIJOB00580</t>
  </si>
  <si>
    <t>LangChain, dbt, Vector Databases, GCP Vertex AI</t>
  </si>
  <si>
    <t>AIJOB00581</t>
  </si>
  <si>
    <t>FastAPI, Azure ML, SQL, Spark, Python, Hugging Face Transformers</t>
  </si>
  <si>
    <t>AIJOB00582</t>
  </si>
  <si>
    <t>ChromaDB, Python, Spark</t>
  </si>
  <si>
    <t>AIJOB00583</t>
  </si>
  <si>
    <t>ChromaDB, C++, Vector Databases, Pinecone</t>
  </si>
  <si>
    <t>AIJOB00584</t>
  </si>
  <si>
    <t>SQL, Weaviate, GCP Vertex AI</t>
  </si>
  <si>
    <t>AIJOB00585</t>
  </si>
  <si>
    <t>RAG, SQL, PyTorch, Weaviate, MLflow</t>
  </si>
  <si>
    <t>AIJOB00586</t>
  </si>
  <si>
    <t>FastAPI, dbt, JAX, PyTorch, Kubernetes</t>
  </si>
  <si>
    <t>AIJOB00587</t>
  </si>
  <si>
    <t>PyTorch, Vector Databases, Pinecone</t>
  </si>
  <si>
    <t>AIJOB00588</t>
  </si>
  <si>
    <t>FastAPI, RAG, MLflow, LlamaIndex, Fine-tuning, C++</t>
  </si>
  <si>
    <t>AIJOB00589</t>
  </si>
  <si>
    <t>ChromaDB, PyTorch, Rust, Python, Weights &amp; Biases, Kubernetes, CUDA</t>
  </si>
  <si>
    <t>AIJOB00590</t>
  </si>
  <si>
    <t>Weaviate, OpenAI API, Vector Databases, MLflow, Weights &amp; Biases</t>
  </si>
  <si>
    <t>AIJOB00591</t>
  </si>
  <si>
    <t>PyTorch, Azure ML, JAX</t>
  </si>
  <si>
    <t>AIJOB00592</t>
  </si>
  <si>
    <t>Spark, FastAPI, RLHF, LangChain, Python, Vector Databases</t>
  </si>
  <si>
    <t>AIJOB00593</t>
  </si>
  <si>
    <t>OpenAI API, RAG, Hugging Face Transformers, dbt</t>
  </si>
  <si>
    <t>AIJOB00594</t>
  </si>
  <si>
    <t>Fine-tuning, CUDA, JAX, Rust, Weights &amp; Biases, FastAPI, PyTorch</t>
  </si>
  <si>
    <t>AIJOB00595</t>
  </si>
  <si>
    <t>LlamaIndex, Python, Docker, Rust</t>
  </si>
  <si>
    <t>AIJOB00596</t>
  </si>
  <si>
    <t>C++, Docker, CUDA, Hugging Face Transformers, RLHF</t>
  </si>
  <si>
    <t>AIJOB00597</t>
  </si>
  <si>
    <t>Hugging Face Transformers, Docker, FastAPI, Rust, CUDA, C++</t>
  </si>
  <si>
    <t>AIJOB00598</t>
  </si>
  <si>
    <t>PyTorch, MLflow, Docker, Python</t>
  </si>
  <si>
    <t>AIJOB00599</t>
  </si>
  <si>
    <t>C++, dbt, Fine-tuning, TensorFlow, Spark</t>
  </si>
  <si>
    <t>AIJOB00600</t>
  </si>
  <si>
    <t>ChromaDB, Python, LangChain, SQL</t>
  </si>
  <si>
    <t>AIJOB00601</t>
  </si>
  <si>
    <t>Pinecone, ChromaDB, Spark, Weaviate, Weights &amp; Biases, Fine-tuning, Rust</t>
  </si>
  <si>
    <t>AIJOB00602</t>
  </si>
  <si>
    <t>Kubernetes, RLHF, GCP Vertex AI, Weights &amp; Biases, LangChain</t>
  </si>
  <si>
    <t>AIJOB00603</t>
  </si>
  <si>
    <t>Weaviate, Kubernetes, FastAPI, Fine-tuning</t>
  </si>
  <si>
    <t>AIJOB00604</t>
  </si>
  <si>
    <t>Python, Hugging Face Transformers, LangChain, Fine-tuning, Docker, Weaviate</t>
  </si>
  <si>
    <t>AIJOB00605</t>
  </si>
  <si>
    <t>Kubernetes, MLflow, AWS SageMaker, LangChain, GCP Vertex AI, FastAPI, ChromaDB</t>
  </si>
  <si>
    <t>AIJOB00606</t>
  </si>
  <si>
    <t>Weights &amp; Biases, FastAPI, ChromaDB, C++</t>
  </si>
  <si>
    <t>AIJOB00607</t>
  </si>
  <si>
    <t>PyTorch, ChromaDB, Pinecone, JAX, CUDA</t>
  </si>
  <si>
    <t>AIJOB00608</t>
  </si>
  <si>
    <t>AWS SageMaker, Docker, Vector Databases</t>
  </si>
  <si>
    <t>AIJOB00609</t>
  </si>
  <si>
    <t>Weaviate, Rust, OpenAI API, Python, Vector Databases, CUDA, Azure ML</t>
  </si>
  <si>
    <t>AIJOB00610</t>
  </si>
  <si>
    <t>Azure ML, Rust, TensorFlow</t>
  </si>
  <si>
    <t>AIJOB00611</t>
  </si>
  <si>
    <t>GCP Vertex AI, OpenAI API, C++, Weaviate, dbt, Spark, PyTorch</t>
  </si>
  <si>
    <t>AIJOB00612</t>
  </si>
  <si>
    <t>Pinecone, CUDA, Weights &amp; Biases</t>
  </si>
  <si>
    <t>AIJOB00613</t>
  </si>
  <si>
    <t>JAX, AWS SageMaker, C++, Kubernetes</t>
  </si>
  <si>
    <t>AIJOB00614</t>
  </si>
  <si>
    <t>LangChain, Hugging Face Transformers, RLHF, GCP Vertex AI, dbt, JAX</t>
  </si>
  <si>
    <t>AIJOB00615</t>
  </si>
  <si>
    <t>PyTorch, Weaviate, FastAPI, GCP Vertex AI, Docker, dbt</t>
  </si>
  <si>
    <t>AIJOB00616</t>
  </si>
  <si>
    <t>Weaviate, OpenAI API, FastAPI, Spark</t>
  </si>
  <si>
    <t>AIJOB00617</t>
  </si>
  <si>
    <t>OpenAI API, Hugging Face Transformers, C++, Weaviate, RAG, MLflow, Kubernetes</t>
  </si>
  <si>
    <t>AIJOB00618</t>
  </si>
  <si>
    <t>Hugging Face Transformers, AWS SageMaker, Python</t>
  </si>
  <si>
    <t>AIJOB00619</t>
  </si>
  <si>
    <t>SQL, LlamaIndex, LangChain, Weights &amp; Biases, ChromaDB, RAG, OpenAI API</t>
  </si>
  <si>
    <t>AIJOB00620</t>
  </si>
  <si>
    <t>Fine-tuning, Weaviate, Docker, Vector Databases</t>
  </si>
  <si>
    <t>AIJOB00621</t>
  </si>
  <si>
    <t>RLHF, Azure ML, Vector Databases, ChromaDB</t>
  </si>
  <si>
    <t>AIJOB00622</t>
  </si>
  <si>
    <t>Pinecone, Weights &amp; Biases, C++, ChromaDB, FastAPI, Kubernetes</t>
  </si>
  <si>
    <t>AIJOB00623</t>
  </si>
  <si>
    <t>Weaviate, Vector Databases, GCP Vertex AI, Spark, Kubernetes, C++</t>
  </si>
  <si>
    <t>AIJOB00624</t>
  </si>
  <si>
    <t>PyTorch, JAX, Fine-tuning</t>
  </si>
  <si>
    <t>AIJOB00625</t>
  </si>
  <si>
    <t>LlamaIndex, AWS SageMaker, Pinecone, dbt</t>
  </si>
  <si>
    <t>AIJOB00626</t>
  </si>
  <si>
    <t>GCP Vertex AI, Fine-tuning, Hugging Face Transformers</t>
  </si>
  <si>
    <t>AIJOB00627</t>
  </si>
  <si>
    <t>Azure ML, Spark, Python, OpenAI API</t>
  </si>
  <si>
    <t>AIJOB00628</t>
  </si>
  <si>
    <t>Docker, ChromaDB, LangChain, LlamaIndex</t>
  </si>
  <si>
    <t>AIJOB00629</t>
  </si>
  <si>
    <t>LlamaIndex, JAX, Hugging Face Transformers, Vector Databases, Python, GCP Vertex AI, TensorFlow</t>
  </si>
  <si>
    <t>AIJOB00630</t>
  </si>
  <si>
    <t>Azure ML, AWS SageMaker, C++, Pinecone, GCP Vertex AI, Rust</t>
  </si>
  <si>
    <t>AIJOB00631</t>
  </si>
  <si>
    <t>Hugging Face Transformers, Python, CUDA, Azure ML, RLHF</t>
  </si>
  <si>
    <t>AIJOB00632</t>
  </si>
  <si>
    <t>Docker, Pinecone, Python, SQL, PyTorch</t>
  </si>
  <si>
    <t>AIJOB00633</t>
  </si>
  <si>
    <t>Rust, LangChain, PyTorch, Azure ML, Python, SQL, MLflow</t>
  </si>
  <si>
    <t>AIJOB00634</t>
  </si>
  <si>
    <t>JAX, MLflow, Hugging Face Transformers, ChromaDB, Weights &amp; Biases</t>
  </si>
  <si>
    <t>AIJOB00635</t>
  </si>
  <si>
    <t>Docker, SQL, OpenAI API</t>
  </si>
  <si>
    <t>AIJOB00636</t>
  </si>
  <si>
    <t>Weights &amp; Biases, TensorFlow, Hugging Face Transformers, GCP Vertex AI</t>
  </si>
  <si>
    <t>AIJOB00637</t>
  </si>
  <si>
    <t>Hugging Face Transformers, Docker, LlamaIndex, ChromaDB, GCP Vertex AI</t>
  </si>
  <si>
    <t>AIJOB00638</t>
  </si>
  <si>
    <t>PyTorch, C++, ChromaDB, RAG</t>
  </si>
  <si>
    <t>AIJOB00639</t>
  </si>
  <si>
    <t>RLHF, Docker, PyTorch, LangChain</t>
  </si>
  <si>
    <t>AIJOB00640</t>
  </si>
  <si>
    <t>GCP Vertex AI, Spark, JAX, LangChain, Hugging Face Transformers</t>
  </si>
  <si>
    <t>AIJOB00641</t>
  </si>
  <si>
    <t>SQL, GCP Vertex AI, Vector Databases, dbt, RAG</t>
  </si>
  <si>
    <t>AIJOB00642</t>
  </si>
  <si>
    <t>OpenAI API, ChromaDB, FastAPI, LlamaIndex, Rust, dbt, GCP Vertex AI</t>
  </si>
  <si>
    <t>AIJOB00643</t>
  </si>
  <si>
    <t>Kubernetes, CUDA, OpenAI API, Fine-tuning</t>
  </si>
  <si>
    <t>AIJOB00644</t>
  </si>
  <si>
    <t>MLflow, Kubernetes, FastAPI, LangChain, RAG, LlamaIndex</t>
  </si>
  <si>
    <t>AIJOB00645</t>
  </si>
  <si>
    <t>Azure ML, GCP Vertex AI, Pinecone, C++</t>
  </si>
  <si>
    <t>AIJOB00646</t>
  </si>
  <si>
    <t>RAG, dbt, C++, Vector Databases, PyTorch</t>
  </si>
  <si>
    <t>AIJOB00647</t>
  </si>
  <si>
    <t>RAG, dbt, RLHF, Python, Vector Databases, Spark, CUDA</t>
  </si>
  <si>
    <t>AIJOB00648</t>
  </si>
  <si>
    <t>FastAPI, RAG, dbt, TensorFlow, LlamaIndex, Python, GCP Vertex AI</t>
  </si>
  <si>
    <t>AIJOB00649</t>
  </si>
  <si>
    <t>dbt, Azure ML, Docker, Fine-tuning, GCP Vertex AI, JAX, AWS SageMaker</t>
  </si>
  <si>
    <t>AIJOB00650</t>
  </si>
  <si>
    <t>Kubernetes, Hugging Face Transformers, TensorFlow, Weaviate, LangChain, LlamaIndex</t>
  </si>
  <si>
    <t>AIJOB00651</t>
  </si>
  <si>
    <t>LlamaIndex, SQL, Weights &amp; Biases</t>
  </si>
  <si>
    <t>AIJOB00652</t>
  </si>
  <si>
    <t>ChromaDB, Docker, AWS SageMaker, SQL</t>
  </si>
  <si>
    <t>AIJOB00653</t>
  </si>
  <si>
    <t>Hugging Face Transformers, dbt, AWS SageMaker, Docker, Python, Fine-tuning</t>
  </si>
  <si>
    <t>AIJOB00654</t>
  </si>
  <si>
    <t>C++, RLHF, ChromaDB, Fine-tuning, Spark, SQL, GCP Vertex AI</t>
  </si>
  <si>
    <t>AIJOB00655</t>
  </si>
  <si>
    <t>Docker, RAG, PyTorch, dbt, ChromaDB, TensorFlow</t>
  </si>
  <si>
    <t>AIJOB00656</t>
  </si>
  <si>
    <t>FastAPI, Python, JAX, AWS SageMaker, Weaviate, Weights &amp; Biases</t>
  </si>
  <si>
    <t>AIJOB00657</t>
  </si>
  <si>
    <t>Fine-tuning, JAX, SQL, Docker</t>
  </si>
  <si>
    <t>AIJOB00658</t>
  </si>
  <si>
    <t>RAG, AWS SageMaker, Python, Weaviate</t>
  </si>
  <si>
    <t>AIJOB00659</t>
  </si>
  <si>
    <t>SQL, ChromaDB, Weights &amp; Biases</t>
  </si>
  <si>
    <t>AIJOB00660</t>
  </si>
  <si>
    <t>Hugging Face Transformers, Vector Databases, MLflow, OpenAI API</t>
  </si>
  <si>
    <t>AIJOB00661</t>
  </si>
  <si>
    <t>C++, GCP Vertex AI, Hugging Face Transformers, Kubernetes, RLHF, Weights &amp; Biases, TensorFlow</t>
  </si>
  <si>
    <t>AIJOB00662</t>
  </si>
  <si>
    <t>RLHF, Vector Databases, C++</t>
  </si>
  <si>
    <t>AIJOB00663</t>
  </si>
  <si>
    <t>FastAPI, Rust, LangChain, Weights &amp; Biases, Hugging Face Transformers, Azure ML, Fine-tuning</t>
  </si>
  <si>
    <t>AIJOB00664</t>
  </si>
  <si>
    <t>Rust, RLHF, MLflow, Docker, ChromaDB</t>
  </si>
  <si>
    <t>AIJOB00665</t>
  </si>
  <si>
    <t>dbt, AWS SageMaker, LlamaIndex, Weights &amp; Biases, MLflow, C++</t>
  </si>
  <si>
    <t>AIJOB00666</t>
  </si>
  <si>
    <t>Vector Databases, SQL, Hugging Face Transformers, Azure ML, Spark, LlamaIndex</t>
  </si>
  <si>
    <t>AIJOB00667</t>
  </si>
  <si>
    <t>Kubernetes, LlamaIndex, Docker, SQL</t>
  </si>
  <si>
    <t>AIJOB00668</t>
  </si>
  <si>
    <t>Spark, LangChain, GCP Vertex AI, Pinecone, TensorFlow, Docker</t>
  </si>
  <si>
    <t>AIJOB00669</t>
  </si>
  <si>
    <t>PyTorch, SQL, Docker, Weaviate</t>
  </si>
  <si>
    <t>AIJOB00670</t>
  </si>
  <si>
    <t>GCP Vertex AI, Rust, Spark</t>
  </si>
  <si>
    <t>AIJOB00671</t>
  </si>
  <si>
    <t>ChromaDB, Rust, Spark, SQL</t>
  </si>
  <si>
    <t>AIJOB00672</t>
  </si>
  <si>
    <t>Pinecone, AWS SageMaker, Spark, RLHF, LangChain, Hugging Face Transformers, Vector Databases</t>
  </si>
  <si>
    <t>AIJOB00673</t>
  </si>
  <si>
    <t>OpenAI API, AWS SageMaker, Pinecone, GCP Vertex AI</t>
  </si>
  <si>
    <t>AIJOB00674</t>
  </si>
  <si>
    <t>Vector Databases, Spark, SQL, Rust, Fine-tuning, Weights &amp; Biases, Docker</t>
  </si>
  <si>
    <t>AIJOB00675</t>
  </si>
  <si>
    <t>Fine-tuning, Azure ML, Spark</t>
  </si>
  <si>
    <t>AIJOB00676</t>
  </si>
  <si>
    <t>Rust, OpenAI API, SQL, Pinecone</t>
  </si>
  <si>
    <t>AIJOB00677</t>
  </si>
  <si>
    <t>RAG, PyTorch, LangChain, CUDA, Spark, GCP Vertex AI, Docker</t>
  </si>
  <si>
    <t>AIJOB00678</t>
  </si>
  <si>
    <t>TensorFlow, RLHF, Kubernetes, GCP Vertex AI, ChromaDB, Weaviate, dbt</t>
  </si>
  <si>
    <t>AIJOB00679</t>
  </si>
  <si>
    <t>Azure ML, GCP Vertex AI, OpenAI API, dbt, MLflow, Docker</t>
  </si>
  <si>
    <t>AIJOB00680</t>
  </si>
  <si>
    <t>CUDA, Rust, GCP Vertex AI, JAX, Weaviate, Vector Databases, AWS SageMaker</t>
  </si>
  <si>
    <t>AIJOB00681</t>
  </si>
  <si>
    <t>RLHF, JAX, Weights &amp; Biases, LlamaIndex, Spark</t>
  </si>
  <si>
    <t>AIJOB00682</t>
  </si>
  <si>
    <t>Kubernetes, GCP Vertex AI, Fine-tuning</t>
  </si>
  <si>
    <t>AIJOB00683</t>
  </si>
  <si>
    <t>Hugging Face Transformers, LangChain, Python, Weaviate, SQL</t>
  </si>
  <si>
    <t>AIJOB00684</t>
  </si>
  <si>
    <t>Python, LlamaIndex, JAX, RLHF, LangChain</t>
  </si>
  <si>
    <t>AIJOB00685</t>
  </si>
  <si>
    <t>Weights &amp; Biases, Pinecone, LangChain, Hugging Face Transformers, FastAPI, OpenAI API, C++</t>
  </si>
  <si>
    <t>AIJOB00686</t>
  </si>
  <si>
    <t>RAG, CUDA, LangChain, Azure ML, Rust, AWS SageMaker</t>
  </si>
  <si>
    <t>AIJOB00687</t>
  </si>
  <si>
    <t>ChromaDB, Python, LlamaIndex, Pinecone</t>
  </si>
  <si>
    <t>AIJOB00688</t>
  </si>
  <si>
    <t>Weights &amp; Biases, Rust, dbt, Hugging Face Transformers</t>
  </si>
  <si>
    <t>AIJOB00689</t>
  </si>
  <si>
    <t>PyTorch, Weights &amp; Biases, LlamaIndex, Fine-tuning, JAX, Weaviate</t>
  </si>
  <si>
    <t>AIJOB00690</t>
  </si>
  <si>
    <t>RLHF, LlamaIndex, SQL, Rust, Spark, Python, AWS SageMaker</t>
  </si>
  <si>
    <t>AIJOB00691</t>
  </si>
  <si>
    <t>Kubernetes, dbt, TensorFlow, Weights &amp; Biases</t>
  </si>
  <si>
    <t>AIJOB00692</t>
  </si>
  <si>
    <t>ChromaDB, Weights &amp; Biases, CUDA, PyTorch</t>
  </si>
  <si>
    <t>AIJOB00693</t>
  </si>
  <si>
    <t>OpenAI API, Spark, CUDA, C++, ChromaDB</t>
  </si>
  <si>
    <t>AIJOB00694</t>
  </si>
  <si>
    <t>RLHF, dbt, LangChain, CUDA, GCP Vertex AI, Pinecone, Docker</t>
  </si>
  <si>
    <t>AIJOB00695</t>
  </si>
  <si>
    <t>TensorFlow, CUDA, Pinecone, Hugging Face Transformers, RAG, C++, OpenAI API</t>
  </si>
  <si>
    <t>AIJOB00696</t>
  </si>
  <si>
    <t>Azure ML, Hugging Face Transformers, LangChain, dbt</t>
  </si>
  <si>
    <t>AIJOB00697</t>
  </si>
  <si>
    <t>GCP Vertex AI, LlamaIndex, Weights &amp; Biases, AWS SageMaker, Python, TensorFlow</t>
  </si>
  <si>
    <t>AIJOB00698</t>
  </si>
  <si>
    <t>OpenAI API, Kubernetes, C++, Azure ML, TensorFlow, CUDA, Docker</t>
  </si>
  <si>
    <t>AIJOB00699</t>
  </si>
  <si>
    <t>Vector Databases, Kubernetes, dbt, RLHF, AWS SageMaker, LangChain, Weaviate</t>
  </si>
  <si>
    <t>AIJOB00700</t>
  </si>
  <si>
    <t>FastAPI, AWS SageMaker, Kubernetes, Pinecone, LangChain, TensorFlow</t>
  </si>
  <si>
    <t>AIJOB00701</t>
  </si>
  <si>
    <t>JAX, Docker, Spark, Pinecone, GCP Vertex AI</t>
  </si>
  <si>
    <t>AIJOB00702</t>
  </si>
  <si>
    <t>SQL, Pinecone, dbt, RAG, PyTorch, JAX</t>
  </si>
  <si>
    <t>AIJOB00703</t>
  </si>
  <si>
    <t>PyTorch, RAG, C++, Rust, Spark, Weights &amp; Biases, Fine-tuning</t>
  </si>
  <si>
    <t>AIJOB00704</t>
  </si>
  <si>
    <t>Azure ML, Kubernetes, Docker, RLHF, Rust</t>
  </si>
  <si>
    <t>AIJOB00705</t>
  </si>
  <si>
    <t>SQL, Weaviate, Weights &amp; Biases, Rust, C++</t>
  </si>
  <si>
    <t>AIJOB00706</t>
  </si>
  <si>
    <t>GCP Vertex AI, Rust, RLHF, JAX, Azure ML</t>
  </si>
  <si>
    <t>AIJOB00707</t>
  </si>
  <si>
    <t>TensorFlow, MLflow, SQL, JAX</t>
  </si>
  <si>
    <t>AIJOB00708</t>
  </si>
  <si>
    <t>Kubernetes, Weaviate, LlamaIndex</t>
  </si>
  <si>
    <t>AIJOB00709</t>
  </si>
  <si>
    <t>Vector Databases, C++, RLHF, Fine-tuning, Weaviate, FastAPI, ChromaDB</t>
  </si>
  <si>
    <t>AIJOB00710</t>
  </si>
  <si>
    <t>MLflow, LlamaIndex, GCP Vertex AI</t>
  </si>
  <si>
    <t>AIJOB00711</t>
  </si>
  <si>
    <t>C++, Kubernetes, RLHF, Docker, ChromaDB, PyTorch, JAX</t>
  </si>
  <si>
    <t>AIJOB00712</t>
  </si>
  <si>
    <t>ChromaDB, Docker, JAX, Weights &amp; Biases, Python</t>
  </si>
  <si>
    <t>AIJOB00713</t>
  </si>
  <si>
    <t>Fine-tuning, LlamaIndex, FastAPI, Weaviate, dbt, ChromaDB, GCP Vertex AI</t>
  </si>
  <si>
    <t>AIJOB00714</t>
  </si>
  <si>
    <t>C++, Hugging Face Transformers, Python, Spark</t>
  </si>
  <si>
    <t>AIJOB00715</t>
  </si>
  <si>
    <t>Hugging Face Transformers, MLflow, Fine-tuning, JAX, Docker</t>
  </si>
  <si>
    <t>AIJOB00716</t>
  </si>
  <si>
    <t>dbt, Azure ML, LangChain</t>
  </si>
  <si>
    <t>AIJOB00717</t>
  </si>
  <si>
    <t>Azure ML, LangChain, CUDA, dbt</t>
  </si>
  <si>
    <t>AIJOB00718</t>
  </si>
  <si>
    <t>Rust, AWS SageMaker, LangChain</t>
  </si>
  <si>
    <t>AIJOB00719</t>
  </si>
  <si>
    <t>TensorFlow, GCP Vertex AI, Kubernetes, Azure ML, LlamaIndex, C++, Vector Databases</t>
  </si>
  <si>
    <t>AIJOB00720</t>
  </si>
  <si>
    <t>LlamaIndex, RLHF, FastAPI, OpenAI API, AWS SageMaker</t>
  </si>
  <si>
    <t>AIJOB00721</t>
  </si>
  <si>
    <t>FastAPI, dbt, MLflow, PyTorch, Pinecone</t>
  </si>
  <si>
    <t>AIJOB00722</t>
  </si>
  <si>
    <t>C++, dbt, CUDA</t>
  </si>
  <si>
    <t>AIJOB00723</t>
  </si>
  <si>
    <t>Python, PyTorch, RAG, OpenAI API, MLflow, LangChain, AWS SageMaker</t>
  </si>
  <si>
    <t>AIJOB00724</t>
  </si>
  <si>
    <t>OpenAI API, JAX, Spark, Weights &amp; Biases, Docker</t>
  </si>
  <si>
    <t>AIJOB00725</t>
  </si>
  <si>
    <t>TensorFlow, Spark, LangChain, Hugging Face Transformers</t>
  </si>
  <si>
    <t>AIJOB00726</t>
  </si>
  <si>
    <t>Docker, LangChain, FastAPI, CUDA, RAG, OpenAI API, TensorFlow</t>
  </si>
  <si>
    <t>AIJOB00727</t>
  </si>
  <si>
    <t>RLHF, Weights &amp; Biases, LlamaIndex, SQL, FastAPI</t>
  </si>
  <si>
    <t>AIJOB00728</t>
  </si>
  <si>
    <t>RAG, LlamaIndex, AWS SageMaker</t>
  </si>
  <si>
    <t>AIJOB00729</t>
  </si>
  <si>
    <t>LangChain, dbt, TensorFlow</t>
  </si>
  <si>
    <t>AIJOB00730</t>
  </si>
  <si>
    <t>FastAPI, Spark, PyTorch, ChromaDB</t>
  </si>
  <si>
    <t>AIJOB00731</t>
  </si>
  <si>
    <t>Vector Databases, LlamaIndex, RLHF, Weaviate, Azure ML, Kubernetes</t>
  </si>
  <si>
    <t>AIJOB00732</t>
  </si>
  <si>
    <t>OpenAI API, RAG, Fine-tuning, JAX, RLHF</t>
  </si>
  <si>
    <t>AIJOB00733</t>
  </si>
  <si>
    <t>Azure ML, RLHF, Weaviate, FastAPI, Fine-tuning, JAX, Spark</t>
  </si>
  <si>
    <t>AIJOB00734</t>
  </si>
  <si>
    <t>RLHF, Python, MLflow, OpenAI API</t>
  </si>
  <si>
    <t>AIJOB00735</t>
  </si>
  <si>
    <t>Pinecone, Weights &amp; Biases, Spark, PyTorch, dbt, LangChain, TensorFlow</t>
  </si>
  <si>
    <t>AIJOB00736</t>
  </si>
  <si>
    <t>JAX, C++, RLHF, Vector Databases, GCP Vertex AI, MLflow, Hugging Face Transformers</t>
  </si>
  <si>
    <t>AIJOB00737</t>
  </si>
  <si>
    <t>dbt, LlamaIndex, RLHF</t>
  </si>
  <si>
    <t>AIJOB00738</t>
  </si>
  <si>
    <t>Azure ML, GCP Vertex AI, TensorFlow, JAX, C++, Hugging Face Transformers, LlamaIndex</t>
  </si>
  <si>
    <t>AIJOB00739</t>
  </si>
  <si>
    <t>SQL, JAX, ChromaDB</t>
  </si>
  <si>
    <t>AIJOB00740</t>
  </si>
  <si>
    <t>PyTorch, Docker, Weights &amp; Biases, FastAPI, dbt</t>
  </si>
  <si>
    <t>AIJOB00741</t>
  </si>
  <si>
    <t>GCP Vertex AI, Azure ML, Rust, Pinecone, Fine-tuning, FastAPI</t>
  </si>
  <si>
    <t>AIJOB00742</t>
  </si>
  <si>
    <t>Rust, FastAPI, LangChain, Kubernetes</t>
  </si>
  <si>
    <t>AIJOB00743</t>
  </si>
  <si>
    <t>Spark, CUDA, GCP Vertex AI, Rust, dbt, LangChain</t>
  </si>
  <si>
    <t>AIJOB00744</t>
  </si>
  <si>
    <t>Spark, Pinecone, OpenAI API, Vector Databases, C++</t>
  </si>
  <si>
    <t>AIJOB00745</t>
  </si>
  <si>
    <t>MLflow, FastAPI, TensorFlow</t>
  </si>
  <si>
    <t>AIJOB00746</t>
  </si>
  <si>
    <t>AWS SageMaker, FastAPI, Hugging Face Transformers, TensorFlow, PyTorch</t>
  </si>
  <si>
    <t>AIJOB00747</t>
  </si>
  <si>
    <t>dbt, TensorFlow, ChromaDB, Docker, Weights &amp; Biases, GCP Vertex AI, RLHF</t>
  </si>
  <si>
    <t>AIJOB00748</t>
  </si>
  <si>
    <t>RLHF, CUDA, JAX, C++, LlamaIndex, FastAPI</t>
  </si>
  <si>
    <t>AIJOB00749</t>
  </si>
  <si>
    <t>Python, RAG, Vector Databases</t>
  </si>
  <si>
    <t>AIJOB00750</t>
  </si>
  <si>
    <t>Vector Databases, dbt, PyTorch, Azure ML</t>
  </si>
  <si>
    <t>AIJOB00751</t>
  </si>
  <si>
    <t>Fine-tuning, SQL, LangChain, CUDA, LlamaIndex, Pinecone, AWS SageMaker</t>
  </si>
  <si>
    <t>AIJOB00752</t>
  </si>
  <si>
    <t>Weaviate, GCP Vertex AI, ChromaDB, Rust, MLflow</t>
  </si>
  <si>
    <t>AIJOB00753</t>
  </si>
  <si>
    <t>RAG, FastAPI, LlamaIndex</t>
  </si>
  <si>
    <t>AIJOB00754</t>
  </si>
  <si>
    <t>GCP Vertex AI, Azure ML, C++</t>
  </si>
  <si>
    <t>AIJOB00755</t>
  </si>
  <si>
    <t>Pinecone, Rust, AWS SageMaker, Kubernetes</t>
  </si>
  <si>
    <t>AIJOB00756</t>
  </si>
  <si>
    <t>Spark, RAG, Weaviate, Hugging Face Transformers, SQL, RLHF</t>
  </si>
  <si>
    <t>AIJOB00757</t>
  </si>
  <si>
    <t>Azure ML, LlamaIndex, GCP Vertex AI, Weights &amp; Biases, RAG, Weaviate</t>
  </si>
  <si>
    <t>AIJOB00758</t>
  </si>
  <si>
    <t>Vector Databases, TensorFlow, LlamaIndex, LangChain</t>
  </si>
  <si>
    <t>AIJOB00759</t>
  </si>
  <si>
    <t>C++, OpenAI API, RLHF</t>
  </si>
  <si>
    <t>AIJOB00760</t>
  </si>
  <si>
    <t>FastAPI, Spark, dbt, RAG, Python, Pinecone</t>
  </si>
  <si>
    <t>AIJOB00761</t>
  </si>
  <si>
    <t>JAX, Azure ML, Pinecone, Hugging Face Transformers, RAG, OpenAI API, LlamaIndex</t>
  </si>
  <si>
    <t>AIJOB00762</t>
  </si>
  <si>
    <t>RLHF, Python, SQL, Spark, dbt</t>
  </si>
  <si>
    <t>AIJOB00763</t>
  </si>
  <si>
    <t>PyTorch, Spark, CUDA, Kubernetes, ChromaDB, Docker</t>
  </si>
  <si>
    <t>AIJOB00764</t>
  </si>
  <si>
    <t>Vector Databases, Weaviate, SQL, AWS SageMaker, dbt, Kubernetes</t>
  </si>
  <si>
    <t>AIJOB00765</t>
  </si>
  <si>
    <t>Fine-tuning, Weights &amp; Biases, JAX, Azure ML</t>
  </si>
  <si>
    <t>AIJOB00766</t>
  </si>
  <si>
    <t>Python, LangChain, TensorFlow, Weights &amp; Biases</t>
  </si>
  <si>
    <t>AIJOB00767</t>
  </si>
  <si>
    <t>C++, RLHF, Fine-tuning, Hugging Face Transformers, Python, ChromaDB</t>
  </si>
  <si>
    <t>AIJOB00768</t>
  </si>
  <si>
    <t>Spark, PyTorch, CUDA</t>
  </si>
  <si>
    <t>AIJOB00769</t>
  </si>
  <si>
    <t>Weaviate, LlamaIndex, GCP Vertex AI, Weights &amp; Biases, Spark, Azure ML, Fine-tuning</t>
  </si>
  <si>
    <t>AIJOB00770</t>
  </si>
  <si>
    <t>Azure ML, Spark, RLHF, FastAPI, Weaviate</t>
  </si>
  <si>
    <t>AIJOB00771</t>
  </si>
  <si>
    <t>Pinecone, Weaviate, PyTorch</t>
  </si>
  <si>
    <t>AIJOB00772</t>
  </si>
  <si>
    <t>ChromaDB, Azure ML, Weights &amp; Biases, Fine-tuning</t>
  </si>
  <si>
    <t>AIJOB00773</t>
  </si>
  <si>
    <t>Kubernetes, FastAPI, RAG, AWS SageMaker, C++</t>
  </si>
  <si>
    <t>AIJOB00774</t>
  </si>
  <si>
    <t>dbt, RAG, Python, MLflow, SQL</t>
  </si>
  <si>
    <t>AIJOB00775</t>
  </si>
  <si>
    <t>CUDA, Rust, RAG, FastAPI, Weaviate, LangChain</t>
  </si>
  <si>
    <t>AIJOB00776</t>
  </si>
  <si>
    <t>RLHF, RAG, Weights &amp; Biases</t>
  </si>
  <si>
    <t>AIJOB00777</t>
  </si>
  <si>
    <t>MLflow, ChromaDB, RAG, Rust, Weaviate</t>
  </si>
  <si>
    <t>AIJOB00778</t>
  </si>
  <si>
    <t>OpenAI API, Vector Databases, Kubernetes</t>
  </si>
  <si>
    <t>AIJOB00779</t>
  </si>
  <si>
    <t>ChromaDB, Python, RLHF, Vector Databases, Azure ML, MLflow, Fine-tuning</t>
  </si>
  <si>
    <t>AIJOB00780</t>
  </si>
  <si>
    <t>Vector Databases, RAG, Pinecone, Kubernetes, JAX</t>
  </si>
  <si>
    <t>AIJOB00781</t>
  </si>
  <si>
    <t>Kubernetes, OpenAI API, LlamaIndex</t>
  </si>
  <si>
    <t>AIJOB00782</t>
  </si>
  <si>
    <t>OpenAI API, dbt, Vector Databases, LangChain</t>
  </si>
  <si>
    <t>AIJOB00783</t>
  </si>
  <si>
    <t>C++, Spark, Azure ML, Kubernetes, Docker, Fine-tuning</t>
  </si>
  <si>
    <t>AIJOB00784</t>
  </si>
  <si>
    <t>JAX, Fine-tuning, Spark, FastAPI, C++, Hugging Face Transformers, Kubernetes</t>
  </si>
  <si>
    <t>AIJOB00785</t>
  </si>
  <si>
    <t>AWS SageMaker, C++, Weaviate, SQL, GCP Vertex AI</t>
  </si>
  <si>
    <t>AIJOB00786</t>
  </si>
  <si>
    <t>GCP Vertex AI, Weaviate, Pinecone, SQL, Spark, TensorFlow</t>
  </si>
  <si>
    <t>AIJOB00787</t>
  </si>
  <si>
    <t>Docker, JAX, SQL, Fine-tuning, dbt, FastAPI</t>
  </si>
  <si>
    <t>AIJOB00788</t>
  </si>
  <si>
    <t>Spark, Kubernetes, OpenAI API, SQL, Rust</t>
  </si>
  <si>
    <t>AIJOB00789</t>
  </si>
  <si>
    <t>RAG, Python, TensorFlow, OpenAI API, Docker, Vector Databases, RLHF</t>
  </si>
  <si>
    <t>AIJOB00790</t>
  </si>
  <si>
    <t>LlamaIndex, Hugging Face Transformers, LangChain</t>
  </si>
  <si>
    <t>AIJOB00791</t>
  </si>
  <si>
    <t>SQL, Weights &amp; Biases, Docker, AWS SageMaker, Fine-tuning</t>
  </si>
  <si>
    <t>AIJOB00792</t>
  </si>
  <si>
    <t>OpenAI API, Weaviate, SQL, Python, Hugging Face Transformers, TensorFlow</t>
  </si>
  <si>
    <t>AIJOB00793</t>
  </si>
  <si>
    <t>Fine-tuning, ChromaDB, CUDA, SQL, RAG</t>
  </si>
  <si>
    <t>AIJOB00794</t>
  </si>
  <si>
    <t>Rust, Pinecone, GCP Vertex AI, C++, Python, Vector Databases</t>
  </si>
  <si>
    <t>AIJOB00795</t>
  </si>
  <si>
    <t>Docker, Kubernetes, MLflow, AWS SageMaker, CUDA, RAG</t>
  </si>
  <si>
    <t>AIJOB00796</t>
  </si>
  <si>
    <t>TensorFlow, Fine-tuning, Docker, Azure ML, Kubernetes, C++</t>
  </si>
  <si>
    <t>AIJOB00797</t>
  </si>
  <si>
    <t>SQL, MLflow, Weaviate</t>
  </si>
  <si>
    <t>AIJOB00798</t>
  </si>
  <si>
    <t>SQL, PyTorch, ChromaDB</t>
  </si>
  <si>
    <t>AIJOB00799</t>
  </si>
  <si>
    <t>Weaviate, LangChain, FastAPI, RLHF</t>
  </si>
  <si>
    <t>AIJOB00800</t>
  </si>
  <si>
    <t>LlamaIndex, Hugging Face Transformers, PyTorch, Vector Databases, JAX, FastAPI</t>
  </si>
  <si>
    <t>AIJOB00801</t>
  </si>
  <si>
    <t>AWS SageMaker, RLHF, Pinecone</t>
  </si>
  <si>
    <t>AIJOB00802</t>
  </si>
  <si>
    <t>CUDA, Vector Databases, LlamaIndex, Rust, PyTorch, OpenAI API, TensorFlow</t>
  </si>
  <si>
    <t>AIJOB00803</t>
  </si>
  <si>
    <t>RLHF, CUDA, ChromaDB, Rust</t>
  </si>
  <si>
    <t>AIJOB00804</t>
  </si>
  <si>
    <t>Kubernetes, LlamaIndex, JAX</t>
  </si>
  <si>
    <t>AIJOB00805</t>
  </si>
  <si>
    <t>TensorFlow, Azure ML, GCP Vertex AI, OpenAI API, AWS SageMaker, Pinecone</t>
  </si>
  <si>
    <t>AIJOB00806</t>
  </si>
  <si>
    <t>PyTorch, Rust, Pinecone, ChromaDB, LangChain</t>
  </si>
  <si>
    <t>AIJOB00807</t>
  </si>
  <si>
    <t>Weights &amp; Biases, JAX, Spark, Docker, LlamaIndex, FastAPI</t>
  </si>
  <si>
    <t>AIJOB00808</t>
  </si>
  <si>
    <t>Fine-tuning, Weaviate, ChromaDB, Docker</t>
  </si>
  <si>
    <t>AIJOB00809</t>
  </si>
  <si>
    <t>SQL, Weights &amp; Biases, Azure ML, CUDA, Vector Databases</t>
  </si>
  <si>
    <t>AIJOB00810</t>
  </si>
  <si>
    <t>C++, Python, Fine-tuning, Vector Databases</t>
  </si>
  <si>
    <t>AIJOB00811</t>
  </si>
  <si>
    <t>JAX, LlamaIndex, LangChain, MLflow, Weaviate, Pinecone</t>
  </si>
  <si>
    <t>AIJOB00812</t>
  </si>
  <si>
    <t>Fine-tuning, Vector Databases, Python, GCP Vertex AI</t>
  </si>
  <si>
    <t>AIJOB00813</t>
  </si>
  <si>
    <t>Hugging Face Transformers, SQL, GCP Vertex AI, ChromaDB, RAG</t>
  </si>
  <si>
    <t>AIJOB00814</t>
  </si>
  <si>
    <t>AWS SageMaker, C++, Azure ML, dbt</t>
  </si>
  <si>
    <t>AIJOB00815</t>
  </si>
  <si>
    <t>Rust, Hugging Face Transformers, JAX, RAG</t>
  </si>
  <si>
    <t>AIJOB00816</t>
  </si>
  <si>
    <t>LangChain, Vector Databases, SQL, Kubernetes, MLflow, AWS SageMaker, PyTorch</t>
  </si>
  <si>
    <t>AIJOB00817</t>
  </si>
  <si>
    <t>dbt, GCP Vertex AI, OpenAI API, Kubernetes, RLHF</t>
  </si>
  <si>
    <t>AIJOB00818</t>
  </si>
  <si>
    <t>Fine-tuning, JAX, LangChain, Spark, dbt, FastAPI</t>
  </si>
  <si>
    <t>AIJOB00819</t>
  </si>
  <si>
    <t>Rust, MLflow, GCP Vertex AI, RLHF, LlamaIndex, C++</t>
  </si>
  <si>
    <t>AIJOB00820</t>
  </si>
  <si>
    <t>Pinecone, SQL, Vector Databases, Docker</t>
  </si>
  <si>
    <t>AIJOB00821</t>
  </si>
  <si>
    <t>OpenAI API, LlamaIndex, GCP Vertex AI, dbt</t>
  </si>
  <si>
    <t>AIJOB00822</t>
  </si>
  <si>
    <t>AWS SageMaker, Weaviate, FastAPI, RLHF, PyTorch, JAX, GCP Vertex AI</t>
  </si>
  <si>
    <t>AIJOB00823</t>
  </si>
  <si>
    <t>C++, Kubernetes, dbt</t>
  </si>
  <si>
    <t>AIJOB00824</t>
  </si>
  <si>
    <t>Python, Pinecone, Weights &amp; Biases, Rust, FastAPI, Spark</t>
  </si>
  <si>
    <t>AIJOB00825</t>
  </si>
  <si>
    <t>Spark, OpenAI API, Python, dbt, Fine-tuning, TensorFlow, GCP Vertex AI</t>
  </si>
  <si>
    <t>AIJOB00826</t>
  </si>
  <si>
    <t>Weaviate, MLflow, Spark, TensorFlow, LlamaIndex</t>
  </si>
  <si>
    <t>AIJOB00827</t>
  </si>
  <si>
    <t>RLHF, Pinecone, LangChain, Vector Databases, dbt, SQL, Docker</t>
  </si>
  <si>
    <t>AIJOB00828</t>
  </si>
  <si>
    <t>Pinecone, C++, MLflow, Weaviate</t>
  </si>
  <si>
    <t>AIJOB00829</t>
  </si>
  <si>
    <t>Weaviate, FastAPI, RLHF, RAG, GCP Vertex AI, Spark</t>
  </si>
  <si>
    <t>AIJOB00830</t>
  </si>
  <si>
    <t>SQL, Pinecone, Weaviate</t>
  </si>
  <si>
    <t>AIJOB00831</t>
  </si>
  <si>
    <t>CUDA, LangChain, PyTorch</t>
  </si>
  <si>
    <t>AIJOB00832</t>
  </si>
  <si>
    <t>Python, JAX, AWS SageMaker, GCP Vertex AI, Hugging Face Transformers, MLflow</t>
  </si>
  <si>
    <t>AIJOB00833</t>
  </si>
  <si>
    <t>Kubernetes, PyTorch, Docker</t>
  </si>
  <si>
    <t>AIJOB00834</t>
  </si>
  <si>
    <t>AWS SageMaker, JAX, Fine-tuning</t>
  </si>
  <si>
    <t>AIJOB00835</t>
  </si>
  <si>
    <t>ChromaDB, Weaviate, JAX, Rust</t>
  </si>
  <si>
    <t>AIJOB00836</t>
  </si>
  <si>
    <t>ChromaDB, Rust, Weights &amp; Biases, FastAPI, C++</t>
  </si>
  <si>
    <t>AIJOB00837</t>
  </si>
  <si>
    <t>CUDA, LangChain, MLflow, Fine-tuning, Docker, Spark, SQL</t>
  </si>
  <si>
    <t>AIJOB00838</t>
  </si>
  <si>
    <t>Weights &amp; Biases, TensorFlow, dbt</t>
  </si>
  <si>
    <t>AIJOB00839</t>
  </si>
  <si>
    <t>CUDA, Azure ML, GCP Vertex AI</t>
  </si>
  <si>
    <t>AIJOB00840</t>
  </si>
  <si>
    <t>Docker, Python, Fine-tuning</t>
  </si>
  <si>
    <t>AIJOB00841</t>
  </si>
  <si>
    <t>TensorFlow, ChromaDB, RLHF, Azure ML, AWS SageMaker, Spark, Kubernetes</t>
  </si>
  <si>
    <t>AIJOB00842</t>
  </si>
  <si>
    <t>Spark, LlamaIndex, LangChain, Docker, Weights &amp; Biases, Azure ML, Pinecone</t>
  </si>
  <si>
    <t>AIJOB00843</t>
  </si>
  <si>
    <t>Python, GCP Vertex AI, FastAPI, MLflow</t>
  </si>
  <si>
    <t>AIJOB00844</t>
  </si>
  <si>
    <t>ChromaDB, Azure ML, LangChain, RAG, Vector Databases, SQL, OpenAI API</t>
  </si>
  <si>
    <t>AIJOB00845</t>
  </si>
  <si>
    <t>Fine-tuning, CUDA, PyTorch, OpenAI API</t>
  </si>
  <si>
    <t>AIJOB00846</t>
  </si>
  <si>
    <t>JAX, RLHF, OpenAI API, TensorFlow, GCP Vertex AI, Kubernetes, SQL</t>
  </si>
  <si>
    <t>AIJOB00847</t>
  </si>
  <si>
    <t>LangChain, TensorFlow, Pinecone, ChromaDB, Kubernetes</t>
  </si>
  <si>
    <t>AIJOB00848</t>
  </si>
  <si>
    <t>Kubernetes, Weights &amp; Biases, PyTorch, Hugging Face Transformers</t>
  </si>
  <si>
    <t>AIJOB00849</t>
  </si>
  <si>
    <t>MLflow, TensorFlow, C++, JAX</t>
  </si>
  <si>
    <t>AIJOB00850</t>
  </si>
  <si>
    <t>MLflow, C++, Hugging Face Transformers, Docker</t>
  </si>
  <si>
    <t>AIJOB00851</t>
  </si>
  <si>
    <t>dbt, ChromaDB, OpenAI API, RLHF, Fine-tuning, Hugging Face Transformers, SQL</t>
  </si>
  <si>
    <t>AIJOB00852</t>
  </si>
  <si>
    <t>JAX, PyTorch, Kubernetes, Weights &amp; Biases</t>
  </si>
  <si>
    <t>AIJOB00853</t>
  </si>
  <si>
    <t>Weaviate, TensorFlow, Kubernetes, JAX, Rust, CUDA, GCP Vertex AI</t>
  </si>
  <si>
    <t>AIJOB00854</t>
  </si>
  <si>
    <t>TensorFlow, Fine-tuning, Weights &amp; Biases, Spark, Weaviate, JAX</t>
  </si>
  <si>
    <t>AIJOB00855</t>
  </si>
  <si>
    <t>TensorFlow, JAX, MLflow, OpenAI API, Vector Databases, LangChain, RLHF</t>
  </si>
  <si>
    <t>AIJOB00856</t>
  </si>
  <si>
    <t>C++, LlamaIndex, SQL, dbt, ChromaDB, Weaviate, Vector Databases</t>
  </si>
  <si>
    <t>AIJOB00857</t>
  </si>
  <si>
    <t>Python, dbt, Docker</t>
  </si>
  <si>
    <t>AIJOB00858</t>
  </si>
  <si>
    <t>Pinecone, Kubernetes, GCP Vertex AI, Azure ML, dbt</t>
  </si>
  <si>
    <t>AIJOB00859</t>
  </si>
  <si>
    <t>RLHF, SQL, Azure ML, Rust, Python, CUDA, Spark</t>
  </si>
  <si>
    <t>AIJOB00860</t>
  </si>
  <si>
    <t>Docker, Spark, Weights &amp; Biases</t>
  </si>
  <si>
    <t>AIJOB00861</t>
  </si>
  <si>
    <t>SQL, dbt, AWS SageMaker, Weights &amp; Biases, Hugging Face Transformers, Pinecone</t>
  </si>
  <si>
    <t>AIJOB00862</t>
  </si>
  <si>
    <t>TensorFlow, RLHF, CUDA, PyTorch, C++</t>
  </si>
  <si>
    <t>AIJOB00863</t>
  </si>
  <si>
    <t>CUDA, Weights &amp; Biases, Python, dbt</t>
  </si>
  <si>
    <t>AIJOB00864</t>
  </si>
  <si>
    <t>Pinecone, Hugging Face Transformers, C++, Docker, GCP Vertex AI, Weights &amp; Biases, LlamaIndex</t>
  </si>
  <si>
    <t>AIJOB00865</t>
  </si>
  <si>
    <t>RAG, Weights &amp; Biases, Kubernetes</t>
  </si>
  <si>
    <t>AIJOB00866</t>
  </si>
  <si>
    <t>Vector Databases, OpenAI API, LlamaIndex, RAG</t>
  </si>
  <si>
    <t>AIJOB00867</t>
  </si>
  <si>
    <t>FastAPI, Weaviate, Weights &amp; Biases, Pinecone, Python, JAX</t>
  </si>
  <si>
    <t>AIJOB00868</t>
  </si>
  <si>
    <t>Spark, MLflow, Vector Databases, Docker, Weights &amp; Biases, AWS SageMaker</t>
  </si>
  <si>
    <t>AIJOB00869</t>
  </si>
  <si>
    <t>SQL, TensorFlow, Rust, LangChain, CUDA</t>
  </si>
  <si>
    <t>AIJOB00870</t>
  </si>
  <si>
    <t>OpenAI API, SQL, Pinecone, LlamaIndex</t>
  </si>
  <si>
    <t>AIJOB00871</t>
  </si>
  <si>
    <t>C++, Azure ML, Spark</t>
  </si>
  <si>
    <t>AIJOB00872</t>
  </si>
  <si>
    <t>Pinecone, JAX, OpenAI API</t>
  </si>
  <si>
    <t>AIJOB00873</t>
  </si>
  <si>
    <t>Azure ML, PyTorch, C++, Fine-tuning, Pinecone</t>
  </si>
  <si>
    <t>AIJOB00874</t>
  </si>
  <si>
    <t>Python, Rust, Pinecone, RLHF, FastAPI, OpenAI API, GCP Vertex AI</t>
  </si>
  <si>
    <t>AIJOB00875</t>
  </si>
  <si>
    <t>SQL, C++, PyTorch</t>
  </si>
  <si>
    <t>AIJOB00876</t>
  </si>
  <si>
    <t>SQL, Spark, Fine-tuning, FastAPI, JAX, ChromaDB, RAG</t>
  </si>
  <si>
    <t>AIJOB00877</t>
  </si>
  <si>
    <t>LangChain, AWS SageMaker, Python, FastAPI, Pinecone, CUDA, ChromaDB</t>
  </si>
  <si>
    <t>AIJOB00878</t>
  </si>
  <si>
    <t>LlamaIndex, RAG, Spark, LangChain, RLHF, Fine-tuning</t>
  </si>
  <si>
    <t>AIJOB00879</t>
  </si>
  <si>
    <t>dbt, JAX, Weaviate, FastAPI</t>
  </si>
  <si>
    <t>AIJOB00880</t>
  </si>
  <si>
    <t>RAG, ChromaDB, FastAPI, Azure ML</t>
  </si>
  <si>
    <t>AIJOB00881</t>
  </si>
  <si>
    <t>dbt, C++, JAX</t>
  </si>
  <si>
    <t>AIJOB00882</t>
  </si>
  <si>
    <t>CUDA, Pinecone, Docker, Spark, JAX</t>
  </si>
  <si>
    <t>AIJOB00883</t>
  </si>
  <si>
    <t>Pinecone, OpenAI API, TensorFlow, C++, dbt, CUDA</t>
  </si>
  <si>
    <t>AIJOB00884</t>
  </si>
  <si>
    <t>CUDA, Spark, Pinecone, OpenAI API</t>
  </si>
  <si>
    <t>AIJOB00885</t>
  </si>
  <si>
    <t>MLflow, RLHF, JAX</t>
  </si>
  <si>
    <t>AIJOB00886</t>
  </si>
  <si>
    <t>TensorFlow, FastAPI, CUDA, Docker, Python, RAG, Pinecone</t>
  </si>
  <si>
    <t>AIJOB00887</t>
  </si>
  <si>
    <t>RLHF, Weaviate, TensorFlow</t>
  </si>
  <si>
    <t>AIJOB00888</t>
  </si>
  <si>
    <t>Azure ML, RAG, LangChain, OpenAI API, Rust, RLHF, TensorFlow</t>
  </si>
  <si>
    <t>AIJOB00889</t>
  </si>
  <si>
    <t>Fine-tuning, Docker, AWS SageMaker</t>
  </si>
  <si>
    <t>AIJOB00890</t>
  </si>
  <si>
    <t>Python, C++, Hugging Face Transformers</t>
  </si>
  <si>
    <t>AIJOB00891</t>
  </si>
  <si>
    <t>RLHF, Kubernetes, FastAPI, Fine-tuning, CUDA, Weaviate, C++</t>
  </si>
  <si>
    <t>AIJOB00892</t>
  </si>
  <si>
    <t>RAG, dbt, LangChain, RLHF, Vector Databases, MLflow</t>
  </si>
  <si>
    <t>AIJOB00893</t>
  </si>
  <si>
    <t>GCP Vertex AI, dbt, Hugging Face Transformers, TensorFlow, RAG</t>
  </si>
  <si>
    <t>AIJOB00894</t>
  </si>
  <si>
    <t>ChromaDB, LlamaIndex, GCP Vertex AI</t>
  </si>
  <si>
    <t>AIJOB00895</t>
  </si>
  <si>
    <t>Rust, PyTorch, SQL, MLflow, Weights &amp; Biases</t>
  </si>
  <si>
    <t>AIJOB00896</t>
  </si>
  <si>
    <t>Pinecone, RLHF, Rust, FastAPI, PyTorch, MLflow, Spark</t>
  </si>
  <si>
    <t>AIJOB00897</t>
  </si>
  <si>
    <t>SQL, TensorFlow, Weights &amp; Biases</t>
  </si>
  <si>
    <t>AIJOB00898</t>
  </si>
  <si>
    <t>Vector Databases, Weights &amp; Biases, PyTorch, Rust</t>
  </si>
  <si>
    <t>AIJOB00899</t>
  </si>
  <si>
    <t>dbt, RLHF, ChromaDB, PyTorch, Python</t>
  </si>
  <si>
    <t>AIJOB00900</t>
  </si>
  <si>
    <t>Azure ML, C++, SQL, AWS SageMaker</t>
  </si>
  <si>
    <t>AIJOB00901</t>
  </si>
  <si>
    <t>dbt, GCP Vertex AI, Hugging Face Transformers</t>
  </si>
  <si>
    <t>AIJOB00902</t>
  </si>
  <si>
    <t>LangChain, Kubernetes, CUDA, Pinecone, Weaviate</t>
  </si>
  <si>
    <t>AIJOB00903</t>
  </si>
  <si>
    <t>Kubernetes, Python, OpenAI API, AWS SageMaker, Spark</t>
  </si>
  <si>
    <t>AIJOB00904</t>
  </si>
  <si>
    <t>OpenAI API, RAG, AWS SageMaker, TensorFlow, GCP Vertex AI</t>
  </si>
  <si>
    <t>AIJOB00905</t>
  </si>
  <si>
    <t>PyTorch, Python, SQL, Docker, CUDA</t>
  </si>
  <si>
    <t>AIJOB00906</t>
  </si>
  <si>
    <t>FastAPI, Vector Databases, Python, Docker</t>
  </si>
  <si>
    <t>AIJOB00907</t>
  </si>
  <si>
    <t>Pinecone, Fine-tuning, Rust, FastAPI, RLHF, Weaviate, C++</t>
  </si>
  <si>
    <t>AIJOB00908</t>
  </si>
  <si>
    <t>AWS SageMaker, Hugging Face Transformers, Pinecone, LlamaIndex, JAX, SQL, LangChain</t>
  </si>
  <si>
    <t>AIJOB00909</t>
  </si>
  <si>
    <t>TensorFlow, Kubernetes, LlamaIndex, Spark</t>
  </si>
  <si>
    <t>AIJOB00910</t>
  </si>
  <si>
    <t>AWS SageMaker, CUDA, Pinecone</t>
  </si>
  <si>
    <t>AIJOB00911</t>
  </si>
  <si>
    <t>Azure ML, CUDA, Pinecone, Weights &amp; Biases</t>
  </si>
  <si>
    <t>AIJOB00912</t>
  </si>
  <si>
    <t>SQL, LlamaIndex, JAX, C++</t>
  </si>
  <si>
    <t>AIJOB00913</t>
  </si>
  <si>
    <t>RAG, Pinecone, MLflow, TensorFlow, dbt, RLHF</t>
  </si>
  <si>
    <t>AIJOB00914</t>
  </si>
  <si>
    <t>LlamaIndex, SQL, TensorFlow, Pinecone, C++</t>
  </si>
  <si>
    <t>AIJOB00915</t>
  </si>
  <si>
    <t>OpenAI API, RLHF, Rust, MLflow</t>
  </si>
  <si>
    <t>AIJOB00916</t>
  </si>
  <si>
    <t>Rust, GCP Vertex AI, dbt, ChromaDB, TensorFlow, Spark</t>
  </si>
  <si>
    <t>AIJOB00917</t>
  </si>
  <si>
    <t>Fine-tuning, LangChain, Vector Databases, Weights &amp; Biases, Spark</t>
  </si>
  <si>
    <t>AIJOB00918</t>
  </si>
  <si>
    <t>JAX, RLHF, SQL, C++</t>
  </si>
  <si>
    <t>AIJOB00919</t>
  </si>
  <si>
    <t>OpenAI API, Vector Databases, MLflow</t>
  </si>
  <si>
    <t>AIJOB00920</t>
  </si>
  <si>
    <t>Weaviate, OpenAI API, Hugging Face Transformers</t>
  </si>
  <si>
    <t>AIJOB00921</t>
  </si>
  <si>
    <t>PyTorch, Rust, C++, FastAPI, CUDA, JAX</t>
  </si>
  <si>
    <t>AIJOB00922</t>
  </si>
  <si>
    <t>Python, FastAPI, LlamaIndex</t>
  </si>
  <si>
    <t>AIJOB00923</t>
  </si>
  <si>
    <t>ChromaDB, Fine-tuning, Vector Databases</t>
  </si>
  <si>
    <t>AIJOB00924</t>
  </si>
  <si>
    <t>PyTorch, LangChain, SQL, FastAPI</t>
  </si>
  <si>
    <t>AIJOB00925</t>
  </si>
  <si>
    <t>FastAPI, RLHF, Kubernetes, OpenAI API, SQL, Weights &amp; Biases, Rust</t>
  </si>
  <si>
    <t>AIJOB00926</t>
  </si>
  <si>
    <t>LangChain, TensorFlow, AWS SageMaker, Python</t>
  </si>
  <si>
    <t>AIJOB00927</t>
  </si>
  <si>
    <t>C++, ChromaDB, OpenAI API</t>
  </si>
  <si>
    <t>AIJOB00928</t>
  </si>
  <si>
    <t>C++, Python, FastAPI, LangChain, Kubernetes, RLHF</t>
  </si>
  <si>
    <t>AIJOB00929</t>
  </si>
  <si>
    <t>Python, LlamaIndex, Vector Databases, PyTorch</t>
  </si>
  <si>
    <t>AIJOB00930</t>
  </si>
  <si>
    <t>Kubernetes, LlamaIndex, CUDA, AWS SageMaker, Pinecone, Spark</t>
  </si>
  <si>
    <t>AIJOB00931</t>
  </si>
  <si>
    <t>Azure ML, RAG, Vector Databases, ChromaDB, FastAPI, Spark, RLHF</t>
  </si>
  <si>
    <t>AIJOB00932</t>
  </si>
  <si>
    <t>PyTorch, Weaviate, FastAPI</t>
  </si>
  <si>
    <t>AIJOB00933</t>
  </si>
  <si>
    <t>Python, Pinecone, LangChain, Rust, Weights &amp; Biases, dbt, Azure ML</t>
  </si>
  <si>
    <t>AIJOB00934</t>
  </si>
  <si>
    <t>MLflow, Kubernetes, GCP Vertex AI, TensorFlow, PyTorch, AWS SageMaker</t>
  </si>
  <si>
    <t>AIJOB00935</t>
  </si>
  <si>
    <t>RLHF, Fine-tuning, MLflow, SQL, Docker</t>
  </si>
  <si>
    <t>AIJOB00936</t>
  </si>
  <si>
    <t>TensorFlow, Azure ML, ChromaDB, Pinecone</t>
  </si>
  <si>
    <t>AIJOB00937</t>
  </si>
  <si>
    <t>ChromaDB, Vector Databases, dbt, RLHF, LangChain, Docker</t>
  </si>
  <si>
    <t>AIJOB00938</t>
  </si>
  <si>
    <t>Pinecone, PyTorch, Rust, ChromaDB, AWS SageMaker, Spark, SQL</t>
  </si>
  <si>
    <t>AIJOB00939</t>
  </si>
  <si>
    <t>LangChain, Fine-tuning, RAG, LlamaIndex, OpenAI API</t>
  </si>
  <si>
    <t>AIJOB00940</t>
  </si>
  <si>
    <t>RLHF, Rust, Python, TensorFlow, MLflow, Docker, Hugging Face Transformers</t>
  </si>
  <si>
    <t>AIJOB00941</t>
  </si>
  <si>
    <t>Spark, Rust, dbt</t>
  </si>
  <si>
    <t>AIJOB00942</t>
  </si>
  <si>
    <t>Python, Weights &amp; Biases, C++, Weaviate, Pinecone, Spark</t>
  </si>
  <si>
    <t>AIJOB00943</t>
  </si>
  <si>
    <t>Pinecone, Weights &amp; Biases, Kubernetes, ChromaDB, RLHF</t>
  </si>
  <si>
    <t>AIJOB00944</t>
  </si>
  <si>
    <t>RAG, ChromaDB, TensorFlow, AWS SageMaker</t>
  </si>
  <si>
    <t>AIJOB00945</t>
  </si>
  <si>
    <t>dbt, CUDA, Vector Databases, JAX, Spark, PyTorch, Docker</t>
  </si>
  <si>
    <t>AIJOB00946</t>
  </si>
  <si>
    <t>Weaviate, Kubernetes, GCP Vertex AI, Weights &amp; Biases, RAG, Azure ML, LangChain</t>
  </si>
  <si>
    <t>AIJOB00947</t>
  </si>
  <si>
    <t>SQL, Fine-tuning, Python, Docker, RLHF</t>
  </si>
  <si>
    <t>AIJOB00948</t>
  </si>
  <si>
    <t>Pinecone, ChromaDB, Rust</t>
  </si>
  <si>
    <t>AIJOB00949</t>
  </si>
  <si>
    <t>Fine-tuning, Python, SQL</t>
  </si>
  <si>
    <t>AIJOB00950</t>
  </si>
  <si>
    <t>OpenAI API, Vector Databases, Weights &amp; Biases, Fine-tuning</t>
  </si>
  <si>
    <t>AIJOB00951</t>
  </si>
  <si>
    <t>Vector Databases, LlamaIndex, Docker, LangChain, SQL</t>
  </si>
  <si>
    <t>AIJOB00952</t>
  </si>
  <si>
    <t>SQL, Weaviate, ChromaDB, FastAPI, Spark</t>
  </si>
  <si>
    <t>AIJOB00953</t>
  </si>
  <si>
    <t>RAG, Spark, Docker, Weaviate</t>
  </si>
  <si>
    <t>AIJOB00954</t>
  </si>
  <si>
    <t>GCP Vertex AI, Rust, dbt, PyTorch, LangChain</t>
  </si>
  <si>
    <t>AIJOB00955</t>
  </si>
  <si>
    <t>Fine-tuning, dbt, Weights &amp; Biases</t>
  </si>
  <si>
    <t>AIJOB00956</t>
  </si>
  <si>
    <t>Vector Databases, Python, PyTorch, CUDA, SQL, Spark</t>
  </si>
  <si>
    <t>AIJOB00957</t>
  </si>
  <si>
    <t>Rust, Fine-tuning, Docker, Hugging Face Transformers, Python</t>
  </si>
  <si>
    <t>AIJOB00958</t>
  </si>
  <si>
    <t>Rust, SQL, Python, Fine-tuning, LlamaIndex, Kubernetes, Azure ML</t>
  </si>
  <si>
    <t>AIJOB00959</t>
  </si>
  <si>
    <t>Hugging Face Transformers, CUDA, JAX, LangChain, C++, LlamaIndex</t>
  </si>
  <si>
    <t>AIJOB00960</t>
  </si>
  <si>
    <t>Azure ML, CUDA, Pinecone</t>
  </si>
  <si>
    <t>AIJOB00961</t>
  </si>
  <si>
    <t>OpenAI API, CUDA, TensorFlow, Hugging Face Transformers</t>
  </si>
  <si>
    <t>AIJOB00962</t>
  </si>
  <si>
    <t>OpenAI API, Pinecone, Docker</t>
  </si>
  <si>
    <t>AIJOB00963</t>
  </si>
  <si>
    <t>LlamaIndex, LangChain, dbt, Weaviate, MLflow</t>
  </si>
  <si>
    <t>AIJOB00964</t>
  </si>
  <si>
    <t>GCP Vertex AI, Weights &amp; Biases, LlamaIndex, OpenAI API, TensorFlow, LangChain</t>
  </si>
  <si>
    <t>AIJOB00965</t>
  </si>
  <si>
    <t>Kubernetes, dbt, AWS SageMaker, Spark</t>
  </si>
  <si>
    <t>AIJOB00966</t>
  </si>
  <si>
    <t>C++, PyTorch, Docker, GCP Vertex AI</t>
  </si>
  <si>
    <t>AIJOB00967</t>
  </si>
  <si>
    <t>CUDA, MLflow, Rust</t>
  </si>
  <si>
    <t>AIJOB00968</t>
  </si>
  <si>
    <t>Docker, Fine-tuning, PyTorch, C++, Weaviate</t>
  </si>
  <si>
    <t>AIJOB00969</t>
  </si>
  <si>
    <t>Weaviate, RLHF, Pinecone, dbt</t>
  </si>
  <si>
    <t>AIJOB00970</t>
  </si>
  <si>
    <t>ChromaDB, MLflow, LlamaIndex, Vector Databases, LangChain, Docker</t>
  </si>
  <si>
    <t>AIJOB00971</t>
  </si>
  <si>
    <t>Spark, Kubernetes, ChromaDB, RLHF, Hugging Face Transformers, Pinecone, CUDA</t>
  </si>
  <si>
    <t>AIJOB00972</t>
  </si>
  <si>
    <t>LlamaIndex, LangChain, PyTorch, C++</t>
  </si>
  <si>
    <t>AIJOB00973</t>
  </si>
  <si>
    <t>Rust, dbt, Vector Databases, MLflow, RAG, LangChain, Python</t>
  </si>
  <si>
    <t>AIJOB00974</t>
  </si>
  <si>
    <t>Rust, Vector Databases, Docker</t>
  </si>
  <si>
    <t>AIJOB00975</t>
  </si>
  <si>
    <t>RLHF, C++, FastAPI</t>
  </si>
  <si>
    <t>AIJOB00976</t>
  </si>
  <si>
    <t>Fine-tuning, Docker, TensorFlow, C++, Python, Spark</t>
  </si>
  <si>
    <t>AIJOB00977</t>
  </si>
  <si>
    <t>Python, Azure ML, FastAPI, Weaviate, C++, OpenAI API, Fine-tuning</t>
  </si>
  <si>
    <t>AIJOB00978</t>
  </si>
  <si>
    <t>Weaviate, Pinecone, Spark, ChromaDB, LangChain, Vector Databases, CUDA</t>
  </si>
  <si>
    <t>AIJOB00979</t>
  </si>
  <si>
    <t>LlamaIndex, Python, TensorFlow, Fine-tuning</t>
  </si>
  <si>
    <t>AIJOB00980</t>
  </si>
  <si>
    <t>Rust, RLHF, Azure ML</t>
  </si>
  <si>
    <t>AIJOB00981</t>
  </si>
  <si>
    <t>LlamaIndex, Docker, TensorFlow, SQL, MLflow, ChromaDB, RAG</t>
  </si>
  <si>
    <t>AIJOB00982</t>
  </si>
  <si>
    <t>C++, Weaviate, Azure ML</t>
  </si>
  <si>
    <t>AIJOB00983</t>
  </si>
  <si>
    <t>Python, Weights &amp; Biases, PyTorch, TensorFlow, Spark, RAG, Kubernetes</t>
  </si>
  <si>
    <t>AIJOB00984</t>
  </si>
  <si>
    <t>Python, PyTorch, TensorFlow, Vector Databases, Pinecone</t>
  </si>
  <si>
    <t>AIJOB00985</t>
  </si>
  <si>
    <t>Weaviate, Spark, MLflow, FastAPI, PyTorch</t>
  </si>
  <si>
    <t>AIJOB00986</t>
  </si>
  <si>
    <t>PyTorch, C++, ChromaDB, LlamaIndex, OpenAI API, JAX</t>
  </si>
  <si>
    <t>AIJOB00987</t>
  </si>
  <si>
    <t>Kubernetes, Rust, Spark, LlamaIndex, ChromaDB</t>
  </si>
  <si>
    <t>AIJOB00988</t>
  </si>
  <si>
    <t>LlamaIndex, Vector Databases, OpenAI API, Rust, AWS SageMaker, Weaviate, TensorFlow</t>
  </si>
  <si>
    <t>AIJOB00989</t>
  </si>
  <si>
    <t>RLHF, Docker, Pinecone, FastAPI, JAX</t>
  </si>
  <si>
    <t>AIJOB00990</t>
  </si>
  <si>
    <t>JAX, AWS SageMaker, Weaviate, Pinecone, OpenAI API</t>
  </si>
  <si>
    <t>AIJOB00991</t>
  </si>
  <si>
    <t>RLHF, SQL, GCP Vertex AI, Azure ML, TensorFlow</t>
  </si>
  <si>
    <t>AIJOB00992</t>
  </si>
  <si>
    <t>LangChain, Kubernetes, JAX, TensorFlow, C++, RLHF, Pinecone</t>
  </si>
  <si>
    <t>AIJOB00993</t>
  </si>
  <si>
    <t>MLflow, SQL, Azure ML, Kubernetes, GCP Vertex AI, Docker</t>
  </si>
  <si>
    <t>AIJOB00994</t>
  </si>
  <si>
    <t>FastAPI, Rust, MLflow, PyTorch, TensorFlow, GCP Vertex AI</t>
  </si>
  <si>
    <t>AIJOB00995</t>
  </si>
  <si>
    <t>LangChain, FastAPI, RLHF, MLflow, OpenAI API, LlamaIndex</t>
  </si>
  <si>
    <t>AIJOB00996</t>
  </si>
  <si>
    <t>OpenAI API, AWS SageMaker, FastAPI, Weights &amp; Biases, Python, JAX, MLflow</t>
  </si>
  <si>
    <t>AIJOB00997</t>
  </si>
  <si>
    <t>LangChain, Kubernetes, Spark, GCP Vertex AI, SQL, FastAPI, Hugging Face Transformers</t>
  </si>
  <si>
    <t>AIJOB00998</t>
  </si>
  <si>
    <t>ChromaDB, Python, Spark, CUDA, RAG, JAX, Fine-tuning</t>
  </si>
  <si>
    <t>AIJOB00999</t>
  </si>
  <si>
    <t>MLflow, JAX, OpenAI API, dbt</t>
  </si>
  <si>
    <t>AIJOB01000</t>
  </si>
  <si>
    <t>C++, Python, TensorFlow, Vector Databases, OpenAI API</t>
  </si>
  <si>
    <t>AIJOB01001</t>
  </si>
  <si>
    <t>Rust, Kubernetes, AWS SageMaker, GCP Vertex AI</t>
  </si>
  <si>
    <t>AIJOB01002</t>
  </si>
  <si>
    <t>Docker, Kubernetes, Python, LlamaIndex, LangChain, TensorFlow, RAG</t>
  </si>
  <si>
    <t>AIJOB01003</t>
  </si>
  <si>
    <t>GCP Vertex AI, CUDA, ChromaDB, Hugging Face Transformers, TensorFlow, Rust</t>
  </si>
  <si>
    <t>AIJOB01004</t>
  </si>
  <si>
    <t>Hugging Face Transformers, TensorFlow, Docker, RLHF, Rust, Python, MLflow</t>
  </si>
  <si>
    <t>AIJOB01005</t>
  </si>
  <si>
    <t>Azure ML, Pinecone, Rust</t>
  </si>
  <si>
    <t>AIJOB01006</t>
  </si>
  <si>
    <t>JAX, GCP Vertex AI, ChromaDB, Weights &amp; Biases, RLHF, MLflow, Vector Databases</t>
  </si>
  <si>
    <t>AIJOB01007</t>
  </si>
  <si>
    <t>LlamaIndex, Pinecone, ChromaDB, Vector Databases, Hugging Face Transformers, CUDA, Docker</t>
  </si>
  <si>
    <t>AIJOB01008</t>
  </si>
  <si>
    <t>LlamaIndex, dbt, PyTorch, Docker</t>
  </si>
  <si>
    <t>AIJOB01009</t>
  </si>
  <si>
    <t>LlamaIndex, PyTorch, Spark</t>
  </si>
  <si>
    <t>AIJOB01010</t>
  </si>
  <si>
    <t>Pinecone, TensorFlow, Fine-tuning, GCP Vertex AI</t>
  </si>
  <si>
    <t>AIJOB01011</t>
  </si>
  <si>
    <t>LangChain, SQL, Weaviate, Kubernetes, LlamaIndex, TensorFlow, dbt</t>
  </si>
  <si>
    <t>AIJOB01012</t>
  </si>
  <si>
    <t>Kubernetes, C++, Weights &amp; Biases, Weaviate, Docker</t>
  </si>
  <si>
    <t>AIJOB01013</t>
  </si>
  <si>
    <t>C++, RAG, RLHF, FastAPI, PyTorch, CUDA</t>
  </si>
  <si>
    <t>AIJOB01014</t>
  </si>
  <si>
    <t>OpenAI API, dbt, AWS SageMaker, SQL, FastAPI, JAX</t>
  </si>
  <si>
    <t>AIJOB01015</t>
  </si>
  <si>
    <t>TensorFlow, AWS SageMaker, LlamaIndex</t>
  </si>
  <si>
    <t>AIJOB01016</t>
  </si>
  <si>
    <t>LangChain, Weights &amp; Biases, SQL, Fine-tuning, LlamaIndex, Spark, Kubernetes</t>
  </si>
  <si>
    <t>AIJOB01017</t>
  </si>
  <si>
    <t>dbt, PyTorch, Azure ML, Weaviate, Kubernetes</t>
  </si>
  <si>
    <t>AIJOB01018</t>
  </si>
  <si>
    <t>CUDA, RLHF, FastAPI, Weights &amp; Biases, RAG</t>
  </si>
  <si>
    <t>AIJOB01019</t>
  </si>
  <si>
    <t>ChromaDB, Vector Databases, CUDA, Docker, RAG</t>
  </si>
  <si>
    <t>AIJOB01020</t>
  </si>
  <si>
    <t>GCP Vertex AI, C++, SQL, AWS SageMaker, Pinecone, TensorFlow, JAX</t>
  </si>
  <si>
    <t>AIJOB01021</t>
  </si>
  <si>
    <t>Kubernetes, Azure ML, FastAPI, MLflow</t>
  </si>
  <si>
    <t>AIJOB01022</t>
  </si>
  <si>
    <t>JAX, AWS SageMaker, OpenAI API, MLflow, Rust</t>
  </si>
  <si>
    <t>AIJOB01023</t>
  </si>
  <si>
    <t>LangChain, TensorFlow, Azure ML, Weights &amp; Biases</t>
  </si>
  <si>
    <t>AIJOB01024</t>
  </si>
  <si>
    <t>PyTorch, LangChain, Vector Databases, OpenAI API, Spark, Hugging Face Transformers</t>
  </si>
  <si>
    <t>AIJOB01025</t>
  </si>
  <si>
    <t>Fine-tuning, OpenAI API, RLHF, Python, LangChain</t>
  </si>
  <si>
    <t>AIJOB01026</t>
  </si>
  <si>
    <t>Python, LlamaIndex, Vector Databases</t>
  </si>
  <si>
    <t>AIJOB01027</t>
  </si>
  <si>
    <t>FastAPI, RAG, Pinecone, Rust</t>
  </si>
  <si>
    <t>AIJOB01028</t>
  </si>
  <si>
    <t>Spark, Hugging Face Transformers, ChromaDB, Weights &amp; Biases, JAX, Vector Databases, Kubernetes</t>
  </si>
  <si>
    <t>AIJOB01029</t>
  </si>
  <si>
    <t>SQL, Hugging Face Transformers, Python, AWS SageMaker, Azure ML, Vector Databases, MLflow</t>
  </si>
  <si>
    <t>AIJOB01030</t>
  </si>
  <si>
    <t>RLHF, PyTorch, Pinecone, Hugging Face Transformers, RAG, SQL, Vector Databases</t>
  </si>
  <si>
    <t>AIJOB01031</t>
  </si>
  <si>
    <t>Spark, Hugging Face Transformers, MLflow, TensorFlow, Vector Databases, dbt, JAX</t>
  </si>
  <si>
    <t>AIJOB01032</t>
  </si>
  <si>
    <t>Python, Spark, LangChain, FastAPI, SQL, AWS SageMaker, Docker</t>
  </si>
  <si>
    <t>AIJOB01033</t>
  </si>
  <si>
    <t>GCP Vertex AI, OpenAI API, Azure ML, Spark, PyTorch, RAG, Kubernetes</t>
  </si>
  <si>
    <t>AIJOB01034</t>
  </si>
  <si>
    <t>dbt, GCP Vertex AI, Kubernetes, Weaviate, AWS SageMaker, LangChain</t>
  </si>
  <si>
    <t>AIJOB01035</t>
  </si>
  <si>
    <t>dbt, Azure ML, RAG, TensorFlow, GCP Vertex AI, Weights &amp; Biases</t>
  </si>
  <si>
    <t>AIJOB01036</t>
  </si>
  <si>
    <t>GCP Vertex AI, Fine-tuning, Docker, Python, ChromaDB</t>
  </si>
  <si>
    <t>AIJOB01037</t>
  </si>
  <si>
    <t>Hugging Face Transformers, Fine-tuning, dbt, Python, TensorFlow</t>
  </si>
  <si>
    <t>AIJOB01038</t>
  </si>
  <si>
    <t>RAG, PyTorch, ChromaDB, Pinecone, Vector Databases, OpenAI API</t>
  </si>
  <si>
    <t>AIJOB01039</t>
  </si>
  <si>
    <t>Spark, dbt, ChromaDB, JAX</t>
  </si>
  <si>
    <t>AIJOB01040</t>
  </si>
  <si>
    <t>Hugging Face Transformers, LangChain, ChromaDB</t>
  </si>
  <si>
    <t>AIJOB01041</t>
  </si>
  <si>
    <t>Fine-tuning, Weaviate, RLHF, RAG</t>
  </si>
  <si>
    <t>AIJOB01042</t>
  </si>
  <si>
    <t>MLflow, PyTorch, Docker, GCP Vertex AI, CUDA, Python</t>
  </si>
  <si>
    <t>AIJOB01043</t>
  </si>
  <si>
    <t>Spark, Azure ML, LlamaIndex, ChromaDB, MLflow, RAG, Kubernetes</t>
  </si>
  <si>
    <t>AIJOB01044</t>
  </si>
  <si>
    <t>SQL, AWS SageMaker, Pinecone, CUDA, Weaviate</t>
  </si>
  <si>
    <t>AIJOB01045</t>
  </si>
  <si>
    <t>Rust, JAX, AWS SageMaker</t>
  </si>
  <si>
    <t>AIJOB01046</t>
  </si>
  <si>
    <t>Hugging Face Transformers, LlamaIndex, Kubernetes, PyTorch, ChromaDB, GCP Vertex AI, Pinecone</t>
  </si>
  <si>
    <t>AIJOB01047</t>
  </si>
  <si>
    <t>JAX, FastAPI, ChromaDB</t>
  </si>
  <si>
    <t>AIJOB01048</t>
  </si>
  <si>
    <t>Azure ML, GCP Vertex AI, Vector Databases, Rust, ChromaDB, LlamaIndex</t>
  </si>
  <si>
    <t>AIJOB01049</t>
  </si>
  <si>
    <t>LlamaIndex, JAX, Weights &amp; Biases</t>
  </si>
  <si>
    <t>AIJOB01050</t>
  </si>
  <si>
    <t>Python, Weaviate, Fine-tuning, Rust, TensorFlow, ChromaDB</t>
  </si>
  <si>
    <t>AIJOB01051</t>
  </si>
  <si>
    <t>OpenAI API, C++, Fine-tuning, Hugging Face Transformers</t>
  </si>
  <si>
    <t>AIJOB01052</t>
  </si>
  <si>
    <t>Fine-tuning, Pinecone, Weights &amp; Biases, MLflow, dbt, FastAPI, RAG</t>
  </si>
  <si>
    <t>AIJOB01053</t>
  </si>
  <si>
    <t>Spark, dbt, Vector Databases</t>
  </si>
  <si>
    <t>AIJOB01054</t>
  </si>
  <si>
    <t>Docker, Fine-tuning, RAG, GCP Vertex AI, Hugging Face Transformers, RLHF, Rust</t>
  </si>
  <si>
    <t>AIJOB01055</t>
  </si>
  <si>
    <t>OpenAI API, JAX, Python, Kubernetes</t>
  </si>
  <si>
    <t>AIJOB01056</t>
  </si>
  <si>
    <t>SQL, Azure ML, FastAPI, GCP Vertex AI, Kubernetes, Weights &amp; Biases, PyTorch</t>
  </si>
  <si>
    <t>AIJOB01057</t>
  </si>
  <si>
    <t>PyTorch, LlamaIndex, Weaviate, AWS SageMaker</t>
  </si>
  <si>
    <t>AIJOB01058</t>
  </si>
  <si>
    <t>RLHF, Weights &amp; Biases, FastAPI, LangChain, Vector Databases, Spark, CUDA</t>
  </si>
  <si>
    <t>AIJOB01059</t>
  </si>
  <si>
    <t>GCP Vertex AI, Pinecone, CUDA, TensorFlow</t>
  </si>
  <si>
    <t>AIJOB01060</t>
  </si>
  <si>
    <t>RLHF, ChromaDB, FastAPI, TensorFlow</t>
  </si>
  <si>
    <t>AIJOB01061</t>
  </si>
  <si>
    <t>CUDA, PyTorch, C++, Vector Databases, AWS SageMaker, MLflow</t>
  </si>
  <si>
    <t>AIJOB01062</t>
  </si>
  <si>
    <t>RAG, Weights &amp; Biases, Docker, Kubernetes, Rust, Weaviate</t>
  </si>
  <si>
    <t>AIJOB01063</t>
  </si>
  <si>
    <t>MLflow, Weaviate, C++</t>
  </si>
  <si>
    <t>AIJOB01064</t>
  </si>
  <si>
    <t>Python, CUDA, Azure ML, SQL</t>
  </si>
  <si>
    <t>AIJOB01065</t>
  </si>
  <si>
    <t>Fine-tuning, Spark, dbt, OpenAI API, Hugging Face Transformers, SQL</t>
  </si>
  <si>
    <t>AIJOB01066</t>
  </si>
  <si>
    <t>Azure ML, Weaviate, TensorFlow, LlamaIndex, SQL, Rust</t>
  </si>
  <si>
    <t>AIJOB01067</t>
  </si>
  <si>
    <t>RLHF, dbt, Weights &amp; Biases, Rust</t>
  </si>
  <si>
    <t>AIJOB01068</t>
  </si>
  <si>
    <t>Weights &amp; Biases, LangChain, Kubernetes, Spark</t>
  </si>
  <si>
    <t>AIJOB01069</t>
  </si>
  <si>
    <t>Pinecone, dbt, JAX, LangChain, MLflow</t>
  </si>
  <si>
    <t>AIJOB01070</t>
  </si>
  <si>
    <t>PyTorch, RAG, AWS SageMaker, C++, FastAPI, LlamaIndex, dbt</t>
  </si>
  <si>
    <t>AIJOB01071</t>
  </si>
  <si>
    <t>Weights &amp; Biases, AWS SageMaker, FastAPI, JAX, LangChain, SQL</t>
  </si>
  <si>
    <t>AIJOB01072</t>
  </si>
  <si>
    <t>AWS SageMaker, Hugging Face Transformers, SQL</t>
  </si>
  <si>
    <t>AIJOB01073</t>
  </si>
  <si>
    <t>C++, FastAPI, Fine-tuning, ChromaDB</t>
  </si>
  <si>
    <t>AIJOB01074</t>
  </si>
  <si>
    <t>MLflow, Python, PyTorch, Azure ML</t>
  </si>
  <si>
    <t>AIJOB01075</t>
  </si>
  <si>
    <t>Weaviate, MLflow, Python, Azure ML</t>
  </si>
  <si>
    <t>AIJOB01076</t>
  </si>
  <si>
    <t>Kubernetes, CUDA, JAX, Hugging Face Transformers, Weaviate, OpenAI API</t>
  </si>
  <si>
    <t>AIJOB01077</t>
  </si>
  <si>
    <t>Hugging Face Transformers, RAG, RLHF, LangChain, Kubernetes, Fine-tuning</t>
  </si>
  <si>
    <t>AIJOB01078</t>
  </si>
  <si>
    <t>Weights &amp; Biases, CUDA, TensorFlow, Pinecone, Vector Databases, GCP Vertex AI, MLflow</t>
  </si>
  <si>
    <t>AIJOB01079</t>
  </si>
  <si>
    <t>LangChain, CUDA, Spark, Docker, Kubernetes, TensorFlow, SQL</t>
  </si>
  <si>
    <t>AIJOB01080</t>
  </si>
  <si>
    <t>MLflow, C++, Weights &amp; Biases</t>
  </si>
  <si>
    <t>AIJOB01081</t>
  </si>
  <si>
    <t>Pinecone, ChromaDB, CUDA, Hugging Face Transformers, GCP Vertex AI, FastAPI, Kubernetes</t>
  </si>
  <si>
    <t>AIJOB01082</t>
  </si>
  <si>
    <t>TensorFlow, FastAPI, RLHF, ChromaDB, SQL</t>
  </si>
  <si>
    <t>AIJOB01083</t>
  </si>
  <si>
    <t>Rust, SQL, Pinecone, CUDA</t>
  </si>
  <si>
    <t>AIJOB01084</t>
  </si>
  <si>
    <t>Python, Docker, AWS SageMaker, GCP Vertex AI, JAX, SQL, Hugging Face Transformers</t>
  </si>
  <si>
    <t>AIJOB01085</t>
  </si>
  <si>
    <t>JAX, PyTorch, Python, Weaviate, Hugging Face Transformers, Docker, Rust</t>
  </si>
  <si>
    <t>AIJOB01086</t>
  </si>
  <si>
    <t>Weaviate, Kubernetes, SQL, C++, Weights &amp; Biases, Vector Databases, Docker</t>
  </si>
  <si>
    <t>AIJOB01087</t>
  </si>
  <si>
    <t>Weights &amp; Biases, RAG, FastAPI, dbt, LangChain</t>
  </si>
  <si>
    <t>AIJOB01088</t>
  </si>
  <si>
    <t>FastAPI, Vector Databases, Weights &amp; Biases, Python, Spark, LangChain, Pinecone</t>
  </si>
  <si>
    <t>AIJOB01089</t>
  </si>
  <si>
    <t>RAG, Vector Databases, Docker</t>
  </si>
  <si>
    <t>AIJOB01090</t>
  </si>
  <si>
    <t>SQL, Fine-tuning, Vector Databases, LlamaIndex, GCP Vertex AI, CUDA, Hugging Face Transformers</t>
  </si>
  <si>
    <t>AIJOB01091</t>
  </si>
  <si>
    <t>AWS SageMaker, dbt, Rust, GCP Vertex AI, Azure ML, SQL, Kubernetes</t>
  </si>
  <si>
    <t>AIJOB01092</t>
  </si>
  <si>
    <t>Hugging Face Transformers, MLflow, C++</t>
  </si>
  <si>
    <t>AIJOB01093</t>
  </si>
  <si>
    <t>Spark, RLHF, Vector Databases, Hugging Face Transformers</t>
  </si>
  <si>
    <t>AIJOB01094</t>
  </si>
  <si>
    <t>MLflow, CUDA, GCP Vertex AI, LangChain</t>
  </si>
  <si>
    <t>AIJOB01095</t>
  </si>
  <si>
    <t>RLHF, AWS SageMaker, Docker, Vector Databases, Kubernetes, Azure ML</t>
  </si>
  <si>
    <t>AIJOB01096</t>
  </si>
  <si>
    <t>RLHF, OpenAI API, Docker, AWS SageMaker, SQL, CUDA, PyTorch</t>
  </si>
  <si>
    <t>AIJOB01097</t>
  </si>
  <si>
    <t>PyTorch, Pinecone, Vector Databases, CUDA, Weaviate, Hugging Face Transformers</t>
  </si>
  <si>
    <t>AIJOB01098</t>
  </si>
  <si>
    <t>LangChain, RLHF, MLflow, AWS SageMaker</t>
  </si>
  <si>
    <t>AIJOB01099</t>
  </si>
  <si>
    <t>Docker, CUDA, RAG, Vector Databases, TensorFlow</t>
  </si>
  <si>
    <t>AIJOB01100</t>
  </si>
  <si>
    <t>JAX, GCP Vertex AI, PyTorch, SQL, ChromaDB</t>
  </si>
  <si>
    <t>AIJOB01101</t>
  </si>
  <si>
    <t>SQL, Fine-tuning, dbt, Pinecone, AWS SageMaker, FastAPI, Hugging Face Transformers</t>
  </si>
  <si>
    <t>AIJOB01102</t>
  </si>
  <si>
    <t>JAX, Azure ML, C++, FastAPI, Vector Databases, GCP Vertex AI, Spark</t>
  </si>
  <si>
    <t>AIJOB01103</t>
  </si>
  <si>
    <t>C++, LlamaIndex, AWS SageMaker</t>
  </si>
  <si>
    <t>AIJOB01104</t>
  </si>
  <si>
    <t>Rust, Docker, OpenAI API</t>
  </si>
  <si>
    <t>AIJOB01105</t>
  </si>
  <si>
    <t>ChromaDB, Kubernetes, SQL</t>
  </si>
  <si>
    <t>AIJOB01106</t>
  </si>
  <si>
    <t>Azure ML, GCP Vertex AI, LlamaIndex</t>
  </si>
  <si>
    <t>AIJOB01107</t>
  </si>
  <si>
    <t>OpenAI API, LlamaIndex, dbt, RAG, Python</t>
  </si>
  <si>
    <t>AIJOB01108</t>
  </si>
  <si>
    <t>LangChain, Kubernetes, Weights &amp; Biases, Fine-tuning, PyTorch</t>
  </si>
  <si>
    <t>AIJOB01109</t>
  </si>
  <si>
    <t>MLflow, Rust, Pinecone, Vector Databases, OpenAI API</t>
  </si>
  <si>
    <t>AIJOB01110</t>
  </si>
  <si>
    <t>CUDA, FastAPI, C++, Fine-tuning, TensorFlow</t>
  </si>
  <si>
    <t>AIJOB01111</t>
  </si>
  <si>
    <t>RAG, AWS SageMaker, Kubernetes</t>
  </si>
  <si>
    <t>AIJOB01112</t>
  </si>
  <si>
    <t>AWS SageMaker, Hugging Face Transformers, Pinecone, TensorFlow</t>
  </si>
  <si>
    <t>AIJOB01113</t>
  </si>
  <si>
    <t>Fine-tuning, C++, Docker, PyTorch, Azure ML</t>
  </si>
  <si>
    <t>AIJOB01114</t>
  </si>
  <si>
    <t>CUDA, LangChain, Docker, Spark, C++, dbt, FastAPI</t>
  </si>
  <si>
    <t>AIJOB01115</t>
  </si>
  <si>
    <t>Spark, MLflow, Python, ChromaDB, Hugging Face Transformers, FastAPI, Pinecone</t>
  </si>
  <si>
    <t>AIJOB01116</t>
  </si>
  <si>
    <t>Docker, OpenAI API, Python, Spark, Fine-tuning, Weaviate</t>
  </si>
  <si>
    <t>AIJOB01117</t>
  </si>
  <si>
    <t>RLHF, Spark, Weights &amp; Biases, Azure ML, Pinecone, Kubernetes</t>
  </si>
  <si>
    <t>AIJOB01118</t>
  </si>
  <si>
    <t>Pinecone, C++, Spark, CUDA</t>
  </si>
  <si>
    <t>AIJOB01119</t>
  </si>
  <si>
    <t>Weights &amp; Biases, Spark, Azure ML</t>
  </si>
  <si>
    <t>AIJOB01120</t>
  </si>
  <si>
    <t>FastAPI, Kubernetes, C++, Weaviate, Spark</t>
  </si>
  <si>
    <t>AIJOB01121</t>
  </si>
  <si>
    <t>Fine-tuning, OpenAI API, Hugging Face Transformers, C++, Azure ML, TensorFlow, Vector Databases</t>
  </si>
  <si>
    <t>AIJOB01122</t>
  </si>
  <si>
    <t>Fine-tuning, LangChain, MLflow, RAG, OpenAI API, PyTorch, Vector Databases</t>
  </si>
  <si>
    <t>AIJOB01123</t>
  </si>
  <si>
    <t>TensorFlow, ChromaDB, Azure ML, OpenAI API</t>
  </si>
  <si>
    <t>AIJOB01124</t>
  </si>
  <si>
    <t>OpenAI API, SQL, RLHF, TensorFlow, JAX, PyTorch</t>
  </si>
  <si>
    <t>AIJOB01125</t>
  </si>
  <si>
    <t>Rust, C++, Docker</t>
  </si>
  <si>
    <t>AIJOB01126</t>
  </si>
  <si>
    <t>PyTorch, LlamaIndex, C++, Kubernetes, FastAPI, AWS SageMaker</t>
  </si>
  <si>
    <t>AIJOB01127</t>
  </si>
  <si>
    <t>Rust, C++, Vector Databases, Hugging Face Transformers, RAG, SQL</t>
  </si>
  <si>
    <t>AIJOB01128</t>
  </si>
  <si>
    <t>ChromaDB, Weaviate, Azure ML, LangChain, RAG</t>
  </si>
  <si>
    <t>AIJOB01129</t>
  </si>
  <si>
    <t>JAX, Fine-tuning, Docker, Vector Databases, Weaviate, CUDA, Pinecone</t>
  </si>
  <si>
    <t>AIJOB01130</t>
  </si>
  <si>
    <t>ChromaDB, LangChain, PyTorch</t>
  </si>
  <si>
    <t>AIJOB01131</t>
  </si>
  <si>
    <t>C++, OpenAI API, Rust, GCP Vertex AI</t>
  </si>
  <si>
    <t>AIJOB01132</t>
  </si>
  <si>
    <t>MLflow, CUDA, Python, Hugging Face Transformers</t>
  </si>
  <si>
    <t>AIJOB01133</t>
  </si>
  <si>
    <t>RAG, Kubernetes, Rust, AWS SageMaker, Weights &amp; Biases, MLflow, JAX</t>
  </si>
  <si>
    <t>AIJOB01134</t>
  </si>
  <si>
    <t>RAG, ChromaDB, FastAPI</t>
  </si>
  <si>
    <t>AIJOB01135</t>
  </si>
  <si>
    <t>Rust, Weights &amp; Biases, GCP Vertex AI, AWS SageMaker, Weaviate, TensorFlow, FastAPI</t>
  </si>
  <si>
    <t>AIJOB01136</t>
  </si>
  <si>
    <t>RLHF, TensorFlow, LangChain, Pinecone</t>
  </si>
  <si>
    <t>AIJOB01137</t>
  </si>
  <si>
    <t>TensorFlow, Azure ML, OpenAI API</t>
  </si>
  <si>
    <t>AIJOB01138</t>
  </si>
  <si>
    <t>LangChain, PyTorch, Weaviate</t>
  </si>
  <si>
    <t>AIJOB01139</t>
  </si>
  <si>
    <t>PyTorch, Pinecone, Azure ML, JAX</t>
  </si>
  <si>
    <t>AIJOB01140</t>
  </si>
  <si>
    <t>Python, AWS SageMaker, TensorFlow</t>
  </si>
  <si>
    <t>AIJOB01141</t>
  </si>
  <si>
    <t>LangChain, PyTorch, CUDA, RLHF, SQL, Hugging Face Transformers</t>
  </si>
  <si>
    <t>AIJOB01142</t>
  </si>
  <si>
    <t>Weights &amp; Biases, Spark, Fine-tuning, TensorFlow, Azure ML, Rust, LlamaIndex</t>
  </si>
  <si>
    <t>AIJOB01143</t>
  </si>
  <si>
    <t>Spark, Hugging Face Transformers, JAX, LlamaIndex, RLHF</t>
  </si>
  <si>
    <t>AIJOB01144</t>
  </si>
  <si>
    <t>Azure ML, Weaviate, Fine-tuning, TensorFlow</t>
  </si>
  <si>
    <t>AIJOB01145</t>
  </si>
  <si>
    <t>CUDA, Fine-tuning, MLflow, Rust, RAG, Azure ML</t>
  </si>
  <si>
    <t>AIJOB01146</t>
  </si>
  <si>
    <t>AWS SageMaker, Vector Databases, RLHF, TensorFlow, dbt, Hugging Face Transformers, ChromaDB</t>
  </si>
  <si>
    <t>AIJOB01147</t>
  </si>
  <si>
    <t>AWS SageMaker, PyTorch, Weights &amp; Biases, Fine-tuning</t>
  </si>
  <si>
    <t>AIJOB01148</t>
  </si>
  <si>
    <t>Python, RAG, dbt, MLflow</t>
  </si>
  <si>
    <t>AIJOB01149</t>
  </si>
  <si>
    <t>Kubernetes, AWS SageMaker, JAX, GCP Vertex AI, dbt, ChromaDB</t>
  </si>
  <si>
    <t>AIJOB01150</t>
  </si>
  <si>
    <t>CUDA, LangChain, C++, PyTorch, Hugging Face Transformers</t>
  </si>
  <si>
    <t>AIJOB01151</t>
  </si>
  <si>
    <t>Python, C++, Kubernetes, Vector Databases, LlamaIndex, LangChain</t>
  </si>
  <si>
    <t>AIJOB01152</t>
  </si>
  <si>
    <t>Python, OpenAI API, AWS SageMaker</t>
  </si>
  <si>
    <t>AIJOB01153</t>
  </si>
  <si>
    <t>dbt, MLflow, SQL, FastAPI, PyTorch</t>
  </si>
  <si>
    <t>AIJOB01154</t>
  </si>
  <si>
    <t>Kubernetes, GCP Vertex AI, Pinecone, Hugging Face Transformers, MLflow</t>
  </si>
  <si>
    <t>AIJOB01155</t>
  </si>
  <si>
    <t>Fine-tuning, Python, Weaviate</t>
  </si>
  <si>
    <t>AIJOB01156</t>
  </si>
  <si>
    <t>OpenAI API, Vector Databases, GCP Vertex AI, Kubernetes, PyTorch, RLHF, Fine-tuning</t>
  </si>
  <si>
    <t>AIJOB01157</t>
  </si>
  <si>
    <t>OpenAI API, Rust, FastAPI, LlamaIndex, JAX</t>
  </si>
  <si>
    <t>AIJOB01158</t>
  </si>
  <si>
    <t>RAG, Rust, RLHF</t>
  </si>
  <si>
    <t>AIJOB01159</t>
  </si>
  <si>
    <t>JAX, AWS SageMaker, C++, LlamaIndex, RAG, TensorFlow</t>
  </si>
  <si>
    <t>AIJOB01160</t>
  </si>
  <si>
    <t>Pinecone, TensorFlow, Kubernetes, Python, AWS SageMaker</t>
  </si>
  <si>
    <t>AIJOB01161</t>
  </si>
  <si>
    <t>RAG, MLflow, AWS SageMaker, JAX, CUDA, Kubernetes, Weights &amp; Biases</t>
  </si>
  <si>
    <t>AIJOB01162</t>
  </si>
  <si>
    <t>Vector Databases, Pinecone, C++, Rust</t>
  </si>
  <si>
    <t>AIJOB01163</t>
  </si>
  <si>
    <t>ChromaDB, Azure ML, FastAPI, Vector Databases</t>
  </si>
  <si>
    <t>AIJOB01164</t>
  </si>
  <si>
    <t>FastAPI, Weights &amp; Biases, C++, Azure ML, JAX, Docker</t>
  </si>
  <si>
    <t>AIJOB01165</t>
  </si>
  <si>
    <t>Weaviate, Spark, FastAPI, Kubernetes, Vector Databases, dbt</t>
  </si>
  <si>
    <t>AIJOB01166</t>
  </si>
  <si>
    <t>dbt, Hugging Face Transformers, RAG, PyTorch, CUDA, ChromaDB</t>
  </si>
  <si>
    <t>AIJOB01167</t>
  </si>
  <si>
    <t>RLHF, Spark, JAX</t>
  </si>
  <si>
    <t>AIJOB01168</t>
  </si>
  <si>
    <t>Fine-tuning, Weights &amp; Biases, Pinecone, Vector Databases, SQL, PyTorch, JAX</t>
  </si>
  <si>
    <t>AIJOB01169</t>
  </si>
  <si>
    <t>Azure ML, Rust, Python</t>
  </si>
  <si>
    <t>AIJOB01170</t>
  </si>
  <si>
    <t>dbt, Spark, Weights &amp; Biases, GCP Vertex AI</t>
  </si>
  <si>
    <t>AIJOB01171</t>
  </si>
  <si>
    <t>LlamaIndex, CUDA, Hugging Face Transformers, Vector Databases, OpenAI API</t>
  </si>
  <si>
    <t>AIJOB01172</t>
  </si>
  <si>
    <t>C++, Azure ML, Spark, Vector Databases, Fine-tuning, SQL</t>
  </si>
  <si>
    <t>AIJOB01173</t>
  </si>
  <si>
    <t>Hugging Face Transformers, LangChain, C++, Fine-tuning, ChromaDB</t>
  </si>
  <si>
    <t>AIJOB01174</t>
  </si>
  <si>
    <t>PyTorch, Fine-tuning, Weaviate</t>
  </si>
  <si>
    <t>AIJOB01175</t>
  </si>
  <si>
    <t>OpenAI API, JAX, Hugging Face Transformers, Fine-tuning, RLHF, C++, Docker</t>
  </si>
  <si>
    <t>AIJOB01176</t>
  </si>
  <si>
    <t>PyTorch, Weights &amp; Biases, RAG, FastAPI, GCP Vertex AI, Docker, JAX</t>
  </si>
  <si>
    <t>AIJOB01177</t>
  </si>
  <si>
    <t>Hugging Face Transformers, JAX, ChromaDB</t>
  </si>
  <si>
    <t>AIJOB01178</t>
  </si>
  <si>
    <t>RLHF, CUDA, Hugging Face Transformers, Weaviate</t>
  </si>
  <si>
    <t>AIJOB01179</t>
  </si>
  <si>
    <t>CUDA, JAX, Python, Hugging Face Transformers, PyTorch, Weaviate</t>
  </si>
  <si>
    <t>AIJOB01180</t>
  </si>
  <si>
    <t>ChromaDB, Kubernetes, Hugging Face Transformers</t>
  </si>
  <si>
    <t>AIJOB01181</t>
  </si>
  <si>
    <t>SQL, JAX, Weights &amp; Biases</t>
  </si>
  <si>
    <t>AIJOB01182</t>
  </si>
  <si>
    <t>OpenAI API, JAX, Hugging Face Transformers, AWS SageMaker</t>
  </si>
  <si>
    <t>AIJOB01183</t>
  </si>
  <si>
    <t>FastAPI, Docker, TensorFlow, Hugging Face Transformers, JAX</t>
  </si>
  <si>
    <t>AIJOB01184</t>
  </si>
  <si>
    <t>OpenAI API, TensorFlow, Vector Databases, RLHF, AWS SageMaker, ChromaDB</t>
  </si>
  <si>
    <t>AIJOB01185</t>
  </si>
  <si>
    <t>LangChain, Vector Databases, Azure ML, Kubernetes</t>
  </si>
  <si>
    <t>AIJOB01186</t>
  </si>
  <si>
    <t>Fine-tuning, LangChain, RLHF, Rust, FastAPI, Kubernetes, Python</t>
  </si>
  <si>
    <t>AIJOB01187</t>
  </si>
  <si>
    <t>GCP Vertex AI, LangChain, Docker</t>
  </si>
  <si>
    <t>AIJOB01188</t>
  </si>
  <si>
    <t>Azure ML, MLflow, Weights &amp; Biases, Docker</t>
  </si>
  <si>
    <t>AIJOB01189</t>
  </si>
  <si>
    <t>Vector Databases, PyTorch, Fine-tuning, JAX, Spark, RAG</t>
  </si>
  <si>
    <t>AIJOB01190</t>
  </si>
  <si>
    <t>dbt, AWS SageMaker, Fine-tuning, Docker, PyTorch, Pinecone, GCP Vertex AI</t>
  </si>
  <si>
    <t>AIJOB01191</t>
  </si>
  <si>
    <t>Vector Databases, LlamaIndex, dbt, ChromaDB, FastAPI, Hugging Face Transformers</t>
  </si>
  <si>
    <t>AIJOB01192</t>
  </si>
  <si>
    <t>Hugging Face Transformers, FastAPI, AWS SageMaker, RLHF, JAX, Weaviate</t>
  </si>
  <si>
    <t>AIJOB01193</t>
  </si>
  <si>
    <t>Python, Rust, JAX, SQL, MLflow, Spark, Fine-tuning</t>
  </si>
  <si>
    <t>AIJOB01194</t>
  </si>
  <si>
    <t>C++, AWS SageMaker, Spark, PyTorch, Python, MLflow</t>
  </si>
  <si>
    <t>AIJOB01195</t>
  </si>
  <si>
    <t>RAG, CUDA, Python, MLflow</t>
  </si>
  <si>
    <t>AIJOB01196</t>
  </si>
  <si>
    <t>RAG, AWS SageMaker, OpenAI API, MLflow</t>
  </si>
  <si>
    <t>AIJOB01197</t>
  </si>
  <si>
    <t>Rust, Fine-tuning, LangChain, Python</t>
  </si>
  <si>
    <t>AIJOB01198</t>
  </si>
  <si>
    <t>Hugging Face Transformers, RLHF, Vector Databases, dbt, RAG, Pinecone</t>
  </si>
  <si>
    <t>AIJOB01199</t>
  </si>
  <si>
    <t>LangChain, Pinecone, Weaviate, RLHF, Python</t>
  </si>
  <si>
    <t>AIJOB01200</t>
  </si>
  <si>
    <t>TensorFlow, FastAPI, Vector Databases, Hugging Face Transformers, Kubernetes</t>
  </si>
  <si>
    <t>AIJOB01201</t>
  </si>
  <si>
    <t>Azure ML, Weights &amp; Biases, Kubernetes, RAG, FastAPI, LlamaIndex, Fine-tuning</t>
  </si>
  <si>
    <t>AIJOB01202</t>
  </si>
  <si>
    <t>Vector Databases, Weights &amp; Biases, Docker, Hugging Face Transformers, TensorFlow</t>
  </si>
  <si>
    <t>AIJOB01203</t>
  </si>
  <si>
    <t>Weights &amp; Biases, LangChain, AWS SageMaker, Kubernetes, RLHF, Pinecone</t>
  </si>
  <si>
    <t>AIJOB01204</t>
  </si>
  <si>
    <t>LlamaIndex, dbt, RAG, FastAPI, Kubernetes, C++</t>
  </si>
  <si>
    <t>AIJOB01205</t>
  </si>
  <si>
    <t>ChromaDB, C++, LangChain, Python</t>
  </si>
  <si>
    <t>AIJOB01206</t>
  </si>
  <si>
    <t>GCP Vertex AI, JAX, PyTorch</t>
  </si>
  <si>
    <t>AIJOB01207</t>
  </si>
  <si>
    <t>Weaviate, LlamaIndex, Hugging Face Transformers</t>
  </si>
  <si>
    <t>AIJOB01208</t>
  </si>
  <si>
    <t>OpenAI API, Pinecone, FastAPI, GCP Vertex AI, dbt</t>
  </si>
  <si>
    <t>AIJOB01209</t>
  </si>
  <si>
    <t>Rust, Spark, GCP Vertex AI, CUDA, Python</t>
  </si>
  <si>
    <t>AIJOB01210</t>
  </si>
  <si>
    <t>Python, Fine-tuning, RAG, OpenAI API, Hugging Face Transformers, PyTorch</t>
  </si>
  <si>
    <t>AIJOB01211</t>
  </si>
  <si>
    <t>LangChain, Weaviate, LlamaIndex, Fine-tuning, MLflow, GCP Vertex AI</t>
  </si>
  <si>
    <t>AIJOB01212</t>
  </si>
  <si>
    <t>Python, OpenAI API, MLflow, ChromaDB</t>
  </si>
  <si>
    <t>AIJOB01213</t>
  </si>
  <si>
    <t>Hugging Face Transformers, TensorFlow, SQL, GCP Vertex AI, Weaviate, RLHF, OpenAI API</t>
  </si>
  <si>
    <t>AIJOB01214</t>
  </si>
  <si>
    <t>RLHF, Weights &amp; Biases, Weaviate</t>
  </si>
  <si>
    <t>AIJOB01215</t>
  </si>
  <si>
    <t>JAX, FastAPI, ChromaDB, Weights &amp; Biases, dbt</t>
  </si>
  <si>
    <t>AIJOB01216</t>
  </si>
  <si>
    <t>OpenAI API, Python, Pinecone</t>
  </si>
  <si>
    <t>AIJOB01217</t>
  </si>
  <si>
    <t>AIJOB01218</t>
  </si>
  <si>
    <t>Hugging Face Transformers, Rust, Vector Databases</t>
  </si>
  <si>
    <t>AIJOB01219</t>
  </si>
  <si>
    <t>Docker, OpenAI API, GCP Vertex AI, Rust, SQL</t>
  </si>
  <si>
    <t>AIJOB01220</t>
  </si>
  <si>
    <t>OpenAI API, Fine-tuning, SQL, Python, ChromaDB</t>
  </si>
  <si>
    <t>AIJOB01221</t>
  </si>
  <si>
    <t>Python, LlamaIndex, FastAPI, AWS SageMaker, Kubernetes, RAG</t>
  </si>
  <si>
    <t>AIJOB01222</t>
  </si>
  <si>
    <t>C++, MLflow, Docker, Pinecone, Weaviate, LlamaIndex</t>
  </si>
  <si>
    <t>AIJOB01223</t>
  </si>
  <si>
    <t>SQL, FastAPI, JAX, Pinecone, Fine-tuning, AWS SageMaker</t>
  </si>
  <si>
    <t>AIJOB01224</t>
  </si>
  <si>
    <t>Fine-tuning, ChromaDB, SQL, LlamaIndex</t>
  </si>
  <si>
    <t>AIJOB01225</t>
  </si>
  <si>
    <t>Kubernetes, OpenAI API, GCP Vertex AI, FastAPI, Weaviate, Weights &amp; Biases, Vector Databases</t>
  </si>
  <si>
    <t>AIJOB01226</t>
  </si>
  <si>
    <t>Pinecone, CUDA, Rust</t>
  </si>
  <si>
    <t>AIJOB01227</t>
  </si>
  <si>
    <t>AWS SageMaker, PyTorch, Spark</t>
  </si>
  <si>
    <t>AIJOB01228</t>
  </si>
  <si>
    <t>OpenAI API, AWS SageMaker, LangChain</t>
  </si>
  <si>
    <t>AIJOB01229</t>
  </si>
  <si>
    <t>Hugging Face Transformers, Weights &amp; Biases, Rust, dbt, MLflow</t>
  </si>
  <si>
    <t>AIJOB01230</t>
  </si>
  <si>
    <t>SQL, Docker, Weaviate</t>
  </si>
  <si>
    <t>AIJOB01231</t>
  </si>
  <si>
    <t>RLHF, SQL, Fine-tuning</t>
  </si>
  <si>
    <t>AIJOB01232</t>
  </si>
  <si>
    <t>GCP Vertex AI, Kubernetes, TensorFlow, dbt</t>
  </si>
  <si>
    <t>AIJOB01233</t>
  </si>
  <si>
    <t>FastAPI, dbt, Hugging Face Transformers, PyTorch, LlamaIndex, MLflow, GCP Vertex AI</t>
  </si>
  <si>
    <t>AIJOB01234</t>
  </si>
  <si>
    <t>Docker, CUDA, RLHF, AWS SageMaker, Weaviate</t>
  </si>
  <si>
    <t>AIJOB01235</t>
  </si>
  <si>
    <t>TensorFlow, Rust, Vector Databases, Spark, PyTorch, MLflow, Weaviate</t>
  </si>
  <si>
    <t>AIJOB01236</t>
  </si>
  <si>
    <t>C++, TensorFlow, Weaviate, Rust, Azure ML, Pinecone, Python</t>
  </si>
  <si>
    <t>AIJOB01237</t>
  </si>
  <si>
    <t>RAG, PyTorch, Spark</t>
  </si>
  <si>
    <t>AIJOB01238</t>
  </si>
  <si>
    <t>SQL, Rust, MLflow, Weaviate</t>
  </si>
  <si>
    <t>AIJOB01239</t>
  </si>
  <si>
    <t>Weaviate, RAG, dbt, Docker, Spark, MLflow, Python</t>
  </si>
  <si>
    <t>AIJOB01240</t>
  </si>
  <si>
    <t>GCP Vertex AI, Weights &amp; Biases, Fine-tuning, LlamaIndex</t>
  </si>
  <si>
    <t>AIJOB01241</t>
  </si>
  <si>
    <t>Vector Databases, PyTorch, SQL, Hugging Face Transformers, CUDA, dbt, MLflow</t>
  </si>
  <si>
    <t>AIJOB01242</t>
  </si>
  <si>
    <t>Docker, Weaviate, GCP Vertex AI, CUDA, PyTorch, C++, Hugging Face Transformers</t>
  </si>
  <si>
    <t>AIJOB01243</t>
  </si>
  <si>
    <t>dbt, Python, Vector Databases, C++, Docker, Azure ML</t>
  </si>
  <si>
    <t>AIJOB01244</t>
  </si>
  <si>
    <t>C++, SQL, ChromaDB</t>
  </si>
  <si>
    <t>AIJOB01245</t>
  </si>
  <si>
    <t>Kubernetes, Python, LlamaIndex, Weights &amp; Biases, RAG</t>
  </si>
  <si>
    <t>AIJOB01246</t>
  </si>
  <si>
    <t>RAG, Kubernetes, PyTorch</t>
  </si>
  <si>
    <t>AIJOB01247</t>
  </si>
  <si>
    <t>ChromaDB, LangChain, Hugging Face Transformers</t>
  </si>
  <si>
    <t>AIJOB01248</t>
  </si>
  <si>
    <t>Kubernetes, CUDA, LangChain, ChromaDB, Spark</t>
  </si>
  <si>
    <t>AIJOB01249</t>
  </si>
  <si>
    <t>LlamaIndex, PyTorch, GCP Vertex AI, AWS SageMaker, Weights &amp; Biases, Weaviate, SQL</t>
  </si>
  <si>
    <t>AIJOB01250</t>
  </si>
  <si>
    <t>FastAPI, GCP Vertex AI, RAG, Hugging Face Transformers, CUDA</t>
  </si>
  <si>
    <t>AIJOB01251</t>
  </si>
  <si>
    <t>Fine-tuning, Python, RLHF, CUDA, AWS SageMaker, C++, Spark</t>
  </si>
  <si>
    <t>AIJOB01252</t>
  </si>
  <si>
    <t>Kubernetes, dbt, Weights &amp; Biases, Spark, TensorFlow, Fine-tuning</t>
  </si>
  <si>
    <t>AIJOB01253</t>
  </si>
  <si>
    <t>ChromaDB, Docker, PyTorch, MLflow, RAG, CUDA</t>
  </si>
  <si>
    <t>AIJOB01254</t>
  </si>
  <si>
    <t>Spark, ChromaDB, Weaviate, RAG, Fine-tuning, Weights &amp; Biases, AWS SageMaker</t>
  </si>
  <si>
    <t>AIJOB01255</t>
  </si>
  <si>
    <t>RAG, Weaviate, Python, Azure ML, dbt, RLHF</t>
  </si>
  <si>
    <t>AIJOB01256</t>
  </si>
  <si>
    <t>Kubernetes, OpenAI API, CUDA, LlamaIndex, MLflow, FastAPI</t>
  </si>
  <si>
    <t>AIJOB01257</t>
  </si>
  <si>
    <t>RAG, SQL, ChromaDB, Spark, Hugging Face Transformers, Docker</t>
  </si>
  <si>
    <t>AIJOB01258</t>
  </si>
  <si>
    <t>TensorFlow, Fine-tuning, SQL</t>
  </si>
  <si>
    <t>AIJOB01259</t>
  </si>
  <si>
    <t>GCP Vertex AI, C++, Docker</t>
  </si>
  <si>
    <t>AIJOB01260</t>
  </si>
  <si>
    <t>Rust, AWS SageMaker, Kubernetes, OpenAI API, dbt, LlamaIndex</t>
  </si>
  <si>
    <t>AIJOB01261</t>
  </si>
  <si>
    <t>Python, Rust, RLHF, JAX, OpenAI API, Weaviate</t>
  </si>
  <si>
    <t>AIJOB01262</t>
  </si>
  <si>
    <t>Docker, Python, dbt, Spark, Fine-tuning, Vector Databases</t>
  </si>
  <si>
    <t>AIJOB01263</t>
  </si>
  <si>
    <t>OpenAI API, Rust, Pinecone, dbt, Azure ML, Spark</t>
  </si>
  <si>
    <t>AIJOB01264</t>
  </si>
  <si>
    <t>ChromaDB, MLflow, FastAPI, dbt</t>
  </si>
  <si>
    <t>AIJOB01265</t>
  </si>
  <si>
    <t>MLflow, Rust, dbt, OpenAI API, LlamaIndex, Fine-tuning, Weights &amp; Biases</t>
  </si>
  <si>
    <t>AIJOB01266</t>
  </si>
  <si>
    <t>GCP Vertex AI, Kubernetes, Docker, Python, Rust, MLflow, TensorFlow</t>
  </si>
  <si>
    <t>AIJOB01267</t>
  </si>
  <si>
    <t>GCP Vertex AI, RAG, MLflow, RLHF</t>
  </si>
  <si>
    <t>AIJOB01268</t>
  </si>
  <si>
    <t>TensorFlow, RAG, Pinecone, PyTorch, MLflow</t>
  </si>
  <si>
    <t>AIJOB01269</t>
  </si>
  <si>
    <t>Fine-tuning, dbt, RLHF, SQL, Docker, ChromaDB, RAG</t>
  </si>
  <si>
    <t>AIJOB01270</t>
  </si>
  <si>
    <t>Python, LangChain, Fine-tuning, GCP Vertex AI</t>
  </si>
  <si>
    <t>AIJOB01271</t>
  </si>
  <si>
    <t>Azure ML, LangChain, Hugging Face Transformers, Docker, Vector Databases, Fine-tuning</t>
  </si>
  <si>
    <t>AIJOB01272</t>
  </si>
  <si>
    <t>Docker, GCP Vertex AI, LangChain, LlamaIndex, Hugging Face Transformers</t>
  </si>
  <si>
    <t>AIJOB01273</t>
  </si>
  <si>
    <t>Python, Pinecone, FastAPI, Kubernetes, GCP Vertex AI, Vector Databases</t>
  </si>
  <si>
    <t>AIJOB01274</t>
  </si>
  <si>
    <t>PyTorch, Rust, MLflow, GCP Vertex AI</t>
  </si>
  <si>
    <t>AIJOB01275</t>
  </si>
  <si>
    <t>C++, SQL, Vector Databases</t>
  </si>
  <si>
    <t>AIJOB01276</t>
  </si>
  <si>
    <t>RLHF, OpenAI API, Azure ML</t>
  </si>
  <si>
    <t>AIJOB01277</t>
  </si>
  <si>
    <t>PyTorch, LlamaIndex, dbt, Fine-tuning, Python, Hugging Face Transformers, MLflow</t>
  </si>
  <si>
    <t>AIJOB01278</t>
  </si>
  <si>
    <t>OpenAI API, CUDA, AWS SageMaker, LlamaIndex, PyTorch, Kubernetes</t>
  </si>
  <si>
    <t>AIJOB01279</t>
  </si>
  <si>
    <t>dbt, Pinecone, Weights &amp; Biases, Hugging Face Transformers, OpenAI API</t>
  </si>
  <si>
    <t>AIJOB01280</t>
  </si>
  <si>
    <t>Hugging Face Transformers, JAX, Fine-tuning, Python</t>
  </si>
  <si>
    <t>AIJOB01281</t>
  </si>
  <si>
    <t>Hugging Face Transformers, C++, ChromaDB, OpenAI API, dbt, Spark</t>
  </si>
  <si>
    <t>AIJOB01282</t>
  </si>
  <si>
    <t>ChromaDB, AWS SageMaker, Fine-tuning, SQL, Weaviate</t>
  </si>
  <si>
    <t>AIJOB01283</t>
  </si>
  <si>
    <t>dbt, C++, ChromaDB, PyTorch, Rust, MLflow</t>
  </si>
  <si>
    <t>AIJOB01284</t>
  </si>
  <si>
    <t>MLflow, Docker, TensorFlow, Spark, Rust</t>
  </si>
  <si>
    <t>AIJOB01285</t>
  </si>
  <si>
    <t>TensorFlow, GCP Vertex AI, Vector Databases, SQL, PyTorch, Weaviate, ChromaDB</t>
  </si>
  <si>
    <t>AIJOB01286</t>
  </si>
  <si>
    <t>LlamaIndex, Kubernetes, ChromaDB</t>
  </si>
  <si>
    <t>AIJOB01287</t>
  </si>
  <si>
    <t>Spark, RAG, JAX, Rust, FastAPI, LangChain, Pinecone</t>
  </si>
  <si>
    <t>AIJOB01288</t>
  </si>
  <si>
    <t>Kubernetes, Vector Databases, FastAPI, LlamaIndex</t>
  </si>
  <si>
    <t>AIJOB01289</t>
  </si>
  <si>
    <t>Fine-tuning, Vector Databases, GCP Vertex AI</t>
  </si>
  <si>
    <t>AIJOB01290</t>
  </si>
  <si>
    <t>LangChain, GCP Vertex AI, Spark, PyTorch</t>
  </si>
  <si>
    <t>AIJOB01291</t>
  </si>
  <si>
    <t>Pinecone, Weaviate, OpenAI API, LangChain, TensorFlow</t>
  </si>
  <si>
    <t>AIJOB01292</t>
  </si>
  <si>
    <t>GCP Vertex AI, Spark, FastAPI</t>
  </si>
  <si>
    <t>AIJOB01293</t>
  </si>
  <si>
    <t>Azure ML, Fine-tuning, Pinecone, AWS SageMaker, Docker</t>
  </si>
  <si>
    <t>AIJOB01294</t>
  </si>
  <si>
    <t>Vector Databases, OpenAI API, FastAPI, Pinecone, dbt</t>
  </si>
  <si>
    <t>AIJOB01295</t>
  </si>
  <si>
    <t>FastAPI, Weights &amp; Biases, OpenAI API, MLflow, PyTorch, LlamaIndex, ChromaDB</t>
  </si>
  <si>
    <t>AIJOB01296</t>
  </si>
  <si>
    <t>Weaviate, Kubernetes, ChromaDB, Fine-tuning, Rust</t>
  </si>
  <si>
    <t>AIJOB01297</t>
  </si>
  <si>
    <t>Docker, Weights &amp; Biases, SQL, LangChain, Fine-tuning, TensorFlow</t>
  </si>
  <si>
    <t>AIJOB01298</t>
  </si>
  <si>
    <t>dbt, Vector Databases, RAG, MLflow, JAX</t>
  </si>
  <si>
    <t>AIJOB01299</t>
  </si>
  <si>
    <t>FastAPI, Python, Rust, LlamaIndex</t>
  </si>
  <si>
    <t>AIJOB01300</t>
  </si>
  <si>
    <t>Fine-tuning, JAX, CUDA, TensorFlow, Python, LlamaIndex</t>
  </si>
  <si>
    <t>AIJOB01301</t>
  </si>
  <si>
    <t>PyTorch, TensorFlow, OpenAI API, Weights &amp; Biases, RLHF, Fine-tuning, Weaviate</t>
  </si>
  <si>
    <t>AIJOB01302</t>
  </si>
  <si>
    <t>SQL, Hugging Face Transformers, OpenAI API</t>
  </si>
  <si>
    <t>AIJOB01303</t>
  </si>
  <si>
    <t>RAG, OpenAI API, TensorFlow, ChromaDB</t>
  </si>
  <si>
    <t>AIJOB01304</t>
  </si>
  <si>
    <t>PyTorch, Python, OpenAI API, Rust, Weaviate, GCP Vertex AI, CUDA</t>
  </si>
  <si>
    <t>AIJOB01305</t>
  </si>
  <si>
    <t>Kubernetes, ChromaDB, Python, AWS SageMaker, Vector Databases, JAX, Weights &amp; Biases</t>
  </si>
  <si>
    <t>AIJOB01306</t>
  </si>
  <si>
    <t>RLHF, Pinecone, CUDA, JAX, ChromaDB, GCP Vertex AI, OpenAI API</t>
  </si>
  <si>
    <t>AIJOB01307</t>
  </si>
  <si>
    <t>Vector Databases, Kubernetes, TensorFlow, AWS SageMaker, OpenAI API, ChromaDB, C++</t>
  </si>
  <si>
    <t>AIJOB01308</t>
  </si>
  <si>
    <t>dbt, RAG, Spark, Pinecone, GCP Vertex AI, Fine-tuning, AWS SageMaker</t>
  </si>
  <si>
    <t>AIJOB01309</t>
  </si>
  <si>
    <t>Python, RAG, PyTorch, Hugging Face Transformers</t>
  </si>
  <si>
    <t>AIJOB01310</t>
  </si>
  <si>
    <t>RAG, Fine-tuning, Vector Databases</t>
  </si>
  <si>
    <t>AIJOB01311</t>
  </si>
  <si>
    <t>PyTorch, GCP Vertex AI, Kubernetes, CUDA, ChromaDB</t>
  </si>
  <si>
    <t>AIJOB01312</t>
  </si>
  <si>
    <t>ChromaDB, LangChain, OpenAI API, Kubernetes</t>
  </si>
  <si>
    <t>AIJOB01313</t>
  </si>
  <si>
    <t>Pinecone, RAG, AWS SageMaker, FastAPI</t>
  </si>
  <si>
    <t>AIJOB01314</t>
  </si>
  <si>
    <t>FastAPI, RLHF, Spark, dbt, Vector Databases, C++</t>
  </si>
  <si>
    <t>AIJOB01315</t>
  </si>
  <si>
    <t>C++, GCP Vertex AI, ChromaDB, CUDA, TensorFlow</t>
  </si>
  <si>
    <t>AIJOB01316</t>
  </si>
  <si>
    <t>MLflow, Azure ML, Hugging Face Transformers, AWS SageMaker, RLHF, Docker, RAG</t>
  </si>
  <si>
    <t>AIJOB01317</t>
  </si>
  <si>
    <t>Vector Databases, ChromaDB, LlamaIndex, AWS SageMaker, LangChain, GCP Vertex AI</t>
  </si>
  <si>
    <t>AIJOB01318</t>
  </si>
  <si>
    <t>Kubernetes, dbt, ChromaDB, Python, Fine-tuning, LangChain</t>
  </si>
  <si>
    <t>AIJOB01319</t>
  </si>
  <si>
    <t>LangChain, RAG, JAX</t>
  </si>
  <si>
    <t>AIJOB01320</t>
  </si>
  <si>
    <t>LangChain, Docker, Weaviate</t>
  </si>
  <si>
    <t>AIJOB01321</t>
  </si>
  <si>
    <t>Rust, FastAPI, RLHF, RAG, Hugging Face Transformers</t>
  </si>
  <si>
    <t>AIJOB01322</t>
  </si>
  <si>
    <t>Spark, AWS SageMaker, Python, OpenAI API, RAG, ChromaDB, Docker</t>
  </si>
  <si>
    <t>AIJOB01323</t>
  </si>
  <si>
    <t>Kubernetes, OpenAI API, GCP Vertex AI, JAX, SQL, LangChain, PyTorch</t>
  </si>
  <si>
    <t>AIJOB01324</t>
  </si>
  <si>
    <t>Docker, OpenAI API, Vector Databases, dbt, Fine-tuning</t>
  </si>
  <si>
    <t>AIJOB01325</t>
  </si>
  <si>
    <t>Vector Databases, SQL, OpenAI API, PyTorch, TensorFlow, Docker</t>
  </si>
  <si>
    <t>AIJOB01326</t>
  </si>
  <si>
    <t>LlamaIndex, Pinecone, Weaviate</t>
  </si>
  <si>
    <t>AIJOB01327</t>
  </si>
  <si>
    <t>Docker, Pinecone, JAX, Weights &amp; Biases</t>
  </si>
  <si>
    <t>AIJOB01328</t>
  </si>
  <si>
    <t>OpenAI API, Weaviate, RAG</t>
  </si>
  <si>
    <t>AIJOB01329</t>
  </si>
  <si>
    <t>dbt, CUDA, Python, Hugging Face Transformers, Pinecone, Weaviate</t>
  </si>
  <si>
    <t>AIJOB01330</t>
  </si>
  <si>
    <t>Vector Databases, RAG, AWS SageMaker, CUDA, Fine-tuning</t>
  </si>
  <si>
    <t>AIJOB01331</t>
  </si>
  <si>
    <t>Spark, LlamaIndex, LangChain, Azure ML</t>
  </si>
  <si>
    <t>AIJOB01332</t>
  </si>
  <si>
    <t>GCP Vertex AI, Hugging Face Transformers, FastAPI, Spark, Vector Databases</t>
  </si>
  <si>
    <t>AIJOB01333</t>
  </si>
  <si>
    <t>RAG, SQL, AWS SageMaker, Pinecone, ChromaDB, CUDA</t>
  </si>
  <si>
    <t>AIJOB01334</t>
  </si>
  <si>
    <t>Spark, Weights &amp; Biases, TensorFlow, RLHF, LlamaIndex, RAG</t>
  </si>
  <si>
    <t>AIJOB01335</t>
  </si>
  <si>
    <t>Pinecone, Spark, Fine-tuning, Hugging Face Transformers, Docker, PyTorch</t>
  </si>
  <si>
    <t>AIJOB01336</t>
  </si>
  <si>
    <t>Vector Databases, Fine-tuning, Hugging Face Transformers</t>
  </si>
  <si>
    <t>AIJOB01337</t>
  </si>
  <si>
    <t>CUDA, LlamaIndex, Pinecone, OpenAI API, Azure ML</t>
  </si>
  <si>
    <t>AIJOB01338</t>
  </si>
  <si>
    <t>Kubernetes, Azure ML, dbt</t>
  </si>
  <si>
    <t>AIJOB01339</t>
  </si>
  <si>
    <t>Vector Databases, Weaviate, PyTorch, SQL, FastAPI</t>
  </si>
  <si>
    <t>AIJOB01340</t>
  </si>
  <si>
    <t>Rust, FastAPI, Pinecone, LangChain</t>
  </si>
  <si>
    <t>AIJOB01341</t>
  </si>
  <si>
    <t>Vector Databases, Weaviate, Spark, MLflow, Python</t>
  </si>
  <si>
    <t>AIJOB01342</t>
  </si>
  <si>
    <t>ChromaDB, Python, GCP Vertex AI, C++, Weaviate, Rust, Azure ML</t>
  </si>
  <si>
    <t>AIJOB01343</t>
  </si>
  <si>
    <t>MLflow, AWS SageMaker, Azure ML</t>
  </si>
  <si>
    <t>AIJOB01344</t>
  </si>
  <si>
    <t>JAX, PyTorch, TensorFlow, RAG, GCP Vertex AI, LlamaIndex</t>
  </si>
  <si>
    <t>AIJOB01345</t>
  </si>
  <si>
    <t>SQL, Hugging Face Transformers, Spark, JAX, RAG, AWS SageMaker, Docker</t>
  </si>
  <si>
    <t>AIJOB01346</t>
  </si>
  <si>
    <t>Docker, TensorFlow, RLHF</t>
  </si>
  <si>
    <t>AIJOB01347</t>
  </si>
  <si>
    <t>RAG, Hugging Face Transformers, C++</t>
  </si>
  <si>
    <t>AIJOB01348</t>
  </si>
  <si>
    <t>GCP Vertex AI, Spark, Weaviate</t>
  </si>
  <si>
    <t>AIJOB01349</t>
  </si>
  <si>
    <t>Hugging Face Transformers, SQL, LlamaIndex, C++, Python</t>
  </si>
  <si>
    <t>AIJOB01350</t>
  </si>
  <si>
    <t>RAG, Kubernetes, LlamaIndex</t>
  </si>
  <si>
    <t>AIJOB01351</t>
  </si>
  <si>
    <t>dbt, ChromaDB, PyTorch</t>
  </si>
  <si>
    <t>AIJOB01352</t>
  </si>
  <si>
    <t>RAG, LlamaIndex, Hugging Face Transformers</t>
  </si>
  <si>
    <t>AIJOB01353</t>
  </si>
  <si>
    <t>Weights &amp; Biases, Rust, OpenAI API, LlamaIndex, Kubernetes</t>
  </si>
  <si>
    <t>AIJOB01354</t>
  </si>
  <si>
    <t>SQL, AWS SageMaker, FastAPI</t>
  </si>
  <si>
    <t>AIJOB01355</t>
  </si>
  <si>
    <t>TensorFlow, LlamaIndex, Python, Rust, ChromaDB, Hugging Face Transformers</t>
  </si>
  <si>
    <t>AIJOB01356</t>
  </si>
  <si>
    <t>Python, RAG, Spark, Vector Databases, C++, Fine-tuning</t>
  </si>
  <si>
    <t>AIJOB01357</t>
  </si>
  <si>
    <t>TensorFlow, JAX, AWS SageMaker, LlamaIndex, SQL, C++</t>
  </si>
  <si>
    <t>AIJOB01358</t>
  </si>
  <si>
    <t>Azure ML, SQL, dbt, Spark, Pinecone, RAG</t>
  </si>
  <si>
    <t>AIJOB01359</t>
  </si>
  <si>
    <t>JAX, OpenAI API, Pinecone, LlamaIndex, PyTorch</t>
  </si>
  <si>
    <t>AIJOB01360</t>
  </si>
  <si>
    <t>Docker, GCP Vertex AI, Azure ML, Kubernetes</t>
  </si>
  <si>
    <t>AIJOB01361</t>
  </si>
  <si>
    <t>Hugging Face Transformers, Docker, C++, Rust</t>
  </si>
  <si>
    <t>AIJOB01362</t>
  </si>
  <si>
    <t>LlamaIndex, C++, dbt</t>
  </si>
  <si>
    <t>AIJOB01363</t>
  </si>
  <si>
    <t>CUDA, LlamaIndex, TensorFlow, ChromaDB, LangChain</t>
  </si>
  <si>
    <t>AIJOB01364</t>
  </si>
  <si>
    <t>RLHF, CUDA, LlamaIndex, Azure ML, LangChain, Pinecone, AWS SageMaker</t>
  </si>
  <si>
    <t>AIJOB01365</t>
  </si>
  <si>
    <t>MLflow, PyTorch, ChromaDB, Docker</t>
  </si>
  <si>
    <t>AIJOB01366</t>
  </si>
  <si>
    <t>JAX, Rust, C++, LlamaIndex</t>
  </si>
  <si>
    <t>AIJOB01367</t>
  </si>
  <si>
    <t>RAG, Python, Rust, Pinecone, Hugging Face Transformers, MLflow, Weaviate</t>
  </si>
  <si>
    <t>AIJOB01368</t>
  </si>
  <si>
    <t>Docker, ChromaDB, MLflow, PyTorch, LangChain, OpenAI API</t>
  </si>
  <si>
    <t>AIJOB01369</t>
  </si>
  <si>
    <t>MLflow, JAX, CUDA, Spark, PyTorch, Weaviate, FastAPI</t>
  </si>
  <si>
    <t>AIJOB01370</t>
  </si>
  <si>
    <t>TensorFlow, dbt, OpenAI API, C++, GCP Vertex AI</t>
  </si>
  <si>
    <t>AIJOB01371</t>
  </si>
  <si>
    <t>RAG, AWS SageMaker, RLHF, LangChain, Vector Databases</t>
  </si>
  <si>
    <t>AIJOB01372</t>
  </si>
  <si>
    <t>Vector Databases, MLflow, LangChain, Fine-tuning</t>
  </si>
  <si>
    <t>AIJOB01373</t>
  </si>
  <si>
    <t>OpenAI API, dbt, JAX, Hugging Face Transformers, Fine-tuning, TensorFlow, Vector Databases</t>
  </si>
  <si>
    <t>AIJOB01374</t>
  </si>
  <si>
    <t>MLflow, LlamaIndex, Weaviate, Azure ML, Kubernetes, Rust</t>
  </si>
  <si>
    <t>AIJOB01375</t>
  </si>
  <si>
    <t>Weaviate, C++, Docker, Fine-tuning, Vector Databases</t>
  </si>
  <si>
    <t>AIJOB01376</t>
  </si>
  <si>
    <t>Rust, Weights &amp; Biases, MLflow, PyTorch, Hugging Face Transformers</t>
  </si>
  <si>
    <t>AIJOB01377</t>
  </si>
  <si>
    <t>Spark, RLHF, FastAPI</t>
  </si>
  <si>
    <t>AIJOB01378</t>
  </si>
  <si>
    <t>Spark, Pinecone, RAG, OpenAI API, Python, SQL</t>
  </si>
  <si>
    <t>AIJOB01379</t>
  </si>
  <si>
    <t>Weights &amp; Biases, dbt, Vector Databases, CUDA, C++</t>
  </si>
  <si>
    <t>AIJOB01380</t>
  </si>
  <si>
    <t>RAG, FastAPI, RLHF, Fine-tuning, AWS SageMaker, PyTorch</t>
  </si>
  <si>
    <t>AIJOB01381</t>
  </si>
  <si>
    <t>FastAPI, RLHF, SQL, OpenAI API</t>
  </si>
  <si>
    <t>AIJOB01382</t>
  </si>
  <si>
    <t>FastAPI, LangChain, GCP Vertex AI</t>
  </si>
  <si>
    <t>AIJOB01383</t>
  </si>
  <si>
    <t>RAG, Azure ML, Weaviate, ChromaDB</t>
  </si>
  <si>
    <t>AIJOB01384</t>
  </si>
  <si>
    <t>Vector Databases, JAX, TensorFlow, SQL, Hugging Face Transformers</t>
  </si>
  <si>
    <t>AIJOB01385</t>
  </si>
  <si>
    <t>TensorFlow, Vector Databases, MLflow, LlamaIndex</t>
  </si>
  <si>
    <t>AIJOB01386</t>
  </si>
  <si>
    <t>PyTorch, Rust, MLflow</t>
  </si>
  <si>
    <t>AIJOB01387</t>
  </si>
  <si>
    <t>Docker, OpenAI API, C++, LlamaIndex, Vector Databases</t>
  </si>
  <si>
    <t>AIJOB01388</t>
  </si>
  <si>
    <t>Weights &amp; Biases, PyTorch, ChromaDB</t>
  </si>
  <si>
    <t>AIJOB01389</t>
  </si>
  <si>
    <t>MLflow, Docker, TensorFlow, GCP Vertex AI, Weaviate</t>
  </si>
  <si>
    <t>AIJOB01390</t>
  </si>
  <si>
    <t>RAG, Hugging Face Transformers, Weaviate, Spark, Python, Pinecone</t>
  </si>
  <si>
    <t>AIJOB01391</t>
  </si>
  <si>
    <t>TensorFlow, C++, CUDA, PyTorch</t>
  </si>
  <si>
    <t>AIJOB01392</t>
  </si>
  <si>
    <t>Weights &amp; Biases, AWS SageMaker, LlamaIndex</t>
  </si>
  <si>
    <t>AIJOB01393</t>
  </si>
  <si>
    <t>Vector Databases, JAX, RAG, LlamaIndex, dbt, Pinecone, Weaviate</t>
  </si>
  <si>
    <t>AIJOB01394</t>
  </si>
  <si>
    <t>Hugging Face Transformers, JAX, Fine-tuning, C++, Rust, RLHF, Pinecone</t>
  </si>
  <si>
    <t>AIJOB01395</t>
  </si>
  <si>
    <t>dbt, MLflow, Weaviate, SQL, Python, RLHF, AWS SageMaker</t>
  </si>
  <si>
    <t>AIJOB01396</t>
  </si>
  <si>
    <t>Python, Weaviate, C++, OpenAI API, Azure ML</t>
  </si>
  <si>
    <t>AIJOB01397</t>
  </si>
  <si>
    <t>TensorFlow, C++, LlamaIndex, ChromaDB, Azure ML, RAG, FastAPI</t>
  </si>
  <si>
    <t>AIJOB01398</t>
  </si>
  <si>
    <t>Docker, SQL, MLflow, Spark, Hugging Face Transformers</t>
  </si>
  <si>
    <t>AIJOB01399</t>
  </si>
  <si>
    <t>Spark, Python, TensorFlow, Pinecone, RAG</t>
  </si>
  <si>
    <t>AIJOB01400</t>
  </si>
  <si>
    <t>Spark, Weaviate, Python</t>
  </si>
  <si>
    <t>AIJOB01401</t>
  </si>
  <si>
    <t>Azure ML, Kubernetes, Vector Databases, Rust, Weights &amp; Biases, Spark</t>
  </si>
  <si>
    <t>AIJOB01402</t>
  </si>
  <si>
    <t>PyTorch, Weights &amp; Biases, RAG, Weaviate, JAX</t>
  </si>
  <si>
    <t>AIJOB01403</t>
  </si>
  <si>
    <t>dbt, Weights &amp; Biases, CUDA, Docker</t>
  </si>
  <si>
    <t>AIJOB01404</t>
  </si>
  <si>
    <t>Pinecone, GCP Vertex AI, Kubernetes, LlamaIndex, Python</t>
  </si>
  <si>
    <t>AIJOB01405</t>
  </si>
  <si>
    <t>AWS SageMaker, Kubernetes, CUDA, Weights &amp; Biases, Fine-tuning</t>
  </si>
  <si>
    <t>AIJOB01406</t>
  </si>
  <si>
    <t>Weights &amp; Biases, C++, Python, PyTorch</t>
  </si>
  <si>
    <t>AIJOB01407</t>
  </si>
  <si>
    <t>Kubernetes, Weaviate, Python</t>
  </si>
  <si>
    <t>AIJOB01408</t>
  </si>
  <si>
    <t>AWS SageMaker, OpenAI API, GCP Vertex AI</t>
  </si>
  <si>
    <t>AIJOB01409</t>
  </si>
  <si>
    <t>LangChain, LlamaIndex, Kubernetes</t>
  </si>
  <si>
    <t>AIJOB01410</t>
  </si>
  <si>
    <t>MLflow, PyTorch, Pinecone</t>
  </si>
  <si>
    <t>AIJOB01411</t>
  </si>
  <si>
    <t>Vector Databases, dbt, JAX</t>
  </si>
  <si>
    <t>AIJOB01412</t>
  </si>
  <si>
    <t>OpenAI API, Kubernetes, RLHF, Docker, RAG, LangChain</t>
  </si>
  <si>
    <t>AIJOB01413</t>
  </si>
  <si>
    <t>LangChain, Pinecone, Rust, Spark, RLHF, RAG, Hugging Face Transformers</t>
  </si>
  <si>
    <t>AIJOB01414</t>
  </si>
  <si>
    <t>AWS SageMaker, GCP Vertex AI, PyTorch</t>
  </si>
  <si>
    <t>AIJOB01415</t>
  </si>
  <si>
    <t>Weaviate, Pinecone, PyTorch, AWS SageMaker, CUDA, Azure ML, TensorFlow</t>
  </si>
  <si>
    <t>AIJOB01416</t>
  </si>
  <si>
    <t>Vector Databases, Azure ML, FastAPI, RLHF</t>
  </si>
  <si>
    <t>AIJOB01417</t>
  </si>
  <si>
    <t>Azure ML, Kubernetes, Rust, TensorFlow, PyTorch, dbt, Spark</t>
  </si>
  <si>
    <t>AIJOB01418</t>
  </si>
  <si>
    <t>Rust, TensorFlow, RLHF, OpenAI API, CUDA</t>
  </si>
  <si>
    <t>AIJOB01419</t>
  </si>
  <si>
    <t>ChromaDB, TensorFlow, Rust, GCP Vertex AI, RLHF, OpenAI API</t>
  </si>
  <si>
    <t>AIJOB01420</t>
  </si>
  <si>
    <t>C++, Weights &amp; Biases, TensorFlow, Azure ML, OpenAI API, PyTorch, Docker</t>
  </si>
  <si>
    <t>AIJOB01421</t>
  </si>
  <si>
    <t>Hugging Face Transformers, SQL, GCP Vertex AI</t>
  </si>
  <si>
    <t>AIJOB01422</t>
  </si>
  <si>
    <t>Kubernetes, Rust, Fine-tuning, Weaviate</t>
  </si>
  <si>
    <t>AIJOB01423</t>
  </si>
  <si>
    <t>AWS SageMaker, Hugging Face Transformers, LlamaIndex, Python, LangChain, Kubernetes, Weaviate</t>
  </si>
  <si>
    <t>AIJOB01424</t>
  </si>
  <si>
    <t>Kubernetes, Weaviate, ChromaDB</t>
  </si>
  <si>
    <t>AIJOB01425</t>
  </si>
  <si>
    <t>PyTorch, Python, Azure ML</t>
  </si>
  <si>
    <t>AIJOB01426</t>
  </si>
  <si>
    <t>Hugging Face Transformers, OpenAI API, RLHF</t>
  </si>
  <si>
    <t>AIJOB01427</t>
  </si>
  <si>
    <t>RAG, C++, LangChain, SQL, Hugging Face Transformers</t>
  </si>
  <si>
    <t>AIJOB01428</t>
  </si>
  <si>
    <t>Weights &amp; Biases, RAG, FastAPI, C++</t>
  </si>
  <si>
    <t>AIJOB01429</t>
  </si>
  <si>
    <t>Weights &amp; Biases, LlamaIndex, OpenAI API, dbt</t>
  </si>
  <si>
    <t>AIJOB01430</t>
  </si>
  <si>
    <t>TensorFlow, Rust, RLHF</t>
  </si>
  <si>
    <t>AIJOB01431</t>
  </si>
  <si>
    <t>Vector Databases, Python, C++, Docker, RAG</t>
  </si>
  <si>
    <t>AIJOB01432</t>
  </si>
  <si>
    <t>dbt, SQL, Spark, Kubernetes, RAG, Weights &amp; Biases</t>
  </si>
  <si>
    <t>AIJOB01433</t>
  </si>
  <si>
    <t>TensorFlow, PyTorch, Docker, RAG, Weights &amp; Biases</t>
  </si>
  <si>
    <t>AIJOB01434</t>
  </si>
  <si>
    <t>FastAPI, RAG, Spark, PyTorch, Vector Databases, GCP Vertex AI, dbt</t>
  </si>
  <si>
    <t>AIJOB01435</t>
  </si>
  <si>
    <t>Docker, Weaviate, CUDA</t>
  </si>
  <si>
    <t>AIJOB01436</t>
  </si>
  <si>
    <t>Fine-tuning, CUDA, Kubernetes, LangChain, OpenAI API</t>
  </si>
  <si>
    <t>AIJOB01437</t>
  </si>
  <si>
    <t>Vector Databases, Weaviate, Pinecone, TensorFlow</t>
  </si>
  <si>
    <t>AIJOB01438</t>
  </si>
  <si>
    <t>OpenAI API, Rust, dbt, MLflow, Hugging Face Transformers</t>
  </si>
  <si>
    <t>AIJOB01439</t>
  </si>
  <si>
    <t>AWS SageMaker, MLflow, SQL</t>
  </si>
  <si>
    <t>AIJOB01440</t>
  </si>
  <si>
    <t>FastAPI, C++, LangChain, LlamaIndex, Vector Databases, Docker, OpenAI API</t>
  </si>
  <si>
    <t>AIJOB01441</t>
  </si>
  <si>
    <t>C++, Vector Databases, CUDA, Fine-tuning, JAX</t>
  </si>
  <si>
    <t>AIJOB01442</t>
  </si>
  <si>
    <t>Docker, GCP Vertex AI, Kubernetes, LangChain, CUDA, RAG, OpenAI API</t>
  </si>
  <si>
    <t>AIJOB01443</t>
  </si>
  <si>
    <t>Weaviate, RLHF, LlamaIndex, Spark, Docker, Weights &amp; Biases, PyTorch</t>
  </si>
  <si>
    <t>AIJOB01444</t>
  </si>
  <si>
    <t>OpenAI API, SQL, Vector Databases, Fine-tuning</t>
  </si>
  <si>
    <t>AIJOB01445</t>
  </si>
  <si>
    <t>MLflow, SQL, Pinecone</t>
  </si>
  <si>
    <t>AIJOB01446</t>
  </si>
  <si>
    <t>Spark, Rust, AWS SageMaker</t>
  </si>
  <si>
    <t>AIJOB01447</t>
  </si>
  <si>
    <t>MLflow, JAX, TensorFlow, LangChain, dbt</t>
  </si>
  <si>
    <t>AIJOB01448</t>
  </si>
  <si>
    <t>JAX, OpenAI API, RLHF</t>
  </si>
  <si>
    <t>AIJOB01449</t>
  </si>
  <si>
    <t>Python, Spark, OpenAI API</t>
  </si>
  <si>
    <t>AIJOB01450</t>
  </si>
  <si>
    <t>Hugging Face Transformers, FastAPI, JAX, ChromaDB, Azure ML, Kubernetes, Weights &amp; Biases</t>
  </si>
  <si>
    <t>AIJOB01451</t>
  </si>
  <si>
    <t>AWS SageMaker, Python, RAG, Fine-tuning</t>
  </si>
  <si>
    <t>AIJOB01452</t>
  </si>
  <si>
    <t>RAG, Fine-tuning, SQL, Docker, Weights &amp; Biases, PyTorch, Pinecone</t>
  </si>
  <si>
    <t>AIJOB01453</t>
  </si>
  <si>
    <t>GCP Vertex AI, C++, Python, ChromaDB</t>
  </si>
  <si>
    <t>AIJOB01454</t>
  </si>
  <si>
    <t>CUDA, Fine-tuning, AWS SageMaker, GCP Vertex AI, OpenAI API, Rust, SQL</t>
  </si>
  <si>
    <t>AIJOB01455</t>
  </si>
  <si>
    <t>OpenAI API, Docker, AWS SageMaker, Weights &amp; Biases, Rust, SQL</t>
  </si>
  <si>
    <t>AIJOB01456</t>
  </si>
  <si>
    <t>SQL, RLHF, TensorFlow, Python, FastAPI</t>
  </si>
  <si>
    <t>AIJOB01457</t>
  </si>
  <si>
    <t>dbt, LangChain, RAG</t>
  </si>
  <si>
    <t>AIJOB01458</t>
  </si>
  <si>
    <t>FastAPI, Python, Spark, GCP Vertex AI, Rust</t>
  </si>
  <si>
    <t>AIJOB01459</t>
  </si>
  <si>
    <t>Hugging Face Transformers, GCP Vertex AI, Rust, RLHF, LangChain, AWS SageMaker, PyTorch</t>
  </si>
  <si>
    <t>AIJOB01460</t>
  </si>
  <si>
    <t>FastAPI, JAX, Kubernetes, Pinecone, Spark, AWS SageMaker</t>
  </si>
  <si>
    <t>AIJOB01461</t>
  </si>
  <si>
    <t>Weaviate, ChromaDB, RAG, SQL, GCP Vertex AI, TensorFlow</t>
  </si>
  <si>
    <t>AIJOB01462</t>
  </si>
  <si>
    <t>PyTorch, OpenAI API, RAG, GCP Vertex AI, Fine-tuning, LlamaIndex</t>
  </si>
  <si>
    <t>AIJOB01463</t>
  </si>
  <si>
    <t>dbt, LlamaIndex, OpenAI API</t>
  </si>
  <si>
    <t>AIJOB01464</t>
  </si>
  <si>
    <t>JAX, LlamaIndex, RAG, Kubernetes, C++, RLHF</t>
  </si>
  <si>
    <t>AIJOB01465</t>
  </si>
  <si>
    <t>MLflow, GCP Vertex AI, LlamaIndex, ChromaDB, Azure ML, OpenAI API, RLHF</t>
  </si>
  <si>
    <t>AIJOB01466</t>
  </si>
  <si>
    <t>Python, CUDA, Vector Databases, Fine-tuning</t>
  </si>
  <si>
    <t>AIJOB01467</t>
  </si>
  <si>
    <t>Spark, MLflow, PyTorch</t>
  </si>
  <si>
    <t>AIJOB01468</t>
  </si>
  <si>
    <t>Spark, dbt, Fine-tuning, Azure ML, Kubernetes</t>
  </si>
  <si>
    <t>AIJOB01469</t>
  </si>
  <si>
    <t>Weights &amp; Biases, TensorFlow, CUDA, PyTorch, JAX, Kubernetes, AWS SageMaker</t>
  </si>
  <si>
    <t>AIJOB01470</t>
  </si>
  <si>
    <t>Rust, Docker, RAG, Fine-tuning, TensorFlow, AWS SageMaker</t>
  </si>
  <si>
    <t>AIJOB01471</t>
  </si>
  <si>
    <t>Weaviate, LlamaIndex, MLflow, SQL, Python, Weights &amp; Biases</t>
  </si>
  <si>
    <t>AIJOB01472</t>
  </si>
  <si>
    <t>Vector Databases, Fine-tuning, AWS SageMaker, CUDA</t>
  </si>
  <si>
    <t>AIJOB01473</t>
  </si>
  <si>
    <t>AWS SageMaker, Vector Databases, RLHF</t>
  </si>
  <si>
    <t>AIJOB01474</t>
  </si>
  <si>
    <t>Docker, AWS SageMaker, LangChain, Python, Weights &amp; Biases, dbt, Hugging Face Transformers</t>
  </si>
  <si>
    <t>AIJOB01475</t>
  </si>
  <si>
    <t>Vector Databases, AWS SageMaker, LangChain, OpenAI API, TensorFlow, Rust</t>
  </si>
  <si>
    <t>AIJOB01476</t>
  </si>
  <si>
    <t>SQL, Pinecone, FastAPI, Weaviate</t>
  </si>
  <si>
    <t>AIJOB01477</t>
  </si>
  <si>
    <t>GCP Vertex AI, Azure ML, Rust, Pinecone, LangChain, RAG</t>
  </si>
  <si>
    <t>AIJOB01478</t>
  </si>
  <si>
    <t>C++, Docker, CUDA</t>
  </si>
  <si>
    <t>AIJOB01479</t>
  </si>
  <si>
    <t>C++, ChromaDB, Weights &amp; Biases</t>
  </si>
  <si>
    <t>AIJOB01480</t>
  </si>
  <si>
    <t>Azure ML, OpenAI API, CUDA, PyTorch, TensorFlow</t>
  </si>
  <si>
    <t>AIJOB01481</t>
  </si>
  <si>
    <t>GCP Vertex AI, RLHF, Fine-tuning, Weights &amp; Biases, C++</t>
  </si>
  <si>
    <t>AIJOB01482</t>
  </si>
  <si>
    <t>dbt, TensorFlow, SQL, Weights &amp; Biases, Rust</t>
  </si>
  <si>
    <t>AIJOB01483</t>
  </si>
  <si>
    <t>RAG, Weaviate, LlamaIndex</t>
  </si>
  <si>
    <t>AIJOB01484</t>
  </si>
  <si>
    <t>Vector Databases, ChromaDB, Rust, MLflow, TensorFlow</t>
  </si>
  <si>
    <t>AIJOB01485</t>
  </si>
  <si>
    <t>Python, PyTorch, Spark, dbt</t>
  </si>
  <si>
    <t>AIJOB01486</t>
  </si>
  <si>
    <t>GCP Vertex AI, dbt, Pinecone</t>
  </si>
  <si>
    <t>AIJOB01487</t>
  </si>
  <si>
    <t>Docker, Python, Fine-tuning, Rust</t>
  </si>
  <si>
    <t>AIJOB01488</t>
  </si>
  <si>
    <t>GCP Vertex AI, Fine-tuning, RAG, MLflow, Docker, OpenAI API, PyTorch</t>
  </si>
  <si>
    <t>AIJOB01489</t>
  </si>
  <si>
    <t>C++, Kubernetes, TensorFlow, OpenAI API, RAG, dbt, PyTorch</t>
  </si>
  <si>
    <t>AIJOB01490</t>
  </si>
  <si>
    <t>Docker, dbt, FastAPI, RLHF, TensorFlow, ChromaDB, SQL</t>
  </si>
  <si>
    <t>AIJOB01491</t>
  </si>
  <si>
    <t>MLflow, FastAPI, LangChain, Docker, RLHF, ChromaDB, PyTorch</t>
  </si>
  <si>
    <t>AIJOB01492</t>
  </si>
  <si>
    <t>dbt, Weights &amp; Biases, RAG, Vector Databases</t>
  </si>
  <si>
    <t>AIJOB01493</t>
  </si>
  <si>
    <t>dbt, Hugging Face Transformers, CUDA, Pinecone, C++, MLflow, Weaviate</t>
  </si>
  <si>
    <t>AIJOB01494</t>
  </si>
  <si>
    <t>Vector Databases, Fine-tuning, Spark, JAX, Pinecone, Python</t>
  </si>
  <si>
    <t>AIJOB01495</t>
  </si>
  <si>
    <t>TensorFlow, Vector Databases, GCP Vertex AI, JAX</t>
  </si>
  <si>
    <t>AIJOB01496</t>
  </si>
  <si>
    <t>Fine-tuning, RLHF, GCP Vertex AI, FastAPI</t>
  </si>
  <si>
    <t>AIJOB01497</t>
  </si>
  <si>
    <t>JAX, LangChain, SQL, RAG, RLHF</t>
  </si>
  <si>
    <t>AIJOB01498</t>
  </si>
  <si>
    <t>TensorFlow, FastAPI, Weights &amp; Biases</t>
  </si>
  <si>
    <t>AIJOB01499</t>
  </si>
  <si>
    <t>Weaviate, PyTorch, ChromaDB, Spark, Pinecone, Docker</t>
  </si>
  <si>
    <t>AIJOB01500</t>
  </si>
  <si>
    <t>Rust, JAX, Pinecone, RAG, Weights &amp; Biases</t>
  </si>
  <si>
    <t>AIJOB01501</t>
  </si>
  <si>
    <t>Spark, MLflow, LlamaIndex, Vector Databases, C++, PyTorch</t>
  </si>
  <si>
    <t>AIJOB01502</t>
  </si>
  <si>
    <t>Rust, Pinecone, Azure ML, Weights &amp; Biases</t>
  </si>
  <si>
    <t>AIJOB01503</t>
  </si>
  <si>
    <t>Fine-tuning, Docker, OpenAI API, SQL</t>
  </si>
  <si>
    <t>AIJOB01504</t>
  </si>
  <si>
    <t>LangChain, SQL, Pinecone, TensorFlow, RLHF, Vector Databases, Azure ML</t>
  </si>
  <si>
    <t>AIJOB01505</t>
  </si>
  <si>
    <t>Pinecone, FastAPI, Spark, GCP Vertex AI</t>
  </si>
  <si>
    <t>AIJOB01506</t>
  </si>
  <si>
    <t>Spark, Rust, MLflow, OpenAI API, C++</t>
  </si>
  <si>
    <t>AIJOB01507</t>
  </si>
  <si>
    <t>RAG, MLflow, Kubernetes, AWS SageMaker, LangChain, Azure ML</t>
  </si>
  <si>
    <t>AIJOB01508</t>
  </si>
  <si>
    <t>Kubernetes, dbt, TensorFlow, C++, JAX</t>
  </si>
  <si>
    <t>AIJOB01509</t>
  </si>
  <si>
    <t>AWS SageMaker, LangChain, RAG, Weaviate, GCP Vertex AI, Spark</t>
  </si>
  <si>
    <t>AIJOB01510</t>
  </si>
  <si>
    <t>Azure ML, Pinecone, LangChain, Spark, Fine-tuning, RAG</t>
  </si>
  <si>
    <t>AIJOB01511</t>
  </si>
  <si>
    <t>Docker, RAG, Rust</t>
  </si>
  <si>
    <t>AIJOB01512</t>
  </si>
  <si>
    <t>MLflow, OpenAI API, Vector Databases, AWS SageMaker, Azure ML, JAX, RAG</t>
  </si>
  <si>
    <t>AIJOB01513</t>
  </si>
  <si>
    <t>ChromaDB, Rust, Spark, Docker, JAX, PyTorch</t>
  </si>
  <si>
    <t>AIJOB01514</t>
  </si>
  <si>
    <t>FastAPI, Rust, ChromaDB, Fine-tuning, RLHF, RAG, dbt</t>
  </si>
  <si>
    <t>AIJOB01515</t>
  </si>
  <si>
    <t>Weaviate, OpenAI API, Docker, FastAPI, TensorFlow, CUDA, Kubernetes</t>
  </si>
  <si>
    <t>AIJOB01516</t>
  </si>
  <si>
    <t>Fine-tuning, RAG, CUDA, dbt</t>
  </si>
  <si>
    <t>AIJOB01517</t>
  </si>
  <si>
    <t>Rust, Azure ML, FastAPI, Spark</t>
  </si>
  <si>
    <t>AIJOB01518</t>
  </si>
  <si>
    <t>LlamaIndex, JAX, Pinecone</t>
  </si>
  <si>
    <t>AIJOB01519</t>
  </si>
  <si>
    <t>CUDA, Hugging Face Transformers, Rust, RAG, TensorFlow</t>
  </si>
  <si>
    <t>AIJOB01520</t>
  </si>
  <si>
    <t>Azure ML, MLflow, OpenAI API, Hugging Face Transformers, JAX, dbt</t>
  </si>
  <si>
    <t>AIJOB01521</t>
  </si>
  <si>
    <t>Pinecone, Python, dbt, GCP Vertex AI</t>
  </si>
  <si>
    <t>AIJOB01522</t>
  </si>
  <si>
    <t>dbt, LlamaIndex, Hugging Face Transformers, Python, TensorFlow, Docker</t>
  </si>
  <si>
    <t>AIJOB01523</t>
  </si>
  <si>
    <t>JAX, FastAPI, RAG, AWS SageMaker, RLHF, Vector Databases</t>
  </si>
  <si>
    <t>AIJOB01524</t>
  </si>
  <si>
    <t>MLflow, C++, TensorFlow, Spark, Fine-tuning, Hugging Face Transformers</t>
  </si>
  <si>
    <t>AIJOB01525</t>
  </si>
  <si>
    <t>RAG, CUDA, AWS SageMaker, Spark</t>
  </si>
  <si>
    <t>AIJOB01526</t>
  </si>
  <si>
    <t>PyTorch, ChromaDB, Weights &amp; Biases, MLflow, FastAPI, Vector Databases, Spark</t>
  </si>
  <si>
    <t>AIJOB01527</t>
  </si>
  <si>
    <t>Weaviate, LlamaIndex, ChromaDB, RAG, RLHF, Python</t>
  </si>
  <si>
    <t>AIJOB01528</t>
  </si>
  <si>
    <t>LangChain, Fine-tuning, ChromaDB, Weights &amp; Biases</t>
  </si>
  <si>
    <t>AIJOB01529</t>
  </si>
  <si>
    <t>Kubernetes, FastAPI, Pinecone, AWS SageMaker, OpenAI API, dbt, SQL</t>
  </si>
  <si>
    <t>AIJOB01530</t>
  </si>
  <si>
    <t>Weights &amp; Biases, TensorFlow, AWS SageMaker, PyTorch</t>
  </si>
  <si>
    <t>AIJOB01531</t>
  </si>
  <si>
    <t>Rust, FastAPI, CUDA, SQL, RLHF</t>
  </si>
  <si>
    <t>AIJOB01532</t>
  </si>
  <si>
    <t>Python, GCP Vertex AI, TensorFlow, RAG, Docker, Weaviate</t>
  </si>
  <si>
    <t>AIJOB01533</t>
  </si>
  <si>
    <t>CUDA, PyTorch, Python, RAG, Docker, Kubernetes</t>
  </si>
  <si>
    <t>AIJOB01534</t>
  </si>
  <si>
    <t>GCP Vertex AI, FastAPI, Vector Databases, Docker, JAX, LangChain</t>
  </si>
  <si>
    <t>AIJOB01535</t>
  </si>
  <si>
    <t>Python, CUDA, GCP Vertex AI, AWS SageMaker, Hugging Face Transformers, Vector Databases</t>
  </si>
  <si>
    <t>AIJOB01536</t>
  </si>
  <si>
    <t>RAG, AWS SageMaker, RLHF, Azure ML, CUDA, dbt</t>
  </si>
  <si>
    <t>AIJOB01537</t>
  </si>
  <si>
    <t>FastAPI, OpenAI API, ChromaDB</t>
  </si>
  <si>
    <t>AIJOB01538</t>
  </si>
  <si>
    <t>Fine-tuning, Rust, Weaviate, Vector Databases</t>
  </si>
  <si>
    <t>AIJOB01539</t>
  </si>
  <si>
    <t>ChromaDB, Hugging Face Transformers, Weights &amp; Biases, Rust, FastAPI, RLHF</t>
  </si>
  <si>
    <t>AIJOB01540</t>
  </si>
  <si>
    <t>AWS SageMaker, OpenAI API, Hugging Face Transformers, Kubernetes</t>
  </si>
  <si>
    <t>AIJOB01541</t>
  </si>
  <si>
    <t>dbt, Python, RAG, SQL</t>
  </si>
  <si>
    <t>AIJOB01542</t>
  </si>
  <si>
    <t>Rust, RAG, CUDA</t>
  </si>
  <si>
    <t>AIJOB01543</t>
  </si>
  <si>
    <t>JAX, LlamaIndex, Pinecone, Rust, Python</t>
  </si>
  <si>
    <t>AIJOB01544</t>
  </si>
  <si>
    <t>PyTorch, Kubernetes, Weights &amp; Biases, ChromaDB</t>
  </si>
  <si>
    <t>AIJOB01545</t>
  </si>
  <si>
    <t>dbt, LlamaIndex, Weaviate, Rust, Vector Databases, ChromaDB, Pinecone</t>
  </si>
  <si>
    <t>AIJOB01546</t>
  </si>
  <si>
    <t>AWS SageMaker, JAX, LangChain, Fine-tuning, Python, Kubernetes</t>
  </si>
  <si>
    <t>AIJOB01547</t>
  </si>
  <si>
    <t>LlamaIndex, dbt, Hugging Face Transformers</t>
  </si>
  <si>
    <t>AIJOB01548</t>
  </si>
  <si>
    <t>RAG, Fine-tuning, LlamaIndex, CUDA, RLHF</t>
  </si>
  <si>
    <t>AIJOB01549</t>
  </si>
  <si>
    <t>AWS SageMaker, Weights &amp; Biases, Weaviate, Rust, OpenAI API</t>
  </si>
  <si>
    <t>AIJOB01550</t>
  </si>
  <si>
    <t>GCP Vertex AI, RLHF, SQL, LlamaIndex, Kubernetes</t>
  </si>
  <si>
    <t>AIJOB01551</t>
  </si>
  <si>
    <t>Vector Databases, SQL, JAX, dbt, LlamaIndex, Python</t>
  </si>
  <si>
    <t>AIJOB01552</t>
  </si>
  <si>
    <t>C++, Docker, ChromaDB</t>
  </si>
  <si>
    <t>AIJOB01553</t>
  </si>
  <si>
    <t>Rust, SQL, Spark, RLHF</t>
  </si>
  <si>
    <t>AIJOB01554</t>
  </si>
  <si>
    <t>ChromaDB, Fine-tuning, Hugging Face Transformers, RAG</t>
  </si>
  <si>
    <t>AIJOB01555</t>
  </si>
  <si>
    <t>MLflow, Rust, RLHF, Vector Databases, Hugging Face Transformers, Docker</t>
  </si>
  <si>
    <t>AIJOB01556</t>
  </si>
  <si>
    <t>Kubernetes, JAX, Pinecone, CUDA, dbt</t>
  </si>
  <si>
    <t>AIJOB01557</t>
  </si>
  <si>
    <t>ChromaDB, AWS SageMaker, Python</t>
  </si>
  <si>
    <t>AIJOB01558</t>
  </si>
  <si>
    <t>Kubernetes, Fine-tuning, Rust</t>
  </si>
  <si>
    <t>AIJOB01559</t>
  </si>
  <si>
    <t>FastAPI, RLHF, Hugging Face Transformers</t>
  </si>
  <si>
    <t>AIJOB01560</t>
  </si>
  <si>
    <t>Rust, Kubernetes, OpenAI API, GCP Vertex AI, SQL, Pinecone, Docker</t>
  </si>
  <si>
    <t>AIJOB01561</t>
  </si>
  <si>
    <t>Python, Rust, Hugging Face Transformers, C++, Fine-tuning, CUDA, AWS SageMaker</t>
  </si>
  <si>
    <t>AIJOB01562</t>
  </si>
  <si>
    <t>CUDA, C++, Spark</t>
  </si>
  <si>
    <t>AIJOB01563</t>
  </si>
  <si>
    <t>Weights &amp; Biases, MLflow, PyTorch, Fine-tuning</t>
  </si>
  <si>
    <t>AIJOB01564</t>
  </si>
  <si>
    <t>CUDA, Hugging Face Transformers, Rust, MLflow, Azure ML, JAX, Pinecone</t>
  </si>
  <si>
    <t>AIJOB01565</t>
  </si>
  <si>
    <t>PyTorch, Hugging Face Transformers, Kubernetes, Fine-tuning</t>
  </si>
  <si>
    <t>AIJOB01566</t>
  </si>
  <si>
    <t>GCP Vertex AI, TensorFlow, RAG</t>
  </si>
  <si>
    <t>AIJOB01567</t>
  </si>
  <si>
    <t>Docker, LlamaIndex, JAX</t>
  </si>
  <si>
    <t>AIJOB01568</t>
  </si>
  <si>
    <t>Vector Databases, FastAPI, Pinecone</t>
  </si>
  <si>
    <t>AIJOB01569</t>
  </si>
  <si>
    <t>GCP Vertex AI, MLflow, Vector Databases</t>
  </si>
  <si>
    <t>AIJOB01570</t>
  </si>
  <si>
    <t>LangChain, Weights &amp; Biases, Fine-tuning, LlamaIndex, TensorFlow, dbt</t>
  </si>
  <si>
    <t>AIJOB01571</t>
  </si>
  <si>
    <t>GCP Vertex AI, SQL, Weaviate</t>
  </si>
  <si>
    <t>AIJOB01572</t>
  </si>
  <si>
    <t>PyTorch, LangChain, JAX, TensorFlow, AWS SageMaker, Fine-tuning, CUDA</t>
  </si>
  <si>
    <t>AIJOB01573</t>
  </si>
  <si>
    <t>RAG, Kubernetes, Weaviate</t>
  </si>
  <si>
    <t>AIJOB01574</t>
  </si>
  <si>
    <t>RAG, FastAPI, Weaviate, Hugging Face Transformers, Vector Databases</t>
  </si>
  <si>
    <t>AIJOB01575</t>
  </si>
  <si>
    <t>Azure ML, Fine-tuning, AWS SageMaker, Python</t>
  </si>
  <si>
    <t>AIJOB01576</t>
  </si>
  <si>
    <t>SQL, Weaviate, OpenAI API, Fine-tuning, RLHF</t>
  </si>
  <si>
    <t>AIJOB01577</t>
  </si>
  <si>
    <t>TensorFlow, Fine-tuning, AWS SageMaker</t>
  </si>
  <si>
    <t>AIJOB01578</t>
  </si>
  <si>
    <t>Weights &amp; Biases, PyTorch, LlamaIndex</t>
  </si>
  <si>
    <t>AIJOB01579</t>
  </si>
  <si>
    <t>LangChain, ChromaDB, Rust, Hugging Face Transformers, Fine-tuning, JAX</t>
  </si>
  <si>
    <t>AIJOB01580</t>
  </si>
  <si>
    <t>AWS SageMaker, ChromaDB, PyTorch, Pinecone, Weights &amp; Biases</t>
  </si>
  <si>
    <t>AIJOB01581</t>
  </si>
  <si>
    <t>OpenAI API, Python, JAX, Rust, FastAPI, AWS SageMaker</t>
  </si>
  <si>
    <t>AIJOB01582</t>
  </si>
  <si>
    <t>LangChain, RLHF, ChromaDB, Spark, Fine-tuning</t>
  </si>
  <si>
    <t>AIJOB01583</t>
  </si>
  <si>
    <t>Spark, RAG, PyTorch, Python, Hugging Face Transformers</t>
  </si>
  <si>
    <t>AIJOB01584</t>
  </si>
  <si>
    <t>ChromaDB, Weights &amp; Biases, PyTorch, Docker, LangChain, Pinecone, Spark</t>
  </si>
  <si>
    <t>AIJOB01585</t>
  </si>
  <si>
    <t>Vector Databases, Spark, SQL, PyTorch, ChromaDB</t>
  </si>
  <si>
    <t>AIJOB01586</t>
  </si>
  <si>
    <t>Rust, Docker, MLflow, Weaviate</t>
  </si>
  <si>
    <t>AIJOB01587</t>
  </si>
  <si>
    <t>Weaviate, PyTorch, MLflow</t>
  </si>
  <si>
    <t>AIJOB01588</t>
  </si>
  <si>
    <t>CUDA, Pinecone, ChromaDB</t>
  </si>
  <si>
    <t>AIJOB01589</t>
  </si>
  <si>
    <t>AWS SageMaker, TensorFlow, PyTorch, Kubernetes</t>
  </si>
  <si>
    <t>AIJOB01590</t>
  </si>
  <si>
    <t>RLHF, CUDA, ChromaDB</t>
  </si>
  <si>
    <t>AIJOB01591</t>
  </si>
  <si>
    <t>RLHF, Pinecone, OpenAI API, TensorFlow, Python, C++, LangChain</t>
  </si>
  <si>
    <t>AIJOB01592</t>
  </si>
  <si>
    <t>Kubernetes, OpenAI API, CUDA</t>
  </si>
  <si>
    <t>AIJOB01593</t>
  </si>
  <si>
    <t>AWS SageMaker, TensorFlow, Python, RAG, C++, Kubernetes</t>
  </si>
  <si>
    <t>AIJOB01594</t>
  </si>
  <si>
    <t>Spark, GCP Vertex AI, AWS SageMaker, Fine-tuning, LangChain, Hugging Face Transformers</t>
  </si>
  <si>
    <t>AIJOB01595</t>
  </si>
  <si>
    <t>C++, Pinecone, ChromaDB, Docker, CUDA, Rust, FastAPI</t>
  </si>
  <si>
    <t>AIJOB01596</t>
  </si>
  <si>
    <t>Spark, Vector Databases, GCP Vertex AI, ChromaDB</t>
  </si>
  <si>
    <t>AIJOB01597</t>
  </si>
  <si>
    <t>Python, Hugging Face Transformers, TensorFlow, Docker, AWS SageMaker, FastAPI, C++</t>
  </si>
  <si>
    <t>AIJOB01598</t>
  </si>
  <si>
    <t>ChromaDB, LangChain, Vector Databases, FastAPI</t>
  </si>
  <si>
    <t>AIJOB01599</t>
  </si>
  <si>
    <t>Weights &amp; Biases, RAG, MLflow, LangChain</t>
  </si>
  <si>
    <t>AIJOB01600</t>
  </si>
  <si>
    <t>OpenAI API, Rust, Weights &amp; Biases, Weaviate</t>
  </si>
  <si>
    <t>AIJOB01601</t>
  </si>
  <si>
    <t>Docker, ChromaDB, OpenAI API, Rust</t>
  </si>
  <si>
    <t>AIJOB01602</t>
  </si>
  <si>
    <t>RAG, LlamaIndex, GCP Vertex AI</t>
  </si>
  <si>
    <t>AIJOB01603</t>
  </si>
  <si>
    <t>Azure ML, Vector Databases, Python, CUDA, Kubernetes</t>
  </si>
  <si>
    <t>AIJOB01604</t>
  </si>
  <si>
    <t>GCP Vertex AI, Python, SQL</t>
  </si>
  <si>
    <t>AIJOB01605</t>
  </si>
  <si>
    <t>RLHF, OpenAI API, Weaviate, Docker, Rust, Weights &amp; Biases, SQL</t>
  </si>
  <si>
    <t>AIJOB01606</t>
  </si>
  <si>
    <t>FastAPI, dbt, JAX</t>
  </si>
  <si>
    <t>AIJOB01607</t>
  </si>
  <si>
    <t>Spark, Fine-tuning, CUDA, JAX</t>
  </si>
  <si>
    <t>AIJOB01608</t>
  </si>
  <si>
    <t>C++, AWS SageMaker, LangChain, Vector Databases, RAG, TensorFlow</t>
  </si>
  <si>
    <t>AIJOB01609</t>
  </si>
  <si>
    <t>Fine-tuning, Docker, Python, Kubernetes, LlamaIndex, Rust</t>
  </si>
  <si>
    <t>AIJOB01610</t>
  </si>
  <si>
    <t>JAX, SQL, Kubernetes, RLHF, ChromaDB, Docker</t>
  </si>
  <si>
    <t>AIJOB01611</t>
  </si>
  <si>
    <t>Rust, Weights &amp; Biases, Spark, Fine-tuning</t>
  </si>
  <si>
    <t>AIJOB01612</t>
  </si>
  <si>
    <t>MLflow, Pinecone, Python, GCP Vertex AI, Weaviate, Vector Databases, Weights &amp; Biases</t>
  </si>
  <si>
    <t>AIJOB01613</t>
  </si>
  <si>
    <t>LangChain, MLflow, LlamaIndex, Python, CUDA, Weights &amp; Biases, Docker</t>
  </si>
  <si>
    <t>AIJOB01614</t>
  </si>
  <si>
    <t>Rust, Python, Hugging Face Transformers, SQL, GCP Vertex AI, Azure ML, dbt</t>
  </si>
  <si>
    <t>AIJOB01615</t>
  </si>
  <si>
    <t>Docker, Weights &amp; Biases, RLHF, dbt</t>
  </si>
  <si>
    <t>AIJOB01616</t>
  </si>
  <si>
    <t>Weaviate, AWS SageMaker, Weights &amp; Biases, CUDA, Hugging Face Transformers</t>
  </si>
  <si>
    <t>AIJOB01617</t>
  </si>
  <si>
    <t>Pinecone, RLHF, Kubernetes, C++</t>
  </si>
  <si>
    <t>AIJOB01618</t>
  </si>
  <si>
    <t>Weaviate, Azure ML, LlamaIndex, Hugging Face Transformers, Python</t>
  </si>
  <si>
    <t>AIJOB01619</t>
  </si>
  <si>
    <t>FastAPI, OpenAI API, Spark, RAG, GCP Vertex AI, TensorFlow</t>
  </si>
  <si>
    <t>AIJOB01620</t>
  </si>
  <si>
    <t>OpenAI API, MLflow, PyTorch, Python</t>
  </si>
  <si>
    <t>AIJOB01621</t>
  </si>
  <si>
    <t>OpenAI API, RLHF, GCP Vertex AI, Rust, ChromaDB</t>
  </si>
  <si>
    <t>AIJOB01622</t>
  </si>
  <si>
    <t>Weights &amp; Biases, dbt, AWS SageMaker, Python, Kubernetes, OpenAI API</t>
  </si>
  <si>
    <t>AIJOB01623</t>
  </si>
  <si>
    <t>AWS SageMaker, Rust, Weights &amp; Biases, GCP Vertex AI, Weaviate</t>
  </si>
  <si>
    <t>AIJOB01624</t>
  </si>
  <si>
    <t>GCP Vertex AI, C++, Python</t>
  </si>
  <si>
    <t>AIJOB01625</t>
  </si>
  <si>
    <t>LlamaIndex, dbt, Rust, Weaviate</t>
  </si>
  <si>
    <t>AIJOB01626</t>
  </si>
  <si>
    <t>Weights &amp; Biases, CUDA, dbt, OpenAI API, SQL</t>
  </si>
  <si>
    <t>AIJOB01627</t>
  </si>
  <si>
    <t>PyTorch, Kubernetes, TensorFlow, RLHF, Docker, Weaviate</t>
  </si>
  <si>
    <t>AIJOB01628</t>
  </si>
  <si>
    <t>C++, JAX, LlamaIndex, Hugging Face Transformers, SQL</t>
  </si>
  <si>
    <t>AIJOB01629</t>
  </si>
  <si>
    <t>Fine-tuning, RLHF, GCP Vertex AI, CUDA, Vector Databases, SQL, Weights &amp; Biases</t>
  </si>
  <si>
    <t>AIJOB01630</t>
  </si>
  <si>
    <t>GCP Vertex AI, FastAPI, CUDA, dbt, LangChain</t>
  </si>
  <si>
    <t>AIJOB01631</t>
  </si>
  <si>
    <t>OpenAI API, RAG, MLflow, Pinecone</t>
  </si>
  <si>
    <t>AIJOB01632</t>
  </si>
  <si>
    <t>RAG, JAX, LangChain, Weights &amp; Biases, Kubernetes</t>
  </si>
  <si>
    <t>AIJOB01633</t>
  </si>
  <si>
    <t>OpenAI API, Pinecone, dbt, Vector Databases</t>
  </si>
  <si>
    <t>AIJOB01634</t>
  </si>
  <si>
    <t>ChromaDB, RLHF, RAG, MLflow</t>
  </si>
  <si>
    <t>AIJOB01635</t>
  </si>
  <si>
    <t>CUDA, Rust, AWS SageMaker, Docker, LangChain</t>
  </si>
  <si>
    <t>AIJOB01636</t>
  </si>
  <si>
    <t>ChromaDB, LangChain, MLflow, RAG, Python</t>
  </si>
  <si>
    <t>AIJOB01637</t>
  </si>
  <si>
    <t>Fine-tuning, Azure ML, Pinecone, GCP Vertex AI, RLHF, C++, Kubernetes</t>
  </si>
  <si>
    <t>AIJOB01638</t>
  </si>
  <si>
    <t>PyTorch, RLHF, Spark, dbt</t>
  </si>
  <si>
    <t>AIJOB01639</t>
  </si>
  <si>
    <t>GCP Vertex AI, AWS SageMaker, Python, Kubernetes, OpenAI API, Fine-tuning, ChromaDB</t>
  </si>
  <si>
    <t>AIJOB01640</t>
  </si>
  <si>
    <t>MLflow, dbt, GCP Vertex AI, Rust, LangChain</t>
  </si>
  <si>
    <t>AIJOB01641</t>
  </si>
  <si>
    <t>ChromaDB, Kubernetes, MLflow</t>
  </si>
  <si>
    <t>AIJOB01642</t>
  </si>
  <si>
    <t>Rust, Azure ML, ChromaDB, Docker, Vector Databases</t>
  </si>
  <si>
    <t>AIJOB01643</t>
  </si>
  <si>
    <t>LangChain, LlamaIndex, Hugging Face Transformers, CUDA, Weaviate, Spark</t>
  </si>
  <si>
    <t>AIJOB01644</t>
  </si>
  <si>
    <t>GCP Vertex AI, PyTorch, LlamaIndex, Fine-tuning, OpenAI API, MLflow, JAX</t>
  </si>
  <si>
    <t>AIJOB01645</t>
  </si>
  <si>
    <t>Python, Pinecone, Hugging Face Transformers</t>
  </si>
  <si>
    <t>AIJOB01646</t>
  </si>
  <si>
    <t>PyTorch, ChromaDB, RLHF, Azure ML</t>
  </si>
  <si>
    <t>AIJOB01647</t>
  </si>
  <si>
    <t>PyTorch, OpenAI API, ChromaDB</t>
  </si>
  <si>
    <t>AIJOB01648</t>
  </si>
  <si>
    <t>ChromaDB, Weights &amp; Biases, Spark, CUDA</t>
  </si>
  <si>
    <t>AIJOB01649</t>
  </si>
  <si>
    <t>PyTorch, CUDA, JAX, Weaviate, LlamaIndex, FastAPI</t>
  </si>
  <si>
    <t>AIJOB01650</t>
  </si>
  <si>
    <t>RAG, OpenAI API, LlamaIndex</t>
  </si>
  <si>
    <t>AIJOB01651</t>
  </si>
  <si>
    <t>Weights &amp; Biases, JAX, Docker, Vector Databases</t>
  </si>
  <si>
    <t>AIJOB01652</t>
  </si>
  <si>
    <t>MLflow, Docker, Vector Databases, C++, Weaviate, FastAPI</t>
  </si>
  <si>
    <t>AIJOB01653</t>
  </si>
  <si>
    <t>Pinecone, PyTorch, Rust, SQL, LlamaIndex, JAX</t>
  </si>
  <si>
    <t>AIJOB01654</t>
  </si>
  <si>
    <t>Fine-tuning, PyTorch, GCP Vertex AI, RAG, Weights &amp; Biases, MLflow, Rust</t>
  </si>
  <si>
    <t>AIJOB01655</t>
  </si>
  <si>
    <t>JAX, LangChain, Hugging Face Transformers, FastAPI</t>
  </si>
  <si>
    <t>AIJOB01656</t>
  </si>
  <si>
    <t>dbt, Docker, Weaviate, Python, Pinecone, RLHF, Rust</t>
  </si>
  <si>
    <t>AIJOB01657</t>
  </si>
  <si>
    <t>Weights &amp; Biases, PyTorch, Vector Databases</t>
  </si>
  <si>
    <t>AIJOB01658</t>
  </si>
  <si>
    <t>TensorFlow, PyTorch, C++, ChromaDB, Python</t>
  </si>
  <si>
    <t>AIJOB01659</t>
  </si>
  <si>
    <t>MLflow, dbt, SQL, Hugging Face Transformers</t>
  </si>
  <si>
    <t>AIJOB01660</t>
  </si>
  <si>
    <t>Weights &amp; Biases, AWS SageMaker, Docker, FastAPI, Hugging Face Transformers, Azure ML</t>
  </si>
  <si>
    <t>AIJOB01661</t>
  </si>
  <si>
    <t>TensorFlow, JAX, OpenAI API, Kubernetes, RLHF</t>
  </si>
  <si>
    <t>AIJOB01662</t>
  </si>
  <si>
    <t>FastAPI, Python, C++, Pinecone, GCP Vertex AI, JAX</t>
  </si>
  <si>
    <t>AIJOB01663</t>
  </si>
  <si>
    <t>Pinecone, PyTorch, OpenAI API</t>
  </si>
  <si>
    <t>AIJOB01664</t>
  </si>
  <si>
    <t>GCP Vertex AI, LlamaIndex, RLHF, Weights &amp; Biases</t>
  </si>
  <si>
    <t>AIJOB01665</t>
  </si>
  <si>
    <t>Weaviate, dbt, Weights &amp; Biases, GCP Vertex AI, SQL, Kubernetes, Hugging Face Transformers</t>
  </si>
  <si>
    <t>AIJOB01666</t>
  </si>
  <si>
    <t>Docker, LlamaIndex, Azure ML, SQL, Vector Databases, dbt</t>
  </si>
  <si>
    <t>AIJOB01667</t>
  </si>
  <si>
    <t>Vector Databases, dbt, Docker, SQL, Weights &amp; Biases</t>
  </si>
  <si>
    <t>AIJOB01668</t>
  </si>
  <si>
    <t>TensorFlow, Docker, Fine-tuning, RLHF</t>
  </si>
  <si>
    <t>AIJOB01669</t>
  </si>
  <si>
    <t>Vector Databases, GCP Vertex AI, AWS SageMaker, Docker, CUDA, Pinecone</t>
  </si>
  <si>
    <t>AIJOB01670</t>
  </si>
  <si>
    <t>SQL, Fine-tuning, Hugging Face Transformers, MLflow, RLHF</t>
  </si>
  <si>
    <t>AIJOB01671</t>
  </si>
  <si>
    <t>Weights &amp; Biases, Rust, dbt, Azure ML, Fine-tuning, LangChain</t>
  </si>
  <si>
    <t>AIJOB01672</t>
  </si>
  <si>
    <t>Python, CUDA, GCP Vertex AI, Kubernetes, LangChain, RAG, PyTorch</t>
  </si>
  <si>
    <t>AIJOB01673</t>
  </si>
  <si>
    <t>AWS SageMaker, RLHF, CUDA, Azure ML</t>
  </si>
  <si>
    <t>AIJOB01674</t>
  </si>
  <si>
    <t>Fine-tuning, TensorFlow, GCP Vertex AI, MLflow, AWS SageMaker, Azure ML</t>
  </si>
  <si>
    <t>AIJOB01675</t>
  </si>
  <si>
    <t>MLflow, Weaviate, RAG, Fine-tuning, ChromaDB, PyTorch, GCP Vertex AI</t>
  </si>
  <si>
    <t>AIJOB01676</t>
  </si>
  <si>
    <t>PyTorch, Kubernetes, TensorFlow, dbt</t>
  </si>
  <si>
    <t>AIJOB01677</t>
  </si>
  <si>
    <t>AWS SageMaker, LlamaIndex, Rust, RLHF, Weights &amp; Biases, Vector Databases</t>
  </si>
  <si>
    <t>AIJOB01678</t>
  </si>
  <si>
    <t>Weaviate, Kubernetes, C++, Docker, RLHF, TensorFlow</t>
  </si>
  <si>
    <t>AIJOB01679</t>
  </si>
  <si>
    <t>OpenAI API, Spark, LlamaIndex, CUDA</t>
  </si>
  <si>
    <t>AIJOB01680</t>
  </si>
  <si>
    <t>Kubernetes, Weights &amp; Biases, Spark, dbt, LlamaIndex, Hugging Face Transformers</t>
  </si>
  <si>
    <t>AIJOB01681</t>
  </si>
  <si>
    <t>AWS SageMaker, LangChain, Fine-tuning</t>
  </si>
  <si>
    <t>AIJOB01682</t>
  </si>
  <si>
    <t>Docker, Pinecone, dbt, JAX, Weights &amp; Biases</t>
  </si>
  <si>
    <t>AIJOB01683</t>
  </si>
  <si>
    <t>JAX, Hugging Face Transformers, Kubernetes, dbt, SQL, Docker</t>
  </si>
  <si>
    <t>AIJOB01684</t>
  </si>
  <si>
    <t>Kubernetes, CUDA, ChromaDB</t>
  </si>
  <si>
    <t>AIJOB01685</t>
  </si>
  <si>
    <t>Weaviate, dbt, Python</t>
  </si>
  <si>
    <t>AIJOB01686</t>
  </si>
  <si>
    <t>GCP Vertex AI, RAG, Azure ML</t>
  </si>
  <si>
    <t>AIJOB01687</t>
  </si>
  <si>
    <t>MLflow, Spark, RAG, LlamaIndex</t>
  </si>
  <si>
    <t>AIJOB01688</t>
  </si>
  <si>
    <t>LlamaIndex, Rust, PyTorch, RLHF, JAX</t>
  </si>
  <si>
    <t>AIJOB01689</t>
  </si>
  <si>
    <t>AWS SageMaker, MLflow, JAX, GCP Vertex AI, LlamaIndex, PyTorch</t>
  </si>
  <si>
    <t>AIJOB01690</t>
  </si>
  <si>
    <t>dbt, CUDA, Kubernetes, Hugging Face Transformers, Weights &amp; Biases</t>
  </si>
  <si>
    <t>AIJOB01691</t>
  </si>
  <si>
    <t>ChromaDB, Docker, TensorFlow</t>
  </si>
  <si>
    <t>AIJOB01692</t>
  </si>
  <si>
    <t>SQL, Docker, TensorFlow, LlamaIndex, Spark, Kubernetes</t>
  </si>
  <si>
    <t>AIJOB01693</t>
  </si>
  <si>
    <t>Vector Databases, TensorFlow, OpenAI API, SQL, FastAPI</t>
  </si>
  <si>
    <t>AIJOB01694</t>
  </si>
  <si>
    <t>SQL, TensorFlow, JAX, MLflow</t>
  </si>
  <si>
    <t>AIJOB01695</t>
  </si>
  <si>
    <t>ChromaDB, RAG, dbt</t>
  </si>
  <si>
    <t>AIJOB01696</t>
  </si>
  <si>
    <t>LangChain, RLHF, LlamaIndex, Kubernetes</t>
  </si>
  <si>
    <t>AIJOB01697</t>
  </si>
  <si>
    <t>AWS SageMaker, PyTorch, GCP Vertex AI, Python, LangChain, Kubernetes</t>
  </si>
  <si>
    <t>AIJOB01698</t>
  </si>
  <si>
    <t>Azure ML, PyTorch, C++, MLflow, Vector Databases, RLHF</t>
  </si>
  <si>
    <t>AIJOB01699</t>
  </si>
  <si>
    <t>GCP Vertex AI, FastAPI, JAX</t>
  </si>
  <si>
    <t>AIJOB01700</t>
  </si>
  <si>
    <t>SQL, CUDA, C++, RAG, Rust, dbt</t>
  </si>
  <si>
    <t>AIJOB01701</t>
  </si>
  <si>
    <t>Spark, PyTorch, Weaviate, Fine-tuning, OpenAI API</t>
  </si>
  <si>
    <t>AIJOB01702</t>
  </si>
  <si>
    <t>RLHF, GCP Vertex AI, SQL, Weights &amp; Biases</t>
  </si>
  <si>
    <t>AIJOB01703</t>
  </si>
  <si>
    <t>OpenAI API, SQL, FastAPI</t>
  </si>
  <si>
    <t>AIJOB01704</t>
  </si>
  <si>
    <t>LlamaIndex, Kubernetes, Weaviate, Python</t>
  </si>
  <si>
    <t>AIJOB01705</t>
  </si>
  <si>
    <t>LlamaIndex, PyTorch, RAG</t>
  </si>
  <si>
    <t>AIJOB01706</t>
  </si>
  <si>
    <t>Rust, TensorFlow, Azure ML, RLHF, Hugging Face Transformers</t>
  </si>
  <si>
    <t>AIJOB01707</t>
  </si>
  <si>
    <t>Hugging Face Transformers, RAG, Weights &amp; Biases, C++, Python, GCP Vertex AI, Rust</t>
  </si>
  <si>
    <t>AIJOB01708</t>
  </si>
  <si>
    <t>OpenAI API, AWS SageMaker, JAX</t>
  </si>
  <si>
    <t>AIJOB01709</t>
  </si>
  <si>
    <t>LlamaIndex, Vector Databases, FastAPI, Kubernetes</t>
  </si>
  <si>
    <t>AIJOB01710</t>
  </si>
  <si>
    <t>Azure ML, dbt, Rust, PyTorch, ChromaDB, GCP Vertex AI, CUDA</t>
  </si>
  <si>
    <t>AIJOB01711</t>
  </si>
  <si>
    <t>Rust, MLflow, JAX, Docker, FastAPI, Python</t>
  </si>
  <si>
    <t>AIJOB01712</t>
  </si>
  <si>
    <t>GCP Vertex AI, MLflow, LangChain, AWS SageMaker, Hugging Face Transformers, SQL, Azure ML</t>
  </si>
  <si>
    <t>AIJOB01713</t>
  </si>
  <si>
    <t>Pinecone, Python, LangChain, Fine-tuning</t>
  </si>
  <si>
    <t>AIJOB01714</t>
  </si>
  <si>
    <t>MLflow, OpenAI API, Weaviate, Kubernetes, Hugging Face Transformers, Fine-tuning</t>
  </si>
  <si>
    <t>AIJOB01715</t>
  </si>
  <si>
    <t>RLHF, RAG, TensorFlow, Weights &amp; Biases, Kubernetes</t>
  </si>
  <si>
    <t>AIJOB01716</t>
  </si>
  <si>
    <t>OpenAI API, Spark, JAX, Vector Databases, Hugging Face Transformers, dbt, Weaviate</t>
  </si>
  <si>
    <t>AIJOB01717</t>
  </si>
  <si>
    <t>MLflow, Vector Databases, LangChain, TensorFlow, GCP Vertex AI, Pinecone</t>
  </si>
  <si>
    <t>AIJOB01718</t>
  </si>
  <si>
    <t>TensorFlow, AWS SageMaker, RAG</t>
  </si>
  <si>
    <t>AIJOB01719</t>
  </si>
  <si>
    <t>Weaviate, CUDA, Spark, FastAPI, GCP Vertex AI, MLflow, Hugging Face Transformers</t>
  </si>
  <si>
    <t>AIJOB01720</t>
  </si>
  <si>
    <t>TensorFlow, FastAPI, Spark, Weights &amp; Biases</t>
  </si>
  <si>
    <t>AIJOB01721</t>
  </si>
  <si>
    <t>Weaviate, Fine-tuning, Azure ML, Weights &amp; Biases</t>
  </si>
  <si>
    <t>AIJOB01722</t>
  </si>
  <si>
    <t>OpenAI API, dbt, Weights &amp; Biases</t>
  </si>
  <si>
    <t>AIJOB01723</t>
  </si>
  <si>
    <t>Rust, C++, JAX, FastAPI, MLflow, PyTorch</t>
  </si>
  <si>
    <t>AIJOB01724</t>
  </si>
  <si>
    <t>CUDA, Vector Databases, Rust</t>
  </si>
  <si>
    <t>AIJOB01725</t>
  </si>
  <si>
    <t>Vector Databases, ChromaDB, Azure ML, Python, CUDA</t>
  </si>
  <si>
    <t>AIJOB01726</t>
  </si>
  <si>
    <t>dbt, Docker, Azure ML, Hugging Face Transformers, C++, RLHF</t>
  </si>
  <si>
    <t>AIJOB01727</t>
  </si>
  <si>
    <t>LlamaIndex, Spark, Docker, RLHF, RAG</t>
  </si>
  <si>
    <t>AIJOB01728</t>
  </si>
  <si>
    <t>SQL, OpenAI API, CUDA, LlamaIndex, Vector Databases, Fine-tuning</t>
  </si>
  <si>
    <t>AIJOB01729</t>
  </si>
  <si>
    <t>OpenAI API, LangChain, PyTorch, Kubernetes, Rust, MLflow, Vector Databases</t>
  </si>
  <si>
    <t>AIJOB01730</t>
  </si>
  <si>
    <t>dbt, LangChain, Spark, Weaviate</t>
  </si>
  <si>
    <t>AIJOB01731</t>
  </si>
  <si>
    <t>ChromaDB, Pinecone, Rust</t>
  </si>
  <si>
    <t>AIJOB01732</t>
  </si>
  <si>
    <t>AWS SageMaker, Weights &amp; Biases, C++, MLflow, LlamaIndex</t>
  </si>
  <si>
    <t>AIJOB01733</t>
  </si>
  <si>
    <t>Pinecone, JAX, Azure ML, SQL, OpenAI API, Docker</t>
  </si>
  <si>
    <t>AIJOB01734</t>
  </si>
  <si>
    <t>TensorFlow, MLflow, Azure ML, Python</t>
  </si>
  <si>
    <t>AIJOB01735</t>
  </si>
  <si>
    <t>JAX, Weights &amp; Biases, Spark, Pinecone, RAG, C++</t>
  </si>
  <si>
    <t>AIJOB01736</t>
  </si>
  <si>
    <t>Weights &amp; Biases, SQL, TensorFlow, JAX, Python</t>
  </si>
  <si>
    <t>AIJOB01737</t>
  </si>
  <si>
    <t>Kubernetes, SQL, CUDA, Docker, C++, GCP Vertex AI</t>
  </si>
  <si>
    <t>AIJOB01738</t>
  </si>
  <si>
    <t>OpenAI API, PyTorch, CUDA, LlamaIndex, Weights &amp; Biases, TensorFlow</t>
  </si>
  <si>
    <t>AIJOB01739</t>
  </si>
  <si>
    <t>AWS SageMaker, Pinecone, RLHF, Docker</t>
  </si>
  <si>
    <t>AIJOB01740</t>
  </si>
  <si>
    <t>Weights &amp; Biases, RLHF, OpenAI API</t>
  </si>
  <si>
    <t>AIJOB01741</t>
  </si>
  <si>
    <t>TensorFlow, Vector Databases, Fine-tuning, Rust, PyTorch</t>
  </si>
  <si>
    <t>AIJOB01742</t>
  </si>
  <si>
    <t>C++, Kubernetes, MLflow, Docker, Fine-tuning, FastAPI</t>
  </si>
  <si>
    <t>AIJOB01743</t>
  </si>
  <si>
    <t>dbt, GCP Vertex AI, RAG</t>
  </si>
  <si>
    <t>AIJOB01744</t>
  </si>
  <si>
    <t>Azure ML, PyTorch, SQL, C++, RAG</t>
  </si>
  <si>
    <t>AIJOB01745</t>
  </si>
  <si>
    <t>Docker, Kubernetes, AWS SageMaker, FastAPI</t>
  </si>
  <si>
    <t>AIJOB01746</t>
  </si>
  <si>
    <t>AIJOB01747</t>
  </si>
  <si>
    <t>LangChain, dbt, Weights &amp; Biases, TensorFlow, Fine-tuning, Rust, Hugging Face Transformers</t>
  </si>
  <si>
    <t>AIJOB01748</t>
  </si>
  <si>
    <t>Rust, C++, AWS SageMaker</t>
  </si>
  <si>
    <t>AIJOB01749</t>
  </si>
  <si>
    <t>FastAPI, CUDA, Python</t>
  </si>
  <si>
    <t>AIJOB01750</t>
  </si>
  <si>
    <t>Weaviate, PyTorch, RAG, Weights &amp; Biases, Spark</t>
  </si>
  <si>
    <t>AIJOB01751</t>
  </si>
  <si>
    <t>Weaviate, RLHF, TensorFlow, Pinecone, Fine-tuning, dbt</t>
  </si>
  <si>
    <t>AIJOB01752</t>
  </si>
  <si>
    <t>SQL, Fine-tuning, TensorFlow</t>
  </si>
  <si>
    <t>AIJOB01753</t>
  </si>
  <si>
    <t>Vector Databases, CUDA, dbt, TensorFlow</t>
  </si>
  <si>
    <t>AIJOB01754</t>
  </si>
  <si>
    <t>Rust, Weights &amp; Biases, LlamaIndex, CUDA, PyTorch, Spark</t>
  </si>
  <si>
    <t>AIJOB01755</t>
  </si>
  <si>
    <t>Weaviate, TensorFlow, JAX</t>
  </si>
  <si>
    <t>AIJOB01756</t>
  </si>
  <si>
    <t>Fine-tuning, Rust, LlamaIndex</t>
  </si>
  <si>
    <t>AIJOB01757</t>
  </si>
  <si>
    <t>PyTorch, AWS SageMaker, Azure ML, Python, C++, Hugging Face Transformers, TensorFlow</t>
  </si>
  <si>
    <t>AIJOB01758</t>
  </si>
  <si>
    <t>C++, PyTorch, Weaviate, MLflow, TensorFlow, Rust</t>
  </si>
  <si>
    <t>AIJOB01759</t>
  </si>
  <si>
    <t>C++, Pinecone, PyTorch, Fine-tuning, LlamaIndex</t>
  </si>
  <si>
    <t>AIJOB01760</t>
  </si>
  <si>
    <t>TensorFlow, AWS SageMaker, LlamaIndex, dbt, SQL</t>
  </si>
  <si>
    <t>AIJOB01761</t>
  </si>
  <si>
    <t>TensorFlow, SQL, Rust, Azure ML, OpenAI API, PyTorch, LangChain</t>
  </si>
  <si>
    <t>AIJOB01762</t>
  </si>
  <si>
    <t>LlamaIndex, SQL, Rust, RLHF, RAG, TensorFlow</t>
  </si>
  <si>
    <t>AIJOB01763</t>
  </si>
  <si>
    <t>Vector Databases, Spark, PyTorch, LangChain, RAG, Azure ML</t>
  </si>
  <si>
    <t>AIJOB01764</t>
  </si>
  <si>
    <t>LlamaIndex, Docker, Hugging Face Transformers, OpenAI API, GCP Vertex AI</t>
  </si>
  <si>
    <t>AIJOB01765</t>
  </si>
  <si>
    <t>GCP Vertex AI, FastAPI, LlamaIndex</t>
  </si>
  <si>
    <t>AIJOB01766</t>
  </si>
  <si>
    <t>AWS SageMaker, dbt, LlamaIndex, Kubernetes</t>
  </si>
  <si>
    <t>AIJOB01767</t>
  </si>
  <si>
    <t>Docker, CUDA, Python</t>
  </si>
  <si>
    <t>AIJOB01768</t>
  </si>
  <si>
    <t>LangChain, Fine-tuning, Pinecone</t>
  </si>
  <si>
    <t>AIJOB01769</t>
  </si>
  <si>
    <t>Azure ML, RLHF, Pinecone, FastAPI, SQL, Fine-tuning</t>
  </si>
  <si>
    <t>AIJOB01770</t>
  </si>
  <si>
    <t>GCP Vertex AI, AWS SageMaker, Weights &amp; Biases, Hugging Face Transformers</t>
  </si>
  <si>
    <t>AIJOB01771</t>
  </si>
  <si>
    <t>Weaviate, Weights &amp; Biases, Pinecone, Hugging Face Transformers</t>
  </si>
  <si>
    <t>AIJOB01772</t>
  </si>
  <si>
    <t>GCP Vertex AI, MLflow, C++, Pinecone, RLHF</t>
  </si>
  <si>
    <t>AIJOB01773</t>
  </si>
  <si>
    <t>RAG, LlamaIndex, LangChain, dbt</t>
  </si>
  <si>
    <t>AIJOB01774</t>
  </si>
  <si>
    <t>LlamaIndex, ChromaDB, Rust, CUDA, SQL</t>
  </si>
  <si>
    <t>AIJOB01775</t>
  </si>
  <si>
    <t>Rust, ChromaDB, RLHF, Hugging Face Transformers, SQL</t>
  </si>
  <si>
    <t>AIJOB01776</t>
  </si>
  <si>
    <t>C++, Weaviate, MLflow, Fine-tuning, Spark</t>
  </si>
  <si>
    <t>AIJOB01777</t>
  </si>
  <si>
    <t>Kubernetes, Pinecone, LlamaIndex, Vector Databases, AWS SageMaker, ChromaDB</t>
  </si>
  <si>
    <t>AIJOB01778</t>
  </si>
  <si>
    <t>AWS SageMaker, Weights &amp; Biases, JAX</t>
  </si>
  <si>
    <t>AIJOB01779</t>
  </si>
  <si>
    <t>Fine-tuning, CUDA, FastAPI, Azure ML, RAG, Python</t>
  </si>
  <si>
    <t>AIJOB01780</t>
  </si>
  <si>
    <t>Fine-tuning, CUDA, Weaviate, Hugging Face Transformers, Vector Databases, C++, Docker</t>
  </si>
  <si>
    <t>AIJOB01781</t>
  </si>
  <si>
    <t>JAX, RAG, dbt</t>
  </si>
  <si>
    <t>AIJOB01782</t>
  </si>
  <si>
    <t>LangChain, Pinecone, dbt</t>
  </si>
  <si>
    <t>AIJOB01783</t>
  </si>
  <si>
    <t>Rust, RAG, Docker, Spark</t>
  </si>
  <si>
    <t>AIJOB01784</t>
  </si>
  <si>
    <t>ChromaDB, FastAPI, OpenAI API, LangChain, C++, Fine-tuning</t>
  </si>
  <si>
    <t>AIJOB01785</t>
  </si>
  <si>
    <t>OpenAI API, C++, FastAPI</t>
  </si>
  <si>
    <t>AIJOB01786</t>
  </si>
  <si>
    <t>OpenAI API, SQL, Python, dbt</t>
  </si>
  <si>
    <t>AIJOB01787</t>
  </si>
  <si>
    <t>Fine-tuning, Docker, Vector Databases, SQL</t>
  </si>
  <si>
    <t>AIJOB01788</t>
  </si>
  <si>
    <t>C++, Spark, Rust, dbt, SQL</t>
  </si>
  <si>
    <t>AIJOB01789</t>
  </si>
  <si>
    <t>LangChain, PyTorch, Rust, Hugging Face Transformers, FastAPI, OpenAI API</t>
  </si>
  <si>
    <t>AIJOB01790</t>
  </si>
  <si>
    <t>dbt, CUDA, FastAPI</t>
  </si>
  <si>
    <t>AIJOB01791</t>
  </si>
  <si>
    <t>OpenAI API, Spark, Rust, Hugging Face Transformers, Weights &amp; Biases, Fine-tuning</t>
  </si>
  <si>
    <t>AIJOB01792</t>
  </si>
  <si>
    <t>RAG, Vector Databases, C++, ChromaDB, AWS SageMaker, OpenAI API, MLflow</t>
  </si>
  <si>
    <t>AIJOB01793</t>
  </si>
  <si>
    <t>Weights &amp; Biases, GCP Vertex AI, Pinecone, RLHF, Spark</t>
  </si>
  <si>
    <t>AIJOB01794</t>
  </si>
  <si>
    <t>Spark, PyTorch, MLflow, LlamaIndex, Docker</t>
  </si>
  <si>
    <t>AIJOB01795</t>
  </si>
  <si>
    <t>Rust, C++, Azure ML, Docker, Weaviate, PyTorch</t>
  </si>
  <si>
    <t>AIJOB01796</t>
  </si>
  <si>
    <t>RAG, AWS SageMaker, Weights &amp; Biases, Pinecone, PyTorch, MLflow, Docker</t>
  </si>
  <si>
    <t>AIJOB01797</t>
  </si>
  <si>
    <t>C++, Python, GCP Vertex AI, LangChain, PyTorch</t>
  </si>
  <si>
    <t>AIJOB01798</t>
  </si>
  <si>
    <t>Docker, MLflow, Rust, RAG, Fine-tuning, Weights &amp; Biases</t>
  </si>
  <si>
    <t>AIJOB01799</t>
  </si>
  <si>
    <t>AWS SageMaker, C++, CUDA, TensorFlow, PyTorch, Rust, Python</t>
  </si>
  <si>
    <t>AIJOB01800</t>
  </si>
  <si>
    <t>Spark, Vector Databases, OpenAI API, Pinecone, C++, Kubernetes, Python</t>
  </si>
  <si>
    <t>AIJOB01801</t>
  </si>
  <si>
    <t>dbt, FastAPI, Spark, Hugging Face Transformers, Fine-tuning</t>
  </si>
  <si>
    <t>AIJOB01802</t>
  </si>
  <si>
    <t>LangChain, CUDA, OpenAI API, ChromaDB, JAX, LlamaIndex</t>
  </si>
  <si>
    <t>AIJOB01803</t>
  </si>
  <si>
    <t>GCP Vertex AI, MLflow, Pinecone</t>
  </si>
  <si>
    <t>AIJOB01804</t>
  </si>
  <si>
    <t>Pinecone, OpenAI API, FastAPI, Weaviate, dbt, Spark</t>
  </si>
  <si>
    <t>AIJOB01805</t>
  </si>
  <si>
    <t>MLflow, dbt, Python, CUDA, AWS SageMaker</t>
  </si>
  <si>
    <t>AIJOB01806</t>
  </si>
  <si>
    <t>Weights &amp; Biases, TensorFlow, Fine-tuning, Vector Databases</t>
  </si>
  <si>
    <t>AIJOB01807</t>
  </si>
  <si>
    <t>Spark, PyTorch, RLHF, JAX</t>
  </si>
  <si>
    <t>AIJOB01808</t>
  </si>
  <si>
    <t>RAG, JAX, OpenAI API, Kubernetes, Python, SQL, Hugging Face Transformers</t>
  </si>
  <si>
    <t>AIJOB01809</t>
  </si>
  <si>
    <t>OpenAI API, Hugging Face Transformers, Python, LangChain, LlamaIndex, Spark</t>
  </si>
  <si>
    <t>AIJOB01810</t>
  </si>
  <si>
    <t>Pinecone, LlamaIndex, Rust, PyTorch, AWS SageMaker, JAX</t>
  </si>
  <si>
    <t>AIJOB01811</t>
  </si>
  <si>
    <t>RLHF, OpenAI API, ChromaDB, Rust, Pinecone, Weights &amp; Biases, LlamaIndex</t>
  </si>
  <si>
    <t>AIJOB01812</t>
  </si>
  <si>
    <t>ChromaDB, Azure ML, CUDA, LangChain</t>
  </si>
  <si>
    <t>AIJOB01813</t>
  </si>
  <si>
    <t>Pinecone, LangChain, ChromaDB</t>
  </si>
  <si>
    <t>AIJOB01814</t>
  </si>
  <si>
    <t>Weights &amp; Biases, Python, Pinecone, ChromaDB, LlamaIndex</t>
  </si>
  <si>
    <t>AIJOB01815</t>
  </si>
  <si>
    <t>Azure ML, CUDA, GCP Vertex AI, Pinecone</t>
  </si>
  <si>
    <t>AIJOB01816</t>
  </si>
  <si>
    <t>Azure ML, AWS SageMaker, JAX, MLflow</t>
  </si>
  <si>
    <t>AIJOB01817</t>
  </si>
  <si>
    <t>JAX, Azure ML, SQL, AWS SageMaker, Weaviate</t>
  </si>
  <si>
    <t>AIJOB01818</t>
  </si>
  <si>
    <t>LlamaIndex, GCP Vertex AI, Azure ML</t>
  </si>
  <si>
    <t>AIJOB01819</t>
  </si>
  <si>
    <t>LlamaIndex, dbt, Vector Databases, RAG, Azure ML, OpenAI API</t>
  </si>
  <si>
    <t>AIJOB01820</t>
  </si>
  <si>
    <t>Azure ML, SQL, GCP Vertex AI, JAX, C++</t>
  </si>
  <si>
    <t>AIJOB01821</t>
  </si>
  <si>
    <t>Azure ML, FastAPI, Python, AWS SageMaker, Weights &amp; Biases, ChromaDB, TensorFlow</t>
  </si>
  <si>
    <t>AIJOB01822</t>
  </si>
  <si>
    <t>RAG, Weaviate, JAX, PyTorch</t>
  </si>
  <si>
    <t>AIJOB01823</t>
  </si>
  <si>
    <t>OpenAI API, SQL, TensorFlow, C++, LangChain, Azure ML, JAX</t>
  </si>
  <si>
    <t>AIJOB01824</t>
  </si>
  <si>
    <t>dbt, JAX, Kubernetes</t>
  </si>
  <si>
    <t>AIJOB01825</t>
  </si>
  <si>
    <t>Kubernetes, Weights &amp; Biases, Docker, Rust, LlamaIndex, CUDA</t>
  </si>
  <si>
    <t>AIJOB01826</t>
  </si>
  <si>
    <t>RLHF, Spark, Weaviate, OpenAI API, FastAPI</t>
  </si>
  <si>
    <t>AIJOB01827</t>
  </si>
  <si>
    <t>SQL, ChromaDB, Hugging Face Transformers, AWS SageMaker, RAG</t>
  </si>
  <si>
    <t>AIJOB01828</t>
  </si>
  <si>
    <t>SQL, Docker, Python, LlamaIndex</t>
  </si>
  <si>
    <t>AIJOB01829</t>
  </si>
  <si>
    <t>C++, LlamaIndex, ChromaDB, Rust</t>
  </si>
  <si>
    <t>AIJOB01830</t>
  </si>
  <si>
    <t>OpenAI API, Pinecone, Fine-tuning</t>
  </si>
  <si>
    <t>AIJOB01831</t>
  </si>
  <si>
    <t>C++, Rust, RLHF, Pinecone, RAG</t>
  </si>
  <si>
    <t>AIJOB01832</t>
  </si>
  <si>
    <t>RLHF, PyTorch, Azure ML, Fine-tuning</t>
  </si>
  <si>
    <t>AIJOB01833</t>
  </si>
  <si>
    <t>CUDA, Azure ML, LlamaIndex</t>
  </si>
  <si>
    <t>AIJOB01834</t>
  </si>
  <si>
    <t>GCP Vertex AI, PyTorch, Weaviate, TensorFlow, Spark, Docker, OpenAI API</t>
  </si>
  <si>
    <t>AIJOB01835</t>
  </si>
  <si>
    <t>LlamaIndex, OpenAI API, Weaviate, LangChain, Python</t>
  </si>
  <si>
    <t>AIJOB01836</t>
  </si>
  <si>
    <t>ChromaDB, C++, FastAPI, Fine-tuning, Azure ML</t>
  </si>
  <si>
    <t>AIJOB01837</t>
  </si>
  <si>
    <t>PyTorch, AWS SageMaker, CUDA, Python</t>
  </si>
  <si>
    <t>AIJOB01838</t>
  </si>
  <si>
    <t>GCP Vertex AI, Rust, OpenAI API, C++, RLHF</t>
  </si>
  <si>
    <t>AIJOB01839</t>
  </si>
  <si>
    <t>Hugging Face Transformers, Kubernetes, OpenAI API</t>
  </si>
  <si>
    <t>AIJOB01840</t>
  </si>
  <si>
    <t>RAG, Spark, JAX, Vector Databases</t>
  </si>
  <si>
    <t>AIJOB01841</t>
  </si>
  <si>
    <t>RLHF, TensorFlow, FastAPI, Hugging Face Transformers, MLflow</t>
  </si>
  <si>
    <t>AIJOB01842</t>
  </si>
  <si>
    <t>MLflow, GCP Vertex AI, TensorFlow, Fine-tuning, CUDA, Vector Databases, PyTorch</t>
  </si>
  <si>
    <t>AIJOB01843</t>
  </si>
  <si>
    <t>Weights &amp; Biases, LangChain, ChromaDB, Python, LlamaIndex</t>
  </si>
  <si>
    <t>AIJOB01844</t>
  </si>
  <si>
    <t>FastAPI, Azure ML, Weights &amp; Biases, Kubernetes, Rust, Fine-tuning</t>
  </si>
  <si>
    <t>AIJOB01845</t>
  </si>
  <si>
    <t>RLHF, PyTorch, Spark, LlamaIndex</t>
  </si>
  <si>
    <t>AIJOB01846</t>
  </si>
  <si>
    <t>Spark, C++, Weaviate, Azure ML, RAG, Pinecone</t>
  </si>
  <si>
    <t>AIJOB01847</t>
  </si>
  <si>
    <t>Weights &amp; Biases, Azure ML, JAX, C++, ChromaDB</t>
  </si>
  <si>
    <t>AIJOB01848</t>
  </si>
  <si>
    <t>CUDA, Azure ML, C++, LlamaIndex, Weights &amp; Biases</t>
  </si>
  <si>
    <t>AIJOB01849</t>
  </si>
  <si>
    <t>JAX, Spark, GCP Vertex AI, Fine-tuning, LlamaIndex, CUDA, Hugging Face Transformers</t>
  </si>
  <si>
    <t>AIJOB01850</t>
  </si>
  <si>
    <t>Weights &amp; Biases, LangChain, Python</t>
  </si>
  <si>
    <t>AIJOB01851</t>
  </si>
  <si>
    <t>LlamaIndex, Vector Databases, MLflow, RAG</t>
  </si>
  <si>
    <t>AIJOB01852</t>
  </si>
  <si>
    <t>Pinecone, LlamaIndex, LangChain, C++, ChromaDB, GCP Vertex AI</t>
  </si>
  <si>
    <t>AIJOB01853</t>
  </si>
  <si>
    <t>LlamaIndex, PyTorch, Azure ML, CUDA</t>
  </si>
  <si>
    <t>AIJOB01854</t>
  </si>
  <si>
    <t>LangChain, Fine-tuning, RLHF, Weights &amp; Biases, Docker</t>
  </si>
  <si>
    <t>AIJOB01855</t>
  </si>
  <si>
    <t>RLHF, SQL, Kubernetes, Azure ML, CUDA, FastAPI</t>
  </si>
  <si>
    <t>AIJOB01856</t>
  </si>
  <si>
    <t>SQL, OpenAI API, PyTorch</t>
  </si>
  <si>
    <t>AIJOB01857</t>
  </si>
  <si>
    <t>OpenAI API, Spark, TensorFlow</t>
  </si>
  <si>
    <t>AIJOB01858</t>
  </si>
  <si>
    <t>Hugging Face Transformers, Fine-tuning, MLflow, PyTorch, LlamaIndex</t>
  </si>
  <si>
    <t>AIJOB01859</t>
  </si>
  <si>
    <t>Kubernetes, ChromaDB, Hugging Face Transformers, Rust, LlamaIndex, FastAPI</t>
  </si>
  <si>
    <t>AIJOB01860</t>
  </si>
  <si>
    <t>Weights &amp; Biases, Vector Databases, FastAPI, ChromaDB, TensorFlow, RLHF</t>
  </si>
  <si>
    <t>AIJOB01861</t>
  </si>
  <si>
    <t>LlamaIndex, RLHF, Hugging Face Transformers, PyTorch, SQL, Docker, Pinecone</t>
  </si>
  <si>
    <t>AIJOB01862</t>
  </si>
  <si>
    <t>JAX, C++, Rust, RLHF, Python, Pinecone</t>
  </si>
  <si>
    <t>AIJOB01863</t>
  </si>
  <si>
    <t>FastAPI, Weights &amp; Biases, ChromaDB, Vector Databases, Docker, SQL</t>
  </si>
  <si>
    <t>AIJOB01864</t>
  </si>
  <si>
    <t>OpenAI API, LlamaIndex, FastAPI</t>
  </si>
  <si>
    <t>AIJOB01865</t>
  </si>
  <si>
    <t>CUDA, OpenAI API, AWS SageMaker</t>
  </si>
  <si>
    <t>AIJOB01866</t>
  </si>
  <si>
    <t>Hugging Face Transformers, LangChain, C++</t>
  </si>
  <si>
    <t>AIJOB01867</t>
  </si>
  <si>
    <t>RAG, PyTorch, Rust, SQL, GCP Vertex AI</t>
  </si>
  <si>
    <t>AIJOB01868</t>
  </si>
  <si>
    <t>LangChain, RAG, OpenAI API, GCP Vertex AI, LlamaIndex</t>
  </si>
  <si>
    <t>AIJOB01869</t>
  </si>
  <si>
    <t>Pinecone, Weights &amp; Biases, GCP Vertex AI</t>
  </si>
  <si>
    <t>AIJOB01870</t>
  </si>
  <si>
    <t>Weaviate, LangChain, RLHF, Spark, SQL</t>
  </si>
  <si>
    <t>AIJOB01871</t>
  </si>
  <si>
    <t>ChromaDB, SQL, Docker, Pinecone, LangChain, AWS SageMaker, FastAPI</t>
  </si>
  <si>
    <t>AIJOB01872</t>
  </si>
  <si>
    <t>C++, MLflow, Python, LangChain</t>
  </si>
  <si>
    <t>AIJOB01873</t>
  </si>
  <si>
    <t>TensorFlow, MLflow, Weaviate, LlamaIndex, RLHF, Hugging Face Transformers, SQL</t>
  </si>
  <si>
    <t>AIJOB01874</t>
  </si>
  <si>
    <t>JAX, LangChain, OpenAI API</t>
  </si>
  <si>
    <t>AIJOB01875</t>
  </si>
  <si>
    <t>Weights &amp; Biases, LlamaIndex, JAX</t>
  </si>
  <si>
    <t>AIJOB01876</t>
  </si>
  <si>
    <t>Hugging Face Transformers, Kubernetes, Weaviate, Fine-tuning, RLHF</t>
  </si>
  <si>
    <t>AIJOB01877</t>
  </si>
  <si>
    <t>PyTorch, Weaviate, MLflow, JAX, CUDA</t>
  </si>
  <si>
    <t>AIJOB01878</t>
  </si>
  <si>
    <t>MLflow, CUDA, Vector Databases, LlamaIndex, AWS SageMaker, RLHF, Rust</t>
  </si>
  <si>
    <t>AIJOB01879</t>
  </si>
  <si>
    <t>ChromaDB, Weaviate, GCP Vertex AI, MLflow</t>
  </si>
  <si>
    <t>AIJOB01880</t>
  </si>
  <si>
    <t>Python, Vector Databases, Weights &amp; Biases, PyTorch, Docker, Hugging Face Transformers, Spark</t>
  </si>
  <si>
    <t>AIJOB01881</t>
  </si>
  <si>
    <t>Spark, OpenAI API, GCP Vertex AI</t>
  </si>
  <si>
    <t>AIJOB01882</t>
  </si>
  <si>
    <t>SQL, Rust, RAG, OpenAI API, Azure ML, RLHF, C++</t>
  </si>
  <si>
    <t>AIJOB01883</t>
  </si>
  <si>
    <t>JAX, Azure ML, ChromaDB, GCP Vertex AI</t>
  </si>
  <si>
    <t>AIJOB01884</t>
  </si>
  <si>
    <t>AWS SageMaker, GCP Vertex AI, LangChain, dbt, Kubernetes, Fine-tuning</t>
  </si>
  <si>
    <t>AIJOB01885</t>
  </si>
  <si>
    <t>C++, Pinecone, Rust, JAX, RLHF, PyTorch</t>
  </si>
  <si>
    <t>AIJOB01886</t>
  </si>
  <si>
    <t>Weights &amp; Biases, dbt, JAX, GCP Vertex AI, LlamaIndex, LangChain</t>
  </si>
  <si>
    <t>AIJOB01887</t>
  </si>
  <si>
    <t>LangChain, JAX, Python, Weaviate</t>
  </si>
  <si>
    <t>AIJOB01888</t>
  </si>
  <si>
    <t>AWS SageMaker, Weaviate, Azure ML, MLflow, TensorFlow, dbt</t>
  </si>
  <si>
    <t>AIJOB01889</t>
  </si>
  <si>
    <t>Vector Databases, Weaviate, RLHF, Spark, Rust, OpenAI API, Hugging Face Transformers</t>
  </si>
  <si>
    <t>AIJOB01890</t>
  </si>
  <si>
    <t>Docker, OpenAI API, Weights &amp; Biases, CUDA, AWS SageMaker, FastAPI</t>
  </si>
  <si>
    <t>AIJOB01891</t>
  </si>
  <si>
    <t>GCP Vertex AI, Weights &amp; Biases, RLHF, ChromaDB, AWS SageMaker</t>
  </si>
  <si>
    <t>AIJOB01892</t>
  </si>
  <si>
    <t>MLflow, Pinecone, Rust</t>
  </si>
  <si>
    <t>AIJOB01893</t>
  </si>
  <si>
    <t>dbt, TensorFlow, LlamaIndex, Rust, OpenAI API, SQL</t>
  </si>
  <si>
    <t>AIJOB01894</t>
  </si>
  <si>
    <t>Pinecone, Rust, C++, TensorFlow, Spark, Weights &amp; Biases</t>
  </si>
  <si>
    <t>AIJOB01895</t>
  </si>
  <si>
    <t>Pinecone, GCP Vertex AI, SQL, OpenAI API, ChromaDB</t>
  </si>
  <si>
    <t>AIJOB01896</t>
  </si>
  <si>
    <t>dbt, ChromaDB, GCP Vertex AI</t>
  </si>
  <si>
    <t>AIJOB01897</t>
  </si>
  <si>
    <t>Hugging Face Transformers, PyTorch, dbt, JAX, Azure ML</t>
  </si>
  <si>
    <t>AIJOB01898</t>
  </si>
  <si>
    <t>Weaviate, Rust, ChromaDB, Hugging Face Transformers, Spark, MLflow, LlamaIndex</t>
  </si>
  <si>
    <t>AIJOB01899</t>
  </si>
  <si>
    <t>LangChain, Rust, Hugging Face Transformers</t>
  </si>
  <si>
    <t>AIJOB01900</t>
  </si>
  <si>
    <t>Docker, JAX, LlamaIndex, Fine-tuning, C++, AWS SageMaker</t>
  </si>
  <si>
    <t>AIJOB01901</t>
  </si>
  <si>
    <t>FastAPI, PyTorch, MLflow, AWS SageMaker, dbt, Rust</t>
  </si>
  <si>
    <t>AIJOB01902</t>
  </si>
  <si>
    <t>FastAPI, OpenAI API, Spark</t>
  </si>
  <si>
    <t>AIJOB01903</t>
  </si>
  <si>
    <t>AWS SageMaker, RLHF, Python, CUDA</t>
  </si>
  <si>
    <t>AIJOB01904</t>
  </si>
  <si>
    <t>Rust, LangChain, Hugging Face Transformers, RLHF, Azure ML, SQL, TensorFlow</t>
  </si>
  <si>
    <t>AIJOB01905</t>
  </si>
  <si>
    <t>Python, C++, Rust, MLflow, GCP Vertex AI</t>
  </si>
  <si>
    <t>AIJOB01906</t>
  </si>
  <si>
    <t>LangChain, Kubernetes, Weights &amp; Biases, RAG, Spark, ChromaDB</t>
  </si>
  <si>
    <t>AIJOB01907</t>
  </si>
  <si>
    <t>GCP Vertex AI, FastAPI, Fine-tuning, LangChain</t>
  </si>
  <si>
    <t>AIJOB01908</t>
  </si>
  <si>
    <t>Weaviate, LlamaIndex, RAG, Pinecone, Weights &amp; Biases</t>
  </si>
  <si>
    <t>AIJOB01909</t>
  </si>
  <si>
    <t>dbt, Weights &amp; Biases, Spark, GCP Vertex AI</t>
  </si>
  <si>
    <t>AIJOB01910</t>
  </si>
  <si>
    <t>Rust, OpenAI API, Azure ML, Docker, AWS SageMaker, LlamaIndex</t>
  </si>
  <si>
    <t>AIJOB01911</t>
  </si>
  <si>
    <t>PyTorch, Fine-tuning, Python</t>
  </si>
  <si>
    <t>AIJOB01912</t>
  </si>
  <si>
    <t>Rust, JAX, C++, Weaviate</t>
  </si>
  <si>
    <t>AIJOB01913</t>
  </si>
  <si>
    <t>PyTorch, TensorFlow, FastAPI, Fine-tuning, JAX, ChromaDB</t>
  </si>
  <si>
    <t>AIJOB01914</t>
  </si>
  <si>
    <t>FastAPI, PyTorch, OpenAI API, LlamaIndex, Azure ML, CUDA</t>
  </si>
  <si>
    <t>AIJOB01915</t>
  </si>
  <si>
    <t>TensorFlow, Rust, Vector Databases, ChromaDB, Docker, CUDA</t>
  </si>
  <si>
    <t>AIJOB01916</t>
  </si>
  <si>
    <t>dbt, Weights &amp; Biases, CUDA, Rust, LlamaIndex</t>
  </si>
  <si>
    <t>AIJOB01917</t>
  </si>
  <si>
    <t>Fine-tuning, C++, Docker, MLflow, Python, dbt</t>
  </si>
  <si>
    <t>AIJOB01918</t>
  </si>
  <si>
    <t>Weaviate, MLflow, SQL, Hugging Face Transformers</t>
  </si>
  <si>
    <t>AIJOB01919</t>
  </si>
  <si>
    <t>OpenAI API, SQL, GCP Vertex AI, MLflow</t>
  </si>
  <si>
    <t>AIJOB01920</t>
  </si>
  <si>
    <t>PyTorch, Python, LlamaIndex</t>
  </si>
  <si>
    <t>AIJOB01921</t>
  </si>
  <si>
    <t>Azure ML, JAX, Vector Databases</t>
  </si>
  <si>
    <t>AIJOB01922</t>
  </si>
  <si>
    <t>RLHF, CUDA, C++, JAX</t>
  </si>
  <si>
    <t>AIJOB01923</t>
  </si>
  <si>
    <t>Pinecone, LlamaIndex, Fine-tuning</t>
  </si>
  <si>
    <t>AIJOB01924</t>
  </si>
  <si>
    <t>ChromaDB, Fine-tuning, FastAPI, PyTorch, LlamaIndex</t>
  </si>
  <si>
    <t>AIJOB01925</t>
  </si>
  <si>
    <t>Pinecone, Weaviate, PyTorch, Rust, Fine-tuning, Python, SQL</t>
  </si>
  <si>
    <t>AIJOB01926</t>
  </si>
  <si>
    <t>GCP Vertex AI, JAX, dbt, Weaviate, CUDA, Python</t>
  </si>
  <si>
    <t>AIJOB01927</t>
  </si>
  <si>
    <t>Fine-tuning, GCP Vertex AI, LangChain, Weaviate, C++, AWS SageMaker, MLflow</t>
  </si>
  <si>
    <t>AIJOB01928</t>
  </si>
  <si>
    <t>dbt, OpenAI API, AWS SageMaker, SQL, CUDA</t>
  </si>
  <si>
    <t>AIJOB01929</t>
  </si>
  <si>
    <t>Weaviate, GCP Vertex AI, RLHF, Docker, SQL</t>
  </si>
  <si>
    <t>AIJOB01930</t>
  </si>
  <si>
    <t>OpenAI API, RLHF, Vector Databases, PyTorch, TensorFlow</t>
  </si>
  <si>
    <t>AIJOB01931</t>
  </si>
  <si>
    <t>Python, Docker, RLHF, JAX, AWS SageMaker, PyTorch, Vector Databases</t>
  </si>
  <si>
    <t>AIJOB01932</t>
  </si>
  <si>
    <t>dbt, Weights &amp; Biases, Hugging Face Transformers, Vector Databases</t>
  </si>
  <si>
    <t>AIJOB01933</t>
  </si>
  <si>
    <t>dbt, Pinecone, ChromaDB, Azure ML, C++, LangChain</t>
  </si>
  <si>
    <t>AIJOB01934</t>
  </si>
  <si>
    <t>Spark, SQL, PyTorch, MLflow, OpenAI API, Python</t>
  </si>
  <si>
    <t>AIJOB01935</t>
  </si>
  <si>
    <t>CUDA, Weights &amp; Biases, Rust, RLHF, Python, JAX</t>
  </si>
  <si>
    <t>AIJOB01936</t>
  </si>
  <si>
    <t>TensorFlow, Weights &amp; Biases, dbt, Vector Databases, AWS SageMaker, FastAPI, OpenAI API</t>
  </si>
  <si>
    <t>AIJOB01937</t>
  </si>
  <si>
    <t>C++, Pinecone, Fine-tuning, LangChain, LlamaIndex</t>
  </si>
  <si>
    <t>AIJOB01938</t>
  </si>
  <si>
    <t>Fine-tuning, OpenAI API, MLflow, Docker</t>
  </si>
  <si>
    <t>AIJOB01939</t>
  </si>
  <si>
    <t>Python, RLHF, MLflow</t>
  </si>
  <si>
    <t>AIJOB01940</t>
  </si>
  <si>
    <t>LangChain, Weights &amp; Biases, RLHF, Spark, MLflow</t>
  </si>
  <si>
    <t>AIJOB01941</t>
  </si>
  <si>
    <t>FastAPI, C++, RAG, Azure ML, Vector Databases, Weights &amp; Biases</t>
  </si>
  <si>
    <t>AIJOB01942</t>
  </si>
  <si>
    <t>Hugging Face Transformers, TensorFlow, Vector Databases, Azure ML, PyTorch</t>
  </si>
  <si>
    <t>AIJOB01943</t>
  </si>
  <si>
    <t>dbt, MLflow, Weaviate</t>
  </si>
  <si>
    <t>AIJOB01944</t>
  </si>
  <si>
    <t>AWS SageMaker, Fine-tuning, CUDA, OpenAI API</t>
  </si>
  <si>
    <t>AIJOB01945</t>
  </si>
  <si>
    <t>Rust, CUDA, Pinecone</t>
  </si>
  <si>
    <t>AIJOB01946</t>
  </si>
  <si>
    <t>TensorFlow, Docker, OpenAI API, Fine-tuning, SQL</t>
  </si>
  <si>
    <t>AIJOB01947</t>
  </si>
  <si>
    <t>RAG, Fine-tuning, SQL, JAX, Kubernetes</t>
  </si>
  <si>
    <t>AIJOB01948</t>
  </si>
  <si>
    <t>MLflow, LangChain, SQL</t>
  </si>
  <si>
    <t>AIJOB01949</t>
  </si>
  <si>
    <t>AWS SageMaker, LlamaIndex, Fine-tuning, Pinecone, Azure ML, LangChain, Vector Databases</t>
  </si>
  <si>
    <t>AIJOB01950</t>
  </si>
  <si>
    <t>GCP Vertex AI, CUDA, Weights &amp; Biases, C++, dbt, LlamaIndex, Python</t>
  </si>
  <si>
    <t>AIJOB01951</t>
  </si>
  <si>
    <t>Fine-tuning, MLflow, Hugging Face Transformers, LlamaIndex, PyTorch</t>
  </si>
  <si>
    <t>AIJOB01952</t>
  </si>
  <si>
    <t>TensorFlow, Docker, Python, Kubernetes, PyTorch, Spark, Vector Databases</t>
  </si>
  <si>
    <t>AIJOB01953</t>
  </si>
  <si>
    <t>Vector Databases, Docker, Azure ML</t>
  </si>
  <si>
    <t>AIJOB01954</t>
  </si>
  <si>
    <t>TensorFlow, Python, SQL, RLHF</t>
  </si>
  <si>
    <t>AIJOB01955</t>
  </si>
  <si>
    <t>TensorFlow, RLHF, LlamaIndex, CUDA, Azure ML, Vector Databases</t>
  </si>
  <si>
    <t>AIJOB01956</t>
  </si>
  <si>
    <t>OpenAI API, Rust, FastAPI, ChromaDB, Weights &amp; Biases, LlamaIndex, SQL</t>
  </si>
  <si>
    <t>AIJOB01957</t>
  </si>
  <si>
    <t>SQL, CUDA, Weights &amp; Biases, Weaviate, JAX, Spark</t>
  </si>
  <si>
    <t>AIJOB01958</t>
  </si>
  <si>
    <t>LangChain, LlamaIndex, RLHF, Azure ML, SQL, Kubernetes, ChromaDB</t>
  </si>
  <si>
    <t>AIJOB01959</t>
  </si>
  <si>
    <t>CUDA, Spark, Weights &amp; Biases, dbt, GCP Vertex AI, SQL</t>
  </si>
  <si>
    <t>AIJOB01960</t>
  </si>
  <si>
    <t>TensorFlow, Docker, LlamaIndex, Hugging Face Transformers, MLflow, FastAPI, Python</t>
  </si>
  <si>
    <t>AIJOB01961</t>
  </si>
  <si>
    <t>PyTorch, SQL, OpenAI API</t>
  </si>
  <si>
    <t>AIJOB01962</t>
  </si>
  <si>
    <t>AWS SageMaker, RAG, Azure ML, Weaviate, Fine-tuning</t>
  </si>
  <si>
    <t>AIJOB01963</t>
  </si>
  <si>
    <t>CUDA, JAX, Pinecone, AWS SageMaker, FastAPI, TensorFlow</t>
  </si>
  <si>
    <t>AIJOB01964</t>
  </si>
  <si>
    <t>RAG, ChromaDB, dbt, JAX, Azure ML, MLflow</t>
  </si>
  <si>
    <t>AIJOB01965</t>
  </si>
  <si>
    <t>Pinecone, Docker, Spark, LlamaIndex, TensorFlow</t>
  </si>
  <si>
    <t>AIJOB01966</t>
  </si>
  <si>
    <t>PyTorch, Docker, TensorFlow, AWS SageMaker, LlamaIndex, Fine-tuning</t>
  </si>
  <si>
    <t>AIJOB01967</t>
  </si>
  <si>
    <t>Spark, FastAPI, LlamaIndex, AWS SageMaker, JAX</t>
  </si>
  <si>
    <t>AIJOB01968</t>
  </si>
  <si>
    <t>Rust, GCP Vertex AI, OpenAI API, SQL, PyTorch, Weaviate, RLHF</t>
  </si>
  <si>
    <t>AIJOB01969</t>
  </si>
  <si>
    <t>RAG, SQL, AWS SageMaker, MLflow, Weaviate, Kubernetes</t>
  </si>
  <si>
    <t>AIJOB01970</t>
  </si>
  <si>
    <t>Hugging Face Transformers, ChromaDB, Vector Databases, Rust, JAX, RAG</t>
  </si>
  <si>
    <t>AIJOB01971</t>
  </si>
  <si>
    <t>RLHF, Hugging Face Transformers, OpenAI API, FastAPI, dbt</t>
  </si>
  <si>
    <t>AIJOB01972</t>
  </si>
  <si>
    <t>RAG, Hugging Face Transformers, Pinecone, Weaviate, JAX, Weights &amp; Biases, C++</t>
  </si>
  <si>
    <t>AIJOB01973</t>
  </si>
  <si>
    <t>MLflow, GCP Vertex AI, Fine-tuning, Rust, TensorFlow, Kubernetes, dbt</t>
  </si>
  <si>
    <t>AIJOB01974</t>
  </si>
  <si>
    <t>Fine-tuning, ChromaDB, TensorFlow, Rust, LlamaIndex, Spark</t>
  </si>
  <si>
    <t>AIJOB01975</t>
  </si>
  <si>
    <t>TensorFlow, RAG, OpenAI API</t>
  </si>
  <si>
    <t>AIJOB01976</t>
  </si>
  <si>
    <t>dbt, TensorFlow, AWS SageMaker, FastAPI</t>
  </si>
  <si>
    <t>AIJOB01977</t>
  </si>
  <si>
    <t>Python, CUDA, Kubernetes, LangChain, dbt, RLHF, Vector Databases</t>
  </si>
  <si>
    <t>AIJOB01978</t>
  </si>
  <si>
    <t>C++, FastAPI, Hugging Face Transformers, AWS SageMaker</t>
  </si>
  <si>
    <t>AIJOB01979</t>
  </si>
  <si>
    <t>LangChain, RLHF, Spark</t>
  </si>
  <si>
    <t>AIJOB01980</t>
  </si>
  <si>
    <t>Weights &amp; Biases, OpenAI API, AWS SageMaker, Spark, MLflow, ChromaDB, Rust</t>
  </si>
  <si>
    <t>AIJOB01981</t>
  </si>
  <si>
    <t>Hugging Face Transformers, MLflow, RLHF, RAG, Azure ML</t>
  </si>
  <si>
    <t>AIJOB01982</t>
  </si>
  <si>
    <t>LangChain, Weights &amp; Biases, FastAPI</t>
  </si>
  <si>
    <t>AIJOB01983</t>
  </si>
  <si>
    <t>Pinecone, RAG, CUDA, Docker</t>
  </si>
  <si>
    <t>AIJOB01984</t>
  </si>
  <si>
    <t>Azure ML, Rust, OpenAI API</t>
  </si>
  <si>
    <t>AIJOB01985</t>
  </si>
  <si>
    <t>PyTorch, Kubernetes, Rust, Vector Databases, Pinecone, Docker</t>
  </si>
  <si>
    <t>AIJOB01986</t>
  </si>
  <si>
    <t>TensorFlow, Vector Databases, JAX</t>
  </si>
  <si>
    <t>AIJOB01987</t>
  </si>
  <si>
    <t>FastAPI, Hugging Face Transformers, TensorFlow</t>
  </si>
  <si>
    <t>AIJOB01988</t>
  </si>
  <si>
    <t>GCP Vertex AI, TensorFlow, CUDA, dbt, Vector Databases, Spark</t>
  </si>
  <si>
    <t>AIJOB01989</t>
  </si>
  <si>
    <t>Hugging Face Transformers, JAX, Rust</t>
  </si>
  <si>
    <t>AIJOB01990</t>
  </si>
  <si>
    <t>FastAPI, CUDA, Docker</t>
  </si>
  <si>
    <t>AIJOB01991</t>
  </si>
  <si>
    <t>LlamaIndex, Rust, LangChain, RLHF, Fine-tuning, AWS SageMaker, GCP Vertex AI</t>
  </si>
  <si>
    <t>AIJOB01992</t>
  </si>
  <si>
    <t>RLHF, dbt, LlamaIndex, GCP Vertex AI</t>
  </si>
  <si>
    <t>AIJOB01993</t>
  </si>
  <si>
    <t>Hugging Face Transformers, RLHF, JAX, SQL, Rust, OpenAI API</t>
  </si>
  <si>
    <t>AIJOB01994</t>
  </si>
  <si>
    <t>AWS SageMaker, FastAPI, RAG, JAX, Weaviate, Rust, Docker</t>
  </si>
  <si>
    <t>AIJOB01995</t>
  </si>
  <si>
    <t>Vector Databases, Kubernetes, GCP Vertex AI, CUDA</t>
  </si>
  <si>
    <t>AIJOB01996</t>
  </si>
  <si>
    <t>TensorFlow, Azure ML, RAG, MLflow</t>
  </si>
  <si>
    <t>AIJOB01997</t>
  </si>
  <si>
    <t>Azure ML, Rust, MLflow, LangChain, Weights &amp; Biases</t>
  </si>
  <si>
    <t>AIJOB01998</t>
  </si>
  <si>
    <t>Spark, AWS SageMaker, Hugging Face Transformers, FastAPI, TensorFlow, JAX</t>
  </si>
  <si>
    <t>AIJOB01999</t>
  </si>
  <si>
    <t>dbt, RAG, AWS SageMaker, Hugging Face Transformers, ChromaDB</t>
  </si>
  <si>
    <t>AIJOB02000</t>
  </si>
  <si>
    <t>RLHF, GCP Vertex AI, Rust</t>
  </si>
  <si>
    <t>AIJOB02001</t>
  </si>
  <si>
    <t>Hugging Face Transformers, Docker, GCP Vertex AI, Weights &amp; Biases, OpenAI API, TensorFlow, Python</t>
  </si>
  <si>
    <t>AIJOB02002</t>
  </si>
  <si>
    <t>Docker, Spark, Fine-tuning</t>
  </si>
  <si>
    <t>AIJOB02003</t>
  </si>
  <si>
    <t>Rust, CUDA, TensorFlow, Pinecone</t>
  </si>
  <si>
    <t>AIJOB02004</t>
  </si>
  <si>
    <t>LlamaIndex, Weights &amp; Biases, OpenAI API</t>
  </si>
  <si>
    <t>AIJOB02005</t>
  </si>
  <si>
    <t>LangChain, Hugging Face Transformers, PyTorch, Weaviate</t>
  </si>
  <si>
    <t>AIJOB02006</t>
  </si>
  <si>
    <t>PyTorch, Spark, TensorFlow</t>
  </si>
  <si>
    <t>AIJOB02007</t>
  </si>
  <si>
    <t>Azure ML, Hugging Face Transformers, Pinecone, MLflow, GCP Vertex AI, Weights &amp; Biases, SQL</t>
  </si>
  <si>
    <t>AIJOB02008</t>
  </si>
  <si>
    <t>Vector Databases, ChromaDB, dbt, C++, SQL</t>
  </si>
  <si>
    <t>AIJOB02009</t>
  </si>
  <si>
    <t>C++, CUDA, Kubernetes, ChromaDB, PyTorch</t>
  </si>
  <si>
    <t>AIJOB02010</t>
  </si>
  <si>
    <t>Azure ML, AWS SageMaker, dbt, RLHF</t>
  </si>
  <si>
    <t>AIJOB02011</t>
  </si>
  <si>
    <t>AWS SageMaker, C++, Spark, JAX, LangChain, Pinecone</t>
  </si>
  <si>
    <t>AIJOB02012</t>
  </si>
  <si>
    <t>Vector Databases, FastAPI, RLHF, Weights &amp; Biases</t>
  </si>
  <si>
    <t>AIJOB02013</t>
  </si>
  <si>
    <t>Weights &amp; Biases, LlamaIndex, GCP Vertex AI, TensorFlow, Hugging Face Transformers</t>
  </si>
  <si>
    <t>AIJOB02014</t>
  </si>
  <si>
    <t>SQL, Docker, ChromaDB, dbt</t>
  </si>
  <si>
    <t>AIJOB02015</t>
  </si>
  <si>
    <t>GCP Vertex AI, Docker, PyTorch, RLHF, Python, C++, Weaviate</t>
  </si>
  <si>
    <t>AIJOB02016</t>
  </si>
  <si>
    <t>dbt, SQL, CUDA, Vector Databases</t>
  </si>
  <si>
    <t>AIJOB02017</t>
  </si>
  <si>
    <t>OpenAI API, Docker, JAX, Fine-tuning</t>
  </si>
  <si>
    <t>AIJOB02018</t>
  </si>
  <si>
    <t>LangChain, MLflow, SQL, TensorFlow, Vector Databases</t>
  </si>
  <si>
    <t>AIJOB02019</t>
  </si>
  <si>
    <t>PyTorch, dbt, Hugging Face Transformers, CUDA, Python, Spark</t>
  </si>
  <si>
    <t>AIJOB02020</t>
  </si>
  <si>
    <t>RLHF, Kubernetes, Fine-tuning, GCP Vertex AI, FastAPI, JAX</t>
  </si>
  <si>
    <t>AIJOB02021</t>
  </si>
  <si>
    <t>LangChain, JAX, PyTorch</t>
  </si>
  <si>
    <t>AIJOB02022</t>
  </si>
  <si>
    <t>OpenAI API, Azure ML, dbt</t>
  </si>
  <si>
    <t>AIJOB02023</t>
  </si>
  <si>
    <t>Python, RAG, RLHF, AWS SageMaker, MLflow, LangChain</t>
  </si>
  <si>
    <t>AIJOB02024</t>
  </si>
  <si>
    <t>dbt, LlamaIndex, RLHF, MLflow, JAX</t>
  </si>
  <si>
    <t>AIJOB02025</t>
  </si>
  <si>
    <t>Weights &amp; Biases, Rust, FastAPI, Azure ML</t>
  </si>
  <si>
    <t>AIJOB02026</t>
  </si>
  <si>
    <t>AWS SageMaker, C++, SQL, Azure ML, TensorFlow, RAG, dbt</t>
  </si>
  <si>
    <t>AIJOB02027</t>
  </si>
  <si>
    <t>C++, ChromaDB, Python, Docker</t>
  </si>
  <si>
    <t>AIJOB02028</t>
  </si>
  <si>
    <t>SQL, dbt, Azure ML, FastAPI, PyTorch, LangChain</t>
  </si>
  <si>
    <t>AIJOB02029</t>
  </si>
  <si>
    <t>AIJOB02030</t>
  </si>
  <si>
    <t>Python, Weights &amp; Biases, Vector Databases, ChromaDB, SQL</t>
  </si>
  <si>
    <t>AIJOB02031</t>
  </si>
  <si>
    <t>Vector Databases, dbt, Pinecone, GCP Vertex AI, TensorFlow, Azure ML</t>
  </si>
  <si>
    <t>AIJOB02032</t>
  </si>
  <si>
    <t>ChromaDB, AWS SageMaker, PyTorch, JAX, Kubernetes, Fine-tuning, FastAPI</t>
  </si>
  <si>
    <t>AIJOB02033</t>
  </si>
  <si>
    <t>LlamaIndex, Docker, Azure ML, TensorFlow</t>
  </si>
  <si>
    <t>AIJOB02034</t>
  </si>
  <si>
    <t>Vector Databases, ChromaDB, FastAPI, Pinecone, Spark, SQL, Fine-tuning</t>
  </si>
  <si>
    <t>AIJOB02035</t>
  </si>
  <si>
    <t>FastAPI, Azure ML, C++, ChromaDB</t>
  </si>
  <si>
    <t>AIJOB02036</t>
  </si>
  <si>
    <t>TensorFlow, ChromaDB, C++, Pinecone, Fine-tuning, Kubernetes, RLHF</t>
  </si>
  <si>
    <t>AIJOB02037</t>
  </si>
  <si>
    <t>Vector Databases, OpenAI API, Spark, Weights &amp; Biases, Azure ML, JAX</t>
  </si>
  <si>
    <t>AIJOB02038</t>
  </si>
  <si>
    <t>FastAPI, LlamaIndex, AWS SageMaker, Pinecone</t>
  </si>
  <si>
    <t>AIJOB02039</t>
  </si>
  <si>
    <t>Python, Kubernetes, C++, Weaviate</t>
  </si>
  <si>
    <t>AIJOB02040</t>
  </si>
  <si>
    <t>FastAPI, TensorFlow, RLHF, Vector Databases, SQL, Python, OpenAI API</t>
  </si>
  <si>
    <t>AIJOB02041</t>
  </si>
  <si>
    <t>SQL, PyTorch, MLflow, Hugging Face Transformers, dbt, FastAPI</t>
  </si>
  <si>
    <t>AIJOB02042</t>
  </si>
  <si>
    <t>MLflow, GCP Vertex AI, Fine-tuning, RLHF, LangChain, ChromaDB</t>
  </si>
  <si>
    <t>AIJOB02043</t>
  </si>
  <si>
    <t>AWS SageMaker, Rust, Weaviate, SQL, TensorFlow, Pinecone, Azure ML</t>
  </si>
  <si>
    <t>AIJOB02044</t>
  </si>
  <si>
    <t>Kubernetes, RAG, Weights &amp; Biases</t>
  </si>
  <si>
    <t>AIJOB02045</t>
  </si>
  <si>
    <t>MLflow, ChromaDB, dbt, C++, Python</t>
  </si>
  <si>
    <t>AIJOB02046</t>
  </si>
  <si>
    <t>CUDA, RAG, TensorFlow, Weights &amp; Biases, Kubernetes, Weaviate</t>
  </si>
  <si>
    <t>AIJOB02047</t>
  </si>
  <si>
    <t>MLflow, Spark, Weights &amp; Biases, Rust, FastAPI, Azure ML, ChromaDB</t>
  </si>
  <si>
    <t>AIJOB02048</t>
  </si>
  <si>
    <t>Vector Databases, Weaviate, PyTorch, RLHF, LlamaIndex, Python, dbt</t>
  </si>
  <si>
    <t>AIJOB02049</t>
  </si>
  <si>
    <t>Hugging Face Transformers, Python, OpenAI API, Spark, RLHF, Kubernetes</t>
  </si>
  <si>
    <t>AIJOB02050</t>
  </si>
  <si>
    <t>Rust, AWS SageMaker, C++, OpenAI API, ChromaDB, Fine-tuning</t>
  </si>
  <si>
    <t>AIJOB02051</t>
  </si>
  <si>
    <t>Vector Databases, Weights &amp; Biases, Kubernetes, MLflow, dbt, PyTorch, Azure ML</t>
  </si>
  <si>
    <t>AIJOB02052</t>
  </si>
  <si>
    <t>FastAPI, Pinecone, PyTorch, dbt, C++, ChromaDB</t>
  </si>
  <si>
    <t>AIJOB02053</t>
  </si>
  <si>
    <t>JAX, PyTorch, RLHF</t>
  </si>
  <si>
    <t>AIJOB02054</t>
  </si>
  <si>
    <t>SQL, Docker, LangChain, OpenAI API, C++, ChromaDB, Pinecone</t>
  </si>
  <si>
    <t>AIJOB02055</t>
  </si>
  <si>
    <t>TensorFlow, JAX, ChromaDB</t>
  </si>
  <si>
    <t>AIJOB02056</t>
  </si>
  <si>
    <t>PyTorch, Weights &amp; Biases, dbt, Kubernetes, FastAPI, LlamaIndex, Rust</t>
  </si>
  <si>
    <t>AIJOB02057</t>
  </si>
  <si>
    <t>Python, Spark, OpenAI API, ChromaDB, SQL</t>
  </si>
  <si>
    <t>AIJOB02058</t>
  </si>
  <si>
    <t>dbt, OpenAI API, Spark, SQL, JAX, RLHF, MLflow</t>
  </si>
  <si>
    <t>AIJOB02059</t>
  </si>
  <si>
    <t>TensorFlow, C++, Vector Databases</t>
  </si>
  <si>
    <t>AIJOB02060</t>
  </si>
  <si>
    <t>Pinecone, RLHF, GCP Vertex AI, Rust</t>
  </si>
  <si>
    <t>AIJOB02061</t>
  </si>
  <si>
    <t>Docker, FastAPI, SQL, Vector Databases</t>
  </si>
  <si>
    <t>AIJOB02062</t>
  </si>
  <si>
    <t>GCP Vertex AI, Kubernetes, RLHF, Azure ML, FastAPI</t>
  </si>
  <si>
    <t>AIJOB02063</t>
  </si>
  <si>
    <t>PyTorch, MLflow, LangChain, Pinecone, Azure ML, C++, Weights &amp; Biases</t>
  </si>
  <si>
    <t>AIJOB02064</t>
  </si>
  <si>
    <t>PyTorch, dbt, Fine-tuning, FastAPI, CUDA</t>
  </si>
  <si>
    <t>AIJOB02065</t>
  </si>
  <si>
    <t>Pinecone, Fine-tuning, PyTorch, Kubernetes, Spark</t>
  </si>
  <si>
    <t>AIJOB02066</t>
  </si>
  <si>
    <t>GCP Vertex AI, TensorFlow, CUDA</t>
  </si>
  <si>
    <t>AIJOB02067</t>
  </si>
  <si>
    <t>dbt, Pinecone, Weights &amp; Biases</t>
  </si>
  <si>
    <t>AIJOB02068</t>
  </si>
  <si>
    <t>Spark, Vector Databases, Python, OpenAI API</t>
  </si>
  <si>
    <t>AIJOB02069</t>
  </si>
  <si>
    <t>Docker, TensorFlow, FastAPI, Rust, MLflow, Hugging Face Transformers, C++</t>
  </si>
  <si>
    <t>AIJOB02070</t>
  </si>
  <si>
    <t>C++, Weaviate, SQL</t>
  </si>
  <si>
    <t>AIJOB02071</t>
  </si>
  <si>
    <t>LlamaIndex, Fine-tuning, Vector Databases, OpenAI API, GCP Vertex AI, dbt, AWS SageMaker</t>
  </si>
  <si>
    <t>AIJOB02072</t>
  </si>
  <si>
    <t>PyTorch, Pinecone, Fine-tuning, Hugging Face Transformers, CUDA</t>
  </si>
  <si>
    <t>AIJOB02073</t>
  </si>
  <si>
    <t>Weaviate, RLHF, Hugging Face Transformers, Pinecone, SQL</t>
  </si>
  <si>
    <t>AIJOB02074</t>
  </si>
  <si>
    <t>Weights &amp; Biases, RAG, JAX, LlamaIndex</t>
  </si>
  <si>
    <t>AIJOB02075</t>
  </si>
  <si>
    <t>Rust, Kubernetes, Docker, Spark, MLflow, CUDA</t>
  </si>
  <si>
    <t>AIJOB02076</t>
  </si>
  <si>
    <t>Docker, Azure ML, C++, GCP Vertex AI, AWS SageMaker, TensorFlow, FastAPI</t>
  </si>
  <si>
    <t>AIJOB02077</t>
  </si>
  <si>
    <t>PyTorch, RAG, Weights &amp; Biases</t>
  </si>
  <si>
    <t>AIJOB02078</t>
  </si>
  <si>
    <t>Pinecone, C++, Spark, SQL</t>
  </si>
  <si>
    <t>AIJOB02079</t>
  </si>
  <si>
    <t>CUDA, C++, LlamaIndex, TensorFlow</t>
  </si>
  <si>
    <t>AIJOB02080</t>
  </si>
  <si>
    <t>dbt, RLHF, FastAPI</t>
  </si>
  <si>
    <t>AIJOB02081</t>
  </si>
  <si>
    <t>FastAPI, LangChain, Vector Databases, TensorFlow</t>
  </si>
  <si>
    <t>AIJOB02082</t>
  </si>
  <si>
    <t>Pinecone, dbt, JAX, Weaviate</t>
  </si>
  <si>
    <t>AIJOB02083</t>
  </si>
  <si>
    <t>PyTorch, CUDA, GCP Vertex AI, FastAPI, Vector Databases</t>
  </si>
  <si>
    <t>AIJOB02084</t>
  </si>
  <si>
    <t>Docker, SQL, RAG, LlamaIndex, Kubernetes, Weaviate</t>
  </si>
  <si>
    <t>AIJOB02085</t>
  </si>
  <si>
    <t>Weights &amp; Biases, Pinecone, Python, OpenAI API, Kubernetes</t>
  </si>
  <si>
    <t>AIJOB02086</t>
  </si>
  <si>
    <t>dbt, Pinecone, CUDA, Vector Databases, LangChain</t>
  </si>
  <si>
    <t>AIJOB02087</t>
  </si>
  <si>
    <t>MLflow, Kubernetes, ChromaDB, LangChain, JAX, TensorFlow, Vector Databases</t>
  </si>
  <si>
    <t>AIJOB02088</t>
  </si>
  <si>
    <t>Vector Databases, AWS SageMaker, FastAPI, Docker</t>
  </si>
  <si>
    <t>AIJOB02089</t>
  </si>
  <si>
    <t>Weaviate, Python, OpenAI API</t>
  </si>
  <si>
    <t>AIJOB02090</t>
  </si>
  <si>
    <t>LangChain, RAG, Python, LlamaIndex, SQL</t>
  </si>
  <si>
    <t>AIJOB02091</t>
  </si>
  <si>
    <t>OpenAI API, RAG, Vector Databases, Pinecone, TensorFlow, RLHF</t>
  </si>
  <si>
    <t>AIJOB02092</t>
  </si>
  <si>
    <t>FastAPI, Azure ML, Kubernetes, SQL, CUDA, LlamaIndex, MLflow</t>
  </si>
  <si>
    <t>AIJOB02093</t>
  </si>
  <si>
    <t>Rust, SQL, Vector Databases, Weights &amp; Biases, AWS SageMaker, RLHF, GCP Vertex AI</t>
  </si>
  <si>
    <t>AIJOB02094</t>
  </si>
  <si>
    <t>CUDA, GCP Vertex AI, ChromaDB, Vector Databases, RLHF, Kubernetes</t>
  </si>
  <si>
    <t>AIJOB02095</t>
  </si>
  <si>
    <t>AWS SageMaker, Rust, LangChain</t>
  </si>
  <si>
    <t>AIJOB02096</t>
  </si>
  <si>
    <t>ChromaDB, JAX, LangChain, RAG, GCP Vertex AI, Pinecone</t>
  </si>
  <si>
    <t>AIJOB02097</t>
  </si>
  <si>
    <t>RAG, GCP Vertex AI, Rust, Vector Databases</t>
  </si>
  <si>
    <t>AIJOB02098</t>
  </si>
  <si>
    <t>TensorFlow, SQL, RAG, Python, Spark, Pinecone, AWS SageMaker</t>
  </si>
  <si>
    <t>AIJOB02099</t>
  </si>
  <si>
    <t>Azure ML, ChromaDB, RAG, Vector Databases, Python</t>
  </si>
  <si>
    <t>AIJOB02100</t>
  </si>
  <si>
    <t>Fine-tuning, PyTorch, LlamaIndex, Kubernetes, FastAPI</t>
  </si>
  <si>
    <t>AIJOB02101</t>
  </si>
  <si>
    <t>Pinecone, dbt, GCP Vertex AI, Weights &amp; Biases, AWS SageMaker, LlamaIndex, RLHF</t>
  </si>
  <si>
    <t>AIJOB02102</t>
  </si>
  <si>
    <t>Docker, RLHF, Weights &amp; Biases, Azure ML, Pinecone</t>
  </si>
  <si>
    <t>AIJOB02103</t>
  </si>
  <si>
    <t>Spark, MLflow, ChromaDB, PyTorch, Rust</t>
  </si>
  <si>
    <t>AIJOB02104</t>
  </si>
  <si>
    <t>RAG, Rust, PyTorch, AWS SageMaker, LangChain</t>
  </si>
  <si>
    <t>AIJOB02105</t>
  </si>
  <si>
    <t>Python, Fine-tuning, CUDA, Rust, FastAPI</t>
  </si>
  <si>
    <t>AIJOB02106</t>
  </si>
  <si>
    <t>CUDA, JAX, RLHF, PyTorch</t>
  </si>
  <si>
    <t>AIJOB02107</t>
  </si>
  <si>
    <t>Fine-tuning, PyTorch, C++, AWS SageMaker, RAG</t>
  </si>
  <si>
    <t>AIJOB02108</t>
  </si>
  <si>
    <t>RAG, TensorFlow, Kubernetes, Docker</t>
  </si>
  <si>
    <t>AIJOB02109</t>
  </si>
  <si>
    <t>Spark, Python, GCP Vertex AI, Kubernetes, Weights &amp; Biases</t>
  </si>
  <si>
    <t>AIJOB02110</t>
  </si>
  <si>
    <t>Azure ML, Weaviate, JAX</t>
  </si>
  <si>
    <t>AIJOB02111</t>
  </si>
  <si>
    <t>LlamaIndex, Fine-tuning, LangChain, GCP Vertex AI, Python</t>
  </si>
  <si>
    <t>AIJOB02112</t>
  </si>
  <si>
    <t>AWS SageMaker, TensorFlow, LlamaIndex, FastAPI, OpenAI API</t>
  </si>
  <si>
    <t>AIJOB02113</t>
  </si>
  <si>
    <t>Spark, Hugging Face Transformers, GCP Vertex AI, dbt, Azure ML, TensorFlow</t>
  </si>
  <si>
    <t>AIJOB02114</t>
  </si>
  <si>
    <t>RLHF, Rust, OpenAI API, Docker</t>
  </si>
  <si>
    <t>AIJOB02115</t>
  </si>
  <si>
    <t>dbt, RAG, TensorFlow, GCP Vertex AI, LlamaIndex</t>
  </si>
  <si>
    <t>AIJOB02116</t>
  </si>
  <si>
    <t>Docker, Pinecone, MLflow</t>
  </si>
  <si>
    <t>AIJOB02117</t>
  </si>
  <si>
    <t>dbt, FastAPI, Spark, Weights &amp; Biases, Rust, LangChain, LlamaIndex</t>
  </si>
  <si>
    <t>AIJOB02118</t>
  </si>
  <si>
    <t>Weaviate, LangChain, Docker</t>
  </si>
  <si>
    <t>AIJOB02119</t>
  </si>
  <si>
    <t>Weights &amp; Biases, C++, dbt, Fine-tuning, ChromaDB, FastAPI, PyTorch</t>
  </si>
  <si>
    <t>AIJOB02120</t>
  </si>
  <si>
    <t>JAX, Fine-tuning, RLHF, C++, FastAPI</t>
  </si>
  <si>
    <t>AIJOB02121</t>
  </si>
  <si>
    <t>ChromaDB, JAX, MLflow, Weights &amp; Biases, GCP Vertex AI</t>
  </si>
  <si>
    <t>AIJOB02122</t>
  </si>
  <si>
    <t>MLflow, CUDA, LangChain, FastAPI, Fine-tuning, RAG</t>
  </si>
  <si>
    <t>AIJOB02123</t>
  </si>
  <si>
    <t>Azure ML, PyTorch, Pinecone, RAG, LlamaIndex</t>
  </si>
  <si>
    <t>AIJOB02124</t>
  </si>
  <si>
    <t>LangChain, Hugging Face Transformers, Fine-tuning, JAX, OpenAI API</t>
  </si>
  <si>
    <t>AIJOB02125</t>
  </si>
  <si>
    <t>JAX, PyTorch, Pinecone, Kubernetes, Azure ML</t>
  </si>
  <si>
    <t>AIJOB02126</t>
  </si>
  <si>
    <t>RAG, SQL, OpenAI API, Hugging Face Transformers, Azure ML</t>
  </si>
  <si>
    <t>AIJOB02127</t>
  </si>
  <si>
    <t>Weaviate, OpenAI API, SQL</t>
  </si>
  <si>
    <t>AIJOB02128</t>
  </si>
  <si>
    <t>dbt, Python, Fine-tuning</t>
  </si>
  <si>
    <t>AIJOB02129</t>
  </si>
  <si>
    <t>MLflow, Kubernetes, SQL, TensorFlow, Python</t>
  </si>
  <si>
    <t>AIJOB02130</t>
  </si>
  <si>
    <t>Vector Databases, Spark, LlamaIndex, FastAPI, PyTorch</t>
  </si>
  <si>
    <t>AIJOB02131</t>
  </si>
  <si>
    <t>RLHF, Vector Databases, MLflow, CUDA, SQL, Azure ML, Spark</t>
  </si>
  <si>
    <t>AIJOB02132</t>
  </si>
  <si>
    <t>Docker, Azure ML, RLHF, dbt, GCP Vertex AI, PyTorch</t>
  </si>
  <si>
    <t>AIJOB02133</t>
  </si>
  <si>
    <t>C++, RAG, MLflow, FastAPI, Weaviate, Vector Databases, Rust</t>
  </si>
  <si>
    <t>AIJOB02134</t>
  </si>
  <si>
    <t>AWS SageMaker, RLHF, FastAPI, Vector Databases, PyTorch, RAG, ChromaDB</t>
  </si>
  <si>
    <t>AIJOB02135</t>
  </si>
  <si>
    <t>ChromaDB, AWS SageMaker, Fine-tuning, Weights &amp; Biases, RLHF, Spark</t>
  </si>
  <si>
    <t>AIJOB02136</t>
  </si>
  <si>
    <t>MLflow, TensorFlow, LangChain, Weaviate</t>
  </si>
  <si>
    <t>AIJOB02137</t>
  </si>
  <si>
    <t>Pinecone, Rust, ChromaDB, RAG</t>
  </si>
  <si>
    <t>AIJOB02138</t>
  </si>
  <si>
    <t>Python, Rust, LangChain</t>
  </si>
  <si>
    <t>AIJOB02139</t>
  </si>
  <si>
    <t>ChromaDB, MLflow, RAG</t>
  </si>
  <si>
    <t>AIJOB02140</t>
  </si>
  <si>
    <t>JAX, Weights &amp; Biases, MLflow, ChromaDB, RAG</t>
  </si>
  <si>
    <t>AIJOB02141</t>
  </si>
  <si>
    <t>CUDA, Docker, OpenAI API, FastAPI</t>
  </si>
  <si>
    <t>AIJOB02142</t>
  </si>
  <si>
    <t>PyTorch, OpenAI API, dbt, TensorFlow, Python</t>
  </si>
  <si>
    <t>AIJOB02143</t>
  </si>
  <si>
    <t>SQL, PyTorch, Vector Databases, Docker, RAG, FastAPI, MLflow</t>
  </si>
  <si>
    <t>AIJOB02144</t>
  </si>
  <si>
    <t>dbt, Rust, Kubernetes, CUDA, Weights &amp; Biases, PyTorch, OpenAI API</t>
  </si>
  <si>
    <t>AIJOB02145</t>
  </si>
  <si>
    <t>Weaviate, FastAPI, TensorFlow, Weights &amp; Biases, PyTorch, dbt</t>
  </si>
  <si>
    <t>AIJOB02146</t>
  </si>
  <si>
    <t>OpenAI API, dbt, RAG, CUDA, Kubernetes, LangChain, ChromaDB</t>
  </si>
  <si>
    <t>AIJOB02147</t>
  </si>
  <si>
    <t>Python, PyTorch, Spark, RAG</t>
  </si>
  <si>
    <t>AIJOB02148</t>
  </si>
  <si>
    <t>TensorFlow, OpenAI API, Weights &amp; Biases</t>
  </si>
  <si>
    <t>AIJOB02149</t>
  </si>
  <si>
    <t>ChromaDB, Weights &amp; Biases, Weaviate, RAG, RLHF</t>
  </si>
  <si>
    <t>AIJOB02150</t>
  </si>
  <si>
    <t>C++, Vector Databases, Python, PyTorch</t>
  </si>
  <si>
    <t>AIJOB02151</t>
  </si>
  <si>
    <t>FastAPI, Weaviate, CUDA, AWS SageMaker, TensorFlow, Azure ML</t>
  </si>
  <si>
    <t>AIJOB02152</t>
  </si>
  <si>
    <t>Weaviate, SQL, Hugging Face Transformers, LlamaIndex, Kubernetes</t>
  </si>
  <si>
    <t>AIJOB02153</t>
  </si>
  <si>
    <t>SQL, Kubernetes, Rust, Azure ML</t>
  </si>
  <si>
    <t>AIJOB02154</t>
  </si>
  <si>
    <t>dbt, AWS SageMaker, Weights &amp; Biases, Vector Databases, Docker, Fine-tuning, FastAPI</t>
  </si>
  <si>
    <t>AIJOB02155</t>
  </si>
  <si>
    <t>Vector Databases, GCP Vertex AI, RAG, Weights &amp; Biases, AWS SageMaker, Azure ML, Python</t>
  </si>
  <si>
    <t>AIJOB02156</t>
  </si>
  <si>
    <t>Docker, Vector Databases, Fine-tuning, TensorFlow, ChromaDB</t>
  </si>
  <si>
    <t>AIJOB02157</t>
  </si>
  <si>
    <t>Weights &amp; Biases, ChromaDB, Fine-tuning, Kubernetes, OpenAI API</t>
  </si>
  <si>
    <t>AIJOB02158</t>
  </si>
  <si>
    <t>Weaviate, JAX, Spark, Vector Databases</t>
  </si>
  <si>
    <t>AIJOB02159</t>
  </si>
  <si>
    <t>Fine-tuning, Hugging Face Transformers, SQL, TensorFlow, Docker, Azure ML, ChromaDB</t>
  </si>
  <si>
    <t>AIJOB02160</t>
  </si>
  <si>
    <t>RAG, Fine-tuning, Azure ML, OpenAI API</t>
  </si>
  <si>
    <t>AIJOB02161</t>
  </si>
  <si>
    <t>Weaviate, Docker, CUDA, C++, Weights &amp; Biases, SQL, RAG</t>
  </si>
  <si>
    <t>AIJOB02162</t>
  </si>
  <si>
    <t>RLHF, JAX, Azure ML, RAG, TensorFlow, SQL, FastAPI</t>
  </si>
  <si>
    <t>AIJOB02163</t>
  </si>
  <si>
    <t>PyTorch, GCP Vertex AI, ChromaDB</t>
  </si>
  <si>
    <t>AIJOB02164</t>
  </si>
  <si>
    <t>Fine-tuning, LlamaIndex, CUDA, dbt, Weights &amp; Biases</t>
  </si>
  <si>
    <t>AIJOB02165</t>
  </si>
  <si>
    <t>JAX, MLflow, Azure ML, SQL</t>
  </si>
  <si>
    <t>AIJOB02166</t>
  </si>
  <si>
    <t>FastAPI, Spark, GCP Vertex AI, CUDA, Vector Databases, Pinecone</t>
  </si>
  <si>
    <t>AIJOB02167</t>
  </si>
  <si>
    <t>Weights &amp; Biases, Kubernetes, Fine-tuning, RAG, C++, Python, ChromaDB</t>
  </si>
  <si>
    <t>AIJOB02168</t>
  </si>
  <si>
    <t>Hugging Face Transformers, SQL, Weights &amp; Biases, FastAPI, C++, Python</t>
  </si>
  <si>
    <t>AIJOB02169</t>
  </si>
  <si>
    <t>SQL, AWS SageMaker, dbt, TensorFlow, Weights &amp; Biases</t>
  </si>
  <si>
    <t>AIJOB02170</t>
  </si>
  <si>
    <t>RLHF, dbt, PyTorch, Pinecone, CUDA, Rust, AWS SageMaker</t>
  </si>
  <si>
    <t>AIJOB02171</t>
  </si>
  <si>
    <t>PyTorch, FastAPI, RLHF, Weights &amp; Biases, MLflow</t>
  </si>
  <si>
    <t>AIJOB02172</t>
  </si>
  <si>
    <t>RLHF, Rust, Python, Hugging Face Transformers, Vector Databases, Pinecone, GCP Vertex AI</t>
  </si>
  <si>
    <t>AIJOB02173</t>
  </si>
  <si>
    <t>MLflow, OpenAI API, ChromaDB, PyTorch, Pinecone, Azure ML</t>
  </si>
  <si>
    <t>AIJOB02174</t>
  </si>
  <si>
    <t>Fine-tuning, GCP Vertex AI, dbt, JAX, PyTorch, RAG</t>
  </si>
  <si>
    <t>AIJOB02175</t>
  </si>
  <si>
    <t>Python, AWS SageMaker, PyTorch, Hugging Face Transformers, GCP Vertex AI</t>
  </si>
  <si>
    <t>AIJOB02176</t>
  </si>
  <si>
    <t>AWS SageMaker, FastAPI, Azure ML, Rust, Vector Databases, Spark, LlamaIndex</t>
  </si>
  <si>
    <t>AIJOB02177</t>
  </si>
  <si>
    <t>dbt, LangChain, Fine-tuning, FastAPI, JAX, CUDA, TensorFlow</t>
  </si>
  <si>
    <t>AIJOB02178</t>
  </si>
  <si>
    <t>GCP Vertex AI, Weaviate, AWS SageMaker, PyTorch, Spark</t>
  </si>
  <si>
    <t>AIJOB02179</t>
  </si>
  <si>
    <t>PyTorch, dbt, Kubernetes, Rust, Spark, RAG, OpenAI API</t>
  </si>
  <si>
    <t>AIJOB02180</t>
  </si>
  <si>
    <t>CUDA, Spark, dbt, Hugging Face Transformers, Docker</t>
  </si>
  <si>
    <t>AIJOB02181</t>
  </si>
  <si>
    <t>CUDA, FastAPI, Weaviate, Rust, Weights &amp; Biases, Fine-tuning, Vector Databases</t>
  </si>
  <si>
    <t>AIJOB02182</t>
  </si>
  <si>
    <t>Pinecone, LangChain, RAG, Fine-tuning, Weaviate, FastAPI, CUDA</t>
  </si>
  <si>
    <t>AIJOB02183</t>
  </si>
  <si>
    <t>Azure ML, RLHF, Kubernetes, LangChain</t>
  </si>
  <si>
    <t>AIJOB02184</t>
  </si>
  <si>
    <t>AWS SageMaker, Vector Databases, Docker, Azure ML, PyTorch, Weaviate, FastAPI</t>
  </si>
  <si>
    <t>AIJOB02185</t>
  </si>
  <si>
    <t>Docker, C++, FastAPI</t>
  </si>
  <si>
    <t>AIJOB02186</t>
  </si>
  <si>
    <t>AWS SageMaker, Weights &amp; Biases, Azure ML, Docker, TensorFlow, dbt, CUDA</t>
  </si>
  <si>
    <t>AIJOB02187</t>
  </si>
  <si>
    <t>RLHF, Kubernetes, SQL, RAG</t>
  </si>
  <si>
    <t>AIJOB02188</t>
  </si>
  <si>
    <t>Python, Rust, Hugging Face Transformers, Fine-tuning, MLflow</t>
  </si>
  <si>
    <t>AIJOB02189</t>
  </si>
  <si>
    <t>CUDA, MLflow, Azure ML</t>
  </si>
  <si>
    <t>AIJOB02190</t>
  </si>
  <si>
    <t>Spark, PyTorch, Pinecone, Docker, JAX, C++, Hugging Face Transformers</t>
  </si>
  <si>
    <t>AIJOB02191</t>
  </si>
  <si>
    <t>LlamaIndex, Fine-tuning, Vector Databases, Hugging Face Transformers</t>
  </si>
  <si>
    <t>AIJOB02192</t>
  </si>
  <si>
    <t>Weaviate, RLHF, Spark, MLflow, CUDA, AWS SageMaker</t>
  </si>
  <si>
    <t>AIJOB02193</t>
  </si>
  <si>
    <t>JAX, Python, dbt, GCP Vertex AI, Kubernetes, RAG, Spark</t>
  </si>
  <si>
    <t>AIJOB02194</t>
  </si>
  <si>
    <t>Kubernetes, AWS SageMaker, PyTorch, OpenAI API, Weaviate</t>
  </si>
  <si>
    <t>AIJOB02195</t>
  </si>
  <si>
    <t>Fine-tuning, LlamaIndex, Weaviate, PyTorch</t>
  </si>
  <si>
    <t>AIJOB02196</t>
  </si>
  <si>
    <t>ChromaDB, Vector Databases, Weaviate, LangChain</t>
  </si>
  <si>
    <t>AIJOB02197</t>
  </si>
  <si>
    <t>PyTorch, LlamaIndex, Fine-tuning, Spark, Hugging Face Transformers, CUDA</t>
  </si>
  <si>
    <t>AIJOB02198</t>
  </si>
  <si>
    <t>TensorFlow, PyTorch, Pinecone, AWS SageMaker</t>
  </si>
  <si>
    <t>AIJOB02199</t>
  </si>
  <si>
    <t>Spark, Azure ML, Hugging Face Transformers, Fine-tuning, Pinecone, RAG</t>
  </si>
  <si>
    <t>AIJOB02200</t>
  </si>
  <si>
    <t>TensorFlow, Docker, FastAPI, OpenAI API, ChromaDB, Python</t>
  </si>
  <si>
    <t>AIJOB02201</t>
  </si>
  <si>
    <t>AWS SageMaker, Pinecone, C++, GCP Vertex AI, Spark, RLHF</t>
  </si>
  <si>
    <t>AIJOB02202</t>
  </si>
  <si>
    <t>LlamaIndex, ChromaDB, RLHF, dbt</t>
  </si>
  <si>
    <t>AIJOB02203</t>
  </si>
  <si>
    <t>Pinecone, Weaviate, RAG</t>
  </si>
  <si>
    <t>AIJOB02204</t>
  </si>
  <si>
    <t>Kubernetes, Vector Databases, C++, Azure ML, Rust, Spark, Weights &amp; Biases</t>
  </si>
  <si>
    <t>AIJOB02205</t>
  </si>
  <si>
    <t>LangChain, Spark, JAX, TensorFlow</t>
  </si>
  <si>
    <t>AIJOB02206</t>
  </si>
  <si>
    <t>PyTorch, TensorFlow, AWS SageMaker</t>
  </si>
  <si>
    <t>AIJOB02207</t>
  </si>
  <si>
    <t>LlamaIndex, FastAPI, RAG, C++, Kubernetes</t>
  </si>
  <si>
    <t>AIJOB02208</t>
  </si>
  <si>
    <t>PyTorch, GCP Vertex AI, FastAPI, LangChain, SQL</t>
  </si>
  <si>
    <t>AIJOB02209</t>
  </si>
  <si>
    <t>Hugging Face Transformers, Rust, Fine-tuning, Kubernetes, Azure ML</t>
  </si>
  <si>
    <t>AIJOB02210</t>
  </si>
  <si>
    <t>Fine-tuning, GCP Vertex AI, Weights &amp; Biases, JAX, Python, Hugging Face Transformers</t>
  </si>
  <si>
    <t>AIJOB02211</t>
  </si>
  <si>
    <t>CUDA, dbt, SQL, C++, Vector Databases, MLflow</t>
  </si>
  <si>
    <t>AIJOB02212</t>
  </si>
  <si>
    <t>LangChain, Vector Databases, GCP Vertex AI, CUDA</t>
  </si>
  <si>
    <t>AIJOB02213</t>
  </si>
  <si>
    <t>RLHF, TensorFlow, Weights &amp; Biases, Vector Databases</t>
  </si>
  <si>
    <t>AIJOB02214</t>
  </si>
  <si>
    <t>OpenAI API, Docker, Python</t>
  </si>
  <si>
    <t>AIJOB02215</t>
  </si>
  <si>
    <t>Weaviate, Kubernetes, CUDA, TensorFlow</t>
  </si>
  <si>
    <t>AIJOB02216</t>
  </si>
  <si>
    <t>dbt, FastAPI, CUDA</t>
  </si>
  <si>
    <t>AIJOB02217</t>
  </si>
  <si>
    <t>Docker, FastAPI, MLflow, Hugging Face Transformers</t>
  </si>
  <si>
    <t>AIJOB02218</t>
  </si>
  <si>
    <t>Spark, Fine-tuning, JAX</t>
  </si>
  <si>
    <t>AIJOB02219</t>
  </si>
  <si>
    <t>LlamaIndex, Kubernetes, Docker, MLflow, Fine-tuning, RAG, GCP Vertex AI</t>
  </si>
  <si>
    <t>AIJOB02220</t>
  </si>
  <si>
    <t>Spark, C++, AWS SageMaker, LangChain, MLflow</t>
  </si>
  <si>
    <t>AIJOB02221</t>
  </si>
  <si>
    <t>Spark, Vector Databases, Weaviate</t>
  </si>
  <si>
    <t>AIJOB02222</t>
  </si>
  <si>
    <t>Kubernetes, Docker, MLflow, Azure ML</t>
  </si>
  <si>
    <t>AIJOB02223</t>
  </si>
  <si>
    <t>Rust, CUDA, GCP Vertex AI, PyTorch, Docker, Python</t>
  </si>
  <si>
    <t>AIJOB02224</t>
  </si>
  <si>
    <t>GCP Vertex AI, Weights &amp; Biases, Rust</t>
  </si>
  <si>
    <t>AIJOB02225</t>
  </si>
  <si>
    <t>Weights &amp; Biases, JAX, SQL, Spark</t>
  </si>
  <si>
    <t>AIJOB02226</t>
  </si>
  <si>
    <t>Pinecone, Weaviate, Weights &amp; Biases</t>
  </si>
  <si>
    <t>AIJOB02227</t>
  </si>
  <si>
    <t>FastAPI, C++, JAX, Hugging Face Transformers</t>
  </si>
  <si>
    <t>AIJOB02228</t>
  </si>
  <si>
    <t>Docker, TensorFlow, OpenAI API</t>
  </si>
  <si>
    <t>AIJOB02229</t>
  </si>
  <si>
    <t>Docker, Hugging Face Transformers, PyTorch, RLHF, SQL, Kubernetes, Vector Databases</t>
  </si>
  <si>
    <t>AIJOB02230</t>
  </si>
  <si>
    <t>Azure ML, MLflow, CUDA, Weights &amp; Biases, dbt</t>
  </si>
  <si>
    <t>AIJOB02231</t>
  </si>
  <si>
    <t>Fine-tuning, dbt, Rust</t>
  </si>
  <si>
    <t>AIJOB02232</t>
  </si>
  <si>
    <t>Hugging Face Transformers, CUDA, Docker</t>
  </si>
  <si>
    <t>AIJOB02233</t>
  </si>
  <si>
    <t>Vector Databases, Rust, Kubernetes, Pinecone, FastAPI, GCP Vertex AI, MLflow</t>
  </si>
  <si>
    <t>AIJOB02234</t>
  </si>
  <si>
    <t>Vector Databases, SQL, Hugging Face Transformers, LangChain</t>
  </si>
  <si>
    <t>AIJOB02235</t>
  </si>
  <si>
    <t>TensorFlow, RLHF, C++, Weaviate</t>
  </si>
  <si>
    <t>AIJOB02236</t>
  </si>
  <si>
    <t>RLHF, PyTorch, dbt, Docker</t>
  </si>
  <si>
    <t>AIJOB02237</t>
  </si>
  <si>
    <t>LlamaIndex, CUDA, OpenAI API, Docker, Weaviate, Weights &amp; Biases, LangChain</t>
  </si>
  <si>
    <t>AIJOB02238</t>
  </si>
  <si>
    <t>GCP Vertex AI, Pinecone, Vector Databases, Weights &amp; Biases</t>
  </si>
  <si>
    <t>AIJOB02239</t>
  </si>
  <si>
    <t>Spark, JAX, dbt</t>
  </si>
  <si>
    <t>AIJOB02240</t>
  </si>
  <si>
    <t>Kubernetes, Vector Databases, OpenAI API, Weights &amp; Biases, LangChain, C++, Docker</t>
  </si>
  <si>
    <t>AIJOB02241</t>
  </si>
  <si>
    <t>LlamaIndex, PyTorch, Python, AWS SageMaker, Azure ML, Pinecone, JAX</t>
  </si>
  <si>
    <t>AIJOB02242</t>
  </si>
  <si>
    <t>PyTorch, FastAPI, Fine-tuning, GCP Vertex AI, C++</t>
  </si>
  <si>
    <t>AIJOB02243</t>
  </si>
  <si>
    <t>SQL, Azure ML, Vector Databases</t>
  </si>
  <si>
    <t>AIJOB02244</t>
  </si>
  <si>
    <t>Weights &amp; Biases, MLflow, JAX, Weaviate, FastAPI, TensorFlow</t>
  </si>
  <si>
    <t>AIJOB02245</t>
  </si>
  <si>
    <t>Fine-tuning, Vector Databases, Rust, Docker, Python</t>
  </si>
  <si>
    <t>AIJOB02246</t>
  </si>
  <si>
    <t>AWS SageMaker, CUDA, PyTorch</t>
  </si>
  <si>
    <t>AIJOB02247</t>
  </si>
  <si>
    <t>Python, PyTorch, JAX</t>
  </si>
  <si>
    <t>AIJOB02248</t>
  </si>
  <si>
    <t>AWS SageMaker, JAX, Weaviate</t>
  </si>
  <si>
    <t>AIJOB02249</t>
  </si>
  <si>
    <t>Pinecone, LangChain, Hugging Face Transformers</t>
  </si>
  <si>
    <t>AIJOB02250</t>
  </si>
  <si>
    <t>CUDA, C++, TensorFlow, FastAPI, Vector Databases, Docker</t>
  </si>
  <si>
    <t>AIJOB02251</t>
  </si>
  <si>
    <t>LangChain, ChromaDB, RLHF, RAG</t>
  </si>
  <si>
    <t>AIJOB02252</t>
  </si>
  <si>
    <t>Docker, dbt, AWS SageMaker, TensorFlow</t>
  </si>
  <si>
    <t>AIJOB02253</t>
  </si>
  <si>
    <t>FastAPI, ChromaDB, RLHF, Weights &amp; Biases</t>
  </si>
  <si>
    <t>AIJOB02254</t>
  </si>
  <si>
    <t>GCP Vertex AI, CUDA, FastAPI, Weaviate, Docker, RAG</t>
  </si>
  <si>
    <t>AIJOB02255</t>
  </si>
  <si>
    <t>RLHF, Pinecone, PyTorch, GCP Vertex AI</t>
  </si>
  <si>
    <t>AIJOB02256</t>
  </si>
  <si>
    <t>MLflow, SQL, TensorFlow</t>
  </si>
  <si>
    <t>AIJOB02257</t>
  </si>
  <si>
    <t>FastAPI, CUDA, RLHF, GCP Vertex AI, ChromaDB, LangChain</t>
  </si>
  <si>
    <t>AIJOB02258</t>
  </si>
  <si>
    <t>Rust, RLHF, Vector Databases, C++, LangChain</t>
  </si>
  <si>
    <t>AIJOB02259</t>
  </si>
  <si>
    <t>SQL, AWS SageMaker, PyTorch, Spark, C++</t>
  </si>
  <si>
    <t>AIJOB02260</t>
  </si>
  <si>
    <t>Docker, Azure ML, GCP Vertex AI, Weights &amp; Biases, C++, MLflow, dbt</t>
  </si>
  <si>
    <t>AIJOB02261</t>
  </si>
  <si>
    <t>dbt, RLHF, Hugging Face Transformers</t>
  </si>
  <si>
    <t>AIJOB02262</t>
  </si>
  <si>
    <t>Weights &amp; Biases, JAX, Spark, Fine-tuning</t>
  </si>
  <si>
    <t>AIJOB02263</t>
  </si>
  <si>
    <t>C++, Rust, AWS SageMaker, OpenAI API, MLflow, Azure ML, PyTorch</t>
  </si>
  <si>
    <t>AIJOB02264</t>
  </si>
  <si>
    <t>AWS SageMaker, ChromaDB, TensorFlow, CUDA, LangChain, RAG</t>
  </si>
  <si>
    <t>AIJOB02265</t>
  </si>
  <si>
    <t>PyTorch, Vector Databases, SQL, Pinecone, LlamaIndex, OpenAI API, JAX</t>
  </si>
  <si>
    <t>AIJOB02266</t>
  </si>
  <si>
    <t>ChromaDB, CUDA, MLflow, Hugging Face Transformers, FastAPI, Docker</t>
  </si>
  <si>
    <t>AIJOB02267</t>
  </si>
  <si>
    <t>PyTorch, Kubernetes, TensorFlow, LangChain, Weaviate</t>
  </si>
  <si>
    <t>AIJOB02268</t>
  </si>
  <si>
    <t>Azure ML, SQL, RAG</t>
  </si>
  <si>
    <t>AIJOB02269</t>
  </si>
  <si>
    <t>JAX, Hugging Face Transformers, Pinecone, AWS SageMaker, RAG</t>
  </si>
  <si>
    <t>AIJOB02270</t>
  </si>
  <si>
    <t>ChromaDB, OpenAI API, C++, TensorFlow, RAG, Hugging Face Transformers</t>
  </si>
  <si>
    <t>AIJOB02271</t>
  </si>
  <si>
    <t>FastAPI, MLflow, Vector Databases, ChromaDB, Kubernetes, Weights &amp; Biases</t>
  </si>
  <si>
    <t>AIJOB02272</t>
  </si>
  <si>
    <t>RAG, SQL, TensorFlow, PyTorch, AWS SageMaker, Python, RLHF</t>
  </si>
  <si>
    <t>AIJOB02273</t>
  </si>
  <si>
    <t>Python, Docker, TensorFlow, MLflow, JAX</t>
  </si>
  <si>
    <t>AIJOB02274</t>
  </si>
  <si>
    <t>SQL, RAG, Kubernetes, Rust, Azure ML</t>
  </si>
  <si>
    <t>AIJOB02275</t>
  </si>
  <si>
    <t>C++, Kubernetes, Vector Databases</t>
  </si>
  <si>
    <t>AIJOB02276</t>
  </si>
  <si>
    <t>LangChain, MLflow, CUDA, RLHF</t>
  </si>
  <si>
    <t>AIJOB02277</t>
  </si>
  <si>
    <t>SQL, CUDA, Hugging Face Transformers, C++, Weights &amp; Biases, dbt, Docker</t>
  </si>
  <si>
    <t>AIJOB02278</t>
  </si>
  <si>
    <t>GCP Vertex AI, Weaviate, Weights &amp; Biases, PyTorch</t>
  </si>
  <si>
    <t>AIJOB02279</t>
  </si>
  <si>
    <t>SQL, JAX, C++, Spark, Fine-tuning</t>
  </si>
  <si>
    <t>AIJOB02280</t>
  </si>
  <si>
    <t>Docker, Pinecone, C++, JAX, GCP Vertex AI</t>
  </si>
  <si>
    <t>AIJOB02281</t>
  </si>
  <si>
    <t>GCP Vertex AI, CUDA, Docker, LangChain, Weights &amp; Biases, Pinecone</t>
  </si>
  <si>
    <t>AIJOB02282</t>
  </si>
  <si>
    <t>Hugging Face Transformers, RAG, Vector Databases, Weights &amp; Biases, Weaviate, CUDA, GCP Vertex AI</t>
  </si>
  <si>
    <t>AIJOB02283</t>
  </si>
  <si>
    <t>AIJOB02284</t>
  </si>
  <si>
    <t>PyTorch, AWS SageMaker, LlamaIndex, Docker, TensorFlow, Fine-tuning</t>
  </si>
  <si>
    <t>AIJOB02285</t>
  </si>
  <si>
    <t>Weaviate, TensorFlow, Docker, Kubernetes, Fine-tuning, Azure ML</t>
  </si>
  <si>
    <t>AIJOB02286</t>
  </si>
  <si>
    <t>Fine-tuning, Python, TensorFlow, MLflow, RLHF, Azure ML</t>
  </si>
  <si>
    <t>AIJOB02287</t>
  </si>
  <si>
    <t>Spark, Fine-tuning, Vector Databases, C++, PyTorch, CUDA, Weights &amp; Biases</t>
  </si>
  <si>
    <t>AIJOB02288</t>
  </si>
  <si>
    <t>Hugging Face Transformers, RLHF, Weights &amp; Biases, Azure ML, SQL</t>
  </si>
  <si>
    <t>AIJOB02289</t>
  </si>
  <si>
    <t>Rust, AWS SageMaker, MLflow, RLHF, Spark</t>
  </si>
  <si>
    <t>AIJOB02290</t>
  </si>
  <si>
    <t>LangChain, Weights &amp; Biases, Python, Weaviate, Rust, PyTorch</t>
  </si>
  <si>
    <t>AIJOB02291</t>
  </si>
  <si>
    <t>SQL, Azure ML, JAX, LangChain, GCP Vertex AI</t>
  </si>
  <si>
    <t>AIJOB02292</t>
  </si>
  <si>
    <t>FastAPI, Azure ML, Kubernetes, CUDA</t>
  </si>
  <si>
    <t>AIJOB02293</t>
  </si>
  <si>
    <t>Weaviate, Rust, RLHF, OpenAI API, Spark, JAX</t>
  </si>
  <si>
    <t>AIJOB02294</t>
  </si>
  <si>
    <t>Kubernetes, CUDA, MLflow, FastAPI, Rust</t>
  </si>
  <si>
    <t>AIJOB02295</t>
  </si>
  <si>
    <t>Vector Databases, Azure ML, SQL, Rust</t>
  </si>
  <si>
    <t>AIJOB02296</t>
  </si>
  <si>
    <t>Fine-tuning, Docker, Azure ML, LangChain, OpenAI API, Python</t>
  </si>
  <si>
    <t>AIJOB02297</t>
  </si>
  <si>
    <t>FastAPI, Python, Weaviate, AWS SageMaker, Hugging Face Transformers, Vector Databases, Rust</t>
  </si>
  <si>
    <t>AIJOB02298</t>
  </si>
  <si>
    <t>LangChain, OpenAI API, GCP Vertex AI</t>
  </si>
  <si>
    <t>AIJOB02299</t>
  </si>
  <si>
    <t>Python, Azure ML, Weights &amp; Biases, TensorFlow, AWS SageMaker, LangChain, LlamaIndex</t>
  </si>
  <si>
    <t>AIJOB02300</t>
  </si>
  <si>
    <t>Fine-tuning, MLflow, SQL, LlamaIndex, FastAPI, RAG</t>
  </si>
  <si>
    <t>AIJOB02301</t>
  </si>
  <si>
    <t>Azure ML, Fine-tuning, OpenAI API</t>
  </si>
  <si>
    <t>AIJOB02302</t>
  </si>
  <si>
    <t>Kubernetes, Fine-tuning, RAG, ChromaDB, AWS SageMaker, OpenAI API, CUDA</t>
  </si>
  <si>
    <t>AIJOB02303</t>
  </si>
  <si>
    <t>PyTorch, FastAPI, Weaviate, ChromaDB, GCP Vertex AI</t>
  </si>
  <si>
    <t>AIJOB02304</t>
  </si>
  <si>
    <t>LlamaIndex, OpenAI API, Python</t>
  </si>
  <si>
    <t>AIJOB02305</t>
  </si>
  <si>
    <t>Vector Databases, Python, Docker, FastAPI</t>
  </si>
  <si>
    <t>AIJOB02306</t>
  </si>
  <si>
    <t>SQL, Fine-tuning, CUDA, OpenAI API, C++, Pinecone, Python</t>
  </si>
  <si>
    <t>AIJOB02307</t>
  </si>
  <si>
    <t>Hugging Face Transformers, AWS SageMaker, RLHF, Vector Databases, PyTorch, Spark, dbt</t>
  </si>
  <si>
    <t>AIJOB02308</t>
  </si>
  <si>
    <t>Weaviate, ChromaDB, RAG, Python, Rust, C++</t>
  </si>
  <si>
    <t>AIJOB02309</t>
  </si>
  <si>
    <t>Hugging Face Transformers, Weaviate, dbt, Docker, RAG</t>
  </si>
  <si>
    <t>AIJOB02310</t>
  </si>
  <si>
    <t>PyTorch, Pinecone, OpenAI API, Docker, Weaviate, Weights &amp; Biases, Python</t>
  </si>
  <si>
    <t>AIJOB02311</t>
  </si>
  <si>
    <t>Weaviate, RAG, MLflow, RLHF, Weights &amp; Biases</t>
  </si>
  <si>
    <t>AIJOB02312</t>
  </si>
  <si>
    <t>JAX, ChromaDB, Vector Databases, Spark, dbt, AWS SageMaker, Kubernetes</t>
  </si>
  <si>
    <t>AIJOB02313</t>
  </si>
  <si>
    <t>Pinecone, Vector Databases, Python, AWS SageMaker, TensorFlow, GCP Vertex AI, Weights &amp; Biases</t>
  </si>
  <si>
    <t>AIJOB02314</t>
  </si>
  <si>
    <t>Weights &amp; Biases, Docker, Kubernetes, OpenAI API, C++</t>
  </si>
  <si>
    <t>AIJOB02315</t>
  </si>
  <si>
    <t>Docker, MLflow, RAG, JAX, Python, LangChain, GCP Vertex AI</t>
  </si>
  <si>
    <t>AIJOB02316</t>
  </si>
  <si>
    <t>RAG, RLHF, Hugging Face Transformers, SQL, C++, ChromaDB</t>
  </si>
  <si>
    <t>AIJOB02317</t>
  </si>
  <si>
    <t>MLflow, Kubernetes, Weaviate, Fine-tuning, dbt, C++</t>
  </si>
  <si>
    <t>AIJOB02318</t>
  </si>
  <si>
    <t>Fine-tuning, JAX, TensorFlow, PyTorch, Kubernetes, Azure ML, RAG</t>
  </si>
  <si>
    <t>AIJOB02319</t>
  </si>
  <si>
    <t>Python, Spark, RAG, PyTorch, Weights &amp; Biases</t>
  </si>
  <si>
    <t>AIJOB02320</t>
  </si>
  <si>
    <t>RAG, Azure ML, C++, dbt, ChromaDB, GCP Vertex AI</t>
  </si>
  <si>
    <t>AIJOB02321</t>
  </si>
  <si>
    <t>Hugging Face Transformers, C++, MLflow, LlamaIndex, GCP Vertex AI</t>
  </si>
  <si>
    <t>AIJOB02322</t>
  </si>
  <si>
    <t>C++, FastAPI, JAX, RAG, ChromaDB</t>
  </si>
  <si>
    <t>AIJOB02323</t>
  </si>
  <si>
    <t>PyTorch, Python, Fine-tuning, Docker, Hugging Face Transformers</t>
  </si>
  <si>
    <t>AIJOB02324</t>
  </si>
  <si>
    <t>JAX, Vector Databases, dbt, Docker, TensorFlow, FastAPI</t>
  </si>
  <si>
    <t>AIJOB02325</t>
  </si>
  <si>
    <t>PyTorch, Docker, Weights &amp; Biases, TensorFlow</t>
  </si>
  <si>
    <t>AIJOB02326</t>
  </si>
  <si>
    <t>Spark, LlamaIndex, SQL, Vector Databases</t>
  </si>
  <si>
    <t>AIJOB02327</t>
  </si>
  <si>
    <t>RLHF, LlamaIndex, Docker, Spark, Rust, RAG</t>
  </si>
  <si>
    <t>AIJOB02328</t>
  </si>
  <si>
    <t>RLHF, Weaviate, AWS SageMaker, C++, Hugging Face Transformers, SQL, Pinecone</t>
  </si>
  <si>
    <t>AIJOB02329</t>
  </si>
  <si>
    <t>AWS SageMaker, Pinecone, ChromaDB, TensorFlow</t>
  </si>
  <si>
    <t>AIJOB02330</t>
  </si>
  <si>
    <t>FastAPI, Kubernetes, AWS SageMaker, OpenAI API</t>
  </si>
  <si>
    <t>AIJOB02331</t>
  </si>
  <si>
    <t>Kubernetes, GCP Vertex AI, RLHF, Weaviate, Weights &amp; Biases</t>
  </si>
  <si>
    <t>AIJOB02332</t>
  </si>
  <si>
    <t>LangChain, dbt, Pinecone, TensorFlow</t>
  </si>
  <si>
    <t>AIJOB02333</t>
  </si>
  <si>
    <t>SQL, Azure ML, Spark</t>
  </si>
  <si>
    <t>AIJOB02334</t>
  </si>
  <si>
    <t>FastAPI, Vector Databases, SQL</t>
  </si>
  <si>
    <t>AIJOB02335</t>
  </si>
  <si>
    <t>SQL, ChromaDB, Fine-tuning, C++</t>
  </si>
  <si>
    <t>AIJOB02336</t>
  </si>
  <si>
    <t>LlamaIndex, Pinecone, Hugging Face Transformers, RAG, JAX, Weights &amp; Biases, SQL</t>
  </si>
  <si>
    <t>AIJOB02337</t>
  </si>
  <si>
    <t>OpenAI API, TensorFlow, Spark, RLHF</t>
  </si>
  <si>
    <t>AIJOB02338</t>
  </si>
  <si>
    <t>LangChain, Rust, Python, PyTorch</t>
  </si>
  <si>
    <t>AIJOB02339</t>
  </si>
  <si>
    <t>GCP Vertex AI, Kubernetes, Pinecone, JAX</t>
  </si>
  <si>
    <t>AIJOB02340</t>
  </si>
  <si>
    <t>C++, dbt, Hugging Face Transformers, MLflow, Vector Databases, AWS SageMaker, CUDA</t>
  </si>
  <si>
    <t>AIJOB02341</t>
  </si>
  <si>
    <t>Vector Databases, LlamaIndex, dbt, Python, RLHF, GCP Vertex AI, FastAPI</t>
  </si>
  <si>
    <t>AIJOB02342</t>
  </si>
  <si>
    <t>Hugging Face Transformers, Spark, Docker, dbt, OpenAI API, Weaviate</t>
  </si>
  <si>
    <t>AIJOB02343</t>
  </si>
  <si>
    <t>dbt, LangChain, JAX, Weaviate, LlamaIndex</t>
  </si>
  <si>
    <t>AIJOB02344</t>
  </si>
  <si>
    <t>Fine-tuning, TensorFlow, SQL, Rust, RAG</t>
  </si>
  <si>
    <t>AIJOB02345</t>
  </si>
  <si>
    <t>RLHF, RAG, MLflow, AWS SageMaker, Azure ML</t>
  </si>
  <si>
    <t>AIJOB02346</t>
  </si>
  <si>
    <t>Python, Rust, FastAPI, CUDA, Weights &amp; Biases, LlamaIndex, Kubernetes</t>
  </si>
  <si>
    <t>AIJOB02347</t>
  </si>
  <si>
    <t>Kubernetes, CUDA, C++, JAX, RLHF</t>
  </si>
  <si>
    <t>AIJOB02348</t>
  </si>
  <si>
    <t>Rust, Spark, RAG, LangChain, Azure ML, PyTorch, Vector Databases</t>
  </si>
  <si>
    <t>AIJOB02349</t>
  </si>
  <si>
    <t>Spark, CUDA, dbt, Vector Databases, RLHF, SQL, Fine-tuning</t>
  </si>
  <si>
    <t>AIJOB02350</t>
  </si>
  <si>
    <t>CUDA, LlamaIndex, SQL</t>
  </si>
  <si>
    <t>AIJOB02351</t>
  </si>
  <si>
    <t>SQL, RAG, Pinecone, Weights &amp; Biases, Weaviate</t>
  </si>
  <si>
    <t>AIJOB02352</t>
  </si>
  <si>
    <t>C++, GCP Vertex AI, ChromaDB, Azure ML, Python, LangChain</t>
  </si>
  <si>
    <t>AIJOB02353</t>
  </si>
  <si>
    <t>Hugging Face Transformers, AWS SageMaker, FastAPI, RAG, CUDA, SQL, Spark</t>
  </si>
  <si>
    <t>AIJOB02354</t>
  </si>
  <si>
    <t>Spark, Kubernetes, Vector Databases, Weaviate, TensorFlow, CUDA</t>
  </si>
  <si>
    <t>AIJOB02355</t>
  </si>
  <si>
    <t>SQL, Docker, PyTorch, FastAPI, Azure ML</t>
  </si>
  <si>
    <t>AIJOB02356</t>
  </si>
  <si>
    <t>Rust, C++, Weaviate, SQL, PyTorch, Python</t>
  </si>
  <si>
    <t>AIJOB02357</t>
  </si>
  <si>
    <t>dbt, LlamaIndex, C++, SQL, Docker, Hugging Face Transformers</t>
  </si>
  <si>
    <t>AIJOB02358</t>
  </si>
  <si>
    <t>MLflow, GCP Vertex AI, JAX, Vector Databases, Hugging Face Transformers, AWS SageMaker, Python</t>
  </si>
  <si>
    <t>AIJOB02359</t>
  </si>
  <si>
    <t>Spark, RLHF, Fine-tuning, Docker, LangChain</t>
  </si>
  <si>
    <t>AIJOB02360</t>
  </si>
  <si>
    <t>C++, LlamaIndex, CUDA, RLHF, FastAPI, Vector Databases, MLflow</t>
  </si>
  <si>
    <t>AIJOB02361</t>
  </si>
  <si>
    <t>Weaviate, Rust, Hugging Face Transformers, TensorFlow, Kubernetes</t>
  </si>
  <si>
    <t>AIJOB02362</t>
  </si>
  <si>
    <t>Azure ML, Rust, Kubernetes, Hugging Face Transformers, JAX</t>
  </si>
  <si>
    <t>AIJOB02363</t>
  </si>
  <si>
    <t>MLflow, LlamaIndex, LangChain, Weights &amp; Biases, OpenAI API</t>
  </si>
  <si>
    <t>AIJOB02364</t>
  </si>
  <si>
    <t>CUDA, MLflow, GCP Vertex AI, FastAPI, Weights &amp; Biases</t>
  </si>
  <si>
    <t>AIJOB02365</t>
  </si>
  <si>
    <t>OpenAI API, CUDA, Weights &amp; Biases, C++, RLHF, Python, Fine-tuning</t>
  </si>
  <si>
    <t>AIJOB02366</t>
  </si>
  <si>
    <t>MLflow, dbt, TensorFlow, Fine-tuning</t>
  </si>
  <si>
    <t>AIJOB02367</t>
  </si>
  <si>
    <t>RLHF, Vector Databases, GCP Vertex AI, FastAPI, RAG</t>
  </si>
  <si>
    <t>AIJOB02368</t>
  </si>
  <si>
    <t>Kubernetes, Pinecone, Hugging Face Transformers, Weaviate, ChromaDB</t>
  </si>
  <si>
    <t>AIJOB02369</t>
  </si>
  <si>
    <t>Rust, AWS SageMaker, GCP Vertex AI, LangChain, Hugging Face Transformers</t>
  </si>
  <si>
    <t>AIJOB02370</t>
  </si>
  <si>
    <t>TensorFlow, Weaviate, dbt, RAG, PyTorch, Weights &amp; Biases</t>
  </si>
  <si>
    <t>AIJOB02371</t>
  </si>
  <si>
    <t>ChromaDB, Pinecone, Weights &amp; Biases, RAG</t>
  </si>
  <si>
    <t>AIJOB02372</t>
  </si>
  <si>
    <t>Hugging Face Transformers, GCP Vertex AI, Spark, PyTorch, dbt, ChromaDB</t>
  </si>
  <si>
    <t>AIJOB02373</t>
  </si>
  <si>
    <t>RLHF, LangChain, AWS SageMaker</t>
  </si>
  <si>
    <t>AIJOB02374</t>
  </si>
  <si>
    <t>Rust, C++, Vector Databases, LlamaIndex</t>
  </si>
  <si>
    <t>AIJOB02375</t>
  </si>
  <si>
    <t>Rust, AWS SageMaker, Kubernetes</t>
  </si>
  <si>
    <t>AIJOB02376</t>
  </si>
  <si>
    <t>TensorFlow, Rust, Pinecone</t>
  </si>
  <si>
    <t>AIJOB02377</t>
  </si>
  <si>
    <t>Python, OpenAI API, PyTorch, LlamaIndex, dbt, CUDA</t>
  </si>
  <si>
    <t>AIJOB02378</t>
  </si>
  <si>
    <t>Python, Fine-tuning, OpenAI API, CUDA</t>
  </si>
  <si>
    <t>AIJOB02379</t>
  </si>
  <si>
    <t>JAX, C++, TensorFlow</t>
  </si>
  <si>
    <t>AIJOB02380</t>
  </si>
  <si>
    <t>CUDA, ChromaDB, Spark</t>
  </si>
  <si>
    <t>AIJOB02381</t>
  </si>
  <si>
    <t>JAX, Vector Databases, Hugging Face Transformers, PyTorch</t>
  </si>
  <si>
    <t>AIJOB02382</t>
  </si>
  <si>
    <t>LangChain, RAG, MLflow</t>
  </si>
  <si>
    <t>AIJOB02383</t>
  </si>
  <si>
    <t>Python, ChromaDB, RAG, RLHF</t>
  </si>
  <si>
    <t>AIJOB02384</t>
  </si>
  <si>
    <t>Kubernetes, Rust, RAG</t>
  </si>
  <si>
    <t>AIJOB02385</t>
  </si>
  <si>
    <t>dbt, RAG, Vector Databases, Azure ML</t>
  </si>
  <si>
    <t>AIJOB02386</t>
  </si>
  <si>
    <t>MLflow, dbt, Weights &amp; Biases, JAX, AWS SageMaker, RAG, FastAPI</t>
  </si>
  <si>
    <t>AIJOB02387</t>
  </si>
  <si>
    <t>LangChain, CUDA, Vector Databases, FastAPI, Azure ML, PyTorch, RLHF</t>
  </si>
  <si>
    <t>AIJOB02388</t>
  </si>
  <si>
    <t>dbt, LlamaIndex, Spark, Pinecone</t>
  </si>
  <si>
    <t>AIJOB02389</t>
  </si>
  <si>
    <t>Vector Databases, TensorFlow, Python, Kubernetes, RAG, dbt, GCP Vertex AI</t>
  </si>
  <si>
    <t>AIJOB02390</t>
  </si>
  <si>
    <t>Azure ML, ChromaDB, Python, Weaviate, PyTorch</t>
  </si>
  <si>
    <t>AIJOB02391</t>
  </si>
  <si>
    <t>Spark, TensorFlow, PyTorch, Rust, SQL, Python</t>
  </si>
  <si>
    <t>AIJOB02392</t>
  </si>
  <si>
    <t>Vector Databases, PyTorch, Rust</t>
  </si>
  <si>
    <t>AIJOB02393</t>
  </si>
  <si>
    <t>ChromaDB, Azure ML, AWS SageMaker</t>
  </si>
  <si>
    <t>AIJOB02394</t>
  </si>
  <si>
    <t>OpenAI API, SQL, JAX, C++, FastAPI, CUDA</t>
  </si>
  <si>
    <t>AIJOB02395</t>
  </si>
  <si>
    <t>C++, Vector Databases, RAG, Docker, RLHF, Weaviate</t>
  </si>
  <si>
    <t>AIJOB02396</t>
  </si>
  <si>
    <t>RLHF, JAX, Python, ChromaDB, Hugging Face Transformers</t>
  </si>
  <si>
    <t>AIJOB02397</t>
  </si>
  <si>
    <t>dbt, CUDA, Weights &amp; Biases, Weaviate</t>
  </si>
  <si>
    <t>AIJOB02398</t>
  </si>
  <si>
    <t>CUDA, GCP Vertex AI, OpenAI API</t>
  </si>
  <si>
    <t>AIJOB02399</t>
  </si>
  <si>
    <t>LlamaIndex, MLflow, CUDA, TensorFlow, ChromaDB, Spark, LangChain</t>
  </si>
  <si>
    <t>AIJOB02400</t>
  </si>
  <si>
    <t>LangChain, AWS SageMaker, Kubernetes, Pinecone, RLHF, Fine-tuning, Vector Databases</t>
  </si>
  <si>
    <t>AIJOB02401</t>
  </si>
  <si>
    <t>Weights &amp; Biases, Fine-tuning, Kubernetes, Hugging Face Transformers</t>
  </si>
  <si>
    <t>AIJOB02402</t>
  </si>
  <si>
    <t>dbt, Rust, LangChain, Docker, TensorFlow</t>
  </si>
  <si>
    <t>AIJOB02403</t>
  </si>
  <si>
    <t>Spark, Weights &amp; Biases, Fine-tuning</t>
  </si>
  <si>
    <t>AIJOB02404</t>
  </si>
  <si>
    <t>Kubernetes, Weaviate, PyTorch, TensorFlow, OpenAI API, Rust</t>
  </si>
  <si>
    <t>AIJOB02405</t>
  </si>
  <si>
    <t>RLHF, RAG, JAX, Hugging Face Transformers, Python</t>
  </si>
  <si>
    <t>AIJOB02406</t>
  </si>
  <si>
    <t>Spark, LangChain, FastAPI</t>
  </si>
  <si>
    <t>AIJOB02407</t>
  </si>
  <si>
    <t>AWS SageMaker, Weaviate, dbt</t>
  </si>
  <si>
    <t>AIJOB02408</t>
  </si>
  <si>
    <t>AWS SageMaker, RAG, Rust, MLflow</t>
  </si>
  <si>
    <t>AIJOB02409</t>
  </si>
  <si>
    <t>TensorFlow, Docker, ChromaDB, OpenAI API</t>
  </si>
  <si>
    <t>AIJOB02410</t>
  </si>
  <si>
    <t>Rust, Weights &amp; Biases, Kubernetes, Docker, ChromaDB, LangChain, Spark</t>
  </si>
  <si>
    <t>AIJOB02411</t>
  </si>
  <si>
    <t>JAX, MLflow, Hugging Face Transformers, Spark</t>
  </si>
  <si>
    <t>AIJOB02412</t>
  </si>
  <si>
    <t>RAG, Vector Databases, TensorFlow, Fine-tuning</t>
  </si>
  <si>
    <t>AIJOB02413</t>
  </si>
  <si>
    <t>Pinecone, TensorFlow, Python, GCP Vertex AI, MLflow</t>
  </si>
  <si>
    <t>AIJOB02414</t>
  </si>
  <si>
    <t>FastAPI, Weaviate, JAX</t>
  </si>
  <si>
    <t>AIJOB02415</t>
  </si>
  <si>
    <t>FastAPI, Hugging Face Transformers, PyTorch, RLHF</t>
  </si>
  <si>
    <t>AIJOB02416</t>
  </si>
  <si>
    <t>Docker, RAG, Vector Databases, PyTorch, TensorFlow, JAX, MLflow</t>
  </si>
  <si>
    <t>AIJOB02417</t>
  </si>
  <si>
    <t>AWS SageMaker, Weaviate, RLHF, Pinecone</t>
  </si>
  <si>
    <t>AIJOB02418</t>
  </si>
  <si>
    <t>SQL, JAX, Spark, dbt</t>
  </si>
  <si>
    <t>AIJOB02419</t>
  </si>
  <si>
    <t>MLflow, Kubernetes, dbt, CUDA, Vector Databases, Weights &amp; Biases</t>
  </si>
  <si>
    <t>AIJOB02420</t>
  </si>
  <si>
    <t>GCP Vertex AI, Pinecone, Kubernetes, Fine-tuning, TensorFlow</t>
  </si>
  <si>
    <t>AIJOB02421</t>
  </si>
  <si>
    <t>Python, Hugging Face Transformers, Azure ML, C++, CUDA</t>
  </si>
  <si>
    <t>AIJOB02422</t>
  </si>
  <si>
    <t>OpenAI API, FastAPI, Hugging Face Transformers, ChromaDB, AWS SageMaker, Python</t>
  </si>
  <si>
    <t>AIJOB02423</t>
  </si>
  <si>
    <t>CUDA, LangChain, Python, Pinecone, Fine-tuning</t>
  </si>
  <si>
    <t>AIJOB02424</t>
  </si>
  <si>
    <t>PyTorch, Hugging Face Transformers, dbt, Vector Databases, Rust</t>
  </si>
  <si>
    <t>AIJOB02425</t>
  </si>
  <si>
    <t>Weaviate, TensorFlow, Python, dbt</t>
  </si>
  <si>
    <t>AIJOB02426</t>
  </si>
  <si>
    <t>FastAPI, Python, Weights &amp; Biases</t>
  </si>
  <si>
    <t>AIJOB02427</t>
  </si>
  <si>
    <t>RLHF, MLflow, ChromaDB, TensorFlow, Pinecone, Rust, AWS SageMaker</t>
  </si>
  <si>
    <t>AIJOB02428</t>
  </si>
  <si>
    <t>Python, Azure ML, OpenAI API, Kubernetes, Pinecone, Weaviate</t>
  </si>
  <si>
    <t>AIJOB02429</t>
  </si>
  <si>
    <t>LangChain, AWS SageMaker, Spark, Python, OpenAI API</t>
  </si>
  <si>
    <t>AIJOB02430</t>
  </si>
  <si>
    <t>Spark, Weights &amp; Biases, JAX, SQL</t>
  </si>
  <si>
    <t>AIJOB02431</t>
  </si>
  <si>
    <t>PyTorch, Vector Databases, Hugging Face Transformers</t>
  </si>
  <si>
    <t>AIJOB02432</t>
  </si>
  <si>
    <t>LangChain, Rust, PyTorch, AWS SageMaker, Kubernetes</t>
  </si>
  <si>
    <t>AIJOB02433</t>
  </si>
  <si>
    <t>TensorFlow, ChromaDB, Fine-tuning, Vector Databases, GCP Vertex AI, FastAPI</t>
  </si>
  <si>
    <t>AIJOB02434</t>
  </si>
  <si>
    <t>LlamaIndex, RAG, C++, ChromaDB, RLHF, CUDA, Rust</t>
  </si>
  <si>
    <t>AIJOB02435</t>
  </si>
  <si>
    <t>Pinecone, Fine-tuning, Kubernetes, ChromaDB, TensorFlow, AWS SageMaker</t>
  </si>
  <si>
    <t>AIJOB02436</t>
  </si>
  <si>
    <t>AWS SageMaker, Docker, GCP Vertex AI, Weights &amp; Biases, LlamaIndex</t>
  </si>
  <si>
    <t>AIJOB02437</t>
  </si>
  <si>
    <t>Kubernetes, SQL, LangChain, Docker, RAG, Python, JAX</t>
  </si>
  <si>
    <t>AIJOB02438</t>
  </si>
  <si>
    <t>JAX, Weights &amp; Biases, Vector Databases</t>
  </si>
  <si>
    <t>AIJOB02439</t>
  </si>
  <si>
    <t>C++, Kubernetes, TensorFlow, FastAPI, Vector Databases, Rust</t>
  </si>
  <si>
    <t>AIJOB02440</t>
  </si>
  <si>
    <t>LangChain, Kubernetes, Python, OpenAI API, LlamaIndex, Weights &amp; Biases, Fine-tuning</t>
  </si>
  <si>
    <t>AIJOB02441</t>
  </si>
  <si>
    <t>C++, Docker, ChromaDB, Spark</t>
  </si>
  <si>
    <t>AIJOB02442</t>
  </si>
  <si>
    <t>Python, JAX, Rust, dbt, ChromaDB, Hugging Face Transformers, CUDA</t>
  </si>
  <si>
    <t>AIJOB02443</t>
  </si>
  <si>
    <t>LlamaIndex, Rust, AWS SageMaker, Python, Docker</t>
  </si>
  <si>
    <t>AIJOB02444</t>
  </si>
  <si>
    <t>Weights &amp; Biases, CUDA, OpenAI API, Rust, Kubernetes, FastAPI, JAX</t>
  </si>
  <si>
    <t>AIJOB02445</t>
  </si>
  <si>
    <t>JAX, ChromaDB, C++, MLflow</t>
  </si>
  <si>
    <t>AIJOB02446</t>
  </si>
  <si>
    <t>OpenAI API, Docker, Spark, Fine-tuning</t>
  </si>
  <si>
    <t>AIJOB02447</t>
  </si>
  <si>
    <t>AWS SageMaker, dbt, PyTorch, TensorFlow, CUDA</t>
  </si>
  <si>
    <t>AIJOB02448</t>
  </si>
  <si>
    <t>LlamaIndex, C++, Weaviate, dbt, Fine-tuning, Weights &amp; Biases</t>
  </si>
  <si>
    <t>AIJOB02449</t>
  </si>
  <si>
    <t>RLHF, dbt, Docker</t>
  </si>
  <si>
    <t>AIJOB02450</t>
  </si>
  <si>
    <t>PyTorch, RAG, SQL, Python</t>
  </si>
  <si>
    <t>AIJOB02451</t>
  </si>
  <si>
    <t>RAG, AWS SageMaker, Kubernetes, FastAPI, SQL</t>
  </si>
  <si>
    <t>AIJOB02452</t>
  </si>
  <si>
    <t>Weaviate, Vector Databases, Kubernetes, Python, GCP Vertex AI, dbt</t>
  </si>
  <si>
    <t>AIJOB02453</t>
  </si>
  <si>
    <t>FastAPI, MLflow, Azure ML, Weights &amp; Biases, RAG</t>
  </si>
  <si>
    <t>AIJOB02454</t>
  </si>
  <si>
    <t>OpenAI API, TensorFlow, Python, ChromaDB, dbt</t>
  </si>
  <si>
    <t>AIJOB02455</t>
  </si>
  <si>
    <t>Kubernetes, SQL, RLHF, Pinecone, OpenAI API, Python, dbt</t>
  </si>
  <si>
    <t>AIJOB02456</t>
  </si>
  <si>
    <t>dbt, GCP Vertex AI, Weights &amp; Biases, RAG</t>
  </si>
  <si>
    <t>AIJOB02457</t>
  </si>
  <si>
    <t>PyTorch, Vector Databases, GCP Vertex AI, JAX</t>
  </si>
  <si>
    <t>AIJOB02458</t>
  </si>
  <si>
    <t>Vector Databases, OpenAI API, SQL, Hugging Face Transformers, PyTorch</t>
  </si>
  <si>
    <t>AIJOB02459</t>
  </si>
  <si>
    <t>FastAPI, RAG, Vector Databases, Hugging Face Transformers</t>
  </si>
  <si>
    <t>AIJOB02460</t>
  </si>
  <si>
    <t>Vector Databases, MLflow, ChromaDB</t>
  </si>
  <si>
    <t>AIJOB02461</t>
  </si>
  <si>
    <t>Spark, CUDA, Pinecone</t>
  </si>
  <si>
    <t>AIJOB02462</t>
  </si>
  <si>
    <t>RAG, Python, Rust, AWS SageMaker, LlamaIndex, Weaviate, dbt</t>
  </si>
  <si>
    <t>AIJOB02463</t>
  </si>
  <si>
    <t>RLHF, Spark, Kubernetes, Vector Databases, JAX, Pinecone</t>
  </si>
  <si>
    <t>AIJOB02464</t>
  </si>
  <si>
    <t>Weights &amp; Biases, PyTorch, JAX, LangChain, Spark, Rust, RLHF</t>
  </si>
  <si>
    <t>AIJOB02465</t>
  </si>
  <si>
    <t>Spark, RLHF, Weights &amp; Biases, GCP Vertex AI, JAX, ChromaDB</t>
  </si>
  <si>
    <t>AIJOB02466</t>
  </si>
  <si>
    <t>GCP Vertex AI, Hugging Face Transformers, OpenAI API, FastAPI, PyTorch, Weaviate</t>
  </si>
  <si>
    <t>AIJOB02467</t>
  </si>
  <si>
    <t>Azure ML, GCP Vertex AI, Docker, RLHF, JAX, OpenAI API</t>
  </si>
  <si>
    <t>AIJOB02468</t>
  </si>
  <si>
    <t>PyTorch, OpenAI API, C++, Rust</t>
  </si>
  <si>
    <t>AIJOB02469</t>
  </si>
  <si>
    <t>Weaviate, JAX, MLflow</t>
  </si>
  <si>
    <t>AIJOB02470</t>
  </si>
  <si>
    <t>LangChain, LlamaIndex, RLHF</t>
  </si>
  <si>
    <t>AIJOB02471</t>
  </si>
  <si>
    <t>Vector Databases, OpenAI API, C++, Spark, RLHF, LangChain</t>
  </si>
  <si>
    <t>AIJOB02472</t>
  </si>
  <si>
    <t>CUDA, SQL, C++, AWS SageMaker, Fine-tuning</t>
  </si>
  <si>
    <t>AIJOB02473</t>
  </si>
  <si>
    <t>Azure ML, TensorFlow, RAG, Spark, C++, PyTorch, Kubernetes</t>
  </si>
  <si>
    <t>AIJOB02474</t>
  </si>
  <si>
    <t>SQL, RAG, Weights &amp; Biases</t>
  </si>
  <si>
    <t>AIJOB02475</t>
  </si>
  <si>
    <t>MLflow, Azure ML, dbt, C++, Spark, Kubernetes, Weights &amp; Biases</t>
  </si>
  <si>
    <t>AIJOB02476</t>
  </si>
  <si>
    <t>TensorFlow, GCP Vertex AI, Weights &amp; Biases, MLflow, C++, Fine-tuning, RAG</t>
  </si>
  <si>
    <t>AIJOB02477</t>
  </si>
  <si>
    <t>PyTorch, MLflow, Pinecone, Vector Databases, RLHF, SQL, Spark</t>
  </si>
  <si>
    <t>AIJOB02478</t>
  </si>
  <si>
    <t>Kubernetes, Python, SQL, Fine-tuning, AWS SageMaker</t>
  </si>
  <si>
    <t>AIJOB02479</t>
  </si>
  <si>
    <t>MLflow, ChromaDB, PyTorch, Weaviate, AWS SageMaker, Azure ML, Docker</t>
  </si>
  <si>
    <t>AIJOB02480</t>
  </si>
  <si>
    <t>Python, Docker, Rust, LangChain, SQL</t>
  </si>
  <si>
    <t>AIJOB02481</t>
  </si>
  <si>
    <t>Vector Databases, Azure ML, TensorFlow</t>
  </si>
  <si>
    <t>AIJOB02482</t>
  </si>
  <si>
    <t>Docker, dbt, GCP Vertex AI, MLflow, Pinecone, PyTorch</t>
  </si>
  <si>
    <t>AIJOB02483</t>
  </si>
  <si>
    <t>SQL, AWS SageMaker, Weaviate, Hugging Face Transformers, Spark</t>
  </si>
  <si>
    <t>AIJOB02484</t>
  </si>
  <si>
    <t>Vector Databases, Fine-tuning, MLflow</t>
  </si>
  <si>
    <t>AIJOB02485</t>
  </si>
  <si>
    <t>Spark, Hugging Face Transformers, C++</t>
  </si>
  <si>
    <t>AIJOB02486</t>
  </si>
  <si>
    <t>GCP Vertex AI, RAG, Spark</t>
  </si>
  <si>
    <t>AIJOB02487</t>
  </si>
  <si>
    <t>Rust, JAX, FastAPI</t>
  </si>
  <si>
    <t>AIJOB02488</t>
  </si>
  <si>
    <t>RLHF, Fine-tuning, Docker, GCP Vertex AI</t>
  </si>
  <si>
    <t>AIJOB02489</t>
  </si>
  <si>
    <t>Weaviate, Python, Azure ML</t>
  </si>
  <si>
    <t>AIJOB02490</t>
  </si>
  <si>
    <t>Weights &amp; Biases, Vector Databases, Spark, Hugging Face Transformers, JAX, C++, FastAPI</t>
  </si>
  <si>
    <t>AIJOB02491</t>
  </si>
  <si>
    <t>LangChain, Azure ML, Docker, TensorFlow</t>
  </si>
  <si>
    <t>AIJOB02492</t>
  </si>
  <si>
    <t>GCP Vertex AI, Weaviate, FastAPI, CUDA</t>
  </si>
  <si>
    <t>AIJOB02493</t>
  </si>
  <si>
    <t>CUDA, Pinecone, Azure ML, RLHF, LlamaIndex</t>
  </si>
  <si>
    <t>AIJOB02494</t>
  </si>
  <si>
    <t>Azure ML, OpenAI API, Python, MLflow, Spark, LlamaIndex</t>
  </si>
  <si>
    <t>AIJOB02495</t>
  </si>
  <si>
    <t>SQL, FastAPI, Pinecone, JAX, dbt, Weights &amp; Biases</t>
  </si>
  <si>
    <t>AIJOB02496</t>
  </si>
  <si>
    <t>Weights &amp; Biases, Vector Databases, Docker, ChromaDB, C++, PyTorch, JAX</t>
  </si>
  <si>
    <t>AIJOB02497</t>
  </si>
  <si>
    <t>Azure ML, RLHF, Rust</t>
  </si>
  <si>
    <t>AIJOB02498</t>
  </si>
  <si>
    <t>CUDA, Spark, Fine-tuning, Pinecone, Python</t>
  </si>
  <si>
    <t>AIJOB02499</t>
  </si>
  <si>
    <t>Spark, dbt, AWS SageMaker, Rust, Vector Databases, CUDA, PyTorch</t>
  </si>
  <si>
    <t>AIJOB02500</t>
  </si>
  <si>
    <t>MLflow, Vector Databases, Hugging Face Transformers, AWS SageMaker, Weaviate, CUDA</t>
  </si>
  <si>
    <t>0-50</t>
  </si>
  <si>
    <t>job_id</t>
  </si>
  <si>
    <t>job_title</t>
  </si>
  <si>
    <t>company</t>
  </si>
  <si>
    <t>sector</t>
  </si>
  <si>
    <t>location</t>
  </si>
  <si>
    <t>country</t>
  </si>
  <si>
    <t>work_mode</t>
  </si>
  <si>
    <t>Austin, United States</t>
  </si>
  <si>
    <t>United States</t>
  </si>
  <si>
    <t>Chicago, United States</t>
  </si>
  <si>
    <t>New York, United States</t>
  </si>
  <si>
    <t>Seattle, United States</t>
  </si>
  <si>
    <t>London, United Kingdom</t>
  </si>
  <si>
    <t>United Kingdom</t>
  </si>
  <si>
    <t>Los Angeles, United States</t>
  </si>
  <si>
    <t>San Francisco, United States</t>
  </si>
  <si>
    <t>Boston, United States</t>
  </si>
  <si>
    <t>experience</t>
  </si>
  <si>
    <t>experience_years</t>
  </si>
  <si>
    <t>Entry</t>
  </si>
  <si>
    <t>0-2 yrs</t>
  </si>
  <si>
    <t>Staff/Principal</t>
  </si>
  <si>
    <t>8+ yrs</t>
  </si>
  <si>
    <t>Mid</t>
  </si>
  <si>
    <t>2-5 yrs</t>
  </si>
  <si>
    <t>Senior</t>
  </si>
  <si>
    <t>5-8 yrs</t>
  </si>
  <si>
    <t>Metric</t>
  </si>
  <si>
    <t>Value</t>
  </si>
  <si>
    <t>Total Jobs</t>
  </si>
  <si>
    <t>Average Salary</t>
  </si>
  <si>
    <t>Median Salary</t>
  </si>
  <si>
    <t>Average Experience</t>
  </si>
  <si>
    <t>Remote Jobs %</t>
  </si>
  <si>
    <t>Visa Sponsorship %</t>
  </si>
  <si>
    <t>Jobs</t>
  </si>
  <si>
    <t>Work</t>
  </si>
  <si>
    <t>On-Site</t>
  </si>
  <si>
    <t>Jobs_Count</t>
  </si>
  <si>
    <t>Technology</t>
  </si>
  <si>
    <t>Sector</t>
  </si>
  <si>
    <t>Job Titles</t>
  </si>
  <si>
    <t>Row Labels</t>
  </si>
  <si>
    <t>Grand Total</t>
  </si>
  <si>
    <t>LLM</t>
  </si>
  <si>
    <t>Job Title</t>
  </si>
  <si>
    <t>AI &amp; LLM JOB MARKET DASHBOARD</t>
  </si>
  <si>
    <t>No. of Jobs</t>
  </si>
  <si>
    <t>No LLM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</si>
</sst>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$-409]#,##0.00"/>
    <numFmt numFmtId="165" formatCode="0.0\ &quot;Years&quot;"/>
    <numFmt numFmtId="166" formatCode="\$\ 0"/>
    <numFmt numFmtId="167" formatCode="0\ &quot;Year&quot;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33" borderId="10" xfId="0" applyFill="1" applyBorder="1"/>
    <xf numFmtId="0" fontId="0" fillId="0" borderId="10" xfId="0" applyBorder="1" applyAlignment="1">
      <alignment horizontal="left"/>
    </xf>
    <xf numFmtId="166" fontId="0" fillId="0" borderId="10" xfId="0" applyNumberFormat="1" applyBorder="1"/>
    <xf numFmtId="0" fontId="0" fillId="0" borderId="10" xfId="0" applyBorder="1"/>
    <xf numFmtId="0" fontId="16" fillId="33" borderId="10" xfId="0" applyFont="1" applyFill="1" applyBorder="1"/>
    <xf numFmtId="0" fontId="16" fillId="33" borderId="0" xfId="0" applyFont="1" applyFill="1"/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19" fillId="0" borderId="0" xfId="0" pivotButton="1" applyFont="1"/>
    <xf numFmtId="0" fontId="19" fillId="0" borderId="0" xfId="0" applyFont="1"/>
    <xf numFmtId="0" fontId="22" fillId="0" borderId="0" xfId="0" applyFont="1" applyAlignment="1">
      <alignment horizontal="left"/>
    </xf>
    <xf numFmtId="0" fontId="22" fillId="0" borderId="0" xfId="0" applyFont="1"/>
    <xf numFmtId="164" fontId="22" fillId="0" borderId="0" xfId="0" applyNumberFormat="1" applyFo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21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64" fontId="19" fillId="0" borderId="10" xfId="0" applyNumberFormat="1" applyFont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10" fontId="19" fillId="0" borderId="10" xfId="0" applyNumberFormat="1" applyFont="1" applyBorder="1" applyAlignment="1">
      <alignment horizontal="center" vertical="center"/>
    </xf>
    <xf numFmtId="167" fontId="19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b val="0"/>
      </font>
    </dxf>
    <dxf>
      <font>
        <b val="0"/>
      </font>
    </dxf>
    <dxf>
      <font>
        <b val="0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6"/>
      </font>
    </dxf>
    <dxf>
      <font>
        <sz val="16"/>
      </font>
    </dxf>
    <dxf>
      <numFmt numFmtId="164" formatCode="[$$-409]#,##0.00"/>
    </dxf>
    <dxf>
      <numFmt numFmtId="164" formatCode="[$$-409]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Analysis!$E$2</c:f>
              <c:strCache>
                <c:ptCount val="1"/>
                <c:pt idx="0">
                  <c:v>Jobs_Count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Analysis!$D$3:$D$5</c:f>
              <c:strCache>
                <c:ptCount val="3"/>
                <c:pt idx="0">
                  <c:v>Remote</c:v>
                </c:pt>
                <c:pt idx="1">
                  <c:v>Hybrid</c:v>
                </c:pt>
                <c:pt idx="2">
                  <c:v>On-Site</c:v>
                </c:pt>
              </c:strCache>
            </c:strRef>
          </c:cat>
          <c:val>
            <c:numRef>
              <c:f>Analysis!$E$3:$E$5</c:f>
              <c:numCache>
                <c:formatCode>General</c:formatCode>
                <c:ptCount val="3"/>
                <c:pt idx="0">
                  <c:v>1132</c:v>
                </c:pt>
                <c:pt idx="1">
                  <c:v>836</c:v>
                </c:pt>
                <c:pt idx="2">
                  <c:v>532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C7-47BA-9B2C-E75FB5B2EB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17395584"/>
        <c:axId val="1096360336"/>
      </c:barChart>
      <c:catAx>
        <c:axId val="1217395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360336"/>
        <c:crosses val="autoZero"/>
        <c:auto val="1"/>
        <c:lblAlgn val="ctr"/>
        <c:lblOffset val="100"/>
        <c:noMultiLvlLbl val="0"/>
      </c:catAx>
      <c:valAx>
        <c:axId val="10963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7395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/>
              <a:t>AI</a:t>
            </a:r>
            <a:r>
              <a:rPr lang="en-IN" sz="2400" b="1" baseline="0"/>
              <a:t> Jobs in Sectors</a:t>
            </a:r>
          </a:p>
        </c:rich>
      </c:tx>
      <c:layout>
        <c:manualLayout>
          <c:xMode val="edge"/>
          <c:yMode val="edge"/>
          <c:x val="0.40701335706324382"/>
          <c:y val="2.21043324491600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Analysis!$D$11:$D$20</c:f>
              <c:strCache>
                <c:ptCount val="10"/>
                <c:pt idx="0">
                  <c:v>Automotive</c:v>
                </c:pt>
                <c:pt idx="1">
                  <c:v>Defense</c:v>
                </c:pt>
                <c:pt idx="2">
                  <c:v>Education</c:v>
                </c:pt>
                <c:pt idx="3">
                  <c:v>Energy</c:v>
                </c:pt>
                <c:pt idx="4">
                  <c:v>Finance</c:v>
                </c:pt>
                <c:pt idx="5">
                  <c:v>Government</c:v>
                </c:pt>
                <c:pt idx="6">
                  <c:v>Healthcare</c:v>
                </c:pt>
                <c:pt idx="7">
                  <c:v>Media</c:v>
                </c:pt>
                <c:pt idx="8">
                  <c:v>Retail</c:v>
                </c:pt>
                <c:pt idx="9">
                  <c:v>Technology</c:v>
                </c:pt>
              </c:strCache>
            </c:strRef>
          </c:cat>
          <c:val>
            <c:numRef>
              <c:f>Analysis!$E$11:$E$20</c:f>
              <c:numCache>
                <c:formatCode>General</c:formatCode>
                <c:ptCount val="10"/>
                <c:pt idx="0">
                  <c:v>249</c:v>
                </c:pt>
                <c:pt idx="1">
                  <c:v>245</c:v>
                </c:pt>
                <c:pt idx="2">
                  <c:v>255</c:v>
                </c:pt>
                <c:pt idx="3">
                  <c:v>271</c:v>
                </c:pt>
                <c:pt idx="4">
                  <c:v>246</c:v>
                </c:pt>
                <c:pt idx="5">
                  <c:v>248</c:v>
                </c:pt>
                <c:pt idx="6">
                  <c:v>278</c:v>
                </c:pt>
                <c:pt idx="7">
                  <c:v>245</c:v>
                </c:pt>
                <c:pt idx="8">
                  <c:v>233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9-43C1-B7D0-BBA12B60D5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205631344"/>
        <c:axId val="1265653008"/>
      </c:barChart>
      <c:catAx>
        <c:axId val="1205631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53008"/>
        <c:crosses val="autoZero"/>
        <c:auto val="1"/>
        <c:lblAlgn val="ctr"/>
        <c:lblOffset val="100"/>
        <c:noMultiLvlLbl val="0"/>
      </c:catAx>
      <c:valAx>
        <c:axId val="126565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631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400" b="1" i="0" u="none" strike="noStrike" baseline="0">
                <a:effectLst/>
              </a:rPr>
              <a:t>LLM Mentions in Job Postings</a:t>
            </a:r>
            <a:endParaRPr lang="en-US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2546460659671953E-2"/>
          <c:y val="0.18097222222222226"/>
          <c:w val="0.90745353934032802"/>
          <c:h val="0.670030985710119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Analysis!$B$10</c:f>
              <c:strCache>
                <c:ptCount val="1"/>
                <c:pt idx="0">
                  <c:v>Jobs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Analysis!$A$11:$A$21</c:f>
              <c:strCache>
                <c:ptCount val="11"/>
                <c:pt idx="0">
                  <c:v>BLOOM</c:v>
                </c:pt>
                <c:pt idx="1">
                  <c:v>Claude</c:v>
                </c:pt>
                <c:pt idx="2">
                  <c:v>Command R</c:v>
                </c:pt>
                <c:pt idx="3">
                  <c:v>Falcon</c:v>
                </c:pt>
                <c:pt idx="4">
                  <c:v>Gemini</c:v>
                </c:pt>
                <c:pt idx="5">
                  <c:v>GPT-4</c:v>
                </c:pt>
                <c:pt idx="6">
                  <c:v>Grok</c:v>
                </c:pt>
                <c:pt idx="7">
                  <c:v>Llama</c:v>
                </c:pt>
                <c:pt idx="8">
                  <c:v>Mistral</c:v>
                </c:pt>
                <c:pt idx="9">
                  <c:v>No LLM Required</c:v>
                </c:pt>
                <c:pt idx="10">
                  <c:v>Phi</c:v>
                </c:pt>
              </c:strCache>
            </c:strRef>
          </c:cat>
          <c:val>
            <c:numRef>
              <c:f>Analysis!$B$11:$B$21</c:f>
              <c:numCache>
                <c:formatCode>General</c:formatCode>
                <c:ptCount val="11"/>
                <c:pt idx="0">
                  <c:v>168</c:v>
                </c:pt>
                <c:pt idx="1">
                  <c:v>169</c:v>
                </c:pt>
                <c:pt idx="2">
                  <c:v>178</c:v>
                </c:pt>
                <c:pt idx="3">
                  <c:v>165</c:v>
                </c:pt>
                <c:pt idx="4">
                  <c:v>162</c:v>
                </c:pt>
                <c:pt idx="5">
                  <c:v>162</c:v>
                </c:pt>
                <c:pt idx="6">
                  <c:v>175</c:v>
                </c:pt>
                <c:pt idx="7">
                  <c:v>143</c:v>
                </c:pt>
                <c:pt idx="8">
                  <c:v>157</c:v>
                </c:pt>
                <c:pt idx="9">
                  <c:v>879</c:v>
                </c:pt>
                <c:pt idx="10">
                  <c:v>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B-47CF-BBBF-A59F12591EE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02233360"/>
        <c:axId val="1265671248"/>
      </c:barChart>
      <c:catAx>
        <c:axId val="1302233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671248"/>
        <c:crosses val="autoZero"/>
        <c:auto val="1"/>
        <c:lblAlgn val="ctr"/>
        <c:lblOffset val="100"/>
        <c:noMultiLvlLbl val="0"/>
      </c:catAx>
      <c:valAx>
        <c:axId val="1265671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233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28575</xdr:rowOff>
    </xdr:from>
    <xdr:to>
      <xdr:col>13</xdr:col>
      <xdr:colOff>590550</xdr:colOff>
      <xdr:row>16</xdr:row>
      <xdr:rowOff>141516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9B6D86-F058-48BD-86CC-280A7758B0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590005</xdr:colOff>
      <xdr:row>30</xdr:row>
      <xdr:rowOff>37011</xdr:rowOff>
    </xdr:from>
    <xdr:to>
      <xdr:col>14</xdr:col>
      <xdr:colOff>0</xdr:colOff>
      <xdr:row>49</xdr:row>
      <xdr:rowOff>130628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FB12BB-57FC-4DA4-AE45-0EF6F0D3E6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19050</xdr:colOff>
      <xdr:row>16</xdr:row>
      <xdr:rowOff>146958</xdr:rowOff>
    </xdr:from>
    <xdr:to>
      <xdr:col>13</xdr:col>
      <xdr:colOff>587829</xdr:colOff>
      <xdr:row>30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3F4E3E-B8D6-42D8-9428-07E23989FD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sekha Gautam" refreshedDate="46301.431538541663" createdVersion="8" refreshedVersion="8" minRefreshableVersion="3" recordCount="2500" xr:uid="{2787A753-0E37-4B5C-AD31-3594527C8966}">
  <cacheSource type="worksheet">
    <worksheetSource name="Jobs"/>
  </cacheSource>
  <cacheFields count="21">
    <cacheField name="job_id" numFmtId="0">
      <sharedItems/>
    </cacheField>
    <cacheField name="job_title" numFmtId="0">
      <sharedItems count="20">
        <s v="Prompt Engineer"/>
        <s v="RAG Engineer"/>
        <s v="Computer Vision Engineer"/>
        <s v="AI Research Scientist"/>
        <s v="LLM Engineer"/>
        <s v="NLP Engineer"/>
        <s v="AI Platform Engineer"/>
        <s v="GenAI Developer"/>
        <s v="AI Infrastructure Engineer"/>
        <s v="MLOps Engineer"/>
        <s v="Foundation Model Engineer"/>
        <s v="Deep Learning Engineer"/>
        <s v="AI Safety Researcher"/>
        <s v="AI Engineer"/>
        <s v="Reinforcement Learning Engineer"/>
        <s v="Data Scientist (AI/ML)"/>
        <s v="AI Solutions Architect"/>
        <s v="ML Engineer"/>
        <s v="AI Product Manager"/>
        <s v="AI Ethics Researcher"/>
      </sharedItems>
    </cacheField>
    <cacheField name="company" numFmtId="0">
      <sharedItems count="30">
        <s v="Palantir"/>
        <s v="Mistral AI"/>
        <s v="Adobe Firefly"/>
        <s v="Baidu"/>
        <s v="Scale AI"/>
        <s v="IBM Watson"/>
        <s v="Accenture AI"/>
        <s v="Salesforce Einstein"/>
        <s v="Morgan Stanley AI"/>
        <s v="Nvidia"/>
        <s v="ByteDance"/>
        <s v="Meta AI"/>
        <s v="SAP AI"/>
        <s v="Anthropic"/>
        <s v="Goldman Sachs AI"/>
        <s v="Google DeepMind"/>
        <s v="JPMorgan AI"/>
        <s v="OpenAI"/>
        <s v="DataBricks"/>
        <s v="Deloitte AI"/>
        <s v="Amazon AWS AI"/>
        <s v="Hugging Face"/>
        <s v="Cohere"/>
        <s v="Samsung AI"/>
        <s v="Snowflake"/>
        <s v="Tesla AI"/>
        <s v="Apple ML"/>
        <s v="Microsoft AI"/>
        <s v="Stability AI"/>
        <s v="Uber AI"/>
      </sharedItems>
    </cacheField>
    <cacheField name="sector" numFmtId="0">
      <sharedItems/>
    </cacheField>
    <cacheField name="location" numFmtId="0">
      <sharedItems/>
    </cacheField>
    <cacheField name="country" numFmtId="0">
      <sharedItems/>
    </cacheField>
    <cacheField name="work_mode" numFmtId="0">
      <sharedItems/>
    </cacheField>
    <cacheField name="experience" numFmtId="0">
      <sharedItems count="4">
        <s v="Entry"/>
        <s v="Staff/Principal"/>
        <s v="Mid"/>
        <s v="Senior"/>
      </sharedItems>
    </cacheField>
    <cacheField name="experience_years" numFmtId="0">
      <sharedItems/>
    </cacheField>
    <cacheField name="salary_usd_annual" numFmtId="0">
      <sharedItems containsSemiMixedTypes="0" containsString="0" containsNumber="1" containsInteger="1" minValue="50000" maxValue="314951"/>
    </cacheField>
    <cacheField name="required_skills" numFmtId="0">
      <sharedItems count="2496">
        <s v="dbt, Weights &amp; Biases, JAX"/>
        <s v="FastAPI, Rust, Hugging Face Transformers"/>
        <s v="Weaviate, AWS SageMaker, C++"/>
        <s v="Hugging Face Transformers, Azure ML, OpenAI API, dbt, Docker"/>
        <s v="Kubernetes, C++, PyTorch"/>
        <s v="Docker, Weights &amp; Biases, ChromaDB, Fine-tuning, C++, RAG, Azure ML"/>
        <s v="Docker, Weaviate, Python, dbt, Weights &amp; Biases, LangChain, Rust"/>
        <s v="C++, Spark, Pinecone, SQL, OpenAI API"/>
        <s v="TensorFlow, Weights &amp; Biases, Vector Databases"/>
        <s v="MLflow, AWS SageMaker, RAG, dbt"/>
        <s v="TensorFlow, JAX, PyTorch, CUDA"/>
        <s v="Azure ML, Fine-tuning, CUDA, RLHF, Weights &amp; Biases, PyTorch"/>
        <s v="RLHF, Rust, CUDA"/>
        <s v="Docker, Rust, CUDA, RLHF, AWS SageMaker, Fine-tuning"/>
        <s v="Pinecone, CUDA, JAX, Hugging Face Transformers, PyTorch, C++"/>
        <s v="GCP Vertex AI, Docker, OpenAI API, dbt, MLflow, JAX, Kubernetes"/>
        <s v="JAX, Kubernetes, Azure ML"/>
        <s v="LlamaIndex, Docker, AWS SageMaker, SQL, OpenAI API, MLflow, GCP Vertex AI"/>
        <s v="Weaviate, Python, LangChain, TensorFlow, MLflow, LlamaIndex"/>
        <s v="SQL, Weights &amp; Biases, LlamaIndex, Kubernetes, Hugging Face Transformers, FastAPI"/>
        <s v="C++, RLHF, Azure ML, AWS SageMaker"/>
        <s v="JAX, Docker, Hugging Face Transformers"/>
        <s v="Pinecone, Rust, Weaviate"/>
        <s v="RAG, MLflow, AWS SageMaker, Weaviate, LlamaIndex"/>
        <s v="Pinecone, Vector Databases, Rust, JAX"/>
        <s v="PyTorch, Kubernetes, Vector Databases"/>
        <s v="RLHF, PyTorch, Weaviate, Kubernetes, LangChain, JAX, LlamaIndex"/>
        <s v="RLHF, Docker, FastAPI, Kubernetes, Spark, CUDA"/>
        <s v="MLflow, OpenAI API, TensorFlow, Fine-tuning"/>
        <s v="FastAPI, RAG, CUDA, JAX, C++"/>
        <s v="Python, RAG, ChromaDB, C++, dbt, JAX, TensorFlow"/>
        <s v="Python, Weights &amp; Biases, Weaviate, PyTorch, Azure ML, Kubernetes"/>
        <s v="Hugging Face Transformers, SQL, Weights &amp; Biases, MLflow, LangChain"/>
        <s v="Rust, LangChain, JAX, ChromaDB, PyTorch, Azure ML, Weaviate"/>
        <s v="SQL, Rust, Weaviate, FastAPI, Vector Databases"/>
        <s v="Vector Databases, OpenAI API, Azure ML, Rust"/>
        <s v="Rust, Python, TensorFlow, AWS SageMaker, Kubernetes, RAG"/>
        <s v="GCP Vertex AI, LangChain, Weights &amp; Biases, Weaviate"/>
        <s v="MLflow, Weaviate, LlamaIndex"/>
        <s v="Docker, CUDA, Vector Databases"/>
        <s v="Rust, SQL, Kubernetes, FastAPI, Pinecone, RAG, RLHF"/>
        <s v="Hugging Face Transformers, Weaviate, TensorFlow, Python"/>
        <s v="Docker, C++, LlamaIndex, TensorFlow"/>
        <s v="Weights &amp; Biases, GCP Vertex AI, SQL, Docker, Python, TensorFlow"/>
        <s v="TensorFlow, Vector Databases, Azure ML, Fine-tuning, GCP Vertex AI, FastAPI"/>
        <s v="CUDA, Pinecone, C++, Python, dbt, Weaviate"/>
        <s v="Rust, Kubernetes, MLflow, Hugging Face Transformers, AWS SageMaker, Weaviate, Python"/>
        <s v="Weaviate, LlamaIndex, RAG, OpenAI API, SQL, Pinecone"/>
        <s v="GCP Vertex AI, Weaviate, FastAPI, RAG, RLHF"/>
        <s v="Pinecone, ChromaDB, GCP Vertex AI, CUDA"/>
        <s v="CUDA, GCP Vertex AI, dbt"/>
        <s v="RLHF, Hugging Face Transformers, MLflow"/>
        <s v="SQL, dbt, Kubernetes, Vector Databases, ChromaDB, LlamaIndex"/>
        <s v="OpenAI API, RAG, CUDA, Vector Databases, LangChain"/>
        <s v="Rust, Azure ML, Kubernetes, Spark, OpenAI API, SQL, Docker"/>
        <s v="LlamaIndex, Rust, Weaviate, JAX"/>
        <s v="CUDA, dbt, Weights &amp; Biases, RAG"/>
        <s v="Python, SQL, Weaviate, GCP Vertex AI, CUDA, Kubernetes"/>
        <s v="dbt, Weights &amp; Biases, MLflow, Weaviate, Fine-tuning"/>
        <s v="Weaviate, JAX, Spark, Azure ML, PyTorch"/>
        <s v="ChromaDB, OpenAI API, C++, CUDA"/>
        <s v="GCP Vertex AI, Python, Hugging Face Transformers, Docker, PyTorch, LlamaIndex, Fine-tuning"/>
        <s v="Vector Databases, CUDA, RAG"/>
        <s v="RLHF, Pinecone, SQL, Fine-tuning, LangChain"/>
        <s v="Azure ML, LlamaIndex, dbt, Vector Databases, TensorFlow"/>
        <s v="CUDA, Weights &amp; Biases, PyTorch, AWS SageMaker, SQL, Rust"/>
        <s v="SQL, dbt, Spark, Weaviate, Python, JAX, CUDA"/>
        <s v="Weights &amp; Biases, Pinecone, OpenAI API"/>
        <s v="Vector Databases, SQL, RLHF, Fine-tuning, Docker, OpenAI API"/>
        <s v="OpenAI API, FastAPI, LlamaIndex, Docker, AWS SageMaker"/>
        <s v="Python, RLHF, TensorFlow, GCP Vertex AI, ChromaDB, Fine-tuning"/>
        <s v="ChromaDB, RAG, Pinecone, TensorFlow, CUDA, AWS SageMaker"/>
        <s v="OpenAI API, Hugging Face Transformers, SQL, LlamaIndex, FastAPI"/>
        <s v="RLHF, Spark, AWS SageMaker, Rust, Docker, ChromaDB"/>
        <s v="RLHF, Rust, ChromaDB"/>
        <s v="Pinecone, JAX, SQL, Hugging Face Transformers, Azure ML, FastAPI"/>
        <s v="CUDA, LlamaIndex, GCP Vertex AI, TensorFlow, ChromaDB, dbt, JAX"/>
        <s v="AWS SageMaker, Hugging Face Transformers, OpenAI API, GCP Vertex AI, FastAPI"/>
        <s v="C++, MLflow, FastAPI, SQL"/>
        <s v="JAX, C++, OpenAI API, Azure ML, dbt, ChromaDB"/>
        <s v="Weaviate, LangChain, MLflow, CUDA, Pinecone"/>
        <s v="RAG, Pinecone, Azure ML"/>
        <s v="SQL, Python, TensorFlow, CUDA, Docker, OpenAI API"/>
        <s v="Weaviate, Python, Spark, Pinecone, ChromaDB, Kubernetes, MLflow"/>
        <s v="Azure ML, Docker, Weights &amp; Biases, Python, JAX, TensorFlow"/>
        <s v="PyTorch, AWS SageMaker, OpenAI API, JAX, C++, Rust"/>
        <s v="JAX, RAG, Weights &amp; Biases, RLHF, CUDA, GCP Vertex AI"/>
        <s v="AWS SageMaker, RLHF, SQL, MLflow, Fine-tuning"/>
        <s v="Python, LlamaIndex, CUDA, SQL"/>
        <s v="FastAPI, TensorFlow, ChromaDB, LlamaIndex, Pinecone, Azure ML"/>
        <s v="LangChain, LlamaIndex, CUDA, TensorFlow"/>
        <s v="Kubernetes, Rust, Vector Databases, Python"/>
        <s v="GCP Vertex AI, Spark, TensorFlow, RLHF"/>
        <s v="Azure ML, Pinecone, JAX, AWS SageMaker"/>
        <s v="GCP Vertex AI, C++, ChromaDB, PyTorch, Python, TensorFlow, Rust"/>
        <s v="AWS SageMaker, RLHF, TensorFlow, MLflow, PyTorch, Hugging Face Transformers"/>
        <s v="Kubernetes, RLHF, LangChain, Docker, LlamaIndex"/>
        <s v="Vector Databases, Python, TensorFlow, RAG, Pinecone"/>
        <s v="FastAPI, RAG, Azure ML, PyTorch, ChromaDB"/>
        <s v="Rust, GCP Vertex AI, Weaviate, Azure ML, FastAPI"/>
        <s v="RAG, SQL, Weights &amp; Biases, C++"/>
        <s v="ChromaDB, Kubernetes, Weights &amp; Biases, PyTorch, JAX, Vector Databases, Hugging Face Transformers"/>
        <s v="FastAPI, SQL, Vector Databases, Weights &amp; Biases, Rust, PyTorch, MLflow"/>
        <s v="Docker, Weaviate, AWS SageMaker, Kubernetes"/>
        <s v="JAX, RAG, C++, Azure ML, FastAPI, LlamaIndex"/>
        <s v="Kubernetes, JAX, PyTorch, dbt, Pinecone, CUDA, Spark"/>
        <s v="GCP Vertex AI, AWS SageMaker, Spark, PyTorch, FastAPI"/>
        <s v="JAX, PyTorch, Python, AWS SageMaker, ChromaDB"/>
        <s v="MLflow, Hugging Face Transformers, Python, Weights &amp; Biases, GCP Vertex AI"/>
        <s v="Docker, RAG, Kubernetes"/>
        <s v="MLflow, LangChain, Spark, AWS SageMaker, Azure ML"/>
        <s v="RLHF, Pinecone, MLflow, Azure ML, TensorFlow, ChromaDB, LangChain"/>
        <s v="RLHF, LlamaIndex, Pinecone"/>
        <s v="Weaviate, PyTorch, JAX"/>
        <s v="LlamaIndex, Spark, Azure ML, LangChain, Hugging Face Transformers, Weaviate, RAG"/>
        <s v="JAX, Weights &amp; Biases, FastAPI, LangChain"/>
        <s v="OpenAI API, FastAPI, CUDA, PyTorch, LlamaIndex, Pinecone, AWS SageMaker"/>
        <s v="Spark, dbt, Fine-tuning, Weaviate"/>
        <s v="Rust, RLHF, PyTorch, Weaviate"/>
        <s v="SQL, PyTorch, TensorFlow, OpenAI API, FastAPI, ChromaDB, dbt"/>
        <s v="FastAPI, AWS SageMaker, RAG, RLHF, Weaviate"/>
        <s v="Weights &amp; Biases, LlamaIndex, Python, Docker"/>
        <s v="RLHF, Hugging Face Transformers, Weights &amp; Biases, Rust, Azure ML, CUDA"/>
        <s v="MLflow, LlamaIndex, Python"/>
        <s v="C++, MLflow, dbt, Fine-tuning, Hugging Face Transformers, LangChain, Weights &amp; Biases"/>
        <s v="Spark, CUDA, FastAPI"/>
        <s v="JAX, CUDA, MLflow, ChromaDB"/>
        <s v="TensorFlow, AWS SageMaker, Hugging Face Transformers, ChromaDB, Kubernetes, Rust"/>
        <s v="SQL, FastAPI, RAG, GCP Vertex AI, Python"/>
        <s v="LlamaIndex, RAG, MLflow, Rust, Spark"/>
        <s v="Fine-tuning, LangChain, Python, TensorFlow, Azure ML, Weaviate, Rust"/>
        <s v="Docker, Vector Databases, LlamaIndex, TensorFlow, Hugging Face Transformers"/>
        <s v="C++, SQL, RAG, Rust, CUDA"/>
        <s v="ChromaDB, Rust, Kubernetes, GCP Vertex AI, RAG, Docker"/>
        <s v="C++, CUDA, Rust"/>
        <s v="Pinecone, CUDA, MLflow, Fine-tuning, Weaviate, PyTorch, Azure ML"/>
        <s v="Python, LangChain, Docker"/>
        <s v="AWS SageMaker, Fine-tuning, TensorFlow"/>
        <s v="Python, CUDA, GCP Vertex AI"/>
        <s v="JAX, OpenAI API, RLHF, ChromaDB, Fine-tuning, RAG, Python"/>
        <s v="Spark, GCP Vertex AI, SQL, RAG, C++, Rust, ChromaDB"/>
        <s v="Pinecone, RAG, Fine-tuning, SQL"/>
        <s v="OpenAI API, C++, RAG, Weaviate"/>
        <s v="FastAPI, RLHF, ChromaDB, Weights &amp; Biases"/>
        <s v="AWS SageMaker, CUDA, PyTorch, RLHF"/>
        <s v="C++, OpenAI API, Rust, PyTorch"/>
        <s v="MLflow, CUDA, LlamaIndex, Kubernetes"/>
        <s v="RLHF, Vector Databases, GCP Vertex AI, ChromaDB, Python"/>
        <s v="GCP Vertex AI, C++, AWS SageMaker, Weaviate, ChromaDB"/>
        <s v="MLflow, LlamaIndex, JAX, Spark"/>
        <s v="Vector Databases, TensorFlow, LlamaIndex, ChromaDB"/>
        <s v="LlamaIndex, RAG, FastAPI, C++, CUDA"/>
        <s v="FastAPI, LangChain, ChromaDB, Weights &amp; Biases"/>
        <s v="Weights &amp; Biases, RAG, AWS SageMaker, Spark"/>
        <s v="Fine-tuning, Azure ML, Weaviate, dbt, Hugging Face Transformers, Vector Databases, TensorFlow"/>
        <s v="SQL, LlamaIndex, Docker, TensorFlow, AWS SageMaker, Rust, Pinecone"/>
        <s v="RLHF, SQL, PyTorch"/>
        <s v="Weights &amp; Biases, JAX, LangChain, FastAPI, Python"/>
        <s v="dbt, Weights &amp; Biases, LangChain, Kubernetes, CUDA, Pinecone, Python"/>
        <s v="Docker, C++, TensorFlow, ChromaDB, Azure ML"/>
        <s v="OpenAI API, AWS SageMaker, ChromaDB, Rust, Weights &amp; Biases"/>
        <s v="GCP Vertex AI, Python, FastAPI"/>
        <s v="Fine-tuning, MLflow, Azure ML, RLHF, Weights &amp; Biases, TensorFlow, ChromaDB"/>
        <s v="TensorFlow, OpenAI API, LlamaIndex, FastAPI"/>
        <s v="TensorFlow, Hugging Face Transformers, Rust"/>
        <s v="RAG, CUDA, RLHF"/>
        <s v="Python, TensorFlow, OpenAI API"/>
        <s v="Hugging Face Transformers, Azure ML, OpenAI API, JAX, Docker, FastAPI"/>
        <s v="Kubernetes, Spark, Rust, Weaviate, Python, RAG, MLflow"/>
        <s v="Azure ML, FastAPI, ChromaDB, Kubernetes, Hugging Face Transformers, LangChain, Rust"/>
        <s v="Rust, Weights &amp; Biases, MLflow, Azure ML, ChromaDB"/>
        <s v="Pinecone, Vector Databases, Python"/>
        <s v="MLflow, dbt, RAG, ChromaDB, LangChain"/>
        <s v="RAG, AWS SageMaker, Weights &amp; Biases, MLflow"/>
        <s v="GCP Vertex AI, Weights &amp; Biases, TensorFlow, Kubernetes"/>
        <s v="Hugging Face Transformers, Fine-tuning, Vector Databases, RAG, Azure ML, Weaviate"/>
        <s v="Weights &amp; Biases, TensorFlow, Weaviate, JAX"/>
        <s v="MLflow, Weaviate, Weights &amp; Biases, C++, CUDA, Docker"/>
        <s v="Vector Databases, OpenAI API, LangChain, Python, CUDA, Hugging Face Transformers, Spark"/>
        <s v="Docker, RLHF, Kubernetes"/>
        <s v="dbt, CUDA, Vector Databases, ChromaDB, Kubernetes, C++, AWS SageMaker"/>
        <s v="OpenAI API, C++, Spark, LlamaIndex, SQL, Docker"/>
        <s v="ChromaDB, JAX, FastAPI, LangChain, Rust, CUDA, C++"/>
        <s v="PyTorch, RAG, GCP Vertex AI, MLflow, Kubernetes, JAX"/>
        <s v="FastAPI, C++, GCP Vertex AI, Docker, Weights &amp; Biases, Fine-tuning"/>
        <s v="LlamaIndex, FastAPI, Pinecone, ChromaDB, Python, Hugging Face Transformers"/>
        <s v="Vector Databases, SQL, RLHF, Hugging Face Transformers, CUDA"/>
        <s v="Docker, Spark, Fine-tuning, Pinecone"/>
        <s v="OpenAI API, RLHF, AWS SageMaker, dbt, Pinecone"/>
        <s v="Spark, GCP Vertex AI, CUDA, Docker, MLflow"/>
        <s v="Spark, Vector Databases, AWS SageMaker"/>
        <s v="Hugging Face Transformers, AWS SageMaker, LangChain, Vector Databases, LlamaIndex, Weights &amp; Biases, Docker"/>
        <s v="CUDA, LangChain, Vector Databases, PyTorch, Spark, ChromaDB"/>
        <s v="LlamaIndex, GCP Vertex AI, MLflow, Hugging Face Transformers, FastAPI, TensorFlow"/>
        <s v="Fine-tuning, Vector Databases, RAG, Python, PyTorch, Weaviate"/>
        <s v="AWS SageMaker, Hugging Face Transformers, TensorFlow, PyTorch, JAX, FastAPI, RLHF"/>
        <s v="Weights &amp; Biases, Python, ChromaDB, Pinecone"/>
        <s v="RAG, LangChain, Weaviate, Docker, Vector Databases, MLflow"/>
        <s v="OpenAI API, SQL, JAX, FastAPI, Docker, Pinecone"/>
        <s v="dbt, Vector Databases, LlamaIndex, TensorFlow, FastAPI, Pinecone, Rust"/>
        <s v="Weights &amp; Biases, LangChain, CUDA, FastAPI, PyTorch, Python"/>
        <s v="MLflow, CUDA, Vector Databases, Rust, Fine-tuning, Spark"/>
        <s v="SQL, Python, CUDA, dbt, JAX"/>
        <s v="Kubernetes, dbt, GCP Vertex AI, Pinecone, Rust, MLflow, Weights &amp; Biases"/>
        <s v="CUDA, Hugging Face Transformers, TensorFlow, FastAPI, Vector Databases, GCP Vertex AI"/>
        <s v="Weights &amp; Biases, Spark, Python, LangChain, RAG, Fine-tuning"/>
        <s v="GCP Vertex AI, Weaviate, FastAPI, SQL, Rust, Vector Databases"/>
        <s v="LangChain, Docker, SQL, OpenAI API, Rust, JAX"/>
        <s v="LlamaIndex, Vector Databases, Python, Pinecone, Weights &amp; Biases, PyTorch, Weaviate"/>
        <s v="Pinecone, JAX, RAG, Fine-tuning, SQL"/>
        <s v="Spark, OpenAI API, CUDA, C++, SQL, MLflow, AWS SageMaker"/>
        <s v="dbt, Weights &amp; Biases, C++, Weaviate, AWS SageMaker, Fine-tuning"/>
        <s v="OpenAI API, FastAPI, Weaviate, PyTorch, Azure ML"/>
        <s v="Weaviate, PyTorch, Python, Weights &amp; Biases, Docker"/>
        <s v="Hugging Face Transformers, Weights &amp; Biases, Pinecone"/>
        <s v="FastAPI, Spark, SQL"/>
        <s v="RAG, TensorFlow, Azure ML, Kubernetes, OpenAI API, dbt, GCP Vertex AI"/>
        <s v="Rust, LangChain, RAG, Docker, Weaviate, Weights &amp; Biases"/>
        <s v="Weaviate, Python, Spark, TensorFlow, OpenAI API, dbt, C++"/>
        <s v="TensorFlow, PyTorch, Hugging Face Transformers"/>
        <s v="Spark, Weights &amp; Biases, SQL"/>
        <s v="Hugging Face Transformers, Weaviate, Kubernetes, LlamaIndex, Weights &amp; Biases, RAG"/>
        <s v="RAG, Weaviate, CUDA, TensorFlow, AWS SageMaker, OpenAI API, Azure ML"/>
        <s v="Docker, LangChain, OpenAI API"/>
        <s v="LlamaIndex, ChromaDB, CUDA, Azure ML, GCP Vertex AI, Fine-tuning, Hugging Face Transformers"/>
        <s v="Weaviate, LangChain, Hugging Face Transformers, Spark, SQL, TensorFlow"/>
        <s v="OpenAI API, PyTorch, Weaviate, Docker, C++, FastAPI, Vector Databases"/>
        <s v="LlamaIndex, RLHF, Hugging Face Transformers, C++, ChromaDB, FastAPI, dbt"/>
        <s v="Vector Databases, RLHF, PyTorch, C++, Spark, GCP Vertex AI"/>
        <s v="RAG, Azure ML, C++, CUDA, Vector Databases, FastAPI, SQL"/>
        <s v="Vector Databases, dbt, OpenAI API"/>
        <s v="ChromaDB, Spark, Python, Weights &amp; Biases, Rust, dbt, AWS SageMaker"/>
        <s v="Weights &amp; Biases, dbt, GCP Vertex AI, RLHF"/>
        <s v="PyTorch, Rust, Weaviate, Pinecone, FastAPI, LangChain, TensorFlow"/>
        <s v="Azure ML, ChromaDB, Rust, Weights &amp; Biases, FastAPI, MLflow"/>
        <s v="ChromaDB, Pinecone, LangChain"/>
        <s v="FastAPI, OpenAI API, Fine-tuning, Weaviate, Rust, Vector Databases"/>
        <s v="OpenAI API, Pinecone, RAG"/>
        <s v="TensorFlow, SQL, PyTorch, Weights &amp; Biases, RAG"/>
        <s v="AWS SageMaker, OpenAI API, PyTorch, Rust, SQL, Pinecone, Weights &amp; Biases"/>
        <s v="Python, Weights &amp; Biases, MLflow, TensorFlow, Rust, Weaviate, AWS SageMaker"/>
        <s v="TensorFlow, Pinecone, AWS SageMaker, GCP Vertex AI, LangChain, CUDA, Docker"/>
        <s v="Docker, TensorFlow, RAG"/>
        <s v="TensorFlow, Weaviate, Hugging Face Transformers, Vector Databases, GCP Vertex AI"/>
        <s v="Azure ML, LlamaIndex, FastAPI, LangChain, Rust, TensorFlow, dbt"/>
        <s v="Docker, RAG, Kubernetes, FastAPI, ChromaDB, LlamaIndex, PyTorch"/>
        <s v="RAG, ChromaDB, LangChain, GCP Vertex AI"/>
        <s v="RLHF, Hugging Face Transformers, ChromaDB, LlamaIndex, dbt"/>
        <s v="Weaviate, Weights &amp; Biases, GCP Vertex AI, Rust, Vector Databases, AWS SageMaker, Docker"/>
        <s v="Rust, Docker, Azure ML, Python, Fine-tuning, LangChain, C++"/>
        <s v="CUDA, Hugging Face Transformers, Spark, Rust"/>
        <s v="Weights &amp; Biases, ChromaDB, Pinecone, RLHF, Fine-tuning"/>
        <s v="LangChain, Docker, SQL"/>
        <s v="Docker, Weaviate, RLHF, LlamaIndex, MLflow, CUDA, Hugging Face Transformers"/>
        <s v="Python, Pinecone, C++, FastAPI, CUDA"/>
        <s v="JAX, Weaviate, Fine-tuning, RAG, Kubernetes, Hugging Face Transformers"/>
        <s v="Fine-tuning, OpenAI API, CUDA, TensorFlow, Hugging Face Transformers"/>
        <s v="LlamaIndex, MLflow, RLHF, Weights &amp; Biases, Python"/>
        <s v="Docker, FastAPI, RAG"/>
        <s v="RLHF, Weights &amp; Biases, FastAPI, LangChain"/>
        <s v="JAX, PyTorch, CUDA, dbt, OpenAI API"/>
        <s v="Kubernetes, Hugging Face Transformers, Vector Databases"/>
        <s v="Azure ML, Weights &amp; Biases, LlamaIndex, Docker, PyTorch, Vector Databases"/>
        <s v="C++, Docker, Weaviate, Azure ML, RLHF"/>
        <s v="LlamaIndex, SQL, AWS SageMaker, GCP Vertex AI, Fine-tuning, Spark, Rust"/>
        <s v="Docker, PyTorch, Azure ML, Kubernetes, SQL, MLflow, TensorFlow"/>
        <s v="PyTorch, Weights &amp; Biases, TensorFlow, AWS SageMaker, C++, OpenAI API, Pinecone"/>
        <s v="Hugging Face Transformers, Rust, Weaviate"/>
        <s v="Kubernetes, ChromaDB, Weaviate, OpenAI API, RAG, C++, Docker"/>
        <s v="FastAPI, C++, MLflow"/>
        <s v="ChromaDB, RAG, OpenAI API"/>
        <s v="FastAPI, GCP Vertex AI, Azure ML"/>
        <s v="ChromaDB, LlamaIndex, GCP Vertex AI, Pinecone, MLflow, Kubernetes, CUDA"/>
        <s v="Pinecone, Fine-tuning, FastAPI, MLflow, LlamaIndex, C++"/>
        <s v="Fine-tuning, Azure ML, CUDA, OpenAI API, GCP Vertex AI, C++"/>
        <s v="LangChain, Weights &amp; Biases, PyTorch"/>
        <s v="FastAPI, Docker, Weaviate, Vector Databases, SQL, Weights &amp; Biases, LlamaIndex"/>
        <s v="RAG, dbt, Docker"/>
        <s v="Hugging Face Transformers, OpenAI API, Pinecone"/>
        <s v="Rust, PyTorch, Spark, Docker, JAX"/>
        <s v="AWS SageMaker, SQL, GCP Vertex AI, RLHF, Weaviate, LlamaIndex"/>
        <s v="Hugging Face Transformers, GCP Vertex AI, C++"/>
        <s v="FastAPI, SQL, Docker"/>
        <s v="LlamaIndex, Hugging Face Transformers, OpenAI API, Kubernetes, PyTorch, Fine-tuning"/>
        <s v="Fine-tuning, RAG, FastAPI, PyTorch"/>
        <s v="Weaviate, RAG, Pinecone"/>
        <s v="TensorFlow, Weights &amp; Biases, Pinecone, LangChain, Hugging Face Transformers, ChromaDB"/>
        <s v="MLflow, Weights &amp; Biases, LangChain, TensorFlow"/>
        <s v="CUDA, dbt, LlamaIndex, Hugging Face Transformers, C++, Rust, MLflow"/>
        <s v="SQL, JAX, Vector Databases"/>
        <s v="PyTorch, LlamaIndex, CUDA, dbt, ChromaDB"/>
        <s v="TensorFlow, FastAPI, AWS SageMaker"/>
        <s v="PyTorch, LangChain, ChromaDB, Weights &amp; Biases, Spark, Pinecone, TensorFlow"/>
        <s v="Rust, Hugging Face Transformers, SQL, Kubernetes, MLflow, AWS SageMaker"/>
        <s v="Spark, OpenAI API, MLflow"/>
        <s v="dbt, Vector Databases, Rust, PyTorch, Spark"/>
        <s v="Weaviate, Python, OpenAI API, ChromaDB, dbt, GCP Vertex AI, Azure ML"/>
        <s v="Docker, Fine-tuning, TensorFlow"/>
        <s v="JAX, Pinecone, LlamaIndex, OpenAI API, GCP Vertex AI, Vector Databases"/>
        <s v="Python, AWS SageMaker, PyTorch"/>
        <s v="GCP Vertex AI, FastAPI, RLHF, dbt, LangChain, Docker, LlamaIndex"/>
        <s v="Weaviate, RLHF, PyTorch, LlamaIndex, Python"/>
        <s v="TensorFlow, FastAPI, CUDA, RLHF, ChromaDB, LlamaIndex, JAX"/>
        <s v="Rust, CUDA, JAX, GCP Vertex AI, RLHF"/>
        <s v="Rust, AWS SageMaker, Weaviate"/>
        <s v="MLflow, Kubernetes, Hugging Face Transformers, dbt, Rust, TensorFlow, JAX"/>
        <s v="Vector Databases, Spark, dbt, PyTorch, TensorFlow"/>
        <s v="AWS SageMaker, ChromaDB, Rust, dbt, Fine-tuning"/>
        <s v="C++, Azure ML, LangChain, AWS SageMaker, Python, Kubernetes, Fine-tuning"/>
        <s v="CUDA, dbt, LlamaIndex, Python, TensorFlow"/>
        <s v="Weaviate, C++, RLHF, RAG, Azure ML, Kubernetes"/>
        <s v="ChromaDB, Vector Databases, MLflow"/>
        <s v="FastAPI, Python, Vector Databases, RLHF, Pinecone, C++, ChromaDB"/>
        <s v="ChromaDB, PyTorch, dbt, AWS SageMaker"/>
        <s v="ChromaDB, Weights &amp; Biases, LlamaIndex, dbt"/>
        <s v="Weights &amp; Biases, Spark, Hugging Face Transformers, OpenAI API, ChromaDB, JAX"/>
        <s v="Docker, LlamaIndex, Pinecone, Fine-tuning, Python, AWS SageMaker"/>
        <s v="Docker, Spark, ChromaDB"/>
        <s v="dbt, RLHF, Azure ML"/>
        <s v="Rust, Hugging Face Transformers, LangChain, MLflow, CUDA, Docker, AWS SageMaker"/>
        <s v="C++, Docker, Hugging Face Transformers, RLHF, TensorFlow"/>
        <s v="Weights &amp; Biases, Docker, FastAPI, RLHF, Python, Vector Databases, LlamaIndex"/>
        <s v="Weaviate, Kubernetes, Python"/>
        <s v="C++, RLHF, FastAPI"/>
        <s v="Weights &amp; Biases, OpenAI API, LlamaIndex, PyTorch, CUDA, Python"/>
        <s v="RAG, LangChain, OpenAI API"/>
        <s v="Kubernetes, MLflow, Spark"/>
        <s v="Rust, OpenAI API, Fine-tuning"/>
        <s v="Hugging Face Transformers, MLflow, Azure ML, Weaviate, JAX, RLHF"/>
        <s v="MLflow, LlamaIndex, OpenAI API, CUDA, Spark, Docker"/>
        <s v="LangChain, Pinecone, SQL, Azure ML"/>
        <s v="Spark, Azure ML, AWS SageMaker"/>
        <s v="ChromaDB, JAX, GCP Vertex AI, Fine-tuning, OpenAI API, Weights &amp; Biases"/>
        <s v="LlamaIndex, OpenAI API, SQL, RLHF, Hugging Face Transformers, RAG"/>
        <s v="Kubernetes, JAX, AWS SageMaker, SQL, Hugging Face Transformers"/>
        <s v="Weights &amp; Biases, CUDA, Kubernetes, C++, GCP Vertex AI, Fine-tuning"/>
        <s v="RLHF, Vector Databases, Kubernetes"/>
        <s v="RLHF, FastAPI, LlamaIndex, MLflow, RAG, Hugging Face Transformers"/>
        <s v="Weaviate, ChromaDB, Rust, OpenAI API, dbt, TensorFlow, SQL"/>
        <s v="Weaviate, MLflow, FastAPI"/>
        <s v="Docker, PyTorch, TensorFlow, Azure ML, Rust, RLHF"/>
        <s v="AWS SageMaker, TensorFlow, LangChain, Hugging Face Transformers"/>
        <s v="AWS SageMaker, OpenAI API, TensorFlow"/>
        <s v="Hugging Face Transformers, Rust, Docker, Kubernetes, Vector Databases"/>
        <s v="Hugging Face Transformers, Kubernetes, LangChain, PyTorch"/>
        <s v="AWS SageMaker, LangChain, Python, RAG, Vector Databases, LlamaIndex, RLHF"/>
        <s v="MLflow, LangChain, Weights &amp; Biases, Vector Databases, JAX"/>
        <s v="CUDA, RLHF, dbt, C++, TensorFlow, Pinecone, RAG"/>
        <s v="AWS SageMaker, RLHF, CUDA, Weaviate, TensorFlow"/>
        <s v="GCP Vertex AI, TensorFlow, ChromaDB, FastAPI, RAG, CUDA, Python"/>
        <s v="Python, Rust, LlamaIndex, Docker"/>
        <s v="ChromaDB, Fine-tuning, Docker, Spark, dbt, Vector Databases"/>
        <s v="Spark, Azure ML, PyTorch, AWS SageMaker, Rust, Pinecone"/>
        <s v="C++, LlamaIndex, Python, Pinecone, AWS SageMaker"/>
        <s v="C++, LlamaIndex, Python"/>
        <s v="MLflow, Kubernetes, AWS SageMaker, LlamaIndex"/>
        <s v="TensorFlow, AWS SageMaker, dbt"/>
        <s v="FastAPI, Weights &amp; Biases, SQL, Kubernetes, Pinecone, ChromaDB, TensorFlow"/>
        <s v="dbt, LangChain, Hugging Face Transformers, Azure ML, RAG, Fine-tuning"/>
        <s v="AWS SageMaker, RLHF, SQL, Weights &amp; Biases, JAX, dbt"/>
        <s v="RAG, RLHF, Pinecone"/>
        <s v="SQL, CUDA, RAG, LangChain"/>
        <s v="LangChain, JAX, Docker, Vector Databases, Rust, Kubernetes"/>
        <s v="dbt, FastAPI, Pinecone"/>
        <s v="RAG, RLHF, GCP Vertex AI"/>
        <s v="ChromaDB, dbt, Vector Databases"/>
        <s v="GCP Vertex AI, PyTorch, Python, ChromaDB, LlamaIndex"/>
        <s v="TensorFlow, MLflow, JAX, AWS SageMaker, LangChain, GCP Vertex AI, Hugging Face Transformers"/>
        <s v="ChromaDB, LangChain, Rust, Vector Databases, MLflow"/>
        <s v="RAG, Rust, Kubernetes, SQL, Weights &amp; Biases, TensorFlow, MLflow"/>
        <s v="GCP Vertex AI, OpenAI API, Fine-tuning, RAG, Docker, SQL, Pinecone"/>
        <s v="ChromaDB, Weights &amp; Biases, Spark, PyTorch, Pinecone, OpenAI API"/>
        <s v="Docker, dbt, SQL, Kubernetes"/>
        <s v="dbt, Weaviate, Hugging Face Transformers, Spark, CUDA"/>
        <s v="Kubernetes, LangChain, ChromaDB, Weights &amp; Biases"/>
        <s v="Fine-tuning, OpenAI API, LlamaIndex, LangChain"/>
        <s v="C++, AWS SageMaker, Python, Spark, JAX"/>
        <s v="AWS SageMaker, TensorFlow, C++, FastAPI, Kubernetes"/>
        <s v="C++, Hugging Face Transformers, MLflow"/>
        <s v="GCP Vertex AI, ChromaDB, TensorFlow, LangChain, Hugging Face Transformers"/>
        <s v="RAG, JAX, C++, ChromaDB"/>
        <s v="LlamaIndex, TensorFlow, Azure ML, Hugging Face Transformers, ChromaDB"/>
        <s v="SQL, OpenAI API, C++, AWS SageMaker"/>
        <s v="Python, Vector Databases, LlamaIndex"/>
        <s v="SQL, dbt, Rust, MLflow, Weights &amp; Biases"/>
        <s v="JAX, RLHF, LlamaIndex, TensorFlow, GCP Vertex AI"/>
        <s v="C++, FastAPI, Docker, Pinecone, GCP Vertex AI, Fine-tuning, Hugging Face Transformers"/>
        <s v="RLHF, Azure ML, MLflow"/>
        <s v="ChromaDB, Python, Pinecone, FastAPI"/>
        <s v="LlamaIndex, Python, TensorFlow, RLHF, C++"/>
        <s v="Rust, Spark, AWS SageMaker"/>
        <s v="FastAPI, RAG, AWS SageMaker, Spark, JAX, Rust"/>
        <s v="Docker, ChromaDB, SQL, Fine-tuning, TensorFlow, Rust"/>
        <s v="AWS SageMaker, RLHF, Fine-tuning"/>
        <s v="LangChain, RLHF, dbt, Weights &amp; Biases, ChromaDB, Docker"/>
        <s v="SQL, Rust, Docker, GCP Vertex AI, Hugging Face Transformers, OpenAI API"/>
        <s v="MLflow, dbt, RAG, Rust, AWS SageMaker"/>
        <s v="LlamaIndex, Vector Databases, Fine-tuning, Python, LangChain, Hugging Face Transformers"/>
        <s v="Fine-tuning, CUDA, Vector Databases, Weights &amp; Biases, ChromaDB, SQL"/>
        <s v="GCP Vertex AI, Weaviate, TensorFlow, Docker, Spark, Fine-tuning, Vector Databases"/>
        <s v="CUDA, C++, MLflow, dbt, RLHF, LlamaIndex, AWS SageMaker"/>
        <s v="Vector Databases, LangChain, Rust, Fine-tuning, JAX, AWS SageMaker, Kubernetes"/>
        <s v="Vector Databases, Docker, GCP Vertex AI, Rust"/>
        <s v="LangChain, Rust, SQL"/>
        <s v="LlamaIndex, Spark, Azure ML"/>
        <s v="Azure ML, Spark, dbt, Kubernetes, LlamaIndex, Pinecone"/>
        <s v="TensorFlow, JAX, GCP Vertex AI, C++, RAG, Hugging Face Transformers, Fine-tuning"/>
        <s v="JAX, Pinecone, SQL, LlamaIndex, MLflow"/>
        <s v="Pinecone, Weaviate, AWS SageMaker, OpenAI API"/>
        <s v="Docker, Spark, Pinecone, Azure ML, LangChain"/>
        <s v="dbt, LlamaIndex, MLflow, RAG, Pinecone, Weights &amp; Biases, Kubernetes"/>
        <s v="Azure ML, dbt, Pinecone"/>
        <s v="LlamaIndex, MLflow, Pinecone, C++, LangChain, CUDA"/>
        <s v="AWS SageMaker, Azure ML, Vector Databases, Python, Rust"/>
        <s v="ChromaDB, AWS SageMaker, JAX, RLHF, GCP Vertex AI, RAG"/>
        <s v="Weaviate, PyTorch, dbt, JAX, RLHF"/>
        <s v="FastAPI, PyTorch, ChromaDB, Pinecone, OpenAI API, Vector Databases, Rust"/>
        <s v="RAG, ChromaDB, PyTorch, Vector Databases, CUDA"/>
        <s v="LlamaIndex, AWS SageMaker, Fine-tuning"/>
        <s v="PyTorch, OpenAI API, Kubernetes"/>
        <s v="JAX, Python, Docker, Weaviate"/>
        <s v="Weaviate, Fine-tuning, RLHF, PyTorch"/>
        <s v="PyTorch, Hugging Face Transformers, Weights &amp; Biases, Weaviate, ChromaDB"/>
        <s v="GCP Vertex AI, OpenAI API, RLHF, SQL, Python"/>
        <s v="Weaviate, Python, JAX"/>
        <s v="Python, Kubernetes, Weights &amp; Biases, JAX, FastAPI, Docker"/>
        <s v="OpenAI API, Python, JAX, Spark, RAG, LangChain, Docker"/>
        <s v="SQL, Docker, dbt, Weaviate, RLHF, Python, Fine-tuning"/>
        <s v="RLHF, GCP Vertex AI, Python, RAG, OpenAI API, CUDA, TensorFlow"/>
        <s v="Vector Databases, Fine-tuning, Rust"/>
        <s v="Spark, RLHF, ChromaDB"/>
        <s v="AWS SageMaker, CUDA, RAG"/>
        <s v="LangChain, Python, SQL, MLflow"/>
        <s v="Fine-tuning, Pinecone, Spark, FastAPI, Azure ML, AWS SageMaker, ChromaDB"/>
        <s v="CUDA, PyTorch, Fine-tuning, Azure ML, OpenAI API, FastAPI, Spark"/>
        <s v="LangChain, RLHF, JAX, Rust"/>
        <s v="Azure ML, Python, TensorFlow"/>
        <s v="GCP Vertex AI, CUDA, Weaviate, Kubernetes"/>
        <s v="dbt, Hugging Face Transformers, Pinecone, Rust, SQL"/>
        <s v="ChromaDB, OpenAI API, Weaviate, AWS SageMaker, LlamaIndex, GCP Vertex AI, Kubernetes"/>
        <s v="Hugging Face Transformers, GCP Vertex AI, MLflow, Azure ML, Pinecone, C++"/>
        <s v="C++, Azure ML, Docker, Weaviate"/>
        <s v="Docker, RAG, Python, Hugging Face Transformers, RLHF"/>
        <s v="GCP Vertex AI, OpenAI API, dbt, Docker"/>
        <s v="Spark, Pinecone, FastAPI, LlamaIndex, RAG, Kubernetes"/>
        <s v="Python, Azure ML, LlamaIndex, ChromaDB, C++, AWS SageMaker, JAX"/>
        <s v="Spark, Rust, SQL, C++, ChromaDB, RAG, Weights &amp; Biases"/>
        <s v="Vector Databases, Python, Hugging Face Transformers, OpenAI API, TensorFlow, RAG, AWS SageMaker"/>
        <s v="Weights &amp; Biases, TensorFlow, RAG, OpenAI API, LlamaIndex, Rust"/>
        <s v="Pinecone, GCP Vertex AI, ChromaDB, JAX"/>
        <s v="Fine-tuning, Kubernetes, Hugging Face Transformers, JAX"/>
        <s v="Vector Databases, Fine-tuning, FastAPI, Weaviate"/>
        <s v="CUDA, OpenAI API, RAG, PyTorch, Python, Docker"/>
        <s v="LangChain, Hugging Face Transformers, AWS SageMaker, JAX, Weaviate, Weights &amp; Biases, RAG"/>
        <s v="RAG, MLflow, AWS SageMaker"/>
        <s v="Kubernetes, JAX, LangChain"/>
        <s v="Kubernetes, OpenAI API, LangChain"/>
        <s v="AWS SageMaker, FastAPI, SQL, Vector Databases, LangChain, MLflow"/>
        <s v="RLHF, RAG, Pinecone, Spark, Weights &amp; Biases, Kubernetes, C++"/>
        <s v="RAG, OpenAI API, Spark, PyTorch"/>
        <s v="Kubernetes, OpenAI API, Weaviate, PyTorch, dbt"/>
        <s v="LlamaIndex, TensorFlow, Hugging Face Transformers, ChromaDB"/>
        <s v="Docker, CUDA, Rust, Vector Databases"/>
        <s v="SQL, Weaviate, LlamaIndex, Weights &amp; Biases, Hugging Face Transformers"/>
        <s v="RAG, Fine-tuning, JAX, Weights &amp; Biases, Azure ML, C++"/>
        <s v="MLflow, PyTorch, Spark, RAG, Fine-tuning"/>
        <s v="dbt, C++, Hugging Face Transformers, Python, LangChain, TensorFlow, Spark"/>
        <s v="LangChain, Spark, ChromaDB"/>
        <s v="Pinecone, Fine-tuning, Spark, AWS SageMaker, Weights &amp; Biases, CUDA"/>
        <s v="JAX, CUDA, Fine-tuning, RLHF, Spark"/>
        <s v="dbt, ChromaDB, Rust"/>
        <s v="GCP Vertex AI, C++, Kubernetes, Azure ML, dbt"/>
        <s v="MLflow, FastAPI, C++, Kubernetes, Azure ML"/>
        <s v="Weights &amp; Biases, SQL, Rust, TensorFlow, Azure ML, Fine-tuning"/>
        <s v="C++, dbt, Weaviate, CUDA, RLHF"/>
        <s v="Kubernetes, Weights &amp; Biases, Docker, dbt, Vector Databases"/>
        <s v="Spark, JAX, Rust, Weaviate, Fine-tuning, Kubernetes"/>
        <s v="AWS SageMaker, PyTorch, ChromaDB"/>
        <s v="Vector Databases, dbt, RLHF, LlamaIndex"/>
        <s v="PyTorch, Rust, GCP Vertex AI, LlamaIndex, MLflow, OpenAI API"/>
        <s v="dbt, Vector Databases, Azure ML, FastAPI, RAG, Rust"/>
        <s v="AWS SageMaker, LlamaIndex, OpenAI API, C++, Weights &amp; Biases, Rust"/>
        <s v="PyTorch, LangChain, Pinecone, Spark"/>
        <s v="Docker, Spark, CUDA, RLHF, Azure ML, Python"/>
        <s v="AWS SageMaker, ChromaDB, LlamaIndex, LangChain, GCP Vertex AI, TensorFlow"/>
        <s v="CUDA, SQL, MLflow, Hugging Face Transformers"/>
        <s v="Hugging Face Transformers, Fine-tuning, dbt, Python, Kubernetes, AWS SageMaker, PyTorch"/>
        <s v="PyTorch, OpenAI API, LlamaIndex, AWS SageMaker"/>
        <s v="RLHF, TensorFlow, Docker, dbt, Fine-tuning, MLflow"/>
        <s v="TensorFlow, Docker, LangChain, Weaviate"/>
        <s v="LangChain, Rust, JAX, Hugging Face Transformers, Pinecone, Weights &amp; Biases"/>
        <s v="Azure ML, Rust, Weights &amp; Biases, dbt"/>
        <s v="PyTorch, Weights &amp; Biases, Spark, Azure ML, MLflow"/>
        <s v="AWS SageMaker, Spark, CUDA, TensorFlow"/>
        <s v="Weights &amp; Biases, LlamaIndex, Vector Databases, C++, Pinecone, dbt, JAX"/>
        <s v="RLHF, Hugging Face Transformers, dbt, FastAPI, Pinecone, Kubernetes, CUDA"/>
        <s v="OpenAI API, Python, Weights &amp; Biases, Spark, ChromaDB"/>
        <s v="Azure ML, JAX, Weights &amp; Biases"/>
        <s v="AWS SageMaker, Azure ML, Fine-tuning, JAX, Hugging Face Transformers"/>
        <s v="Fine-tuning, Weights &amp; Biases, GCP Vertex AI, PyTorch, Hugging Face Transformers, dbt"/>
        <s v="LlamaIndex, Azure ML, Pinecone"/>
        <s v="CUDA, Docker, MLflow"/>
        <s v="Docker, OpenAI API, LlamaIndex"/>
        <s v="Docker, Azure ML, MLflow, Fine-tuning, Kubernetes"/>
        <s v="LangChain, dbt, Python"/>
        <s v="LlamaIndex, Spark, Weights &amp; Biases"/>
        <s v="OpenAI API, Fine-tuning, Weaviate, MLflow"/>
        <s v="AWS SageMaker, PyTorch, ChromaDB, Rust"/>
        <s v="Python, Hugging Face Transformers, ChromaDB, OpenAI API"/>
        <s v="PyTorch, Spark, LlamaIndex, JAX, Docker"/>
        <s v="Docker, Weights &amp; Biases, LlamaIndex, Fine-tuning, SQL, AWS SageMaker, GCP Vertex AI"/>
        <s v="Weaviate, OpenAI API, C++, RLHF, Kubernetes, GCP Vertex AI, Docker"/>
        <s v="Spark, AWS SageMaker, Python, Hugging Face Transformers"/>
        <s v="SQL, LangChain, RAG"/>
        <s v="Weights &amp; Biases, C++, GCP Vertex AI, MLflow, TensorFlow, OpenAI API, LlamaIndex"/>
        <s v="AWS SageMaker, LangChain, Pinecone, Fine-tuning, LlamaIndex, Python, Kubernetes"/>
        <s v="AWS SageMaker, Azure ML, TensorFlow"/>
        <s v="Docker, Vector Databases, dbt"/>
        <s v="LlamaIndex, TensorFlow, GCP Vertex AI, Hugging Face Transformers, FastAPI"/>
        <s v="Vector Databases, Weaviate, CUDA, Kubernetes, RAG, TensorFlow, ChromaDB"/>
        <s v="PyTorch, Azure ML, CUDA"/>
        <s v="RAG, Weights &amp; Biases, Python, MLflow"/>
        <s v="LlamaIndex, FastAPI, Hugging Face Transformers, Vector Databases, Weights &amp; Biases, JAX"/>
        <s v="dbt, RLHF, Weaviate, MLflow, Docker, ChromaDB"/>
        <s v="SQL, C++, TensorFlow, MLflow, RLHF, Vector Databases, GCP Vertex AI"/>
        <s v="LangChain, TensorFlow, OpenAI API, SQL, Python, AWS SageMaker, C++"/>
        <s v="OpenAI API, GCP Vertex AI, FastAPI, RAG, Weights &amp; Biases, Azure ML, LlamaIndex"/>
        <s v="TensorFlow, Spark, JAX, MLflow, Kubernetes, OpenAI API"/>
        <s v="CUDA, Fine-tuning, PyTorch, MLflow, FastAPI, dbt, RAG"/>
        <s v="Hugging Face Transformers, TensorFlow, Docker, ChromaDB, Azure ML"/>
        <s v="Fine-tuning, CUDA, SQL, dbt, LlamaIndex, RLHF"/>
        <s v="Hugging Face Transformers, ChromaDB, RAG, TensorFlow, Kubernetes, C++"/>
        <s v="GCP Vertex AI, SQL, Vector Databases"/>
        <s v="Vector Databases, OpenAI API, PyTorch, CUDA, Python, dbt"/>
        <s v="JAX, Fine-tuning, GCP Vertex AI"/>
        <s v="TensorFlow, Weights &amp; Biases, dbt, ChromaDB"/>
        <s v="Spark, RLHF, ChromaDB, LangChain"/>
        <s v="C++, CUDA, LangChain, MLflow, Vector Databases, Spark, RLHF"/>
        <s v="Spark, AWS SageMaker, MLflow, SQL, LangChain, TensorFlow"/>
        <s v="FastAPI, RLHF, Weaviate, RAG"/>
        <s v="C++, JAX, Rust, Fine-tuning, dbt"/>
        <s v="SQL, Spark, RAG, C++"/>
        <s v="C++, FastAPI, Spark, Docker, Weaviate, Hugging Face Transformers"/>
        <s v="RLHF, Spark, FastAPI, Azure ML"/>
        <s v="CUDA, LangChain, JAX, RLHF, SQL, C++, Weights &amp; Biases"/>
        <s v="OpenAI API, dbt, Fine-tuning"/>
        <s v="SQL, Weaviate, Python, Hugging Face Transformers, Pinecone, Weights &amp; Biases, Docker"/>
        <s v="Docker, Vector Databases, OpenAI API, TensorFlow"/>
        <s v="AWS SageMaker, Hugging Face Transformers, Rust, OpenAI API, Weights &amp; Biases, Vector Databases, Fine-tuning"/>
        <s v="Docker, ChromaDB, Fine-tuning, AWS SageMaker, SQL, Spark, Pinecone"/>
        <s v="MLflow, GCP Vertex AI, OpenAI API"/>
        <s v="GCP Vertex AI, C++, JAX, OpenAI API, Rust, PyTorch"/>
        <s v="Python, RLHF, AWS SageMaker, LlamaIndex, RAG, PyTorch, Weaviate"/>
        <s v="SQL, PyTorch, RAG, AWS SageMaker, MLflow, RLHF"/>
        <s v="C++, JAX, Weaviate, Python, MLflow"/>
        <s v="CUDA, LlamaIndex, FastAPI, ChromaDB, JAX"/>
        <s v="MLflow, TensorFlow, Azure ML, Weaviate, C++"/>
        <s v="FastAPI, Pinecone, CUDA, GCP Vertex AI, JAX, AWS SageMaker, MLflow"/>
        <s v="Hugging Face Transformers, dbt, AWS SageMaker, ChromaDB, Spark, LangChain"/>
        <s v="LlamaIndex, RAG, Pinecone, Fine-tuning"/>
        <s v="LangChain, dbt, PyTorch, Spark, Kubernetes, JAX"/>
        <s v="Vector Databases, OpenAI API, Hugging Face Transformers, Rust, Azure ML"/>
        <s v="GCP Vertex AI, JAX, RLHF, LlamaIndex"/>
        <s v="Vector Databases, LangChain, PyTorch, C++"/>
        <s v="dbt, Vector Databases, Docker, Azure ML, RLHF"/>
        <s v="ChromaDB, Weights &amp; Biases, MLflow, Fine-tuning"/>
        <s v="RAG, ChromaDB, Fine-tuning, Docker, AWS SageMaker"/>
        <s v="RLHF, dbt, LlamaIndex, Pinecone"/>
        <s v="Azure ML, dbt, C++, Python, PyTorch, Docker"/>
        <s v="Kubernetes, Rust, dbt, Spark, RAG"/>
        <s v="AWS SageMaker, TensorFlow, ChromaDB, Spark, RLHF"/>
        <s v="Python, Weaviate, JAX, FastAPI, Fine-tuning, TensorFlow"/>
        <s v="Rust, FastAPI, Pinecone, RLHF, PyTorch, TensorFlow"/>
        <s v="LlamaIndex, Kubernetes, dbt, Spark, JAX, AWS SageMaker"/>
        <s v="RLHF, RAG, PyTorch, LangChain, AWS SageMaker, CUDA, Vector Databases"/>
        <s v="Hugging Face Transformers, Pinecone, Weights &amp; Biases, MLflow"/>
        <s v="AWS SageMaker, RLHF, LangChain"/>
        <s v="CUDA, JAX, Pinecone, OpenAI API, Azure ML, MLflow, C++"/>
        <s v="RAG, Vector Databases, SQL, dbt, Hugging Face Transformers, ChromaDB"/>
        <s v="LangChain, dbt, Vector Databases, GCP Vertex AI"/>
        <s v="FastAPI, Azure ML, SQL, Spark, Python, Hugging Face Transformers"/>
        <s v="ChromaDB, Python, Spark"/>
        <s v="ChromaDB, C++, Vector Databases, Pinecone"/>
        <s v="SQL, Weaviate, GCP Vertex AI"/>
        <s v="RAG, SQL, PyTorch, Weaviate, MLflow"/>
        <s v="FastAPI, dbt, JAX, PyTorch, Kubernetes"/>
        <s v="PyTorch, Vector Databases, Pinecone"/>
        <s v="FastAPI, RAG, MLflow, LlamaIndex, Fine-tuning, C++"/>
        <s v="ChromaDB, PyTorch, Rust, Python, Weights &amp; Biases, Kubernetes, CUDA"/>
        <s v="Weaviate, OpenAI API, Vector Databases, MLflow, Weights &amp; Biases"/>
        <s v="PyTorch, Azure ML, JAX"/>
        <s v="Spark, FastAPI, RLHF, LangChain, Python, Vector Databases"/>
        <s v="OpenAI API, RAG, Hugging Face Transformers, dbt"/>
        <s v="Fine-tuning, CUDA, JAX, Rust, Weights &amp; Biases, FastAPI, PyTorch"/>
        <s v="LlamaIndex, Python, Docker, Rust"/>
        <s v="C++, Docker, CUDA, Hugging Face Transformers, RLHF"/>
        <s v="Hugging Face Transformers, Docker, FastAPI, Rust, CUDA, C++"/>
        <s v="PyTorch, MLflow, Docker, Python"/>
        <s v="C++, dbt, Fine-tuning, TensorFlow, Spark"/>
        <s v="ChromaDB, Python, LangChain, SQL"/>
        <s v="Pinecone, ChromaDB, Spark, Weaviate, Weights &amp; Biases, Fine-tuning, Rust"/>
        <s v="Kubernetes, RLHF, GCP Vertex AI, Weights &amp; Biases, LangChain"/>
        <s v="Weaviate, Kubernetes, FastAPI, Fine-tuning"/>
        <s v="Python, Hugging Face Transformers, LangChain, Fine-tuning, Docker, Weaviate"/>
        <s v="Kubernetes, MLflow, AWS SageMaker, LangChain, GCP Vertex AI, FastAPI, ChromaDB"/>
        <s v="Weights &amp; Biases, FastAPI, ChromaDB, C++"/>
        <s v="PyTorch, ChromaDB, Pinecone, JAX, CUDA"/>
        <s v="AWS SageMaker, Docker, Vector Databases"/>
        <s v="Weaviate, Rust, OpenAI API, Python, Vector Databases, CUDA, Azure ML"/>
        <s v="Azure ML, Rust, TensorFlow"/>
        <s v="GCP Vertex AI, OpenAI API, C++, Weaviate, dbt, Spark, PyTorch"/>
        <s v="Pinecone, CUDA, Weights &amp; Biases"/>
        <s v="JAX, AWS SageMaker, C++, Kubernetes"/>
        <s v="LangChain, Hugging Face Transformers, RLHF, GCP Vertex AI, dbt, JAX"/>
        <s v="PyTorch, Weaviate, FastAPI, GCP Vertex AI, Docker, dbt"/>
        <s v="Weaviate, OpenAI API, FastAPI, Spark"/>
        <s v="OpenAI API, Hugging Face Transformers, C++, Weaviate, RAG, MLflow, Kubernetes"/>
        <s v="Hugging Face Transformers, AWS SageMaker, Python"/>
        <s v="SQL, LlamaIndex, LangChain, Weights &amp; Biases, ChromaDB, RAG, OpenAI API"/>
        <s v="Fine-tuning, Weaviate, Docker, Vector Databases"/>
        <s v="RLHF, Azure ML, Vector Databases, ChromaDB"/>
        <s v="Pinecone, Weights &amp; Biases, C++, ChromaDB, FastAPI, Kubernetes"/>
        <s v="Weaviate, Vector Databases, GCP Vertex AI, Spark, Kubernetes, C++"/>
        <s v="PyTorch, JAX, Fine-tuning"/>
        <s v="LlamaIndex, AWS SageMaker, Pinecone, dbt"/>
        <s v="GCP Vertex AI, Fine-tuning, Hugging Face Transformers"/>
        <s v="Azure ML, Spark, Python, OpenAI API"/>
        <s v="Docker, ChromaDB, LangChain, LlamaIndex"/>
        <s v="LlamaIndex, JAX, Hugging Face Transformers, Vector Databases, Python, GCP Vertex AI, TensorFlow"/>
        <s v="Azure ML, AWS SageMaker, C++, Pinecone, GCP Vertex AI, Rust"/>
        <s v="Hugging Face Transformers, Python, CUDA, Azure ML, RLHF"/>
        <s v="Docker, Pinecone, Python, SQL, PyTorch"/>
        <s v="Rust, LangChain, PyTorch, Azure ML, Python, SQL, MLflow"/>
        <s v="JAX, MLflow, Hugging Face Transformers, ChromaDB, Weights &amp; Biases"/>
        <s v="Docker, SQL, OpenAI API"/>
        <s v="Weights &amp; Biases, TensorFlow, Hugging Face Transformers, GCP Vertex AI"/>
        <s v="Hugging Face Transformers, Docker, LlamaIndex, ChromaDB, GCP Vertex AI"/>
        <s v="PyTorch, C++, ChromaDB, RAG"/>
        <s v="RLHF, Docker, PyTorch, LangChain"/>
        <s v="GCP Vertex AI, Spark, JAX, LangChain, Hugging Face Transformers"/>
        <s v="SQL, GCP Vertex AI, Vector Databases, dbt, RAG"/>
        <s v="OpenAI API, ChromaDB, FastAPI, LlamaIndex, Rust, dbt, GCP Vertex AI"/>
        <s v="Kubernetes, CUDA, OpenAI API, Fine-tuning"/>
        <s v="MLflow, Kubernetes, FastAPI, LangChain, RAG, LlamaIndex"/>
        <s v="Azure ML, GCP Vertex AI, Pinecone, C++"/>
        <s v="RAG, dbt, C++, Vector Databases, PyTorch"/>
        <s v="RAG, dbt, RLHF, Python, Vector Databases, Spark, CUDA"/>
        <s v="FastAPI, RAG, dbt, TensorFlow, LlamaIndex, Python, GCP Vertex AI"/>
        <s v="dbt, Azure ML, Docker, Fine-tuning, GCP Vertex AI, JAX, AWS SageMaker"/>
        <s v="Kubernetes, Hugging Face Transformers, TensorFlow, Weaviate, LangChain, LlamaIndex"/>
        <s v="LlamaIndex, SQL, Weights &amp; Biases"/>
        <s v="ChromaDB, Docker, AWS SageMaker, SQL"/>
        <s v="Hugging Face Transformers, dbt, AWS SageMaker, Docker, Python, Fine-tuning"/>
        <s v="C++, RLHF, ChromaDB, Fine-tuning, Spark, SQL, GCP Vertex AI"/>
        <s v="Docker, RAG, PyTorch, dbt, ChromaDB, TensorFlow"/>
        <s v="FastAPI, Python, JAX, AWS SageMaker, Weaviate, Weights &amp; Biases"/>
        <s v="Fine-tuning, JAX, SQL, Docker"/>
        <s v="RAG, AWS SageMaker, Python, Weaviate"/>
        <s v="SQL, ChromaDB, Weights &amp; Biases"/>
        <s v="Hugging Face Transformers, Vector Databases, MLflow, OpenAI API"/>
        <s v="C++, GCP Vertex AI, Hugging Face Transformers, Kubernetes, RLHF, Weights &amp; Biases, TensorFlow"/>
        <s v="RLHF, Vector Databases, C++"/>
        <s v="FastAPI, Rust, LangChain, Weights &amp; Biases, Hugging Face Transformers, Azure ML, Fine-tuning"/>
        <s v="Rust, RLHF, MLflow, Docker, ChromaDB"/>
        <s v="dbt, AWS SageMaker, LlamaIndex, Weights &amp; Biases, MLflow, C++"/>
        <s v="Vector Databases, SQL, Hugging Face Transformers, Azure ML, Spark, LlamaIndex"/>
        <s v="Kubernetes, LlamaIndex, Docker, SQL"/>
        <s v="Spark, LangChain, GCP Vertex AI, Pinecone, TensorFlow, Docker"/>
        <s v="PyTorch, SQL, Docker, Weaviate"/>
        <s v="GCP Vertex AI, Rust, Spark"/>
        <s v="ChromaDB, Rust, Spark, SQL"/>
        <s v="Pinecone, AWS SageMaker, Spark, RLHF, LangChain, Hugging Face Transformers, Vector Databases"/>
        <s v="OpenAI API, AWS SageMaker, Pinecone, GCP Vertex AI"/>
        <s v="Vector Databases, Spark, SQL, Rust, Fine-tuning, Weights &amp; Biases, Docker"/>
        <s v="Fine-tuning, Azure ML, Spark"/>
        <s v="Rust, OpenAI API, SQL, Pinecone"/>
        <s v="RAG, PyTorch, LangChain, CUDA, Spark, GCP Vertex AI, Docker"/>
        <s v="TensorFlow, RLHF, Kubernetes, GCP Vertex AI, ChromaDB, Weaviate, dbt"/>
        <s v="Azure ML, GCP Vertex AI, OpenAI API, dbt, MLflow, Docker"/>
        <s v="CUDA, Rust, GCP Vertex AI, JAX, Weaviate, Vector Databases, AWS SageMaker"/>
        <s v="RLHF, JAX, Weights &amp; Biases, LlamaIndex, Spark"/>
        <s v="Kubernetes, GCP Vertex AI, Fine-tuning"/>
        <s v="Hugging Face Transformers, LangChain, Python, Weaviate, SQL"/>
        <s v="Python, LlamaIndex, JAX, RLHF, LangChain"/>
        <s v="Weights &amp; Biases, Pinecone, LangChain, Hugging Face Transformers, FastAPI, OpenAI API, C++"/>
        <s v="RAG, CUDA, LangChain, Azure ML, Rust, AWS SageMaker"/>
        <s v="ChromaDB, Python, LlamaIndex, Pinecone"/>
        <s v="Weights &amp; Biases, Rust, dbt, Hugging Face Transformers"/>
        <s v="PyTorch, Weights &amp; Biases, LlamaIndex, Fine-tuning, JAX, Weaviate"/>
        <s v="RLHF, LlamaIndex, SQL, Rust, Spark, Python, AWS SageMaker"/>
        <s v="Kubernetes, dbt, TensorFlow, Weights &amp; Biases"/>
        <s v="ChromaDB, Weights &amp; Biases, CUDA, PyTorch"/>
        <s v="OpenAI API, Spark, CUDA, C++, ChromaDB"/>
        <s v="RLHF, dbt, LangChain, CUDA, GCP Vertex AI, Pinecone, Docker"/>
        <s v="TensorFlow, CUDA, Pinecone, Hugging Face Transformers, RAG, C++, OpenAI API"/>
        <s v="Azure ML, Hugging Face Transformers, LangChain, dbt"/>
        <s v="GCP Vertex AI, LlamaIndex, Weights &amp; Biases, AWS SageMaker, Python, TensorFlow"/>
        <s v="OpenAI API, Kubernetes, C++, Azure ML, TensorFlow, CUDA, Docker"/>
        <s v="Vector Databases, Kubernetes, dbt, RLHF, AWS SageMaker, LangChain, Weaviate"/>
        <s v="FastAPI, AWS SageMaker, Kubernetes, Pinecone, LangChain, TensorFlow"/>
        <s v="JAX, Docker, Spark, Pinecone, GCP Vertex AI"/>
        <s v="SQL, Pinecone, dbt, RAG, PyTorch, JAX"/>
        <s v="PyTorch, RAG, C++, Rust, Spark, Weights &amp; Biases, Fine-tuning"/>
        <s v="Azure ML, Kubernetes, Docker, RLHF, Rust"/>
        <s v="SQL, Weaviate, Weights &amp; Biases, Rust, C++"/>
        <s v="GCP Vertex AI, Rust, RLHF, JAX, Azure ML"/>
        <s v="TensorFlow, MLflow, SQL, JAX"/>
        <s v="Kubernetes, Weaviate, LlamaIndex"/>
        <s v="Vector Databases, C++, RLHF, Fine-tuning, Weaviate, FastAPI, ChromaDB"/>
        <s v="MLflow, LlamaIndex, GCP Vertex AI"/>
        <s v="C++, Kubernetes, RLHF, Docker, ChromaDB, PyTorch, JAX"/>
        <s v="ChromaDB, Docker, JAX, Weights &amp; Biases, Python"/>
        <s v="Fine-tuning, LlamaIndex, FastAPI, Weaviate, dbt, ChromaDB, GCP Vertex AI"/>
        <s v="C++, Hugging Face Transformers, Python, Spark"/>
        <s v="Hugging Face Transformers, MLflow, Fine-tuning, JAX, Docker"/>
        <s v="dbt, Azure ML, LangChain"/>
        <s v="Azure ML, LangChain, CUDA, dbt"/>
        <s v="Rust, AWS SageMaker, LangChain"/>
        <s v="TensorFlow, GCP Vertex AI, Kubernetes, Azure ML, LlamaIndex, C++, Vector Databases"/>
        <s v="LlamaIndex, RLHF, FastAPI, OpenAI API, AWS SageMaker"/>
        <s v="FastAPI, dbt, MLflow, PyTorch, Pinecone"/>
        <s v="C++, dbt, CUDA"/>
        <s v="Python, PyTorch, RAG, OpenAI API, MLflow, LangChain, AWS SageMaker"/>
        <s v="OpenAI API, JAX, Spark, Weights &amp; Biases, Docker"/>
        <s v="TensorFlow, Spark, LangChain, Hugging Face Transformers"/>
        <s v="Docker, LangChain, FastAPI, CUDA, RAG, OpenAI API, TensorFlow"/>
        <s v="RLHF, Weights &amp; Biases, LlamaIndex, SQL, FastAPI"/>
        <s v="RAG, LlamaIndex, AWS SageMaker"/>
        <s v="LangChain, dbt, TensorFlow"/>
        <s v="FastAPI, Spark, PyTorch, ChromaDB"/>
        <s v="Vector Databases, LlamaIndex, RLHF, Weaviate, Azure ML, Kubernetes"/>
        <s v="OpenAI API, RAG, Fine-tuning, JAX, RLHF"/>
        <s v="Azure ML, RLHF, Weaviate, FastAPI, Fine-tuning, JAX, Spark"/>
        <s v="RLHF, Python, MLflow, OpenAI API"/>
        <s v="Pinecone, Weights &amp; Biases, Spark, PyTorch, dbt, LangChain, TensorFlow"/>
        <s v="JAX, C++, RLHF, Vector Databases, GCP Vertex AI, MLflow, Hugging Face Transformers"/>
        <s v="dbt, LlamaIndex, RLHF"/>
        <s v="Azure ML, GCP Vertex AI, TensorFlow, JAX, C++, Hugging Face Transformers, LlamaIndex"/>
        <s v="SQL, JAX, ChromaDB"/>
        <s v="PyTorch, Docker, Weights &amp; Biases, FastAPI, dbt"/>
        <s v="GCP Vertex AI, Azure ML, Rust, Pinecone, Fine-tuning, FastAPI"/>
        <s v="Rust, FastAPI, LangChain, Kubernetes"/>
        <s v="Spark, CUDA, GCP Vertex AI, Rust, dbt, LangChain"/>
        <s v="Spark, Pinecone, OpenAI API, Vector Databases, C++"/>
        <s v="MLflow, FastAPI, TensorFlow"/>
        <s v="AWS SageMaker, FastAPI, Hugging Face Transformers, TensorFlow, PyTorch"/>
        <s v="dbt, TensorFlow, ChromaDB, Docker, Weights &amp; Biases, GCP Vertex AI, RLHF"/>
        <s v="RLHF, CUDA, JAX, C++, LlamaIndex, FastAPI"/>
        <s v="Python, RAG, Vector Databases"/>
        <s v="Vector Databases, dbt, PyTorch, Azure ML"/>
        <s v="Fine-tuning, SQL, LangChain, CUDA, LlamaIndex, Pinecone, AWS SageMaker"/>
        <s v="Weaviate, GCP Vertex AI, ChromaDB, Rust, MLflow"/>
        <s v="RAG, FastAPI, LlamaIndex"/>
        <s v="GCP Vertex AI, Azure ML, C++"/>
        <s v="Pinecone, Rust, AWS SageMaker, Kubernetes"/>
        <s v="Spark, RAG, Weaviate, Hugging Face Transformers, SQL, RLHF"/>
        <s v="Azure ML, LlamaIndex, GCP Vertex AI, Weights &amp; Biases, RAG, Weaviate"/>
        <s v="Vector Databases, TensorFlow, LlamaIndex, LangChain"/>
        <s v="C++, OpenAI API, RLHF"/>
        <s v="FastAPI, Spark, dbt, RAG, Python, Pinecone"/>
        <s v="JAX, Azure ML, Pinecone, Hugging Face Transformers, RAG, OpenAI API, LlamaIndex"/>
        <s v="RLHF, Python, SQL, Spark, dbt"/>
        <s v="PyTorch, Spark, CUDA, Kubernetes, ChromaDB, Docker"/>
        <s v="Vector Databases, Weaviate, SQL, AWS SageMaker, dbt, Kubernetes"/>
        <s v="Fine-tuning, Weights &amp; Biases, JAX, Azure ML"/>
        <s v="Python, LangChain, TensorFlow, Weights &amp; Biases"/>
        <s v="C++, RLHF, Fine-tuning, Hugging Face Transformers, Python, ChromaDB"/>
        <s v="Spark, PyTorch, CUDA"/>
        <s v="Weaviate, LlamaIndex, GCP Vertex AI, Weights &amp; Biases, Spark, Azure ML, Fine-tuning"/>
        <s v="Azure ML, Spark, RLHF, FastAPI, Weaviate"/>
        <s v="Pinecone, Weaviate, PyTorch"/>
        <s v="ChromaDB, Azure ML, Weights &amp; Biases, Fine-tuning"/>
        <s v="Kubernetes, FastAPI, RAG, AWS SageMaker, C++"/>
        <s v="dbt, RAG, Python, MLflow, SQL"/>
        <s v="CUDA, Rust, RAG, FastAPI, Weaviate, LangChain"/>
        <s v="RLHF, RAG, Weights &amp; Biases"/>
        <s v="MLflow, ChromaDB, RAG, Rust, Weaviate"/>
        <s v="OpenAI API, Vector Databases, Kubernetes"/>
        <s v="ChromaDB, Python, RLHF, Vector Databases, Azure ML, MLflow, Fine-tuning"/>
        <s v="Vector Databases, RAG, Pinecone, Kubernetes, JAX"/>
        <s v="Kubernetes, OpenAI API, LlamaIndex"/>
        <s v="OpenAI API, dbt, Vector Databases, LangChain"/>
        <s v="C++, Spark, Azure ML, Kubernetes, Docker, Fine-tuning"/>
        <s v="JAX, Fine-tuning, Spark, FastAPI, C++, Hugging Face Transformers, Kubernetes"/>
        <s v="AWS SageMaker, C++, Weaviate, SQL, GCP Vertex AI"/>
        <s v="GCP Vertex AI, Weaviate, Pinecone, SQL, Spark, TensorFlow"/>
        <s v="Docker, JAX, SQL, Fine-tuning, dbt, FastAPI"/>
        <s v="Spark, Kubernetes, OpenAI API, SQL, Rust"/>
        <s v="RAG, Python, TensorFlow, OpenAI API, Docker, Vector Databases, RLHF"/>
        <s v="LlamaIndex, Hugging Face Transformers, LangChain"/>
        <s v="SQL, Weights &amp; Biases, Docker, AWS SageMaker, Fine-tuning"/>
        <s v="OpenAI API, Weaviate, SQL, Python, Hugging Face Transformers, TensorFlow"/>
        <s v="Fine-tuning, ChromaDB, CUDA, SQL, RAG"/>
        <s v="Rust, Pinecone, GCP Vertex AI, C++, Python, Vector Databases"/>
        <s v="Docker, Kubernetes, MLflow, AWS SageMaker, CUDA, RAG"/>
        <s v="TensorFlow, Fine-tuning, Docker, Azure ML, Kubernetes, C++"/>
        <s v="SQL, MLflow, Weaviate"/>
        <s v="SQL, PyTorch, ChromaDB"/>
        <s v="Weaviate, LangChain, FastAPI, RLHF"/>
        <s v="LlamaIndex, Hugging Face Transformers, PyTorch, Vector Databases, JAX, FastAPI"/>
        <s v="AWS SageMaker, RLHF, Pinecone"/>
        <s v="CUDA, Vector Databases, LlamaIndex, Rust, PyTorch, OpenAI API, TensorFlow"/>
        <s v="RLHF, CUDA, ChromaDB, Rust"/>
        <s v="Kubernetes, LlamaIndex, JAX"/>
        <s v="TensorFlow, Azure ML, GCP Vertex AI, OpenAI API, AWS SageMaker, Pinecone"/>
        <s v="PyTorch, Rust, Pinecone, ChromaDB, LangChain"/>
        <s v="Weights &amp; Biases, JAX, Spark, Docker, LlamaIndex, FastAPI"/>
        <s v="Fine-tuning, Weaviate, ChromaDB, Docker"/>
        <s v="SQL, Weights &amp; Biases, Azure ML, CUDA, Vector Databases"/>
        <s v="C++, Python, Fine-tuning, Vector Databases"/>
        <s v="JAX, LlamaIndex, LangChain, MLflow, Weaviate, Pinecone"/>
        <s v="Fine-tuning, Vector Databases, Python, GCP Vertex AI"/>
        <s v="Hugging Face Transformers, SQL, GCP Vertex AI, ChromaDB, RAG"/>
        <s v="AWS SageMaker, C++, Azure ML, dbt"/>
        <s v="Rust, Hugging Face Transformers, JAX, RAG"/>
        <s v="LangChain, Vector Databases, SQL, Kubernetes, MLflow, AWS SageMaker, PyTorch"/>
        <s v="dbt, GCP Vertex AI, OpenAI API, Kubernetes, RLHF"/>
        <s v="Fine-tuning, JAX, LangChain, Spark, dbt, FastAPI"/>
        <s v="Rust, MLflow, GCP Vertex AI, RLHF, LlamaIndex, C++"/>
        <s v="Pinecone, SQL, Vector Databases, Docker"/>
        <s v="OpenAI API, LlamaIndex, GCP Vertex AI, dbt"/>
        <s v="AWS SageMaker, Weaviate, FastAPI, RLHF, PyTorch, JAX, GCP Vertex AI"/>
        <s v="C++, Kubernetes, dbt"/>
        <s v="Python, Pinecone, Weights &amp; Biases, Rust, FastAPI, Spark"/>
        <s v="Spark, OpenAI API, Python, dbt, Fine-tuning, TensorFlow, GCP Vertex AI"/>
        <s v="Weaviate, MLflow, Spark, TensorFlow, LlamaIndex"/>
        <s v="RLHF, Pinecone, LangChain, Vector Databases, dbt, SQL, Docker"/>
        <s v="Pinecone, C++, MLflow, Weaviate"/>
        <s v="Weaviate, FastAPI, RLHF, RAG, GCP Vertex AI, Spark"/>
        <s v="SQL, Pinecone, Weaviate"/>
        <s v="CUDA, LangChain, PyTorch"/>
        <s v="Python, JAX, AWS SageMaker, GCP Vertex AI, Hugging Face Transformers, MLflow"/>
        <s v="Kubernetes, PyTorch, Docker"/>
        <s v="AWS SageMaker, JAX, Fine-tuning"/>
        <s v="ChromaDB, Weaviate, JAX, Rust"/>
        <s v="ChromaDB, Rust, Weights &amp; Biases, FastAPI, C++"/>
        <s v="CUDA, LangChain, MLflow, Fine-tuning, Docker, Spark, SQL"/>
        <s v="Weights &amp; Biases, TensorFlow, dbt"/>
        <s v="CUDA, Azure ML, GCP Vertex AI"/>
        <s v="Docker, Python, Fine-tuning"/>
        <s v="TensorFlow, ChromaDB, RLHF, Azure ML, AWS SageMaker, Spark, Kubernetes"/>
        <s v="Spark, LlamaIndex, LangChain, Docker, Weights &amp; Biases, Azure ML, Pinecone"/>
        <s v="Python, GCP Vertex AI, FastAPI, MLflow"/>
        <s v="ChromaDB, Azure ML, LangChain, RAG, Vector Databases, SQL, OpenAI API"/>
        <s v="Fine-tuning, CUDA, PyTorch, OpenAI API"/>
        <s v="JAX, RLHF, OpenAI API, TensorFlow, GCP Vertex AI, Kubernetes, SQL"/>
        <s v="LangChain, TensorFlow, Pinecone, ChromaDB, Kubernetes"/>
        <s v="Kubernetes, Weights &amp; Biases, PyTorch, Hugging Face Transformers"/>
        <s v="MLflow, TensorFlow, C++, JAX"/>
        <s v="MLflow, C++, Hugging Face Transformers, Docker"/>
        <s v="dbt, ChromaDB, OpenAI API, RLHF, Fine-tuning, Hugging Face Transformers, SQL"/>
        <s v="JAX, PyTorch, Kubernetes, Weights &amp; Biases"/>
        <s v="Weaviate, TensorFlow, Kubernetes, JAX, Rust, CUDA, GCP Vertex AI"/>
        <s v="TensorFlow, Fine-tuning, Weights &amp; Biases, Spark, Weaviate, JAX"/>
        <s v="TensorFlow, JAX, MLflow, OpenAI API, Vector Databases, LangChain, RLHF"/>
        <s v="C++, LlamaIndex, SQL, dbt, ChromaDB, Weaviate, Vector Databases"/>
        <s v="Python, dbt, Docker"/>
        <s v="Pinecone, Kubernetes, GCP Vertex AI, Azure ML, dbt"/>
        <s v="RLHF, SQL, Azure ML, Rust, Python, CUDA, Spark"/>
        <s v="Docker, Spark, Weights &amp; Biases"/>
        <s v="SQL, dbt, AWS SageMaker, Weights &amp; Biases, Hugging Face Transformers, Pinecone"/>
        <s v="TensorFlow, RLHF, CUDA, PyTorch, C++"/>
        <s v="CUDA, Weights &amp; Biases, Python, dbt"/>
        <s v="Pinecone, Hugging Face Transformers, C++, Docker, GCP Vertex AI, Weights &amp; Biases, LlamaIndex"/>
        <s v="RAG, Weights &amp; Biases, Kubernetes"/>
        <s v="Vector Databases, OpenAI API, LlamaIndex, RAG"/>
        <s v="FastAPI, Weaviate, Weights &amp; Biases, Pinecone, Python, JAX"/>
        <s v="Spark, MLflow, Vector Databases, Docker, Weights &amp; Biases, AWS SageMaker"/>
        <s v="SQL, TensorFlow, Rust, LangChain, CUDA"/>
        <s v="OpenAI API, SQL, Pinecone, LlamaIndex"/>
        <s v="C++, Azure ML, Spark"/>
        <s v="Pinecone, JAX, OpenAI API"/>
        <s v="Azure ML, PyTorch, C++, Fine-tuning, Pinecone"/>
        <s v="Python, Rust, Pinecone, RLHF, FastAPI, OpenAI API, GCP Vertex AI"/>
        <s v="SQL, C++, PyTorch"/>
        <s v="SQL, Spark, Fine-tuning, FastAPI, JAX, ChromaDB, RAG"/>
        <s v="LangChain, AWS SageMaker, Python, FastAPI, Pinecone, CUDA, ChromaDB"/>
        <s v="LlamaIndex, RAG, Spark, LangChain, RLHF, Fine-tuning"/>
        <s v="dbt, JAX, Weaviate, FastAPI"/>
        <s v="RAG, ChromaDB, FastAPI, Azure ML"/>
        <s v="dbt, C++, JAX"/>
        <s v="CUDA, Pinecone, Docker, Spark, JAX"/>
        <s v="Pinecone, OpenAI API, TensorFlow, C++, dbt, CUDA"/>
        <s v="CUDA, Spark, Pinecone, OpenAI API"/>
        <s v="MLflow, RLHF, JAX"/>
        <s v="TensorFlow, FastAPI, CUDA, Docker, Python, RAG, Pinecone"/>
        <s v="RLHF, Weaviate, TensorFlow"/>
        <s v="Azure ML, RAG, LangChain, OpenAI API, Rust, RLHF, TensorFlow"/>
        <s v="Fine-tuning, Docker, AWS SageMaker"/>
        <s v="Python, C++, Hugging Face Transformers"/>
        <s v="RLHF, Kubernetes, FastAPI, Fine-tuning, CUDA, Weaviate, C++"/>
        <s v="RAG, dbt, LangChain, RLHF, Vector Databases, MLflow"/>
        <s v="GCP Vertex AI, dbt, Hugging Face Transformers, TensorFlow, RAG"/>
        <s v="ChromaDB, LlamaIndex, GCP Vertex AI"/>
        <s v="Rust, PyTorch, SQL, MLflow, Weights &amp; Biases"/>
        <s v="Pinecone, RLHF, Rust, FastAPI, PyTorch, MLflow, Spark"/>
        <s v="SQL, TensorFlow, Weights &amp; Biases"/>
        <s v="Vector Databases, Weights &amp; Biases, PyTorch, Rust"/>
        <s v="dbt, RLHF, ChromaDB, PyTorch, Python"/>
        <s v="Azure ML, C++, SQL, AWS SageMaker"/>
        <s v="dbt, GCP Vertex AI, Hugging Face Transformers"/>
        <s v="LangChain, Kubernetes, CUDA, Pinecone, Weaviate"/>
        <s v="Kubernetes, Python, OpenAI API, AWS SageMaker, Spark"/>
        <s v="OpenAI API, RAG, AWS SageMaker, TensorFlow, GCP Vertex AI"/>
        <s v="PyTorch, Python, SQL, Docker, CUDA"/>
        <s v="FastAPI, Vector Databases, Python, Docker"/>
        <s v="Pinecone, Fine-tuning, Rust, FastAPI, RLHF, Weaviate, C++"/>
        <s v="AWS SageMaker, Hugging Face Transformers, Pinecone, LlamaIndex, JAX, SQL, LangChain"/>
        <s v="TensorFlow, Kubernetes, LlamaIndex, Spark"/>
        <s v="AWS SageMaker, CUDA, Pinecone"/>
        <s v="Azure ML, CUDA, Pinecone, Weights &amp; Biases"/>
        <s v="SQL, LlamaIndex, JAX, C++"/>
        <s v="RAG, Pinecone, MLflow, TensorFlow, dbt, RLHF"/>
        <s v="LlamaIndex, SQL, TensorFlow, Pinecone, C++"/>
        <s v="OpenAI API, RLHF, Rust, MLflow"/>
        <s v="Rust, GCP Vertex AI, dbt, ChromaDB, TensorFlow, Spark"/>
        <s v="Fine-tuning, LangChain, Vector Databases, Weights &amp; Biases, Spark"/>
        <s v="JAX, RLHF, SQL, C++"/>
        <s v="OpenAI API, Vector Databases, MLflow"/>
        <s v="Weaviate, OpenAI API, Hugging Face Transformers"/>
        <s v="PyTorch, Rust, C++, FastAPI, CUDA, JAX"/>
        <s v="Python, FastAPI, LlamaIndex"/>
        <s v="ChromaDB, Fine-tuning, Vector Databases"/>
        <s v="PyTorch, LangChain, SQL, FastAPI"/>
        <s v="FastAPI, RLHF, Kubernetes, OpenAI API, SQL, Weights &amp; Biases, Rust"/>
        <s v="LangChain, TensorFlow, AWS SageMaker, Python"/>
        <s v="C++, ChromaDB, OpenAI API"/>
        <s v="C++, Python, FastAPI, LangChain, Kubernetes, RLHF"/>
        <s v="Python, LlamaIndex, Vector Databases, PyTorch"/>
        <s v="Kubernetes, LlamaIndex, CUDA, AWS SageMaker, Pinecone, Spark"/>
        <s v="Azure ML, RAG, Vector Databases, ChromaDB, FastAPI, Spark, RLHF"/>
        <s v="PyTorch, Weaviate, FastAPI"/>
        <s v="Python, Pinecone, LangChain, Rust, Weights &amp; Biases, dbt, Azure ML"/>
        <s v="MLflow, Kubernetes, GCP Vertex AI, TensorFlow, PyTorch, AWS SageMaker"/>
        <s v="RLHF, Fine-tuning, MLflow, SQL, Docker"/>
        <s v="TensorFlow, Azure ML, ChromaDB, Pinecone"/>
        <s v="ChromaDB, Vector Databases, dbt, RLHF, LangChain, Docker"/>
        <s v="Pinecone, PyTorch, Rust, ChromaDB, AWS SageMaker, Spark, SQL"/>
        <s v="LangChain, Fine-tuning, RAG, LlamaIndex, OpenAI API"/>
        <s v="RLHF, Rust, Python, TensorFlow, MLflow, Docker, Hugging Face Transformers"/>
        <s v="Spark, Rust, dbt"/>
        <s v="Python, Weights &amp; Biases, C++, Weaviate, Pinecone, Spark"/>
        <s v="Pinecone, Weights &amp; Biases, Kubernetes, ChromaDB, RLHF"/>
        <s v="RAG, ChromaDB, TensorFlow, AWS SageMaker"/>
        <s v="dbt, CUDA, Vector Databases, JAX, Spark, PyTorch, Docker"/>
        <s v="Weaviate, Kubernetes, GCP Vertex AI, Weights &amp; Biases, RAG, Azure ML, LangChain"/>
        <s v="SQL, Fine-tuning, Python, Docker, RLHF"/>
        <s v="Pinecone, ChromaDB, Rust"/>
        <s v="Fine-tuning, Python, SQL"/>
        <s v="OpenAI API, Vector Databases, Weights &amp; Biases, Fine-tuning"/>
        <s v="Vector Databases, LlamaIndex, Docker, LangChain, SQL"/>
        <s v="SQL, Weaviate, ChromaDB, FastAPI, Spark"/>
        <s v="RAG, Spark, Docker, Weaviate"/>
        <s v="GCP Vertex AI, Rust, dbt, PyTorch, LangChain"/>
        <s v="Fine-tuning, dbt, Weights &amp; Biases"/>
        <s v="Vector Databases, Python, PyTorch, CUDA, SQL, Spark"/>
        <s v="Rust, Fine-tuning, Docker, Hugging Face Transformers, Python"/>
        <s v="Rust, SQL, Python, Fine-tuning, LlamaIndex, Kubernetes, Azure ML"/>
        <s v="Hugging Face Transformers, CUDA, JAX, LangChain, C++, LlamaIndex"/>
        <s v="Azure ML, CUDA, Pinecone"/>
        <s v="OpenAI API, CUDA, TensorFlow, Hugging Face Transformers"/>
        <s v="OpenAI API, Pinecone, Docker"/>
        <s v="LlamaIndex, LangChain, dbt, Weaviate, MLflow"/>
        <s v="GCP Vertex AI, Weights &amp; Biases, LlamaIndex, OpenAI API, TensorFlow, LangChain"/>
        <s v="Kubernetes, dbt, AWS SageMaker, Spark"/>
        <s v="C++, PyTorch, Docker, GCP Vertex AI"/>
        <s v="CUDA, MLflow, Rust"/>
        <s v="Docker, Fine-tuning, PyTorch, C++, Weaviate"/>
        <s v="Weaviate, RLHF, Pinecone, dbt"/>
        <s v="ChromaDB, MLflow, LlamaIndex, Vector Databases, LangChain, Docker"/>
        <s v="Spark, Kubernetes, ChromaDB, RLHF, Hugging Face Transformers, Pinecone, CUDA"/>
        <s v="LlamaIndex, LangChain, PyTorch, C++"/>
        <s v="Rust, dbt, Vector Databases, MLflow, RAG, LangChain, Python"/>
        <s v="Rust, Vector Databases, Docker"/>
        <s v="RLHF, C++, FastAPI"/>
        <s v="Fine-tuning, Docker, TensorFlow, C++, Python, Spark"/>
        <s v="Python, Azure ML, FastAPI, Weaviate, C++, OpenAI API, Fine-tuning"/>
        <s v="Weaviate, Pinecone, Spark, ChromaDB, LangChain, Vector Databases, CUDA"/>
        <s v="LlamaIndex, Python, TensorFlow, Fine-tuning"/>
        <s v="Rust, RLHF, Azure ML"/>
        <s v="LlamaIndex, Docker, TensorFlow, SQL, MLflow, ChromaDB, RAG"/>
        <s v="C++, Weaviate, Azure ML"/>
        <s v="Python, Weights &amp; Biases, PyTorch, TensorFlow, Spark, RAG, Kubernetes"/>
        <s v="Python, PyTorch, TensorFlow, Vector Databases, Pinecone"/>
        <s v="Weaviate, Spark, MLflow, FastAPI, PyTorch"/>
        <s v="PyTorch, C++, ChromaDB, LlamaIndex, OpenAI API, JAX"/>
        <s v="Kubernetes, Rust, Spark, LlamaIndex, ChromaDB"/>
        <s v="LlamaIndex, Vector Databases, OpenAI API, Rust, AWS SageMaker, Weaviate, TensorFlow"/>
        <s v="RLHF, Docker, Pinecone, FastAPI, JAX"/>
        <s v="JAX, AWS SageMaker, Weaviate, Pinecone, OpenAI API"/>
        <s v="RLHF, SQL, GCP Vertex AI, Azure ML, TensorFlow"/>
        <s v="LangChain, Kubernetes, JAX, TensorFlow, C++, RLHF, Pinecone"/>
        <s v="MLflow, SQL, Azure ML, Kubernetes, GCP Vertex AI, Docker"/>
        <s v="FastAPI, Rust, MLflow, PyTorch, TensorFlow, GCP Vertex AI"/>
        <s v="LangChain, FastAPI, RLHF, MLflow, OpenAI API, LlamaIndex"/>
        <s v="OpenAI API, AWS SageMaker, FastAPI, Weights &amp; Biases, Python, JAX, MLflow"/>
        <s v="LangChain, Kubernetes, Spark, GCP Vertex AI, SQL, FastAPI, Hugging Face Transformers"/>
        <s v="ChromaDB, Python, Spark, CUDA, RAG, JAX, Fine-tuning"/>
        <s v="MLflow, JAX, OpenAI API, dbt"/>
        <s v="C++, Python, TensorFlow, Vector Databases, OpenAI API"/>
        <s v="Rust, Kubernetes, AWS SageMaker, GCP Vertex AI"/>
        <s v="Docker, Kubernetes, Python, LlamaIndex, LangChain, TensorFlow, RAG"/>
        <s v="GCP Vertex AI, CUDA, ChromaDB, Hugging Face Transformers, TensorFlow, Rust"/>
        <s v="Hugging Face Transformers, TensorFlow, Docker, RLHF, Rust, Python, MLflow"/>
        <s v="Azure ML, Pinecone, Rust"/>
        <s v="JAX, GCP Vertex AI, ChromaDB, Weights &amp; Biases, RLHF, MLflow, Vector Databases"/>
        <s v="LlamaIndex, Pinecone, ChromaDB, Vector Databases, Hugging Face Transformers, CUDA, Docker"/>
        <s v="LlamaIndex, dbt, PyTorch, Docker"/>
        <s v="LlamaIndex, PyTorch, Spark"/>
        <s v="Pinecone, TensorFlow, Fine-tuning, GCP Vertex AI"/>
        <s v="LangChain, SQL, Weaviate, Kubernetes, LlamaIndex, TensorFlow, dbt"/>
        <s v="Kubernetes, C++, Weights &amp; Biases, Weaviate, Docker"/>
        <s v="C++, RAG, RLHF, FastAPI, PyTorch, CUDA"/>
        <s v="OpenAI API, dbt, AWS SageMaker, SQL, FastAPI, JAX"/>
        <s v="TensorFlow, AWS SageMaker, LlamaIndex"/>
        <s v="LangChain, Weights &amp; Biases, SQL, Fine-tuning, LlamaIndex, Spark, Kubernetes"/>
        <s v="dbt, PyTorch, Azure ML, Weaviate, Kubernetes"/>
        <s v="CUDA, RLHF, FastAPI, Weights &amp; Biases, RAG"/>
        <s v="ChromaDB, Vector Databases, CUDA, Docker, RAG"/>
        <s v="GCP Vertex AI, C++, SQL, AWS SageMaker, Pinecone, TensorFlow, JAX"/>
        <s v="Kubernetes, Azure ML, FastAPI, MLflow"/>
        <s v="JAX, AWS SageMaker, OpenAI API, MLflow, Rust"/>
        <s v="LangChain, TensorFlow, Azure ML, Weights &amp; Biases"/>
        <s v="PyTorch, LangChain, Vector Databases, OpenAI API, Spark, Hugging Face Transformers"/>
        <s v="Fine-tuning, OpenAI API, RLHF, Python, LangChain"/>
        <s v="Python, LlamaIndex, Vector Databases"/>
        <s v="FastAPI, RAG, Pinecone, Rust"/>
        <s v="Spark, Hugging Face Transformers, ChromaDB, Weights &amp; Biases, JAX, Vector Databases, Kubernetes"/>
        <s v="SQL, Hugging Face Transformers, Python, AWS SageMaker, Azure ML, Vector Databases, MLflow"/>
        <s v="RLHF, PyTorch, Pinecone, Hugging Face Transformers, RAG, SQL, Vector Databases"/>
        <s v="Spark, Hugging Face Transformers, MLflow, TensorFlow, Vector Databases, dbt, JAX"/>
        <s v="Python, Spark, LangChain, FastAPI, SQL, AWS SageMaker, Docker"/>
        <s v="GCP Vertex AI, OpenAI API, Azure ML, Spark, PyTorch, RAG, Kubernetes"/>
        <s v="dbt, GCP Vertex AI, Kubernetes, Weaviate, AWS SageMaker, LangChain"/>
        <s v="dbt, Azure ML, RAG, TensorFlow, GCP Vertex AI, Weights &amp; Biases"/>
        <s v="GCP Vertex AI, Fine-tuning, Docker, Python, ChromaDB"/>
        <s v="Hugging Face Transformers, Fine-tuning, dbt, Python, TensorFlow"/>
        <s v="RAG, PyTorch, ChromaDB, Pinecone, Vector Databases, OpenAI API"/>
        <s v="Spark, dbt, ChromaDB, JAX"/>
        <s v="Hugging Face Transformers, LangChain, ChromaDB"/>
        <s v="Fine-tuning, Weaviate, RLHF, RAG"/>
        <s v="MLflow, PyTorch, Docker, GCP Vertex AI, CUDA, Python"/>
        <s v="Spark, Azure ML, LlamaIndex, ChromaDB, MLflow, RAG, Kubernetes"/>
        <s v="SQL, AWS SageMaker, Pinecone, CUDA, Weaviate"/>
        <s v="Rust, JAX, AWS SageMaker"/>
        <s v="Hugging Face Transformers, LlamaIndex, Kubernetes, PyTorch, ChromaDB, GCP Vertex AI, Pinecone"/>
        <s v="JAX, FastAPI, ChromaDB"/>
        <s v="Azure ML, GCP Vertex AI, Vector Databases, Rust, ChromaDB, LlamaIndex"/>
        <s v="LlamaIndex, JAX, Weights &amp; Biases"/>
        <s v="Python, Weaviate, Fine-tuning, Rust, TensorFlow, ChromaDB"/>
        <s v="OpenAI API, C++, Fine-tuning, Hugging Face Transformers"/>
        <s v="Fine-tuning, Pinecone, Weights &amp; Biases, MLflow, dbt, FastAPI, RAG"/>
        <s v="Spark, dbt, Vector Databases"/>
        <s v="Docker, Fine-tuning, RAG, GCP Vertex AI, Hugging Face Transformers, RLHF, Rust"/>
        <s v="OpenAI API, JAX, Python, Kubernetes"/>
        <s v="SQL, Azure ML, FastAPI, GCP Vertex AI, Kubernetes, Weights &amp; Biases, PyTorch"/>
        <s v="PyTorch, LlamaIndex, Weaviate, AWS SageMaker"/>
        <s v="RLHF, Weights &amp; Biases, FastAPI, LangChain, Vector Databases, Spark, CUDA"/>
        <s v="GCP Vertex AI, Pinecone, CUDA, TensorFlow"/>
        <s v="RLHF, ChromaDB, FastAPI, TensorFlow"/>
        <s v="CUDA, PyTorch, C++, Vector Databases, AWS SageMaker, MLflow"/>
        <s v="RAG, Weights &amp; Biases, Docker, Kubernetes, Rust, Weaviate"/>
        <s v="MLflow, Weaviate, C++"/>
        <s v="Python, CUDA, Azure ML, SQL"/>
        <s v="Fine-tuning, Spark, dbt, OpenAI API, Hugging Face Transformers, SQL"/>
        <s v="Azure ML, Weaviate, TensorFlow, LlamaIndex, SQL, Rust"/>
        <s v="RLHF, dbt, Weights &amp; Biases, Rust"/>
        <s v="Weights &amp; Biases, LangChain, Kubernetes, Spark"/>
        <s v="Pinecone, dbt, JAX, LangChain, MLflow"/>
        <s v="PyTorch, RAG, AWS SageMaker, C++, FastAPI, LlamaIndex, dbt"/>
        <s v="Weights &amp; Biases, AWS SageMaker, FastAPI, JAX, LangChain, SQL"/>
        <s v="AWS SageMaker, Hugging Face Transformers, SQL"/>
        <s v="C++, FastAPI, Fine-tuning, ChromaDB"/>
        <s v="MLflow, Python, PyTorch, Azure ML"/>
        <s v="Weaviate, MLflow, Python, Azure ML"/>
        <s v="Kubernetes, CUDA, JAX, Hugging Face Transformers, Weaviate, OpenAI API"/>
        <s v="Hugging Face Transformers, RAG, RLHF, LangChain, Kubernetes, Fine-tuning"/>
        <s v="Weights &amp; Biases, CUDA, TensorFlow, Pinecone, Vector Databases, GCP Vertex AI, MLflow"/>
        <s v="LangChain, CUDA, Spark, Docker, Kubernetes, TensorFlow, SQL"/>
        <s v="MLflow, C++, Weights &amp; Biases"/>
        <s v="Pinecone, ChromaDB, CUDA, Hugging Face Transformers, GCP Vertex AI, FastAPI, Kubernetes"/>
        <s v="TensorFlow, FastAPI, RLHF, ChromaDB, SQL"/>
        <s v="Rust, SQL, Pinecone, CUDA"/>
        <s v="Python, Docker, AWS SageMaker, GCP Vertex AI, JAX, SQL, Hugging Face Transformers"/>
        <s v="JAX, PyTorch, Python, Weaviate, Hugging Face Transformers, Docker, Rust"/>
        <s v="Weaviate, Kubernetes, SQL, C++, Weights &amp; Biases, Vector Databases, Docker"/>
        <s v="Weights &amp; Biases, RAG, FastAPI, dbt, LangChain"/>
        <s v="FastAPI, Vector Databases, Weights &amp; Biases, Python, Spark, LangChain, Pinecone"/>
        <s v="RAG, Vector Databases, Docker"/>
        <s v="SQL, Fine-tuning, Vector Databases, LlamaIndex, GCP Vertex AI, CUDA, Hugging Face Transformers"/>
        <s v="AWS SageMaker, dbt, Rust, GCP Vertex AI, Azure ML, SQL, Kubernetes"/>
        <s v="Hugging Face Transformers, MLflow, C++"/>
        <s v="Spark, RLHF, Vector Databases, Hugging Face Transformers"/>
        <s v="MLflow, CUDA, GCP Vertex AI, LangChain"/>
        <s v="RLHF, AWS SageMaker, Docker, Vector Databases, Kubernetes, Azure ML"/>
        <s v="RLHF, OpenAI API, Docker, AWS SageMaker, SQL, CUDA, PyTorch"/>
        <s v="PyTorch, Pinecone, Vector Databases, CUDA, Weaviate, Hugging Face Transformers"/>
        <s v="LangChain, RLHF, MLflow, AWS SageMaker"/>
        <s v="Docker, CUDA, RAG, Vector Databases, TensorFlow"/>
        <s v="JAX, GCP Vertex AI, PyTorch, SQL, ChromaDB"/>
        <s v="SQL, Fine-tuning, dbt, Pinecone, AWS SageMaker, FastAPI, Hugging Face Transformers"/>
        <s v="JAX, Azure ML, C++, FastAPI, Vector Databases, GCP Vertex AI, Spark"/>
        <s v="C++, LlamaIndex, AWS SageMaker"/>
        <s v="Rust, Docker, OpenAI API"/>
        <s v="ChromaDB, Kubernetes, SQL"/>
        <s v="Azure ML, GCP Vertex AI, LlamaIndex"/>
        <s v="OpenAI API, LlamaIndex, dbt, RAG, Python"/>
        <s v="LangChain, Kubernetes, Weights &amp; Biases, Fine-tuning, PyTorch"/>
        <s v="MLflow, Rust, Pinecone, Vector Databases, OpenAI API"/>
        <s v="CUDA, FastAPI, C++, Fine-tuning, TensorFlow"/>
        <s v="RAG, AWS SageMaker, Kubernetes"/>
        <s v="AWS SageMaker, Hugging Face Transformers, Pinecone, TensorFlow"/>
        <s v="Fine-tuning, C++, Docker, PyTorch, Azure ML"/>
        <s v="CUDA, LangChain, Docker, Spark, C++, dbt, FastAPI"/>
        <s v="Spark, MLflow, Python, ChromaDB, Hugging Face Transformers, FastAPI, Pinecone"/>
        <s v="Docker, OpenAI API, Python, Spark, Fine-tuning, Weaviate"/>
        <s v="RLHF, Spark, Weights &amp; Biases, Azure ML, Pinecone, Kubernetes"/>
        <s v="Pinecone, C++, Spark, CUDA"/>
        <s v="Weights &amp; Biases, Spark, Azure ML"/>
        <s v="FastAPI, Kubernetes, C++, Weaviate, Spark"/>
        <s v="Fine-tuning, OpenAI API, Hugging Face Transformers, C++, Azure ML, TensorFlow, Vector Databases"/>
        <s v="Fine-tuning, LangChain, MLflow, RAG, OpenAI API, PyTorch, Vector Databases"/>
        <s v="TensorFlow, ChromaDB, Azure ML, OpenAI API"/>
        <s v="OpenAI API, SQL, RLHF, TensorFlow, JAX, PyTorch"/>
        <s v="Rust, C++, Docker"/>
        <s v="PyTorch, LlamaIndex, C++, Kubernetes, FastAPI, AWS SageMaker"/>
        <s v="Rust, C++, Vector Databases, Hugging Face Transformers, RAG, SQL"/>
        <s v="ChromaDB, Weaviate, Azure ML, LangChain, RAG"/>
        <s v="JAX, Fine-tuning, Docker, Vector Databases, Weaviate, CUDA, Pinecone"/>
        <s v="ChromaDB, LangChain, PyTorch"/>
        <s v="C++, OpenAI API, Rust, GCP Vertex AI"/>
        <s v="MLflow, CUDA, Python, Hugging Face Transformers"/>
        <s v="RAG, Kubernetes, Rust, AWS SageMaker, Weights &amp; Biases, MLflow, JAX"/>
        <s v="RAG, ChromaDB, FastAPI"/>
        <s v="Rust, Weights &amp; Biases, GCP Vertex AI, AWS SageMaker, Weaviate, TensorFlow, FastAPI"/>
        <s v="RLHF, TensorFlow, LangChain, Pinecone"/>
        <s v="TensorFlow, Azure ML, OpenAI API"/>
        <s v="LangChain, PyTorch, Weaviate"/>
        <s v="PyTorch, Pinecone, Azure ML, JAX"/>
        <s v="Python, AWS SageMaker, TensorFlow"/>
        <s v="LangChain, PyTorch, CUDA, RLHF, SQL, Hugging Face Transformers"/>
        <s v="Weights &amp; Biases, Spark, Fine-tuning, TensorFlow, Azure ML, Rust, LlamaIndex"/>
        <s v="Spark, Hugging Face Transformers, JAX, LlamaIndex, RLHF"/>
        <s v="Azure ML, Weaviate, Fine-tuning, TensorFlow"/>
        <s v="CUDA, Fine-tuning, MLflow, Rust, RAG, Azure ML"/>
        <s v="AWS SageMaker, Vector Databases, RLHF, TensorFlow, dbt, Hugging Face Transformers, ChromaDB"/>
        <s v="AWS SageMaker, PyTorch, Weights &amp; Biases, Fine-tuning"/>
        <s v="Python, RAG, dbt, MLflow"/>
        <s v="Kubernetes, AWS SageMaker, JAX, GCP Vertex AI, dbt, ChromaDB"/>
        <s v="CUDA, LangChain, C++, PyTorch, Hugging Face Transformers"/>
        <s v="Python, C++, Kubernetes, Vector Databases, LlamaIndex, LangChain"/>
        <s v="Python, OpenAI API, AWS SageMaker"/>
        <s v="dbt, MLflow, SQL, FastAPI, PyTorch"/>
        <s v="Kubernetes, GCP Vertex AI, Pinecone, Hugging Face Transformers, MLflow"/>
        <s v="Fine-tuning, Python, Weaviate"/>
        <s v="OpenAI API, Vector Databases, GCP Vertex AI, Kubernetes, PyTorch, RLHF, Fine-tuning"/>
        <s v="OpenAI API, Rust, FastAPI, LlamaIndex, JAX"/>
        <s v="RAG, Rust, RLHF"/>
        <s v="JAX, AWS SageMaker, C++, LlamaIndex, RAG, TensorFlow"/>
        <s v="Pinecone, TensorFlow, Kubernetes, Python, AWS SageMaker"/>
        <s v="RAG, MLflow, AWS SageMaker, JAX, CUDA, Kubernetes, Weights &amp; Biases"/>
        <s v="Vector Databases, Pinecone, C++, Rust"/>
        <s v="ChromaDB, Azure ML, FastAPI, Vector Databases"/>
        <s v="FastAPI, Weights &amp; Biases, C++, Azure ML, JAX, Docker"/>
        <s v="Weaviate, Spark, FastAPI, Kubernetes, Vector Databases, dbt"/>
        <s v="dbt, Hugging Face Transformers, RAG, PyTorch, CUDA, ChromaDB"/>
        <s v="RLHF, Spark, JAX"/>
        <s v="Fine-tuning, Weights &amp; Biases, Pinecone, Vector Databases, SQL, PyTorch, JAX"/>
        <s v="Azure ML, Rust, Python"/>
        <s v="dbt, Spark, Weights &amp; Biases, GCP Vertex AI"/>
        <s v="LlamaIndex, CUDA, Hugging Face Transformers, Vector Databases, OpenAI API"/>
        <s v="C++, Azure ML, Spark, Vector Databases, Fine-tuning, SQL"/>
        <s v="Hugging Face Transformers, LangChain, C++, Fine-tuning, ChromaDB"/>
        <s v="PyTorch, Fine-tuning, Weaviate"/>
        <s v="OpenAI API, JAX, Hugging Face Transformers, Fine-tuning, RLHF, C++, Docker"/>
        <s v="PyTorch, Weights &amp; Biases, RAG, FastAPI, GCP Vertex AI, Docker, JAX"/>
        <s v="Hugging Face Transformers, JAX, ChromaDB"/>
        <s v="RLHF, CUDA, Hugging Face Transformers, Weaviate"/>
        <s v="CUDA, JAX, Python, Hugging Face Transformers, PyTorch, Weaviate"/>
        <s v="ChromaDB, Kubernetes, Hugging Face Transformers"/>
        <s v="SQL, JAX, Weights &amp; Biases"/>
        <s v="OpenAI API, JAX, Hugging Face Transformers, AWS SageMaker"/>
        <s v="FastAPI, Docker, TensorFlow, Hugging Face Transformers, JAX"/>
        <s v="OpenAI API, TensorFlow, Vector Databases, RLHF, AWS SageMaker, ChromaDB"/>
        <s v="LangChain, Vector Databases, Azure ML, Kubernetes"/>
        <s v="Fine-tuning, LangChain, RLHF, Rust, FastAPI, Kubernetes, Python"/>
        <s v="GCP Vertex AI, LangChain, Docker"/>
        <s v="Azure ML, MLflow, Weights &amp; Biases, Docker"/>
        <s v="Vector Databases, PyTorch, Fine-tuning, JAX, Spark, RAG"/>
        <s v="dbt, AWS SageMaker, Fine-tuning, Docker, PyTorch, Pinecone, GCP Vertex AI"/>
        <s v="Vector Databases, LlamaIndex, dbt, ChromaDB, FastAPI, Hugging Face Transformers"/>
        <s v="Hugging Face Transformers, FastAPI, AWS SageMaker, RLHF, JAX, Weaviate"/>
        <s v="Python, Rust, JAX, SQL, MLflow, Spark, Fine-tuning"/>
        <s v="C++, AWS SageMaker, Spark, PyTorch, Python, MLflow"/>
        <s v="RAG, CUDA, Python, MLflow"/>
        <s v="RAG, AWS SageMaker, OpenAI API, MLflow"/>
        <s v="Rust, Fine-tuning, LangChain, Python"/>
        <s v="Hugging Face Transformers, RLHF, Vector Databases, dbt, RAG, Pinecone"/>
        <s v="LangChain, Pinecone, Weaviate, RLHF, Python"/>
        <s v="TensorFlow, FastAPI, Vector Databases, Hugging Face Transformers, Kubernetes"/>
        <s v="Azure ML, Weights &amp; Biases, Kubernetes, RAG, FastAPI, LlamaIndex, Fine-tuning"/>
        <s v="Vector Databases, Weights &amp; Biases, Docker, Hugging Face Transformers, TensorFlow"/>
        <s v="Weights &amp; Biases, LangChain, AWS SageMaker, Kubernetes, RLHF, Pinecone"/>
        <s v="LlamaIndex, dbt, RAG, FastAPI, Kubernetes, C++"/>
        <s v="ChromaDB, C++, LangChain, Python"/>
        <s v="GCP Vertex AI, JAX, PyTorch"/>
        <s v="Weaviate, LlamaIndex, Hugging Face Transformers"/>
        <s v="OpenAI API, Pinecone, FastAPI, GCP Vertex AI, dbt"/>
        <s v="Rust, Spark, GCP Vertex AI, CUDA, Python"/>
        <s v="Python, Fine-tuning, RAG, OpenAI API, Hugging Face Transformers, PyTorch"/>
        <s v="LangChain, Weaviate, LlamaIndex, Fine-tuning, MLflow, GCP Vertex AI"/>
        <s v="Python, OpenAI API, MLflow, ChromaDB"/>
        <s v="Hugging Face Transformers, TensorFlow, SQL, GCP Vertex AI, Weaviate, RLHF, OpenAI API"/>
        <s v="RLHF, Weights &amp; Biases, Weaviate"/>
        <s v="JAX, FastAPI, ChromaDB, Weights &amp; Biases, dbt"/>
        <s v="OpenAI API, Python, Pinecone"/>
        <s v="Hugging Face Transformers, Rust, Vector Databases"/>
        <s v="Docker, OpenAI API, GCP Vertex AI, Rust, SQL"/>
        <s v="OpenAI API, Fine-tuning, SQL, Python, ChromaDB"/>
        <s v="Python, LlamaIndex, FastAPI, AWS SageMaker, Kubernetes, RAG"/>
        <s v="C++, MLflow, Docker, Pinecone, Weaviate, LlamaIndex"/>
        <s v="SQL, FastAPI, JAX, Pinecone, Fine-tuning, AWS SageMaker"/>
        <s v="Fine-tuning, ChromaDB, SQL, LlamaIndex"/>
        <s v="Kubernetes, OpenAI API, GCP Vertex AI, FastAPI, Weaviate, Weights &amp; Biases, Vector Databases"/>
        <s v="Pinecone, CUDA, Rust"/>
        <s v="AWS SageMaker, PyTorch, Spark"/>
        <s v="OpenAI API, AWS SageMaker, LangChain"/>
        <s v="Hugging Face Transformers, Weights &amp; Biases, Rust, dbt, MLflow"/>
        <s v="SQL, Docker, Weaviate"/>
        <s v="RLHF, SQL, Fine-tuning"/>
        <s v="GCP Vertex AI, Kubernetes, TensorFlow, dbt"/>
        <s v="FastAPI, dbt, Hugging Face Transformers, PyTorch, LlamaIndex, MLflow, GCP Vertex AI"/>
        <s v="Docker, CUDA, RLHF, AWS SageMaker, Weaviate"/>
        <s v="TensorFlow, Rust, Vector Databases, Spark, PyTorch, MLflow, Weaviate"/>
        <s v="C++, TensorFlow, Weaviate, Rust, Azure ML, Pinecone, Python"/>
        <s v="RAG, PyTorch, Spark"/>
        <s v="SQL, Rust, MLflow, Weaviate"/>
        <s v="Weaviate, RAG, dbt, Docker, Spark, MLflow, Python"/>
        <s v="GCP Vertex AI, Weights &amp; Biases, Fine-tuning, LlamaIndex"/>
        <s v="Vector Databases, PyTorch, SQL, Hugging Face Transformers, CUDA, dbt, MLflow"/>
        <s v="Docker, Weaviate, GCP Vertex AI, CUDA, PyTorch, C++, Hugging Face Transformers"/>
        <s v="dbt, Python, Vector Databases, C++, Docker, Azure ML"/>
        <s v="C++, SQL, ChromaDB"/>
        <s v="Kubernetes, Python, LlamaIndex, Weights &amp; Biases, RAG"/>
        <s v="RAG, Kubernetes, PyTorch"/>
        <s v="ChromaDB, LangChain, Hugging Face Transformers"/>
        <s v="Kubernetes, CUDA, LangChain, ChromaDB, Spark"/>
        <s v="LlamaIndex, PyTorch, GCP Vertex AI, AWS SageMaker, Weights &amp; Biases, Weaviate, SQL"/>
        <s v="FastAPI, GCP Vertex AI, RAG, Hugging Face Transformers, CUDA"/>
        <s v="Fine-tuning, Python, RLHF, CUDA, AWS SageMaker, C++, Spark"/>
        <s v="Kubernetes, dbt, Weights &amp; Biases, Spark, TensorFlow, Fine-tuning"/>
        <s v="ChromaDB, Docker, PyTorch, MLflow, RAG, CUDA"/>
        <s v="Spark, ChromaDB, Weaviate, RAG, Fine-tuning, Weights &amp; Biases, AWS SageMaker"/>
        <s v="RAG, Weaviate, Python, Azure ML, dbt, RLHF"/>
        <s v="Kubernetes, OpenAI API, CUDA, LlamaIndex, MLflow, FastAPI"/>
        <s v="RAG, SQL, ChromaDB, Spark, Hugging Face Transformers, Docker"/>
        <s v="TensorFlow, Fine-tuning, SQL"/>
        <s v="GCP Vertex AI, C++, Docker"/>
        <s v="Rust, AWS SageMaker, Kubernetes, OpenAI API, dbt, LlamaIndex"/>
        <s v="Python, Rust, RLHF, JAX, OpenAI API, Weaviate"/>
        <s v="Docker, Python, dbt, Spark, Fine-tuning, Vector Databases"/>
        <s v="OpenAI API, Rust, Pinecone, dbt, Azure ML, Spark"/>
        <s v="ChromaDB, MLflow, FastAPI, dbt"/>
        <s v="MLflow, Rust, dbt, OpenAI API, LlamaIndex, Fine-tuning, Weights &amp; Biases"/>
        <s v="GCP Vertex AI, Kubernetes, Docker, Python, Rust, MLflow, TensorFlow"/>
        <s v="GCP Vertex AI, RAG, MLflow, RLHF"/>
        <s v="TensorFlow, RAG, Pinecone, PyTorch, MLflow"/>
        <s v="Fine-tuning, dbt, RLHF, SQL, Docker, ChromaDB, RAG"/>
        <s v="Python, LangChain, Fine-tuning, GCP Vertex AI"/>
        <s v="Azure ML, LangChain, Hugging Face Transformers, Docker, Vector Databases, Fine-tuning"/>
        <s v="Docker, GCP Vertex AI, LangChain, LlamaIndex, Hugging Face Transformers"/>
        <s v="Python, Pinecone, FastAPI, Kubernetes, GCP Vertex AI, Vector Databases"/>
        <s v="PyTorch, Rust, MLflow, GCP Vertex AI"/>
        <s v="C++, SQL, Vector Databases"/>
        <s v="RLHF, OpenAI API, Azure ML"/>
        <s v="PyTorch, LlamaIndex, dbt, Fine-tuning, Python, Hugging Face Transformers, MLflow"/>
        <s v="OpenAI API, CUDA, AWS SageMaker, LlamaIndex, PyTorch, Kubernetes"/>
        <s v="dbt, Pinecone, Weights &amp; Biases, Hugging Face Transformers, OpenAI API"/>
        <s v="Hugging Face Transformers, JAX, Fine-tuning, Python"/>
        <s v="Hugging Face Transformers, C++, ChromaDB, OpenAI API, dbt, Spark"/>
        <s v="ChromaDB, AWS SageMaker, Fine-tuning, SQL, Weaviate"/>
        <s v="dbt, C++, ChromaDB, PyTorch, Rust, MLflow"/>
        <s v="MLflow, Docker, TensorFlow, Spark, Rust"/>
        <s v="TensorFlow, GCP Vertex AI, Vector Databases, SQL, PyTorch, Weaviate, ChromaDB"/>
        <s v="LlamaIndex, Kubernetes, ChromaDB"/>
        <s v="Spark, RAG, JAX, Rust, FastAPI, LangChain, Pinecone"/>
        <s v="Kubernetes, Vector Databases, FastAPI, LlamaIndex"/>
        <s v="Fine-tuning, Vector Databases, GCP Vertex AI"/>
        <s v="LangChain, GCP Vertex AI, Spark, PyTorch"/>
        <s v="Pinecone, Weaviate, OpenAI API, LangChain, TensorFlow"/>
        <s v="GCP Vertex AI, Spark, FastAPI"/>
        <s v="Azure ML, Fine-tuning, Pinecone, AWS SageMaker, Docker"/>
        <s v="Vector Databases, OpenAI API, FastAPI, Pinecone, dbt"/>
        <s v="FastAPI, Weights &amp; Biases, OpenAI API, MLflow, PyTorch, LlamaIndex, ChromaDB"/>
        <s v="Weaviate, Kubernetes, ChromaDB, Fine-tuning, Rust"/>
        <s v="Docker, Weights &amp; Biases, SQL, LangChain, Fine-tuning, TensorFlow"/>
        <s v="dbt, Vector Databases, RAG, MLflow, JAX"/>
        <s v="FastAPI, Python, Rust, LlamaIndex"/>
        <s v="Fine-tuning, JAX, CUDA, TensorFlow, Python, LlamaIndex"/>
        <s v="PyTorch, TensorFlow, OpenAI API, Weights &amp; Biases, RLHF, Fine-tuning, Weaviate"/>
        <s v="SQL, Hugging Face Transformers, OpenAI API"/>
        <s v="RAG, OpenAI API, TensorFlow, ChromaDB"/>
        <s v="PyTorch, Python, OpenAI API, Rust, Weaviate, GCP Vertex AI, CUDA"/>
        <s v="Kubernetes, ChromaDB, Python, AWS SageMaker, Vector Databases, JAX, Weights &amp; Biases"/>
        <s v="RLHF, Pinecone, CUDA, JAX, ChromaDB, GCP Vertex AI, OpenAI API"/>
        <s v="Vector Databases, Kubernetes, TensorFlow, AWS SageMaker, OpenAI API, ChromaDB, C++"/>
        <s v="dbt, RAG, Spark, Pinecone, GCP Vertex AI, Fine-tuning, AWS SageMaker"/>
        <s v="Python, RAG, PyTorch, Hugging Face Transformers"/>
        <s v="RAG, Fine-tuning, Vector Databases"/>
        <s v="PyTorch, GCP Vertex AI, Kubernetes, CUDA, ChromaDB"/>
        <s v="ChromaDB, LangChain, OpenAI API, Kubernetes"/>
        <s v="Pinecone, RAG, AWS SageMaker, FastAPI"/>
        <s v="FastAPI, RLHF, Spark, dbt, Vector Databases, C++"/>
        <s v="C++, GCP Vertex AI, ChromaDB, CUDA, TensorFlow"/>
        <s v="MLflow, Azure ML, Hugging Face Transformers, AWS SageMaker, RLHF, Docker, RAG"/>
        <s v="Vector Databases, ChromaDB, LlamaIndex, AWS SageMaker, LangChain, GCP Vertex AI"/>
        <s v="Kubernetes, dbt, ChromaDB, Python, Fine-tuning, LangChain"/>
        <s v="LangChain, RAG, JAX"/>
        <s v="LangChain, Docker, Weaviate"/>
        <s v="Rust, FastAPI, RLHF, RAG, Hugging Face Transformers"/>
        <s v="Spark, AWS SageMaker, Python, OpenAI API, RAG, ChromaDB, Docker"/>
        <s v="Kubernetes, OpenAI API, GCP Vertex AI, JAX, SQL, LangChain, PyTorch"/>
        <s v="Docker, OpenAI API, Vector Databases, dbt, Fine-tuning"/>
        <s v="Vector Databases, SQL, OpenAI API, PyTorch, TensorFlow, Docker"/>
        <s v="LlamaIndex, Pinecone, Weaviate"/>
        <s v="Docker, Pinecone, JAX, Weights &amp; Biases"/>
        <s v="OpenAI API, Weaviate, RAG"/>
        <s v="dbt, CUDA, Python, Hugging Face Transformers, Pinecone, Weaviate"/>
        <s v="Vector Databases, RAG, AWS SageMaker, CUDA, Fine-tuning"/>
        <s v="Spark, LlamaIndex, LangChain, Azure ML"/>
        <s v="GCP Vertex AI, Hugging Face Transformers, FastAPI, Spark, Vector Databases"/>
        <s v="RAG, SQL, AWS SageMaker, Pinecone, ChromaDB, CUDA"/>
        <s v="Spark, Weights &amp; Biases, TensorFlow, RLHF, LlamaIndex, RAG"/>
        <s v="Pinecone, Spark, Fine-tuning, Hugging Face Transformers, Docker, PyTorch"/>
        <s v="Vector Databases, Fine-tuning, Hugging Face Transformers"/>
        <s v="CUDA, LlamaIndex, Pinecone, OpenAI API, Azure ML"/>
        <s v="Kubernetes, Azure ML, dbt"/>
        <s v="Vector Databases, Weaviate, PyTorch, SQL, FastAPI"/>
        <s v="Rust, FastAPI, Pinecone, LangChain"/>
        <s v="Vector Databases, Weaviate, Spark, MLflow, Python"/>
        <s v="ChromaDB, Python, GCP Vertex AI, C++, Weaviate, Rust, Azure ML"/>
        <s v="MLflow, AWS SageMaker, Azure ML"/>
        <s v="JAX, PyTorch, TensorFlow, RAG, GCP Vertex AI, LlamaIndex"/>
        <s v="SQL, Hugging Face Transformers, Spark, JAX, RAG, AWS SageMaker, Docker"/>
        <s v="Docker, TensorFlow, RLHF"/>
        <s v="RAG, Hugging Face Transformers, C++"/>
        <s v="GCP Vertex AI, Spark, Weaviate"/>
        <s v="Hugging Face Transformers, SQL, LlamaIndex, C++, Python"/>
        <s v="RAG, Kubernetes, LlamaIndex"/>
        <s v="dbt, ChromaDB, PyTorch"/>
        <s v="RAG, LlamaIndex, Hugging Face Transformers"/>
        <s v="Weights &amp; Biases, Rust, OpenAI API, LlamaIndex, Kubernetes"/>
        <s v="SQL, AWS SageMaker, FastAPI"/>
        <s v="TensorFlow, LlamaIndex, Python, Rust, ChromaDB, Hugging Face Transformers"/>
        <s v="Python, RAG, Spark, Vector Databases, C++, Fine-tuning"/>
        <s v="TensorFlow, JAX, AWS SageMaker, LlamaIndex, SQL, C++"/>
        <s v="Azure ML, SQL, dbt, Spark, Pinecone, RAG"/>
        <s v="JAX, OpenAI API, Pinecone, LlamaIndex, PyTorch"/>
        <s v="Docker, GCP Vertex AI, Azure ML, Kubernetes"/>
        <s v="Hugging Face Transformers, Docker, C++, Rust"/>
        <s v="LlamaIndex, C++, dbt"/>
        <s v="CUDA, LlamaIndex, TensorFlow, ChromaDB, LangChain"/>
        <s v="RLHF, CUDA, LlamaIndex, Azure ML, LangChain, Pinecone, AWS SageMaker"/>
        <s v="MLflow, PyTorch, ChromaDB, Docker"/>
        <s v="JAX, Rust, C++, LlamaIndex"/>
        <s v="RAG, Python, Rust, Pinecone, Hugging Face Transformers, MLflow, Weaviate"/>
        <s v="Docker, ChromaDB, MLflow, PyTorch, LangChain, OpenAI API"/>
        <s v="MLflow, JAX, CUDA, Spark, PyTorch, Weaviate, FastAPI"/>
        <s v="TensorFlow, dbt, OpenAI API, C++, GCP Vertex AI"/>
        <s v="RAG, AWS SageMaker, RLHF, LangChain, Vector Databases"/>
        <s v="Vector Databases, MLflow, LangChain, Fine-tuning"/>
        <s v="OpenAI API, dbt, JAX, Hugging Face Transformers, Fine-tuning, TensorFlow, Vector Databases"/>
        <s v="MLflow, LlamaIndex, Weaviate, Azure ML, Kubernetes, Rust"/>
        <s v="Weaviate, C++, Docker, Fine-tuning, Vector Databases"/>
        <s v="Rust, Weights &amp; Biases, MLflow, PyTorch, Hugging Face Transformers"/>
        <s v="Spark, RLHF, FastAPI"/>
        <s v="Spark, Pinecone, RAG, OpenAI API, Python, SQL"/>
        <s v="Weights &amp; Biases, dbt, Vector Databases, CUDA, C++"/>
        <s v="RAG, FastAPI, RLHF, Fine-tuning, AWS SageMaker, PyTorch"/>
        <s v="FastAPI, RLHF, SQL, OpenAI API"/>
        <s v="FastAPI, LangChain, GCP Vertex AI"/>
        <s v="RAG, Azure ML, Weaviate, ChromaDB"/>
        <s v="Vector Databases, JAX, TensorFlow, SQL, Hugging Face Transformers"/>
        <s v="TensorFlow, Vector Databases, MLflow, LlamaIndex"/>
        <s v="PyTorch, Rust, MLflow"/>
        <s v="Docker, OpenAI API, C++, LlamaIndex, Vector Databases"/>
        <s v="Weights &amp; Biases, PyTorch, ChromaDB"/>
        <s v="MLflow, Docker, TensorFlow, GCP Vertex AI, Weaviate"/>
        <s v="RAG, Hugging Face Transformers, Weaviate, Spark, Python, Pinecone"/>
        <s v="TensorFlow, C++, CUDA, PyTorch"/>
        <s v="Weights &amp; Biases, AWS SageMaker, LlamaIndex"/>
        <s v="Vector Databases, JAX, RAG, LlamaIndex, dbt, Pinecone, Weaviate"/>
        <s v="Hugging Face Transformers, JAX, Fine-tuning, C++, Rust, RLHF, Pinecone"/>
        <s v="dbt, MLflow, Weaviate, SQL, Python, RLHF, AWS SageMaker"/>
        <s v="Python, Weaviate, C++, OpenAI API, Azure ML"/>
        <s v="TensorFlow, C++, LlamaIndex, ChromaDB, Azure ML, RAG, FastAPI"/>
        <s v="Docker, SQL, MLflow, Spark, Hugging Face Transformers"/>
        <s v="Spark, Python, TensorFlow, Pinecone, RAG"/>
        <s v="Spark, Weaviate, Python"/>
        <s v="Azure ML, Kubernetes, Vector Databases, Rust, Weights &amp; Biases, Spark"/>
        <s v="PyTorch, Weights &amp; Biases, RAG, Weaviate, JAX"/>
        <s v="dbt, Weights &amp; Biases, CUDA, Docker"/>
        <s v="Pinecone, GCP Vertex AI, Kubernetes, LlamaIndex, Python"/>
        <s v="AWS SageMaker, Kubernetes, CUDA, Weights &amp; Biases, Fine-tuning"/>
        <s v="Weights &amp; Biases, C++, Python, PyTorch"/>
        <s v="Kubernetes, Weaviate, Python"/>
        <s v="AWS SageMaker, OpenAI API, GCP Vertex AI"/>
        <s v="LangChain, LlamaIndex, Kubernetes"/>
        <s v="MLflow, PyTorch, Pinecone"/>
        <s v="Vector Databases, dbt, JAX"/>
        <s v="OpenAI API, Kubernetes, RLHF, Docker, RAG, LangChain"/>
        <s v="LangChain, Pinecone, Rust, Spark, RLHF, RAG, Hugging Face Transformers"/>
        <s v="AWS SageMaker, GCP Vertex AI, PyTorch"/>
        <s v="Weaviate, Pinecone, PyTorch, AWS SageMaker, CUDA, Azure ML, TensorFlow"/>
        <s v="Vector Databases, Azure ML, FastAPI, RLHF"/>
        <s v="Azure ML, Kubernetes, Rust, TensorFlow, PyTorch, dbt, Spark"/>
        <s v="Rust, TensorFlow, RLHF, OpenAI API, CUDA"/>
        <s v="ChromaDB, TensorFlow, Rust, GCP Vertex AI, RLHF, OpenAI API"/>
        <s v="C++, Weights &amp; Biases, TensorFlow, Azure ML, OpenAI API, PyTorch, Docker"/>
        <s v="Hugging Face Transformers, SQL, GCP Vertex AI"/>
        <s v="Kubernetes, Rust, Fine-tuning, Weaviate"/>
        <s v="AWS SageMaker, Hugging Face Transformers, LlamaIndex, Python, LangChain, Kubernetes, Weaviate"/>
        <s v="Kubernetes, Weaviate, ChromaDB"/>
        <s v="PyTorch, Python, Azure ML"/>
        <s v="Hugging Face Transformers, OpenAI API, RLHF"/>
        <s v="RAG, C++, LangChain, SQL, Hugging Face Transformers"/>
        <s v="Weights &amp; Biases, RAG, FastAPI, C++"/>
        <s v="Weights &amp; Biases, LlamaIndex, OpenAI API, dbt"/>
        <s v="TensorFlow, Rust, RLHF"/>
        <s v="Vector Databases, Python, C++, Docker, RAG"/>
        <s v="dbt, SQL, Spark, Kubernetes, RAG, Weights &amp; Biases"/>
        <s v="TensorFlow, PyTorch, Docker, RAG, Weights &amp; Biases"/>
        <s v="FastAPI, RAG, Spark, PyTorch, Vector Databases, GCP Vertex AI, dbt"/>
        <s v="Docker, Weaviate, CUDA"/>
        <s v="Fine-tuning, CUDA, Kubernetes, LangChain, OpenAI API"/>
        <s v="Vector Databases, Weaviate, Pinecone, TensorFlow"/>
        <s v="OpenAI API, Rust, dbt, MLflow, Hugging Face Transformers"/>
        <s v="AWS SageMaker, MLflow, SQL"/>
        <s v="FastAPI, C++, LangChain, LlamaIndex, Vector Databases, Docker, OpenAI API"/>
        <s v="C++, Vector Databases, CUDA, Fine-tuning, JAX"/>
        <s v="Docker, GCP Vertex AI, Kubernetes, LangChain, CUDA, RAG, OpenAI API"/>
        <s v="Weaviate, RLHF, LlamaIndex, Spark, Docker, Weights &amp; Biases, PyTorch"/>
        <s v="OpenAI API, SQL, Vector Databases, Fine-tuning"/>
        <s v="MLflow, SQL, Pinecone"/>
        <s v="Spark, Rust, AWS SageMaker"/>
        <s v="MLflow, JAX, TensorFlow, LangChain, dbt"/>
        <s v="JAX, OpenAI API, RLHF"/>
        <s v="Python, Spark, OpenAI API"/>
        <s v="Hugging Face Transformers, FastAPI, JAX, ChromaDB, Azure ML, Kubernetes, Weights &amp; Biases"/>
        <s v="AWS SageMaker, Python, RAG, Fine-tuning"/>
        <s v="RAG, Fine-tuning, SQL, Docker, Weights &amp; Biases, PyTorch, Pinecone"/>
        <s v="GCP Vertex AI, C++, Python, ChromaDB"/>
        <s v="CUDA, Fine-tuning, AWS SageMaker, GCP Vertex AI, OpenAI API, Rust, SQL"/>
        <s v="OpenAI API, Docker, AWS SageMaker, Weights &amp; Biases, Rust, SQL"/>
        <s v="SQL, RLHF, TensorFlow, Python, FastAPI"/>
        <s v="dbt, LangChain, RAG"/>
        <s v="FastAPI, Python, Spark, GCP Vertex AI, Rust"/>
        <s v="Hugging Face Transformers, GCP Vertex AI, Rust, RLHF, LangChain, AWS SageMaker, PyTorch"/>
        <s v="FastAPI, JAX, Kubernetes, Pinecone, Spark, AWS SageMaker"/>
        <s v="Weaviate, ChromaDB, RAG, SQL, GCP Vertex AI, TensorFlow"/>
        <s v="PyTorch, OpenAI API, RAG, GCP Vertex AI, Fine-tuning, LlamaIndex"/>
        <s v="dbt, LlamaIndex, OpenAI API"/>
        <s v="JAX, LlamaIndex, RAG, Kubernetes, C++, RLHF"/>
        <s v="MLflow, GCP Vertex AI, LlamaIndex, ChromaDB, Azure ML, OpenAI API, RLHF"/>
        <s v="Python, CUDA, Vector Databases, Fine-tuning"/>
        <s v="Spark, MLflow, PyTorch"/>
        <s v="Spark, dbt, Fine-tuning, Azure ML, Kubernetes"/>
        <s v="Weights &amp; Biases, TensorFlow, CUDA, PyTorch, JAX, Kubernetes, AWS SageMaker"/>
        <s v="Rust, Docker, RAG, Fine-tuning, TensorFlow, AWS SageMaker"/>
        <s v="Weaviate, LlamaIndex, MLflow, SQL, Python, Weights &amp; Biases"/>
        <s v="Vector Databases, Fine-tuning, AWS SageMaker, CUDA"/>
        <s v="AWS SageMaker, Vector Databases, RLHF"/>
        <s v="Docker, AWS SageMaker, LangChain, Python, Weights &amp; Biases, dbt, Hugging Face Transformers"/>
        <s v="Vector Databases, AWS SageMaker, LangChain, OpenAI API, TensorFlow, Rust"/>
        <s v="SQL, Pinecone, FastAPI, Weaviate"/>
        <s v="GCP Vertex AI, Azure ML, Rust, Pinecone, LangChain, RAG"/>
        <s v="C++, Docker, CUDA"/>
        <s v="C++, ChromaDB, Weights &amp; Biases"/>
        <s v="Azure ML, OpenAI API, CUDA, PyTorch, TensorFlow"/>
        <s v="GCP Vertex AI, RLHF, Fine-tuning, Weights &amp; Biases, C++"/>
        <s v="dbt, TensorFlow, SQL, Weights &amp; Biases, Rust"/>
        <s v="RAG, Weaviate, LlamaIndex"/>
        <s v="Vector Databases, ChromaDB, Rust, MLflow, TensorFlow"/>
        <s v="Python, PyTorch, Spark, dbt"/>
        <s v="GCP Vertex AI, dbt, Pinecone"/>
        <s v="Docker, Python, Fine-tuning, Rust"/>
        <s v="GCP Vertex AI, Fine-tuning, RAG, MLflow, Docker, OpenAI API, PyTorch"/>
        <s v="C++, Kubernetes, TensorFlow, OpenAI API, RAG, dbt, PyTorch"/>
        <s v="Docker, dbt, FastAPI, RLHF, TensorFlow, ChromaDB, SQL"/>
        <s v="MLflow, FastAPI, LangChain, Docker, RLHF, ChromaDB, PyTorch"/>
        <s v="dbt, Weights &amp; Biases, RAG, Vector Databases"/>
        <s v="dbt, Hugging Face Transformers, CUDA, Pinecone, C++, MLflow, Weaviate"/>
        <s v="Vector Databases, Fine-tuning, Spark, JAX, Pinecone, Python"/>
        <s v="TensorFlow, Vector Databases, GCP Vertex AI, JAX"/>
        <s v="Fine-tuning, RLHF, GCP Vertex AI, FastAPI"/>
        <s v="JAX, LangChain, SQL, RAG, RLHF"/>
        <s v="TensorFlow, FastAPI, Weights &amp; Biases"/>
        <s v="Weaviate, PyTorch, ChromaDB, Spark, Pinecone, Docker"/>
        <s v="Rust, JAX, Pinecone, RAG, Weights &amp; Biases"/>
        <s v="Spark, MLflow, LlamaIndex, Vector Databases, C++, PyTorch"/>
        <s v="Rust, Pinecone, Azure ML, Weights &amp; Biases"/>
        <s v="Fine-tuning, Docker, OpenAI API, SQL"/>
        <s v="LangChain, SQL, Pinecone, TensorFlow, RLHF, Vector Databases, Azure ML"/>
        <s v="Pinecone, FastAPI, Spark, GCP Vertex AI"/>
        <s v="Spark, Rust, MLflow, OpenAI API, C++"/>
        <s v="RAG, MLflow, Kubernetes, AWS SageMaker, LangChain, Azure ML"/>
        <s v="Kubernetes, dbt, TensorFlow, C++, JAX"/>
        <s v="AWS SageMaker, LangChain, RAG, Weaviate, GCP Vertex AI, Spark"/>
        <s v="Azure ML, Pinecone, LangChain, Spark, Fine-tuning, RAG"/>
        <s v="Docker, RAG, Rust"/>
        <s v="MLflow, OpenAI API, Vector Databases, AWS SageMaker, Azure ML, JAX, RAG"/>
        <s v="ChromaDB, Rust, Spark, Docker, JAX, PyTorch"/>
        <s v="FastAPI, Rust, ChromaDB, Fine-tuning, RLHF, RAG, dbt"/>
        <s v="Weaviate, OpenAI API, Docker, FastAPI, TensorFlow, CUDA, Kubernetes"/>
        <s v="Fine-tuning, RAG, CUDA, dbt"/>
        <s v="Rust, Azure ML, FastAPI, Spark"/>
        <s v="LlamaIndex, JAX, Pinecone"/>
        <s v="CUDA, Hugging Face Transformers, Rust, RAG, TensorFlow"/>
        <s v="Azure ML, MLflow, OpenAI API, Hugging Face Transformers, JAX, dbt"/>
        <s v="Pinecone, Python, dbt, GCP Vertex AI"/>
        <s v="dbt, LlamaIndex, Hugging Face Transformers, Python, TensorFlow, Docker"/>
        <s v="JAX, FastAPI, RAG, AWS SageMaker, RLHF, Vector Databases"/>
        <s v="MLflow, C++, TensorFlow, Spark, Fine-tuning, Hugging Face Transformers"/>
        <s v="RAG, CUDA, AWS SageMaker, Spark"/>
        <s v="PyTorch, ChromaDB, Weights &amp; Biases, MLflow, FastAPI, Vector Databases, Spark"/>
        <s v="Weaviate, LlamaIndex, ChromaDB, RAG, RLHF, Python"/>
        <s v="LangChain, Fine-tuning, ChromaDB, Weights &amp; Biases"/>
        <s v="Kubernetes, FastAPI, Pinecone, AWS SageMaker, OpenAI API, dbt, SQL"/>
        <s v="Weights &amp; Biases, TensorFlow, AWS SageMaker, PyTorch"/>
        <s v="Rust, FastAPI, CUDA, SQL, RLHF"/>
        <s v="Python, GCP Vertex AI, TensorFlow, RAG, Docker, Weaviate"/>
        <s v="CUDA, PyTorch, Python, RAG, Docker, Kubernetes"/>
        <s v="GCP Vertex AI, FastAPI, Vector Databases, Docker, JAX, LangChain"/>
        <s v="Python, CUDA, GCP Vertex AI, AWS SageMaker, Hugging Face Transformers, Vector Databases"/>
        <s v="RAG, AWS SageMaker, RLHF, Azure ML, CUDA, dbt"/>
        <s v="FastAPI, OpenAI API, ChromaDB"/>
        <s v="Fine-tuning, Rust, Weaviate, Vector Databases"/>
        <s v="ChromaDB, Hugging Face Transformers, Weights &amp; Biases, Rust, FastAPI, RLHF"/>
        <s v="AWS SageMaker, OpenAI API, Hugging Face Transformers, Kubernetes"/>
        <s v="dbt, Python, RAG, SQL"/>
        <s v="Rust, RAG, CUDA"/>
        <s v="JAX, LlamaIndex, Pinecone, Rust, Python"/>
        <s v="PyTorch, Kubernetes, Weights &amp; Biases, ChromaDB"/>
        <s v="dbt, LlamaIndex, Weaviate, Rust, Vector Databases, ChromaDB, Pinecone"/>
        <s v="AWS SageMaker, JAX, LangChain, Fine-tuning, Python, Kubernetes"/>
        <s v="LlamaIndex, dbt, Hugging Face Transformers"/>
        <s v="RAG, Fine-tuning, LlamaIndex, CUDA, RLHF"/>
        <s v="AWS SageMaker, Weights &amp; Biases, Weaviate, Rust, OpenAI API"/>
        <s v="GCP Vertex AI, RLHF, SQL, LlamaIndex, Kubernetes"/>
        <s v="Vector Databases, SQL, JAX, dbt, LlamaIndex, Python"/>
        <s v="C++, Docker, ChromaDB"/>
        <s v="Rust, SQL, Spark, RLHF"/>
        <s v="ChromaDB, Fine-tuning, Hugging Face Transformers, RAG"/>
        <s v="MLflow, Rust, RLHF, Vector Databases, Hugging Face Transformers, Docker"/>
        <s v="Kubernetes, JAX, Pinecone, CUDA, dbt"/>
        <s v="ChromaDB, AWS SageMaker, Python"/>
        <s v="Kubernetes, Fine-tuning, Rust"/>
        <s v="FastAPI, RLHF, Hugging Face Transformers"/>
        <s v="Rust, Kubernetes, OpenAI API, GCP Vertex AI, SQL, Pinecone, Docker"/>
        <s v="Python, Rust, Hugging Face Transformers, C++, Fine-tuning, CUDA, AWS SageMaker"/>
        <s v="CUDA, C++, Spark"/>
        <s v="Weights &amp; Biases, MLflow, PyTorch, Fine-tuning"/>
        <s v="CUDA, Hugging Face Transformers, Rust, MLflow, Azure ML, JAX, Pinecone"/>
        <s v="PyTorch, Hugging Face Transformers, Kubernetes, Fine-tuning"/>
        <s v="GCP Vertex AI, TensorFlow, RAG"/>
        <s v="Docker, LlamaIndex, JAX"/>
        <s v="Vector Databases, FastAPI, Pinecone"/>
        <s v="GCP Vertex AI, MLflow, Vector Databases"/>
        <s v="LangChain, Weights &amp; Biases, Fine-tuning, LlamaIndex, TensorFlow, dbt"/>
        <s v="GCP Vertex AI, SQL, Weaviate"/>
        <s v="PyTorch, LangChain, JAX, TensorFlow, AWS SageMaker, Fine-tuning, CUDA"/>
        <s v="RAG, Kubernetes, Weaviate"/>
        <s v="RAG, FastAPI, Weaviate, Hugging Face Transformers, Vector Databases"/>
        <s v="Azure ML, Fine-tuning, AWS SageMaker, Python"/>
        <s v="SQL, Weaviate, OpenAI API, Fine-tuning, RLHF"/>
        <s v="TensorFlow, Fine-tuning, AWS SageMaker"/>
        <s v="Weights &amp; Biases, PyTorch, LlamaIndex"/>
        <s v="LangChain, ChromaDB, Rust, Hugging Face Transformers, Fine-tuning, JAX"/>
        <s v="AWS SageMaker, ChromaDB, PyTorch, Pinecone, Weights &amp; Biases"/>
        <s v="OpenAI API, Python, JAX, Rust, FastAPI, AWS SageMaker"/>
        <s v="LangChain, RLHF, ChromaDB, Spark, Fine-tuning"/>
        <s v="Spark, RAG, PyTorch, Python, Hugging Face Transformers"/>
        <s v="ChromaDB, Weights &amp; Biases, PyTorch, Docker, LangChain, Pinecone, Spark"/>
        <s v="Vector Databases, Spark, SQL, PyTorch, ChromaDB"/>
        <s v="Rust, Docker, MLflow, Weaviate"/>
        <s v="Weaviate, PyTorch, MLflow"/>
        <s v="CUDA, Pinecone, ChromaDB"/>
        <s v="AWS SageMaker, TensorFlow, PyTorch, Kubernetes"/>
        <s v="RLHF, CUDA, ChromaDB"/>
        <s v="RLHF, Pinecone, OpenAI API, TensorFlow, Python, C++, LangChain"/>
        <s v="Kubernetes, OpenAI API, CUDA"/>
        <s v="AWS SageMaker, TensorFlow, Python, RAG, C++, Kubernetes"/>
        <s v="Spark, GCP Vertex AI, AWS SageMaker, Fine-tuning, LangChain, Hugging Face Transformers"/>
        <s v="C++, Pinecone, ChromaDB, Docker, CUDA, Rust, FastAPI"/>
        <s v="Spark, Vector Databases, GCP Vertex AI, ChromaDB"/>
        <s v="Python, Hugging Face Transformers, TensorFlow, Docker, AWS SageMaker, FastAPI, C++"/>
        <s v="ChromaDB, LangChain, Vector Databases, FastAPI"/>
        <s v="Weights &amp; Biases, RAG, MLflow, LangChain"/>
        <s v="OpenAI API, Rust, Weights &amp; Biases, Weaviate"/>
        <s v="Docker, ChromaDB, OpenAI API, Rust"/>
        <s v="RAG, LlamaIndex, GCP Vertex AI"/>
        <s v="Azure ML, Vector Databases, Python, CUDA, Kubernetes"/>
        <s v="GCP Vertex AI, Python, SQL"/>
        <s v="RLHF, OpenAI API, Weaviate, Docker, Rust, Weights &amp; Biases, SQL"/>
        <s v="FastAPI, dbt, JAX"/>
        <s v="Spark, Fine-tuning, CUDA, JAX"/>
        <s v="C++, AWS SageMaker, LangChain, Vector Databases, RAG, TensorFlow"/>
        <s v="Fine-tuning, Docker, Python, Kubernetes, LlamaIndex, Rust"/>
        <s v="JAX, SQL, Kubernetes, RLHF, ChromaDB, Docker"/>
        <s v="Rust, Weights &amp; Biases, Spark, Fine-tuning"/>
        <s v="MLflow, Pinecone, Python, GCP Vertex AI, Weaviate, Vector Databases, Weights &amp; Biases"/>
        <s v="LangChain, MLflow, LlamaIndex, Python, CUDA, Weights &amp; Biases, Docker"/>
        <s v="Rust, Python, Hugging Face Transformers, SQL, GCP Vertex AI, Azure ML, dbt"/>
        <s v="Docker, Weights &amp; Biases, RLHF, dbt"/>
        <s v="Weaviate, AWS SageMaker, Weights &amp; Biases, CUDA, Hugging Face Transformers"/>
        <s v="Pinecone, RLHF, Kubernetes, C++"/>
        <s v="Weaviate, Azure ML, LlamaIndex, Hugging Face Transformers, Python"/>
        <s v="FastAPI, OpenAI API, Spark, RAG, GCP Vertex AI, TensorFlow"/>
        <s v="OpenAI API, MLflow, PyTorch, Python"/>
        <s v="OpenAI API, RLHF, GCP Vertex AI, Rust, ChromaDB"/>
        <s v="Weights &amp; Biases, dbt, AWS SageMaker, Python, Kubernetes, OpenAI API"/>
        <s v="AWS SageMaker, Rust, Weights &amp; Biases, GCP Vertex AI, Weaviate"/>
        <s v="GCP Vertex AI, C++, Python"/>
        <s v="LlamaIndex, dbt, Rust, Weaviate"/>
        <s v="Weights &amp; Biases, CUDA, dbt, OpenAI API, SQL"/>
        <s v="PyTorch, Kubernetes, TensorFlow, RLHF, Docker, Weaviate"/>
        <s v="C++, JAX, LlamaIndex, Hugging Face Transformers, SQL"/>
        <s v="Fine-tuning, RLHF, GCP Vertex AI, CUDA, Vector Databases, SQL, Weights &amp; Biases"/>
        <s v="GCP Vertex AI, FastAPI, CUDA, dbt, LangChain"/>
        <s v="OpenAI API, RAG, MLflow, Pinecone"/>
        <s v="RAG, JAX, LangChain, Weights &amp; Biases, Kubernetes"/>
        <s v="OpenAI API, Pinecone, dbt, Vector Databases"/>
        <s v="ChromaDB, RLHF, RAG, MLflow"/>
        <s v="CUDA, Rust, AWS SageMaker, Docker, LangChain"/>
        <s v="ChromaDB, LangChain, MLflow, RAG, Python"/>
        <s v="Fine-tuning, Azure ML, Pinecone, GCP Vertex AI, RLHF, C++, Kubernetes"/>
        <s v="PyTorch, RLHF, Spark, dbt"/>
        <s v="GCP Vertex AI, AWS SageMaker, Python, Kubernetes, OpenAI API, Fine-tuning, ChromaDB"/>
        <s v="MLflow, dbt, GCP Vertex AI, Rust, LangChain"/>
        <s v="ChromaDB, Kubernetes, MLflow"/>
        <s v="Rust, Azure ML, ChromaDB, Docker, Vector Databases"/>
        <s v="LangChain, LlamaIndex, Hugging Face Transformers, CUDA, Weaviate, Spark"/>
        <s v="GCP Vertex AI, PyTorch, LlamaIndex, Fine-tuning, OpenAI API, MLflow, JAX"/>
        <s v="Python, Pinecone, Hugging Face Transformers"/>
        <s v="PyTorch, ChromaDB, RLHF, Azure ML"/>
        <s v="PyTorch, OpenAI API, ChromaDB"/>
        <s v="ChromaDB, Weights &amp; Biases, Spark, CUDA"/>
        <s v="PyTorch, CUDA, JAX, Weaviate, LlamaIndex, FastAPI"/>
        <s v="RAG, OpenAI API, LlamaIndex"/>
        <s v="Weights &amp; Biases, JAX, Docker, Vector Databases"/>
        <s v="MLflow, Docker, Vector Databases, C++, Weaviate, FastAPI"/>
        <s v="Pinecone, PyTorch, Rust, SQL, LlamaIndex, JAX"/>
        <s v="Fine-tuning, PyTorch, GCP Vertex AI, RAG, Weights &amp; Biases, MLflow, Rust"/>
        <s v="JAX, LangChain, Hugging Face Transformers, FastAPI"/>
        <s v="dbt, Docker, Weaviate, Python, Pinecone, RLHF, Rust"/>
        <s v="Weights &amp; Biases, PyTorch, Vector Databases"/>
        <s v="TensorFlow, PyTorch, C++, ChromaDB, Python"/>
        <s v="MLflow, dbt, SQL, Hugging Face Transformers"/>
        <s v="Weights &amp; Biases, AWS SageMaker, Docker, FastAPI, Hugging Face Transformers, Azure ML"/>
        <s v="TensorFlow, JAX, OpenAI API, Kubernetes, RLHF"/>
        <s v="FastAPI, Python, C++, Pinecone, GCP Vertex AI, JAX"/>
        <s v="Pinecone, PyTorch, OpenAI API"/>
        <s v="GCP Vertex AI, LlamaIndex, RLHF, Weights &amp; Biases"/>
        <s v="Weaviate, dbt, Weights &amp; Biases, GCP Vertex AI, SQL, Kubernetes, Hugging Face Transformers"/>
        <s v="Docker, LlamaIndex, Azure ML, SQL, Vector Databases, dbt"/>
        <s v="Vector Databases, dbt, Docker, SQL, Weights &amp; Biases"/>
        <s v="TensorFlow, Docker, Fine-tuning, RLHF"/>
        <s v="Vector Databases, GCP Vertex AI, AWS SageMaker, Docker, CUDA, Pinecone"/>
        <s v="SQL, Fine-tuning, Hugging Face Transformers, MLflow, RLHF"/>
        <s v="Weights &amp; Biases, Rust, dbt, Azure ML, Fine-tuning, LangChain"/>
        <s v="Python, CUDA, GCP Vertex AI, Kubernetes, LangChain, RAG, PyTorch"/>
        <s v="AWS SageMaker, RLHF, CUDA, Azure ML"/>
        <s v="Fine-tuning, TensorFlow, GCP Vertex AI, MLflow, AWS SageMaker, Azure ML"/>
        <s v="MLflow, Weaviate, RAG, Fine-tuning, ChromaDB, PyTorch, GCP Vertex AI"/>
        <s v="PyTorch, Kubernetes, TensorFlow, dbt"/>
        <s v="AWS SageMaker, LlamaIndex, Rust, RLHF, Weights &amp; Biases, Vector Databases"/>
        <s v="Weaviate, Kubernetes, C++, Docker, RLHF, TensorFlow"/>
        <s v="OpenAI API, Spark, LlamaIndex, CUDA"/>
        <s v="Kubernetes, Weights &amp; Biases, Spark, dbt, LlamaIndex, Hugging Face Transformers"/>
        <s v="AWS SageMaker, LangChain, Fine-tuning"/>
        <s v="Docker, Pinecone, dbt, JAX, Weights &amp; Biases"/>
        <s v="JAX, Hugging Face Transformers, Kubernetes, dbt, SQL, Docker"/>
        <s v="Kubernetes, CUDA, ChromaDB"/>
        <s v="Weaviate, dbt, Python"/>
        <s v="GCP Vertex AI, RAG, Azure ML"/>
        <s v="MLflow, Spark, RAG, LlamaIndex"/>
        <s v="LlamaIndex, Rust, PyTorch, RLHF, JAX"/>
        <s v="AWS SageMaker, MLflow, JAX, GCP Vertex AI, LlamaIndex, PyTorch"/>
        <s v="dbt, CUDA, Kubernetes, Hugging Face Transformers, Weights &amp; Biases"/>
        <s v="ChromaDB, Docker, TensorFlow"/>
        <s v="SQL, Docker, TensorFlow, LlamaIndex, Spark, Kubernetes"/>
        <s v="Vector Databases, TensorFlow, OpenAI API, SQL, FastAPI"/>
        <s v="SQL, TensorFlow, JAX, MLflow"/>
        <s v="ChromaDB, RAG, dbt"/>
        <s v="LangChain, RLHF, LlamaIndex, Kubernetes"/>
        <s v="AWS SageMaker, PyTorch, GCP Vertex AI, Python, LangChain, Kubernetes"/>
        <s v="Azure ML, PyTorch, C++, MLflow, Vector Databases, RLHF"/>
        <s v="GCP Vertex AI, FastAPI, JAX"/>
        <s v="SQL, CUDA, C++, RAG, Rust, dbt"/>
        <s v="Spark, PyTorch, Weaviate, Fine-tuning, OpenAI API"/>
        <s v="RLHF, GCP Vertex AI, SQL, Weights &amp; Biases"/>
        <s v="OpenAI API, SQL, FastAPI"/>
        <s v="LlamaIndex, Kubernetes, Weaviate, Python"/>
        <s v="LlamaIndex, PyTorch, RAG"/>
        <s v="Rust, TensorFlow, Azure ML, RLHF, Hugging Face Transformers"/>
        <s v="Hugging Face Transformers, RAG, Weights &amp; Biases, C++, Python, GCP Vertex AI, Rust"/>
        <s v="OpenAI API, AWS SageMaker, JAX"/>
        <s v="LlamaIndex, Vector Databases, FastAPI, Kubernetes"/>
        <s v="Azure ML, dbt, Rust, PyTorch, ChromaDB, GCP Vertex AI, CUDA"/>
        <s v="Rust, MLflow, JAX, Docker, FastAPI, Python"/>
        <s v="GCP Vertex AI, MLflow, LangChain, AWS SageMaker, Hugging Face Transformers, SQL, Azure ML"/>
        <s v="Pinecone, Python, LangChain, Fine-tuning"/>
        <s v="MLflow, OpenAI API, Weaviate, Kubernetes, Hugging Face Transformers, Fine-tuning"/>
        <s v="RLHF, RAG, TensorFlow, Weights &amp; Biases, Kubernetes"/>
        <s v="OpenAI API, Spark, JAX, Vector Databases, Hugging Face Transformers, dbt, Weaviate"/>
        <s v="MLflow, Vector Databases, LangChain, TensorFlow, GCP Vertex AI, Pinecone"/>
        <s v="TensorFlow, AWS SageMaker, RAG"/>
        <s v="Weaviate, CUDA, Spark, FastAPI, GCP Vertex AI, MLflow, Hugging Face Transformers"/>
        <s v="TensorFlow, FastAPI, Spark, Weights &amp; Biases"/>
        <s v="Weaviate, Fine-tuning, Azure ML, Weights &amp; Biases"/>
        <s v="OpenAI API, dbt, Weights &amp; Biases"/>
        <s v="Rust, C++, JAX, FastAPI, MLflow, PyTorch"/>
        <s v="CUDA, Vector Databases, Rust"/>
        <s v="Vector Databases, ChromaDB, Azure ML, Python, CUDA"/>
        <s v="dbt, Docker, Azure ML, Hugging Face Transformers, C++, RLHF"/>
        <s v="LlamaIndex, Spark, Docker, RLHF, RAG"/>
        <s v="SQL, OpenAI API, CUDA, LlamaIndex, Vector Databases, Fine-tuning"/>
        <s v="OpenAI API, LangChain, PyTorch, Kubernetes, Rust, MLflow, Vector Databases"/>
        <s v="dbt, LangChain, Spark, Weaviate"/>
        <s v="ChromaDB, Pinecone, Rust"/>
        <s v="AWS SageMaker, Weights &amp; Biases, C++, MLflow, LlamaIndex"/>
        <s v="Pinecone, JAX, Azure ML, SQL, OpenAI API, Docker"/>
        <s v="TensorFlow, MLflow, Azure ML, Python"/>
        <s v="JAX, Weights &amp; Biases, Spark, Pinecone, RAG, C++"/>
        <s v="Weights &amp; Biases, SQL, TensorFlow, JAX, Python"/>
        <s v="Kubernetes, SQL, CUDA, Docker, C++, GCP Vertex AI"/>
        <s v="OpenAI API, PyTorch, CUDA, LlamaIndex, Weights &amp; Biases, TensorFlow"/>
        <s v="AWS SageMaker, Pinecone, RLHF, Docker"/>
        <s v="Weights &amp; Biases, RLHF, OpenAI API"/>
        <s v="TensorFlow, Vector Databases, Fine-tuning, Rust, PyTorch"/>
        <s v="C++, Kubernetes, MLflow, Docker, Fine-tuning, FastAPI"/>
        <s v="dbt, GCP Vertex AI, RAG"/>
        <s v="Azure ML, PyTorch, SQL, C++, RAG"/>
        <s v="Docker, Kubernetes, AWS SageMaker, FastAPI"/>
        <s v="LangChain, dbt, Weights &amp; Biases, TensorFlow, Fine-tuning, Rust, Hugging Face Transformers"/>
        <s v="Rust, C++, AWS SageMaker"/>
        <s v="FastAPI, CUDA, Python"/>
        <s v="Weaviate, PyTorch, RAG, Weights &amp; Biases, Spark"/>
        <s v="Weaviate, RLHF, TensorFlow, Pinecone, Fine-tuning, dbt"/>
        <s v="SQL, Fine-tuning, TensorFlow"/>
        <s v="Vector Databases, CUDA, dbt, TensorFlow"/>
        <s v="Rust, Weights &amp; Biases, LlamaIndex, CUDA, PyTorch, Spark"/>
        <s v="Weaviate, TensorFlow, JAX"/>
        <s v="Fine-tuning, Rust, LlamaIndex"/>
        <s v="PyTorch, AWS SageMaker, Azure ML, Python, C++, Hugging Face Transformers, TensorFlow"/>
        <s v="C++, PyTorch, Weaviate, MLflow, TensorFlow, Rust"/>
        <s v="C++, Pinecone, PyTorch, Fine-tuning, LlamaIndex"/>
        <s v="TensorFlow, AWS SageMaker, LlamaIndex, dbt, SQL"/>
        <s v="TensorFlow, SQL, Rust, Azure ML, OpenAI API, PyTorch, LangChain"/>
        <s v="LlamaIndex, SQL, Rust, RLHF, RAG, TensorFlow"/>
        <s v="Vector Databases, Spark, PyTorch, LangChain, RAG, Azure ML"/>
        <s v="LlamaIndex, Docker, Hugging Face Transformers, OpenAI API, GCP Vertex AI"/>
        <s v="GCP Vertex AI, FastAPI, LlamaIndex"/>
        <s v="AWS SageMaker, dbt, LlamaIndex, Kubernetes"/>
        <s v="Docker, CUDA, Python"/>
        <s v="LangChain, Fine-tuning, Pinecone"/>
        <s v="Azure ML, RLHF, Pinecone, FastAPI, SQL, Fine-tuning"/>
        <s v="GCP Vertex AI, AWS SageMaker, Weights &amp; Biases, Hugging Face Transformers"/>
        <s v="Weaviate, Weights &amp; Biases, Pinecone, Hugging Face Transformers"/>
        <s v="GCP Vertex AI, MLflow, C++, Pinecone, RLHF"/>
        <s v="RAG, LlamaIndex, LangChain, dbt"/>
        <s v="LlamaIndex, ChromaDB, Rust, CUDA, SQL"/>
        <s v="Rust, ChromaDB, RLHF, Hugging Face Transformers, SQL"/>
        <s v="C++, Weaviate, MLflow, Fine-tuning, Spark"/>
        <s v="Kubernetes, Pinecone, LlamaIndex, Vector Databases, AWS SageMaker, ChromaDB"/>
        <s v="AWS SageMaker, Weights &amp; Biases, JAX"/>
        <s v="Fine-tuning, CUDA, FastAPI, Azure ML, RAG, Python"/>
        <s v="Fine-tuning, CUDA, Weaviate, Hugging Face Transformers, Vector Databases, C++, Docker"/>
        <s v="JAX, RAG, dbt"/>
        <s v="LangChain, Pinecone, dbt"/>
        <s v="Rust, RAG, Docker, Spark"/>
        <s v="ChromaDB, FastAPI, OpenAI API, LangChain, C++, Fine-tuning"/>
        <s v="OpenAI API, C++, FastAPI"/>
        <s v="OpenAI API, SQL, Python, dbt"/>
        <s v="Fine-tuning, Docker, Vector Databases, SQL"/>
        <s v="C++, Spark, Rust, dbt, SQL"/>
        <s v="LangChain, PyTorch, Rust, Hugging Face Transformers, FastAPI, OpenAI API"/>
        <s v="dbt, CUDA, FastAPI"/>
        <s v="OpenAI API, Spark, Rust, Hugging Face Transformers, Weights &amp; Biases, Fine-tuning"/>
        <s v="RAG, Vector Databases, C++, ChromaDB, AWS SageMaker, OpenAI API, MLflow"/>
        <s v="Weights &amp; Biases, GCP Vertex AI, Pinecone, RLHF, Spark"/>
        <s v="Spark, PyTorch, MLflow, LlamaIndex, Docker"/>
        <s v="Rust, C++, Azure ML, Docker, Weaviate, PyTorch"/>
        <s v="RAG, AWS SageMaker, Weights &amp; Biases, Pinecone, PyTorch, MLflow, Docker"/>
        <s v="C++, Python, GCP Vertex AI, LangChain, PyTorch"/>
        <s v="Docker, MLflow, Rust, RAG, Fine-tuning, Weights &amp; Biases"/>
        <s v="AWS SageMaker, C++, CUDA, TensorFlow, PyTorch, Rust, Python"/>
        <s v="Spark, Vector Databases, OpenAI API, Pinecone, C++, Kubernetes, Python"/>
        <s v="dbt, FastAPI, Spark, Hugging Face Transformers, Fine-tuning"/>
        <s v="LangChain, CUDA, OpenAI API, ChromaDB, JAX, LlamaIndex"/>
        <s v="GCP Vertex AI, MLflow, Pinecone"/>
        <s v="Pinecone, OpenAI API, FastAPI, Weaviate, dbt, Spark"/>
        <s v="MLflow, dbt, Python, CUDA, AWS SageMaker"/>
        <s v="Weights &amp; Biases, TensorFlow, Fine-tuning, Vector Databases"/>
        <s v="Spark, PyTorch, RLHF, JAX"/>
        <s v="RAG, JAX, OpenAI API, Kubernetes, Python, SQL, Hugging Face Transformers"/>
        <s v="OpenAI API, Hugging Face Transformers, Python, LangChain, LlamaIndex, Spark"/>
        <s v="Pinecone, LlamaIndex, Rust, PyTorch, AWS SageMaker, JAX"/>
        <s v="RLHF, OpenAI API, ChromaDB, Rust, Pinecone, Weights &amp; Biases, LlamaIndex"/>
        <s v="ChromaDB, Azure ML, CUDA, LangChain"/>
        <s v="Pinecone, LangChain, ChromaDB"/>
        <s v="Weights &amp; Biases, Python, Pinecone, ChromaDB, LlamaIndex"/>
        <s v="Azure ML, CUDA, GCP Vertex AI, Pinecone"/>
        <s v="Azure ML, AWS SageMaker, JAX, MLflow"/>
        <s v="JAX, Azure ML, SQL, AWS SageMaker, Weaviate"/>
        <s v="LlamaIndex, GCP Vertex AI, Azure ML"/>
        <s v="LlamaIndex, dbt, Vector Databases, RAG, Azure ML, OpenAI API"/>
        <s v="Azure ML, SQL, GCP Vertex AI, JAX, C++"/>
        <s v="Azure ML, FastAPI, Python, AWS SageMaker, Weights &amp; Biases, ChromaDB, TensorFlow"/>
        <s v="RAG, Weaviate, JAX, PyTorch"/>
        <s v="OpenAI API, SQL, TensorFlow, C++, LangChain, Azure ML, JAX"/>
        <s v="dbt, JAX, Kubernetes"/>
        <s v="Kubernetes, Weights &amp; Biases, Docker, Rust, LlamaIndex, CUDA"/>
        <s v="RLHF, Spark, Weaviate, OpenAI API, FastAPI"/>
        <s v="SQL, ChromaDB, Hugging Face Transformers, AWS SageMaker, RAG"/>
        <s v="SQL, Docker, Python, LlamaIndex"/>
        <s v="C++, LlamaIndex, ChromaDB, Rust"/>
        <s v="OpenAI API, Pinecone, Fine-tuning"/>
        <s v="C++, Rust, RLHF, Pinecone, RAG"/>
        <s v="RLHF, PyTorch, Azure ML, Fine-tuning"/>
        <s v="CUDA, Azure ML, LlamaIndex"/>
        <s v="GCP Vertex AI, PyTorch, Weaviate, TensorFlow, Spark, Docker, OpenAI API"/>
        <s v="LlamaIndex, OpenAI API, Weaviate, LangChain, Python"/>
        <s v="ChromaDB, C++, FastAPI, Fine-tuning, Azure ML"/>
        <s v="PyTorch, AWS SageMaker, CUDA, Python"/>
        <s v="GCP Vertex AI, Rust, OpenAI API, C++, RLHF"/>
        <s v="Hugging Face Transformers, Kubernetes, OpenAI API"/>
        <s v="RAG, Spark, JAX, Vector Databases"/>
        <s v="RLHF, TensorFlow, FastAPI, Hugging Face Transformers, MLflow"/>
        <s v="MLflow, GCP Vertex AI, TensorFlow, Fine-tuning, CUDA, Vector Databases, PyTorch"/>
        <s v="Weights &amp; Biases, LangChain, ChromaDB, Python, LlamaIndex"/>
        <s v="FastAPI, Azure ML, Weights &amp; Biases, Kubernetes, Rust, Fine-tuning"/>
        <s v="RLHF, PyTorch, Spark, LlamaIndex"/>
        <s v="Spark, C++, Weaviate, Azure ML, RAG, Pinecone"/>
        <s v="Weights &amp; Biases, Azure ML, JAX, C++, ChromaDB"/>
        <s v="CUDA, Azure ML, C++, LlamaIndex, Weights &amp; Biases"/>
        <s v="JAX, Spark, GCP Vertex AI, Fine-tuning, LlamaIndex, CUDA, Hugging Face Transformers"/>
        <s v="Weights &amp; Biases, LangChain, Python"/>
        <s v="LlamaIndex, Vector Databases, MLflow, RAG"/>
        <s v="Pinecone, LlamaIndex, LangChain, C++, ChromaDB, GCP Vertex AI"/>
        <s v="LlamaIndex, PyTorch, Azure ML, CUDA"/>
        <s v="LangChain, Fine-tuning, RLHF, Weights &amp; Biases, Docker"/>
        <s v="RLHF, SQL, Kubernetes, Azure ML, CUDA, FastAPI"/>
        <s v="SQL, OpenAI API, PyTorch"/>
        <s v="OpenAI API, Spark, TensorFlow"/>
        <s v="Hugging Face Transformers, Fine-tuning, MLflow, PyTorch, LlamaIndex"/>
        <s v="Kubernetes, ChromaDB, Hugging Face Transformers, Rust, LlamaIndex, FastAPI"/>
        <s v="Weights &amp; Biases, Vector Databases, FastAPI, ChromaDB, TensorFlow, RLHF"/>
        <s v="LlamaIndex, RLHF, Hugging Face Transformers, PyTorch, SQL, Docker, Pinecone"/>
        <s v="JAX, C++, Rust, RLHF, Python, Pinecone"/>
        <s v="FastAPI, Weights &amp; Biases, ChromaDB, Vector Databases, Docker, SQL"/>
        <s v="OpenAI API, LlamaIndex, FastAPI"/>
        <s v="CUDA, OpenAI API, AWS SageMaker"/>
        <s v="Hugging Face Transformers, LangChain, C++"/>
        <s v="RAG, PyTorch, Rust, SQL, GCP Vertex AI"/>
        <s v="LangChain, RAG, OpenAI API, GCP Vertex AI, LlamaIndex"/>
        <s v="Pinecone, Weights &amp; Biases, GCP Vertex AI"/>
        <s v="Weaviate, LangChain, RLHF, Spark, SQL"/>
        <s v="ChromaDB, SQL, Docker, Pinecone, LangChain, AWS SageMaker, FastAPI"/>
        <s v="C++, MLflow, Python, LangChain"/>
        <s v="TensorFlow, MLflow, Weaviate, LlamaIndex, RLHF, Hugging Face Transformers, SQL"/>
        <s v="JAX, LangChain, OpenAI API"/>
        <s v="Weights &amp; Biases, LlamaIndex, JAX"/>
        <s v="Hugging Face Transformers, Kubernetes, Weaviate, Fine-tuning, RLHF"/>
        <s v="PyTorch, Weaviate, MLflow, JAX, CUDA"/>
        <s v="MLflow, CUDA, Vector Databases, LlamaIndex, AWS SageMaker, RLHF, Rust"/>
        <s v="ChromaDB, Weaviate, GCP Vertex AI, MLflow"/>
        <s v="Python, Vector Databases, Weights &amp; Biases, PyTorch, Docker, Hugging Face Transformers, Spark"/>
        <s v="Spark, OpenAI API, GCP Vertex AI"/>
        <s v="SQL, Rust, RAG, OpenAI API, Azure ML, RLHF, C++"/>
        <s v="JAX, Azure ML, ChromaDB, GCP Vertex AI"/>
        <s v="AWS SageMaker, GCP Vertex AI, LangChain, dbt, Kubernetes, Fine-tuning"/>
        <s v="C++, Pinecone, Rust, JAX, RLHF, PyTorch"/>
        <s v="Weights &amp; Biases, dbt, JAX, GCP Vertex AI, LlamaIndex, LangChain"/>
        <s v="LangChain, JAX, Python, Weaviate"/>
        <s v="AWS SageMaker, Weaviate, Azure ML, MLflow, TensorFlow, dbt"/>
        <s v="Vector Databases, Weaviate, RLHF, Spark, Rust, OpenAI API, Hugging Face Transformers"/>
        <s v="Docker, OpenAI API, Weights &amp; Biases, CUDA, AWS SageMaker, FastAPI"/>
        <s v="GCP Vertex AI, Weights &amp; Biases, RLHF, ChromaDB, AWS SageMaker"/>
        <s v="MLflow, Pinecone, Rust"/>
        <s v="dbt, TensorFlow, LlamaIndex, Rust, OpenAI API, SQL"/>
        <s v="Pinecone, Rust, C++, TensorFlow, Spark, Weights &amp; Biases"/>
        <s v="Pinecone, GCP Vertex AI, SQL, OpenAI API, ChromaDB"/>
        <s v="dbt, ChromaDB, GCP Vertex AI"/>
        <s v="Hugging Face Transformers, PyTorch, dbt, JAX, Azure ML"/>
        <s v="Weaviate, Rust, ChromaDB, Hugging Face Transformers, Spark, MLflow, LlamaIndex"/>
        <s v="LangChain, Rust, Hugging Face Transformers"/>
        <s v="Docker, JAX, LlamaIndex, Fine-tuning, C++, AWS SageMaker"/>
        <s v="FastAPI, PyTorch, MLflow, AWS SageMaker, dbt, Rust"/>
        <s v="FastAPI, OpenAI API, Spark"/>
        <s v="AWS SageMaker, RLHF, Python, CUDA"/>
        <s v="Rust, LangChain, Hugging Face Transformers, RLHF, Azure ML, SQL, TensorFlow"/>
        <s v="Python, C++, Rust, MLflow, GCP Vertex AI"/>
        <s v="LangChain, Kubernetes, Weights &amp; Biases, RAG, Spark, ChromaDB"/>
        <s v="GCP Vertex AI, FastAPI, Fine-tuning, LangChain"/>
        <s v="Weaviate, LlamaIndex, RAG, Pinecone, Weights &amp; Biases"/>
        <s v="dbt, Weights &amp; Biases, Spark, GCP Vertex AI"/>
        <s v="Rust, OpenAI API, Azure ML, Docker, AWS SageMaker, LlamaIndex"/>
        <s v="PyTorch, Fine-tuning, Python"/>
        <s v="Rust, JAX, C++, Weaviate"/>
        <s v="PyTorch, TensorFlow, FastAPI, Fine-tuning, JAX, ChromaDB"/>
        <s v="FastAPI, PyTorch, OpenAI API, LlamaIndex, Azure ML, CUDA"/>
        <s v="TensorFlow, Rust, Vector Databases, ChromaDB, Docker, CUDA"/>
        <s v="dbt, Weights &amp; Biases, CUDA, Rust, LlamaIndex"/>
        <s v="Fine-tuning, C++, Docker, MLflow, Python, dbt"/>
        <s v="Weaviate, MLflow, SQL, Hugging Face Transformers"/>
        <s v="OpenAI API, SQL, GCP Vertex AI, MLflow"/>
        <s v="PyTorch, Python, LlamaIndex"/>
        <s v="Azure ML, JAX, Vector Databases"/>
        <s v="RLHF, CUDA, C++, JAX"/>
        <s v="Pinecone, LlamaIndex, Fine-tuning"/>
        <s v="ChromaDB, Fine-tuning, FastAPI, PyTorch, LlamaIndex"/>
        <s v="Pinecone, Weaviate, PyTorch, Rust, Fine-tuning, Python, SQL"/>
        <s v="GCP Vertex AI, JAX, dbt, Weaviate, CUDA, Python"/>
        <s v="Fine-tuning, GCP Vertex AI, LangChain, Weaviate, C++, AWS SageMaker, MLflow"/>
        <s v="dbt, OpenAI API, AWS SageMaker, SQL, CUDA"/>
        <s v="Weaviate, GCP Vertex AI, RLHF, Docker, SQL"/>
        <s v="OpenAI API, RLHF, Vector Databases, PyTorch, TensorFlow"/>
        <s v="Python, Docker, RLHF, JAX, AWS SageMaker, PyTorch, Vector Databases"/>
        <s v="dbt, Weights &amp; Biases, Hugging Face Transformers, Vector Databases"/>
        <s v="dbt, Pinecone, ChromaDB, Azure ML, C++, LangChain"/>
        <s v="Spark, SQL, PyTorch, MLflow, OpenAI API, Python"/>
        <s v="CUDA, Weights &amp; Biases, Rust, RLHF, Python, JAX"/>
        <s v="TensorFlow, Weights &amp; Biases, dbt, Vector Databases, AWS SageMaker, FastAPI, OpenAI API"/>
        <s v="C++, Pinecone, Fine-tuning, LangChain, LlamaIndex"/>
        <s v="Fine-tuning, OpenAI API, MLflow, Docker"/>
        <s v="Python, RLHF, MLflow"/>
        <s v="LangChain, Weights &amp; Biases, RLHF, Spark, MLflow"/>
        <s v="FastAPI, C++, RAG, Azure ML, Vector Databases, Weights &amp; Biases"/>
        <s v="Hugging Face Transformers, TensorFlow, Vector Databases, Azure ML, PyTorch"/>
        <s v="dbt, MLflow, Weaviate"/>
        <s v="AWS SageMaker, Fine-tuning, CUDA, OpenAI API"/>
        <s v="Rust, CUDA, Pinecone"/>
        <s v="TensorFlow, Docker, OpenAI API, Fine-tuning, SQL"/>
        <s v="RAG, Fine-tuning, SQL, JAX, Kubernetes"/>
        <s v="MLflow, LangChain, SQL"/>
        <s v="AWS SageMaker, LlamaIndex, Fine-tuning, Pinecone, Azure ML, LangChain, Vector Databases"/>
        <s v="GCP Vertex AI, CUDA, Weights &amp; Biases, C++, dbt, LlamaIndex, Python"/>
        <s v="Fine-tuning, MLflow, Hugging Face Transformers, LlamaIndex, PyTorch"/>
        <s v="TensorFlow, Docker, Python, Kubernetes, PyTorch, Spark, Vector Databases"/>
        <s v="Vector Databases, Docker, Azure ML"/>
        <s v="TensorFlow, Python, SQL, RLHF"/>
        <s v="TensorFlow, RLHF, LlamaIndex, CUDA, Azure ML, Vector Databases"/>
        <s v="OpenAI API, Rust, FastAPI, ChromaDB, Weights &amp; Biases, LlamaIndex, SQL"/>
        <s v="SQL, CUDA, Weights &amp; Biases, Weaviate, JAX, Spark"/>
        <s v="LangChain, LlamaIndex, RLHF, Azure ML, SQL, Kubernetes, ChromaDB"/>
        <s v="CUDA, Spark, Weights &amp; Biases, dbt, GCP Vertex AI, SQL"/>
        <s v="TensorFlow, Docker, LlamaIndex, Hugging Face Transformers, MLflow, FastAPI, Python"/>
        <s v="PyTorch, SQL, OpenAI API"/>
        <s v="AWS SageMaker, RAG, Azure ML, Weaviate, Fine-tuning"/>
        <s v="CUDA, JAX, Pinecone, AWS SageMaker, FastAPI, TensorFlow"/>
        <s v="RAG, ChromaDB, dbt, JAX, Azure ML, MLflow"/>
        <s v="Pinecone, Docker, Spark, LlamaIndex, TensorFlow"/>
        <s v="PyTorch, Docker, TensorFlow, AWS SageMaker, LlamaIndex, Fine-tuning"/>
        <s v="Spark, FastAPI, LlamaIndex, AWS SageMaker, JAX"/>
        <s v="Rust, GCP Vertex AI, OpenAI API, SQL, PyTorch, Weaviate, RLHF"/>
        <s v="RAG, SQL, AWS SageMaker, MLflow, Weaviate, Kubernetes"/>
        <s v="Hugging Face Transformers, ChromaDB, Vector Databases, Rust, JAX, RAG"/>
        <s v="RLHF, Hugging Face Transformers, OpenAI API, FastAPI, dbt"/>
        <s v="RAG, Hugging Face Transformers, Pinecone, Weaviate, JAX, Weights &amp; Biases, C++"/>
        <s v="MLflow, GCP Vertex AI, Fine-tuning, Rust, TensorFlow, Kubernetes, dbt"/>
        <s v="Fine-tuning, ChromaDB, TensorFlow, Rust, LlamaIndex, Spark"/>
        <s v="TensorFlow, RAG, OpenAI API"/>
        <s v="dbt, TensorFlow, AWS SageMaker, FastAPI"/>
        <s v="Python, CUDA, Kubernetes, LangChain, dbt, RLHF, Vector Databases"/>
        <s v="C++, FastAPI, Hugging Face Transformers, AWS SageMaker"/>
        <s v="LangChain, RLHF, Spark"/>
        <s v="Weights &amp; Biases, OpenAI API, AWS SageMaker, Spark, MLflow, ChromaDB, Rust"/>
        <s v="Hugging Face Transformers, MLflow, RLHF, RAG, Azure ML"/>
        <s v="LangChain, Weights &amp; Biases, FastAPI"/>
        <s v="Pinecone, RAG, CUDA, Docker"/>
        <s v="Azure ML, Rust, OpenAI API"/>
        <s v="PyTorch, Kubernetes, Rust, Vector Databases, Pinecone, Docker"/>
        <s v="TensorFlow, Vector Databases, JAX"/>
        <s v="FastAPI, Hugging Face Transformers, TensorFlow"/>
        <s v="GCP Vertex AI, TensorFlow, CUDA, dbt, Vector Databases, Spark"/>
        <s v="Hugging Face Transformers, JAX, Rust"/>
        <s v="FastAPI, CUDA, Docker"/>
        <s v="LlamaIndex, Rust, LangChain, RLHF, Fine-tuning, AWS SageMaker, GCP Vertex AI"/>
        <s v="RLHF, dbt, LlamaIndex, GCP Vertex AI"/>
        <s v="Hugging Face Transformers, RLHF, JAX, SQL, Rust, OpenAI API"/>
        <s v="AWS SageMaker, FastAPI, RAG, JAX, Weaviate, Rust, Docker"/>
        <s v="Vector Databases, Kubernetes, GCP Vertex AI, CUDA"/>
        <s v="TensorFlow, Azure ML, RAG, MLflow"/>
        <s v="Azure ML, Rust, MLflow, LangChain, Weights &amp; Biases"/>
        <s v="Spark, AWS SageMaker, Hugging Face Transformers, FastAPI, TensorFlow, JAX"/>
        <s v="dbt, RAG, AWS SageMaker, Hugging Face Transformers, ChromaDB"/>
        <s v="RLHF, GCP Vertex AI, Rust"/>
        <s v="Hugging Face Transformers, Docker, GCP Vertex AI, Weights &amp; Biases, OpenAI API, TensorFlow, Python"/>
        <s v="Docker, Spark, Fine-tuning"/>
        <s v="Rust, CUDA, TensorFlow, Pinecone"/>
        <s v="LlamaIndex, Weights &amp; Biases, OpenAI API"/>
        <s v="LangChain, Hugging Face Transformers, PyTorch, Weaviate"/>
        <s v="PyTorch, Spark, TensorFlow"/>
        <s v="Azure ML, Hugging Face Transformers, Pinecone, MLflow, GCP Vertex AI, Weights &amp; Biases, SQL"/>
        <s v="Vector Databases, ChromaDB, dbt, C++, SQL"/>
        <s v="C++, CUDA, Kubernetes, ChromaDB, PyTorch"/>
        <s v="Azure ML, AWS SageMaker, dbt, RLHF"/>
        <s v="AWS SageMaker, C++, Spark, JAX, LangChain, Pinecone"/>
        <s v="Vector Databases, FastAPI, RLHF, Weights &amp; Biases"/>
        <s v="Weights &amp; Biases, LlamaIndex, GCP Vertex AI, TensorFlow, Hugging Face Transformers"/>
        <s v="SQL, Docker, ChromaDB, dbt"/>
        <s v="GCP Vertex AI, Docker, PyTorch, RLHF, Python, C++, Weaviate"/>
        <s v="dbt, SQL, CUDA, Vector Databases"/>
        <s v="OpenAI API, Docker, JAX, Fine-tuning"/>
        <s v="LangChain, MLflow, SQL, TensorFlow, Vector Databases"/>
        <s v="PyTorch, dbt, Hugging Face Transformers, CUDA, Python, Spark"/>
        <s v="RLHF, Kubernetes, Fine-tuning, GCP Vertex AI, FastAPI, JAX"/>
        <s v="LangChain, JAX, PyTorch"/>
        <s v="OpenAI API, Azure ML, dbt"/>
        <s v="Python, RAG, RLHF, AWS SageMaker, MLflow, LangChain"/>
        <s v="dbt, LlamaIndex, RLHF, MLflow, JAX"/>
        <s v="Weights &amp; Biases, Rust, FastAPI, Azure ML"/>
        <s v="AWS SageMaker, C++, SQL, Azure ML, TensorFlow, RAG, dbt"/>
        <s v="C++, ChromaDB, Python, Docker"/>
        <s v="SQL, dbt, Azure ML, FastAPI, PyTorch, LangChain"/>
        <s v="Python, Weights &amp; Biases, Vector Databases, ChromaDB, SQL"/>
        <s v="Vector Databases, dbt, Pinecone, GCP Vertex AI, TensorFlow, Azure ML"/>
        <s v="ChromaDB, AWS SageMaker, PyTorch, JAX, Kubernetes, Fine-tuning, FastAPI"/>
        <s v="LlamaIndex, Docker, Azure ML, TensorFlow"/>
        <s v="Vector Databases, ChromaDB, FastAPI, Pinecone, Spark, SQL, Fine-tuning"/>
        <s v="FastAPI, Azure ML, C++, ChromaDB"/>
        <s v="TensorFlow, ChromaDB, C++, Pinecone, Fine-tuning, Kubernetes, RLHF"/>
        <s v="Vector Databases, OpenAI API, Spark, Weights &amp; Biases, Azure ML, JAX"/>
        <s v="FastAPI, LlamaIndex, AWS SageMaker, Pinecone"/>
        <s v="Python, Kubernetes, C++, Weaviate"/>
        <s v="FastAPI, TensorFlow, RLHF, Vector Databases, SQL, Python, OpenAI API"/>
        <s v="SQL, PyTorch, MLflow, Hugging Face Transformers, dbt, FastAPI"/>
        <s v="MLflow, GCP Vertex AI, Fine-tuning, RLHF, LangChain, ChromaDB"/>
        <s v="AWS SageMaker, Rust, Weaviate, SQL, TensorFlow, Pinecone, Azure ML"/>
        <s v="Kubernetes, RAG, Weights &amp; Biases"/>
        <s v="MLflow, ChromaDB, dbt, C++, Python"/>
        <s v="CUDA, RAG, TensorFlow, Weights &amp; Biases, Kubernetes, Weaviate"/>
        <s v="MLflow, Spark, Weights &amp; Biases, Rust, FastAPI, Azure ML, ChromaDB"/>
        <s v="Vector Databases, Weaviate, PyTorch, RLHF, LlamaIndex, Python, dbt"/>
        <s v="Hugging Face Transformers, Python, OpenAI API, Spark, RLHF, Kubernetes"/>
        <s v="Rust, AWS SageMaker, C++, OpenAI API, ChromaDB, Fine-tuning"/>
        <s v="Vector Databases, Weights &amp; Biases, Kubernetes, MLflow, dbt, PyTorch, Azure ML"/>
        <s v="FastAPI, Pinecone, PyTorch, dbt, C++, ChromaDB"/>
        <s v="JAX, PyTorch, RLHF"/>
        <s v="SQL, Docker, LangChain, OpenAI API, C++, ChromaDB, Pinecone"/>
        <s v="TensorFlow, JAX, ChromaDB"/>
        <s v="PyTorch, Weights &amp; Biases, dbt, Kubernetes, FastAPI, LlamaIndex, Rust"/>
        <s v="Python, Spark, OpenAI API, ChromaDB, SQL"/>
        <s v="dbt, OpenAI API, Spark, SQL, JAX, RLHF, MLflow"/>
        <s v="TensorFlow, C++, Vector Databases"/>
        <s v="Pinecone, RLHF, GCP Vertex AI, Rust"/>
        <s v="Docker, FastAPI, SQL, Vector Databases"/>
        <s v="GCP Vertex AI, Kubernetes, RLHF, Azure ML, FastAPI"/>
        <s v="PyTorch, MLflow, LangChain, Pinecone, Azure ML, C++, Weights &amp; Biases"/>
        <s v="PyTorch, dbt, Fine-tuning, FastAPI, CUDA"/>
        <s v="Pinecone, Fine-tuning, PyTorch, Kubernetes, Spark"/>
        <s v="GCP Vertex AI, TensorFlow, CUDA"/>
        <s v="dbt, Pinecone, Weights &amp; Biases"/>
        <s v="Spark, Vector Databases, Python, OpenAI API"/>
        <s v="Docker, TensorFlow, FastAPI, Rust, MLflow, Hugging Face Transformers, C++"/>
        <s v="C++, Weaviate, SQL"/>
        <s v="LlamaIndex, Fine-tuning, Vector Databases, OpenAI API, GCP Vertex AI, dbt, AWS SageMaker"/>
        <s v="PyTorch, Pinecone, Fine-tuning, Hugging Face Transformers, CUDA"/>
        <s v="Weaviate, RLHF, Hugging Face Transformers, Pinecone, SQL"/>
        <s v="Weights &amp; Biases, RAG, JAX, LlamaIndex"/>
        <s v="Rust, Kubernetes, Docker, Spark, MLflow, CUDA"/>
        <s v="Docker, Azure ML, C++, GCP Vertex AI, AWS SageMaker, TensorFlow, FastAPI"/>
        <s v="PyTorch, RAG, Weights &amp; Biases"/>
        <s v="Pinecone, C++, Spark, SQL"/>
        <s v="CUDA, C++, LlamaIndex, TensorFlow"/>
        <s v="dbt, RLHF, FastAPI"/>
        <s v="FastAPI, LangChain, Vector Databases, TensorFlow"/>
        <s v="Pinecone, dbt, JAX, Weaviate"/>
        <s v="PyTorch, CUDA, GCP Vertex AI, FastAPI, Vector Databases"/>
        <s v="Docker, SQL, RAG, LlamaIndex, Kubernetes, Weaviate"/>
        <s v="Weights &amp; Biases, Pinecone, Python, OpenAI API, Kubernetes"/>
        <s v="dbt, Pinecone, CUDA, Vector Databases, LangChain"/>
        <s v="MLflow, Kubernetes, ChromaDB, LangChain, JAX, TensorFlow, Vector Databases"/>
        <s v="Vector Databases, AWS SageMaker, FastAPI, Docker"/>
        <s v="Weaviate, Python, OpenAI API"/>
        <s v="LangChain, RAG, Python, LlamaIndex, SQL"/>
        <s v="OpenAI API, RAG, Vector Databases, Pinecone, TensorFlow, RLHF"/>
        <s v="FastAPI, Azure ML, Kubernetes, SQL, CUDA, LlamaIndex, MLflow"/>
        <s v="Rust, SQL, Vector Databases, Weights &amp; Biases, AWS SageMaker, RLHF, GCP Vertex AI"/>
        <s v="CUDA, GCP Vertex AI, ChromaDB, Vector Databases, RLHF, Kubernetes"/>
        <s v="AWS SageMaker, Rust, LangChain"/>
        <s v="ChromaDB, JAX, LangChain, RAG, GCP Vertex AI, Pinecone"/>
        <s v="RAG, GCP Vertex AI, Rust, Vector Databases"/>
        <s v="TensorFlow, SQL, RAG, Python, Spark, Pinecone, AWS SageMaker"/>
        <s v="Azure ML, ChromaDB, RAG, Vector Databases, Python"/>
        <s v="Fine-tuning, PyTorch, LlamaIndex, Kubernetes, FastAPI"/>
        <s v="Pinecone, dbt, GCP Vertex AI, Weights &amp; Biases, AWS SageMaker, LlamaIndex, RLHF"/>
        <s v="Docker, RLHF, Weights &amp; Biases, Azure ML, Pinecone"/>
        <s v="Spark, MLflow, ChromaDB, PyTorch, Rust"/>
        <s v="RAG, Rust, PyTorch, AWS SageMaker, LangChain"/>
        <s v="Python, Fine-tuning, CUDA, Rust, FastAPI"/>
        <s v="CUDA, JAX, RLHF, PyTorch"/>
        <s v="Fine-tuning, PyTorch, C++, AWS SageMaker, RAG"/>
        <s v="RAG, TensorFlow, Kubernetes, Docker"/>
        <s v="Spark, Python, GCP Vertex AI, Kubernetes, Weights &amp; Biases"/>
        <s v="Azure ML, Weaviate, JAX"/>
        <s v="LlamaIndex, Fine-tuning, LangChain, GCP Vertex AI, Python"/>
        <s v="AWS SageMaker, TensorFlow, LlamaIndex, FastAPI, OpenAI API"/>
        <s v="Spark, Hugging Face Transformers, GCP Vertex AI, dbt, Azure ML, TensorFlow"/>
        <s v="RLHF, Rust, OpenAI API, Docker"/>
        <s v="dbt, RAG, TensorFlow, GCP Vertex AI, LlamaIndex"/>
        <s v="Docker, Pinecone, MLflow"/>
        <s v="dbt, FastAPI, Spark, Weights &amp; Biases, Rust, LangChain, LlamaIndex"/>
        <s v="Weaviate, LangChain, Docker"/>
        <s v="Weights &amp; Biases, C++, dbt, Fine-tuning, ChromaDB, FastAPI, PyTorch"/>
        <s v="JAX, Fine-tuning, RLHF, C++, FastAPI"/>
        <s v="ChromaDB, JAX, MLflow, Weights &amp; Biases, GCP Vertex AI"/>
        <s v="MLflow, CUDA, LangChain, FastAPI, Fine-tuning, RAG"/>
        <s v="Azure ML, PyTorch, Pinecone, RAG, LlamaIndex"/>
        <s v="LangChain, Hugging Face Transformers, Fine-tuning, JAX, OpenAI API"/>
        <s v="JAX, PyTorch, Pinecone, Kubernetes, Azure ML"/>
        <s v="RAG, SQL, OpenAI API, Hugging Face Transformers, Azure ML"/>
        <s v="Weaviate, OpenAI API, SQL"/>
        <s v="dbt, Python, Fine-tuning"/>
        <s v="MLflow, Kubernetes, SQL, TensorFlow, Python"/>
        <s v="Vector Databases, Spark, LlamaIndex, FastAPI, PyTorch"/>
        <s v="RLHF, Vector Databases, MLflow, CUDA, SQL, Azure ML, Spark"/>
        <s v="Docker, Azure ML, RLHF, dbt, GCP Vertex AI, PyTorch"/>
        <s v="C++, RAG, MLflow, FastAPI, Weaviate, Vector Databases, Rust"/>
        <s v="AWS SageMaker, RLHF, FastAPI, Vector Databases, PyTorch, RAG, ChromaDB"/>
        <s v="ChromaDB, AWS SageMaker, Fine-tuning, Weights &amp; Biases, RLHF, Spark"/>
        <s v="MLflow, TensorFlow, LangChain, Weaviate"/>
        <s v="Pinecone, Rust, ChromaDB, RAG"/>
        <s v="Python, Rust, LangChain"/>
        <s v="ChromaDB, MLflow, RAG"/>
        <s v="JAX, Weights &amp; Biases, MLflow, ChromaDB, RAG"/>
        <s v="CUDA, Docker, OpenAI API, FastAPI"/>
        <s v="PyTorch, OpenAI API, dbt, TensorFlow, Python"/>
        <s v="SQL, PyTorch, Vector Databases, Docker, RAG, FastAPI, MLflow"/>
        <s v="dbt, Rust, Kubernetes, CUDA, Weights &amp; Biases, PyTorch, OpenAI API"/>
        <s v="Weaviate, FastAPI, TensorFlow, Weights &amp; Biases, PyTorch, dbt"/>
        <s v="OpenAI API, dbt, RAG, CUDA, Kubernetes, LangChain, ChromaDB"/>
        <s v="Python, PyTorch, Spark, RAG"/>
        <s v="TensorFlow, OpenAI API, Weights &amp; Biases"/>
        <s v="ChromaDB, Weights &amp; Biases, Weaviate, RAG, RLHF"/>
        <s v="C++, Vector Databases, Python, PyTorch"/>
        <s v="FastAPI, Weaviate, CUDA, AWS SageMaker, TensorFlow, Azure ML"/>
        <s v="Weaviate, SQL, Hugging Face Transformers, LlamaIndex, Kubernetes"/>
        <s v="SQL, Kubernetes, Rust, Azure ML"/>
        <s v="dbt, AWS SageMaker, Weights &amp; Biases, Vector Databases, Docker, Fine-tuning, FastAPI"/>
        <s v="Vector Databases, GCP Vertex AI, RAG, Weights &amp; Biases, AWS SageMaker, Azure ML, Python"/>
        <s v="Docker, Vector Databases, Fine-tuning, TensorFlow, ChromaDB"/>
        <s v="Weights &amp; Biases, ChromaDB, Fine-tuning, Kubernetes, OpenAI API"/>
        <s v="Weaviate, JAX, Spark, Vector Databases"/>
        <s v="Fine-tuning, Hugging Face Transformers, SQL, TensorFlow, Docker, Azure ML, ChromaDB"/>
        <s v="RAG, Fine-tuning, Azure ML, OpenAI API"/>
        <s v="Weaviate, Docker, CUDA, C++, Weights &amp; Biases, SQL, RAG"/>
        <s v="RLHF, JAX, Azure ML, RAG, TensorFlow, SQL, FastAPI"/>
        <s v="PyTorch, GCP Vertex AI, ChromaDB"/>
        <s v="Fine-tuning, LlamaIndex, CUDA, dbt, Weights &amp; Biases"/>
        <s v="JAX, MLflow, Azure ML, SQL"/>
        <s v="FastAPI, Spark, GCP Vertex AI, CUDA, Vector Databases, Pinecone"/>
        <s v="Weights &amp; Biases, Kubernetes, Fine-tuning, RAG, C++, Python, ChromaDB"/>
        <s v="Hugging Face Transformers, SQL, Weights &amp; Biases, FastAPI, C++, Python"/>
        <s v="SQL, AWS SageMaker, dbt, TensorFlow, Weights &amp; Biases"/>
        <s v="RLHF, dbt, PyTorch, Pinecone, CUDA, Rust, AWS SageMaker"/>
        <s v="PyTorch, FastAPI, RLHF, Weights &amp; Biases, MLflow"/>
        <s v="RLHF, Rust, Python, Hugging Face Transformers, Vector Databases, Pinecone, GCP Vertex AI"/>
        <s v="MLflow, OpenAI API, ChromaDB, PyTorch, Pinecone, Azure ML"/>
        <s v="Fine-tuning, GCP Vertex AI, dbt, JAX, PyTorch, RAG"/>
        <s v="Python, AWS SageMaker, PyTorch, Hugging Face Transformers, GCP Vertex AI"/>
        <s v="AWS SageMaker, FastAPI, Azure ML, Rust, Vector Databases, Spark, LlamaIndex"/>
        <s v="dbt, LangChain, Fine-tuning, FastAPI, JAX, CUDA, TensorFlow"/>
        <s v="GCP Vertex AI, Weaviate, AWS SageMaker, PyTorch, Spark"/>
        <s v="PyTorch, dbt, Kubernetes, Rust, Spark, RAG, OpenAI API"/>
        <s v="CUDA, Spark, dbt, Hugging Face Transformers, Docker"/>
        <s v="CUDA, FastAPI, Weaviate, Rust, Weights &amp; Biases, Fine-tuning, Vector Databases"/>
        <s v="Pinecone, LangChain, RAG, Fine-tuning, Weaviate, FastAPI, CUDA"/>
        <s v="Azure ML, RLHF, Kubernetes, LangChain"/>
        <s v="AWS SageMaker, Vector Databases, Docker, Azure ML, PyTorch, Weaviate, FastAPI"/>
        <s v="Docker, C++, FastAPI"/>
        <s v="AWS SageMaker, Weights &amp; Biases, Azure ML, Docker, TensorFlow, dbt, CUDA"/>
        <s v="RLHF, Kubernetes, SQL, RAG"/>
        <s v="Python, Rust, Hugging Face Transformers, Fine-tuning, MLflow"/>
        <s v="CUDA, MLflow, Azure ML"/>
        <s v="Spark, PyTorch, Pinecone, Docker, JAX, C++, Hugging Face Transformers"/>
        <s v="LlamaIndex, Fine-tuning, Vector Databases, Hugging Face Transformers"/>
        <s v="Weaviate, RLHF, Spark, MLflow, CUDA, AWS SageMaker"/>
        <s v="JAX, Python, dbt, GCP Vertex AI, Kubernetes, RAG, Spark"/>
        <s v="Kubernetes, AWS SageMaker, PyTorch, OpenAI API, Weaviate"/>
        <s v="Fine-tuning, LlamaIndex, Weaviate, PyTorch"/>
        <s v="ChromaDB, Vector Databases, Weaviate, LangChain"/>
        <s v="PyTorch, LlamaIndex, Fine-tuning, Spark, Hugging Face Transformers, CUDA"/>
        <s v="TensorFlow, PyTorch, Pinecone, AWS SageMaker"/>
        <s v="Spark, Azure ML, Hugging Face Transformers, Fine-tuning, Pinecone, RAG"/>
        <s v="TensorFlow, Docker, FastAPI, OpenAI API, ChromaDB, Python"/>
        <s v="AWS SageMaker, Pinecone, C++, GCP Vertex AI, Spark, RLHF"/>
        <s v="LlamaIndex, ChromaDB, RLHF, dbt"/>
        <s v="Pinecone, Weaviate, RAG"/>
        <s v="Kubernetes, Vector Databases, C++, Azure ML, Rust, Spark, Weights &amp; Biases"/>
        <s v="LangChain, Spark, JAX, TensorFlow"/>
        <s v="PyTorch, TensorFlow, AWS SageMaker"/>
        <s v="LlamaIndex, FastAPI, RAG, C++, Kubernetes"/>
        <s v="PyTorch, GCP Vertex AI, FastAPI, LangChain, SQL"/>
        <s v="Hugging Face Transformers, Rust, Fine-tuning, Kubernetes, Azure ML"/>
        <s v="Fine-tuning, GCP Vertex AI, Weights &amp; Biases, JAX, Python, Hugging Face Transformers"/>
        <s v="CUDA, dbt, SQL, C++, Vector Databases, MLflow"/>
        <s v="LangChain, Vector Databases, GCP Vertex AI, CUDA"/>
        <s v="RLHF, TensorFlow, Weights &amp; Biases, Vector Databases"/>
        <s v="OpenAI API, Docker, Python"/>
        <s v="Weaviate, Kubernetes, CUDA, TensorFlow"/>
        <s v="dbt, FastAPI, CUDA"/>
        <s v="Docker, FastAPI, MLflow, Hugging Face Transformers"/>
        <s v="Spark, Fine-tuning, JAX"/>
        <s v="LlamaIndex, Kubernetes, Docker, MLflow, Fine-tuning, RAG, GCP Vertex AI"/>
        <s v="Spark, C++, AWS SageMaker, LangChain, MLflow"/>
        <s v="Spark, Vector Databases, Weaviate"/>
        <s v="Kubernetes, Docker, MLflow, Azure ML"/>
        <s v="Rust, CUDA, GCP Vertex AI, PyTorch, Docker, Python"/>
        <s v="GCP Vertex AI, Weights &amp; Biases, Rust"/>
        <s v="Weights &amp; Biases, JAX, SQL, Spark"/>
        <s v="Pinecone, Weaviate, Weights &amp; Biases"/>
        <s v="FastAPI, C++, JAX, Hugging Face Transformers"/>
        <s v="Docker, TensorFlow, OpenAI API"/>
        <s v="Docker, Hugging Face Transformers, PyTorch, RLHF, SQL, Kubernetes, Vector Databases"/>
        <s v="Azure ML, MLflow, CUDA, Weights &amp; Biases, dbt"/>
        <s v="Fine-tuning, dbt, Rust"/>
        <s v="Hugging Face Transformers, CUDA, Docker"/>
        <s v="Vector Databases, Rust, Kubernetes, Pinecone, FastAPI, GCP Vertex AI, MLflow"/>
        <s v="Vector Databases, SQL, Hugging Face Transformers, LangChain"/>
        <s v="TensorFlow, RLHF, C++, Weaviate"/>
        <s v="RLHF, PyTorch, dbt, Docker"/>
        <s v="LlamaIndex, CUDA, OpenAI API, Docker, Weaviate, Weights &amp; Biases, LangChain"/>
        <s v="GCP Vertex AI, Pinecone, Vector Databases, Weights &amp; Biases"/>
        <s v="Spark, JAX, dbt"/>
        <s v="Kubernetes, Vector Databases, OpenAI API, Weights &amp; Biases, LangChain, C++, Docker"/>
        <s v="LlamaIndex, PyTorch, Python, AWS SageMaker, Azure ML, Pinecone, JAX"/>
        <s v="PyTorch, FastAPI, Fine-tuning, GCP Vertex AI, C++"/>
        <s v="SQL, Azure ML, Vector Databases"/>
        <s v="Weights &amp; Biases, MLflow, JAX, Weaviate, FastAPI, TensorFlow"/>
        <s v="Fine-tuning, Vector Databases, Rust, Docker, Python"/>
        <s v="AWS SageMaker, CUDA, PyTorch"/>
        <s v="Python, PyTorch, JAX"/>
        <s v="AWS SageMaker, JAX, Weaviate"/>
        <s v="Pinecone, LangChain, Hugging Face Transformers"/>
        <s v="CUDA, C++, TensorFlow, FastAPI, Vector Databases, Docker"/>
        <s v="LangChain, ChromaDB, RLHF, RAG"/>
        <s v="Docker, dbt, AWS SageMaker, TensorFlow"/>
        <s v="FastAPI, ChromaDB, RLHF, Weights &amp; Biases"/>
        <s v="GCP Vertex AI, CUDA, FastAPI, Weaviate, Docker, RAG"/>
        <s v="RLHF, Pinecone, PyTorch, GCP Vertex AI"/>
        <s v="MLflow, SQL, TensorFlow"/>
        <s v="FastAPI, CUDA, RLHF, GCP Vertex AI, ChromaDB, LangChain"/>
        <s v="Rust, RLHF, Vector Databases, C++, LangChain"/>
        <s v="SQL, AWS SageMaker, PyTorch, Spark, C++"/>
        <s v="Docker, Azure ML, GCP Vertex AI, Weights &amp; Biases, C++, MLflow, dbt"/>
        <s v="dbt, RLHF, Hugging Face Transformers"/>
        <s v="Weights &amp; Biases, JAX, Spark, Fine-tuning"/>
        <s v="C++, Rust, AWS SageMaker, OpenAI API, MLflow, Azure ML, PyTorch"/>
        <s v="AWS SageMaker, ChromaDB, TensorFlow, CUDA, LangChain, RAG"/>
        <s v="PyTorch, Vector Databases, SQL, Pinecone, LlamaIndex, OpenAI API, JAX"/>
        <s v="ChromaDB, CUDA, MLflow, Hugging Face Transformers, FastAPI, Docker"/>
        <s v="PyTorch, Kubernetes, TensorFlow, LangChain, Weaviate"/>
        <s v="Azure ML, SQL, RAG"/>
        <s v="JAX, Hugging Face Transformers, Pinecone, AWS SageMaker, RAG"/>
        <s v="ChromaDB, OpenAI API, C++, TensorFlow, RAG, Hugging Face Transformers"/>
        <s v="FastAPI, MLflow, Vector Databases, ChromaDB, Kubernetes, Weights &amp; Biases"/>
        <s v="RAG, SQL, TensorFlow, PyTorch, AWS SageMaker, Python, RLHF"/>
        <s v="Python, Docker, TensorFlow, MLflow, JAX"/>
        <s v="SQL, RAG, Kubernetes, Rust, Azure ML"/>
        <s v="C++, Kubernetes, Vector Databases"/>
        <s v="LangChain, MLflow, CUDA, RLHF"/>
        <s v="SQL, CUDA, Hugging Face Transformers, C++, Weights &amp; Biases, dbt, Docker"/>
        <s v="GCP Vertex AI, Weaviate, Weights &amp; Biases, PyTorch"/>
        <s v="SQL, JAX, C++, Spark, Fine-tuning"/>
        <s v="Docker, Pinecone, C++, JAX, GCP Vertex AI"/>
        <s v="GCP Vertex AI, CUDA, Docker, LangChain, Weights &amp; Biases, Pinecone"/>
        <s v="Hugging Face Transformers, RAG, Vector Databases, Weights &amp; Biases, Weaviate, CUDA, GCP Vertex AI"/>
        <s v="PyTorch, AWS SageMaker, LlamaIndex, Docker, TensorFlow, Fine-tuning"/>
        <s v="Weaviate, TensorFlow, Docker, Kubernetes, Fine-tuning, Azure ML"/>
        <s v="Fine-tuning, Python, TensorFlow, MLflow, RLHF, Azure ML"/>
        <s v="Spark, Fine-tuning, Vector Databases, C++, PyTorch, CUDA, Weights &amp; Biases"/>
        <s v="Hugging Face Transformers, RLHF, Weights &amp; Biases, Azure ML, SQL"/>
        <s v="Rust, AWS SageMaker, MLflow, RLHF, Spark"/>
        <s v="LangChain, Weights &amp; Biases, Python, Weaviate, Rust, PyTorch"/>
        <s v="SQL, Azure ML, JAX, LangChain, GCP Vertex AI"/>
        <s v="FastAPI, Azure ML, Kubernetes, CUDA"/>
        <s v="Weaviate, Rust, RLHF, OpenAI API, Spark, JAX"/>
        <s v="Kubernetes, CUDA, MLflow, FastAPI, Rust"/>
        <s v="Vector Databases, Azure ML, SQL, Rust"/>
        <s v="Fine-tuning, Docker, Azure ML, LangChain, OpenAI API, Python"/>
        <s v="FastAPI, Python, Weaviate, AWS SageMaker, Hugging Face Transformers, Vector Databases, Rust"/>
        <s v="LangChain, OpenAI API, GCP Vertex AI"/>
        <s v="Python, Azure ML, Weights &amp; Biases, TensorFlow, AWS SageMaker, LangChain, LlamaIndex"/>
        <s v="Fine-tuning, MLflow, SQL, LlamaIndex, FastAPI, RAG"/>
        <s v="Azure ML, Fine-tuning, OpenAI API"/>
        <s v="Kubernetes, Fine-tuning, RAG, ChromaDB, AWS SageMaker, OpenAI API, CUDA"/>
        <s v="PyTorch, FastAPI, Weaviate, ChromaDB, GCP Vertex AI"/>
        <s v="LlamaIndex, OpenAI API, Python"/>
        <s v="Vector Databases, Python, Docker, FastAPI"/>
        <s v="SQL, Fine-tuning, CUDA, OpenAI API, C++, Pinecone, Python"/>
        <s v="Hugging Face Transformers, AWS SageMaker, RLHF, Vector Databases, PyTorch, Spark, dbt"/>
        <s v="Weaviate, ChromaDB, RAG, Python, Rust, C++"/>
        <s v="Hugging Face Transformers, Weaviate, dbt, Docker, RAG"/>
        <s v="PyTorch, Pinecone, OpenAI API, Docker, Weaviate, Weights &amp; Biases, Python"/>
        <s v="Weaviate, RAG, MLflow, RLHF, Weights &amp; Biases"/>
        <s v="JAX, ChromaDB, Vector Databases, Spark, dbt, AWS SageMaker, Kubernetes"/>
        <s v="Pinecone, Vector Databases, Python, AWS SageMaker, TensorFlow, GCP Vertex AI, Weights &amp; Biases"/>
        <s v="Weights &amp; Biases, Docker, Kubernetes, OpenAI API, C++"/>
        <s v="Docker, MLflow, RAG, JAX, Python, LangChain, GCP Vertex AI"/>
        <s v="RAG, RLHF, Hugging Face Transformers, SQL, C++, ChromaDB"/>
        <s v="MLflow, Kubernetes, Weaviate, Fine-tuning, dbt, C++"/>
        <s v="Fine-tuning, JAX, TensorFlow, PyTorch, Kubernetes, Azure ML, RAG"/>
        <s v="Python, Spark, RAG, PyTorch, Weights &amp; Biases"/>
        <s v="RAG, Azure ML, C++, dbt, ChromaDB, GCP Vertex AI"/>
        <s v="Hugging Face Transformers, C++, MLflow, LlamaIndex, GCP Vertex AI"/>
        <s v="C++, FastAPI, JAX, RAG, ChromaDB"/>
        <s v="PyTorch, Python, Fine-tuning, Docker, Hugging Face Transformers"/>
        <s v="JAX, Vector Databases, dbt, Docker, TensorFlow, FastAPI"/>
        <s v="PyTorch, Docker, Weights &amp; Biases, TensorFlow"/>
        <s v="Spark, LlamaIndex, SQL, Vector Databases"/>
        <s v="RLHF, LlamaIndex, Docker, Spark, Rust, RAG"/>
        <s v="RLHF, Weaviate, AWS SageMaker, C++, Hugging Face Transformers, SQL, Pinecone"/>
        <s v="AWS SageMaker, Pinecone, ChromaDB, TensorFlow"/>
        <s v="FastAPI, Kubernetes, AWS SageMaker, OpenAI API"/>
        <s v="Kubernetes, GCP Vertex AI, RLHF, Weaviate, Weights &amp; Biases"/>
        <s v="LangChain, dbt, Pinecone, TensorFlow"/>
        <s v="SQL, Azure ML, Spark"/>
        <s v="FastAPI, Vector Databases, SQL"/>
        <s v="SQL, ChromaDB, Fine-tuning, C++"/>
        <s v="LlamaIndex, Pinecone, Hugging Face Transformers, RAG, JAX, Weights &amp; Biases, SQL"/>
        <s v="OpenAI API, TensorFlow, Spark, RLHF"/>
        <s v="LangChain, Rust, Python, PyTorch"/>
        <s v="GCP Vertex AI, Kubernetes, Pinecone, JAX"/>
        <s v="C++, dbt, Hugging Face Transformers, MLflow, Vector Databases, AWS SageMaker, CUDA"/>
        <s v="Vector Databases, LlamaIndex, dbt, Python, RLHF, GCP Vertex AI, FastAPI"/>
        <s v="Hugging Face Transformers, Spark, Docker, dbt, OpenAI API, Weaviate"/>
        <s v="dbt, LangChain, JAX, Weaviate, LlamaIndex"/>
        <s v="Fine-tuning, TensorFlow, SQL, Rust, RAG"/>
        <s v="RLHF, RAG, MLflow, AWS SageMaker, Azure ML"/>
        <s v="Python, Rust, FastAPI, CUDA, Weights &amp; Biases, LlamaIndex, Kubernetes"/>
        <s v="Kubernetes, CUDA, C++, JAX, RLHF"/>
        <s v="Rust, Spark, RAG, LangChain, Azure ML, PyTorch, Vector Databases"/>
        <s v="Spark, CUDA, dbt, Vector Databases, RLHF, SQL, Fine-tuning"/>
        <s v="CUDA, LlamaIndex, SQL"/>
        <s v="SQL, RAG, Pinecone, Weights &amp; Biases, Weaviate"/>
        <s v="C++, GCP Vertex AI, ChromaDB, Azure ML, Python, LangChain"/>
        <s v="Hugging Face Transformers, AWS SageMaker, FastAPI, RAG, CUDA, SQL, Spark"/>
        <s v="Spark, Kubernetes, Vector Databases, Weaviate, TensorFlow, CUDA"/>
        <s v="SQL, Docker, PyTorch, FastAPI, Azure ML"/>
        <s v="Rust, C++, Weaviate, SQL, PyTorch, Python"/>
        <s v="dbt, LlamaIndex, C++, SQL, Docker, Hugging Face Transformers"/>
        <s v="MLflow, GCP Vertex AI, JAX, Vector Databases, Hugging Face Transformers, AWS SageMaker, Python"/>
        <s v="Spark, RLHF, Fine-tuning, Docker, LangChain"/>
        <s v="C++, LlamaIndex, CUDA, RLHF, FastAPI, Vector Databases, MLflow"/>
        <s v="Weaviate, Rust, Hugging Face Transformers, TensorFlow, Kubernetes"/>
        <s v="Azure ML, Rust, Kubernetes, Hugging Face Transformers, JAX"/>
        <s v="MLflow, LlamaIndex, LangChain, Weights &amp; Biases, OpenAI API"/>
        <s v="CUDA, MLflow, GCP Vertex AI, FastAPI, Weights &amp; Biases"/>
        <s v="OpenAI API, CUDA, Weights &amp; Biases, C++, RLHF, Python, Fine-tuning"/>
        <s v="MLflow, dbt, TensorFlow, Fine-tuning"/>
        <s v="RLHF, Vector Databases, GCP Vertex AI, FastAPI, RAG"/>
        <s v="Kubernetes, Pinecone, Hugging Face Transformers, Weaviate, ChromaDB"/>
        <s v="Rust, AWS SageMaker, GCP Vertex AI, LangChain, Hugging Face Transformers"/>
        <s v="TensorFlow, Weaviate, dbt, RAG, PyTorch, Weights &amp; Biases"/>
        <s v="ChromaDB, Pinecone, Weights &amp; Biases, RAG"/>
        <s v="Hugging Face Transformers, GCP Vertex AI, Spark, PyTorch, dbt, ChromaDB"/>
        <s v="RLHF, LangChain, AWS SageMaker"/>
        <s v="Rust, C++, Vector Databases, LlamaIndex"/>
        <s v="Rust, AWS SageMaker, Kubernetes"/>
        <s v="TensorFlow, Rust, Pinecone"/>
        <s v="Python, OpenAI API, PyTorch, LlamaIndex, dbt, CUDA"/>
        <s v="Python, Fine-tuning, OpenAI API, CUDA"/>
        <s v="JAX, C++, TensorFlow"/>
        <s v="CUDA, ChromaDB, Spark"/>
        <s v="JAX, Vector Databases, Hugging Face Transformers, PyTorch"/>
        <s v="LangChain, RAG, MLflow"/>
        <s v="Python, ChromaDB, RAG, RLHF"/>
        <s v="Kubernetes, Rust, RAG"/>
        <s v="dbt, RAG, Vector Databases, Azure ML"/>
        <s v="MLflow, dbt, Weights &amp; Biases, JAX, AWS SageMaker, RAG, FastAPI"/>
        <s v="LangChain, CUDA, Vector Databases, FastAPI, Azure ML, PyTorch, RLHF"/>
        <s v="dbt, LlamaIndex, Spark, Pinecone"/>
        <s v="Vector Databases, TensorFlow, Python, Kubernetes, RAG, dbt, GCP Vertex AI"/>
        <s v="Azure ML, ChromaDB, Python, Weaviate, PyTorch"/>
        <s v="Spark, TensorFlow, PyTorch, Rust, SQL, Python"/>
        <s v="Vector Databases, PyTorch, Rust"/>
        <s v="ChromaDB, Azure ML, AWS SageMaker"/>
        <s v="OpenAI API, SQL, JAX, C++, FastAPI, CUDA"/>
        <s v="C++, Vector Databases, RAG, Docker, RLHF, Weaviate"/>
        <s v="RLHF, JAX, Python, ChromaDB, Hugging Face Transformers"/>
        <s v="dbt, CUDA, Weights &amp; Biases, Weaviate"/>
        <s v="CUDA, GCP Vertex AI, OpenAI API"/>
        <s v="LlamaIndex, MLflow, CUDA, TensorFlow, ChromaDB, Spark, LangChain"/>
        <s v="LangChain, AWS SageMaker, Kubernetes, Pinecone, RLHF, Fine-tuning, Vector Databases"/>
        <s v="Weights &amp; Biases, Fine-tuning, Kubernetes, Hugging Face Transformers"/>
        <s v="dbt, Rust, LangChain, Docker, TensorFlow"/>
        <s v="Spark, Weights &amp; Biases, Fine-tuning"/>
        <s v="Kubernetes, Weaviate, PyTorch, TensorFlow, OpenAI API, Rust"/>
        <s v="RLHF, RAG, JAX, Hugging Face Transformers, Python"/>
        <s v="Spark, LangChain, FastAPI"/>
        <s v="AWS SageMaker, Weaviate, dbt"/>
        <s v="AWS SageMaker, RAG, Rust, MLflow"/>
        <s v="TensorFlow, Docker, ChromaDB, OpenAI API"/>
        <s v="Rust, Weights &amp; Biases, Kubernetes, Docker, ChromaDB, LangChain, Spark"/>
        <s v="JAX, MLflow, Hugging Face Transformers, Spark"/>
        <s v="RAG, Vector Databases, TensorFlow, Fine-tuning"/>
        <s v="Pinecone, TensorFlow, Python, GCP Vertex AI, MLflow"/>
        <s v="FastAPI, Weaviate, JAX"/>
        <s v="FastAPI, Hugging Face Transformers, PyTorch, RLHF"/>
        <s v="Docker, RAG, Vector Databases, PyTorch, TensorFlow, JAX, MLflow"/>
        <s v="AWS SageMaker, Weaviate, RLHF, Pinecone"/>
        <s v="SQL, JAX, Spark, dbt"/>
        <s v="MLflow, Kubernetes, dbt, CUDA, Vector Databases, Weights &amp; Biases"/>
        <s v="GCP Vertex AI, Pinecone, Kubernetes, Fine-tuning, TensorFlow"/>
        <s v="Python, Hugging Face Transformers, Azure ML, C++, CUDA"/>
        <s v="OpenAI API, FastAPI, Hugging Face Transformers, ChromaDB, AWS SageMaker, Python"/>
        <s v="CUDA, LangChain, Python, Pinecone, Fine-tuning"/>
        <s v="PyTorch, Hugging Face Transformers, dbt, Vector Databases, Rust"/>
        <s v="Weaviate, TensorFlow, Python, dbt"/>
        <s v="FastAPI, Python, Weights &amp; Biases"/>
        <s v="RLHF, MLflow, ChromaDB, TensorFlow, Pinecone, Rust, AWS SageMaker"/>
        <s v="Python, Azure ML, OpenAI API, Kubernetes, Pinecone, Weaviate"/>
        <s v="LangChain, AWS SageMaker, Spark, Python, OpenAI API"/>
        <s v="Spark, Weights &amp; Biases, JAX, SQL"/>
        <s v="PyTorch, Vector Databases, Hugging Face Transformers"/>
        <s v="LangChain, Rust, PyTorch, AWS SageMaker, Kubernetes"/>
        <s v="TensorFlow, ChromaDB, Fine-tuning, Vector Databases, GCP Vertex AI, FastAPI"/>
        <s v="LlamaIndex, RAG, C++, ChromaDB, RLHF, CUDA, Rust"/>
        <s v="Pinecone, Fine-tuning, Kubernetes, ChromaDB, TensorFlow, AWS SageMaker"/>
        <s v="AWS SageMaker, Docker, GCP Vertex AI, Weights &amp; Biases, LlamaIndex"/>
        <s v="Kubernetes, SQL, LangChain, Docker, RAG, Python, JAX"/>
        <s v="JAX, Weights &amp; Biases, Vector Databases"/>
        <s v="C++, Kubernetes, TensorFlow, FastAPI, Vector Databases, Rust"/>
        <s v="LangChain, Kubernetes, Python, OpenAI API, LlamaIndex, Weights &amp; Biases, Fine-tuning"/>
        <s v="C++, Docker, ChromaDB, Spark"/>
        <s v="Python, JAX, Rust, dbt, ChromaDB, Hugging Face Transformers, CUDA"/>
        <s v="LlamaIndex, Rust, AWS SageMaker, Python, Docker"/>
        <s v="Weights &amp; Biases, CUDA, OpenAI API, Rust, Kubernetes, FastAPI, JAX"/>
        <s v="JAX, ChromaDB, C++, MLflow"/>
        <s v="OpenAI API, Docker, Spark, Fine-tuning"/>
        <s v="AWS SageMaker, dbt, PyTorch, TensorFlow, CUDA"/>
        <s v="LlamaIndex, C++, Weaviate, dbt, Fine-tuning, Weights &amp; Biases"/>
        <s v="RLHF, dbt, Docker"/>
        <s v="PyTorch, RAG, SQL, Python"/>
        <s v="RAG, AWS SageMaker, Kubernetes, FastAPI, SQL"/>
        <s v="Weaviate, Vector Databases, Kubernetes, Python, GCP Vertex AI, dbt"/>
        <s v="FastAPI, MLflow, Azure ML, Weights &amp; Biases, RAG"/>
        <s v="OpenAI API, TensorFlow, Python, ChromaDB, dbt"/>
        <s v="Kubernetes, SQL, RLHF, Pinecone, OpenAI API, Python, dbt"/>
        <s v="dbt, GCP Vertex AI, Weights &amp; Biases, RAG"/>
        <s v="PyTorch, Vector Databases, GCP Vertex AI, JAX"/>
        <s v="Vector Databases, OpenAI API, SQL, Hugging Face Transformers, PyTorch"/>
        <s v="FastAPI, RAG, Vector Databases, Hugging Face Transformers"/>
        <s v="Vector Databases, MLflow, ChromaDB"/>
        <s v="Spark, CUDA, Pinecone"/>
        <s v="RAG, Python, Rust, AWS SageMaker, LlamaIndex, Weaviate, dbt"/>
        <s v="RLHF, Spark, Kubernetes, Vector Databases, JAX, Pinecone"/>
        <s v="Weights &amp; Biases, PyTorch, JAX, LangChain, Spark, Rust, RLHF"/>
        <s v="Spark, RLHF, Weights &amp; Biases, GCP Vertex AI, JAX, ChromaDB"/>
        <s v="GCP Vertex AI, Hugging Face Transformers, OpenAI API, FastAPI, PyTorch, Weaviate"/>
        <s v="Azure ML, GCP Vertex AI, Docker, RLHF, JAX, OpenAI API"/>
        <s v="PyTorch, OpenAI API, C++, Rust"/>
        <s v="Weaviate, JAX, MLflow"/>
        <s v="LangChain, LlamaIndex, RLHF"/>
        <s v="Vector Databases, OpenAI API, C++, Spark, RLHF, LangChain"/>
        <s v="CUDA, SQL, C++, AWS SageMaker, Fine-tuning"/>
        <s v="Azure ML, TensorFlow, RAG, Spark, C++, PyTorch, Kubernetes"/>
        <s v="SQL, RAG, Weights &amp; Biases"/>
        <s v="MLflow, Azure ML, dbt, C++, Spark, Kubernetes, Weights &amp; Biases"/>
        <s v="TensorFlow, GCP Vertex AI, Weights &amp; Biases, MLflow, C++, Fine-tuning, RAG"/>
        <s v="PyTorch, MLflow, Pinecone, Vector Databases, RLHF, SQL, Spark"/>
        <s v="Kubernetes, Python, SQL, Fine-tuning, AWS SageMaker"/>
        <s v="MLflow, ChromaDB, PyTorch, Weaviate, AWS SageMaker, Azure ML, Docker"/>
        <s v="Python, Docker, Rust, LangChain, SQL"/>
        <s v="Vector Databases, Azure ML, TensorFlow"/>
        <s v="Docker, dbt, GCP Vertex AI, MLflow, Pinecone, PyTorch"/>
        <s v="SQL, AWS SageMaker, Weaviate, Hugging Face Transformers, Spark"/>
        <s v="Vector Databases, Fine-tuning, MLflow"/>
        <s v="Spark, Hugging Face Transformers, C++"/>
        <s v="GCP Vertex AI, RAG, Spark"/>
        <s v="Rust, JAX, FastAPI"/>
        <s v="RLHF, Fine-tuning, Docker, GCP Vertex AI"/>
        <s v="Weaviate, Python, Azure ML"/>
        <s v="Weights &amp; Biases, Vector Databases, Spark, Hugging Face Transformers, JAX, C++, FastAPI"/>
        <s v="LangChain, Azure ML, Docker, TensorFlow"/>
        <s v="GCP Vertex AI, Weaviate, FastAPI, CUDA"/>
        <s v="CUDA, Pinecone, Azure ML, RLHF, LlamaIndex"/>
        <s v="Azure ML, OpenAI API, Python, MLflow, Spark, LlamaIndex"/>
        <s v="SQL, FastAPI, Pinecone, JAX, dbt, Weights &amp; Biases"/>
        <s v="Weights &amp; Biases, Vector Databases, Docker, ChromaDB, C++, PyTorch, JAX"/>
        <s v="Azure ML, RLHF, Rust"/>
        <s v="CUDA, Spark, Fine-tuning, Pinecone, Python"/>
        <s v="Spark, dbt, AWS SageMaker, Rust, Vector Databases, CUDA, PyTorch"/>
        <s v="MLflow, Vector Databases, Hugging Face Transformers, AWS SageMaker, Weaviate, CUDA"/>
      </sharedItems>
    </cacheField>
    <cacheField name="primary_llm_mentioned" numFmtId="0">
      <sharedItems/>
    </cacheField>
    <cacheField name="education_required" numFmtId="0">
      <sharedItems/>
    </cacheField>
    <cacheField name="date_posted" numFmtId="0">
      <sharedItems containsSemiMixedTypes="0" containsString="0" containsNumber="1" containsInteger="1" minValue="45292" maxValue="45747"/>
    </cacheField>
    <cacheField name="job_description_length" numFmtId="0">
      <sharedItems containsSemiMixedTypes="0" containsString="0" containsNumber="1" containsInteger="1" minValue="300" maxValue="2500"/>
    </cacheField>
    <cacheField name="applies_count" numFmtId="0">
      <sharedItems containsSemiMixedTypes="0" containsString="0" containsNumber="1" containsInteger="1" minValue="11" maxValue="4000"/>
    </cacheField>
    <cacheField name="visa_sponsorship" numFmtId="0">
      <sharedItems/>
    </cacheField>
    <cacheField name="years_experience_min" numFmtId="0">
      <sharedItems containsSemiMixedTypes="0" containsString="0" containsNumber="1" containsInteger="1" minValue="0" maxValue="6"/>
    </cacheField>
    <cacheField name="company_size" numFmtId="0">
      <sharedItems/>
    </cacheField>
    <cacheField name="is_contract" numFmtId="0">
      <sharedItems/>
    </cacheField>
    <cacheField name="has_equity" numFmtId="0">
      <sharedItems/>
    </cacheField>
  </cacheFields>
  <extLst>
    <ext xmlns:x14="http://schemas.microsoft.com/office/spreadsheetml/2009/9/main" uri="{725AE2AE-9491-48be-B2B4-4EB974FC3084}">
      <x14:pivotCacheDefinition pivotCacheId="18834525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AIJOB00001"/>
    <x v="0"/>
    <x v="0"/>
    <s v="Technology"/>
    <s v="Amsterdam, Netherlands"/>
    <s v="Netherlands"/>
    <s v="Remote"/>
    <x v="0"/>
    <s v="0-2 yrs"/>
    <n v="76258"/>
    <x v="0"/>
    <s v="Grok"/>
    <s v="Bachelor's"/>
    <n v="45363"/>
    <n v="1195"/>
    <n v="962"/>
    <s v="No"/>
    <n v="0"/>
    <s v="0-50"/>
    <s v="Full-time"/>
    <s v="No"/>
  </r>
  <r>
    <s v="AIJOB00002"/>
    <x v="1"/>
    <x v="1"/>
    <s v="Automotive"/>
    <s v="Paris, France"/>
    <s v="France"/>
    <s v="Remote"/>
    <x v="1"/>
    <s v="8+ yrs"/>
    <n v="195022"/>
    <x v="1"/>
    <s v="None"/>
    <s v="Bachelor's"/>
    <n v="45434"/>
    <n v="1678"/>
    <n v="428"/>
    <s v="Yes"/>
    <n v="6"/>
    <s v="0-50"/>
    <s v="Full-time"/>
    <s v="Yes"/>
  </r>
  <r>
    <s v="AIJOB00003"/>
    <x v="2"/>
    <x v="2"/>
    <s v="Retail"/>
    <s v="Bangalore, India"/>
    <s v="India"/>
    <s v="Hybrid"/>
    <x v="0"/>
    <s v="0-2 yrs"/>
    <n v="78160"/>
    <x v="2"/>
    <s v="Falcon"/>
    <s v="PhD"/>
    <n v="45485"/>
    <n v="487"/>
    <n v="2718"/>
    <s v="Yes"/>
    <n v="0"/>
    <s v="201-1000"/>
    <s v="Part-time"/>
    <s v="No"/>
  </r>
  <r>
    <s v="AIJOB00004"/>
    <x v="0"/>
    <x v="3"/>
    <s v="Finance"/>
    <s v="Amsterdam, Netherlands"/>
    <s v="Netherlands"/>
    <s v="Hybrid"/>
    <x v="1"/>
    <s v="8+ yrs"/>
    <n v="254829"/>
    <x v="3"/>
    <s v="None"/>
    <s v="Master's"/>
    <n v="45719"/>
    <n v="1000"/>
    <n v="2197"/>
    <s v="No"/>
    <n v="6"/>
    <s v="51-200"/>
    <s v="Full-time"/>
    <s v="Yes"/>
  </r>
  <r>
    <s v="AIJOB00005"/>
    <x v="1"/>
    <x v="4"/>
    <s v="Automotive"/>
    <s v="Austin, United States"/>
    <s v="United States"/>
    <s v="On-site"/>
    <x v="2"/>
    <s v="2-5 yrs"/>
    <n v="105363"/>
    <x v="4"/>
    <s v="None"/>
    <s v="Bachelor's"/>
    <n v="45689"/>
    <n v="1588"/>
    <n v="880"/>
    <s v="No"/>
    <n v="2"/>
    <s v="1001-5000"/>
    <s v="Contract"/>
    <s v="No"/>
  </r>
  <r>
    <s v="AIJOB00006"/>
    <x v="3"/>
    <x v="5"/>
    <s v="Education"/>
    <s v="Berlin, Germany"/>
    <s v="Germany"/>
    <s v="Remote"/>
    <x v="3"/>
    <s v="5-8 yrs"/>
    <n v="143678"/>
    <x v="5"/>
    <s v="Gemini"/>
    <s v="Bachelor's"/>
    <n v="45579"/>
    <n v="492"/>
    <n v="3537"/>
    <s v="Yes"/>
    <n v="4"/>
    <s v="51-200"/>
    <s v="Contract"/>
    <s v="Yes"/>
  </r>
  <r>
    <s v="AIJOB00007"/>
    <x v="4"/>
    <x v="6"/>
    <s v="Automotive"/>
    <s v="Chicago, United States"/>
    <s v="United States"/>
    <s v="Hybrid"/>
    <x v="1"/>
    <s v="8+ yrs"/>
    <n v="256851"/>
    <x v="6"/>
    <s v="None"/>
    <s v="PhD"/>
    <n v="45531"/>
    <n v="1693"/>
    <n v="466"/>
    <s v="No"/>
    <n v="6"/>
    <s v="51-200"/>
    <s v="Full-time"/>
    <s v="No"/>
  </r>
  <r>
    <s v="AIJOB00008"/>
    <x v="2"/>
    <x v="7"/>
    <s v="Energy"/>
    <s v="Dublin, Ireland"/>
    <s v="Ireland"/>
    <s v="On-site"/>
    <x v="2"/>
    <s v="2-5 yrs"/>
    <n v="125195"/>
    <x v="7"/>
    <s v="Gemini"/>
    <s v="Bootcamp/Self-taught"/>
    <n v="45737"/>
    <n v="1627"/>
    <n v="2011"/>
    <s v="Yes"/>
    <n v="2"/>
    <s v="201-1000"/>
    <s v="Contract"/>
    <s v="No"/>
  </r>
  <r>
    <s v="AIJOB00009"/>
    <x v="5"/>
    <x v="6"/>
    <s v="Energy"/>
    <s v="New York, United States"/>
    <s v="United States"/>
    <s v="Remote"/>
    <x v="2"/>
    <s v="2-5 yrs"/>
    <n v="100704"/>
    <x v="8"/>
    <s v="None"/>
    <s v="PhD"/>
    <n v="45582"/>
    <n v="825"/>
    <n v="2712"/>
    <s v="No"/>
    <n v="2"/>
    <s v="5000+"/>
    <s v="Full-time"/>
    <s v="No"/>
  </r>
  <r>
    <s v="AIJOB00010"/>
    <x v="6"/>
    <x v="8"/>
    <s v="Energy"/>
    <s v="Singapore"/>
    <s v="Singapore"/>
    <s v="On-site"/>
    <x v="1"/>
    <s v="8+ yrs"/>
    <n v="219532"/>
    <x v="9"/>
    <s v="Command R"/>
    <s v="Master's"/>
    <n v="45678"/>
    <n v="1315"/>
    <n v="930"/>
    <s v="Yes"/>
    <n v="6"/>
    <s v="0-50"/>
    <s v="Full-time"/>
    <s v="Yes"/>
  </r>
  <r>
    <s v="AIJOB00011"/>
    <x v="7"/>
    <x v="9"/>
    <s v="Automotive"/>
    <s v="Seattle, United States"/>
    <s v="United States"/>
    <s v="Hybrid"/>
    <x v="0"/>
    <s v="0-2 yrs"/>
    <n v="64160"/>
    <x v="10"/>
    <s v="Phi"/>
    <s v="Master's"/>
    <n v="45322"/>
    <n v="1177"/>
    <n v="2218"/>
    <s v="Yes"/>
    <n v="0"/>
    <s v="5000+"/>
    <s v="Full-time"/>
    <s v="Yes"/>
  </r>
  <r>
    <s v="AIJOB00012"/>
    <x v="8"/>
    <x v="10"/>
    <s v="Finance"/>
    <s v="Singapore"/>
    <s v="Singapore"/>
    <s v="Remote"/>
    <x v="1"/>
    <s v="8+ yrs"/>
    <n v="183233"/>
    <x v="11"/>
    <s v="None"/>
    <s v="Bachelor's"/>
    <n v="45629"/>
    <n v="1689"/>
    <n v="3289"/>
    <s v="Maybe"/>
    <n v="6"/>
    <s v="51-200"/>
    <s v="Full-time"/>
    <s v="No"/>
  </r>
  <r>
    <s v="AIJOB00013"/>
    <x v="3"/>
    <x v="11"/>
    <s v="Technology"/>
    <s v="Toronto, Canada"/>
    <s v="Canada"/>
    <s v="Remote"/>
    <x v="1"/>
    <s v="8+ yrs"/>
    <n v="208710"/>
    <x v="12"/>
    <s v="None"/>
    <s v="Master's"/>
    <n v="45419"/>
    <n v="360"/>
    <n v="3979"/>
    <s v="Yes"/>
    <n v="6"/>
    <s v="51-200"/>
    <s v="Full-time"/>
    <s v="No"/>
  </r>
  <r>
    <s v="AIJOB00014"/>
    <x v="9"/>
    <x v="12"/>
    <s v="Energy"/>
    <s v="New York, United States"/>
    <s v="United States"/>
    <s v="Remote"/>
    <x v="1"/>
    <s v="8+ yrs"/>
    <n v="131121"/>
    <x v="13"/>
    <s v="None"/>
    <s v="Master's"/>
    <n v="45293"/>
    <n v="2293"/>
    <n v="644"/>
    <s v="Yes"/>
    <n v="6"/>
    <s v="51-200"/>
    <s v="Part-time"/>
    <s v="No"/>
  </r>
  <r>
    <s v="AIJOB00015"/>
    <x v="1"/>
    <x v="13"/>
    <s v="Defense"/>
    <s v="Austin, United States"/>
    <s v="United States"/>
    <s v="Remote"/>
    <x v="0"/>
    <s v="0-2 yrs"/>
    <n v="50000"/>
    <x v="14"/>
    <s v="Gemini"/>
    <s v="Bachelor's"/>
    <n v="45591"/>
    <n v="1263"/>
    <n v="1663"/>
    <s v="Yes"/>
    <n v="0"/>
    <s v="5000+"/>
    <s v="Full-time"/>
    <s v="No"/>
  </r>
  <r>
    <s v="AIJOB00016"/>
    <x v="6"/>
    <x v="3"/>
    <s v="Automotive"/>
    <s v="Los Angeles, United States"/>
    <s v="United States"/>
    <s v="Hybrid"/>
    <x v="0"/>
    <s v="0-2 yrs"/>
    <n v="62915"/>
    <x v="15"/>
    <s v="Gemini"/>
    <s v="Master's"/>
    <n v="45581"/>
    <n v="597"/>
    <n v="48"/>
    <s v="No"/>
    <n v="0"/>
    <s v="5000+"/>
    <s v="Part-time"/>
    <s v="Yes"/>
  </r>
  <r>
    <s v="AIJOB00017"/>
    <x v="9"/>
    <x v="14"/>
    <s v="Energy"/>
    <s v="Berlin, Germany"/>
    <s v="Germany"/>
    <s v="On-site"/>
    <x v="3"/>
    <s v="5-8 yrs"/>
    <n v="122653"/>
    <x v="16"/>
    <s v="Command R"/>
    <s v="PhD"/>
    <n v="45743"/>
    <n v="2466"/>
    <n v="42"/>
    <s v="No"/>
    <n v="4"/>
    <s v="5000+"/>
    <s v="Full-time"/>
    <s v="No"/>
  </r>
  <r>
    <s v="AIJOB00018"/>
    <x v="3"/>
    <x v="5"/>
    <s v="Education"/>
    <s v="London, United Kingdom"/>
    <s v="United Kingdom"/>
    <s v="On-site"/>
    <x v="3"/>
    <s v="5-8 yrs"/>
    <n v="158484"/>
    <x v="17"/>
    <s v="Mistral"/>
    <s v="Bachelor's"/>
    <n v="45672"/>
    <n v="508"/>
    <n v="388"/>
    <s v="No"/>
    <n v="4"/>
    <s v="201-1000"/>
    <s v="Full-time"/>
    <s v="Yes"/>
  </r>
  <r>
    <s v="AIJOB00019"/>
    <x v="3"/>
    <x v="2"/>
    <s v="Energy"/>
    <s v="Toronto, Canada"/>
    <s v="Canada"/>
    <s v="Hybrid"/>
    <x v="3"/>
    <s v="5-8 yrs"/>
    <n v="125483"/>
    <x v="18"/>
    <s v="Falcon"/>
    <s v="Bachelor's"/>
    <n v="45574"/>
    <n v="822"/>
    <n v="181"/>
    <s v="No"/>
    <n v="4"/>
    <s v="0-50"/>
    <s v="Contract"/>
    <s v="Yes"/>
  </r>
  <r>
    <s v="AIJOB00020"/>
    <x v="7"/>
    <x v="15"/>
    <s v="Healthcare"/>
    <s v="Boston, United States"/>
    <s v="United States"/>
    <s v="Hybrid"/>
    <x v="0"/>
    <s v="0-2 yrs"/>
    <n v="52204"/>
    <x v="19"/>
    <s v="None"/>
    <s v="PhD"/>
    <n v="45744"/>
    <n v="1660"/>
    <n v="3214"/>
    <s v="Maybe"/>
    <n v="0"/>
    <s v="51-200"/>
    <s v="Full-time"/>
    <s v="No"/>
  </r>
  <r>
    <s v="AIJOB00021"/>
    <x v="0"/>
    <x v="16"/>
    <s v="Retail"/>
    <s v="New York, United States"/>
    <s v="United States"/>
    <s v="On-site"/>
    <x v="1"/>
    <s v="8+ yrs"/>
    <n v="252763"/>
    <x v="20"/>
    <s v="None"/>
    <s v="Bachelor's"/>
    <n v="45405"/>
    <n v="1091"/>
    <n v="1642"/>
    <s v="No"/>
    <n v="6"/>
    <s v="0-50"/>
    <s v="Part-time"/>
    <s v="Yes"/>
  </r>
  <r>
    <s v="AIJOB00022"/>
    <x v="10"/>
    <x v="17"/>
    <s v="Finance"/>
    <s v="Stockholm, Sweden"/>
    <s v="Sweden"/>
    <s v="Remote"/>
    <x v="1"/>
    <s v="8+ yrs"/>
    <n v="191872"/>
    <x v="21"/>
    <s v="Mistral"/>
    <s v="Master's"/>
    <n v="45306"/>
    <n v="1715"/>
    <n v="2994"/>
    <s v="No"/>
    <n v="6"/>
    <s v="1001-5000"/>
    <s v="Full-time"/>
    <s v="No"/>
  </r>
  <r>
    <s v="AIJOB00023"/>
    <x v="11"/>
    <x v="12"/>
    <s v="Retail"/>
    <s v="Amsterdam, Netherlands"/>
    <s v="Netherlands"/>
    <s v="Remote"/>
    <x v="2"/>
    <s v="2-5 yrs"/>
    <n v="111337"/>
    <x v="22"/>
    <s v="None"/>
    <s v="Master's"/>
    <n v="45515"/>
    <n v="586"/>
    <n v="3896"/>
    <s v="No"/>
    <n v="2"/>
    <s v="201-1000"/>
    <s v="Full-time"/>
    <s v="No"/>
  </r>
  <r>
    <s v="AIJOB00024"/>
    <x v="0"/>
    <x v="3"/>
    <s v="Healthcare"/>
    <s v="Dublin, Ireland"/>
    <s v="Ireland"/>
    <s v="Remote"/>
    <x v="3"/>
    <s v="5-8 yrs"/>
    <n v="111531"/>
    <x v="23"/>
    <s v="BLOOM"/>
    <s v="Master's"/>
    <n v="45501"/>
    <n v="1532"/>
    <n v="1673"/>
    <s v="No"/>
    <n v="4"/>
    <s v="0-50"/>
    <s v="Full-time"/>
    <s v="Yes"/>
  </r>
  <r>
    <s v="AIJOB00025"/>
    <x v="12"/>
    <x v="12"/>
    <s v="Healthcare"/>
    <s v="Bangalore, India"/>
    <s v="India"/>
    <s v="Remote"/>
    <x v="3"/>
    <s v="5-8 yrs"/>
    <n v="135301"/>
    <x v="24"/>
    <s v="None"/>
    <s v="Master's"/>
    <n v="45637"/>
    <n v="1462"/>
    <n v="2121"/>
    <s v="No"/>
    <n v="4"/>
    <s v="5000+"/>
    <s v="Full-time"/>
    <s v="No"/>
  </r>
  <r>
    <s v="AIJOB00026"/>
    <x v="7"/>
    <x v="18"/>
    <s v="Media"/>
    <s v="Paris, France"/>
    <s v="France"/>
    <s v="On-site"/>
    <x v="3"/>
    <s v="5-8 yrs"/>
    <n v="152994"/>
    <x v="25"/>
    <s v="Claude"/>
    <s v="PhD"/>
    <n v="45367"/>
    <n v="1096"/>
    <n v="2952"/>
    <s v="No"/>
    <n v="4"/>
    <s v="1001-5000"/>
    <s v="Full-time"/>
    <s v="Yes"/>
  </r>
  <r>
    <s v="AIJOB00027"/>
    <x v="13"/>
    <x v="3"/>
    <s v="Energy"/>
    <s v="Los Angeles, United States"/>
    <s v="United States"/>
    <s v="Remote"/>
    <x v="0"/>
    <s v="0-2 yrs"/>
    <n v="55497"/>
    <x v="26"/>
    <s v="None"/>
    <s v="Bootcamp/Self-taught"/>
    <n v="45703"/>
    <n v="1599"/>
    <n v="3901"/>
    <s v="No"/>
    <n v="0"/>
    <s v="1001-5000"/>
    <s v="Full-time"/>
    <s v="No"/>
  </r>
  <r>
    <s v="AIJOB00028"/>
    <x v="10"/>
    <x v="5"/>
    <s v="Education"/>
    <s v="Stockholm, Sweden"/>
    <s v="Sweden"/>
    <s v="Remote"/>
    <x v="1"/>
    <s v="8+ yrs"/>
    <n v="213525"/>
    <x v="27"/>
    <s v="None"/>
    <s v="Master's"/>
    <n v="45373"/>
    <n v="1424"/>
    <n v="1811"/>
    <s v="Yes"/>
    <n v="6"/>
    <s v="201-1000"/>
    <s v="Full-time"/>
    <s v="Yes"/>
  </r>
  <r>
    <s v="AIJOB00029"/>
    <x v="1"/>
    <x v="18"/>
    <s v="Media"/>
    <s v="Berlin, Germany"/>
    <s v="Germany"/>
    <s v="Remote"/>
    <x v="0"/>
    <s v="0-2 yrs"/>
    <n v="62431"/>
    <x v="28"/>
    <s v="Phi"/>
    <s v="Bachelor's"/>
    <n v="45488"/>
    <n v="2020"/>
    <n v="1605"/>
    <s v="Maybe"/>
    <n v="0"/>
    <s v="5000+"/>
    <s v="Part-time"/>
    <s v="Yes"/>
  </r>
  <r>
    <s v="AIJOB00030"/>
    <x v="12"/>
    <x v="19"/>
    <s v="Defense"/>
    <s v="Tel Aviv, Israel"/>
    <s v="Israel"/>
    <s v="Remote"/>
    <x v="1"/>
    <s v="8+ yrs"/>
    <n v="189499"/>
    <x v="29"/>
    <s v="Phi"/>
    <s v="PhD"/>
    <n v="45472"/>
    <n v="2299"/>
    <n v="908"/>
    <s v="No"/>
    <n v="6"/>
    <s v="1001-5000"/>
    <s v="Full-time"/>
    <s v="Yes"/>
  </r>
  <r>
    <s v="AIJOB00031"/>
    <x v="11"/>
    <x v="16"/>
    <s v="Education"/>
    <s v="Bangalore, India"/>
    <s v="India"/>
    <s v="On-site"/>
    <x v="2"/>
    <s v="2-5 yrs"/>
    <n v="98086"/>
    <x v="30"/>
    <s v="Gemini"/>
    <s v="Bachelor's"/>
    <n v="45610"/>
    <n v="1365"/>
    <n v="1562"/>
    <s v="No"/>
    <n v="2"/>
    <s v="1001-5000"/>
    <s v="Full-time"/>
    <s v="No"/>
  </r>
  <r>
    <s v="AIJOB00032"/>
    <x v="11"/>
    <x v="6"/>
    <s v="Technology"/>
    <s v="Los Angeles, United States"/>
    <s v="United States"/>
    <s v="Remote"/>
    <x v="3"/>
    <s v="5-8 yrs"/>
    <n v="200011"/>
    <x v="31"/>
    <s v="None"/>
    <s v="PhD"/>
    <n v="45333"/>
    <n v="1312"/>
    <n v="826"/>
    <s v="No"/>
    <n v="4"/>
    <s v="5000+"/>
    <s v="Full-time"/>
    <s v="Yes"/>
  </r>
  <r>
    <s v="AIJOB00033"/>
    <x v="0"/>
    <x v="20"/>
    <s v="Automotive"/>
    <s v="Bangalore, India"/>
    <s v="India"/>
    <s v="Hybrid"/>
    <x v="2"/>
    <s v="2-5 yrs"/>
    <n v="109732"/>
    <x v="32"/>
    <s v="None"/>
    <s v="Bachelor's"/>
    <n v="45684"/>
    <n v="405"/>
    <n v="3814"/>
    <s v="No"/>
    <n v="2"/>
    <s v="1001-5000"/>
    <s v="Full-time"/>
    <s v="No"/>
  </r>
  <r>
    <s v="AIJOB00034"/>
    <x v="4"/>
    <x v="13"/>
    <s v="Energy"/>
    <s v="London, United Kingdom"/>
    <s v="United Kingdom"/>
    <s v="Hybrid"/>
    <x v="2"/>
    <s v="2-5 yrs"/>
    <n v="89057"/>
    <x v="33"/>
    <s v="Falcon"/>
    <s v="Master's"/>
    <n v="45446"/>
    <n v="351"/>
    <n v="3489"/>
    <s v="No"/>
    <n v="2"/>
    <s v="1001-5000"/>
    <s v="Full-time"/>
    <s v="No"/>
  </r>
  <r>
    <s v="AIJOB00035"/>
    <x v="14"/>
    <x v="21"/>
    <s v="Government"/>
    <s v="Los Angeles, United States"/>
    <s v="United States"/>
    <s v="Remote"/>
    <x v="2"/>
    <s v="2-5 yrs"/>
    <n v="126286"/>
    <x v="34"/>
    <s v="Grok"/>
    <s v="PhD"/>
    <n v="45559"/>
    <n v="654"/>
    <n v="1152"/>
    <s v="Maybe"/>
    <n v="2"/>
    <s v="51-200"/>
    <s v="Contract"/>
    <s v="No"/>
  </r>
  <r>
    <s v="AIJOB00036"/>
    <x v="11"/>
    <x v="8"/>
    <s v="Defense"/>
    <s v="San Francisco, United States"/>
    <s v="United States"/>
    <s v="Hybrid"/>
    <x v="3"/>
    <s v="5-8 yrs"/>
    <n v="117037"/>
    <x v="35"/>
    <s v="Mistral"/>
    <s v="PhD"/>
    <n v="45458"/>
    <n v="1431"/>
    <n v="2286"/>
    <s v="Yes"/>
    <n v="4"/>
    <s v="51-200"/>
    <s v="Full-time"/>
    <s v="No"/>
  </r>
  <r>
    <s v="AIJOB00037"/>
    <x v="8"/>
    <x v="22"/>
    <s v="Defense"/>
    <s v="Tel Aviv, Israel"/>
    <s v="Israel"/>
    <s v="Hybrid"/>
    <x v="2"/>
    <s v="2-5 yrs"/>
    <n v="114135"/>
    <x v="36"/>
    <s v="None"/>
    <s v="Master's"/>
    <n v="45543"/>
    <n v="2474"/>
    <n v="1418"/>
    <s v="No"/>
    <n v="2"/>
    <s v="5000+"/>
    <s v="Full-time"/>
    <s v="No"/>
  </r>
  <r>
    <s v="AIJOB00038"/>
    <x v="2"/>
    <x v="23"/>
    <s v="Healthcare"/>
    <s v="Amsterdam, Netherlands"/>
    <s v="Netherlands"/>
    <s v="Remote"/>
    <x v="3"/>
    <s v="5-8 yrs"/>
    <n v="97088"/>
    <x v="37"/>
    <s v="None"/>
    <s v="Bachelor's"/>
    <n v="45661"/>
    <n v="2283"/>
    <n v="1142"/>
    <s v="No"/>
    <n v="4"/>
    <s v="5000+"/>
    <s v="Full-time"/>
    <s v="No"/>
  </r>
  <r>
    <s v="AIJOB00039"/>
    <x v="9"/>
    <x v="7"/>
    <s v="Automotive"/>
    <s v="Paris, France"/>
    <s v="France"/>
    <s v="Remote"/>
    <x v="3"/>
    <s v="5-8 yrs"/>
    <n v="114138"/>
    <x v="38"/>
    <s v="GPT-4"/>
    <s v="Master's"/>
    <n v="45446"/>
    <n v="817"/>
    <n v="2622"/>
    <s v="Maybe"/>
    <n v="4"/>
    <s v="1001-5000"/>
    <s v="Full-time"/>
    <s v="Yes"/>
  </r>
  <r>
    <s v="AIJOB00040"/>
    <x v="5"/>
    <x v="4"/>
    <s v="Education"/>
    <s v="Tel Aviv, Israel"/>
    <s v="Israel"/>
    <s v="Remote"/>
    <x v="1"/>
    <s v="8+ yrs"/>
    <n v="207087"/>
    <x v="39"/>
    <s v="Claude"/>
    <s v="Bachelor's"/>
    <n v="45386"/>
    <n v="519"/>
    <n v="631"/>
    <s v="Yes"/>
    <n v="6"/>
    <s v="5000+"/>
    <s v="Part-time"/>
    <s v="Yes"/>
  </r>
  <r>
    <s v="AIJOB00041"/>
    <x v="7"/>
    <x v="22"/>
    <s v="Defense"/>
    <s v="Stockholm, Sweden"/>
    <s v="Sweden"/>
    <s v="Hybrid"/>
    <x v="0"/>
    <s v="0-2 yrs"/>
    <n v="79304"/>
    <x v="40"/>
    <s v="None"/>
    <s v="Bootcamp/Self-taught"/>
    <n v="45602"/>
    <n v="1550"/>
    <n v="2339"/>
    <s v="No"/>
    <n v="0"/>
    <s v="5000+"/>
    <s v="Part-time"/>
    <s v="Yes"/>
  </r>
  <r>
    <s v="AIJOB00042"/>
    <x v="9"/>
    <x v="24"/>
    <s v="Automotive"/>
    <s v="Amsterdam, Netherlands"/>
    <s v="Netherlands"/>
    <s v="Hybrid"/>
    <x v="2"/>
    <s v="2-5 yrs"/>
    <n v="113393"/>
    <x v="41"/>
    <s v="Grok"/>
    <s v="Bachelor's"/>
    <n v="45372"/>
    <n v="1480"/>
    <n v="2905"/>
    <s v="No"/>
    <n v="2"/>
    <s v="1001-5000"/>
    <s v="Full-time"/>
    <s v="Yes"/>
  </r>
  <r>
    <s v="AIJOB00043"/>
    <x v="2"/>
    <x v="25"/>
    <s v="Defense"/>
    <s v="Los Angeles, United States"/>
    <s v="United States"/>
    <s v="Remote"/>
    <x v="2"/>
    <s v="2-5 yrs"/>
    <n v="107710"/>
    <x v="42"/>
    <s v="Mistral"/>
    <s v="Bootcamp/Self-taught"/>
    <n v="45407"/>
    <n v="2098"/>
    <n v="519"/>
    <s v="No"/>
    <n v="2"/>
    <s v="201-1000"/>
    <s v="Full-time"/>
    <s v="No"/>
  </r>
  <r>
    <s v="AIJOB00044"/>
    <x v="10"/>
    <x v="2"/>
    <s v="Technology"/>
    <s v="Bangalore, India"/>
    <s v="India"/>
    <s v="Remote"/>
    <x v="1"/>
    <s v="8+ yrs"/>
    <n v="189160"/>
    <x v="43"/>
    <s v="Grok"/>
    <s v="Bootcamp/Self-taught"/>
    <n v="45312"/>
    <n v="1403"/>
    <n v="2370"/>
    <s v="Yes"/>
    <n v="6"/>
    <s v="51-200"/>
    <s v="Full-time"/>
    <s v="No"/>
  </r>
  <r>
    <s v="AIJOB00045"/>
    <x v="2"/>
    <x v="16"/>
    <s v="Healthcare"/>
    <s v="Zurich, Switzerland"/>
    <s v="Switzerland"/>
    <s v="Remote"/>
    <x v="2"/>
    <s v="2-5 yrs"/>
    <n v="80725"/>
    <x v="44"/>
    <s v="None"/>
    <s v="Master's"/>
    <n v="45708"/>
    <n v="2329"/>
    <n v="1190"/>
    <s v="No"/>
    <n v="2"/>
    <s v="1001-5000"/>
    <s v="Contract"/>
    <s v="No"/>
  </r>
  <r>
    <s v="AIJOB00046"/>
    <x v="14"/>
    <x v="26"/>
    <s v="Energy"/>
    <s v="Austin, United States"/>
    <s v="United States"/>
    <s v="Remote"/>
    <x v="0"/>
    <s v="0-2 yrs"/>
    <n v="60929"/>
    <x v="45"/>
    <s v="GPT-4"/>
    <s v="Master's"/>
    <n v="45351"/>
    <n v="2341"/>
    <n v="2571"/>
    <s v="No"/>
    <n v="0"/>
    <s v="0-50"/>
    <s v="Full-time"/>
    <s v="No"/>
  </r>
  <r>
    <s v="AIJOB00047"/>
    <x v="5"/>
    <x v="9"/>
    <s v="Finance"/>
    <s v="Tel Aviv, Israel"/>
    <s v="Israel"/>
    <s v="Remote"/>
    <x v="1"/>
    <s v="8+ yrs"/>
    <n v="183417"/>
    <x v="46"/>
    <s v="Claude"/>
    <s v="Master's"/>
    <n v="45614"/>
    <n v="781"/>
    <n v="2663"/>
    <s v="No"/>
    <n v="6"/>
    <s v="1001-5000"/>
    <s v="Part-time"/>
    <s v="Yes"/>
  </r>
  <r>
    <s v="AIJOB00048"/>
    <x v="2"/>
    <x v="27"/>
    <s v="Finance"/>
    <s v="Tel Aviv, Israel"/>
    <s v="Israel"/>
    <s v="On-site"/>
    <x v="1"/>
    <s v="8+ yrs"/>
    <n v="238056"/>
    <x v="47"/>
    <s v="None"/>
    <s v="Bachelor's"/>
    <n v="45416"/>
    <n v="1999"/>
    <n v="1402"/>
    <s v="Maybe"/>
    <n v="6"/>
    <s v="5000+"/>
    <s v="Full-time"/>
    <s v="Yes"/>
  </r>
  <r>
    <s v="AIJOB00049"/>
    <x v="5"/>
    <x v="16"/>
    <s v="Retail"/>
    <s v="Berlin, Germany"/>
    <s v="Germany"/>
    <s v="Remote"/>
    <x v="1"/>
    <s v="8+ yrs"/>
    <n v="212370"/>
    <x v="48"/>
    <s v="None"/>
    <s v="Bootcamp/Self-taught"/>
    <n v="45539"/>
    <n v="1278"/>
    <n v="2352"/>
    <s v="No"/>
    <n v="6"/>
    <s v="1001-5000"/>
    <s v="Full-time"/>
    <s v="No"/>
  </r>
  <r>
    <s v="AIJOB00050"/>
    <x v="11"/>
    <x v="11"/>
    <s v="Energy"/>
    <s v="Berlin, Germany"/>
    <s v="Germany"/>
    <s v="Hybrid"/>
    <x v="1"/>
    <s v="8+ yrs"/>
    <n v="136530"/>
    <x v="49"/>
    <s v="Command R"/>
    <s v="Bootcamp/Self-taught"/>
    <n v="45310"/>
    <n v="362"/>
    <n v="2969"/>
    <s v="Yes"/>
    <n v="6"/>
    <s v="51-200"/>
    <s v="Full-time"/>
    <s v="No"/>
  </r>
  <r>
    <s v="AIJOB00051"/>
    <x v="2"/>
    <x v="4"/>
    <s v="Government"/>
    <s v="Tokyo, Japan"/>
    <s v="Japan"/>
    <s v="Hybrid"/>
    <x v="3"/>
    <s v="5-8 yrs"/>
    <n v="158750"/>
    <x v="50"/>
    <s v="None"/>
    <s v="Master's"/>
    <n v="45624"/>
    <n v="2298"/>
    <n v="3583"/>
    <s v="No"/>
    <n v="4"/>
    <s v="5000+"/>
    <s v="Full-time"/>
    <s v="No"/>
  </r>
  <r>
    <s v="AIJOB00052"/>
    <x v="5"/>
    <x v="17"/>
    <s v="Government"/>
    <s v="Seattle, United States"/>
    <s v="United States"/>
    <s v="Remote"/>
    <x v="2"/>
    <s v="2-5 yrs"/>
    <n v="102375"/>
    <x v="51"/>
    <s v="GPT-4"/>
    <s v="PhD"/>
    <n v="45342"/>
    <n v="1501"/>
    <n v="1478"/>
    <s v="No"/>
    <n v="2"/>
    <s v="51-200"/>
    <s v="Full-time"/>
    <s v="Yes"/>
  </r>
  <r>
    <s v="AIJOB00053"/>
    <x v="15"/>
    <x v="18"/>
    <s v="Automotive"/>
    <s v="Toronto, Canada"/>
    <s v="Canada"/>
    <s v="Remote"/>
    <x v="2"/>
    <s v="2-5 yrs"/>
    <n v="96596"/>
    <x v="52"/>
    <s v="Mistral"/>
    <s v="Master's"/>
    <n v="45737"/>
    <n v="2205"/>
    <n v="3701"/>
    <s v="No"/>
    <n v="2"/>
    <s v="5000+"/>
    <s v="Full-time"/>
    <s v="Yes"/>
  </r>
  <r>
    <s v="AIJOB00054"/>
    <x v="16"/>
    <x v="28"/>
    <s v="Defense"/>
    <s v="Los Angeles, United States"/>
    <s v="United States"/>
    <s v="Hybrid"/>
    <x v="3"/>
    <s v="5-8 yrs"/>
    <n v="166515"/>
    <x v="53"/>
    <s v="Grok"/>
    <s v="Bachelor's"/>
    <n v="45525"/>
    <n v="1509"/>
    <n v="99"/>
    <s v="Maybe"/>
    <n v="4"/>
    <s v="1001-5000"/>
    <s v="Full-time"/>
    <s v="No"/>
  </r>
  <r>
    <s v="AIJOB00055"/>
    <x v="17"/>
    <x v="12"/>
    <s v="Healthcare"/>
    <s v="Sydney, Australia"/>
    <s v="Australia"/>
    <s v="Hybrid"/>
    <x v="1"/>
    <s v="8+ yrs"/>
    <n v="237115"/>
    <x v="54"/>
    <s v="None"/>
    <s v="Master's"/>
    <n v="45409"/>
    <n v="461"/>
    <n v="1275"/>
    <s v="No"/>
    <n v="6"/>
    <s v="0-50"/>
    <s v="Full-time"/>
    <s v="No"/>
  </r>
  <r>
    <s v="AIJOB00056"/>
    <x v="4"/>
    <x v="5"/>
    <s v="Energy"/>
    <s v="Austin, United States"/>
    <s v="United States"/>
    <s v="Hybrid"/>
    <x v="3"/>
    <s v="5-8 yrs"/>
    <n v="175144"/>
    <x v="55"/>
    <s v="None"/>
    <s v="Bootcamp/Self-taught"/>
    <n v="45381"/>
    <n v="973"/>
    <n v="1062"/>
    <s v="Maybe"/>
    <n v="4"/>
    <s v="1001-5000"/>
    <s v="Part-time"/>
    <s v="Yes"/>
  </r>
  <r>
    <s v="AIJOB00057"/>
    <x v="18"/>
    <x v="19"/>
    <s v="Energy"/>
    <s v="Bangalore, India"/>
    <s v="India"/>
    <s v="On-site"/>
    <x v="0"/>
    <s v="0-2 yrs"/>
    <n v="59425"/>
    <x v="56"/>
    <s v="None"/>
    <s v="Master's"/>
    <n v="45364"/>
    <n v="1916"/>
    <n v="67"/>
    <s v="No"/>
    <n v="0"/>
    <s v="0-50"/>
    <s v="Full-time"/>
    <s v="No"/>
  </r>
  <r>
    <s v="AIJOB00058"/>
    <x v="2"/>
    <x v="29"/>
    <s v="Automotive"/>
    <s v="Boston, United States"/>
    <s v="United States"/>
    <s v="Remote"/>
    <x v="1"/>
    <s v="8+ yrs"/>
    <n v="188868"/>
    <x v="57"/>
    <s v="Command R"/>
    <s v="Master's"/>
    <n v="45411"/>
    <n v="777"/>
    <n v="582"/>
    <s v="Yes"/>
    <n v="6"/>
    <s v="0-50"/>
    <s v="Full-time"/>
    <s v="No"/>
  </r>
  <r>
    <s v="AIJOB00059"/>
    <x v="0"/>
    <x v="8"/>
    <s v="Media"/>
    <s v="Stockholm, Sweden"/>
    <s v="Sweden"/>
    <s v="Remote"/>
    <x v="2"/>
    <s v="2-5 yrs"/>
    <n v="116559"/>
    <x v="58"/>
    <s v="Gemini"/>
    <s v="Master's"/>
    <n v="45524"/>
    <n v="2304"/>
    <n v="2531"/>
    <s v="No"/>
    <n v="2"/>
    <s v="201-1000"/>
    <s v="Full-time"/>
    <s v="Yes"/>
  </r>
  <r>
    <s v="AIJOB00060"/>
    <x v="14"/>
    <x v="11"/>
    <s v="Education"/>
    <s v="Paris, France"/>
    <s v="France"/>
    <s v="On-site"/>
    <x v="1"/>
    <s v="8+ yrs"/>
    <n v="235119"/>
    <x v="59"/>
    <s v="Llama"/>
    <s v="Bachelor's"/>
    <n v="45342"/>
    <n v="1168"/>
    <n v="2638"/>
    <s v="No"/>
    <n v="6"/>
    <s v="0-50"/>
    <s v="Full-time"/>
    <s v="Yes"/>
  </r>
  <r>
    <s v="AIJOB00061"/>
    <x v="3"/>
    <x v="19"/>
    <s v="Defense"/>
    <s v="Seattle, United States"/>
    <s v="United States"/>
    <s v="On-site"/>
    <x v="2"/>
    <s v="2-5 yrs"/>
    <n v="100512"/>
    <x v="60"/>
    <s v="Gemini"/>
    <s v="Bachelor's"/>
    <n v="45575"/>
    <n v="892"/>
    <n v="542"/>
    <s v="No"/>
    <n v="2"/>
    <s v="51-200"/>
    <s v="Full-time"/>
    <s v="No"/>
  </r>
  <r>
    <s v="AIJOB00062"/>
    <x v="3"/>
    <x v="24"/>
    <s v="Education"/>
    <s v="Boston, United States"/>
    <s v="United States"/>
    <s v="Hybrid"/>
    <x v="0"/>
    <s v="0-2 yrs"/>
    <n v="67660"/>
    <x v="61"/>
    <s v="Claude"/>
    <s v="PhD"/>
    <n v="45413"/>
    <n v="2402"/>
    <n v="2441"/>
    <s v="Yes"/>
    <n v="0"/>
    <s v="5000+"/>
    <s v="Full-time"/>
    <s v="No"/>
  </r>
  <r>
    <s v="AIJOB00063"/>
    <x v="10"/>
    <x v="24"/>
    <s v="Education"/>
    <s v="Bangalore, India"/>
    <s v="India"/>
    <s v="Hybrid"/>
    <x v="3"/>
    <s v="5-8 yrs"/>
    <n v="120128"/>
    <x v="62"/>
    <s v="Claude"/>
    <s v="Bachelor's"/>
    <n v="45307"/>
    <n v="630"/>
    <n v="1329"/>
    <s v="No"/>
    <n v="4"/>
    <s v="0-50"/>
    <s v="Full-time"/>
    <s v="No"/>
  </r>
  <r>
    <s v="AIJOB00064"/>
    <x v="12"/>
    <x v="11"/>
    <s v="Energy"/>
    <s v="Chicago, United States"/>
    <s v="United States"/>
    <s v="On-site"/>
    <x v="3"/>
    <s v="5-8 yrs"/>
    <n v="117702"/>
    <x v="63"/>
    <s v="None"/>
    <s v="PhD"/>
    <n v="45563"/>
    <n v="1180"/>
    <n v="1771"/>
    <s v="No"/>
    <n v="4"/>
    <s v="51-200"/>
    <s v="Full-time"/>
    <s v="No"/>
  </r>
  <r>
    <s v="AIJOB00065"/>
    <x v="11"/>
    <x v="13"/>
    <s v="Media"/>
    <s v="London, United Kingdom"/>
    <s v="United Kingdom"/>
    <s v="Remote"/>
    <x v="1"/>
    <s v="8+ yrs"/>
    <n v="229250"/>
    <x v="64"/>
    <s v="Claude"/>
    <s v="Bachelor's"/>
    <n v="45452"/>
    <n v="1826"/>
    <n v="3335"/>
    <s v="Yes"/>
    <n v="6"/>
    <s v="0-50"/>
    <s v="Full-time"/>
    <s v="No"/>
  </r>
  <r>
    <s v="AIJOB00066"/>
    <x v="18"/>
    <x v="5"/>
    <s v="Retail"/>
    <s v="Los Angeles, United States"/>
    <s v="United States"/>
    <s v="Remote"/>
    <x v="0"/>
    <s v="0-2 yrs"/>
    <n v="87088"/>
    <x v="65"/>
    <s v="Grok"/>
    <s v="Bachelor's"/>
    <n v="45632"/>
    <n v="2275"/>
    <n v="928"/>
    <s v="No"/>
    <n v="0"/>
    <s v="201-1000"/>
    <s v="Contract"/>
    <s v="Yes"/>
  </r>
  <r>
    <s v="AIJOB00067"/>
    <x v="2"/>
    <x v="21"/>
    <s v="Technology"/>
    <s v="Los Angeles, United States"/>
    <s v="United States"/>
    <s v="On-site"/>
    <x v="2"/>
    <s v="2-5 yrs"/>
    <n v="108574"/>
    <x v="66"/>
    <s v="None"/>
    <s v="Bachelor's"/>
    <n v="45684"/>
    <n v="1565"/>
    <n v="3784"/>
    <s v="No"/>
    <n v="2"/>
    <s v="0-50"/>
    <s v="Full-time"/>
    <s v="Yes"/>
  </r>
  <r>
    <s v="AIJOB00068"/>
    <x v="11"/>
    <x v="1"/>
    <s v="Healthcare"/>
    <s v="Berlin, Germany"/>
    <s v="Germany"/>
    <s v="Hybrid"/>
    <x v="0"/>
    <s v="0-2 yrs"/>
    <n v="82644"/>
    <x v="67"/>
    <s v="Command R"/>
    <s v="Master's"/>
    <n v="45307"/>
    <n v="1628"/>
    <n v="3191"/>
    <s v="Maybe"/>
    <n v="0"/>
    <s v="5000+"/>
    <s v="Full-time"/>
    <s v="Yes"/>
  </r>
  <r>
    <s v="AIJOB00069"/>
    <x v="15"/>
    <x v="11"/>
    <s v="Government"/>
    <s v="Seattle, United States"/>
    <s v="United States"/>
    <s v="Remote"/>
    <x v="0"/>
    <s v="0-2 yrs"/>
    <n v="74556"/>
    <x v="68"/>
    <s v="None"/>
    <s v="Master's"/>
    <n v="45630"/>
    <n v="1460"/>
    <n v="2787"/>
    <s v="No"/>
    <n v="0"/>
    <s v="1001-5000"/>
    <s v="Full-time"/>
    <s v="Yes"/>
  </r>
  <r>
    <s v="AIJOB00070"/>
    <x v="7"/>
    <x v="24"/>
    <s v="Media"/>
    <s v="Tokyo, Japan"/>
    <s v="Japan"/>
    <s v="Remote"/>
    <x v="1"/>
    <s v="8+ yrs"/>
    <n v="176775"/>
    <x v="69"/>
    <s v="GPT-4"/>
    <s v="Bachelor's"/>
    <n v="45396"/>
    <n v="1857"/>
    <n v="2191"/>
    <s v="No"/>
    <n v="6"/>
    <s v="5000+"/>
    <s v="Full-time"/>
    <s v="No"/>
  </r>
  <r>
    <s v="AIJOB00071"/>
    <x v="16"/>
    <x v="22"/>
    <s v="Finance"/>
    <s v="Chicago, United States"/>
    <s v="United States"/>
    <s v="On-site"/>
    <x v="0"/>
    <s v="0-2 yrs"/>
    <n v="74553"/>
    <x v="70"/>
    <s v="BLOOM"/>
    <s v="Master's"/>
    <n v="45313"/>
    <n v="1630"/>
    <n v="713"/>
    <s v="No"/>
    <n v="0"/>
    <s v="5000+"/>
    <s v="Full-time"/>
    <s v="No"/>
  </r>
  <r>
    <s v="AIJOB00072"/>
    <x v="16"/>
    <x v="9"/>
    <s v="Government"/>
    <s v="Los Angeles, United States"/>
    <s v="United States"/>
    <s v="On-site"/>
    <x v="0"/>
    <s v="0-2 yrs"/>
    <n v="89379"/>
    <x v="71"/>
    <s v="None"/>
    <s v="PhD"/>
    <n v="45416"/>
    <n v="612"/>
    <n v="2100"/>
    <s v="No"/>
    <n v="0"/>
    <s v="5000+"/>
    <s v="Full-time"/>
    <s v="No"/>
  </r>
  <r>
    <s v="AIJOB00073"/>
    <x v="16"/>
    <x v="13"/>
    <s v="Healthcare"/>
    <s v="Berlin, Germany"/>
    <s v="Germany"/>
    <s v="Remote"/>
    <x v="3"/>
    <s v="5-8 yrs"/>
    <n v="149032"/>
    <x v="72"/>
    <s v="None"/>
    <s v="Bootcamp/Self-taught"/>
    <n v="45366"/>
    <n v="2323"/>
    <n v="1910"/>
    <s v="No"/>
    <n v="4"/>
    <s v="5000+"/>
    <s v="Full-time"/>
    <s v="No"/>
  </r>
  <r>
    <s v="AIJOB00074"/>
    <x v="12"/>
    <x v="13"/>
    <s v="Automotive"/>
    <s v="Austin, United States"/>
    <s v="United States"/>
    <s v="Remote"/>
    <x v="3"/>
    <s v="5-8 yrs"/>
    <n v="192245"/>
    <x v="73"/>
    <s v="Phi"/>
    <s v="Master's"/>
    <n v="45326"/>
    <n v="454"/>
    <n v="243"/>
    <s v="No"/>
    <n v="4"/>
    <s v="201-1000"/>
    <s v="Full-time"/>
    <s v="No"/>
  </r>
  <r>
    <s v="AIJOB00075"/>
    <x v="4"/>
    <x v="1"/>
    <s v="Defense"/>
    <s v="Bangalore, India"/>
    <s v="India"/>
    <s v="Hybrid"/>
    <x v="1"/>
    <s v="8+ yrs"/>
    <n v="105689"/>
    <x v="74"/>
    <s v="None"/>
    <s v="Master's"/>
    <n v="45697"/>
    <n v="917"/>
    <n v="3932"/>
    <s v="Yes"/>
    <n v="6"/>
    <s v="0-50"/>
    <s v="Contract"/>
    <s v="No"/>
  </r>
  <r>
    <s v="AIJOB00076"/>
    <x v="4"/>
    <x v="4"/>
    <s v="Media"/>
    <s v="New York, United States"/>
    <s v="United States"/>
    <s v="Remote"/>
    <x v="2"/>
    <s v="2-5 yrs"/>
    <n v="126273"/>
    <x v="75"/>
    <s v="None"/>
    <s v="PhD"/>
    <n v="45516"/>
    <n v="514"/>
    <n v="3242"/>
    <s v="No"/>
    <n v="2"/>
    <s v="201-1000"/>
    <s v="Full-time"/>
    <s v="Yes"/>
  </r>
  <r>
    <s v="AIJOB00077"/>
    <x v="11"/>
    <x v="22"/>
    <s v="Media"/>
    <s v="Amsterdam, Netherlands"/>
    <s v="Netherlands"/>
    <s v="Hybrid"/>
    <x v="3"/>
    <s v="5-8 yrs"/>
    <n v="152350"/>
    <x v="76"/>
    <s v="None"/>
    <s v="Bachelor's"/>
    <n v="45628"/>
    <n v="647"/>
    <n v="1278"/>
    <s v="No"/>
    <n v="4"/>
    <s v="201-1000"/>
    <s v="Contract"/>
    <s v="No"/>
  </r>
  <r>
    <s v="AIJOB00078"/>
    <x v="10"/>
    <x v="27"/>
    <s v="Healthcare"/>
    <s v="Los Angeles, United States"/>
    <s v="United States"/>
    <s v="Hybrid"/>
    <x v="0"/>
    <s v="0-2 yrs"/>
    <n v="66232"/>
    <x v="77"/>
    <s v="Llama"/>
    <s v="Bachelor's"/>
    <n v="45301"/>
    <n v="714"/>
    <n v="2089"/>
    <s v="No"/>
    <n v="0"/>
    <s v="5000+"/>
    <s v="Full-time"/>
    <s v="Yes"/>
  </r>
  <r>
    <s v="AIJOB00079"/>
    <x v="6"/>
    <x v="20"/>
    <s v="Education"/>
    <s v="Tokyo, Japan"/>
    <s v="Japan"/>
    <s v="Remote"/>
    <x v="2"/>
    <s v="2-5 yrs"/>
    <n v="111816"/>
    <x v="78"/>
    <s v="None"/>
    <s v="Bachelor's"/>
    <n v="45375"/>
    <n v="1792"/>
    <n v="2780"/>
    <s v="No"/>
    <n v="2"/>
    <s v="1001-5000"/>
    <s v="Full-time"/>
    <s v="No"/>
  </r>
  <r>
    <s v="AIJOB00080"/>
    <x v="14"/>
    <x v="18"/>
    <s v="Automotive"/>
    <s v="Stockholm, Sweden"/>
    <s v="Sweden"/>
    <s v="Remote"/>
    <x v="2"/>
    <s v="2-5 yrs"/>
    <n v="70646"/>
    <x v="79"/>
    <s v="None"/>
    <s v="PhD"/>
    <n v="45706"/>
    <n v="2359"/>
    <n v="2170"/>
    <s v="No"/>
    <n v="2"/>
    <s v="51-200"/>
    <s v="Contract"/>
    <s v="No"/>
  </r>
  <r>
    <s v="AIJOB00081"/>
    <x v="3"/>
    <x v="22"/>
    <s v="Finance"/>
    <s v="New York, United States"/>
    <s v="United States"/>
    <s v="Hybrid"/>
    <x v="3"/>
    <s v="5-8 yrs"/>
    <n v="144068"/>
    <x v="80"/>
    <s v="None"/>
    <s v="PhD"/>
    <n v="45739"/>
    <n v="1417"/>
    <n v="1850"/>
    <s v="Maybe"/>
    <n v="4"/>
    <s v="51-200"/>
    <s v="Contract"/>
    <s v="Yes"/>
  </r>
  <r>
    <s v="AIJOB00082"/>
    <x v="7"/>
    <x v="28"/>
    <s v="Retail"/>
    <s v="Boston, United States"/>
    <s v="United States"/>
    <s v="On-site"/>
    <x v="1"/>
    <s v="8+ yrs"/>
    <n v="212856"/>
    <x v="81"/>
    <s v="Claude"/>
    <s v="Bachelor's"/>
    <n v="45504"/>
    <n v="705"/>
    <n v="3447"/>
    <s v="No"/>
    <n v="6"/>
    <s v="201-1000"/>
    <s v="Contract"/>
    <s v="Yes"/>
  </r>
  <r>
    <s v="AIJOB00083"/>
    <x v="5"/>
    <x v="7"/>
    <s v="Defense"/>
    <s v="Berlin, Germany"/>
    <s v="Germany"/>
    <s v="Hybrid"/>
    <x v="1"/>
    <s v="8+ yrs"/>
    <n v="253204"/>
    <x v="82"/>
    <s v="None"/>
    <s v="Master's"/>
    <n v="45532"/>
    <n v="755"/>
    <n v="3189"/>
    <s v="No"/>
    <n v="6"/>
    <s v="201-1000"/>
    <s v="Full-time"/>
    <s v="Yes"/>
  </r>
  <r>
    <s v="AIJOB00084"/>
    <x v="6"/>
    <x v="15"/>
    <s v="Defense"/>
    <s v="Seattle, United States"/>
    <s v="United States"/>
    <s v="Remote"/>
    <x v="1"/>
    <s v="8+ yrs"/>
    <n v="181342"/>
    <x v="83"/>
    <s v="BLOOM"/>
    <s v="Master's"/>
    <n v="45547"/>
    <n v="2006"/>
    <n v="777"/>
    <s v="No"/>
    <n v="6"/>
    <s v="0-50"/>
    <s v="Full-time"/>
    <s v="Yes"/>
  </r>
  <r>
    <s v="AIJOB00085"/>
    <x v="10"/>
    <x v="6"/>
    <s v="Defense"/>
    <s v="Chicago, United States"/>
    <s v="United States"/>
    <s v="On-site"/>
    <x v="0"/>
    <s v="0-2 yrs"/>
    <n v="59812"/>
    <x v="84"/>
    <s v="Claude"/>
    <s v="PhD"/>
    <n v="45314"/>
    <n v="1661"/>
    <n v="556"/>
    <s v="Yes"/>
    <n v="0"/>
    <s v="5000+"/>
    <s v="Full-time"/>
    <s v="No"/>
  </r>
  <r>
    <s v="AIJOB00086"/>
    <x v="14"/>
    <x v="5"/>
    <s v="Media"/>
    <s v="Toronto, Canada"/>
    <s v="Canada"/>
    <s v="On-site"/>
    <x v="1"/>
    <s v="8+ yrs"/>
    <n v="181936"/>
    <x v="85"/>
    <s v="Mistral"/>
    <s v="Bootcamp/Self-taught"/>
    <n v="45324"/>
    <n v="2239"/>
    <n v="1047"/>
    <s v="Yes"/>
    <n v="6"/>
    <s v="51-200"/>
    <s v="Full-time"/>
    <s v="No"/>
  </r>
  <r>
    <s v="AIJOB00087"/>
    <x v="17"/>
    <x v="24"/>
    <s v="Education"/>
    <s v="Amsterdam, Netherlands"/>
    <s v="Netherlands"/>
    <s v="Remote"/>
    <x v="3"/>
    <s v="5-8 yrs"/>
    <n v="174715"/>
    <x v="86"/>
    <s v="None"/>
    <s v="Master's"/>
    <n v="45480"/>
    <n v="2426"/>
    <n v="1102"/>
    <s v="No"/>
    <n v="4"/>
    <s v="1001-5000"/>
    <s v="Full-time"/>
    <s v="No"/>
  </r>
  <r>
    <s v="AIJOB00088"/>
    <x v="15"/>
    <x v="28"/>
    <s v="Education"/>
    <s v="Austin, United States"/>
    <s v="United States"/>
    <s v="Remote"/>
    <x v="3"/>
    <s v="5-8 yrs"/>
    <n v="158876"/>
    <x v="87"/>
    <s v="Command R"/>
    <s v="Bachelor's"/>
    <n v="45459"/>
    <n v="1744"/>
    <n v="2528"/>
    <s v="Maybe"/>
    <n v="4"/>
    <s v="201-1000"/>
    <s v="Full-time"/>
    <s v="No"/>
  </r>
  <r>
    <s v="AIJOB00089"/>
    <x v="17"/>
    <x v="18"/>
    <s v="Technology"/>
    <s v="Chicago, United States"/>
    <s v="United States"/>
    <s v="Remote"/>
    <x v="0"/>
    <s v="0-2 yrs"/>
    <n v="63325"/>
    <x v="88"/>
    <s v="None"/>
    <s v="Bachelor's"/>
    <n v="45702"/>
    <n v="1266"/>
    <n v="3198"/>
    <s v="No"/>
    <n v="0"/>
    <s v="201-1000"/>
    <s v="Full-time"/>
    <s v="No"/>
  </r>
  <r>
    <s v="AIJOB00090"/>
    <x v="6"/>
    <x v="9"/>
    <s v="Finance"/>
    <s v="Bangalore, India"/>
    <s v="India"/>
    <s v="On-site"/>
    <x v="2"/>
    <s v="2-5 yrs"/>
    <n v="120162"/>
    <x v="89"/>
    <s v="Mistral"/>
    <s v="Bachelor's"/>
    <n v="45482"/>
    <n v="1062"/>
    <n v="2054"/>
    <s v="No"/>
    <n v="2"/>
    <s v="5000+"/>
    <s v="Full-time"/>
    <s v="No"/>
  </r>
  <r>
    <s v="AIJOB00091"/>
    <x v="14"/>
    <x v="13"/>
    <s v="Government"/>
    <s v="Tokyo, Japan"/>
    <s v="Japan"/>
    <s v="Remote"/>
    <x v="2"/>
    <s v="2-5 yrs"/>
    <n v="111922"/>
    <x v="90"/>
    <s v="Command R"/>
    <s v="Master's"/>
    <n v="45543"/>
    <n v="565"/>
    <n v="2262"/>
    <s v="No"/>
    <n v="2"/>
    <s v="201-1000"/>
    <s v="Contract"/>
    <s v="No"/>
  </r>
  <r>
    <s v="AIJOB00092"/>
    <x v="15"/>
    <x v="28"/>
    <s v="Education"/>
    <s v="Dublin, Ireland"/>
    <s v="Ireland"/>
    <s v="Remote"/>
    <x v="3"/>
    <s v="5-8 yrs"/>
    <n v="176153"/>
    <x v="91"/>
    <s v="Grok"/>
    <s v="PhD"/>
    <n v="45394"/>
    <n v="831"/>
    <n v="2516"/>
    <s v="Maybe"/>
    <n v="4"/>
    <s v="0-50"/>
    <s v="Full-time"/>
    <s v="No"/>
  </r>
  <r>
    <s v="AIJOB00093"/>
    <x v="8"/>
    <x v="28"/>
    <s v="Healthcare"/>
    <s v="Los Angeles, United States"/>
    <s v="United States"/>
    <s v="On-site"/>
    <x v="1"/>
    <s v="8+ yrs"/>
    <n v="174726"/>
    <x v="92"/>
    <s v="Phi"/>
    <s v="PhD"/>
    <n v="45329"/>
    <n v="1045"/>
    <n v="3154"/>
    <s v="Maybe"/>
    <n v="6"/>
    <s v="1001-5000"/>
    <s v="Full-time"/>
    <s v="No"/>
  </r>
  <r>
    <s v="AIJOB00094"/>
    <x v="0"/>
    <x v="21"/>
    <s v="Retail"/>
    <s v="Sydney, Australia"/>
    <s v="Australia"/>
    <s v="Remote"/>
    <x v="2"/>
    <s v="2-5 yrs"/>
    <n v="103512"/>
    <x v="93"/>
    <s v="None"/>
    <s v="Master's"/>
    <n v="45457"/>
    <n v="1424"/>
    <n v="522"/>
    <s v="No"/>
    <n v="2"/>
    <s v="5000+"/>
    <s v="Full-time"/>
    <s v="No"/>
  </r>
  <r>
    <s v="AIJOB00095"/>
    <x v="15"/>
    <x v="6"/>
    <s v="Defense"/>
    <s v="Toronto, Canada"/>
    <s v="Canada"/>
    <s v="Hybrid"/>
    <x v="2"/>
    <s v="2-5 yrs"/>
    <n v="102236"/>
    <x v="94"/>
    <s v="None"/>
    <s v="Bachelor's"/>
    <n v="45660"/>
    <n v="1163"/>
    <n v="3151"/>
    <s v="No"/>
    <n v="2"/>
    <s v="5000+"/>
    <s v="Full-time"/>
    <s v="No"/>
  </r>
  <r>
    <s v="AIJOB00096"/>
    <x v="1"/>
    <x v="18"/>
    <s v="Retail"/>
    <s v="Sydney, Australia"/>
    <s v="Australia"/>
    <s v="Hybrid"/>
    <x v="3"/>
    <s v="5-8 yrs"/>
    <n v="110485"/>
    <x v="95"/>
    <s v="Command R"/>
    <s v="Master's"/>
    <n v="45704"/>
    <n v="888"/>
    <n v="1290"/>
    <s v="Maybe"/>
    <n v="4"/>
    <s v="201-1000"/>
    <s v="Contract"/>
    <s v="No"/>
  </r>
  <r>
    <s v="AIJOB00097"/>
    <x v="11"/>
    <x v="4"/>
    <s v="Defense"/>
    <s v="Boston, United States"/>
    <s v="United States"/>
    <s v="Hybrid"/>
    <x v="2"/>
    <s v="2-5 yrs"/>
    <n v="115863"/>
    <x v="96"/>
    <s v="Mistral"/>
    <s v="Master's"/>
    <n v="45346"/>
    <n v="954"/>
    <n v="3342"/>
    <s v="No"/>
    <n v="2"/>
    <s v="5000+"/>
    <s v="Contract"/>
    <s v="Yes"/>
  </r>
  <r>
    <s v="AIJOB00098"/>
    <x v="15"/>
    <x v="26"/>
    <s v="Defense"/>
    <s v="Dublin, Ireland"/>
    <s v="Ireland"/>
    <s v="Hybrid"/>
    <x v="1"/>
    <s v="8+ yrs"/>
    <n v="209397"/>
    <x v="97"/>
    <s v="Llama"/>
    <s v="Master's"/>
    <n v="45742"/>
    <n v="507"/>
    <n v="1162"/>
    <s v="No"/>
    <n v="6"/>
    <s v="1001-5000"/>
    <s v="Full-time"/>
    <s v="Yes"/>
  </r>
  <r>
    <s v="AIJOB00099"/>
    <x v="0"/>
    <x v="7"/>
    <s v="Automotive"/>
    <s v="Berlin, Germany"/>
    <s v="Germany"/>
    <s v="On-site"/>
    <x v="1"/>
    <s v="8+ yrs"/>
    <n v="200184"/>
    <x v="98"/>
    <s v="Falcon"/>
    <s v="Bachelor's"/>
    <n v="45664"/>
    <n v="2365"/>
    <n v="1854"/>
    <s v="No"/>
    <n v="6"/>
    <s v="201-1000"/>
    <s v="Contract"/>
    <s v="No"/>
  </r>
  <r>
    <s v="AIJOB00100"/>
    <x v="6"/>
    <x v="5"/>
    <s v="Media"/>
    <s v="Berlin, Germany"/>
    <s v="Germany"/>
    <s v="On-site"/>
    <x v="0"/>
    <s v="0-2 yrs"/>
    <n v="67044"/>
    <x v="99"/>
    <s v="Grok"/>
    <s v="Master's"/>
    <n v="45493"/>
    <n v="485"/>
    <n v="169"/>
    <s v="Yes"/>
    <n v="0"/>
    <s v="201-1000"/>
    <s v="Contract"/>
    <s v="No"/>
  </r>
  <r>
    <s v="AIJOB00101"/>
    <x v="3"/>
    <x v="5"/>
    <s v="Energy"/>
    <s v="Austin, United States"/>
    <s v="United States"/>
    <s v="On-site"/>
    <x v="2"/>
    <s v="2-5 yrs"/>
    <n v="81975"/>
    <x v="100"/>
    <s v="Falcon"/>
    <s v="Master's"/>
    <n v="45455"/>
    <n v="1527"/>
    <n v="1955"/>
    <s v="No"/>
    <n v="2"/>
    <s v="201-1000"/>
    <s v="Full-time"/>
    <s v="Yes"/>
  </r>
  <r>
    <s v="AIJOB00102"/>
    <x v="19"/>
    <x v="6"/>
    <s v="Media"/>
    <s v="San Francisco, United States"/>
    <s v="United States"/>
    <s v="Hybrid"/>
    <x v="3"/>
    <s v="5-8 yrs"/>
    <n v="138642"/>
    <x v="101"/>
    <s v="Grok"/>
    <s v="Bachelor's"/>
    <n v="45427"/>
    <n v="1292"/>
    <n v="139"/>
    <s v="No"/>
    <n v="4"/>
    <s v="0-50"/>
    <s v="Full-time"/>
    <s v="Yes"/>
  </r>
  <r>
    <s v="AIJOB00103"/>
    <x v="19"/>
    <x v="7"/>
    <s v="Government"/>
    <s v="Los Angeles, United States"/>
    <s v="United States"/>
    <s v="Hybrid"/>
    <x v="2"/>
    <s v="2-5 yrs"/>
    <n v="103214"/>
    <x v="102"/>
    <s v="Llama"/>
    <s v="Bootcamp/Self-taught"/>
    <n v="45502"/>
    <n v="2259"/>
    <n v="2162"/>
    <s v="No"/>
    <n v="2"/>
    <s v="51-200"/>
    <s v="Full-time"/>
    <s v="No"/>
  </r>
  <r>
    <s v="AIJOB00104"/>
    <x v="1"/>
    <x v="22"/>
    <s v="Automotive"/>
    <s v="Amsterdam, Netherlands"/>
    <s v="Netherlands"/>
    <s v="Hybrid"/>
    <x v="3"/>
    <s v="5-8 yrs"/>
    <n v="128338"/>
    <x v="103"/>
    <s v="None"/>
    <s v="PhD"/>
    <n v="45390"/>
    <n v="2302"/>
    <n v="1308"/>
    <s v="No"/>
    <n v="4"/>
    <s v="5000+"/>
    <s v="Part-time"/>
    <s v="No"/>
  </r>
  <r>
    <s v="AIJOB00105"/>
    <x v="2"/>
    <x v="23"/>
    <s v="Finance"/>
    <s v="London, United Kingdom"/>
    <s v="United Kingdom"/>
    <s v="Hybrid"/>
    <x v="3"/>
    <s v="5-8 yrs"/>
    <n v="145645"/>
    <x v="104"/>
    <s v="Mistral"/>
    <s v="Master's"/>
    <n v="45570"/>
    <n v="2111"/>
    <n v="2696"/>
    <s v="No"/>
    <n v="4"/>
    <s v="1001-5000"/>
    <s v="Full-time"/>
    <s v="No"/>
  </r>
  <r>
    <s v="AIJOB00106"/>
    <x v="2"/>
    <x v="0"/>
    <s v="Government"/>
    <s v="Berlin, Germany"/>
    <s v="Germany"/>
    <s v="Remote"/>
    <x v="3"/>
    <s v="5-8 yrs"/>
    <n v="160909"/>
    <x v="105"/>
    <s v="Claude"/>
    <s v="PhD"/>
    <n v="45671"/>
    <n v="711"/>
    <n v="2800"/>
    <s v="No"/>
    <n v="4"/>
    <s v="0-50"/>
    <s v="Part-time"/>
    <s v="No"/>
  </r>
  <r>
    <s v="AIJOB00107"/>
    <x v="15"/>
    <x v="9"/>
    <s v="Energy"/>
    <s v="Tel Aviv, Israel"/>
    <s v="Israel"/>
    <s v="Hybrid"/>
    <x v="1"/>
    <s v="8+ yrs"/>
    <n v="267902"/>
    <x v="106"/>
    <s v="Grok"/>
    <s v="PhD"/>
    <n v="45394"/>
    <n v="452"/>
    <n v="3750"/>
    <s v="Maybe"/>
    <n v="6"/>
    <s v="1001-5000"/>
    <s v="Contract"/>
    <s v="Yes"/>
  </r>
  <r>
    <s v="AIJOB00108"/>
    <x v="17"/>
    <x v="22"/>
    <s v="Education"/>
    <s v="Tel Aviv, Israel"/>
    <s v="Israel"/>
    <s v="Remote"/>
    <x v="1"/>
    <s v="8+ yrs"/>
    <n v="206284"/>
    <x v="107"/>
    <s v="Falcon"/>
    <s v="Bootcamp/Self-taught"/>
    <n v="45675"/>
    <n v="2447"/>
    <n v="2033"/>
    <s v="Maybe"/>
    <n v="6"/>
    <s v="51-200"/>
    <s v="Contract"/>
    <s v="No"/>
  </r>
  <r>
    <s v="AIJOB00109"/>
    <x v="9"/>
    <x v="2"/>
    <s v="Retail"/>
    <s v="Austin, United States"/>
    <s v="United States"/>
    <s v="Remote"/>
    <x v="0"/>
    <s v="0-2 yrs"/>
    <n v="73245"/>
    <x v="108"/>
    <s v="None"/>
    <s v="Bachelor's"/>
    <n v="45526"/>
    <n v="1960"/>
    <n v="3397"/>
    <s v="No"/>
    <n v="0"/>
    <s v="201-1000"/>
    <s v="Full-time"/>
    <s v="No"/>
  </r>
  <r>
    <s v="AIJOB00110"/>
    <x v="15"/>
    <x v="1"/>
    <s v="Automotive"/>
    <s v="Tel Aviv, Israel"/>
    <s v="Israel"/>
    <s v="Remote"/>
    <x v="2"/>
    <s v="2-5 yrs"/>
    <n v="108525"/>
    <x v="109"/>
    <s v="Mistral"/>
    <s v="Master's"/>
    <n v="45419"/>
    <n v="346"/>
    <n v="1081"/>
    <s v="No"/>
    <n v="2"/>
    <s v="51-200"/>
    <s v="Full-time"/>
    <s v="Yes"/>
  </r>
  <r>
    <s v="AIJOB00111"/>
    <x v="5"/>
    <x v="27"/>
    <s v="Education"/>
    <s v="Chicago, United States"/>
    <s v="United States"/>
    <s v="Hybrid"/>
    <x v="2"/>
    <s v="2-5 yrs"/>
    <n v="72008"/>
    <x v="110"/>
    <s v="Llama"/>
    <s v="Bachelor's"/>
    <n v="45746"/>
    <n v="1830"/>
    <n v="1713"/>
    <s v="No"/>
    <n v="2"/>
    <s v="1001-5000"/>
    <s v="Contract"/>
    <s v="No"/>
  </r>
  <r>
    <s v="AIJOB00112"/>
    <x v="9"/>
    <x v="8"/>
    <s v="Energy"/>
    <s v="Tokyo, Japan"/>
    <s v="Japan"/>
    <s v="On-site"/>
    <x v="2"/>
    <s v="2-5 yrs"/>
    <n v="109475"/>
    <x v="111"/>
    <s v="Phi"/>
    <s v="Bachelor's"/>
    <n v="45333"/>
    <n v="2498"/>
    <n v="623"/>
    <s v="Yes"/>
    <n v="2"/>
    <s v="5000+"/>
    <s v="Full-time"/>
    <s v="No"/>
  </r>
  <r>
    <s v="AIJOB00113"/>
    <x v="12"/>
    <x v="17"/>
    <s v="Energy"/>
    <s v="Seattle, United States"/>
    <s v="United States"/>
    <s v="On-site"/>
    <x v="1"/>
    <s v="8+ yrs"/>
    <n v="202168"/>
    <x v="112"/>
    <s v="Grok"/>
    <s v="Master's"/>
    <n v="45520"/>
    <n v="1562"/>
    <n v="2972"/>
    <s v="Yes"/>
    <n v="6"/>
    <s v="201-1000"/>
    <s v="Contract"/>
    <s v="No"/>
  </r>
  <r>
    <s v="AIJOB00114"/>
    <x v="12"/>
    <x v="17"/>
    <s v="Automotive"/>
    <s v="New York, United States"/>
    <s v="United States"/>
    <s v="Remote"/>
    <x v="0"/>
    <s v="0-2 yrs"/>
    <n v="101036"/>
    <x v="113"/>
    <s v="Command R"/>
    <s v="Master's"/>
    <n v="45650"/>
    <n v="854"/>
    <n v="3146"/>
    <s v="No"/>
    <n v="0"/>
    <s v="1001-5000"/>
    <s v="Full-time"/>
    <s v="No"/>
  </r>
  <r>
    <s v="AIJOB00115"/>
    <x v="14"/>
    <x v="14"/>
    <s v="Technology"/>
    <s v="Chicago, United States"/>
    <s v="United States"/>
    <s v="Remote"/>
    <x v="1"/>
    <s v="8+ yrs"/>
    <n v="193075"/>
    <x v="114"/>
    <s v="Llama"/>
    <s v="PhD"/>
    <n v="45630"/>
    <n v="1522"/>
    <n v="1906"/>
    <s v="No"/>
    <n v="6"/>
    <s v="5000+"/>
    <s v="Full-time"/>
    <s v="Yes"/>
  </r>
  <r>
    <s v="AIJOB00116"/>
    <x v="7"/>
    <x v="25"/>
    <s v="Technology"/>
    <s v="Bangalore, India"/>
    <s v="India"/>
    <s v="Remote"/>
    <x v="2"/>
    <s v="2-5 yrs"/>
    <n v="115970"/>
    <x v="115"/>
    <s v="BLOOM"/>
    <s v="Bachelor's"/>
    <n v="45433"/>
    <n v="575"/>
    <n v="423"/>
    <s v="No"/>
    <n v="2"/>
    <s v="1001-5000"/>
    <s v="Full-time"/>
    <s v="No"/>
  </r>
  <r>
    <s v="AIJOB00117"/>
    <x v="17"/>
    <x v="1"/>
    <s v="Defense"/>
    <s v="New York, United States"/>
    <s v="United States"/>
    <s v="Remote"/>
    <x v="2"/>
    <s v="2-5 yrs"/>
    <n v="109312"/>
    <x v="116"/>
    <s v="Grok"/>
    <s v="Master's"/>
    <n v="45411"/>
    <n v="1613"/>
    <n v="980"/>
    <s v="No"/>
    <n v="2"/>
    <s v="51-200"/>
    <s v="Part-time"/>
    <s v="No"/>
  </r>
  <r>
    <s v="AIJOB00118"/>
    <x v="19"/>
    <x v="10"/>
    <s v="Media"/>
    <s v="Amsterdam, Netherlands"/>
    <s v="Netherlands"/>
    <s v="Remote"/>
    <x v="3"/>
    <s v="5-8 yrs"/>
    <n v="118445"/>
    <x v="117"/>
    <s v="Falcon"/>
    <s v="PhD"/>
    <n v="45594"/>
    <n v="1605"/>
    <n v="2862"/>
    <s v="No"/>
    <n v="4"/>
    <s v="51-200"/>
    <s v="Full-time"/>
    <s v="Yes"/>
  </r>
  <r>
    <s v="AIJOB00119"/>
    <x v="1"/>
    <x v="7"/>
    <s v="Energy"/>
    <s v="Paris, France"/>
    <s v="France"/>
    <s v="On-site"/>
    <x v="1"/>
    <s v="8+ yrs"/>
    <n v="241141"/>
    <x v="118"/>
    <s v="BLOOM"/>
    <s v="Bachelor's"/>
    <n v="45445"/>
    <n v="1294"/>
    <n v="1054"/>
    <s v="Yes"/>
    <n v="6"/>
    <s v="0-50"/>
    <s v="Part-time"/>
    <s v="No"/>
  </r>
  <r>
    <s v="AIJOB00120"/>
    <x v="4"/>
    <x v="26"/>
    <s v="Government"/>
    <s v="New York, United States"/>
    <s v="United States"/>
    <s v="Remote"/>
    <x v="2"/>
    <s v="2-5 yrs"/>
    <n v="124888"/>
    <x v="119"/>
    <s v="Command R"/>
    <s v="Master's"/>
    <n v="45636"/>
    <n v="362"/>
    <n v="877"/>
    <s v="Maybe"/>
    <n v="2"/>
    <s v="0-50"/>
    <s v="Contract"/>
    <s v="No"/>
  </r>
  <r>
    <s v="AIJOB00121"/>
    <x v="7"/>
    <x v="21"/>
    <s v="Government"/>
    <s v="Chicago, United States"/>
    <s v="United States"/>
    <s v="On-site"/>
    <x v="2"/>
    <s v="2-5 yrs"/>
    <n v="125662"/>
    <x v="120"/>
    <s v="Mistral"/>
    <s v="Master's"/>
    <n v="45574"/>
    <n v="2336"/>
    <n v="1918"/>
    <s v="Yes"/>
    <n v="2"/>
    <s v="1001-5000"/>
    <s v="Contract"/>
    <s v="Yes"/>
  </r>
  <r>
    <s v="AIJOB00122"/>
    <x v="9"/>
    <x v="2"/>
    <s v="Media"/>
    <s v="Austin, United States"/>
    <s v="United States"/>
    <s v="Remote"/>
    <x v="3"/>
    <s v="5-8 yrs"/>
    <n v="125446"/>
    <x v="121"/>
    <s v="Grok"/>
    <s v="Bachelor's"/>
    <n v="45580"/>
    <n v="1103"/>
    <n v="1361"/>
    <s v="Yes"/>
    <n v="4"/>
    <s v="5000+"/>
    <s v="Contract"/>
    <s v="No"/>
  </r>
  <r>
    <s v="AIJOB00123"/>
    <x v="18"/>
    <x v="24"/>
    <s v="Healthcare"/>
    <s v="Tel Aviv, Israel"/>
    <s v="Israel"/>
    <s v="On-site"/>
    <x v="3"/>
    <s v="5-8 yrs"/>
    <n v="187875"/>
    <x v="122"/>
    <s v="Phi"/>
    <s v="Bootcamp/Self-taught"/>
    <n v="45620"/>
    <n v="540"/>
    <n v="2156"/>
    <s v="Yes"/>
    <n v="4"/>
    <s v="0-50"/>
    <s v="Part-time"/>
    <s v="No"/>
  </r>
  <r>
    <s v="AIJOB00124"/>
    <x v="13"/>
    <x v="28"/>
    <s v="Technology"/>
    <s v="Berlin, Germany"/>
    <s v="Germany"/>
    <s v="On-site"/>
    <x v="1"/>
    <s v="8+ yrs"/>
    <n v="149533"/>
    <x v="123"/>
    <s v="Command R"/>
    <s v="Master's"/>
    <n v="45410"/>
    <n v="2279"/>
    <n v="2710"/>
    <s v="No"/>
    <n v="6"/>
    <s v="0-50"/>
    <s v="Full-time"/>
    <s v="Yes"/>
  </r>
  <r>
    <s v="AIJOB00125"/>
    <x v="13"/>
    <x v="26"/>
    <s v="Defense"/>
    <s v="Stockholm, Sweden"/>
    <s v="Sweden"/>
    <s v="On-site"/>
    <x v="3"/>
    <s v="5-8 yrs"/>
    <n v="165845"/>
    <x v="124"/>
    <s v="Llama"/>
    <s v="Master's"/>
    <n v="45300"/>
    <n v="1751"/>
    <n v="1104"/>
    <s v="No"/>
    <n v="4"/>
    <s v="0-50"/>
    <s v="Full-time"/>
    <s v="Yes"/>
  </r>
  <r>
    <s v="AIJOB00126"/>
    <x v="12"/>
    <x v="4"/>
    <s v="Media"/>
    <s v="Paris, France"/>
    <s v="France"/>
    <s v="Remote"/>
    <x v="2"/>
    <s v="2-5 yrs"/>
    <n v="153371"/>
    <x v="125"/>
    <s v="BLOOM"/>
    <s v="Master's"/>
    <n v="45715"/>
    <n v="529"/>
    <n v="2618"/>
    <s v="Yes"/>
    <n v="2"/>
    <s v="51-200"/>
    <s v="Full-time"/>
    <s v="No"/>
  </r>
  <r>
    <s v="AIJOB00127"/>
    <x v="18"/>
    <x v="29"/>
    <s v="Finance"/>
    <s v="Dublin, Ireland"/>
    <s v="Ireland"/>
    <s v="On-site"/>
    <x v="0"/>
    <s v="0-2 yrs"/>
    <n v="57519"/>
    <x v="126"/>
    <s v="GPT-4"/>
    <s v="Master's"/>
    <n v="45409"/>
    <n v="1448"/>
    <n v="3693"/>
    <s v="No"/>
    <n v="0"/>
    <s v="0-50"/>
    <s v="Full-time"/>
    <s v="No"/>
  </r>
  <r>
    <s v="AIJOB00128"/>
    <x v="13"/>
    <x v="4"/>
    <s v="Energy"/>
    <s v="Zurich, Switzerland"/>
    <s v="Switzerland"/>
    <s v="Remote"/>
    <x v="2"/>
    <s v="2-5 yrs"/>
    <n v="98787"/>
    <x v="127"/>
    <s v="None"/>
    <s v="Master's"/>
    <n v="45712"/>
    <n v="873"/>
    <n v="3247"/>
    <s v="Maybe"/>
    <n v="2"/>
    <s v="0-50"/>
    <s v="Full-time"/>
    <s v="No"/>
  </r>
  <r>
    <s v="AIJOB00129"/>
    <x v="17"/>
    <x v="24"/>
    <s v="Retail"/>
    <s v="Los Angeles, United States"/>
    <s v="United States"/>
    <s v="Remote"/>
    <x v="0"/>
    <s v="0-2 yrs"/>
    <n v="71255"/>
    <x v="128"/>
    <s v="Command R"/>
    <s v="Master's"/>
    <n v="45330"/>
    <n v="1837"/>
    <n v="1778"/>
    <s v="Yes"/>
    <n v="0"/>
    <s v="5000+"/>
    <s v="Full-time"/>
    <s v="Yes"/>
  </r>
  <r>
    <s v="AIJOB00130"/>
    <x v="6"/>
    <x v="1"/>
    <s v="Government"/>
    <s v="Paris, France"/>
    <s v="France"/>
    <s v="Hybrid"/>
    <x v="3"/>
    <s v="5-8 yrs"/>
    <n v="136406"/>
    <x v="129"/>
    <s v="BLOOM"/>
    <s v="Bachelor's"/>
    <n v="45334"/>
    <n v="321"/>
    <n v="3872"/>
    <s v="No"/>
    <n v="4"/>
    <s v="201-1000"/>
    <s v="Contract"/>
    <s v="Yes"/>
  </r>
  <r>
    <s v="AIJOB00131"/>
    <x v="4"/>
    <x v="16"/>
    <s v="Media"/>
    <s v="Los Angeles, United States"/>
    <s v="United States"/>
    <s v="Remote"/>
    <x v="2"/>
    <s v="2-5 yrs"/>
    <n v="79296"/>
    <x v="130"/>
    <s v="Falcon"/>
    <s v="Bachelor's"/>
    <n v="45576"/>
    <n v="1994"/>
    <n v="1598"/>
    <s v="No"/>
    <n v="2"/>
    <s v="5000+"/>
    <s v="Contract"/>
    <s v="No"/>
  </r>
  <r>
    <s v="AIJOB00132"/>
    <x v="12"/>
    <x v="22"/>
    <s v="Education"/>
    <s v="Chicago, United States"/>
    <s v="United States"/>
    <s v="Remote"/>
    <x v="2"/>
    <s v="2-5 yrs"/>
    <n v="111357"/>
    <x v="131"/>
    <s v="BLOOM"/>
    <s v="PhD"/>
    <n v="45429"/>
    <n v="1779"/>
    <n v="1040"/>
    <s v="Maybe"/>
    <n v="2"/>
    <s v="1001-5000"/>
    <s v="Full-time"/>
    <s v="Yes"/>
  </r>
  <r>
    <s v="AIJOB00133"/>
    <x v="0"/>
    <x v="0"/>
    <s v="Defense"/>
    <s v="Sydney, Australia"/>
    <s v="Australia"/>
    <s v="Remote"/>
    <x v="2"/>
    <s v="2-5 yrs"/>
    <n v="88966"/>
    <x v="132"/>
    <s v="Falcon"/>
    <s v="Bachelor's"/>
    <n v="45494"/>
    <n v="1613"/>
    <n v="2480"/>
    <s v="Maybe"/>
    <n v="2"/>
    <s v="51-200"/>
    <s v="Full-time"/>
    <s v="Yes"/>
  </r>
  <r>
    <s v="AIJOB00134"/>
    <x v="11"/>
    <x v="4"/>
    <s v="Government"/>
    <s v="Sydney, Australia"/>
    <s v="Australia"/>
    <s v="Hybrid"/>
    <x v="3"/>
    <s v="5-8 yrs"/>
    <n v="162786"/>
    <x v="133"/>
    <s v="None"/>
    <s v="Bachelor's"/>
    <n v="45616"/>
    <n v="1118"/>
    <n v="2435"/>
    <s v="Maybe"/>
    <n v="4"/>
    <s v="51-200"/>
    <s v="Full-time"/>
    <s v="No"/>
  </r>
  <r>
    <s v="AIJOB00135"/>
    <x v="14"/>
    <x v="3"/>
    <s v="Education"/>
    <s v="Bangalore, India"/>
    <s v="India"/>
    <s v="Hybrid"/>
    <x v="2"/>
    <s v="2-5 yrs"/>
    <n v="91795"/>
    <x v="134"/>
    <s v="None"/>
    <s v="Bachelor's"/>
    <n v="45717"/>
    <n v="1540"/>
    <n v="1001"/>
    <s v="No"/>
    <n v="2"/>
    <s v="51-200"/>
    <s v="Contract"/>
    <s v="No"/>
  </r>
  <r>
    <s v="AIJOB00136"/>
    <x v="4"/>
    <x v="19"/>
    <s v="Energy"/>
    <s v="Tokyo, Japan"/>
    <s v="Japan"/>
    <s v="Hybrid"/>
    <x v="1"/>
    <s v="8+ yrs"/>
    <n v="255797"/>
    <x v="135"/>
    <s v="None"/>
    <s v="Master's"/>
    <n v="45497"/>
    <n v="648"/>
    <n v="457"/>
    <s v="No"/>
    <n v="6"/>
    <s v="201-1000"/>
    <s v="Full-time"/>
    <s v="No"/>
  </r>
  <r>
    <s v="AIJOB00137"/>
    <x v="12"/>
    <x v="7"/>
    <s v="Defense"/>
    <s v="Austin, United States"/>
    <s v="United States"/>
    <s v="On-site"/>
    <x v="1"/>
    <s v="8+ yrs"/>
    <n v="171802"/>
    <x v="136"/>
    <s v="Phi"/>
    <s v="Master's"/>
    <n v="45512"/>
    <n v="1205"/>
    <n v="1835"/>
    <s v="No"/>
    <n v="6"/>
    <s v="1001-5000"/>
    <s v="Contract"/>
    <s v="No"/>
  </r>
  <r>
    <s v="AIJOB00138"/>
    <x v="10"/>
    <x v="28"/>
    <s v="Automotive"/>
    <s v="Boston, United States"/>
    <s v="United States"/>
    <s v="On-site"/>
    <x v="2"/>
    <s v="2-5 yrs"/>
    <n v="103623"/>
    <x v="137"/>
    <s v="Gemini"/>
    <s v="Master's"/>
    <n v="45539"/>
    <n v="1147"/>
    <n v="2144"/>
    <s v="No"/>
    <n v="2"/>
    <s v="1001-5000"/>
    <s v="Full-time"/>
    <s v="No"/>
  </r>
  <r>
    <s v="AIJOB00139"/>
    <x v="14"/>
    <x v="29"/>
    <s v="Retail"/>
    <s v="Seattle, United States"/>
    <s v="United States"/>
    <s v="Remote"/>
    <x v="3"/>
    <s v="5-8 yrs"/>
    <n v="171964"/>
    <x v="138"/>
    <s v="Gemini"/>
    <s v="Master's"/>
    <n v="45706"/>
    <n v="955"/>
    <n v="1365"/>
    <s v="No"/>
    <n v="4"/>
    <s v="1001-5000"/>
    <s v="Full-time"/>
    <s v="Yes"/>
  </r>
  <r>
    <s v="AIJOB00140"/>
    <x v="15"/>
    <x v="26"/>
    <s v="Automotive"/>
    <s v="Los Angeles, United States"/>
    <s v="United States"/>
    <s v="Remote"/>
    <x v="2"/>
    <s v="2-5 yrs"/>
    <n v="85628"/>
    <x v="139"/>
    <s v="None"/>
    <s v="PhD"/>
    <n v="45669"/>
    <n v="556"/>
    <n v="2374"/>
    <s v="Yes"/>
    <n v="2"/>
    <s v="5000+"/>
    <s v="Full-time"/>
    <s v="Yes"/>
  </r>
  <r>
    <s v="AIJOB00141"/>
    <x v="14"/>
    <x v="16"/>
    <s v="Education"/>
    <s v="Amsterdam, Netherlands"/>
    <s v="Netherlands"/>
    <s v="Hybrid"/>
    <x v="0"/>
    <s v="0-2 yrs"/>
    <n v="72865"/>
    <x v="140"/>
    <s v="Falcon"/>
    <s v="Master's"/>
    <n v="45542"/>
    <n v="1518"/>
    <n v="3772"/>
    <s v="No"/>
    <n v="0"/>
    <s v="0-50"/>
    <s v="Full-time"/>
    <s v="Yes"/>
  </r>
  <r>
    <s v="AIJOB00142"/>
    <x v="7"/>
    <x v="0"/>
    <s v="Healthcare"/>
    <s v="London, United Kingdom"/>
    <s v="United Kingdom"/>
    <s v="Remote"/>
    <x v="3"/>
    <s v="5-8 yrs"/>
    <n v="185292"/>
    <x v="141"/>
    <s v="BLOOM"/>
    <s v="Master's"/>
    <n v="45647"/>
    <n v="1009"/>
    <n v="2282"/>
    <s v="Yes"/>
    <n v="4"/>
    <s v="201-1000"/>
    <s v="Full-time"/>
    <s v="Yes"/>
  </r>
  <r>
    <s v="AIJOB00143"/>
    <x v="14"/>
    <x v="0"/>
    <s v="Education"/>
    <s v="Boston, United States"/>
    <s v="United States"/>
    <s v="On-site"/>
    <x v="0"/>
    <s v="0-2 yrs"/>
    <n v="50000"/>
    <x v="142"/>
    <s v="Command R"/>
    <s v="Master's"/>
    <n v="45540"/>
    <n v="2118"/>
    <n v="2011"/>
    <s v="Yes"/>
    <n v="0"/>
    <s v="5000+"/>
    <s v="Full-time"/>
    <s v="No"/>
  </r>
  <r>
    <s v="AIJOB00144"/>
    <x v="5"/>
    <x v="24"/>
    <s v="Energy"/>
    <s v="Amsterdam, Netherlands"/>
    <s v="Netherlands"/>
    <s v="Remote"/>
    <x v="0"/>
    <s v="0-2 yrs"/>
    <n v="72326"/>
    <x v="143"/>
    <s v="None"/>
    <s v="Master's"/>
    <n v="45439"/>
    <n v="767"/>
    <n v="1107"/>
    <s v="No"/>
    <n v="0"/>
    <s v="201-1000"/>
    <s v="Full-time"/>
    <s v="No"/>
  </r>
  <r>
    <s v="AIJOB00145"/>
    <x v="14"/>
    <x v="18"/>
    <s v="Finance"/>
    <s v="Los Angeles, United States"/>
    <s v="United States"/>
    <s v="Remote"/>
    <x v="2"/>
    <s v="2-5 yrs"/>
    <n v="115145"/>
    <x v="144"/>
    <s v="Claude"/>
    <s v="PhD"/>
    <n v="45716"/>
    <n v="1270"/>
    <n v="869"/>
    <s v="No"/>
    <n v="2"/>
    <s v="5000+"/>
    <s v="Full-time"/>
    <s v="No"/>
  </r>
  <r>
    <s v="AIJOB00146"/>
    <x v="6"/>
    <x v="21"/>
    <s v="Defense"/>
    <s v="Toronto, Canada"/>
    <s v="Canada"/>
    <s v="Hybrid"/>
    <x v="1"/>
    <s v="8+ yrs"/>
    <n v="228145"/>
    <x v="145"/>
    <s v="Phi"/>
    <s v="Master's"/>
    <n v="45693"/>
    <n v="1625"/>
    <n v="2893"/>
    <s v="No"/>
    <n v="6"/>
    <s v="5000+"/>
    <s v="Full-time"/>
    <s v="No"/>
  </r>
  <r>
    <s v="AIJOB00147"/>
    <x v="0"/>
    <x v="14"/>
    <s v="Retail"/>
    <s v="Los Angeles, United States"/>
    <s v="United States"/>
    <s v="On-site"/>
    <x v="2"/>
    <s v="2-5 yrs"/>
    <n v="85508"/>
    <x v="146"/>
    <s v="Falcon"/>
    <s v="PhD"/>
    <n v="45433"/>
    <n v="1908"/>
    <n v="2014"/>
    <s v="Yes"/>
    <n v="2"/>
    <s v="201-1000"/>
    <s v="Full-time"/>
    <s v="Yes"/>
  </r>
  <r>
    <s v="AIJOB00148"/>
    <x v="4"/>
    <x v="16"/>
    <s v="Finance"/>
    <s v="Chicago, United States"/>
    <s v="United States"/>
    <s v="Hybrid"/>
    <x v="0"/>
    <s v="0-2 yrs"/>
    <n v="53362"/>
    <x v="147"/>
    <s v="None"/>
    <s v="PhD"/>
    <n v="45434"/>
    <n v="2177"/>
    <n v="2610"/>
    <s v="No"/>
    <n v="0"/>
    <s v="201-1000"/>
    <s v="Contract"/>
    <s v="No"/>
  </r>
  <r>
    <s v="AIJOB00149"/>
    <x v="11"/>
    <x v="19"/>
    <s v="Government"/>
    <s v="Los Angeles, United States"/>
    <s v="United States"/>
    <s v="On-site"/>
    <x v="2"/>
    <s v="2-5 yrs"/>
    <n v="120334"/>
    <x v="148"/>
    <s v="Command R"/>
    <s v="PhD"/>
    <n v="45545"/>
    <n v="498"/>
    <n v="198"/>
    <s v="Yes"/>
    <n v="2"/>
    <s v="1001-5000"/>
    <s v="Full-time"/>
    <s v="No"/>
  </r>
  <r>
    <s v="AIJOB00150"/>
    <x v="15"/>
    <x v="13"/>
    <s v="Government"/>
    <s v="Bangalore, India"/>
    <s v="India"/>
    <s v="Remote"/>
    <x v="1"/>
    <s v="8+ yrs"/>
    <n v="210691"/>
    <x v="149"/>
    <s v="Mistral"/>
    <s v="Bachelor's"/>
    <n v="45511"/>
    <n v="1823"/>
    <n v="2731"/>
    <s v="Maybe"/>
    <n v="6"/>
    <s v="51-200"/>
    <s v="Full-time"/>
    <s v="No"/>
  </r>
  <r>
    <s v="AIJOB00151"/>
    <x v="7"/>
    <x v="15"/>
    <s v="Technology"/>
    <s v="Seattle, United States"/>
    <s v="United States"/>
    <s v="Hybrid"/>
    <x v="1"/>
    <s v="8+ yrs"/>
    <n v="209017"/>
    <x v="150"/>
    <s v="Command R"/>
    <s v="Master's"/>
    <n v="45292"/>
    <n v="793"/>
    <n v="3533"/>
    <s v="No"/>
    <n v="6"/>
    <s v="51-200"/>
    <s v="Full-time"/>
    <s v="Yes"/>
  </r>
  <r>
    <s v="AIJOB00152"/>
    <x v="4"/>
    <x v="13"/>
    <s v="Energy"/>
    <s v="London, United Kingdom"/>
    <s v="United Kingdom"/>
    <s v="Remote"/>
    <x v="0"/>
    <s v="0-2 yrs"/>
    <n v="74365"/>
    <x v="151"/>
    <s v="Gemini"/>
    <s v="Master's"/>
    <n v="45743"/>
    <n v="972"/>
    <n v="1812"/>
    <s v="No"/>
    <n v="0"/>
    <s v="51-200"/>
    <s v="Full-time"/>
    <s v="Yes"/>
  </r>
  <r>
    <s v="AIJOB00153"/>
    <x v="19"/>
    <x v="1"/>
    <s v="Healthcare"/>
    <s v="Singapore"/>
    <s v="Singapore"/>
    <s v="Remote"/>
    <x v="1"/>
    <s v="8+ yrs"/>
    <n v="175519"/>
    <x v="152"/>
    <s v="BLOOM"/>
    <s v="Bachelor's"/>
    <n v="45343"/>
    <n v="645"/>
    <n v="1026"/>
    <s v="No"/>
    <n v="6"/>
    <s v="5000+"/>
    <s v="Contract"/>
    <s v="Yes"/>
  </r>
  <r>
    <s v="AIJOB00154"/>
    <x v="13"/>
    <x v="24"/>
    <s v="Media"/>
    <s v="Singapore"/>
    <s v="Singapore"/>
    <s v="Hybrid"/>
    <x v="3"/>
    <s v="5-8 yrs"/>
    <n v="156270"/>
    <x v="153"/>
    <s v="Llama"/>
    <s v="Bachelor's"/>
    <n v="45552"/>
    <n v="2346"/>
    <n v="2623"/>
    <s v="No"/>
    <n v="4"/>
    <s v="5000+"/>
    <s v="Contract"/>
    <s v="Yes"/>
  </r>
  <r>
    <s v="AIJOB00155"/>
    <x v="16"/>
    <x v="15"/>
    <s v="Automotive"/>
    <s v="Berlin, Germany"/>
    <s v="Germany"/>
    <s v="Remote"/>
    <x v="3"/>
    <s v="5-8 yrs"/>
    <n v="157912"/>
    <x v="154"/>
    <s v="Claude"/>
    <s v="Bachelor's"/>
    <n v="45721"/>
    <n v="547"/>
    <n v="3895"/>
    <s v="No"/>
    <n v="4"/>
    <s v="5000+"/>
    <s v="Full-time"/>
    <s v="No"/>
  </r>
  <r>
    <s v="AIJOB00156"/>
    <x v="19"/>
    <x v="19"/>
    <s v="Healthcare"/>
    <s v="Chicago, United States"/>
    <s v="United States"/>
    <s v="Remote"/>
    <x v="1"/>
    <s v="8+ yrs"/>
    <n v="174283"/>
    <x v="155"/>
    <s v="None"/>
    <s v="Master's"/>
    <n v="45566"/>
    <n v="1900"/>
    <n v="2412"/>
    <s v="No"/>
    <n v="6"/>
    <s v="0-50"/>
    <s v="Full-time"/>
    <s v="Yes"/>
  </r>
  <r>
    <s v="AIJOB00157"/>
    <x v="7"/>
    <x v="11"/>
    <s v="Technology"/>
    <s v="Paris, France"/>
    <s v="France"/>
    <s v="Remote"/>
    <x v="0"/>
    <s v="0-2 yrs"/>
    <n v="93508"/>
    <x v="156"/>
    <s v="Gemini"/>
    <s v="PhD"/>
    <n v="45514"/>
    <n v="346"/>
    <n v="681"/>
    <s v="No"/>
    <n v="0"/>
    <s v="201-1000"/>
    <s v="Full-time"/>
    <s v="No"/>
  </r>
  <r>
    <s v="AIJOB00158"/>
    <x v="2"/>
    <x v="21"/>
    <s v="Energy"/>
    <s v="Boston, United States"/>
    <s v="United States"/>
    <s v="Remote"/>
    <x v="2"/>
    <s v="2-5 yrs"/>
    <n v="119381"/>
    <x v="157"/>
    <s v="BLOOM"/>
    <s v="Bachelor's"/>
    <n v="45691"/>
    <n v="615"/>
    <n v="2042"/>
    <s v="No"/>
    <n v="2"/>
    <s v="201-1000"/>
    <s v="Full-time"/>
    <s v="No"/>
  </r>
  <r>
    <s v="AIJOB00159"/>
    <x v="15"/>
    <x v="9"/>
    <s v="Technology"/>
    <s v="Toronto, Canada"/>
    <s v="Canada"/>
    <s v="Remote"/>
    <x v="3"/>
    <s v="5-8 yrs"/>
    <n v="117834"/>
    <x v="158"/>
    <s v="GPT-4"/>
    <s v="Master's"/>
    <n v="45344"/>
    <n v="1868"/>
    <n v="3779"/>
    <s v="Yes"/>
    <n v="4"/>
    <s v="0-50"/>
    <s v="Full-time"/>
    <s v="No"/>
  </r>
  <r>
    <s v="AIJOB00160"/>
    <x v="19"/>
    <x v="20"/>
    <s v="Retail"/>
    <s v="Austin, United States"/>
    <s v="United States"/>
    <s v="Remote"/>
    <x v="2"/>
    <s v="2-5 yrs"/>
    <n v="122999"/>
    <x v="159"/>
    <s v="GPT-4"/>
    <s v="PhD"/>
    <n v="45660"/>
    <n v="488"/>
    <n v="3917"/>
    <s v="No"/>
    <n v="2"/>
    <s v="1001-5000"/>
    <s v="Contract"/>
    <s v="No"/>
  </r>
  <r>
    <s v="AIJOB00161"/>
    <x v="5"/>
    <x v="28"/>
    <s v="Defense"/>
    <s v="Seattle, United States"/>
    <s v="United States"/>
    <s v="Hybrid"/>
    <x v="3"/>
    <s v="5-8 yrs"/>
    <n v="123683"/>
    <x v="160"/>
    <s v="Command R"/>
    <s v="Bootcamp/Self-taught"/>
    <n v="45296"/>
    <n v="1100"/>
    <n v="3010"/>
    <s v="Maybe"/>
    <n v="4"/>
    <s v="51-200"/>
    <s v="Full-time"/>
    <s v="No"/>
  </r>
  <r>
    <s v="AIJOB00162"/>
    <x v="13"/>
    <x v="16"/>
    <s v="Automotive"/>
    <s v="Stockholm, Sweden"/>
    <s v="Sweden"/>
    <s v="Remote"/>
    <x v="2"/>
    <s v="2-5 yrs"/>
    <n v="125584"/>
    <x v="161"/>
    <s v="None"/>
    <s v="Bachelor's"/>
    <n v="45721"/>
    <n v="2470"/>
    <n v="985"/>
    <s v="No"/>
    <n v="2"/>
    <s v="0-50"/>
    <s v="Part-time"/>
    <s v="Yes"/>
  </r>
  <r>
    <s v="AIJOB00163"/>
    <x v="2"/>
    <x v="10"/>
    <s v="Media"/>
    <s v="New York, United States"/>
    <s v="United States"/>
    <s v="On-site"/>
    <x v="0"/>
    <s v="0-2 yrs"/>
    <n v="84598"/>
    <x v="162"/>
    <s v="Gemini"/>
    <s v="Bachelor's"/>
    <n v="45724"/>
    <n v="555"/>
    <n v="1791"/>
    <s v="No"/>
    <n v="0"/>
    <s v="51-200"/>
    <s v="Full-time"/>
    <s v="Yes"/>
  </r>
  <r>
    <s v="AIJOB00164"/>
    <x v="18"/>
    <x v="11"/>
    <s v="Healthcare"/>
    <s v="Austin, United States"/>
    <s v="United States"/>
    <s v="Remote"/>
    <x v="1"/>
    <s v="8+ yrs"/>
    <n v="170455"/>
    <x v="163"/>
    <s v="None"/>
    <s v="Bachelor's"/>
    <n v="45431"/>
    <n v="2141"/>
    <n v="1918"/>
    <s v="No"/>
    <n v="6"/>
    <s v="0-50"/>
    <s v="Full-time"/>
    <s v="No"/>
  </r>
  <r>
    <s v="AIJOB00165"/>
    <x v="9"/>
    <x v="14"/>
    <s v="Defense"/>
    <s v="Sydney, Australia"/>
    <s v="Australia"/>
    <s v="Hybrid"/>
    <x v="1"/>
    <s v="8+ yrs"/>
    <n v="234681"/>
    <x v="164"/>
    <s v="None"/>
    <s v="Bachelor's"/>
    <n v="45728"/>
    <n v="1642"/>
    <n v="617"/>
    <s v="Yes"/>
    <n v="6"/>
    <s v="51-200"/>
    <s v="Part-time"/>
    <s v="Yes"/>
  </r>
  <r>
    <s v="AIJOB00166"/>
    <x v="17"/>
    <x v="9"/>
    <s v="Finance"/>
    <s v="Amsterdam, Netherlands"/>
    <s v="Netherlands"/>
    <s v="On-site"/>
    <x v="3"/>
    <s v="5-8 yrs"/>
    <n v="161145"/>
    <x v="165"/>
    <s v="Phi"/>
    <s v="Master's"/>
    <n v="45381"/>
    <n v="872"/>
    <n v="507"/>
    <s v="Yes"/>
    <n v="4"/>
    <s v="51-200"/>
    <s v="Full-time"/>
    <s v="No"/>
  </r>
  <r>
    <s v="AIJOB00167"/>
    <x v="16"/>
    <x v="18"/>
    <s v="Healthcare"/>
    <s v="Zurich, Switzerland"/>
    <s v="Switzerland"/>
    <s v="Hybrid"/>
    <x v="0"/>
    <s v="0-2 yrs"/>
    <n v="80357"/>
    <x v="166"/>
    <s v="None"/>
    <s v="Bachelor's"/>
    <n v="45708"/>
    <n v="1658"/>
    <n v="511"/>
    <s v="Yes"/>
    <n v="0"/>
    <s v="1001-5000"/>
    <s v="Full-time"/>
    <s v="No"/>
  </r>
  <r>
    <s v="AIJOB00168"/>
    <x v="19"/>
    <x v="17"/>
    <s v="Defense"/>
    <s v="Tel Aviv, Israel"/>
    <s v="Israel"/>
    <s v="Remote"/>
    <x v="1"/>
    <s v="8+ yrs"/>
    <n v="268284"/>
    <x v="167"/>
    <s v="Gemini"/>
    <s v="Master's"/>
    <n v="45641"/>
    <n v="1306"/>
    <n v="2661"/>
    <s v="No"/>
    <n v="6"/>
    <s v="1001-5000"/>
    <s v="Contract"/>
    <s v="No"/>
  </r>
  <r>
    <s v="AIJOB00169"/>
    <x v="4"/>
    <x v="19"/>
    <s v="Education"/>
    <s v="Chicago, United States"/>
    <s v="United States"/>
    <s v="Remote"/>
    <x v="3"/>
    <s v="5-8 yrs"/>
    <n v="143374"/>
    <x v="168"/>
    <s v="Phi"/>
    <s v="Master's"/>
    <n v="45394"/>
    <n v="2357"/>
    <n v="1327"/>
    <s v="No"/>
    <n v="4"/>
    <s v="51-200"/>
    <s v="Full-time"/>
    <s v="No"/>
  </r>
  <r>
    <s v="AIJOB00170"/>
    <x v="13"/>
    <x v="21"/>
    <s v="Energy"/>
    <s v="New York, United States"/>
    <s v="United States"/>
    <s v="On-site"/>
    <x v="3"/>
    <s v="5-8 yrs"/>
    <n v="129649"/>
    <x v="169"/>
    <s v="None"/>
    <s v="PhD"/>
    <n v="45533"/>
    <n v="529"/>
    <n v="3139"/>
    <s v="Maybe"/>
    <n v="4"/>
    <s v="51-200"/>
    <s v="Full-time"/>
    <s v="No"/>
  </r>
  <r>
    <s v="AIJOB00171"/>
    <x v="11"/>
    <x v="2"/>
    <s v="Defense"/>
    <s v="Toronto, Canada"/>
    <s v="Canada"/>
    <s v="Remote"/>
    <x v="3"/>
    <s v="5-8 yrs"/>
    <n v="125983"/>
    <x v="170"/>
    <s v="Falcon"/>
    <s v="Bachelor's"/>
    <n v="45595"/>
    <n v="1071"/>
    <n v="3437"/>
    <s v="Maybe"/>
    <n v="4"/>
    <s v="1001-5000"/>
    <s v="Full-time"/>
    <s v="Yes"/>
  </r>
  <r>
    <s v="AIJOB00172"/>
    <x v="17"/>
    <x v="26"/>
    <s v="Healthcare"/>
    <s v="New York, United States"/>
    <s v="United States"/>
    <s v="Remote"/>
    <x v="0"/>
    <s v="0-2 yrs"/>
    <n v="59720"/>
    <x v="171"/>
    <s v="Grok"/>
    <s v="Master's"/>
    <n v="45404"/>
    <n v="1026"/>
    <n v="3773"/>
    <s v="No"/>
    <n v="0"/>
    <s v="201-1000"/>
    <s v="Full-time"/>
    <s v="Yes"/>
  </r>
  <r>
    <s v="AIJOB00173"/>
    <x v="3"/>
    <x v="27"/>
    <s v="Healthcare"/>
    <s v="Dublin, Ireland"/>
    <s v="Ireland"/>
    <s v="On-site"/>
    <x v="0"/>
    <s v="0-2 yrs"/>
    <n v="69028"/>
    <x v="172"/>
    <s v="Falcon"/>
    <s v="PhD"/>
    <n v="45329"/>
    <n v="2089"/>
    <n v="3253"/>
    <s v="No"/>
    <n v="0"/>
    <s v="1001-5000"/>
    <s v="Full-time"/>
    <s v="Yes"/>
  </r>
  <r>
    <s v="AIJOB00174"/>
    <x v="1"/>
    <x v="12"/>
    <s v="Technology"/>
    <s v="Paris, France"/>
    <s v="France"/>
    <s v="Hybrid"/>
    <x v="3"/>
    <s v="5-8 yrs"/>
    <n v="159211"/>
    <x v="173"/>
    <s v="Gemini"/>
    <s v="Bootcamp/Self-taught"/>
    <n v="45709"/>
    <n v="1903"/>
    <n v="3494"/>
    <s v="Maybe"/>
    <n v="4"/>
    <s v="5000+"/>
    <s v="Full-time"/>
    <s v="No"/>
  </r>
  <r>
    <s v="AIJOB00175"/>
    <x v="6"/>
    <x v="20"/>
    <s v="Finance"/>
    <s v="Zurich, Switzerland"/>
    <s v="Switzerland"/>
    <s v="Remote"/>
    <x v="2"/>
    <s v="2-5 yrs"/>
    <n v="115478"/>
    <x v="174"/>
    <s v="Falcon"/>
    <s v="PhD"/>
    <n v="45546"/>
    <n v="1675"/>
    <n v="1839"/>
    <s v="Yes"/>
    <n v="2"/>
    <s v="51-200"/>
    <s v="Full-time"/>
    <s v="Yes"/>
  </r>
  <r>
    <s v="AIJOB00176"/>
    <x v="2"/>
    <x v="19"/>
    <s v="Defense"/>
    <s v="San Francisco, United States"/>
    <s v="United States"/>
    <s v="Remote"/>
    <x v="0"/>
    <s v="0-2 yrs"/>
    <n v="80422"/>
    <x v="175"/>
    <s v="Command R"/>
    <s v="Master's"/>
    <n v="45516"/>
    <n v="1223"/>
    <n v="676"/>
    <s v="No"/>
    <n v="0"/>
    <s v="0-50"/>
    <s v="Full-time"/>
    <s v="Yes"/>
  </r>
  <r>
    <s v="AIJOB00177"/>
    <x v="0"/>
    <x v="1"/>
    <s v="Defense"/>
    <s v="Austin, United States"/>
    <s v="United States"/>
    <s v="Remote"/>
    <x v="0"/>
    <s v="0-2 yrs"/>
    <n v="70163"/>
    <x v="176"/>
    <s v="None"/>
    <s v="Bootcamp/Self-taught"/>
    <n v="45484"/>
    <n v="2277"/>
    <n v="2895"/>
    <s v="Yes"/>
    <n v="0"/>
    <s v="51-200"/>
    <s v="Full-time"/>
    <s v="Yes"/>
  </r>
  <r>
    <s v="AIJOB00178"/>
    <x v="17"/>
    <x v="22"/>
    <s v="Retail"/>
    <s v="Austin, United States"/>
    <s v="United States"/>
    <s v="Remote"/>
    <x v="0"/>
    <s v="0-2 yrs"/>
    <n v="88314"/>
    <x v="177"/>
    <s v="None"/>
    <s v="Bachelor's"/>
    <n v="45389"/>
    <n v="1909"/>
    <n v="2351"/>
    <s v="No"/>
    <n v="0"/>
    <s v="1001-5000"/>
    <s v="Full-time"/>
    <s v="Yes"/>
  </r>
  <r>
    <s v="AIJOB00179"/>
    <x v="19"/>
    <x v="24"/>
    <s v="Finance"/>
    <s v="Sydney, Australia"/>
    <s v="Australia"/>
    <s v="On-site"/>
    <x v="0"/>
    <s v="0-2 yrs"/>
    <n v="66665"/>
    <x v="178"/>
    <s v="Claude"/>
    <s v="Master's"/>
    <n v="45612"/>
    <n v="1928"/>
    <n v="1938"/>
    <s v="No"/>
    <n v="0"/>
    <s v="201-1000"/>
    <s v="Full-time"/>
    <s v="No"/>
  </r>
  <r>
    <s v="AIJOB00180"/>
    <x v="15"/>
    <x v="2"/>
    <s v="Technology"/>
    <s v="Chicago, United States"/>
    <s v="United States"/>
    <s v="Remote"/>
    <x v="3"/>
    <s v="5-8 yrs"/>
    <n v="223444"/>
    <x v="179"/>
    <s v="None"/>
    <s v="Bachelor's"/>
    <n v="45520"/>
    <n v="696"/>
    <n v="361"/>
    <s v="No"/>
    <n v="4"/>
    <s v="5000+"/>
    <s v="Full-time"/>
    <s v="No"/>
  </r>
  <r>
    <s v="AIJOB00181"/>
    <x v="7"/>
    <x v="5"/>
    <s v="Defense"/>
    <s v="Chicago, United States"/>
    <s v="United States"/>
    <s v="On-site"/>
    <x v="0"/>
    <s v="0-2 yrs"/>
    <n v="77883"/>
    <x v="180"/>
    <s v="GPT-4"/>
    <s v="Bootcamp/Self-taught"/>
    <n v="45506"/>
    <n v="903"/>
    <n v="502"/>
    <s v="Maybe"/>
    <n v="0"/>
    <s v="1001-5000"/>
    <s v="Full-time"/>
    <s v="No"/>
  </r>
  <r>
    <s v="AIJOB00182"/>
    <x v="9"/>
    <x v="13"/>
    <s v="Media"/>
    <s v="Berlin, Germany"/>
    <s v="Germany"/>
    <s v="Remote"/>
    <x v="2"/>
    <s v="2-5 yrs"/>
    <n v="93028"/>
    <x v="181"/>
    <s v="Claude"/>
    <s v="Master's"/>
    <n v="45332"/>
    <n v="1635"/>
    <n v="3518"/>
    <s v="No"/>
    <n v="2"/>
    <s v="1001-5000"/>
    <s v="Contract"/>
    <s v="Yes"/>
  </r>
  <r>
    <s v="AIJOB00183"/>
    <x v="6"/>
    <x v="16"/>
    <s v="Energy"/>
    <s v="London, United Kingdom"/>
    <s v="United Kingdom"/>
    <s v="Remote"/>
    <x v="1"/>
    <s v="8+ yrs"/>
    <n v="161447"/>
    <x v="182"/>
    <s v="None"/>
    <s v="PhD"/>
    <n v="45367"/>
    <n v="1983"/>
    <n v="1091"/>
    <s v="No"/>
    <n v="6"/>
    <s v="1001-5000"/>
    <s v="Full-time"/>
    <s v="No"/>
  </r>
  <r>
    <s v="AIJOB00184"/>
    <x v="15"/>
    <x v="29"/>
    <s v="Automotive"/>
    <s v="Chicago, United States"/>
    <s v="United States"/>
    <s v="Remote"/>
    <x v="3"/>
    <s v="5-8 yrs"/>
    <n v="163026"/>
    <x v="183"/>
    <s v="None"/>
    <s v="PhD"/>
    <n v="45603"/>
    <n v="382"/>
    <n v="1393"/>
    <s v="No"/>
    <n v="4"/>
    <s v="201-1000"/>
    <s v="Full-time"/>
    <s v="No"/>
  </r>
  <r>
    <s v="AIJOB00185"/>
    <x v="0"/>
    <x v="26"/>
    <s v="Education"/>
    <s v="Berlin, Germany"/>
    <s v="Germany"/>
    <s v="Remote"/>
    <x v="2"/>
    <s v="2-5 yrs"/>
    <n v="105575"/>
    <x v="184"/>
    <s v="Claude"/>
    <s v="Bachelor's"/>
    <n v="45672"/>
    <n v="1967"/>
    <n v="3044"/>
    <s v="No"/>
    <n v="2"/>
    <s v="5000+"/>
    <s v="Contract"/>
    <s v="No"/>
  </r>
  <r>
    <s v="AIJOB00186"/>
    <x v="10"/>
    <x v="14"/>
    <s v="Technology"/>
    <s v="Seattle, United States"/>
    <s v="United States"/>
    <s v="Remote"/>
    <x v="2"/>
    <s v="2-5 yrs"/>
    <n v="124137"/>
    <x v="185"/>
    <s v="Llama"/>
    <s v="Bachelor's"/>
    <n v="45551"/>
    <n v="2169"/>
    <n v="217"/>
    <s v="Maybe"/>
    <n v="2"/>
    <s v="51-200"/>
    <s v="Full-time"/>
    <s v="No"/>
  </r>
  <r>
    <s v="AIJOB00187"/>
    <x v="10"/>
    <x v="28"/>
    <s v="Government"/>
    <s v="London, United Kingdom"/>
    <s v="United Kingdom"/>
    <s v="Hybrid"/>
    <x v="1"/>
    <s v="8+ yrs"/>
    <n v="217036"/>
    <x v="186"/>
    <s v="Phi"/>
    <s v="Bachelor's"/>
    <n v="45415"/>
    <n v="1359"/>
    <n v="3077"/>
    <s v="No"/>
    <n v="6"/>
    <s v="0-50"/>
    <s v="Full-time"/>
    <s v="Yes"/>
  </r>
  <r>
    <s v="AIJOB00188"/>
    <x v="15"/>
    <x v="24"/>
    <s v="Healthcare"/>
    <s v="Paris, France"/>
    <s v="France"/>
    <s v="Hybrid"/>
    <x v="2"/>
    <s v="2-5 yrs"/>
    <n v="108557"/>
    <x v="187"/>
    <s v="GPT-4"/>
    <s v="Master's"/>
    <n v="45638"/>
    <n v="334"/>
    <n v="926"/>
    <s v="No"/>
    <n v="2"/>
    <s v="201-1000"/>
    <s v="Contract"/>
    <s v="No"/>
  </r>
  <r>
    <s v="AIJOB00189"/>
    <x v="2"/>
    <x v="4"/>
    <s v="Defense"/>
    <s v="Chicago, United States"/>
    <s v="United States"/>
    <s v="On-site"/>
    <x v="1"/>
    <s v="8+ yrs"/>
    <n v="169515"/>
    <x v="188"/>
    <s v="None"/>
    <s v="Bachelor's"/>
    <n v="45527"/>
    <n v="2395"/>
    <n v="2723"/>
    <s v="Maybe"/>
    <n v="6"/>
    <s v="201-1000"/>
    <s v="Full-time"/>
    <s v="No"/>
  </r>
  <r>
    <s v="AIJOB00190"/>
    <x v="5"/>
    <x v="10"/>
    <s v="Automotive"/>
    <s v="London, United Kingdom"/>
    <s v="United Kingdom"/>
    <s v="Hybrid"/>
    <x v="3"/>
    <s v="5-8 yrs"/>
    <n v="109099"/>
    <x v="189"/>
    <s v="None"/>
    <s v="Bachelor's"/>
    <n v="45464"/>
    <n v="2418"/>
    <n v="3145"/>
    <s v="Yes"/>
    <n v="4"/>
    <s v="0-50"/>
    <s v="Contract"/>
    <s v="No"/>
  </r>
  <r>
    <s v="AIJOB00191"/>
    <x v="6"/>
    <x v="4"/>
    <s v="Media"/>
    <s v="Austin, United States"/>
    <s v="United States"/>
    <s v="Hybrid"/>
    <x v="1"/>
    <s v="8+ yrs"/>
    <n v="183925"/>
    <x v="190"/>
    <s v="BLOOM"/>
    <s v="PhD"/>
    <n v="45661"/>
    <n v="1077"/>
    <n v="1415"/>
    <s v="No"/>
    <n v="6"/>
    <s v="51-200"/>
    <s v="Full-time"/>
    <s v="No"/>
  </r>
  <r>
    <s v="AIJOB00192"/>
    <x v="8"/>
    <x v="7"/>
    <s v="Healthcare"/>
    <s v="Dublin, Ireland"/>
    <s v="Ireland"/>
    <s v="Remote"/>
    <x v="3"/>
    <s v="5-8 yrs"/>
    <n v="173122"/>
    <x v="191"/>
    <s v="None"/>
    <s v="Bootcamp/Self-taught"/>
    <n v="45379"/>
    <n v="1674"/>
    <n v="2690"/>
    <s v="Yes"/>
    <n v="4"/>
    <s v="201-1000"/>
    <s v="Full-time"/>
    <s v="No"/>
  </r>
  <r>
    <s v="AIJOB00193"/>
    <x v="19"/>
    <x v="13"/>
    <s v="Education"/>
    <s v="Boston, United States"/>
    <s v="United States"/>
    <s v="Remote"/>
    <x v="3"/>
    <s v="5-8 yrs"/>
    <n v="155780"/>
    <x v="192"/>
    <s v="Grok"/>
    <s v="PhD"/>
    <n v="45442"/>
    <n v="2349"/>
    <n v="500"/>
    <s v="Maybe"/>
    <n v="4"/>
    <s v="1001-5000"/>
    <s v="Full-time"/>
    <s v="Yes"/>
  </r>
  <r>
    <s v="AIJOB00194"/>
    <x v="3"/>
    <x v="1"/>
    <s v="Technology"/>
    <s v="Singapore"/>
    <s v="Singapore"/>
    <s v="Remote"/>
    <x v="2"/>
    <s v="2-5 yrs"/>
    <n v="85334"/>
    <x v="193"/>
    <s v="Gemini"/>
    <s v="Bachelor's"/>
    <n v="45583"/>
    <n v="1420"/>
    <n v="867"/>
    <s v="No"/>
    <n v="2"/>
    <s v="51-200"/>
    <s v="Full-time"/>
    <s v="Yes"/>
  </r>
  <r>
    <s v="AIJOB00195"/>
    <x v="4"/>
    <x v="15"/>
    <s v="Government"/>
    <s v="Tokyo, Japan"/>
    <s v="Japan"/>
    <s v="Remote"/>
    <x v="2"/>
    <s v="2-5 yrs"/>
    <n v="113428"/>
    <x v="194"/>
    <s v="Falcon"/>
    <s v="PhD"/>
    <n v="45511"/>
    <n v="2475"/>
    <n v="790"/>
    <s v="Yes"/>
    <n v="2"/>
    <s v="0-50"/>
    <s v="Full-time"/>
    <s v="Yes"/>
  </r>
  <r>
    <s v="AIJOB00196"/>
    <x v="16"/>
    <x v="25"/>
    <s v="Energy"/>
    <s v="Berlin, Germany"/>
    <s v="Germany"/>
    <s v="Remote"/>
    <x v="3"/>
    <s v="5-8 yrs"/>
    <n v="160403"/>
    <x v="195"/>
    <s v="None"/>
    <s v="Master's"/>
    <n v="45549"/>
    <n v="848"/>
    <n v="1413"/>
    <s v="Maybe"/>
    <n v="4"/>
    <s v="1001-5000"/>
    <s v="Full-time"/>
    <s v="Yes"/>
  </r>
  <r>
    <s v="AIJOB00197"/>
    <x v="11"/>
    <x v="23"/>
    <s v="Technology"/>
    <s v="Paris, France"/>
    <s v="France"/>
    <s v="Remote"/>
    <x v="0"/>
    <s v="0-2 yrs"/>
    <n v="58863"/>
    <x v="196"/>
    <s v="Falcon"/>
    <s v="Master's"/>
    <n v="45359"/>
    <n v="1347"/>
    <n v="3169"/>
    <s v="No"/>
    <n v="0"/>
    <s v="0-50"/>
    <s v="Full-time"/>
    <s v="Yes"/>
  </r>
  <r>
    <s v="AIJOB00198"/>
    <x v="0"/>
    <x v="22"/>
    <s v="Media"/>
    <s v="New York, United States"/>
    <s v="United States"/>
    <s v="Hybrid"/>
    <x v="0"/>
    <s v="0-2 yrs"/>
    <n v="71936"/>
    <x v="197"/>
    <s v="GPT-4"/>
    <s v="Master's"/>
    <n v="45505"/>
    <n v="2431"/>
    <n v="1115"/>
    <s v="No"/>
    <n v="0"/>
    <s v="51-200"/>
    <s v="Full-time"/>
    <s v="No"/>
  </r>
  <r>
    <s v="AIJOB00199"/>
    <x v="10"/>
    <x v="28"/>
    <s v="Media"/>
    <s v="Sydney, Australia"/>
    <s v="Australia"/>
    <s v="Remote"/>
    <x v="0"/>
    <s v="0-2 yrs"/>
    <n v="70733"/>
    <x v="198"/>
    <s v="None"/>
    <s v="Bachelor's"/>
    <n v="45346"/>
    <n v="461"/>
    <n v="2255"/>
    <s v="No"/>
    <n v="0"/>
    <s v="51-200"/>
    <s v="Full-time"/>
    <s v="No"/>
  </r>
  <r>
    <s v="AIJOB00200"/>
    <x v="7"/>
    <x v="11"/>
    <s v="Automotive"/>
    <s v="San Francisco, United States"/>
    <s v="United States"/>
    <s v="Hybrid"/>
    <x v="0"/>
    <s v="0-2 yrs"/>
    <n v="55598"/>
    <x v="199"/>
    <s v="None"/>
    <s v="Master's"/>
    <n v="45348"/>
    <n v="2170"/>
    <n v="1222"/>
    <s v="No"/>
    <n v="0"/>
    <s v="0-50"/>
    <s v="Full-time"/>
    <s v="Yes"/>
  </r>
  <r>
    <s v="AIJOB00201"/>
    <x v="17"/>
    <x v="3"/>
    <s v="Healthcare"/>
    <s v="Boston, United States"/>
    <s v="United States"/>
    <s v="On-site"/>
    <x v="3"/>
    <s v="5-8 yrs"/>
    <n v="159660"/>
    <x v="200"/>
    <s v="None"/>
    <s v="Master's"/>
    <n v="45452"/>
    <n v="2092"/>
    <n v="3922"/>
    <s v="No"/>
    <n v="4"/>
    <s v="0-50"/>
    <s v="Full-time"/>
    <s v="Yes"/>
  </r>
  <r>
    <s v="AIJOB00202"/>
    <x v="0"/>
    <x v="20"/>
    <s v="Finance"/>
    <s v="Chicago, United States"/>
    <s v="United States"/>
    <s v="On-site"/>
    <x v="1"/>
    <s v="8+ yrs"/>
    <n v="220188"/>
    <x v="201"/>
    <s v="None"/>
    <s v="Bachelor's"/>
    <n v="45431"/>
    <n v="540"/>
    <n v="3870"/>
    <s v="No"/>
    <n v="6"/>
    <s v="0-50"/>
    <s v="Full-time"/>
    <s v="No"/>
  </r>
  <r>
    <s v="AIJOB00203"/>
    <x v="12"/>
    <x v="8"/>
    <s v="Healthcare"/>
    <s v="Toronto, Canada"/>
    <s v="Canada"/>
    <s v="Hybrid"/>
    <x v="1"/>
    <s v="8+ yrs"/>
    <n v="238989"/>
    <x v="202"/>
    <s v="None"/>
    <s v="Master's"/>
    <n v="45690"/>
    <n v="2299"/>
    <n v="472"/>
    <s v="Maybe"/>
    <n v="6"/>
    <s v="1001-5000"/>
    <s v="Full-time"/>
    <s v="Yes"/>
  </r>
  <r>
    <s v="AIJOB00204"/>
    <x v="18"/>
    <x v="3"/>
    <s v="Retail"/>
    <s v="Dublin, Ireland"/>
    <s v="Ireland"/>
    <s v="Hybrid"/>
    <x v="0"/>
    <s v="0-2 yrs"/>
    <n v="83277"/>
    <x v="203"/>
    <s v="BLOOM"/>
    <s v="Master's"/>
    <n v="45587"/>
    <n v="1876"/>
    <n v="618"/>
    <s v="No"/>
    <n v="0"/>
    <s v="5000+"/>
    <s v="Contract"/>
    <s v="No"/>
  </r>
  <r>
    <s v="AIJOB00205"/>
    <x v="13"/>
    <x v="17"/>
    <s v="Energy"/>
    <s v="Dublin, Ireland"/>
    <s v="Ireland"/>
    <s v="On-site"/>
    <x v="2"/>
    <s v="2-5 yrs"/>
    <n v="82722"/>
    <x v="204"/>
    <s v="Mistral"/>
    <s v="Bachelor's"/>
    <n v="45728"/>
    <n v="1850"/>
    <n v="1661"/>
    <s v="No"/>
    <n v="2"/>
    <s v="0-50"/>
    <s v="Full-time"/>
    <s v="No"/>
  </r>
  <r>
    <s v="AIJOB00206"/>
    <x v="14"/>
    <x v="15"/>
    <s v="Finance"/>
    <s v="Tel Aviv, Israel"/>
    <s v="Israel"/>
    <s v="Remote"/>
    <x v="0"/>
    <s v="0-2 yrs"/>
    <n v="58183"/>
    <x v="205"/>
    <s v="Phi"/>
    <s v="PhD"/>
    <n v="45352"/>
    <n v="1547"/>
    <n v="3655"/>
    <s v="No"/>
    <n v="0"/>
    <s v="51-200"/>
    <s v="Full-time"/>
    <s v="No"/>
  </r>
  <r>
    <s v="AIJOB00207"/>
    <x v="18"/>
    <x v="28"/>
    <s v="Education"/>
    <s v="New York, United States"/>
    <s v="United States"/>
    <s v="On-site"/>
    <x v="3"/>
    <s v="5-8 yrs"/>
    <n v="163905"/>
    <x v="206"/>
    <s v="None"/>
    <s v="Bachelor's"/>
    <n v="45724"/>
    <n v="1208"/>
    <n v="18"/>
    <s v="No"/>
    <n v="4"/>
    <s v="201-1000"/>
    <s v="Full-time"/>
    <s v="Yes"/>
  </r>
  <r>
    <s v="AIJOB00208"/>
    <x v="0"/>
    <x v="4"/>
    <s v="Retail"/>
    <s v="Toronto, Canada"/>
    <s v="Canada"/>
    <s v="Hybrid"/>
    <x v="0"/>
    <s v="0-2 yrs"/>
    <n v="76473"/>
    <x v="207"/>
    <s v="None"/>
    <s v="Master's"/>
    <n v="45712"/>
    <n v="1080"/>
    <n v="2945"/>
    <s v="No"/>
    <n v="0"/>
    <s v="1001-5000"/>
    <s v="Full-time"/>
    <s v="No"/>
  </r>
  <r>
    <s v="AIJOB00209"/>
    <x v="12"/>
    <x v="14"/>
    <s v="Defense"/>
    <s v="Bangalore, India"/>
    <s v="India"/>
    <s v="Hybrid"/>
    <x v="0"/>
    <s v="0-2 yrs"/>
    <n v="76489"/>
    <x v="208"/>
    <s v="None"/>
    <s v="Master's"/>
    <n v="45593"/>
    <n v="2382"/>
    <n v="3209"/>
    <s v="Maybe"/>
    <n v="0"/>
    <s v="51-200"/>
    <s v="Full-time"/>
    <s v="Yes"/>
  </r>
  <r>
    <s v="AIJOB00210"/>
    <x v="3"/>
    <x v="6"/>
    <s v="Retail"/>
    <s v="Chicago, United States"/>
    <s v="United States"/>
    <s v="Hybrid"/>
    <x v="0"/>
    <s v="0-2 yrs"/>
    <n v="118544"/>
    <x v="209"/>
    <s v="None"/>
    <s v="Bachelor's"/>
    <n v="45602"/>
    <n v="1704"/>
    <n v="3985"/>
    <s v="No"/>
    <n v="0"/>
    <s v="51-200"/>
    <s v="Full-time"/>
    <s v="No"/>
  </r>
  <r>
    <s v="AIJOB00211"/>
    <x v="10"/>
    <x v="29"/>
    <s v="Healthcare"/>
    <s v="Stockholm, Sweden"/>
    <s v="Sweden"/>
    <s v="On-site"/>
    <x v="3"/>
    <s v="5-8 yrs"/>
    <n v="165414"/>
    <x v="210"/>
    <s v="None"/>
    <s v="Bootcamp/Self-taught"/>
    <n v="45656"/>
    <n v="1028"/>
    <n v="2073"/>
    <s v="No"/>
    <n v="4"/>
    <s v="201-1000"/>
    <s v="Contract"/>
    <s v="No"/>
  </r>
  <r>
    <s v="AIJOB00212"/>
    <x v="1"/>
    <x v="5"/>
    <s v="Finance"/>
    <s v="Zurich, Switzerland"/>
    <s v="Switzerland"/>
    <s v="Hybrid"/>
    <x v="1"/>
    <s v="8+ yrs"/>
    <n v="240880"/>
    <x v="211"/>
    <s v="None"/>
    <s v="Bachelor's"/>
    <n v="45633"/>
    <n v="895"/>
    <n v="227"/>
    <s v="No"/>
    <n v="6"/>
    <s v="51-200"/>
    <s v="Full-time"/>
    <s v="No"/>
  </r>
  <r>
    <s v="AIJOB00213"/>
    <x v="5"/>
    <x v="11"/>
    <s v="Defense"/>
    <s v="Berlin, Germany"/>
    <s v="Germany"/>
    <s v="On-site"/>
    <x v="3"/>
    <s v="5-8 yrs"/>
    <n v="175758"/>
    <x v="212"/>
    <s v="None"/>
    <s v="PhD"/>
    <n v="45645"/>
    <n v="1218"/>
    <n v="3050"/>
    <s v="No"/>
    <n v="4"/>
    <s v="1001-5000"/>
    <s v="Full-time"/>
    <s v="No"/>
  </r>
  <r>
    <s v="AIJOB00214"/>
    <x v="5"/>
    <x v="14"/>
    <s v="Retail"/>
    <s v="Chicago, United States"/>
    <s v="United States"/>
    <s v="Remote"/>
    <x v="0"/>
    <s v="0-2 yrs"/>
    <n v="78207"/>
    <x v="213"/>
    <s v="Command R"/>
    <s v="Bootcamp/Self-taught"/>
    <n v="45695"/>
    <n v="1806"/>
    <n v="3102"/>
    <s v="No"/>
    <n v="0"/>
    <s v="5000+"/>
    <s v="Full-time"/>
    <s v="No"/>
  </r>
  <r>
    <s v="AIJOB00215"/>
    <x v="9"/>
    <x v="0"/>
    <s v="Automotive"/>
    <s v="Bangalore, India"/>
    <s v="India"/>
    <s v="Remote"/>
    <x v="3"/>
    <s v="5-8 yrs"/>
    <n v="141487"/>
    <x v="214"/>
    <s v="GPT-4"/>
    <s v="Master's"/>
    <n v="45641"/>
    <n v="832"/>
    <n v="669"/>
    <s v="No"/>
    <n v="4"/>
    <s v="201-1000"/>
    <s v="Full-time"/>
    <s v="No"/>
  </r>
  <r>
    <s v="AIJOB00216"/>
    <x v="3"/>
    <x v="22"/>
    <s v="Education"/>
    <s v="Berlin, Germany"/>
    <s v="Germany"/>
    <s v="On-site"/>
    <x v="0"/>
    <s v="0-2 yrs"/>
    <n v="79563"/>
    <x v="215"/>
    <s v="None"/>
    <s v="PhD"/>
    <n v="45597"/>
    <n v="1766"/>
    <n v="308"/>
    <s v="No"/>
    <n v="0"/>
    <s v="201-1000"/>
    <s v="Full-time"/>
    <s v="No"/>
  </r>
  <r>
    <s v="AIJOB00217"/>
    <x v="10"/>
    <x v="26"/>
    <s v="Defense"/>
    <s v="Dublin, Ireland"/>
    <s v="Ireland"/>
    <s v="Remote"/>
    <x v="0"/>
    <s v="0-2 yrs"/>
    <n v="60262"/>
    <x v="216"/>
    <s v="Mistral"/>
    <s v="Master's"/>
    <n v="45570"/>
    <n v="336"/>
    <n v="479"/>
    <s v="No"/>
    <n v="0"/>
    <s v="1001-5000"/>
    <s v="Full-time"/>
    <s v="No"/>
  </r>
  <r>
    <s v="AIJOB00218"/>
    <x v="6"/>
    <x v="14"/>
    <s v="Government"/>
    <s v="New York, United States"/>
    <s v="United States"/>
    <s v="Hybrid"/>
    <x v="2"/>
    <s v="2-5 yrs"/>
    <n v="105310"/>
    <x v="217"/>
    <s v="Phi"/>
    <s v="Master's"/>
    <n v="45456"/>
    <n v="2383"/>
    <n v="1835"/>
    <s v="No"/>
    <n v="2"/>
    <s v="201-1000"/>
    <s v="Contract"/>
    <s v="Yes"/>
  </r>
  <r>
    <s v="AIJOB00219"/>
    <x v="10"/>
    <x v="16"/>
    <s v="Media"/>
    <s v="London, United Kingdom"/>
    <s v="United Kingdom"/>
    <s v="Remote"/>
    <x v="0"/>
    <s v="0-2 yrs"/>
    <n v="63884"/>
    <x v="218"/>
    <s v="None"/>
    <s v="PhD"/>
    <n v="45687"/>
    <n v="1142"/>
    <n v="2212"/>
    <s v="No"/>
    <n v="0"/>
    <s v="1001-5000"/>
    <s v="Full-time"/>
    <s v="No"/>
  </r>
  <r>
    <s v="AIJOB00220"/>
    <x v="3"/>
    <x v="7"/>
    <s v="Finance"/>
    <s v="Bangalore, India"/>
    <s v="India"/>
    <s v="Hybrid"/>
    <x v="0"/>
    <s v="0-2 yrs"/>
    <n v="71031"/>
    <x v="219"/>
    <s v="None"/>
    <s v="Master's"/>
    <n v="45311"/>
    <n v="1232"/>
    <n v="3741"/>
    <s v="No"/>
    <n v="0"/>
    <s v="1001-5000"/>
    <s v="Full-time"/>
    <s v="Yes"/>
  </r>
  <r>
    <s v="AIJOB00221"/>
    <x v="18"/>
    <x v="17"/>
    <s v="Finance"/>
    <s v="Chicago, United States"/>
    <s v="United States"/>
    <s v="Hybrid"/>
    <x v="0"/>
    <s v="0-2 yrs"/>
    <n v="99164"/>
    <x v="220"/>
    <s v="Grok"/>
    <s v="Master's"/>
    <n v="45565"/>
    <n v="2359"/>
    <n v="444"/>
    <s v="No"/>
    <n v="0"/>
    <s v="201-1000"/>
    <s v="Full-time"/>
    <s v="Yes"/>
  </r>
  <r>
    <s v="AIJOB00222"/>
    <x v="14"/>
    <x v="16"/>
    <s v="Energy"/>
    <s v="Chicago, United States"/>
    <s v="United States"/>
    <s v="On-site"/>
    <x v="1"/>
    <s v="8+ yrs"/>
    <n v="132778"/>
    <x v="221"/>
    <s v="None"/>
    <s v="Bachelor's"/>
    <n v="45307"/>
    <n v="890"/>
    <n v="1230"/>
    <s v="No"/>
    <n v="6"/>
    <s v="201-1000"/>
    <s v="Part-time"/>
    <s v="Yes"/>
  </r>
  <r>
    <s v="AIJOB00223"/>
    <x v="1"/>
    <x v="27"/>
    <s v="Healthcare"/>
    <s v="London, United Kingdom"/>
    <s v="United Kingdom"/>
    <s v="Remote"/>
    <x v="2"/>
    <s v="2-5 yrs"/>
    <n v="123587"/>
    <x v="222"/>
    <s v="Phi"/>
    <s v="Bachelor's"/>
    <n v="45585"/>
    <n v="1335"/>
    <n v="805"/>
    <s v="Yes"/>
    <n v="2"/>
    <s v="5000+"/>
    <s v="Contract"/>
    <s v="No"/>
  </r>
  <r>
    <s v="AIJOB00224"/>
    <x v="1"/>
    <x v="24"/>
    <s v="Government"/>
    <s v="Stockholm, Sweden"/>
    <s v="Sweden"/>
    <s v="Remote"/>
    <x v="1"/>
    <s v="8+ yrs"/>
    <n v="141942"/>
    <x v="223"/>
    <s v="None"/>
    <s v="Master's"/>
    <n v="45635"/>
    <n v="1260"/>
    <n v="419"/>
    <s v="No"/>
    <n v="6"/>
    <s v="0-50"/>
    <s v="Contract"/>
    <s v="Yes"/>
  </r>
  <r>
    <s v="AIJOB00225"/>
    <x v="14"/>
    <x v="19"/>
    <s v="Retail"/>
    <s v="Tokyo, Japan"/>
    <s v="Japan"/>
    <s v="Hybrid"/>
    <x v="3"/>
    <s v="5-8 yrs"/>
    <n v="137257"/>
    <x v="224"/>
    <s v="Llama"/>
    <s v="PhD"/>
    <n v="45647"/>
    <n v="2086"/>
    <n v="1143"/>
    <s v="No"/>
    <n v="4"/>
    <s v="51-200"/>
    <s v="Full-time"/>
    <s v="Yes"/>
  </r>
  <r>
    <s v="AIJOB00226"/>
    <x v="8"/>
    <x v="16"/>
    <s v="Healthcare"/>
    <s v="Bangalore, India"/>
    <s v="India"/>
    <s v="Remote"/>
    <x v="1"/>
    <s v="8+ yrs"/>
    <n v="239202"/>
    <x v="225"/>
    <s v="None"/>
    <s v="PhD"/>
    <n v="45448"/>
    <n v="1104"/>
    <n v="1088"/>
    <s v="No"/>
    <n v="6"/>
    <s v="0-50"/>
    <s v="Contract"/>
    <s v="No"/>
  </r>
  <r>
    <s v="AIJOB00227"/>
    <x v="10"/>
    <x v="27"/>
    <s v="Government"/>
    <s v="Zurich, Switzerland"/>
    <s v="Switzerland"/>
    <s v="Hybrid"/>
    <x v="0"/>
    <s v="0-2 yrs"/>
    <n v="70809"/>
    <x v="226"/>
    <s v="None"/>
    <s v="Master's"/>
    <n v="45685"/>
    <n v="1491"/>
    <n v="558"/>
    <s v="No"/>
    <n v="0"/>
    <s v="5000+"/>
    <s v="Full-time"/>
    <s v="Yes"/>
  </r>
  <r>
    <s v="AIJOB00228"/>
    <x v="13"/>
    <x v="27"/>
    <s v="Education"/>
    <s v="Tokyo, Japan"/>
    <s v="Japan"/>
    <s v="Hybrid"/>
    <x v="2"/>
    <s v="2-5 yrs"/>
    <n v="88660"/>
    <x v="227"/>
    <s v="None"/>
    <s v="Bootcamp/Self-taught"/>
    <n v="45679"/>
    <n v="465"/>
    <n v="906"/>
    <s v="No"/>
    <n v="2"/>
    <s v="51-200"/>
    <s v="Full-time"/>
    <s v="Yes"/>
  </r>
  <r>
    <s v="AIJOB00229"/>
    <x v="17"/>
    <x v="10"/>
    <s v="Automotive"/>
    <s v="Dublin, Ireland"/>
    <s v="Ireland"/>
    <s v="On-site"/>
    <x v="2"/>
    <s v="2-5 yrs"/>
    <n v="95836"/>
    <x v="228"/>
    <s v="Phi"/>
    <s v="PhD"/>
    <n v="45476"/>
    <n v="1378"/>
    <n v="2380"/>
    <s v="No"/>
    <n v="2"/>
    <s v="51-200"/>
    <s v="Full-time"/>
    <s v="Yes"/>
  </r>
  <r>
    <s v="AIJOB00230"/>
    <x v="12"/>
    <x v="18"/>
    <s v="Healthcare"/>
    <s v="Dublin, Ireland"/>
    <s v="Ireland"/>
    <s v="Remote"/>
    <x v="0"/>
    <s v="0-2 yrs"/>
    <n v="78562"/>
    <x v="229"/>
    <s v="Gemini"/>
    <s v="Bachelor's"/>
    <n v="45406"/>
    <n v="2407"/>
    <n v="2645"/>
    <s v="No"/>
    <n v="0"/>
    <s v="51-200"/>
    <s v="Full-time"/>
    <s v="Yes"/>
  </r>
  <r>
    <s v="AIJOB00231"/>
    <x v="0"/>
    <x v="15"/>
    <s v="Retail"/>
    <s v="Los Angeles, United States"/>
    <s v="United States"/>
    <s v="On-site"/>
    <x v="2"/>
    <s v="2-5 yrs"/>
    <n v="95538"/>
    <x v="230"/>
    <s v="BLOOM"/>
    <s v="Bachelor's"/>
    <n v="45660"/>
    <n v="959"/>
    <n v="561"/>
    <s v="No"/>
    <n v="2"/>
    <s v="0-50"/>
    <s v="Contract"/>
    <s v="Yes"/>
  </r>
  <r>
    <s v="AIJOB00232"/>
    <x v="15"/>
    <x v="26"/>
    <s v="Education"/>
    <s v="Toronto, Canada"/>
    <s v="Canada"/>
    <s v="Hybrid"/>
    <x v="3"/>
    <s v="5-8 yrs"/>
    <n v="155844"/>
    <x v="231"/>
    <s v="None"/>
    <s v="Master's"/>
    <n v="45499"/>
    <n v="2230"/>
    <n v="3562"/>
    <s v="No"/>
    <n v="4"/>
    <s v="51-200"/>
    <s v="Contract"/>
    <s v="No"/>
  </r>
  <r>
    <s v="AIJOB00233"/>
    <x v="12"/>
    <x v="9"/>
    <s v="Media"/>
    <s v="Tokyo, Japan"/>
    <s v="Japan"/>
    <s v="Hybrid"/>
    <x v="2"/>
    <s v="2-5 yrs"/>
    <n v="110902"/>
    <x v="232"/>
    <s v="Claude"/>
    <s v="Master's"/>
    <n v="45427"/>
    <n v="744"/>
    <n v="77"/>
    <s v="Yes"/>
    <n v="2"/>
    <s v="5000+"/>
    <s v="Full-time"/>
    <s v="No"/>
  </r>
  <r>
    <s v="AIJOB00234"/>
    <x v="6"/>
    <x v="8"/>
    <s v="Defense"/>
    <s v="Toronto, Canada"/>
    <s v="Canada"/>
    <s v="Hybrid"/>
    <x v="0"/>
    <s v="0-2 yrs"/>
    <n v="61789"/>
    <x v="233"/>
    <s v="Gemini"/>
    <s v="Master's"/>
    <n v="45606"/>
    <n v="304"/>
    <n v="3683"/>
    <s v="Maybe"/>
    <n v="0"/>
    <s v="1001-5000"/>
    <s v="Full-time"/>
    <s v="Yes"/>
  </r>
  <r>
    <s v="AIJOB00235"/>
    <x v="17"/>
    <x v="27"/>
    <s v="Automotive"/>
    <s v="Paris, France"/>
    <s v="France"/>
    <s v="On-site"/>
    <x v="1"/>
    <s v="8+ yrs"/>
    <n v="277181"/>
    <x v="234"/>
    <s v="BLOOM"/>
    <s v="Master's"/>
    <n v="45538"/>
    <n v="1252"/>
    <n v="3737"/>
    <s v="Maybe"/>
    <n v="6"/>
    <s v="201-1000"/>
    <s v="Full-time"/>
    <s v="No"/>
  </r>
  <r>
    <s v="AIJOB00236"/>
    <x v="2"/>
    <x v="10"/>
    <s v="Retail"/>
    <s v="San Francisco, United States"/>
    <s v="United States"/>
    <s v="Hybrid"/>
    <x v="2"/>
    <s v="2-5 yrs"/>
    <n v="122551"/>
    <x v="235"/>
    <s v="BLOOM"/>
    <s v="Master's"/>
    <n v="45696"/>
    <n v="1593"/>
    <n v="1684"/>
    <s v="No"/>
    <n v="2"/>
    <s v="51-200"/>
    <s v="Full-time"/>
    <s v="No"/>
  </r>
  <r>
    <s v="AIJOB00237"/>
    <x v="2"/>
    <x v="7"/>
    <s v="Education"/>
    <s v="Zurich, Switzerland"/>
    <s v="Switzerland"/>
    <s v="Remote"/>
    <x v="1"/>
    <s v="8+ yrs"/>
    <n v="127094"/>
    <x v="236"/>
    <s v="Phi"/>
    <s v="Bachelor's"/>
    <n v="45433"/>
    <n v="1556"/>
    <n v="2376"/>
    <s v="No"/>
    <n v="6"/>
    <s v="1001-5000"/>
    <s v="Contract"/>
    <s v="No"/>
  </r>
  <r>
    <s v="AIJOB00238"/>
    <x v="0"/>
    <x v="19"/>
    <s v="Energy"/>
    <s v="Bangalore, India"/>
    <s v="India"/>
    <s v="Hybrid"/>
    <x v="2"/>
    <s v="2-5 yrs"/>
    <n v="113691"/>
    <x v="237"/>
    <s v="None"/>
    <s v="Master's"/>
    <n v="45374"/>
    <n v="513"/>
    <n v="668"/>
    <s v="No"/>
    <n v="2"/>
    <s v="0-50"/>
    <s v="Contract"/>
    <s v="No"/>
  </r>
  <r>
    <s v="AIJOB00239"/>
    <x v="8"/>
    <x v="4"/>
    <s v="Defense"/>
    <s v="Seattle, United States"/>
    <s v="United States"/>
    <s v="Remote"/>
    <x v="1"/>
    <s v="8+ yrs"/>
    <n v="176175"/>
    <x v="238"/>
    <s v="None"/>
    <s v="Master's"/>
    <n v="45405"/>
    <n v="1473"/>
    <n v="2924"/>
    <s v="Maybe"/>
    <n v="6"/>
    <s v="0-50"/>
    <s v="Part-time"/>
    <s v="No"/>
  </r>
  <r>
    <s v="AIJOB00240"/>
    <x v="8"/>
    <x v="25"/>
    <s v="Healthcare"/>
    <s v="San Francisco, United States"/>
    <s v="United States"/>
    <s v="Remote"/>
    <x v="1"/>
    <s v="8+ yrs"/>
    <n v="230687"/>
    <x v="239"/>
    <s v="None"/>
    <s v="Master's"/>
    <n v="45628"/>
    <n v="1773"/>
    <n v="989"/>
    <s v="No"/>
    <n v="6"/>
    <s v="51-200"/>
    <s v="Full-time"/>
    <s v="Yes"/>
  </r>
  <r>
    <s v="AIJOB00241"/>
    <x v="11"/>
    <x v="7"/>
    <s v="Defense"/>
    <s v="Chicago, United States"/>
    <s v="United States"/>
    <s v="Remote"/>
    <x v="3"/>
    <s v="5-8 yrs"/>
    <n v="128601"/>
    <x v="240"/>
    <s v="None"/>
    <s v="Master's"/>
    <n v="45394"/>
    <n v="1432"/>
    <n v="936"/>
    <s v="No"/>
    <n v="4"/>
    <s v="51-200"/>
    <s v="Full-time"/>
    <s v="Yes"/>
  </r>
  <r>
    <s v="AIJOB00242"/>
    <x v="13"/>
    <x v="14"/>
    <s v="Defense"/>
    <s v="Toronto, Canada"/>
    <s v="Canada"/>
    <s v="Remote"/>
    <x v="3"/>
    <s v="5-8 yrs"/>
    <n v="146902"/>
    <x v="241"/>
    <s v="None"/>
    <s v="Bachelor's"/>
    <n v="45346"/>
    <n v="2113"/>
    <n v="3966"/>
    <s v="No"/>
    <n v="4"/>
    <s v="1001-5000"/>
    <s v="Contract"/>
    <s v="No"/>
  </r>
  <r>
    <s v="AIJOB00243"/>
    <x v="14"/>
    <x v="3"/>
    <s v="Retail"/>
    <s v="Zurich, Switzerland"/>
    <s v="Switzerland"/>
    <s v="On-site"/>
    <x v="1"/>
    <s v="8+ yrs"/>
    <n v="218179"/>
    <x v="242"/>
    <s v="Llama"/>
    <s v="PhD"/>
    <n v="45538"/>
    <n v="1989"/>
    <n v="3923"/>
    <s v="No"/>
    <n v="6"/>
    <s v="5000+"/>
    <s v="Full-time"/>
    <s v="No"/>
  </r>
  <r>
    <s v="AIJOB00244"/>
    <x v="7"/>
    <x v="21"/>
    <s v="Healthcare"/>
    <s v="Seattle, United States"/>
    <s v="United States"/>
    <s v="Remote"/>
    <x v="3"/>
    <s v="5-8 yrs"/>
    <n v="173375"/>
    <x v="243"/>
    <s v="Grok"/>
    <s v="Bootcamp/Self-taught"/>
    <n v="45675"/>
    <n v="1078"/>
    <n v="2053"/>
    <s v="No"/>
    <n v="4"/>
    <s v="51-200"/>
    <s v="Contract"/>
    <s v="No"/>
  </r>
  <r>
    <s v="AIJOB00245"/>
    <x v="9"/>
    <x v="24"/>
    <s v="Defense"/>
    <s v="Singapore"/>
    <s v="Singapore"/>
    <s v="On-site"/>
    <x v="2"/>
    <s v="2-5 yrs"/>
    <n v="86234"/>
    <x v="244"/>
    <s v="None"/>
    <s v="Bachelor's"/>
    <n v="45720"/>
    <n v="473"/>
    <n v="3483"/>
    <s v="No"/>
    <n v="2"/>
    <s v="5000+"/>
    <s v="Full-time"/>
    <s v="No"/>
  </r>
  <r>
    <s v="AIJOB00246"/>
    <x v="12"/>
    <x v="24"/>
    <s v="Energy"/>
    <s v="Tel Aviv, Israel"/>
    <s v="Israel"/>
    <s v="Remote"/>
    <x v="3"/>
    <s v="5-8 yrs"/>
    <n v="140968"/>
    <x v="245"/>
    <s v="BLOOM"/>
    <s v="Bachelor's"/>
    <n v="45683"/>
    <n v="1722"/>
    <n v="1622"/>
    <s v="Maybe"/>
    <n v="4"/>
    <s v="51-200"/>
    <s v="Full-time"/>
    <s v="Yes"/>
  </r>
  <r>
    <s v="AIJOB00247"/>
    <x v="10"/>
    <x v="20"/>
    <s v="Energy"/>
    <s v="Austin, United States"/>
    <s v="United States"/>
    <s v="Hybrid"/>
    <x v="1"/>
    <s v="8+ yrs"/>
    <n v="182901"/>
    <x v="246"/>
    <s v="Mistral"/>
    <s v="Bachelor's"/>
    <n v="45298"/>
    <n v="1403"/>
    <n v="1940"/>
    <s v="Maybe"/>
    <n v="6"/>
    <s v="201-1000"/>
    <s v="Full-time"/>
    <s v="No"/>
  </r>
  <r>
    <s v="AIJOB00248"/>
    <x v="9"/>
    <x v="12"/>
    <s v="Automotive"/>
    <s v="Boston, United States"/>
    <s v="United States"/>
    <s v="Remote"/>
    <x v="1"/>
    <s v="8+ yrs"/>
    <n v="176480"/>
    <x v="247"/>
    <s v="Claude"/>
    <s v="PhD"/>
    <n v="45497"/>
    <n v="2070"/>
    <n v="3517"/>
    <s v="No"/>
    <n v="6"/>
    <s v="51-200"/>
    <s v="Contract"/>
    <s v="No"/>
  </r>
  <r>
    <s v="AIJOB00249"/>
    <x v="8"/>
    <x v="17"/>
    <s v="Media"/>
    <s v="Toronto, Canada"/>
    <s v="Canada"/>
    <s v="Remote"/>
    <x v="0"/>
    <s v="0-2 yrs"/>
    <n v="92244"/>
    <x v="248"/>
    <s v="Grok"/>
    <s v="Bachelor's"/>
    <n v="45360"/>
    <n v="969"/>
    <n v="255"/>
    <s v="Yes"/>
    <n v="0"/>
    <s v="201-1000"/>
    <s v="Full-time"/>
    <s v="No"/>
  </r>
  <r>
    <s v="AIJOB00250"/>
    <x v="14"/>
    <x v="25"/>
    <s v="Retail"/>
    <s v="Amsterdam, Netherlands"/>
    <s v="Netherlands"/>
    <s v="Remote"/>
    <x v="3"/>
    <s v="5-8 yrs"/>
    <n v="160934"/>
    <x v="249"/>
    <s v="None"/>
    <s v="Master's"/>
    <n v="45578"/>
    <n v="1014"/>
    <n v="3206"/>
    <s v="No"/>
    <n v="4"/>
    <s v="201-1000"/>
    <s v="Full-time"/>
    <s v="No"/>
  </r>
  <r>
    <s v="AIJOB00251"/>
    <x v="14"/>
    <x v="0"/>
    <s v="Defense"/>
    <s v="Chicago, United States"/>
    <s v="United States"/>
    <s v="Hybrid"/>
    <x v="0"/>
    <s v="0-2 yrs"/>
    <n v="54112"/>
    <x v="250"/>
    <s v="None"/>
    <s v="Master's"/>
    <n v="45529"/>
    <n v="592"/>
    <n v="334"/>
    <s v="Yes"/>
    <n v="0"/>
    <s v="51-200"/>
    <s v="Full-time"/>
    <s v="No"/>
  </r>
  <r>
    <s v="AIJOB00252"/>
    <x v="2"/>
    <x v="27"/>
    <s v="Retail"/>
    <s v="Amsterdam, Netherlands"/>
    <s v="Netherlands"/>
    <s v="On-site"/>
    <x v="1"/>
    <s v="8+ yrs"/>
    <n v="233043"/>
    <x v="251"/>
    <s v="GPT-4"/>
    <s v="Master's"/>
    <n v="45691"/>
    <n v="627"/>
    <n v="872"/>
    <s v="Yes"/>
    <n v="6"/>
    <s v="0-50"/>
    <s v="Full-time"/>
    <s v="No"/>
  </r>
  <r>
    <s v="AIJOB00253"/>
    <x v="8"/>
    <x v="22"/>
    <s v="Retail"/>
    <s v="San Francisco, United States"/>
    <s v="United States"/>
    <s v="Hybrid"/>
    <x v="0"/>
    <s v="0-2 yrs"/>
    <n v="96739"/>
    <x v="252"/>
    <s v="BLOOM"/>
    <s v="Bachelor's"/>
    <n v="45560"/>
    <n v="1463"/>
    <n v="1825"/>
    <s v="No"/>
    <n v="0"/>
    <s v="51-200"/>
    <s v="Full-time"/>
    <s v="Yes"/>
  </r>
  <r>
    <s v="AIJOB00254"/>
    <x v="17"/>
    <x v="10"/>
    <s v="Defense"/>
    <s v="Austin, United States"/>
    <s v="United States"/>
    <s v="On-site"/>
    <x v="3"/>
    <s v="5-8 yrs"/>
    <n v="177876"/>
    <x v="253"/>
    <s v="Command R"/>
    <s v="Master's"/>
    <n v="45531"/>
    <n v="2486"/>
    <n v="1278"/>
    <s v="Maybe"/>
    <n v="4"/>
    <s v="1001-5000"/>
    <s v="Full-time"/>
    <s v="No"/>
  </r>
  <r>
    <s v="AIJOB00255"/>
    <x v="14"/>
    <x v="24"/>
    <s v="Energy"/>
    <s v="Boston, United States"/>
    <s v="United States"/>
    <s v="Remote"/>
    <x v="3"/>
    <s v="5-8 yrs"/>
    <n v="108977"/>
    <x v="254"/>
    <s v="Mistral"/>
    <s v="Bachelor's"/>
    <n v="45371"/>
    <n v="2314"/>
    <n v="3888"/>
    <s v="No"/>
    <n v="4"/>
    <s v="201-1000"/>
    <s v="Full-time"/>
    <s v="Yes"/>
  </r>
  <r>
    <s v="AIJOB00256"/>
    <x v="5"/>
    <x v="10"/>
    <s v="Media"/>
    <s v="San Francisco, United States"/>
    <s v="United States"/>
    <s v="Hybrid"/>
    <x v="2"/>
    <s v="2-5 yrs"/>
    <n v="100412"/>
    <x v="255"/>
    <s v="None"/>
    <s v="PhD"/>
    <n v="45388"/>
    <n v="1203"/>
    <n v="1087"/>
    <s v="Yes"/>
    <n v="2"/>
    <s v="51-200"/>
    <s v="Full-time"/>
    <s v="No"/>
  </r>
  <r>
    <s v="AIJOB00257"/>
    <x v="6"/>
    <x v="10"/>
    <s v="Education"/>
    <s v="Sydney, Australia"/>
    <s v="Australia"/>
    <s v="Hybrid"/>
    <x v="3"/>
    <s v="5-8 yrs"/>
    <n v="184206"/>
    <x v="256"/>
    <s v="Claude"/>
    <s v="Master's"/>
    <n v="45564"/>
    <n v="1414"/>
    <n v="2879"/>
    <s v="No"/>
    <n v="4"/>
    <s v="51-200"/>
    <s v="Full-time"/>
    <s v="Yes"/>
  </r>
  <r>
    <s v="AIJOB00258"/>
    <x v="1"/>
    <x v="15"/>
    <s v="Education"/>
    <s v="Toronto, Canada"/>
    <s v="Canada"/>
    <s v="On-site"/>
    <x v="0"/>
    <s v="0-2 yrs"/>
    <n v="61083"/>
    <x v="257"/>
    <s v="Gemini"/>
    <s v="Bachelor's"/>
    <n v="45436"/>
    <n v="2021"/>
    <n v="1286"/>
    <s v="No"/>
    <n v="0"/>
    <s v="1001-5000"/>
    <s v="Part-time"/>
    <s v="No"/>
  </r>
  <r>
    <s v="AIJOB00259"/>
    <x v="17"/>
    <x v="20"/>
    <s v="Retail"/>
    <s v="Seattle, United States"/>
    <s v="United States"/>
    <s v="On-site"/>
    <x v="3"/>
    <s v="5-8 yrs"/>
    <n v="161983"/>
    <x v="258"/>
    <s v="Command R"/>
    <s v="PhD"/>
    <n v="45366"/>
    <n v="1324"/>
    <n v="3357"/>
    <s v="No"/>
    <n v="4"/>
    <s v="0-50"/>
    <s v="Full-time"/>
    <s v="No"/>
  </r>
  <r>
    <s v="AIJOB00260"/>
    <x v="7"/>
    <x v="24"/>
    <s v="Media"/>
    <s v="Bangalore, India"/>
    <s v="India"/>
    <s v="Remote"/>
    <x v="1"/>
    <s v="8+ yrs"/>
    <n v="227886"/>
    <x v="259"/>
    <s v="Llama"/>
    <s v="Master's"/>
    <n v="45309"/>
    <n v="1578"/>
    <n v="3844"/>
    <s v="No"/>
    <n v="6"/>
    <s v="0-50"/>
    <s v="Contract"/>
    <s v="No"/>
  </r>
  <r>
    <s v="AIJOB00261"/>
    <x v="0"/>
    <x v="9"/>
    <s v="Media"/>
    <s v="Tel Aviv, Israel"/>
    <s v="Israel"/>
    <s v="Hybrid"/>
    <x v="3"/>
    <s v="5-8 yrs"/>
    <n v="124972"/>
    <x v="260"/>
    <s v="None"/>
    <s v="Master's"/>
    <n v="45393"/>
    <n v="985"/>
    <n v="3263"/>
    <s v="No"/>
    <n v="4"/>
    <s v="0-50"/>
    <s v="Full-time"/>
    <s v="Yes"/>
  </r>
  <r>
    <s v="AIJOB00262"/>
    <x v="17"/>
    <x v="1"/>
    <s v="Technology"/>
    <s v="Tokyo, Japan"/>
    <s v="Japan"/>
    <s v="Remote"/>
    <x v="1"/>
    <s v="8+ yrs"/>
    <n v="197857"/>
    <x v="261"/>
    <s v="Grok"/>
    <s v="Bachelor's"/>
    <n v="45686"/>
    <n v="930"/>
    <n v="2882"/>
    <s v="No"/>
    <n v="6"/>
    <s v="0-50"/>
    <s v="Full-time"/>
    <s v="Yes"/>
  </r>
  <r>
    <s v="AIJOB00263"/>
    <x v="1"/>
    <x v="7"/>
    <s v="Automotive"/>
    <s v="Bangalore, India"/>
    <s v="India"/>
    <s v="Hybrid"/>
    <x v="3"/>
    <s v="5-8 yrs"/>
    <n v="62485"/>
    <x v="262"/>
    <s v="None"/>
    <s v="Master's"/>
    <n v="45302"/>
    <n v="2307"/>
    <n v="787"/>
    <s v="No"/>
    <n v="4"/>
    <s v="5000+"/>
    <s v="Full-time"/>
    <s v="No"/>
  </r>
  <r>
    <s v="AIJOB00264"/>
    <x v="2"/>
    <x v="4"/>
    <s v="Healthcare"/>
    <s v="Seattle, United States"/>
    <s v="United States"/>
    <s v="Hybrid"/>
    <x v="2"/>
    <s v="2-5 yrs"/>
    <n v="89717"/>
    <x v="263"/>
    <s v="Phi"/>
    <s v="PhD"/>
    <n v="45522"/>
    <n v="1791"/>
    <n v="3188"/>
    <s v="No"/>
    <n v="2"/>
    <s v="201-1000"/>
    <s v="Contract"/>
    <s v="No"/>
  </r>
  <r>
    <s v="AIJOB00265"/>
    <x v="1"/>
    <x v="3"/>
    <s v="Finance"/>
    <s v="Singapore"/>
    <s v="Singapore"/>
    <s v="Hybrid"/>
    <x v="1"/>
    <s v="8+ yrs"/>
    <n v="190907"/>
    <x v="264"/>
    <s v="Phi"/>
    <s v="Bachelor's"/>
    <n v="45546"/>
    <n v="831"/>
    <n v="741"/>
    <s v="Maybe"/>
    <n v="6"/>
    <s v="51-200"/>
    <s v="Full-time"/>
    <s v="Yes"/>
  </r>
  <r>
    <s v="AIJOB00266"/>
    <x v="17"/>
    <x v="10"/>
    <s v="Education"/>
    <s v="Tel Aviv, Israel"/>
    <s v="Israel"/>
    <s v="Hybrid"/>
    <x v="1"/>
    <s v="8+ yrs"/>
    <n v="155079"/>
    <x v="265"/>
    <s v="Llama"/>
    <s v="Bootcamp/Self-taught"/>
    <n v="45651"/>
    <n v="627"/>
    <n v="1927"/>
    <s v="No"/>
    <n v="6"/>
    <s v="0-50"/>
    <s v="Full-time"/>
    <s v="No"/>
  </r>
  <r>
    <s v="AIJOB00267"/>
    <x v="19"/>
    <x v="7"/>
    <s v="Media"/>
    <s v="New York, United States"/>
    <s v="United States"/>
    <s v="On-site"/>
    <x v="3"/>
    <s v="5-8 yrs"/>
    <n v="194075"/>
    <x v="266"/>
    <s v="Llama"/>
    <s v="Bachelor's"/>
    <n v="45428"/>
    <n v="2455"/>
    <n v="2700"/>
    <s v="Yes"/>
    <n v="4"/>
    <s v="51-200"/>
    <s v="Full-time"/>
    <s v="No"/>
  </r>
  <r>
    <s v="AIJOB00268"/>
    <x v="0"/>
    <x v="3"/>
    <s v="Healthcare"/>
    <s v="Bangalore, India"/>
    <s v="India"/>
    <s v="Hybrid"/>
    <x v="3"/>
    <s v="5-8 yrs"/>
    <n v="111386"/>
    <x v="267"/>
    <s v="Falcon"/>
    <s v="Master's"/>
    <n v="45510"/>
    <n v="2114"/>
    <n v="3833"/>
    <s v="No"/>
    <n v="4"/>
    <s v="201-1000"/>
    <s v="Full-time"/>
    <s v="No"/>
  </r>
  <r>
    <s v="AIJOB00269"/>
    <x v="16"/>
    <x v="18"/>
    <s v="Media"/>
    <s v="Los Angeles, United States"/>
    <s v="United States"/>
    <s v="On-site"/>
    <x v="1"/>
    <s v="8+ yrs"/>
    <n v="184158"/>
    <x v="268"/>
    <s v="Command R"/>
    <s v="Bachelor's"/>
    <n v="45457"/>
    <n v="441"/>
    <n v="1175"/>
    <s v="No"/>
    <n v="6"/>
    <s v="5000+"/>
    <s v="Full-time"/>
    <s v="No"/>
  </r>
  <r>
    <s v="AIJOB00270"/>
    <x v="13"/>
    <x v="29"/>
    <s v="Energy"/>
    <s v="Paris, France"/>
    <s v="France"/>
    <s v="Remote"/>
    <x v="3"/>
    <s v="5-8 yrs"/>
    <n v="153529"/>
    <x v="269"/>
    <s v="None"/>
    <s v="Master's"/>
    <n v="45453"/>
    <n v="933"/>
    <n v="396"/>
    <s v="Yes"/>
    <n v="4"/>
    <s v="201-1000"/>
    <s v="Full-time"/>
    <s v="Yes"/>
  </r>
  <r>
    <s v="AIJOB00271"/>
    <x v="12"/>
    <x v="12"/>
    <s v="Government"/>
    <s v="Paris, France"/>
    <s v="France"/>
    <s v="Remote"/>
    <x v="2"/>
    <s v="2-5 yrs"/>
    <n v="138537"/>
    <x v="270"/>
    <s v="None"/>
    <s v="PhD"/>
    <n v="45445"/>
    <n v="1008"/>
    <n v="2009"/>
    <s v="No"/>
    <n v="2"/>
    <s v="5000+"/>
    <s v="Contract"/>
    <s v="Yes"/>
  </r>
  <r>
    <s v="AIJOB00272"/>
    <x v="5"/>
    <x v="0"/>
    <s v="Media"/>
    <s v="Zurich, Switzerland"/>
    <s v="Switzerland"/>
    <s v="Remote"/>
    <x v="0"/>
    <s v="0-2 yrs"/>
    <n v="51908"/>
    <x v="271"/>
    <s v="None"/>
    <s v="Bootcamp/Self-taught"/>
    <n v="45691"/>
    <n v="793"/>
    <n v="3572"/>
    <s v="No"/>
    <n v="0"/>
    <s v="5000+"/>
    <s v="Part-time"/>
    <s v="No"/>
  </r>
  <r>
    <s v="AIJOB00273"/>
    <x v="11"/>
    <x v="18"/>
    <s v="Defense"/>
    <s v="Sydney, Australia"/>
    <s v="Australia"/>
    <s v="Hybrid"/>
    <x v="0"/>
    <s v="0-2 yrs"/>
    <n v="84655"/>
    <x v="272"/>
    <s v="BLOOM"/>
    <s v="Master's"/>
    <n v="45455"/>
    <n v="668"/>
    <n v="919"/>
    <s v="No"/>
    <n v="0"/>
    <s v="1001-5000"/>
    <s v="Full-time"/>
    <s v="Yes"/>
  </r>
  <r>
    <s v="AIJOB00274"/>
    <x v="8"/>
    <x v="24"/>
    <s v="Media"/>
    <s v="Stockholm, Sweden"/>
    <s v="Sweden"/>
    <s v="Remote"/>
    <x v="0"/>
    <s v="0-2 yrs"/>
    <n v="70128"/>
    <x v="273"/>
    <s v="Llama"/>
    <s v="Master's"/>
    <n v="45335"/>
    <n v="1103"/>
    <n v="2308"/>
    <s v="No"/>
    <n v="0"/>
    <s v="5000+"/>
    <s v="Full-time"/>
    <s v="Yes"/>
  </r>
  <r>
    <s v="AIJOB00275"/>
    <x v="19"/>
    <x v="6"/>
    <s v="Automotive"/>
    <s v="Zurich, Switzerland"/>
    <s v="Switzerland"/>
    <s v="Remote"/>
    <x v="3"/>
    <s v="5-8 yrs"/>
    <n v="123499"/>
    <x v="274"/>
    <s v="GPT-4"/>
    <s v="Bachelor's"/>
    <n v="45635"/>
    <n v="1732"/>
    <n v="2534"/>
    <s v="No"/>
    <n v="4"/>
    <s v="1001-5000"/>
    <s v="Full-time"/>
    <s v="Yes"/>
  </r>
  <r>
    <s v="AIJOB00276"/>
    <x v="7"/>
    <x v="29"/>
    <s v="Healthcare"/>
    <s v="Boston, United States"/>
    <s v="United States"/>
    <s v="Remote"/>
    <x v="2"/>
    <s v="2-5 yrs"/>
    <n v="119149"/>
    <x v="275"/>
    <s v="Grok"/>
    <s v="PhD"/>
    <n v="45664"/>
    <n v="1478"/>
    <n v="66"/>
    <s v="No"/>
    <n v="2"/>
    <s v="0-50"/>
    <s v="Full-time"/>
    <s v="No"/>
  </r>
  <r>
    <s v="AIJOB00277"/>
    <x v="18"/>
    <x v="3"/>
    <s v="Technology"/>
    <s v="Stockholm, Sweden"/>
    <s v="Sweden"/>
    <s v="Remote"/>
    <x v="2"/>
    <s v="2-5 yrs"/>
    <n v="113941"/>
    <x v="276"/>
    <s v="None"/>
    <s v="Master's"/>
    <n v="45571"/>
    <n v="2457"/>
    <n v="188"/>
    <s v="No"/>
    <n v="2"/>
    <s v="0-50"/>
    <s v="Full-time"/>
    <s v="No"/>
  </r>
  <r>
    <s v="AIJOB00278"/>
    <x v="6"/>
    <x v="29"/>
    <s v="Government"/>
    <s v="New York, United States"/>
    <s v="United States"/>
    <s v="Hybrid"/>
    <x v="3"/>
    <s v="5-8 yrs"/>
    <n v="133794"/>
    <x v="277"/>
    <s v="None"/>
    <s v="PhD"/>
    <n v="45296"/>
    <n v="378"/>
    <n v="1208"/>
    <s v="Maybe"/>
    <n v="4"/>
    <s v="1001-5000"/>
    <s v="Full-time"/>
    <s v="Yes"/>
  </r>
  <r>
    <s v="AIJOB00279"/>
    <x v="0"/>
    <x v="7"/>
    <s v="Technology"/>
    <s v="Tel Aviv, Israel"/>
    <s v="Israel"/>
    <s v="On-site"/>
    <x v="3"/>
    <s v="5-8 yrs"/>
    <n v="151884"/>
    <x v="278"/>
    <s v="None"/>
    <s v="Bachelor's"/>
    <n v="45564"/>
    <n v="2468"/>
    <n v="1258"/>
    <s v="No"/>
    <n v="4"/>
    <s v="1001-5000"/>
    <s v="Contract"/>
    <s v="Yes"/>
  </r>
  <r>
    <s v="AIJOB00280"/>
    <x v="16"/>
    <x v="7"/>
    <s v="Automotive"/>
    <s v="Sydney, Australia"/>
    <s v="Australia"/>
    <s v="Remote"/>
    <x v="3"/>
    <s v="5-8 yrs"/>
    <n v="139596"/>
    <x v="279"/>
    <s v="GPT-4"/>
    <s v="Bachelor's"/>
    <n v="45548"/>
    <n v="1699"/>
    <n v="3684"/>
    <s v="No"/>
    <n v="4"/>
    <s v="51-200"/>
    <s v="Full-time"/>
    <s v="Yes"/>
  </r>
  <r>
    <s v="AIJOB00281"/>
    <x v="6"/>
    <x v="2"/>
    <s v="Energy"/>
    <s v="Los Angeles, United States"/>
    <s v="United States"/>
    <s v="Remote"/>
    <x v="2"/>
    <s v="2-5 yrs"/>
    <n v="112247"/>
    <x v="280"/>
    <s v="Gemini"/>
    <s v="Master's"/>
    <n v="45370"/>
    <n v="1128"/>
    <n v="3543"/>
    <s v="Yes"/>
    <n v="2"/>
    <s v="5000+"/>
    <s v="Contract"/>
    <s v="Yes"/>
  </r>
  <r>
    <s v="AIJOB00282"/>
    <x v="3"/>
    <x v="12"/>
    <s v="Technology"/>
    <s v="Austin, United States"/>
    <s v="United States"/>
    <s v="Remote"/>
    <x v="2"/>
    <s v="2-5 yrs"/>
    <n v="123110"/>
    <x v="281"/>
    <s v="None"/>
    <s v="PhD"/>
    <n v="45564"/>
    <n v="1995"/>
    <n v="3947"/>
    <s v="No"/>
    <n v="2"/>
    <s v="1001-5000"/>
    <s v="Contract"/>
    <s v="No"/>
  </r>
  <r>
    <s v="AIJOB00283"/>
    <x v="2"/>
    <x v="9"/>
    <s v="Defense"/>
    <s v="Singapore"/>
    <s v="Singapore"/>
    <s v="Remote"/>
    <x v="2"/>
    <s v="2-5 yrs"/>
    <n v="141403"/>
    <x v="282"/>
    <s v="Grok"/>
    <s v="Bachelor's"/>
    <n v="45386"/>
    <n v="406"/>
    <n v="1481"/>
    <s v="Yes"/>
    <n v="2"/>
    <s v="1001-5000"/>
    <s v="Full-time"/>
    <s v="No"/>
  </r>
  <r>
    <s v="AIJOB00284"/>
    <x v="8"/>
    <x v="15"/>
    <s v="Automotive"/>
    <s v="Toronto, Canada"/>
    <s v="Canada"/>
    <s v="On-site"/>
    <x v="3"/>
    <s v="5-8 yrs"/>
    <n v="116578"/>
    <x v="283"/>
    <s v="None"/>
    <s v="Bootcamp/Self-taught"/>
    <n v="45543"/>
    <n v="1211"/>
    <n v="3050"/>
    <s v="No"/>
    <n v="4"/>
    <s v="51-200"/>
    <s v="Contract"/>
    <s v="Yes"/>
  </r>
  <r>
    <s v="AIJOB00285"/>
    <x v="14"/>
    <x v="12"/>
    <s v="Government"/>
    <s v="Austin, United States"/>
    <s v="United States"/>
    <s v="On-site"/>
    <x v="1"/>
    <s v="8+ yrs"/>
    <n v="276789"/>
    <x v="284"/>
    <s v="BLOOM"/>
    <s v="Master's"/>
    <n v="45746"/>
    <n v="2496"/>
    <n v="2161"/>
    <s v="No"/>
    <n v="6"/>
    <s v="0-50"/>
    <s v="Full-time"/>
    <s v="No"/>
  </r>
  <r>
    <s v="AIJOB00286"/>
    <x v="17"/>
    <x v="17"/>
    <s v="Retail"/>
    <s v="Dublin, Ireland"/>
    <s v="Ireland"/>
    <s v="Hybrid"/>
    <x v="2"/>
    <s v="2-5 yrs"/>
    <n v="71348"/>
    <x v="285"/>
    <s v="None"/>
    <s v="Bachelor's"/>
    <n v="45668"/>
    <n v="1930"/>
    <n v="3632"/>
    <s v="No"/>
    <n v="2"/>
    <s v="201-1000"/>
    <s v="Full-time"/>
    <s v="Yes"/>
  </r>
  <r>
    <s v="AIJOB00287"/>
    <x v="6"/>
    <x v="23"/>
    <s v="Energy"/>
    <s v="Dublin, Ireland"/>
    <s v="Ireland"/>
    <s v="On-site"/>
    <x v="0"/>
    <s v="0-2 yrs"/>
    <n v="68087"/>
    <x v="286"/>
    <s v="None"/>
    <s v="Bachelor's"/>
    <n v="45529"/>
    <n v="1993"/>
    <n v="1334"/>
    <s v="No"/>
    <n v="0"/>
    <s v="51-200"/>
    <s v="Full-time"/>
    <s v="No"/>
  </r>
  <r>
    <s v="AIJOB00288"/>
    <x v="9"/>
    <x v="10"/>
    <s v="Government"/>
    <s v="Seattle, United States"/>
    <s v="United States"/>
    <s v="Remote"/>
    <x v="1"/>
    <s v="8+ yrs"/>
    <n v="221179"/>
    <x v="287"/>
    <s v="Command R"/>
    <s v="Bachelor's"/>
    <n v="45646"/>
    <n v="1873"/>
    <n v="2987"/>
    <s v="No"/>
    <n v="6"/>
    <s v="5000+"/>
    <s v="Full-time"/>
    <s v="Yes"/>
  </r>
  <r>
    <s v="AIJOB00289"/>
    <x v="1"/>
    <x v="22"/>
    <s v="Education"/>
    <s v="New York, United States"/>
    <s v="United States"/>
    <s v="Hybrid"/>
    <x v="1"/>
    <s v="8+ yrs"/>
    <n v="210115"/>
    <x v="288"/>
    <s v="Mistral"/>
    <s v="Bachelor's"/>
    <n v="45463"/>
    <n v="1040"/>
    <n v="491"/>
    <s v="Maybe"/>
    <n v="6"/>
    <s v="51-200"/>
    <s v="Full-time"/>
    <s v="No"/>
  </r>
  <r>
    <s v="AIJOB00290"/>
    <x v="13"/>
    <x v="3"/>
    <s v="Education"/>
    <s v="Tel Aviv, Israel"/>
    <s v="Israel"/>
    <s v="On-site"/>
    <x v="1"/>
    <s v="8+ yrs"/>
    <n v="177582"/>
    <x v="289"/>
    <s v="Grok"/>
    <s v="Master's"/>
    <n v="45570"/>
    <n v="2109"/>
    <n v="335"/>
    <s v="No"/>
    <n v="6"/>
    <s v="0-50"/>
    <s v="Full-time"/>
    <s v="No"/>
  </r>
  <r>
    <s v="AIJOB00291"/>
    <x v="6"/>
    <x v="22"/>
    <s v="Government"/>
    <s v="New York, United States"/>
    <s v="United States"/>
    <s v="Remote"/>
    <x v="2"/>
    <s v="2-5 yrs"/>
    <n v="105879"/>
    <x v="290"/>
    <s v="None"/>
    <s v="Bootcamp/Self-taught"/>
    <n v="45320"/>
    <n v="500"/>
    <n v="456"/>
    <s v="No"/>
    <n v="2"/>
    <s v="51-200"/>
    <s v="Full-time"/>
    <s v="Yes"/>
  </r>
  <r>
    <s v="AIJOB00292"/>
    <x v="6"/>
    <x v="14"/>
    <s v="Finance"/>
    <s v="Bangalore, India"/>
    <s v="India"/>
    <s v="Hybrid"/>
    <x v="2"/>
    <s v="2-5 yrs"/>
    <n v="100238"/>
    <x v="291"/>
    <s v="BLOOM"/>
    <s v="PhD"/>
    <n v="45476"/>
    <n v="565"/>
    <n v="1209"/>
    <s v="No"/>
    <n v="2"/>
    <s v="0-50"/>
    <s v="Full-time"/>
    <s v="Yes"/>
  </r>
  <r>
    <s v="AIJOB00293"/>
    <x v="10"/>
    <x v="29"/>
    <s v="Automotive"/>
    <s v="Dublin, Ireland"/>
    <s v="Ireland"/>
    <s v="Remote"/>
    <x v="1"/>
    <s v="8+ yrs"/>
    <n v="178782"/>
    <x v="292"/>
    <s v="Grok"/>
    <s v="Master's"/>
    <n v="45399"/>
    <n v="1596"/>
    <n v="1073"/>
    <s v="No"/>
    <n v="6"/>
    <s v="5000+"/>
    <s v="Full-time"/>
    <s v="Yes"/>
  </r>
  <r>
    <s v="AIJOB00294"/>
    <x v="12"/>
    <x v="15"/>
    <s v="Finance"/>
    <s v="Dublin, Ireland"/>
    <s v="Ireland"/>
    <s v="Hybrid"/>
    <x v="1"/>
    <s v="8+ yrs"/>
    <n v="230585"/>
    <x v="293"/>
    <s v="None"/>
    <s v="Bachelor's"/>
    <n v="45546"/>
    <n v="783"/>
    <n v="3030"/>
    <s v="No"/>
    <n v="6"/>
    <s v="5000+"/>
    <s v="Part-time"/>
    <s v="Yes"/>
  </r>
  <r>
    <s v="AIJOB00295"/>
    <x v="18"/>
    <x v="22"/>
    <s v="Automotive"/>
    <s v="Stockholm, Sweden"/>
    <s v="Sweden"/>
    <s v="On-site"/>
    <x v="3"/>
    <s v="5-8 yrs"/>
    <n v="159639"/>
    <x v="294"/>
    <s v="Claude"/>
    <s v="Master's"/>
    <n v="45400"/>
    <n v="1626"/>
    <n v="3151"/>
    <s v="Yes"/>
    <n v="4"/>
    <s v="201-1000"/>
    <s v="Full-time"/>
    <s v="No"/>
  </r>
  <r>
    <s v="AIJOB00296"/>
    <x v="6"/>
    <x v="10"/>
    <s v="Education"/>
    <s v="Toronto, Canada"/>
    <s v="Canada"/>
    <s v="Remote"/>
    <x v="0"/>
    <s v="0-2 yrs"/>
    <n v="61269"/>
    <x v="295"/>
    <s v="Gemini"/>
    <s v="PhD"/>
    <n v="45718"/>
    <n v="2499"/>
    <n v="3679"/>
    <s v="No"/>
    <n v="0"/>
    <s v="1001-5000"/>
    <s v="Part-time"/>
    <s v="Yes"/>
  </r>
  <r>
    <s v="AIJOB00297"/>
    <x v="10"/>
    <x v="21"/>
    <s v="Technology"/>
    <s v="Zurich, Switzerland"/>
    <s v="Switzerland"/>
    <s v="Hybrid"/>
    <x v="3"/>
    <s v="5-8 yrs"/>
    <n v="174289"/>
    <x v="296"/>
    <s v="Gemini"/>
    <s v="Master's"/>
    <n v="45453"/>
    <n v="1836"/>
    <n v="2576"/>
    <s v="No"/>
    <n v="4"/>
    <s v="51-200"/>
    <s v="Full-time"/>
    <s v="Yes"/>
  </r>
  <r>
    <s v="AIJOB00298"/>
    <x v="6"/>
    <x v="28"/>
    <s v="Education"/>
    <s v="Sydney, Australia"/>
    <s v="Australia"/>
    <s v="Hybrid"/>
    <x v="0"/>
    <s v="0-2 yrs"/>
    <n v="73871"/>
    <x v="297"/>
    <s v="Llama"/>
    <s v="PhD"/>
    <n v="45453"/>
    <n v="1539"/>
    <n v="895"/>
    <s v="No"/>
    <n v="0"/>
    <s v="51-200"/>
    <s v="Full-time"/>
    <s v="No"/>
  </r>
  <r>
    <s v="AIJOB00299"/>
    <x v="9"/>
    <x v="5"/>
    <s v="Automotive"/>
    <s v="Bangalore, India"/>
    <s v="India"/>
    <s v="Hybrid"/>
    <x v="0"/>
    <s v="0-2 yrs"/>
    <n v="80242"/>
    <x v="298"/>
    <s v="None"/>
    <s v="PhD"/>
    <n v="45701"/>
    <n v="886"/>
    <n v="3161"/>
    <s v="Maybe"/>
    <n v="0"/>
    <s v="5000+"/>
    <s v="Full-time"/>
    <s v="Yes"/>
  </r>
  <r>
    <s v="AIJOB00300"/>
    <x v="17"/>
    <x v="25"/>
    <s v="Finance"/>
    <s v="Chicago, United States"/>
    <s v="United States"/>
    <s v="Hybrid"/>
    <x v="1"/>
    <s v="8+ yrs"/>
    <n v="222666"/>
    <x v="299"/>
    <s v="None"/>
    <s v="Master's"/>
    <n v="45559"/>
    <n v="488"/>
    <n v="432"/>
    <s v="No"/>
    <n v="6"/>
    <s v="201-1000"/>
    <s v="Full-time"/>
    <s v="No"/>
  </r>
  <r>
    <s v="AIJOB00301"/>
    <x v="9"/>
    <x v="15"/>
    <s v="Defense"/>
    <s v="Singapore"/>
    <s v="Singapore"/>
    <s v="Remote"/>
    <x v="3"/>
    <s v="5-8 yrs"/>
    <n v="127617"/>
    <x v="300"/>
    <s v="Claude"/>
    <s v="Master's"/>
    <n v="45433"/>
    <n v="719"/>
    <n v="856"/>
    <s v="No"/>
    <n v="4"/>
    <s v="5000+"/>
    <s v="Full-time"/>
    <s v="Yes"/>
  </r>
  <r>
    <s v="AIJOB00302"/>
    <x v="5"/>
    <x v="11"/>
    <s v="Media"/>
    <s v="Toronto, Canada"/>
    <s v="Canada"/>
    <s v="Remote"/>
    <x v="2"/>
    <s v="2-5 yrs"/>
    <n v="98908"/>
    <x v="301"/>
    <s v="GPT-4"/>
    <s v="Bachelor's"/>
    <n v="45605"/>
    <n v="2046"/>
    <n v="1615"/>
    <s v="Yes"/>
    <n v="2"/>
    <s v="5000+"/>
    <s v="Contract"/>
    <s v="No"/>
  </r>
  <r>
    <s v="AIJOB00303"/>
    <x v="14"/>
    <x v="29"/>
    <s v="Education"/>
    <s v="Sydney, Australia"/>
    <s v="Australia"/>
    <s v="Remote"/>
    <x v="3"/>
    <s v="5-8 yrs"/>
    <n v="170176"/>
    <x v="302"/>
    <s v="None"/>
    <s v="Bachelor's"/>
    <n v="45393"/>
    <n v="1571"/>
    <n v="2813"/>
    <s v="No"/>
    <n v="4"/>
    <s v="1001-5000"/>
    <s v="Full-time"/>
    <s v="No"/>
  </r>
  <r>
    <s v="AIJOB00304"/>
    <x v="3"/>
    <x v="24"/>
    <s v="Finance"/>
    <s v="Boston, United States"/>
    <s v="United States"/>
    <s v="Remote"/>
    <x v="3"/>
    <s v="5-8 yrs"/>
    <n v="166479"/>
    <x v="303"/>
    <s v="Claude"/>
    <s v="Master's"/>
    <n v="45650"/>
    <n v="2189"/>
    <n v="3474"/>
    <s v="Yes"/>
    <n v="4"/>
    <s v="201-1000"/>
    <s v="Full-time"/>
    <s v="Yes"/>
  </r>
  <r>
    <s v="AIJOB00305"/>
    <x v="0"/>
    <x v="0"/>
    <s v="Retail"/>
    <s v="London, United Kingdom"/>
    <s v="United Kingdom"/>
    <s v="Remote"/>
    <x v="1"/>
    <s v="8+ yrs"/>
    <n v="199247"/>
    <x v="304"/>
    <s v="Grok"/>
    <s v="Master's"/>
    <n v="45624"/>
    <n v="951"/>
    <n v="3999"/>
    <s v="No"/>
    <n v="6"/>
    <s v="0-50"/>
    <s v="Full-time"/>
    <s v="No"/>
  </r>
  <r>
    <s v="AIJOB00306"/>
    <x v="12"/>
    <x v="11"/>
    <s v="Defense"/>
    <s v="Los Angeles, United States"/>
    <s v="United States"/>
    <s v="Hybrid"/>
    <x v="1"/>
    <s v="8+ yrs"/>
    <n v="204223"/>
    <x v="305"/>
    <s v="Command R"/>
    <s v="Master's"/>
    <n v="45467"/>
    <n v="1632"/>
    <n v="2283"/>
    <s v="Yes"/>
    <n v="6"/>
    <s v="1001-5000"/>
    <s v="Full-time"/>
    <s v="No"/>
  </r>
  <r>
    <s v="AIJOB00307"/>
    <x v="4"/>
    <x v="8"/>
    <s v="Defense"/>
    <s v="Tokyo, Japan"/>
    <s v="Japan"/>
    <s v="Hybrid"/>
    <x v="0"/>
    <s v="0-2 yrs"/>
    <n v="86098"/>
    <x v="306"/>
    <s v="Gemini"/>
    <s v="Bootcamp/Self-taught"/>
    <n v="45486"/>
    <n v="300"/>
    <n v="3110"/>
    <s v="Yes"/>
    <n v="0"/>
    <s v="51-200"/>
    <s v="Full-time"/>
    <s v="Yes"/>
  </r>
  <r>
    <s v="AIJOB00308"/>
    <x v="6"/>
    <x v="29"/>
    <s v="Government"/>
    <s v="Singapore"/>
    <s v="Singapore"/>
    <s v="Remote"/>
    <x v="1"/>
    <s v="8+ yrs"/>
    <n v="178703"/>
    <x v="307"/>
    <s v="None"/>
    <s v="Bootcamp/Self-taught"/>
    <n v="45741"/>
    <n v="333"/>
    <n v="2514"/>
    <s v="Maybe"/>
    <n v="6"/>
    <s v="1001-5000"/>
    <s v="Contract"/>
    <s v="No"/>
  </r>
  <r>
    <s v="AIJOB00309"/>
    <x v="17"/>
    <x v="4"/>
    <s v="Government"/>
    <s v="Stockholm, Sweden"/>
    <s v="Sweden"/>
    <s v="On-site"/>
    <x v="3"/>
    <s v="5-8 yrs"/>
    <n v="164771"/>
    <x v="308"/>
    <s v="None"/>
    <s v="PhD"/>
    <n v="45292"/>
    <n v="1963"/>
    <n v="1572"/>
    <s v="No"/>
    <n v="4"/>
    <s v="51-200"/>
    <s v="Full-time"/>
    <s v="No"/>
  </r>
  <r>
    <s v="AIJOB00310"/>
    <x v="9"/>
    <x v="12"/>
    <s v="Education"/>
    <s v="Boston, United States"/>
    <s v="United States"/>
    <s v="On-site"/>
    <x v="1"/>
    <s v="8+ yrs"/>
    <n v="192721"/>
    <x v="309"/>
    <s v="Gemini"/>
    <s v="Master's"/>
    <n v="45370"/>
    <n v="856"/>
    <n v="356"/>
    <s v="Yes"/>
    <n v="6"/>
    <s v="1001-5000"/>
    <s v="Contract"/>
    <s v="No"/>
  </r>
  <r>
    <s v="AIJOB00311"/>
    <x v="6"/>
    <x v="15"/>
    <s v="Defense"/>
    <s v="Tokyo, Japan"/>
    <s v="Japan"/>
    <s v="Remote"/>
    <x v="1"/>
    <s v="8+ yrs"/>
    <n v="192163"/>
    <x v="310"/>
    <s v="Grok"/>
    <s v="Master's"/>
    <n v="45552"/>
    <n v="1269"/>
    <n v="2926"/>
    <s v="No"/>
    <n v="6"/>
    <s v="1001-5000"/>
    <s v="Part-time"/>
    <s v="No"/>
  </r>
  <r>
    <s v="AIJOB00312"/>
    <x v="17"/>
    <x v="16"/>
    <s v="Automotive"/>
    <s v="Zurich, Switzerland"/>
    <s v="Switzerland"/>
    <s v="Hybrid"/>
    <x v="0"/>
    <s v="0-2 yrs"/>
    <n v="83844"/>
    <x v="311"/>
    <s v="Phi"/>
    <s v="Master's"/>
    <n v="45480"/>
    <n v="620"/>
    <n v="2153"/>
    <s v="Maybe"/>
    <n v="0"/>
    <s v="0-50"/>
    <s v="Full-time"/>
    <s v="No"/>
  </r>
  <r>
    <s v="AIJOB00313"/>
    <x v="4"/>
    <x v="0"/>
    <s v="Government"/>
    <s v="Tokyo, Japan"/>
    <s v="Japan"/>
    <s v="Remote"/>
    <x v="3"/>
    <s v="5-8 yrs"/>
    <n v="172286"/>
    <x v="312"/>
    <s v="None"/>
    <s v="Bootcamp/Self-taught"/>
    <n v="45467"/>
    <n v="1506"/>
    <n v="1194"/>
    <s v="Yes"/>
    <n v="4"/>
    <s v="5000+"/>
    <s v="Contract"/>
    <s v="No"/>
  </r>
  <r>
    <s v="AIJOB00314"/>
    <x v="12"/>
    <x v="25"/>
    <s v="Technology"/>
    <s v="New York, United States"/>
    <s v="United States"/>
    <s v="Hybrid"/>
    <x v="3"/>
    <s v="5-8 yrs"/>
    <n v="171964"/>
    <x v="313"/>
    <s v="None"/>
    <s v="Bachelor's"/>
    <n v="45588"/>
    <n v="637"/>
    <n v="529"/>
    <s v="No"/>
    <n v="4"/>
    <s v="201-1000"/>
    <s v="Full-time"/>
    <s v="No"/>
  </r>
  <r>
    <s v="AIJOB00315"/>
    <x v="2"/>
    <x v="21"/>
    <s v="Retail"/>
    <s v="San Francisco, United States"/>
    <s v="United States"/>
    <s v="Hybrid"/>
    <x v="3"/>
    <s v="5-8 yrs"/>
    <n v="185247"/>
    <x v="314"/>
    <s v="Gemini"/>
    <s v="Master's"/>
    <n v="45601"/>
    <n v="2460"/>
    <n v="3540"/>
    <s v="Yes"/>
    <n v="4"/>
    <s v="0-50"/>
    <s v="Part-time"/>
    <s v="No"/>
  </r>
  <r>
    <s v="AIJOB00316"/>
    <x v="3"/>
    <x v="17"/>
    <s v="Automotive"/>
    <s v="Los Angeles, United States"/>
    <s v="United States"/>
    <s v="Hybrid"/>
    <x v="1"/>
    <s v="8+ yrs"/>
    <n v="200756"/>
    <x v="315"/>
    <s v="None"/>
    <s v="PhD"/>
    <n v="45413"/>
    <n v="775"/>
    <n v="225"/>
    <s v="Yes"/>
    <n v="6"/>
    <s v="1001-5000"/>
    <s v="Full-time"/>
    <s v="No"/>
  </r>
  <r>
    <s v="AIJOB00317"/>
    <x v="1"/>
    <x v="18"/>
    <s v="Media"/>
    <s v="Chicago, United States"/>
    <s v="United States"/>
    <s v="Hybrid"/>
    <x v="2"/>
    <s v="2-5 yrs"/>
    <n v="123502"/>
    <x v="316"/>
    <s v="None"/>
    <s v="Master's"/>
    <n v="45491"/>
    <n v="2471"/>
    <n v="2807"/>
    <s v="Maybe"/>
    <n v="2"/>
    <s v="0-50"/>
    <s v="Contract"/>
    <s v="No"/>
  </r>
  <r>
    <s v="AIJOB00318"/>
    <x v="19"/>
    <x v="12"/>
    <s v="Defense"/>
    <s v="Austin, United States"/>
    <s v="United States"/>
    <s v="Remote"/>
    <x v="3"/>
    <s v="5-8 yrs"/>
    <n v="141622"/>
    <x v="317"/>
    <s v="Llama"/>
    <s v="PhD"/>
    <n v="45702"/>
    <n v="2429"/>
    <n v="1392"/>
    <s v="No"/>
    <n v="4"/>
    <s v="51-200"/>
    <s v="Full-time"/>
    <s v="Yes"/>
  </r>
  <r>
    <s v="AIJOB00319"/>
    <x v="13"/>
    <x v="21"/>
    <s v="Retail"/>
    <s v="San Francisco, United States"/>
    <s v="United States"/>
    <s v="Remote"/>
    <x v="0"/>
    <s v="0-2 yrs"/>
    <n v="74084"/>
    <x v="318"/>
    <s v="Mistral"/>
    <s v="Bachelor's"/>
    <n v="45560"/>
    <n v="676"/>
    <n v="242"/>
    <s v="Maybe"/>
    <n v="0"/>
    <s v="51-200"/>
    <s v="Part-time"/>
    <s v="No"/>
  </r>
  <r>
    <s v="AIJOB00320"/>
    <x v="0"/>
    <x v="10"/>
    <s v="Education"/>
    <s v="Tokyo, Japan"/>
    <s v="Japan"/>
    <s v="Remote"/>
    <x v="0"/>
    <s v="0-2 yrs"/>
    <n v="68360"/>
    <x v="319"/>
    <s v="Claude"/>
    <s v="Bootcamp/Self-taught"/>
    <n v="45628"/>
    <n v="1432"/>
    <n v="3161"/>
    <s v="No"/>
    <n v="0"/>
    <s v="201-1000"/>
    <s v="Full-time"/>
    <s v="No"/>
  </r>
  <r>
    <s v="AIJOB00321"/>
    <x v="2"/>
    <x v="25"/>
    <s v="Media"/>
    <s v="Chicago, United States"/>
    <s v="United States"/>
    <s v="Remote"/>
    <x v="0"/>
    <s v="0-2 yrs"/>
    <n v="71222"/>
    <x v="320"/>
    <s v="Llama"/>
    <s v="Bachelor's"/>
    <n v="45322"/>
    <n v="2315"/>
    <n v="454"/>
    <s v="Yes"/>
    <n v="0"/>
    <s v="1001-5000"/>
    <s v="Full-time"/>
    <s v="No"/>
  </r>
  <r>
    <s v="AIJOB00322"/>
    <x v="14"/>
    <x v="15"/>
    <s v="Technology"/>
    <s v="London, United Kingdom"/>
    <s v="United Kingdom"/>
    <s v="Remote"/>
    <x v="3"/>
    <s v="5-8 yrs"/>
    <n v="166069"/>
    <x v="321"/>
    <s v="None"/>
    <s v="Master's"/>
    <n v="45328"/>
    <n v="1391"/>
    <n v="630"/>
    <s v="No"/>
    <n v="4"/>
    <s v="1001-5000"/>
    <s v="Full-time"/>
    <s v="No"/>
  </r>
  <r>
    <s v="AIJOB00323"/>
    <x v="8"/>
    <x v="11"/>
    <s v="Defense"/>
    <s v="Los Angeles, United States"/>
    <s v="United States"/>
    <s v="Remote"/>
    <x v="1"/>
    <s v="8+ yrs"/>
    <n v="170544"/>
    <x v="322"/>
    <s v="Command R"/>
    <s v="Master's"/>
    <n v="45664"/>
    <n v="1770"/>
    <n v="1375"/>
    <s v="No"/>
    <n v="6"/>
    <s v="1001-5000"/>
    <s v="Full-time"/>
    <s v="No"/>
  </r>
  <r>
    <s v="AIJOB00324"/>
    <x v="4"/>
    <x v="10"/>
    <s v="Retail"/>
    <s v="Stockholm, Sweden"/>
    <s v="Sweden"/>
    <s v="On-site"/>
    <x v="3"/>
    <s v="5-8 yrs"/>
    <n v="206494"/>
    <x v="323"/>
    <s v="None"/>
    <s v="Bachelor's"/>
    <n v="45466"/>
    <n v="461"/>
    <n v="3972"/>
    <s v="No"/>
    <n v="4"/>
    <s v="51-200"/>
    <s v="Full-time"/>
    <s v="Yes"/>
  </r>
  <r>
    <s v="AIJOB00325"/>
    <x v="0"/>
    <x v="2"/>
    <s v="Retail"/>
    <s v="Tel Aviv, Israel"/>
    <s v="Israel"/>
    <s v="Remote"/>
    <x v="3"/>
    <s v="5-8 yrs"/>
    <n v="122837"/>
    <x v="324"/>
    <s v="None"/>
    <s v="Master's"/>
    <n v="45615"/>
    <n v="558"/>
    <n v="3257"/>
    <s v="No"/>
    <n v="4"/>
    <s v="201-1000"/>
    <s v="Full-time"/>
    <s v="No"/>
  </r>
  <r>
    <s v="AIJOB00326"/>
    <x v="14"/>
    <x v="3"/>
    <s v="Energy"/>
    <s v="New York, United States"/>
    <s v="United States"/>
    <s v="Remote"/>
    <x v="0"/>
    <s v="0-2 yrs"/>
    <n v="54701"/>
    <x v="325"/>
    <s v="None"/>
    <s v="Master's"/>
    <n v="45464"/>
    <n v="2497"/>
    <n v="620"/>
    <s v="No"/>
    <n v="0"/>
    <s v="51-200"/>
    <s v="Part-time"/>
    <s v="Yes"/>
  </r>
  <r>
    <s v="AIJOB00327"/>
    <x v="3"/>
    <x v="10"/>
    <s v="Technology"/>
    <s v="San Francisco, United States"/>
    <s v="United States"/>
    <s v="Hybrid"/>
    <x v="1"/>
    <s v="8+ yrs"/>
    <n v="241691"/>
    <x v="326"/>
    <s v="Gemini"/>
    <s v="Bootcamp/Self-taught"/>
    <n v="45608"/>
    <n v="698"/>
    <n v="1878"/>
    <s v="No"/>
    <n v="6"/>
    <s v="5000+"/>
    <s v="Full-time"/>
    <s v="No"/>
  </r>
  <r>
    <s v="AIJOB00328"/>
    <x v="0"/>
    <x v="1"/>
    <s v="Finance"/>
    <s v="Tokyo, Japan"/>
    <s v="Japan"/>
    <s v="Hybrid"/>
    <x v="1"/>
    <s v="8+ yrs"/>
    <n v="228499"/>
    <x v="327"/>
    <s v="BLOOM"/>
    <s v="Bootcamp/Self-taught"/>
    <n v="45404"/>
    <n v="862"/>
    <n v="1327"/>
    <s v="No"/>
    <n v="6"/>
    <s v="51-200"/>
    <s v="Contract"/>
    <s v="No"/>
  </r>
  <r>
    <s v="AIJOB00329"/>
    <x v="18"/>
    <x v="17"/>
    <s v="Healthcare"/>
    <s v="London, United Kingdom"/>
    <s v="United Kingdom"/>
    <s v="Remote"/>
    <x v="0"/>
    <s v="0-2 yrs"/>
    <n v="77863"/>
    <x v="328"/>
    <s v="Grok"/>
    <s v="Bachelor's"/>
    <n v="45679"/>
    <n v="1840"/>
    <n v="3195"/>
    <s v="Yes"/>
    <n v="0"/>
    <s v="1001-5000"/>
    <s v="Full-time"/>
    <s v="Yes"/>
  </r>
  <r>
    <s v="AIJOB00330"/>
    <x v="4"/>
    <x v="9"/>
    <s v="Healthcare"/>
    <s v="Los Angeles, United States"/>
    <s v="United States"/>
    <s v="Hybrid"/>
    <x v="3"/>
    <s v="5-8 yrs"/>
    <n v="166965"/>
    <x v="329"/>
    <s v="BLOOM"/>
    <s v="Master's"/>
    <n v="45697"/>
    <n v="454"/>
    <n v="2452"/>
    <s v="Yes"/>
    <n v="4"/>
    <s v="1001-5000"/>
    <s v="Full-time"/>
    <s v="Yes"/>
  </r>
  <r>
    <s v="AIJOB00331"/>
    <x v="5"/>
    <x v="7"/>
    <s v="Energy"/>
    <s v="Los Angeles, United States"/>
    <s v="United States"/>
    <s v="Remote"/>
    <x v="3"/>
    <s v="5-8 yrs"/>
    <n v="149669"/>
    <x v="330"/>
    <s v="None"/>
    <s v="Bachelor's"/>
    <n v="45412"/>
    <n v="1152"/>
    <n v="1142"/>
    <s v="Yes"/>
    <n v="4"/>
    <s v="0-50"/>
    <s v="Contract"/>
    <s v="No"/>
  </r>
  <r>
    <s v="AIJOB00332"/>
    <x v="8"/>
    <x v="1"/>
    <s v="Defense"/>
    <s v="Toronto, Canada"/>
    <s v="Canada"/>
    <s v="Remote"/>
    <x v="1"/>
    <s v="8+ yrs"/>
    <n v="167698"/>
    <x v="331"/>
    <s v="Mistral"/>
    <s v="PhD"/>
    <n v="45314"/>
    <n v="2156"/>
    <n v="187"/>
    <s v="Yes"/>
    <n v="6"/>
    <s v="0-50"/>
    <s v="Part-time"/>
    <s v="Yes"/>
  </r>
  <r>
    <s v="AIJOB00333"/>
    <x v="13"/>
    <x v="1"/>
    <s v="Retail"/>
    <s v="Dublin, Ireland"/>
    <s v="Ireland"/>
    <s v="Remote"/>
    <x v="1"/>
    <s v="8+ yrs"/>
    <n v="202728"/>
    <x v="332"/>
    <s v="None"/>
    <s v="PhD"/>
    <n v="45412"/>
    <n v="1635"/>
    <n v="942"/>
    <s v="Yes"/>
    <n v="6"/>
    <s v="1001-5000"/>
    <s v="Contract"/>
    <s v="Yes"/>
  </r>
  <r>
    <s v="AIJOB00334"/>
    <x v="7"/>
    <x v="12"/>
    <s v="Retail"/>
    <s v="Tel Aviv, Israel"/>
    <s v="Israel"/>
    <s v="Hybrid"/>
    <x v="0"/>
    <s v="0-2 yrs"/>
    <n v="61467"/>
    <x v="333"/>
    <s v="Command R"/>
    <s v="Master's"/>
    <n v="45319"/>
    <n v="1404"/>
    <n v="838"/>
    <s v="No"/>
    <n v="0"/>
    <s v="0-50"/>
    <s v="Full-time"/>
    <s v="Yes"/>
  </r>
  <r>
    <s v="AIJOB00335"/>
    <x v="3"/>
    <x v="10"/>
    <s v="Defense"/>
    <s v="Bangalore, India"/>
    <s v="India"/>
    <s v="Hybrid"/>
    <x v="0"/>
    <s v="0-2 yrs"/>
    <n v="82286"/>
    <x v="334"/>
    <s v="None"/>
    <s v="Bootcamp/Self-taught"/>
    <n v="45379"/>
    <n v="1240"/>
    <n v="364"/>
    <s v="No"/>
    <n v="0"/>
    <s v="5000+"/>
    <s v="Full-time"/>
    <s v="No"/>
  </r>
  <r>
    <s v="AIJOB00336"/>
    <x v="12"/>
    <x v="27"/>
    <s v="Defense"/>
    <s v="Bangalore, India"/>
    <s v="India"/>
    <s v="Remote"/>
    <x v="1"/>
    <s v="8+ yrs"/>
    <n v="194705"/>
    <x v="335"/>
    <s v="Grok"/>
    <s v="PhD"/>
    <n v="45665"/>
    <n v="2011"/>
    <n v="191"/>
    <s v="Yes"/>
    <n v="6"/>
    <s v="1001-5000"/>
    <s v="Contract"/>
    <s v="No"/>
  </r>
  <r>
    <s v="AIJOB00337"/>
    <x v="19"/>
    <x v="23"/>
    <s v="Media"/>
    <s v="Tel Aviv, Israel"/>
    <s v="Israel"/>
    <s v="On-site"/>
    <x v="1"/>
    <s v="8+ yrs"/>
    <n v="170282"/>
    <x v="336"/>
    <s v="GPT-4"/>
    <s v="Bootcamp/Self-taught"/>
    <n v="45648"/>
    <n v="843"/>
    <n v="1478"/>
    <s v="No"/>
    <n v="6"/>
    <s v="0-50"/>
    <s v="Full-time"/>
    <s v="No"/>
  </r>
  <r>
    <s v="AIJOB00338"/>
    <x v="15"/>
    <x v="28"/>
    <s v="Education"/>
    <s v="Zurich, Switzerland"/>
    <s v="Switzerland"/>
    <s v="Hybrid"/>
    <x v="1"/>
    <s v="8+ yrs"/>
    <n v="188430"/>
    <x v="337"/>
    <s v="None"/>
    <s v="PhD"/>
    <n v="45304"/>
    <n v="305"/>
    <n v="3534"/>
    <s v="No"/>
    <n v="6"/>
    <s v="1001-5000"/>
    <s v="Contract"/>
    <s v="Yes"/>
  </r>
  <r>
    <s v="AIJOB00339"/>
    <x v="17"/>
    <x v="12"/>
    <s v="Technology"/>
    <s v="Los Angeles, United States"/>
    <s v="United States"/>
    <s v="Hybrid"/>
    <x v="3"/>
    <s v="5-8 yrs"/>
    <n v="161149"/>
    <x v="338"/>
    <s v="None"/>
    <s v="Master's"/>
    <n v="45649"/>
    <n v="1790"/>
    <n v="3647"/>
    <s v="Yes"/>
    <n v="4"/>
    <s v="1001-5000"/>
    <s v="Full-time"/>
    <s v="No"/>
  </r>
  <r>
    <s v="AIJOB00340"/>
    <x v="16"/>
    <x v="9"/>
    <s v="Energy"/>
    <s v="Toronto, Canada"/>
    <s v="Canada"/>
    <s v="Hybrid"/>
    <x v="3"/>
    <s v="5-8 yrs"/>
    <n v="134779"/>
    <x v="339"/>
    <s v="Falcon"/>
    <s v="Bachelor's"/>
    <n v="45652"/>
    <n v="2259"/>
    <n v="3030"/>
    <s v="Maybe"/>
    <n v="4"/>
    <s v="5000+"/>
    <s v="Contract"/>
    <s v="No"/>
  </r>
  <r>
    <s v="AIJOB00341"/>
    <x v="7"/>
    <x v="14"/>
    <s v="Finance"/>
    <s v="Boston, United States"/>
    <s v="United States"/>
    <s v="On-site"/>
    <x v="3"/>
    <s v="5-8 yrs"/>
    <n v="127800"/>
    <x v="340"/>
    <s v="Phi"/>
    <s v="Master's"/>
    <n v="45549"/>
    <n v="2478"/>
    <n v="2788"/>
    <s v="No"/>
    <n v="4"/>
    <s v="201-1000"/>
    <s v="Full-time"/>
    <s v="Yes"/>
  </r>
  <r>
    <s v="AIJOB00342"/>
    <x v="4"/>
    <x v="24"/>
    <s v="Healthcare"/>
    <s v="Bangalore, India"/>
    <s v="India"/>
    <s v="Remote"/>
    <x v="2"/>
    <s v="2-5 yrs"/>
    <n v="114825"/>
    <x v="341"/>
    <s v="Gemini"/>
    <s v="PhD"/>
    <n v="45492"/>
    <n v="2432"/>
    <n v="3909"/>
    <s v="No"/>
    <n v="2"/>
    <s v="201-1000"/>
    <s v="Full-time"/>
    <s v="No"/>
  </r>
  <r>
    <s v="AIJOB00343"/>
    <x v="3"/>
    <x v="14"/>
    <s v="Energy"/>
    <s v="Boston, United States"/>
    <s v="United States"/>
    <s v="Remote"/>
    <x v="1"/>
    <s v="8+ yrs"/>
    <n v="208818"/>
    <x v="342"/>
    <s v="Llama"/>
    <s v="Master's"/>
    <n v="45669"/>
    <n v="1986"/>
    <n v="2380"/>
    <s v="No"/>
    <n v="6"/>
    <s v="201-1000"/>
    <s v="Full-time"/>
    <s v="No"/>
  </r>
  <r>
    <s v="AIJOB00344"/>
    <x v="10"/>
    <x v="6"/>
    <s v="Technology"/>
    <s v="Bangalore, India"/>
    <s v="India"/>
    <s v="Remote"/>
    <x v="1"/>
    <s v="8+ yrs"/>
    <n v="181750"/>
    <x v="343"/>
    <s v="Mistral"/>
    <s v="Bachelor's"/>
    <n v="45359"/>
    <n v="1464"/>
    <n v="1877"/>
    <s v="Maybe"/>
    <n v="6"/>
    <s v="5000+"/>
    <s v="Part-time"/>
    <s v="No"/>
  </r>
  <r>
    <s v="AIJOB00345"/>
    <x v="5"/>
    <x v="2"/>
    <s v="Healthcare"/>
    <s v="Toronto, Canada"/>
    <s v="Canada"/>
    <s v="On-site"/>
    <x v="2"/>
    <s v="2-5 yrs"/>
    <n v="100673"/>
    <x v="344"/>
    <s v="None"/>
    <s v="Master's"/>
    <n v="45646"/>
    <n v="1814"/>
    <n v="765"/>
    <s v="Yes"/>
    <n v="2"/>
    <s v="0-50"/>
    <s v="Full-time"/>
    <s v="No"/>
  </r>
  <r>
    <s v="AIJOB00346"/>
    <x v="3"/>
    <x v="27"/>
    <s v="Technology"/>
    <s v="Bangalore, India"/>
    <s v="India"/>
    <s v="Hybrid"/>
    <x v="3"/>
    <s v="5-8 yrs"/>
    <n v="156265"/>
    <x v="345"/>
    <s v="None"/>
    <s v="Bootcamp/Self-taught"/>
    <n v="45375"/>
    <n v="2378"/>
    <n v="1366"/>
    <s v="No"/>
    <n v="4"/>
    <s v="201-1000"/>
    <s v="Full-time"/>
    <s v="Yes"/>
  </r>
  <r>
    <s v="AIJOB00347"/>
    <x v="12"/>
    <x v="11"/>
    <s v="Automotive"/>
    <s v="Zurich, Switzerland"/>
    <s v="Switzerland"/>
    <s v="Hybrid"/>
    <x v="2"/>
    <s v="2-5 yrs"/>
    <n v="81327"/>
    <x v="346"/>
    <s v="Phi"/>
    <s v="Bachelor's"/>
    <n v="45518"/>
    <n v="1202"/>
    <n v="1836"/>
    <s v="No"/>
    <n v="2"/>
    <s v="201-1000"/>
    <s v="Full-time"/>
    <s v="No"/>
  </r>
  <r>
    <s v="AIJOB00348"/>
    <x v="12"/>
    <x v="25"/>
    <s v="Defense"/>
    <s v="Amsterdam, Netherlands"/>
    <s v="Netherlands"/>
    <s v="Remote"/>
    <x v="2"/>
    <s v="2-5 yrs"/>
    <n v="82132"/>
    <x v="347"/>
    <s v="Falcon"/>
    <s v="Master's"/>
    <n v="45334"/>
    <n v="529"/>
    <n v="3730"/>
    <s v="No"/>
    <n v="2"/>
    <s v="1001-5000"/>
    <s v="Full-time"/>
    <s v="No"/>
  </r>
  <r>
    <s v="AIJOB00349"/>
    <x v="16"/>
    <x v="12"/>
    <s v="Media"/>
    <s v="Boston, United States"/>
    <s v="United States"/>
    <s v="Remote"/>
    <x v="1"/>
    <s v="8+ yrs"/>
    <n v="174136"/>
    <x v="348"/>
    <s v="Command R"/>
    <s v="PhD"/>
    <n v="45468"/>
    <n v="1482"/>
    <n v="680"/>
    <s v="No"/>
    <n v="6"/>
    <s v="1001-5000"/>
    <s v="Contract"/>
    <s v="Yes"/>
  </r>
  <r>
    <s v="AIJOB00350"/>
    <x v="12"/>
    <x v="0"/>
    <s v="Healthcare"/>
    <s v="Berlin, Germany"/>
    <s v="Germany"/>
    <s v="Remote"/>
    <x v="0"/>
    <s v="0-2 yrs"/>
    <n v="67310"/>
    <x v="349"/>
    <s v="Mistral"/>
    <s v="Master's"/>
    <n v="45535"/>
    <n v="860"/>
    <n v="826"/>
    <s v="Yes"/>
    <n v="0"/>
    <s v="1001-5000"/>
    <s v="Full-time"/>
    <s v="No"/>
  </r>
  <r>
    <s v="AIJOB00351"/>
    <x v="5"/>
    <x v="11"/>
    <s v="Automotive"/>
    <s v="Tel Aviv, Israel"/>
    <s v="Israel"/>
    <s v="Hybrid"/>
    <x v="3"/>
    <s v="5-8 yrs"/>
    <n v="158394"/>
    <x v="350"/>
    <s v="Command R"/>
    <s v="Master's"/>
    <n v="45529"/>
    <n v="2314"/>
    <n v="3724"/>
    <s v="No"/>
    <n v="4"/>
    <s v="51-200"/>
    <s v="Full-time"/>
    <s v="No"/>
  </r>
  <r>
    <s v="AIJOB00352"/>
    <x v="8"/>
    <x v="14"/>
    <s v="Finance"/>
    <s v="Tokyo, Japan"/>
    <s v="Japan"/>
    <s v="Hybrid"/>
    <x v="0"/>
    <s v="0-2 yrs"/>
    <n v="88589"/>
    <x v="351"/>
    <s v="None"/>
    <s v="Master's"/>
    <n v="45589"/>
    <n v="371"/>
    <n v="3472"/>
    <s v="No"/>
    <n v="0"/>
    <s v="5000+"/>
    <s v="Full-time"/>
    <s v="Yes"/>
  </r>
  <r>
    <s v="AIJOB00353"/>
    <x v="3"/>
    <x v="5"/>
    <s v="Retail"/>
    <s v="Toronto, Canada"/>
    <s v="Canada"/>
    <s v="Remote"/>
    <x v="3"/>
    <s v="5-8 yrs"/>
    <n v="173156"/>
    <x v="352"/>
    <s v="Claude"/>
    <s v="PhD"/>
    <n v="45476"/>
    <n v="1050"/>
    <n v="3142"/>
    <s v="Yes"/>
    <n v="4"/>
    <s v="51-200"/>
    <s v="Full-time"/>
    <s v="No"/>
  </r>
  <r>
    <s v="AIJOB00354"/>
    <x v="5"/>
    <x v="0"/>
    <s v="Government"/>
    <s v="Boston, United States"/>
    <s v="United States"/>
    <s v="Remote"/>
    <x v="3"/>
    <s v="5-8 yrs"/>
    <n v="145681"/>
    <x v="353"/>
    <s v="Command R"/>
    <s v="Bootcamp/Self-taught"/>
    <n v="45588"/>
    <n v="967"/>
    <n v="429"/>
    <s v="Yes"/>
    <n v="4"/>
    <s v="5000+"/>
    <s v="Full-time"/>
    <s v="Yes"/>
  </r>
  <r>
    <s v="AIJOB00355"/>
    <x v="1"/>
    <x v="23"/>
    <s v="Government"/>
    <s v="Los Angeles, United States"/>
    <s v="United States"/>
    <s v="Hybrid"/>
    <x v="0"/>
    <s v="0-2 yrs"/>
    <n v="69760"/>
    <x v="354"/>
    <s v="Mistral"/>
    <s v="Bachelor's"/>
    <n v="45331"/>
    <n v="2110"/>
    <n v="3654"/>
    <s v="Maybe"/>
    <n v="0"/>
    <s v="5000+"/>
    <s v="Contract"/>
    <s v="Yes"/>
  </r>
  <r>
    <s v="AIJOB00356"/>
    <x v="5"/>
    <x v="0"/>
    <s v="Finance"/>
    <s v="London, United Kingdom"/>
    <s v="United Kingdom"/>
    <s v="Remote"/>
    <x v="0"/>
    <s v="0-2 yrs"/>
    <n v="57368"/>
    <x v="355"/>
    <s v="Claude"/>
    <s v="Bachelor's"/>
    <n v="45730"/>
    <n v="2283"/>
    <n v="3112"/>
    <s v="No"/>
    <n v="0"/>
    <s v="51-200"/>
    <s v="Full-time"/>
    <s v="No"/>
  </r>
  <r>
    <s v="AIJOB00357"/>
    <x v="10"/>
    <x v="19"/>
    <s v="Finance"/>
    <s v="Tel Aviv, Israel"/>
    <s v="Israel"/>
    <s v="Remote"/>
    <x v="0"/>
    <s v="0-2 yrs"/>
    <n v="69766"/>
    <x v="356"/>
    <s v="Claude"/>
    <s v="Bootcamp/Self-taught"/>
    <n v="45421"/>
    <n v="1141"/>
    <n v="2416"/>
    <s v="Maybe"/>
    <n v="0"/>
    <s v="51-200"/>
    <s v="Full-time"/>
    <s v="Yes"/>
  </r>
  <r>
    <s v="AIJOB00358"/>
    <x v="3"/>
    <x v="6"/>
    <s v="Technology"/>
    <s v="Zurich, Switzerland"/>
    <s v="Switzerland"/>
    <s v="Remote"/>
    <x v="3"/>
    <s v="5-8 yrs"/>
    <n v="142206"/>
    <x v="357"/>
    <s v="Grok"/>
    <s v="Master's"/>
    <n v="45374"/>
    <n v="1084"/>
    <n v="3959"/>
    <s v="No"/>
    <n v="4"/>
    <s v="5000+"/>
    <s v="Full-time"/>
    <s v="No"/>
  </r>
  <r>
    <s v="AIJOB00359"/>
    <x v="9"/>
    <x v="0"/>
    <s v="Finance"/>
    <s v="Boston, United States"/>
    <s v="United States"/>
    <s v="Hybrid"/>
    <x v="1"/>
    <s v="8+ yrs"/>
    <n v="211617"/>
    <x v="358"/>
    <s v="Llama"/>
    <s v="PhD"/>
    <n v="45386"/>
    <n v="1587"/>
    <n v="516"/>
    <s v="No"/>
    <n v="6"/>
    <s v="5000+"/>
    <s v="Full-time"/>
    <s v="No"/>
  </r>
  <r>
    <s v="AIJOB00360"/>
    <x v="5"/>
    <x v="18"/>
    <s v="Retail"/>
    <s v="Seattle, United States"/>
    <s v="United States"/>
    <s v="Remote"/>
    <x v="0"/>
    <s v="0-2 yrs"/>
    <n v="59576"/>
    <x v="359"/>
    <s v="None"/>
    <s v="Master's"/>
    <n v="45351"/>
    <n v="1490"/>
    <n v="3513"/>
    <s v="No"/>
    <n v="0"/>
    <s v="0-50"/>
    <s v="Contract"/>
    <s v="No"/>
  </r>
  <r>
    <s v="AIJOB00361"/>
    <x v="16"/>
    <x v="13"/>
    <s v="Finance"/>
    <s v="San Francisco, United States"/>
    <s v="United States"/>
    <s v="On-site"/>
    <x v="2"/>
    <s v="2-5 yrs"/>
    <n v="120283"/>
    <x v="360"/>
    <s v="None"/>
    <s v="Bachelor's"/>
    <n v="45543"/>
    <n v="1940"/>
    <n v="2856"/>
    <s v="No"/>
    <n v="2"/>
    <s v="0-50"/>
    <s v="Contract"/>
    <s v="No"/>
  </r>
  <r>
    <s v="AIJOB00362"/>
    <x v="15"/>
    <x v="12"/>
    <s v="Education"/>
    <s v="Boston, United States"/>
    <s v="United States"/>
    <s v="On-site"/>
    <x v="0"/>
    <s v="0-2 yrs"/>
    <n v="89312"/>
    <x v="361"/>
    <s v="BLOOM"/>
    <s v="Bachelor's"/>
    <n v="45465"/>
    <n v="1418"/>
    <n v="3107"/>
    <s v="No"/>
    <n v="0"/>
    <s v="1001-5000"/>
    <s v="Full-time"/>
    <s v="No"/>
  </r>
  <r>
    <s v="AIJOB00363"/>
    <x v="11"/>
    <x v="15"/>
    <s v="Finance"/>
    <s v="Dublin, Ireland"/>
    <s v="Ireland"/>
    <s v="Remote"/>
    <x v="1"/>
    <s v="8+ yrs"/>
    <n v="196084"/>
    <x v="362"/>
    <s v="Gemini"/>
    <s v="PhD"/>
    <n v="45685"/>
    <n v="579"/>
    <n v="2050"/>
    <s v="No"/>
    <n v="6"/>
    <s v="51-200"/>
    <s v="Full-time"/>
    <s v="No"/>
  </r>
  <r>
    <s v="AIJOB00364"/>
    <x v="3"/>
    <x v="19"/>
    <s v="Education"/>
    <s v="Tokyo, Japan"/>
    <s v="Japan"/>
    <s v="Hybrid"/>
    <x v="3"/>
    <s v="5-8 yrs"/>
    <n v="160846"/>
    <x v="363"/>
    <s v="None"/>
    <s v="Bachelor's"/>
    <n v="45681"/>
    <n v="2339"/>
    <n v="2018"/>
    <s v="No"/>
    <n v="4"/>
    <s v="5000+"/>
    <s v="Full-time"/>
    <s v="No"/>
  </r>
  <r>
    <s v="AIJOB00365"/>
    <x v="1"/>
    <x v="18"/>
    <s v="Education"/>
    <s v="New York, United States"/>
    <s v="United States"/>
    <s v="On-site"/>
    <x v="0"/>
    <s v="0-2 yrs"/>
    <n v="78695"/>
    <x v="364"/>
    <s v="None"/>
    <s v="Bachelor's"/>
    <n v="45742"/>
    <n v="1024"/>
    <n v="2290"/>
    <s v="No"/>
    <n v="0"/>
    <s v="201-1000"/>
    <s v="Contract"/>
    <s v="Yes"/>
  </r>
  <r>
    <s v="AIJOB00366"/>
    <x v="19"/>
    <x v="3"/>
    <s v="Energy"/>
    <s v="Sydney, Australia"/>
    <s v="Australia"/>
    <s v="Hybrid"/>
    <x v="2"/>
    <s v="2-5 yrs"/>
    <n v="102055"/>
    <x v="365"/>
    <s v="None"/>
    <s v="Master's"/>
    <n v="45541"/>
    <n v="2249"/>
    <n v="2312"/>
    <s v="Maybe"/>
    <n v="2"/>
    <s v="5000+"/>
    <s v="Full-time"/>
    <s v="Yes"/>
  </r>
  <r>
    <s v="AIJOB00367"/>
    <x v="12"/>
    <x v="28"/>
    <s v="Defense"/>
    <s v="Tokyo, Japan"/>
    <s v="Japan"/>
    <s v="Hybrid"/>
    <x v="1"/>
    <s v="8+ yrs"/>
    <n v="208067"/>
    <x v="366"/>
    <s v="None"/>
    <s v="Bachelor's"/>
    <n v="45684"/>
    <n v="1697"/>
    <n v="1568"/>
    <s v="Yes"/>
    <n v="6"/>
    <s v="201-1000"/>
    <s v="Part-time"/>
    <s v="Yes"/>
  </r>
  <r>
    <s v="AIJOB00368"/>
    <x v="17"/>
    <x v="17"/>
    <s v="Education"/>
    <s v="Paris, France"/>
    <s v="France"/>
    <s v="Remote"/>
    <x v="2"/>
    <s v="2-5 yrs"/>
    <n v="110249"/>
    <x v="367"/>
    <s v="Falcon"/>
    <s v="Master's"/>
    <n v="45451"/>
    <n v="2030"/>
    <n v="2336"/>
    <s v="No"/>
    <n v="2"/>
    <s v="1001-5000"/>
    <s v="Full-time"/>
    <s v="No"/>
  </r>
  <r>
    <s v="AIJOB00369"/>
    <x v="12"/>
    <x v="1"/>
    <s v="Education"/>
    <s v="Austin, United States"/>
    <s v="United States"/>
    <s v="Remote"/>
    <x v="0"/>
    <s v="0-2 yrs"/>
    <n v="71230"/>
    <x v="368"/>
    <s v="None"/>
    <s v="Master's"/>
    <n v="45491"/>
    <n v="1690"/>
    <n v="692"/>
    <s v="No"/>
    <n v="0"/>
    <s v="201-1000"/>
    <s v="Part-time"/>
    <s v="Yes"/>
  </r>
  <r>
    <s v="AIJOB00370"/>
    <x v="4"/>
    <x v="11"/>
    <s v="Defense"/>
    <s v="Sydney, Australia"/>
    <s v="Australia"/>
    <s v="Remote"/>
    <x v="2"/>
    <s v="2-5 yrs"/>
    <n v="94694"/>
    <x v="369"/>
    <s v="None"/>
    <s v="Master's"/>
    <n v="45444"/>
    <n v="575"/>
    <n v="2330"/>
    <s v="No"/>
    <n v="2"/>
    <s v="1001-5000"/>
    <s v="Full-time"/>
    <s v="Yes"/>
  </r>
  <r>
    <s v="AIJOB00371"/>
    <x v="4"/>
    <x v="20"/>
    <s v="Technology"/>
    <s v="Dublin, Ireland"/>
    <s v="Ireland"/>
    <s v="On-site"/>
    <x v="3"/>
    <s v="5-8 yrs"/>
    <n v="150661"/>
    <x v="370"/>
    <s v="Phi"/>
    <s v="Master's"/>
    <n v="45513"/>
    <n v="2414"/>
    <n v="3543"/>
    <s v="Yes"/>
    <n v="4"/>
    <s v="1001-5000"/>
    <s v="Full-time"/>
    <s v="No"/>
  </r>
  <r>
    <s v="AIJOB00372"/>
    <x v="14"/>
    <x v="9"/>
    <s v="Healthcare"/>
    <s v="Stockholm, Sweden"/>
    <s v="Sweden"/>
    <s v="On-site"/>
    <x v="3"/>
    <s v="5-8 yrs"/>
    <n v="163445"/>
    <x v="371"/>
    <s v="Gemini"/>
    <s v="PhD"/>
    <n v="45728"/>
    <n v="1529"/>
    <n v="3467"/>
    <s v="No"/>
    <n v="4"/>
    <s v="201-1000"/>
    <s v="Contract"/>
    <s v="No"/>
  </r>
  <r>
    <s v="AIJOB00373"/>
    <x v="9"/>
    <x v="27"/>
    <s v="Retail"/>
    <s v="Amsterdam, Netherlands"/>
    <s v="Netherlands"/>
    <s v="On-site"/>
    <x v="1"/>
    <s v="8+ yrs"/>
    <n v="252241"/>
    <x v="372"/>
    <s v="Claude"/>
    <s v="Bachelor's"/>
    <n v="45622"/>
    <n v="1571"/>
    <n v="1911"/>
    <s v="No"/>
    <n v="6"/>
    <s v="1001-5000"/>
    <s v="Full-time"/>
    <s v="No"/>
  </r>
  <r>
    <s v="AIJOB00374"/>
    <x v="9"/>
    <x v="19"/>
    <s v="Technology"/>
    <s v="Amsterdam, Netherlands"/>
    <s v="Netherlands"/>
    <s v="Remote"/>
    <x v="2"/>
    <s v="2-5 yrs"/>
    <n v="128993"/>
    <x v="373"/>
    <s v="Command R"/>
    <s v="Bachelor's"/>
    <n v="45424"/>
    <n v="643"/>
    <n v="1295"/>
    <s v="No"/>
    <n v="2"/>
    <s v="0-50"/>
    <s v="Contract"/>
    <s v="Yes"/>
  </r>
  <r>
    <s v="AIJOB00375"/>
    <x v="16"/>
    <x v="5"/>
    <s v="Defense"/>
    <s v="Chicago, United States"/>
    <s v="United States"/>
    <s v="On-site"/>
    <x v="0"/>
    <s v="0-2 yrs"/>
    <n v="97130"/>
    <x v="374"/>
    <s v="Claude"/>
    <s v="Bootcamp/Self-taught"/>
    <n v="45662"/>
    <n v="2451"/>
    <n v="1041"/>
    <s v="No"/>
    <n v="0"/>
    <s v="0-50"/>
    <s v="Full-time"/>
    <s v="Yes"/>
  </r>
  <r>
    <s v="AIJOB00376"/>
    <x v="18"/>
    <x v="18"/>
    <s v="Media"/>
    <s v="Zurich, Switzerland"/>
    <s v="Switzerland"/>
    <s v="Hybrid"/>
    <x v="3"/>
    <s v="5-8 yrs"/>
    <n v="129281"/>
    <x v="375"/>
    <s v="Mistral"/>
    <s v="Bachelor's"/>
    <n v="45704"/>
    <n v="529"/>
    <n v="2018"/>
    <s v="No"/>
    <n v="4"/>
    <s v="0-50"/>
    <s v="Full-time"/>
    <s v="Yes"/>
  </r>
  <r>
    <s v="AIJOB00377"/>
    <x v="7"/>
    <x v="23"/>
    <s v="Retail"/>
    <s v="Berlin, Germany"/>
    <s v="Germany"/>
    <s v="Remote"/>
    <x v="3"/>
    <s v="5-8 yrs"/>
    <n v="173552"/>
    <x v="376"/>
    <s v="GPT-4"/>
    <s v="Bachelor's"/>
    <n v="45658"/>
    <n v="1875"/>
    <n v="1276"/>
    <s v="No"/>
    <n v="4"/>
    <s v="201-1000"/>
    <s v="Contract"/>
    <s v="No"/>
  </r>
  <r>
    <s v="AIJOB00378"/>
    <x v="1"/>
    <x v="29"/>
    <s v="Education"/>
    <s v="Bangalore, India"/>
    <s v="India"/>
    <s v="Remote"/>
    <x v="2"/>
    <s v="2-5 yrs"/>
    <n v="113630"/>
    <x v="377"/>
    <s v="Gemini"/>
    <s v="Master's"/>
    <n v="45493"/>
    <n v="1964"/>
    <n v="3243"/>
    <s v="Yes"/>
    <n v="2"/>
    <s v="0-50"/>
    <s v="Contract"/>
    <s v="No"/>
  </r>
  <r>
    <s v="AIJOB00379"/>
    <x v="8"/>
    <x v="28"/>
    <s v="Media"/>
    <s v="Austin, United States"/>
    <s v="United States"/>
    <s v="Hybrid"/>
    <x v="1"/>
    <s v="8+ yrs"/>
    <n v="278832"/>
    <x v="378"/>
    <s v="Claude"/>
    <s v="Master's"/>
    <n v="45740"/>
    <n v="1638"/>
    <n v="1866"/>
    <s v="No"/>
    <n v="6"/>
    <s v="0-50"/>
    <s v="Full-time"/>
    <s v="Yes"/>
  </r>
  <r>
    <s v="AIJOB00380"/>
    <x v="14"/>
    <x v="16"/>
    <s v="Defense"/>
    <s v="San Francisco, United States"/>
    <s v="United States"/>
    <s v="Remote"/>
    <x v="2"/>
    <s v="2-5 yrs"/>
    <n v="93995"/>
    <x v="379"/>
    <s v="Gemini"/>
    <s v="Master's"/>
    <n v="45613"/>
    <n v="1608"/>
    <n v="1859"/>
    <s v="No"/>
    <n v="2"/>
    <s v="51-200"/>
    <s v="Full-time"/>
    <s v="No"/>
  </r>
  <r>
    <s v="AIJOB00381"/>
    <x v="18"/>
    <x v="29"/>
    <s v="Energy"/>
    <s v="Singapore"/>
    <s v="Singapore"/>
    <s v="Remote"/>
    <x v="3"/>
    <s v="5-8 yrs"/>
    <n v="127327"/>
    <x v="380"/>
    <s v="GPT-4"/>
    <s v="Master's"/>
    <n v="45480"/>
    <n v="1236"/>
    <n v="3724"/>
    <s v="Yes"/>
    <n v="4"/>
    <s v="1001-5000"/>
    <s v="Full-time"/>
    <s v="No"/>
  </r>
  <r>
    <s v="AIJOB00382"/>
    <x v="15"/>
    <x v="0"/>
    <s v="Education"/>
    <s v="Chicago, United States"/>
    <s v="United States"/>
    <s v="Hybrid"/>
    <x v="0"/>
    <s v="0-2 yrs"/>
    <n v="62447"/>
    <x v="381"/>
    <s v="Phi"/>
    <s v="PhD"/>
    <n v="45599"/>
    <n v="2324"/>
    <n v="495"/>
    <s v="Yes"/>
    <n v="0"/>
    <s v="51-200"/>
    <s v="Full-time"/>
    <s v="No"/>
  </r>
  <r>
    <s v="AIJOB00383"/>
    <x v="2"/>
    <x v="26"/>
    <s v="Media"/>
    <s v="Tel Aviv, Israel"/>
    <s v="Israel"/>
    <s v="Remote"/>
    <x v="3"/>
    <s v="5-8 yrs"/>
    <n v="92654"/>
    <x v="382"/>
    <s v="None"/>
    <s v="Bachelor's"/>
    <n v="45512"/>
    <n v="897"/>
    <n v="127"/>
    <s v="No"/>
    <n v="4"/>
    <s v="201-1000"/>
    <s v="Full-time"/>
    <s v="No"/>
  </r>
  <r>
    <s v="AIJOB00384"/>
    <x v="7"/>
    <x v="23"/>
    <s v="Media"/>
    <s v="Zurich, Switzerland"/>
    <s v="Switzerland"/>
    <s v="Hybrid"/>
    <x v="3"/>
    <s v="5-8 yrs"/>
    <n v="135804"/>
    <x v="383"/>
    <s v="None"/>
    <s v="Master's"/>
    <n v="45526"/>
    <n v="1870"/>
    <n v="2911"/>
    <s v="No"/>
    <n v="4"/>
    <s v="5000+"/>
    <s v="Full-time"/>
    <s v="Yes"/>
  </r>
  <r>
    <s v="AIJOB00385"/>
    <x v="17"/>
    <x v="15"/>
    <s v="Automotive"/>
    <s v="Austin, United States"/>
    <s v="United States"/>
    <s v="On-site"/>
    <x v="0"/>
    <s v="0-2 yrs"/>
    <n v="60434"/>
    <x v="384"/>
    <s v="None"/>
    <s v="Master's"/>
    <n v="45533"/>
    <n v="1860"/>
    <n v="1249"/>
    <s v="Maybe"/>
    <n v="0"/>
    <s v="201-1000"/>
    <s v="Full-time"/>
    <s v="No"/>
  </r>
  <r>
    <s v="AIJOB00386"/>
    <x v="17"/>
    <x v="0"/>
    <s v="Healthcare"/>
    <s v="Amsterdam, Netherlands"/>
    <s v="Netherlands"/>
    <s v="Remote"/>
    <x v="2"/>
    <s v="2-5 yrs"/>
    <n v="112977"/>
    <x v="385"/>
    <s v="None"/>
    <s v="Bachelor's"/>
    <n v="45544"/>
    <n v="1583"/>
    <n v="190"/>
    <s v="Maybe"/>
    <n v="2"/>
    <s v="1001-5000"/>
    <s v="Contract"/>
    <s v="No"/>
  </r>
  <r>
    <s v="AIJOB00387"/>
    <x v="16"/>
    <x v="6"/>
    <s v="Healthcare"/>
    <s v="Sydney, Australia"/>
    <s v="Australia"/>
    <s v="On-site"/>
    <x v="1"/>
    <s v="8+ yrs"/>
    <n v="212303"/>
    <x v="386"/>
    <s v="Command R"/>
    <s v="Master's"/>
    <n v="45426"/>
    <n v="2102"/>
    <n v="227"/>
    <s v="Yes"/>
    <n v="6"/>
    <s v="0-50"/>
    <s v="Full-time"/>
    <s v="Yes"/>
  </r>
  <r>
    <s v="AIJOB00388"/>
    <x v="2"/>
    <x v="24"/>
    <s v="Finance"/>
    <s v="Bangalore, India"/>
    <s v="India"/>
    <s v="Remote"/>
    <x v="2"/>
    <s v="2-5 yrs"/>
    <n v="147148"/>
    <x v="387"/>
    <s v="Command R"/>
    <s v="PhD"/>
    <n v="45545"/>
    <n v="906"/>
    <n v="516"/>
    <s v="No"/>
    <n v="2"/>
    <s v="51-200"/>
    <s v="Contract"/>
    <s v="Yes"/>
  </r>
  <r>
    <s v="AIJOB00389"/>
    <x v="15"/>
    <x v="29"/>
    <s v="Finance"/>
    <s v="Zurich, Switzerland"/>
    <s v="Switzerland"/>
    <s v="On-site"/>
    <x v="3"/>
    <s v="5-8 yrs"/>
    <n v="175661"/>
    <x v="388"/>
    <s v="BLOOM"/>
    <s v="Bachelor's"/>
    <n v="45591"/>
    <n v="2340"/>
    <n v="2782"/>
    <s v="Yes"/>
    <n v="4"/>
    <s v="201-1000"/>
    <s v="Full-time"/>
    <s v="No"/>
  </r>
  <r>
    <s v="AIJOB00390"/>
    <x v="0"/>
    <x v="24"/>
    <s v="Education"/>
    <s v="Boston, United States"/>
    <s v="United States"/>
    <s v="Hybrid"/>
    <x v="1"/>
    <s v="8+ yrs"/>
    <n v="179231"/>
    <x v="389"/>
    <s v="None"/>
    <s v="Master's"/>
    <n v="45346"/>
    <n v="1403"/>
    <n v="2443"/>
    <s v="No"/>
    <n v="6"/>
    <s v="201-1000"/>
    <s v="Part-time"/>
    <s v="No"/>
  </r>
  <r>
    <s v="AIJOB00391"/>
    <x v="14"/>
    <x v="12"/>
    <s v="Finance"/>
    <s v="Zurich, Switzerland"/>
    <s v="Switzerland"/>
    <s v="Remote"/>
    <x v="3"/>
    <s v="5-8 yrs"/>
    <n v="125742"/>
    <x v="390"/>
    <s v="GPT-4"/>
    <s v="Master's"/>
    <n v="45733"/>
    <n v="1862"/>
    <n v="389"/>
    <s v="No"/>
    <n v="4"/>
    <s v="51-200"/>
    <s v="Full-time"/>
    <s v="No"/>
  </r>
  <r>
    <s v="AIJOB00392"/>
    <x v="11"/>
    <x v="24"/>
    <s v="Media"/>
    <s v="San Francisco, United States"/>
    <s v="United States"/>
    <s v="On-site"/>
    <x v="0"/>
    <s v="0-2 yrs"/>
    <n v="76198"/>
    <x v="391"/>
    <s v="Mistral"/>
    <s v="PhD"/>
    <n v="45375"/>
    <n v="1570"/>
    <n v="3711"/>
    <s v="No"/>
    <n v="0"/>
    <s v="51-200"/>
    <s v="Full-time"/>
    <s v="Yes"/>
  </r>
  <r>
    <s v="AIJOB00393"/>
    <x v="16"/>
    <x v="25"/>
    <s v="Healthcare"/>
    <s v="Tel Aviv, Israel"/>
    <s v="Israel"/>
    <s v="Remote"/>
    <x v="2"/>
    <s v="2-5 yrs"/>
    <n v="83859"/>
    <x v="392"/>
    <s v="None"/>
    <s v="Master's"/>
    <n v="45490"/>
    <n v="2044"/>
    <n v="390"/>
    <s v="Yes"/>
    <n v="2"/>
    <s v="201-1000"/>
    <s v="Part-time"/>
    <s v="No"/>
  </r>
  <r>
    <s v="AIJOB00394"/>
    <x v="3"/>
    <x v="22"/>
    <s v="Healthcare"/>
    <s v="Dublin, Ireland"/>
    <s v="Ireland"/>
    <s v="Hybrid"/>
    <x v="1"/>
    <s v="8+ yrs"/>
    <n v="265932"/>
    <x v="393"/>
    <s v="Command R"/>
    <s v="Bootcamp/Self-taught"/>
    <n v="45560"/>
    <n v="1530"/>
    <n v="3456"/>
    <s v="Yes"/>
    <n v="6"/>
    <s v="1001-5000"/>
    <s v="Full-time"/>
    <s v="Yes"/>
  </r>
  <r>
    <s v="AIJOB00395"/>
    <x v="4"/>
    <x v="13"/>
    <s v="Energy"/>
    <s v="Dublin, Ireland"/>
    <s v="Ireland"/>
    <s v="Remote"/>
    <x v="0"/>
    <s v="0-2 yrs"/>
    <n v="84860"/>
    <x v="394"/>
    <s v="Grok"/>
    <s v="Bachelor's"/>
    <n v="45509"/>
    <n v="2195"/>
    <n v="745"/>
    <s v="No"/>
    <n v="0"/>
    <s v="1001-5000"/>
    <s v="Full-time"/>
    <s v="Yes"/>
  </r>
  <r>
    <s v="AIJOB00396"/>
    <x v="5"/>
    <x v="21"/>
    <s v="Finance"/>
    <s v="Zurich, Switzerland"/>
    <s v="Switzerland"/>
    <s v="Hybrid"/>
    <x v="3"/>
    <s v="5-8 yrs"/>
    <n v="137332"/>
    <x v="395"/>
    <s v="Grok"/>
    <s v="Master's"/>
    <n v="45679"/>
    <n v="373"/>
    <n v="33"/>
    <s v="No"/>
    <n v="4"/>
    <s v="0-50"/>
    <s v="Full-time"/>
    <s v="No"/>
  </r>
  <r>
    <s v="AIJOB00397"/>
    <x v="11"/>
    <x v="15"/>
    <s v="Retail"/>
    <s v="Sydney, Australia"/>
    <s v="Australia"/>
    <s v="Hybrid"/>
    <x v="1"/>
    <s v="8+ yrs"/>
    <n v="138327"/>
    <x v="396"/>
    <s v="Gemini"/>
    <s v="Bachelor's"/>
    <n v="45607"/>
    <n v="365"/>
    <n v="2860"/>
    <s v="Maybe"/>
    <n v="6"/>
    <s v="0-50"/>
    <s v="Full-time"/>
    <s v="No"/>
  </r>
  <r>
    <s v="AIJOB00398"/>
    <x v="7"/>
    <x v="12"/>
    <s v="Education"/>
    <s v="Stockholm, Sweden"/>
    <s v="Sweden"/>
    <s v="Remote"/>
    <x v="1"/>
    <s v="8+ yrs"/>
    <n v="248739"/>
    <x v="397"/>
    <s v="None"/>
    <s v="Bootcamp/Self-taught"/>
    <n v="45446"/>
    <n v="2231"/>
    <n v="90"/>
    <s v="Maybe"/>
    <n v="6"/>
    <s v="5000+"/>
    <s v="Full-time"/>
    <s v="Yes"/>
  </r>
  <r>
    <s v="AIJOB00399"/>
    <x v="11"/>
    <x v="22"/>
    <s v="Technology"/>
    <s v="Austin, United States"/>
    <s v="United States"/>
    <s v="Remote"/>
    <x v="0"/>
    <s v="0-2 yrs"/>
    <n v="68556"/>
    <x v="398"/>
    <s v="None"/>
    <s v="Master's"/>
    <n v="45614"/>
    <n v="2291"/>
    <n v="2112"/>
    <s v="No"/>
    <n v="0"/>
    <s v="5000+"/>
    <s v="Part-time"/>
    <s v="No"/>
  </r>
  <r>
    <s v="AIJOB00400"/>
    <x v="8"/>
    <x v="10"/>
    <s v="Government"/>
    <s v="New York, United States"/>
    <s v="United States"/>
    <s v="Hybrid"/>
    <x v="2"/>
    <s v="2-5 yrs"/>
    <n v="134508"/>
    <x v="399"/>
    <s v="Grok"/>
    <s v="Master's"/>
    <n v="45508"/>
    <n v="2086"/>
    <n v="95"/>
    <s v="Yes"/>
    <n v="2"/>
    <s v="51-200"/>
    <s v="Full-time"/>
    <s v="Yes"/>
  </r>
  <r>
    <s v="AIJOB00401"/>
    <x v="10"/>
    <x v="4"/>
    <s v="Media"/>
    <s v="Zurich, Switzerland"/>
    <s v="Switzerland"/>
    <s v="On-site"/>
    <x v="2"/>
    <s v="2-5 yrs"/>
    <n v="78430"/>
    <x v="400"/>
    <s v="None"/>
    <s v="PhD"/>
    <n v="45465"/>
    <n v="1775"/>
    <n v="3270"/>
    <s v="No"/>
    <n v="2"/>
    <s v="51-200"/>
    <s v="Full-time"/>
    <s v="Yes"/>
  </r>
  <r>
    <s v="AIJOB00402"/>
    <x v="4"/>
    <x v="15"/>
    <s v="Government"/>
    <s v="Berlin, Germany"/>
    <s v="Germany"/>
    <s v="Remote"/>
    <x v="1"/>
    <s v="8+ yrs"/>
    <n v="178422"/>
    <x v="401"/>
    <s v="GPT-4"/>
    <s v="PhD"/>
    <n v="45372"/>
    <n v="1762"/>
    <n v="2782"/>
    <s v="Yes"/>
    <n v="6"/>
    <s v="5000+"/>
    <s v="Full-time"/>
    <s v="Yes"/>
  </r>
  <r>
    <s v="AIJOB00403"/>
    <x v="19"/>
    <x v="6"/>
    <s v="Energy"/>
    <s v="Tokyo, Japan"/>
    <s v="Japan"/>
    <s v="Remote"/>
    <x v="0"/>
    <s v="0-2 yrs"/>
    <n v="70066"/>
    <x v="402"/>
    <s v="GPT-4"/>
    <s v="Bachelor's"/>
    <n v="45579"/>
    <n v="919"/>
    <n v="3505"/>
    <s v="No"/>
    <n v="0"/>
    <s v="5000+"/>
    <s v="Full-time"/>
    <s v="Yes"/>
  </r>
  <r>
    <s v="AIJOB00404"/>
    <x v="17"/>
    <x v="14"/>
    <s v="Energy"/>
    <s v="Bangalore, India"/>
    <s v="India"/>
    <s v="On-site"/>
    <x v="1"/>
    <s v="8+ yrs"/>
    <n v="201691"/>
    <x v="403"/>
    <s v="Claude"/>
    <s v="Bachelor's"/>
    <n v="45678"/>
    <n v="731"/>
    <n v="694"/>
    <s v="No"/>
    <n v="6"/>
    <s v="51-200"/>
    <s v="Contract"/>
    <s v="Yes"/>
  </r>
  <r>
    <s v="AIJOB00405"/>
    <x v="5"/>
    <x v="11"/>
    <s v="Retail"/>
    <s v="Dublin, Ireland"/>
    <s v="Ireland"/>
    <s v="Hybrid"/>
    <x v="1"/>
    <s v="8+ yrs"/>
    <n v="183797"/>
    <x v="404"/>
    <s v="Gemini"/>
    <s v="Master's"/>
    <n v="45737"/>
    <n v="2002"/>
    <n v="3160"/>
    <s v="No"/>
    <n v="6"/>
    <s v="51-200"/>
    <s v="Contract"/>
    <s v="No"/>
  </r>
  <r>
    <s v="AIJOB00406"/>
    <x v="5"/>
    <x v="27"/>
    <s v="Media"/>
    <s v="Seattle, United States"/>
    <s v="United States"/>
    <s v="Remote"/>
    <x v="2"/>
    <s v="2-5 yrs"/>
    <n v="122332"/>
    <x v="405"/>
    <s v="Llama"/>
    <s v="Master's"/>
    <n v="45658"/>
    <n v="1976"/>
    <n v="3688"/>
    <s v="No"/>
    <n v="2"/>
    <s v="5000+"/>
    <s v="Contract"/>
    <s v="Yes"/>
  </r>
  <r>
    <s v="AIJOB00407"/>
    <x v="13"/>
    <x v="3"/>
    <s v="Healthcare"/>
    <s v="Berlin, Germany"/>
    <s v="Germany"/>
    <s v="Hybrid"/>
    <x v="1"/>
    <s v="8+ yrs"/>
    <n v="161565"/>
    <x v="406"/>
    <s v="GPT-4"/>
    <s v="Bootcamp/Self-taught"/>
    <n v="45659"/>
    <n v="536"/>
    <n v="2597"/>
    <s v="Maybe"/>
    <n v="6"/>
    <s v="5000+"/>
    <s v="Part-time"/>
    <s v="Yes"/>
  </r>
  <r>
    <s v="AIJOB00408"/>
    <x v="1"/>
    <x v="8"/>
    <s v="Energy"/>
    <s v="Austin, United States"/>
    <s v="United States"/>
    <s v="On-site"/>
    <x v="3"/>
    <s v="5-8 yrs"/>
    <n v="146155"/>
    <x v="407"/>
    <s v="Llama"/>
    <s v="Master's"/>
    <n v="45296"/>
    <n v="2111"/>
    <n v="2866"/>
    <s v="No"/>
    <n v="4"/>
    <s v="1001-5000"/>
    <s v="Contract"/>
    <s v="No"/>
  </r>
  <r>
    <s v="AIJOB00409"/>
    <x v="4"/>
    <x v="22"/>
    <s v="Energy"/>
    <s v="Stockholm, Sweden"/>
    <s v="Sweden"/>
    <s v="Remote"/>
    <x v="0"/>
    <s v="0-2 yrs"/>
    <n v="71515"/>
    <x v="408"/>
    <s v="Phi"/>
    <s v="Master's"/>
    <n v="45663"/>
    <n v="955"/>
    <n v="105"/>
    <s v="Yes"/>
    <n v="0"/>
    <s v="5000+"/>
    <s v="Full-time"/>
    <s v="Yes"/>
  </r>
  <r>
    <s v="AIJOB00410"/>
    <x v="5"/>
    <x v="18"/>
    <s v="Automotive"/>
    <s v="Dublin, Ireland"/>
    <s v="Ireland"/>
    <s v="Remote"/>
    <x v="1"/>
    <s v="8+ yrs"/>
    <n v="218519"/>
    <x v="409"/>
    <s v="Claude"/>
    <s v="Master's"/>
    <n v="45322"/>
    <n v="321"/>
    <n v="1866"/>
    <s v="No"/>
    <n v="6"/>
    <s v="51-200"/>
    <s v="Contract"/>
    <s v="No"/>
  </r>
  <r>
    <s v="AIJOB00411"/>
    <x v="12"/>
    <x v="2"/>
    <s v="Retail"/>
    <s v="Boston, United States"/>
    <s v="United States"/>
    <s v="Remote"/>
    <x v="2"/>
    <s v="2-5 yrs"/>
    <n v="124089"/>
    <x v="410"/>
    <s v="Phi"/>
    <s v="PhD"/>
    <n v="45633"/>
    <n v="1779"/>
    <n v="1870"/>
    <s v="Yes"/>
    <n v="2"/>
    <s v="1001-5000"/>
    <s v="Contract"/>
    <s v="Yes"/>
  </r>
  <r>
    <s v="AIJOB00412"/>
    <x v="17"/>
    <x v="5"/>
    <s v="Media"/>
    <s v="Berlin, Germany"/>
    <s v="Germany"/>
    <s v="Hybrid"/>
    <x v="1"/>
    <s v="8+ yrs"/>
    <n v="159512"/>
    <x v="411"/>
    <s v="Phi"/>
    <s v="PhD"/>
    <n v="45520"/>
    <n v="2343"/>
    <n v="2616"/>
    <s v="No"/>
    <n v="6"/>
    <s v="1001-5000"/>
    <s v="Full-time"/>
    <s v="No"/>
  </r>
  <r>
    <s v="AIJOB00413"/>
    <x v="19"/>
    <x v="17"/>
    <s v="Healthcare"/>
    <s v="Berlin, Germany"/>
    <s v="Germany"/>
    <s v="Hybrid"/>
    <x v="2"/>
    <s v="2-5 yrs"/>
    <n v="79624"/>
    <x v="412"/>
    <s v="Command R"/>
    <s v="Bootcamp/Self-taught"/>
    <n v="45540"/>
    <n v="1812"/>
    <n v="3785"/>
    <s v="Maybe"/>
    <n v="2"/>
    <s v="5000+"/>
    <s v="Contract"/>
    <s v="Yes"/>
  </r>
  <r>
    <s v="AIJOB00414"/>
    <x v="16"/>
    <x v="0"/>
    <s v="Technology"/>
    <s v="New York, United States"/>
    <s v="United States"/>
    <s v="Hybrid"/>
    <x v="3"/>
    <s v="5-8 yrs"/>
    <n v="184497"/>
    <x v="413"/>
    <s v="Grok"/>
    <s v="Bootcamp/Self-taught"/>
    <n v="45352"/>
    <n v="1549"/>
    <n v="3651"/>
    <s v="No"/>
    <n v="4"/>
    <s v="51-200"/>
    <s v="Contract"/>
    <s v="No"/>
  </r>
  <r>
    <s v="AIJOB00415"/>
    <x v="0"/>
    <x v="27"/>
    <s v="Healthcare"/>
    <s v="Seattle, United States"/>
    <s v="United States"/>
    <s v="On-site"/>
    <x v="3"/>
    <s v="5-8 yrs"/>
    <n v="158972"/>
    <x v="414"/>
    <s v="Grok"/>
    <s v="Master's"/>
    <n v="45505"/>
    <n v="2187"/>
    <n v="3129"/>
    <s v="No"/>
    <n v="4"/>
    <s v="1001-5000"/>
    <s v="Full-time"/>
    <s v="No"/>
  </r>
  <r>
    <s v="AIJOB00416"/>
    <x v="4"/>
    <x v="10"/>
    <s v="Finance"/>
    <s v="Chicago, United States"/>
    <s v="United States"/>
    <s v="Remote"/>
    <x v="1"/>
    <s v="8+ yrs"/>
    <n v="173054"/>
    <x v="415"/>
    <s v="None"/>
    <s v="PhD"/>
    <n v="45494"/>
    <n v="401"/>
    <n v="2352"/>
    <s v="No"/>
    <n v="6"/>
    <s v="201-1000"/>
    <s v="Full-time"/>
    <s v="Yes"/>
  </r>
  <r>
    <s v="AIJOB00417"/>
    <x v="1"/>
    <x v="11"/>
    <s v="Energy"/>
    <s v="Singapore"/>
    <s v="Singapore"/>
    <s v="On-site"/>
    <x v="0"/>
    <s v="0-2 yrs"/>
    <n v="89544"/>
    <x v="416"/>
    <s v="None"/>
    <s v="Bachelor's"/>
    <n v="45569"/>
    <n v="377"/>
    <n v="1136"/>
    <s v="No"/>
    <n v="0"/>
    <s v="51-200"/>
    <s v="Contract"/>
    <s v="No"/>
  </r>
  <r>
    <s v="AIJOB00418"/>
    <x v="12"/>
    <x v="1"/>
    <s v="Media"/>
    <s v="Seattle, United States"/>
    <s v="United States"/>
    <s v="On-site"/>
    <x v="1"/>
    <s v="8+ yrs"/>
    <n v="204164"/>
    <x v="417"/>
    <s v="None"/>
    <s v="Bachelor's"/>
    <n v="45602"/>
    <n v="398"/>
    <n v="3531"/>
    <s v="No"/>
    <n v="6"/>
    <s v="1001-5000"/>
    <s v="Full-time"/>
    <s v="Yes"/>
  </r>
  <r>
    <s v="AIJOB00419"/>
    <x v="0"/>
    <x v="17"/>
    <s v="Defense"/>
    <s v="Sydney, Australia"/>
    <s v="Australia"/>
    <s v="Remote"/>
    <x v="2"/>
    <s v="2-5 yrs"/>
    <n v="133350"/>
    <x v="418"/>
    <s v="None"/>
    <s v="Bootcamp/Self-taught"/>
    <n v="45422"/>
    <n v="1043"/>
    <n v="121"/>
    <s v="No"/>
    <n v="2"/>
    <s v="201-1000"/>
    <s v="Full-time"/>
    <s v="Yes"/>
  </r>
  <r>
    <s v="AIJOB00420"/>
    <x v="19"/>
    <x v="2"/>
    <s v="Retail"/>
    <s v="Amsterdam, Netherlands"/>
    <s v="Netherlands"/>
    <s v="Remote"/>
    <x v="3"/>
    <s v="5-8 yrs"/>
    <n v="151822"/>
    <x v="419"/>
    <s v="None"/>
    <s v="Master's"/>
    <n v="45715"/>
    <n v="2366"/>
    <n v="1587"/>
    <s v="Maybe"/>
    <n v="4"/>
    <s v="201-1000"/>
    <s v="Full-time"/>
    <s v="No"/>
  </r>
  <r>
    <s v="AIJOB00421"/>
    <x v="19"/>
    <x v="3"/>
    <s v="Finance"/>
    <s v="Tel Aviv, Israel"/>
    <s v="Israel"/>
    <s v="Remote"/>
    <x v="0"/>
    <s v="0-2 yrs"/>
    <n v="95965"/>
    <x v="420"/>
    <s v="None"/>
    <s v="Bachelor's"/>
    <n v="45616"/>
    <n v="814"/>
    <n v="1257"/>
    <s v="No"/>
    <n v="0"/>
    <s v="1001-5000"/>
    <s v="Full-time"/>
    <s v="No"/>
  </r>
  <r>
    <s v="AIJOB00422"/>
    <x v="9"/>
    <x v="14"/>
    <s v="Defense"/>
    <s v="Boston, United States"/>
    <s v="United States"/>
    <s v="Hybrid"/>
    <x v="2"/>
    <s v="2-5 yrs"/>
    <n v="144755"/>
    <x v="421"/>
    <s v="Command R"/>
    <s v="Bachelor's"/>
    <n v="45378"/>
    <n v="985"/>
    <n v="12"/>
    <s v="Yes"/>
    <n v="2"/>
    <s v="1001-5000"/>
    <s v="Full-time"/>
    <s v="Yes"/>
  </r>
  <r>
    <s v="AIJOB00423"/>
    <x v="11"/>
    <x v="4"/>
    <s v="Finance"/>
    <s v="Singapore"/>
    <s v="Singapore"/>
    <s v="Hybrid"/>
    <x v="3"/>
    <s v="5-8 yrs"/>
    <n v="143277"/>
    <x v="422"/>
    <s v="Claude"/>
    <s v="PhD"/>
    <n v="45553"/>
    <n v="1444"/>
    <n v="3607"/>
    <s v="No"/>
    <n v="4"/>
    <s v="5000+"/>
    <s v="Full-time"/>
    <s v="No"/>
  </r>
  <r>
    <s v="AIJOB00424"/>
    <x v="18"/>
    <x v="27"/>
    <s v="Technology"/>
    <s v="Bangalore, India"/>
    <s v="India"/>
    <s v="Remote"/>
    <x v="3"/>
    <s v="5-8 yrs"/>
    <n v="176232"/>
    <x v="423"/>
    <s v="None"/>
    <s v="Master's"/>
    <n v="45631"/>
    <n v="317"/>
    <n v="3702"/>
    <s v="Yes"/>
    <n v="4"/>
    <s v="51-200"/>
    <s v="Full-time"/>
    <s v="No"/>
  </r>
  <r>
    <s v="AIJOB00425"/>
    <x v="8"/>
    <x v="3"/>
    <s v="Education"/>
    <s v="Stockholm, Sweden"/>
    <s v="Sweden"/>
    <s v="Remote"/>
    <x v="1"/>
    <s v="8+ yrs"/>
    <n v="223233"/>
    <x v="424"/>
    <s v="None"/>
    <s v="Master's"/>
    <n v="45740"/>
    <n v="1745"/>
    <n v="3991"/>
    <s v="No"/>
    <n v="6"/>
    <s v="5000+"/>
    <s v="Full-time"/>
    <s v="Yes"/>
  </r>
  <r>
    <s v="AIJOB00426"/>
    <x v="13"/>
    <x v="23"/>
    <s v="Government"/>
    <s v="Bangalore, India"/>
    <s v="India"/>
    <s v="Remote"/>
    <x v="0"/>
    <s v="0-2 yrs"/>
    <n v="87244"/>
    <x v="425"/>
    <s v="None"/>
    <s v="Bachelor's"/>
    <n v="45390"/>
    <n v="1541"/>
    <n v="3321"/>
    <s v="No"/>
    <n v="0"/>
    <s v="51-200"/>
    <s v="Part-time"/>
    <s v="No"/>
  </r>
  <r>
    <s v="AIJOB00427"/>
    <x v="17"/>
    <x v="20"/>
    <s v="Energy"/>
    <s v="Tel Aviv, Israel"/>
    <s v="Israel"/>
    <s v="On-site"/>
    <x v="3"/>
    <s v="5-8 yrs"/>
    <n v="123947"/>
    <x v="426"/>
    <s v="Command R"/>
    <s v="Bachelor's"/>
    <n v="45653"/>
    <n v="1018"/>
    <n v="277"/>
    <s v="No"/>
    <n v="4"/>
    <s v="0-50"/>
    <s v="Full-time"/>
    <s v="No"/>
  </r>
  <r>
    <s v="AIJOB00428"/>
    <x v="7"/>
    <x v="16"/>
    <s v="Government"/>
    <s v="Singapore"/>
    <s v="Singapore"/>
    <s v="On-site"/>
    <x v="3"/>
    <s v="5-8 yrs"/>
    <n v="168523"/>
    <x v="427"/>
    <s v="GPT-4"/>
    <s v="Master's"/>
    <n v="45303"/>
    <n v="1966"/>
    <n v="1132"/>
    <s v="Yes"/>
    <n v="4"/>
    <s v="5000+"/>
    <s v="Full-time"/>
    <s v="Yes"/>
  </r>
  <r>
    <s v="AIJOB00429"/>
    <x v="17"/>
    <x v="19"/>
    <s v="Technology"/>
    <s v="New York, United States"/>
    <s v="United States"/>
    <s v="Remote"/>
    <x v="2"/>
    <s v="2-5 yrs"/>
    <n v="130956"/>
    <x v="428"/>
    <s v="None"/>
    <s v="Bootcamp/Self-taught"/>
    <n v="45507"/>
    <n v="1224"/>
    <n v="2834"/>
    <s v="No"/>
    <n v="2"/>
    <s v="0-50"/>
    <s v="Contract"/>
    <s v="Yes"/>
  </r>
  <r>
    <s v="AIJOB00430"/>
    <x v="18"/>
    <x v="14"/>
    <s v="Automotive"/>
    <s v="Seattle, United States"/>
    <s v="United States"/>
    <s v="Hybrid"/>
    <x v="3"/>
    <s v="5-8 yrs"/>
    <n v="102514"/>
    <x v="429"/>
    <s v="Falcon"/>
    <s v="Bachelor's"/>
    <n v="45341"/>
    <n v="2239"/>
    <n v="986"/>
    <s v="Maybe"/>
    <n v="4"/>
    <s v="0-50"/>
    <s v="Contract"/>
    <s v="No"/>
  </r>
  <r>
    <s v="AIJOB00431"/>
    <x v="7"/>
    <x v="29"/>
    <s v="Technology"/>
    <s v="Tokyo, Japan"/>
    <s v="Japan"/>
    <s v="Hybrid"/>
    <x v="0"/>
    <s v="0-2 yrs"/>
    <n v="55090"/>
    <x v="430"/>
    <s v="GPT-4"/>
    <s v="Master's"/>
    <n v="45683"/>
    <n v="566"/>
    <n v="3215"/>
    <s v="Yes"/>
    <n v="0"/>
    <s v="1001-5000"/>
    <s v="Full-time"/>
    <s v="No"/>
  </r>
  <r>
    <s v="AIJOB00432"/>
    <x v="19"/>
    <x v="6"/>
    <s v="Media"/>
    <s v="London, United Kingdom"/>
    <s v="United Kingdom"/>
    <s v="Hybrid"/>
    <x v="0"/>
    <s v="0-2 yrs"/>
    <n v="50000"/>
    <x v="431"/>
    <s v="Grok"/>
    <s v="Bachelor's"/>
    <n v="45578"/>
    <n v="343"/>
    <n v="1867"/>
    <s v="No"/>
    <n v="0"/>
    <s v="1001-5000"/>
    <s v="Contract"/>
    <s v="No"/>
  </r>
  <r>
    <s v="AIJOB00433"/>
    <x v="18"/>
    <x v="8"/>
    <s v="Defense"/>
    <s v="Bangalore, India"/>
    <s v="India"/>
    <s v="Hybrid"/>
    <x v="0"/>
    <s v="0-2 yrs"/>
    <n v="66605"/>
    <x v="432"/>
    <s v="Llama"/>
    <s v="Bachelor's"/>
    <n v="45592"/>
    <n v="2384"/>
    <n v="1059"/>
    <s v="No"/>
    <n v="0"/>
    <s v="1001-5000"/>
    <s v="Contract"/>
    <s v="Yes"/>
  </r>
  <r>
    <s v="AIJOB00434"/>
    <x v="7"/>
    <x v="6"/>
    <s v="Healthcare"/>
    <s v="New York, United States"/>
    <s v="United States"/>
    <s v="Remote"/>
    <x v="2"/>
    <s v="2-5 yrs"/>
    <n v="124207"/>
    <x v="433"/>
    <s v="None"/>
    <s v="Bachelor's"/>
    <n v="45451"/>
    <n v="1564"/>
    <n v="2481"/>
    <s v="No"/>
    <n v="2"/>
    <s v="201-1000"/>
    <s v="Part-time"/>
    <s v="No"/>
  </r>
  <r>
    <s v="AIJOB00435"/>
    <x v="3"/>
    <x v="19"/>
    <s v="Finance"/>
    <s v="Paris, France"/>
    <s v="France"/>
    <s v="Hybrid"/>
    <x v="0"/>
    <s v="0-2 yrs"/>
    <n v="88929"/>
    <x v="434"/>
    <s v="None"/>
    <s v="Master's"/>
    <n v="45719"/>
    <n v="2248"/>
    <n v="2855"/>
    <s v="No"/>
    <n v="0"/>
    <s v="1001-5000"/>
    <s v="Full-time"/>
    <s v="Yes"/>
  </r>
  <r>
    <s v="AIJOB00436"/>
    <x v="12"/>
    <x v="24"/>
    <s v="Retail"/>
    <s v="Tokyo, Japan"/>
    <s v="Japan"/>
    <s v="Remote"/>
    <x v="3"/>
    <s v="5-8 yrs"/>
    <n v="152000"/>
    <x v="435"/>
    <s v="None"/>
    <s v="Bootcamp/Self-taught"/>
    <n v="45460"/>
    <n v="1213"/>
    <n v="2849"/>
    <s v="Yes"/>
    <n v="4"/>
    <s v="5000+"/>
    <s v="Full-time"/>
    <s v="No"/>
  </r>
  <r>
    <s v="AIJOB00437"/>
    <x v="18"/>
    <x v="11"/>
    <s v="Healthcare"/>
    <s v="Singapore"/>
    <s v="Singapore"/>
    <s v="Remote"/>
    <x v="1"/>
    <s v="8+ yrs"/>
    <n v="258630"/>
    <x v="436"/>
    <s v="Phi"/>
    <s v="Bachelor's"/>
    <n v="45714"/>
    <n v="1096"/>
    <n v="2595"/>
    <s v="No"/>
    <n v="6"/>
    <s v="201-1000"/>
    <s v="Full-time"/>
    <s v="Yes"/>
  </r>
  <r>
    <s v="AIJOB00438"/>
    <x v="9"/>
    <x v="20"/>
    <s v="Automotive"/>
    <s v="Toronto, Canada"/>
    <s v="Canada"/>
    <s v="Remote"/>
    <x v="3"/>
    <s v="5-8 yrs"/>
    <n v="112737"/>
    <x v="437"/>
    <s v="GPT-4"/>
    <s v="Bootcamp/Self-taught"/>
    <n v="45426"/>
    <n v="385"/>
    <n v="3415"/>
    <s v="No"/>
    <n v="4"/>
    <s v="1001-5000"/>
    <s v="Full-time"/>
    <s v="No"/>
  </r>
  <r>
    <s v="AIJOB00439"/>
    <x v="18"/>
    <x v="8"/>
    <s v="Finance"/>
    <s v="Sydney, Australia"/>
    <s v="Australia"/>
    <s v="Hybrid"/>
    <x v="2"/>
    <s v="2-5 yrs"/>
    <n v="76273"/>
    <x v="438"/>
    <s v="None"/>
    <s v="Bachelor's"/>
    <n v="45481"/>
    <n v="835"/>
    <n v="3265"/>
    <s v="Yes"/>
    <n v="2"/>
    <s v="5000+"/>
    <s v="Full-time"/>
    <s v="Yes"/>
  </r>
  <r>
    <s v="AIJOB00440"/>
    <x v="6"/>
    <x v="16"/>
    <s v="Healthcare"/>
    <s v="Paris, France"/>
    <s v="France"/>
    <s v="On-site"/>
    <x v="1"/>
    <s v="8+ yrs"/>
    <n v="198000"/>
    <x v="439"/>
    <s v="Mistral"/>
    <s v="PhD"/>
    <n v="45682"/>
    <n v="2302"/>
    <n v="867"/>
    <s v="No"/>
    <n v="6"/>
    <s v="1001-5000"/>
    <s v="Contract"/>
    <s v="No"/>
  </r>
  <r>
    <s v="AIJOB00441"/>
    <x v="15"/>
    <x v="24"/>
    <s v="Automotive"/>
    <s v="Dublin, Ireland"/>
    <s v="Ireland"/>
    <s v="Remote"/>
    <x v="1"/>
    <s v="8+ yrs"/>
    <n v="213826"/>
    <x v="440"/>
    <s v="Command R"/>
    <s v="Master's"/>
    <n v="45557"/>
    <n v="449"/>
    <n v="858"/>
    <s v="Yes"/>
    <n v="6"/>
    <s v="51-200"/>
    <s v="Full-time"/>
    <s v="Yes"/>
  </r>
  <r>
    <s v="AIJOB00442"/>
    <x v="9"/>
    <x v="22"/>
    <s v="Education"/>
    <s v="Los Angeles, United States"/>
    <s v="United States"/>
    <s v="On-site"/>
    <x v="3"/>
    <s v="5-8 yrs"/>
    <n v="149117"/>
    <x v="441"/>
    <s v="Claude"/>
    <s v="Master's"/>
    <n v="45584"/>
    <n v="1242"/>
    <n v="2401"/>
    <s v="Yes"/>
    <n v="4"/>
    <s v="5000+"/>
    <s v="Full-time"/>
    <s v="Yes"/>
  </r>
  <r>
    <s v="AIJOB00443"/>
    <x v="14"/>
    <x v="28"/>
    <s v="Finance"/>
    <s v="Los Angeles, United States"/>
    <s v="United States"/>
    <s v="Remote"/>
    <x v="1"/>
    <s v="8+ yrs"/>
    <n v="125572"/>
    <x v="442"/>
    <s v="Claude"/>
    <s v="Bachelor's"/>
    <n v="45546"/>
    <n v="2355"/>
    <n v="2110"/>
    <s v="No"/>
    <n v="6"/>
    <s v="0-50"/>
    <s v="Contract"/>
    <s v="No"/>
  </r>
  <r>
    <s v="AIJOB00444"/>
    <x v="0"/>
    <x v="26"/>
    <s v="Defense"/>
    <s v="Seattle, United States"/>
    <s v="United States"/>
    <s v="Remote"/>
    <x v="0"/>
    <s v="0-2 yrs"/>
    <n v="68877"/>
    <x v="443"/>
    <s v="Mistral"/>
    <s v="Bootcamp/Self-taught"/>
    <n v="45571"/>
    <n v="1369"/>
    <n v="44"/>
    <s v="No"/>
    <n v="0"/>
    <s v="201-1000"/>
    <s v="Contract"/>
    <s v="No"/>
  </r>
  <r>
    <s v="AIJOB00445"/>
    <x v="11"/>
    <x v="24"/>
    <s v="Retail"/>
    <s v="Zurich, Switzerland"/>
    <s v="Switzerland"/>
    <s v="Hybrid"/>
    <x v="1"/>
    <s v="8+ yrs"/>
    <n v="153039"/>
    <x v="444"/>
    <s v="Llama"/>
    <s v="Master's"/>
    <n v="45298"/>
    <n v="2219"/>
    <n v="2969"/>
    <s v="No"/>
    <n v="6"/>
    <s v="201-1000"/>
    <s v="Contract"/>
    <s v="Yes"/>
  </r>
  <r>
    <s v="AIJOB00446"/>
    <x v="9"/>
    <x v="1"/>
    <s v="Retail"/>
    <s v="Los Angeles, United States"/>
    <s v="United States"/>
    <s v="Remote"/>
    <x v="1"/>
    <s v="8+ yrs"/>
    <n v="224108"/>
    <x v="445"/>
    <s v="Falcon"/>
    <s v="Master's"/>
    <n v="45522"/>
    <n v="1952"/>
    <n v="3134"/>
    <s v="No"/>
    <n v="6"/>
    <s v="5000+"/>
    <s v="Full-time"/>
    <s v="No"/>
  </r>
  <r>
    <s v="AIJOB00447"/>
    <x v="12"/>
    <x v="13"/>
    <s v="Energy"/>
    <s v="Berlin, Germany"/>
    <s v="Germany"/>
    <s v="Remote"/>
    <x v="0"/>
    <s v="0-2 yrs"/>
    <n v="74619"/>
    <x v="446"/>
    <s v="BLOOM"/>
    <s v="Master's"/>
    <n v="45461"/>
    <n v="2244"/>
    <n v="454"/>
    <s v="No"/>
    <n v="0"/>
    <s v="1001-5000"/>
    <s v="Full-time"/>
    <s v="Yes"/>
  </r>
  <r>
    <s v="AIJOB00448"/>
    <x v="15"/>
    <x v="3"/>
    <s v="Energy"/>
    <s v="Stockholm, Sweden"/>
    <s v="Sweden"/>
    <s v="Remote"/>
    <x v="0"/>
    <s v="0-2 yrs"/>
    <n v="58157"/>
    <x v="447"/>
    <s v="Mistral"/>
    <s v="Bachelor's"/>
    <n v="45715"/>
    <n v="535"/>
    <n v="1519"/>
    <s v="No"/>
    <n v="0"/>
    <s v="51-200"/>
    <s v="Full-time"/>
    <s v="No"/>
  </r>
  <r>
    <s v="AIJOB00449"/>
    <x v="11"/>
    <x v="20"/>
    <s v="Defense"/>
    <s v="London, United Kingdom"/>
    <s v="United Kingdom"/>
    <s v="Remote"/>
    <x v="2"/>
    <s v="2-5 yrs"/>
    <n v="99825"/>
    <x v="448"/>
    <s v="Command R"/>
    <s v="Master's"/>
    <n v="45506"/>
    <n v="1571"/>
    <n v="2416"/>
    <s v="Yes"/>
    <n v="2"/>
    <s v="1001-5000"/>
    <s v="Full-time"/>
    <s v="Yes"/>
  </r>
  <r>
    <s v="AIJOB00450"/>
    <x v="3"/>
    <x v="2"/>
    <s v="Technology"/>
    <s v="Seattle, United States"/>
    <s v="United States"/>
    <s v="On-site"/>
    <x v="1"/>
    <s v="8+ yrs"/>
    <n v="161868"/>
    <x v="449"/>
    <s v="Command R"/>
    <s v="PhD"/>
    <n v="45601"/>
    <n v="1479"/>
    <n v="2657"/>
    <s v="Maybe"/>
    <n v="6"/>
    <s v="1001-5000"/>
    <s v="Full-time"/>
    <s v="No"/>
  </r>
  <r>
    <s v="AIJOB00451"/>
    <x v="5"/>
    <x v="18"/>
    <s v="Media"/>
    <s v="Tokyo, Japan"/>
    <s v="Japan"/>
    <s v="On-site"/>
    <x v="1"/>
    <s v="8+ yrs"/>
    <n v="197743"/>
    <x v="450"/>
    <s v="BLOOM"/>
    <s v="Bootcamp/Self-taught"/>
    <n v="45727"/>
    <n v="1051"/>
    <n v="2871"/>
    <s v="No"/>
    <n v="6"/>
    <s v="1001-5000"/>
    <s v="Full-time"/>
    <s v="Yes"/>
  </r>
  <r>
    <s v="AIJOB00452"/>
    <x v="15"/>
    <x v="13"/>
    <s v="Finance"/>
    <s v="Stockholm, Sweden"/>
    <s v="Sweden"/>
    <s v="Remote"/>
    <x v="3"/>
    <s v="5-8 yrs"/>
    <n v="175788"/>
    <x v="451"/>
    <s v="Falcon"/>
    <s v="Master's"/>
    <n v="45326"/>
    <n v="1635"/>
    <n v="1689"/>
    <s v="No"/>
    <n v="4"/>
    <s v="201-1000"/>
    <s v="Full-time"/>
    <s v="Yes"/>
  </r>
  <r>
    <s v="AIJOB00453"/>
    <x v="13"/>
    <x v="1"/>
    <s v="Education"/>
    <s v="Bangalore, India"/>
    <s v="India"/>
    <s v="Remote"/>
    <x v="0"/>
    <s v="0-2 yrs"/>
    <n v="57579"/>
    <x v="452"/>
    <s v="Gemini"/>
    <s v="Master's"/>
    <n v="45673"/>
    <n v="579"/>
    <n v="348"/>
    <s v="No"/>
    <n v="0"/>
    <s v="51-200"/>
    <s v="Contract"/>
    <s v="Yes"/>
  </r>
  <r>
    <s v="AIJOB00454"/>
    <x v="8"/>
    <x v="3"/>
    <s v="Automotive"/>
    <s v="Toronto, Canada"/>
    <s v="Canada"/>
    <s v="Remote"/>
    <x v="3"/>
    <s v="5-8 yrs"/>
    <n v="163609"/>
    <x v="453"/>
    <s v="GPT-4"/>
    <s v="Bachelor's"/>
    <n v="45301"/>
    <n v="1766"/>
    <n v="738"/>
    <s v="Yes"/>
    <n v="4"/>
    <s v="0-50"/>
    <s v="Contract"/>
    <s v="No"/>
  </r>
  <r>
    <s v="AIJOB00455"/>
    <x v="14"/>
    <x v="15"/>
    <s v="Technology"/>
    <s v="Dublin, Ireland"/>
    <s v="Ireland"/>
    <s v="Hybrid"/>
    <x v="0"/>
    <s v="0-2 yrs"/>
    <n v="63318"/>
    <x v="454"/>
    <s v="Grok"/>
    <s v="PhD"/>
    <n v="45658"/>
    <n v="1126"/>
    <n v="3814"/>
    <s v="Yes"/>
    <n v="0"/>
    <s v="51-200"/>
    <s v="Full-time"/>
    <s v="Yes"/>
  </r>
  <r>
    <s v="AIJOB00456"/>
    <x v="13"/>
    <x v="14"/>
    <s v="Healthcare"/>
    <s v="Austin, United States"/>
    <s v="United States"/>
    <s v="On-site"/>
    <x v="0"/>
    <s v="0-2 yrs"/>
    <n v="60009"/>
    <x v="455"/>
    <s v="None"/>
    <s v="PhD"/>
    <n v="45640"/>
    <n v="480"/>
    <n v="1712"/>
    <s v="No"/>
    <n v="0"/>
    <s v="201-1000"/>
    <s v="Full-time"/>
    <s v="No"/>
  </r>
  <r>
    <s v="AIJOB00457"/>
    <x v="6"/>
    <x v="15"/>
    <s v="Media"/>
    <s v="Stockholm, Sweden"/>
    <s v="Sweden"/>
    <s v="Remote"/>
    <x v="2"/>
    <s v="2-5 yrs"/>
    <n v="107880"/>
    <x v="456"/>
    <s v="Gemini"/>
    <s v="Master's"/>
    <n v="45511"/>
    <n v="349"/>
    <n v="1604"/>
    <s v="Yes"/>
    <n v="2"/>
    <s v="51-200"/>
    <s v="Full-time"/>
    <s v="No"/>
  </r>
  <r>
    <s v="AIJOB00458"/>
    <x v="6"/>
    <x v="20"/>
    <s v="Automotive"/>
    <s v="New York, United States"/>
    <s v="United States"/>
    <s v="Remote"/>
    <x v="3"/>
    <s v="5-8 yrs"/>
    <n v="122048"/>
    <x v="457"/>
    <s v="Grok"/>
    <s v="Bootcamp/Self-taught"/>
    <n v="45403"/>
    <n v="1628"/>
    <n v="2594"/>
    <s v="No"/>
    <n v="4"/>
    <s v="51-200"/>
    <s v="Full-time"/>
    <s v="No"/>
  </r>
  <r>
    <s v="AIJOB00459"/>
    <x v="18"/>
    <x v="9"/>
    <s v="Technology"/>
    <s v="Seattle, United States"/>
    <s v="United States"/>
    <s v="Remote"/>
    <x v="1"/>
    <s v="8+ yrs"/>
    <n v="180068"/>
    <x v="458"/>
    <s v="GPT-4"/>
    <s v="Master's"/>
    <n v="45603"/>
    <n v="808"/>
    <n v="1275"/>
    <s v="Yes"/>
    <n v="6"/>
    <s v="1001-5000"/>
    <s v="Contract"/>
    <s v="No"/>
  </r>
  <r>
    <s v="AIJOB00460"/>
    <x v="17"/>
    <x v="18"/>
    <s v="Government"/>
    <s v="Boston, United States"/>
    <s v="United States"/>
    <s v="Hybrid"/>
    <x v="2"/>
    <s v="2-5 yrs"/>
    <n v="86282"/>
    <x v="459"/>
    <s v="Grok"/>
    <s v="Bachelor's"/>
    <n v="45395"/>
    <n v="1600"/>
    <n v="2646"/>
    <s v="No"/>
    <n v="2"/>
    <s v="0-50"/>
    <s v="Full-time"/>
    <s v="No"/>
  </r>
  <r>
    <s v="AIJOB00461"/>
    <x v="5"/>
    <x v="19"/>
    <s v="Retail"/>
    <s v="Paris, France"/>
    <s v="France"/>
    <s v="On-site"/>
    <x v="0"/>
    <s v="0-2 yrs"/>
    <n v="94755"/>
    <x v="460"/>
    <s v="None"/>
    <s v="Master's"/>
    <n v="45461"/>
    <n v="1862"/>
    <n v="2145"/>
    <s v="No"/>
    <n v="0"/>
    <s v="1001-5000"/>
    <s v="Full-time"/>
    <s v="Yes"/>
  </r>
  <r>
    <s v="AIJOB00462"/>
    <x v="8"/>
    <x v="9"/>
    <s v="Energy"/>
    <s v="Singapore"/>
    <s v="Singapore"/>
    <s v="Remote"/>
    <x v="0"/>
    <s v="0-2 yrs"/>
    <n v="70444"/>
    <x v="461"/>
    <s v="Llama"/>
    <s v="Bachelor's"/>
    <n v="45364"/>
    <n v="2213"/>
    <n v="1285"/>
    <s v="Yes"/>
    <n v="0"/>
    <s v="51-200"/>
    <s v="Full-time"/>
    <s v="Yes"/>
  </r>
  <r>
    <s v="AIJOB00463"/>
    <x v="7"/>
    <x v="4"/>
    <s v="Media"/>
    <s v="Sydney, Australia"/>
    <s v="Australia"/>
    <s v="Hybrid"/>
    <x v="3"/>
    <s v="5-8 yrs"/>
    <n v="131107"/>
    <x v="462"/>
    <s v="Falcon"/>
    <s v="Bachelor's"/>
    <n v="45617"/>
    <n v="2107"/>
    <n v="1741"/>
    <s v="No"/>
    <n v="4"/>
    <s v="1001-5000"/>
    <s v="Contract"/>
    <s v="No"/>
  </r>
  <r>
    <s v="AIJOB00464"/>
    <x v="8"/>
    <x v="22"/>
    <s v="Education"/>
    <s v="Chicago, United States"/>
    <s v="United States"/>
    <s v="Remote"/>
    <x v="0"/>
    <s v="0-2 yrs"/>
    <n v="72696"/>
    <x v="463"/>
    <s v="Command R"/>
    <s v="Bachelor's"/>
    <n v="45334"/>
    <n v="2269"/>
    <n v="304"/>
    <s v="No"/>
    <n v="0"/>
    <s v="1001-5000"/>
    <s v="Full-time"/>
    <s v="No"/>
  </r>
  <r>
    <s v="AIJOB00465"/>
    <x v="13"/>
    <x v="13"/>
    <s v="Media"/>
    <s v="Dublin, Ireland"/>
    <s v="Ireland"/>
    <s v="Hybrid"/>
    <x v="0"/>
    <s v="0-2 yrs"/>
    <n v="68584"/>
    <x v="464"/>
    <s v="Grok"/>
    <s v="PhD"/>
    <n v="45483"/>
    <n v="809"/>
    <n v="1586"/>
    <s v="Maybe"/>
    <n v="0"/>
    <s v="51-200"/>
    <s v="Full-time"/>
    <s v="Yes"/>
  </r>
  <r>
    <s v="AIJOB00466"/>
    <x v="2"/>
    <x v="9"/>
    <s v="Education"/>
    <s v="Dublin, Ireland"/>
    <s v="Ireland"/>
    <s v="Hybrid"/>
    <x v="3"/>
    <s v="5-8 yrs"/>
    <n v="144033"/>
    <x v="465"/>
    <s v="None"/>
    <s v="Bachelor's"/>
    <n v="45617"/>
    <n v="1780"/>
    <n v="2594"/>
    <s v="No"/>
    <n v="4"/>
    <s v="0-50"/>
    <s v="Full-time"/>
    <s v="No"/>
  </r>
  <r>
    <s v="AIJOB00467"/>
    <x v="2"/>
    <x v="4"/>
    <s v="Media"/>
    <s v="Berlin, Germany"/>
    <s v="Germany"/>
    <s v="Remote"/>
    <x v="1"/>
    <s v="8+ yrs"/>
    <n v="222110"/>
    <x v="466"/>
    <s v="None"/>
    <s v="PhD"/>
    <n v="45600"/>
    <n v="629"/>
    <n v="2133"/>
    <s v="Maybe"/>
    <n v="6"/>
    <s v="1001-5000"/>
    <s v="Full-time"/>
    <s v="Yes"/>
  </r>
  <r>
    <s v="AIJOB00468"/>
    <x v="5"/>
    <x v="28"/>
    <s v="Healthcare"/>
    <s v="Zurich, Switzerland"/>
    <s v="Switzerland"/>
    <s v="Remote"/>
    <x v="1"/>
    <s v="8+ yrs"/>
    <n v="227270"/>
    <x v="467"/>
    <s v="None"/>
    <s v="Bachelor's"/>
    <n v="45502"/>
    <n v="1158"/>
    <n v="3819"/>
    <s v="No"/>
    <n v="6"/>
    <s v="201-1000"/>
    <s v="Full-time"/>
    <s v="Yes"/>
  </r>
  <r>
    <s v="AIJOB00469"/>
    <x v="8"/>
    <x v="20"/>
    <s v="Healthcare"/>
    <s v="London, United Kingdom"/>
    <s v="United Kingdom"/>
    <s v="Remote"/>
    <x v="0"/>
    <s v="0-2 yrs"/>
    <n v="63315"/>
    <x v="468"/>
    <s v="Falcon"/>
    <s v="Bachelor's"/>
    <n v="45648"/>
    <n v="1045"/>
    <n v="2068"/>
    <s v="Maybe"/>
    <n v="0"/>
    <s v="1001-5000"/>
    <s v="Full-time"/>
    <s v="Yes"/>
  </r>
  <r>
    <s v="AIJOB00470"/>
    <x v="9"/>
    <x v="11"/>
    <s v="Healthcare"/>
    <s v="Toronto, Canada"/>
    <s v="Canada"/>
    <s v="On-site"/>
    <x v="0"/>
    <s v="0-2 yrs"/>
    <n v="62744"/>
    <x v="469"/>
    <s v="None"/>
    <s v="Bachelor's"/>
    <n v="45390"/>
    <n v="651"/>
    <n v="1557"/>
    <s v="Yes"/>
    <n v="0"/>
    <s v="0-50"/>
    <s v="Full-time"/>
    <s v="No"/>
  </r>
  <r>
    <s v="AIJOB00471"/>
    <x v="8"/>
    <x v="11"/>
    <s v="Retail"/>
    <s v="London, United Kingdom"/>
    <s v="United Kingdom"/>
    <s v="Remote"/>
    <x v="1"/>
    <s v="8+ yrs"/>
    <n v="190098"/>
    <x v="470"/>
    <s v="None"/>
    <s v="Master's"/>
    <n v="45428"/>
    <n v="329"/>
    <n v="1548"/>
    <s v="No"/>
    <n v="6"/>
    <s v="201-1000"/>
    <s v="Part-time"/>
    <s v="No"/>
  </r>
  <r>
    <s v="AIJOB00472"/>
    <x v="18"/>
    <x v="17"/>
    <s v="Government"/>
    <s v="Austin, United States"/>
    <s v="United States"/>
    <s v="Remote"/>
    <x v="1"/>
    <s v="8+ yrs"/>
    <n v="117130"/>
    <x v="471"/>
    <s v="Grok"/>
    <s v="PhD"/>
    <n v="45747"/>
    <n v="710"/>
    <n v="22"/>
    <s v="No"/>
    <n v="6"/>
    <s v="1001-5000"/>
    <s v="Contract"/>
    <s v="No"/>
  </r>
  <r>
    <s v="AIJOB00473"/>
    <x v="3"/>
    <x v="5"/>
    <s v="Media"/>
    <s v="Tokyo, Japan"/>
    <s v="Japan"/>
    <s v="Remote"/>
    <x v="0"/>
    <s v="0-2 yrs"/>
    <n v="50908"/>
    <x v="472"/>
    <s v="Command R"/>
    <s v="Master's"/>
    <n v="45563"/>
    <n v="312"/>
    <n v="2623"/>
    <s v="Maybe"/>
    <n v="0"/>
    <s v="201-1000"/>
    <s v="Full-time"/>
    <s v="Yes"/>
  </r>
  <r>
    <s v="AIJOB00474"/>
    <x v="17"/>
    <x v="29"/>
    <s v="Education"/>
    <s v="Bangalore, India"/>
    <s v="India"/>
    <s v="Remote"/>
    <x v="3"/>
    <s v="5-8 yrs"/>
    <n v="186905"/>
    <x v="473"/>
    <s v="None"/>
    <s v="Bootcamp/Self-taught"/>
    <n v="45540"/>
    <n v="711"/>
    <n v="3017"/>
    <s v="No"/>
    <n v="4"/>
    <s v="5000+"/>
    <s v="Full-time"/>
    <s v="Yes"/>
  </r>
  <r>
    <s v="AIJOB00475"/>
    <x v="10"/>
    <x v="11"/>
    <s v="Education"/>
    <s v="Berlin, Germany"/>
    <s v="Germany"/>
    <s v="Hybrid"/>
    <x v="0"/>
    <s v="0-2 yrs"/>
    <n v="90726"/>
    <x v="474"/>
    <s v="Command R"/>
    <s v="Master's"/>
    <n v="45336"/>
    <n v="1286"/>
    <n v="1006"/>
    <s v="Yes"/>
    <n v="0"/>
    <s v="0-50"/>
    <s v="Full-time"/>
    <s v="No"/>
  </r>
  <r>
    <s v="AIJOB00476"/>
    <x v="13"/>
    <x v="3"/>
    <s v="Finance"/>
    <s v="Austin, United States"/>
    <s v="United States"/>
    <s v="On-site"/>
    <x v="2"/>
    <s v="2-5 yrs"/>
    <n v="105069"/>
    <x v="475"/>
    <s v="None"/>
    <s v="Master's"/>
    <n v="45684"/>
    <n v="2489"/>
    <n v="2605"/>
    <s v="No"/>
    <n v="2"/>
    <s v="0-50"/>
    <s v="Contract"/>
    <s v="Yes"/>
  </r>
  <r>
    <s v="AIJOB00477"/>
    <x v="7"/>
    <x v="22"/>
    <s v="Finance"/>
    <s v="Austin, United States"/>
    <s v="United States"/>
    <s v="Remote"/>
    <x v="0"/>
    <s v="0-2 yrs"/>
    <n v="77264"/>
    <x v="476"/>
    <s v="Claude"/>
    <s v="Bachelor's"/>
    <n v="45659"/>
    <n v="1693"/>
    <n v="3043"/>
    <s v="No"/>
    <n v="0"/>
    <s v="51-200"/>
    <s v="Contract"/>
    <s v="Yes"/>
  </r>
  <r>
    <s v="AIJOB00478"/>
    <x v="16"/>
    <x v="0"/>
    <s v="Government"/>
    <s v="Austin, United States"/>
    <s v="United States"/>
    <s v="On-site"/>
    <x v="2"/>
    <s v="2-5 yrs"/>
    <n v="116162"/>
    <x v="477"/>
    <s v="BLOOM"/>
    <s v="PhD"/>
    <n v="45587"/>
    <n v="817"/>
    <n v="2138"/>
    <s v="No"/>
    <n v="2"/>
    <s v="5000+"/>
    <s v="Full-time"/>
    <s v="Yes"/>
  </r>
  <r>
    <s v="AIJOB00479"/>
    <x v="1"/>
    <x v="12"/>
    <s v="Technology"/>
    <s v="Austin, United States"/>
    <s v="United States"/>
    <s v="Remote"/>
    <x v="1"/>
    <s v="8+ yrs"/>
    <n v="310839"/>
    <x v="478"/>
    <s v="Gemini"/>
    <s v="Master's"/>
    <n v="45443"/>
    <n v="1565"/>
    <n v="2067"/>
    <s v="Maybe"/>
    <n v="6"/>
    <s v="0-50"/>
    <s v="Full-time"/>
    <s v="No"/>
  </r>
  <r>
    <s v="AIJOB00480"/>
    <x v="12"/>
    <x v="29"/>
    <s v="Retail"/>
    <s v="Singapore"/>
    <s v="Singapore"/>
    <s v="Hybrid"/>
    <x v="1"/>
    <s v="8+ yrs"/>
    <n v="240304"/>
    <x v="479"/>
    <s v="None"/>
    <s v="PhD"/>
    <n v="45652"/>
    <n v="515"/>
    <n v="3791"/>
    <s v="Maybe"/>
    <n v="6"/>
    <s v="51-200"/>
    <s v="Contract"/>
    <s v="No"/>
  </r>
  <r>
    <s v="AIJOB00481"/>
    <x v="5"/>
    <x v="22"/>
    <s v="Retail"/>
    <s v="San Francisco, United States"/>
    <s v="United States"/>
    <s v="Hybrid"/>
    <x v="2"/>
    <s v="2-5 yrs"/>
    <n v="107467"/>
    <x v="480"/>
    <s v="Mistral"/>
    <s v="PhD"/>
    <n v="45464"/>
    <n v="1912"/>
    <n v="408"/>
    <s v="Yes"/>
    <n v="2"/>
    <s v="5000+"/>
    <s v="Contract"/>
    <s v="Yes"/>
  </r>
  <r>
    <s v="AIJOB00482"/>
    <x v="5"/>
    <x v="15"/>
    <s v="Government"/>
    <s v="Toronto, Canada"/>
    <s v="Canada"/>
    <s v="Hybrid"/>
    <x v="1"/>
    <s v="8+ yrs"/>
    <n v="165600"/>
    <x v="481"/>
    <s v="None"/>
    <s v="PhD"/>
    <n v="45518"/>
    <n v="717"/>
    <n v="2788"/>
    <s v="No"/>
    <n v="6"/>
    <s v="51-200"/>
    <s v="Full-time"/>
    <s v="No"/>
  </r>
  <r>
    <s v="AIJOB00483"/>
    <x v="15"/>
    <x v="27"/>
    <s v="Media"/>
    <s v="London, United Kingdom"/>
    <s v="United Kingdom"/>
    <s v="Remote"/>
    <x v="0"/>
    <s v="0-2 yrs"/>
    <n v="50000"/>
    <x v="482"/>
    <s v="BLOOM"/>
    <s v="Bachelor's"/>
    <n v="45534"/>
    <n v="786"/>
    <n v="996"/>
    <s v="No"/>
    <n v="0"/>
    <s v="201-1000"/>
    <s v="Full-time"/>
    <s v="No"/>
  </r>
  <r>
    <s v="AIJOB00484"/>
    <x v="11"/>
    <x v="11"/>
    <s v="Education"/>
    <s v="Bangalore, India"/>
    <s v="India"/>
    <s v="On-site"/>
    <x v="0"/>
    <s v="0-2 yrs"/>
    <n v="72563"/>
    <x v="483"/>
    <s v="Claude"/>
    <s v="Master's"/>
    <n v="45624"/>
    <n v="2387"/>
    <n v="931"/>
    <s v="Yes"/>
    <n v="0"/>
    <s v="5000+"/>
    <s v="Part-time"/>
    <s v="No"/>
  </r>
  <r>
    <s v="AIJOB00485"/>
    <x v="0"/>
    <x v="16"/>
    <s v="Energy"/>
    <s v="Chicago, United States"/>
    <s v="United States"/>
    <s v="Hybrid"/>
    <x v="2"/>
    <s v="2-5 yrs"/>
    <n v="95024"/>
    <x v="484"/>
    <s v="None"/>
    <s v="Bachelor's"/>
    <n v="45622"/>
    <n v="380"/>
    <n v="1622"/>
    <s v="No"/>
    <n v="2"/>
    <s v="5000+"/>
    <s v="Contract"/>
    <s v="No"/>
  </r>
  <r>
    <s v="AIJOB00486"/>
    <x v="4"/>
    <x v="19"/>
    <s v="Government"/>
    <s v="Singapore"/>
    <s v="Singapore"/>
    <s v="On-site"/>
    <x v="0"/>
    <s v="0-2 yrs"/>
    <n v="52079"/>
    <x v="485"/>
    <s v="Command R"/>
    <s v="Bachelor's"/>
    <n v="45352"/>
    <n v="827"/>
    <n v="2365"/>
    <s v="Yes"/>
    <n v="0"/>
    <s v="51-200"/>
    <s v="Full-time"/>
    <s v="Yes"/>
  </r>
  <r>
    <s v="AIJOB00487"/>
    <x v="17"/>
    <x v="5"/>
    <s v="Automotive"/>
    <s v="London, United Kingdom"/>
    <s v="United Kingdom"/>
    <s v="Hybrid"/>
    <x v="0"/>
    <s v="0-2 yrs"/>
    <n v="61853"/>
    <x v="486"/>
    <s v="None"/>
    <s v="Master's"/>
    <n v="45478"/>
    <n v="2122"/>
    <n v="582"/>
    <s v="No"/>
    <n v="0"/>
    <s v="201-1000"/>
    <s v="Full-time"/>
    <s v="No"/>
  </r>
  <r>
    <s v="AIJOB00488"/>
    <x v="16"/>
    <x v="26"/>
    <s v="Healthcare"/>
    <s v="London, United Kingdom"/>
    <s v="United Kingdom"/>
    <s v="Hybrid"/>
    <x v="2"/>
    <s v="2-5 yrs"/>
    <n v="88585"/>
    <x v="487"/>
    <s v="None"/>
    <s v="Master's"/>
    <n v="45314"/>
    <n v="1184"/>
    <n v="2433"/>
    <s v="No"/>
    <n v="2"/>
    <s v="51-200"/>
    <s v="Contract"/>
    <s v="Yes"/>
  </r>
  <r>
    <s v="AIJOB00489"/>
    <x v="1"/>
    <x v="13"/>
    <s v="Automotive"/>
    <s v="Amsterdam, Netherlands"/>
    <s v="Netherlands"/>
    <s v="Remote"/>
    <x v="3"/>
    <s v="5-8 yrs"/>
    <n v="195552"/>
    <x v="488"/>
    <s v="Llama"/>
    <s v="Bootcamp/Self-taught"/>
    <n v="45375"/>
    <n v="1089"/>
    <n v="2936"/>
    <s v="No"/>
    <n v="4"/>
    <s v="5000+"/>
    <s v="Full-time"/>
    <s v="Yes"/>
  </r>
  <r>
    <s v="AIJOB00490"/>
    <x v="3"/>
    <x v="0"/>
    <s v="Finance"/>
    <s v="Los Angeles, United States"/>
    <s v="United States"/>
    <s v="Remote"/>
    <x v="3"/>
    <s v="5-8 yrs"/>
    <n v="173804"/>
    <x v="489"/>
    <s v="Phi"/>
    <s v="Master's"/>
    <n v="45601"/>
    <n v="664"/>
    <n v="1496"/>
    <s v="Maybe"/>
    <n v="4"/>
    <s v="201-1000"/>
    <s v="Full-time"/>
    <s v="No"/>
  </r>
  <r>
    <s v="AIJOB00491"/>
    <x v="2"/>
    <x v="2"/>
    <s v="Education"/>
    <s v="London, United Kingdom"/>
    <s v="United Kingdom"/>
    <s v="Remote"/>
    <x v="0"/>
    <s v="0-2 yrs"/>
    <n v="69899"/>
    <x v="490"/>
    <s v="None"/>
    <s v="Bachelor's"/>
    <n v="45405"/>
    <n v="1729"/>
    <n v="2879"/>
    <s v="No"/>
    <n v="0"/>
    <s v="201-1000"/>
    <s v="Full-time"/>
    <s v="No"/>
  </r>
  <r>
    <s v="AIJOB00492"/>
    <x v="17"/>
    <x v="7"/>
    <s v="Energy"/>
    <s v="Austin, United States"/>
    <s v="United States"/>
    <s v="On-site"/>
    <x v="2"/>
    <s v="2-5 yrs"/>
    <n v="139302"/>
    <x v="491"/>
    <s v="None"/>
    <s v="Master's"/>
    <n v="45491"/>
    <n v="1949"/>
    <n v="1963"/>
    <s v="No"/>
    <n v="2"/>
    <s v="201-1000"/>
    <s v="Full-time"/>
    <s v="No"/>
  </r>
  <r>
    <s v="AIJOB00493"/>
    <x v="3"/>
    <x v="3"/>
    <s v="Defense"/>
    <s v="Berlin, Germany"/>
    <s v="Germany"/>
    <s v="Remote"/>
    <x v="2"/>
    <s v="2-5 yrs"/>
    <n v="111531"/>
    <x v="492"/>
    <s v="None"/>
    <s v="Master's"/>
    <n v="45668"/>
    <n v="2175"/>
    <n v="759"/>
    <s v="No"/>
    <n v="2"/>
    <s v="201-1000"/>
    <s v="Contract"/>
    <s v="No"/>
  </r>
  <r>
    <s v="AIJOB00494"/>
    <x v="2"/>
    <x v="0"/>
    <s v="Government"/>
    <s v="Dublin, Ireland"/>
    <s v="Ireland"/>
    <s v="On-site"/>
    <x v="1"/>
    <s v="8+ yrs"/>
    <n v="168993"/>
    <x v="493"/>
    <s v="None"/>
    <s v="PhD"/>
    <n v="45743"/>
    <n v="625"/>
    <n v="324"/>
    <s v="No"/>
    <n v="6"/>
    <s v="0-50"/>
    <s v="Full-time"/>
    <s v="Yes"/>
  </r>
  <r>
    <s v="AIJOB00495"/>
    <x v="5"/>
    <x v="23"/>
    <s v="Finance"/>
    <s v="San Francisco, United States"/>
    <s v="United States"/>
    <s v="On-site"/>
    <x v="1"/>
    <s v="8+ yrs"/>
    <n v="254832"/>
    <x v="494"/>
    <s v="None"/>
    <s v="Master's"/>
    <n v="45509"/>
    <n v="1078"/>
    <n v="3740"/>
    <s v="No"/>
    <n v="6"/>
    <s v="0-50"/>
    <s v="Contract"/>
    <s v="No"/>
  </r>
  <r>
    <s v="AIJOB00496"/>
    <x v="16"/>
    <x v="5"/>
    <s v="Government"/>
    <s v="Dublin, Ireland"/>
    <s v="Ireland"/>
    <s v="Hybrid"/>
    <x v="2"/>
    <s v="2-5 yrs"/>
    <n v="120670"/>
    <x v="495"/>
    <s v="Gemini"/>
    <s v="Bootcamp/Self-taught"/>
    <n v="45313"/>
    <n v="2031"/>
    <n v="2039"/>
    <s v="No"/>
    <n v="2"/>
    <s v="201-1000"/>
    <s v="Part-time"/>
    <s v="Yes"/>
  </r>
  <r>
    <s v="AIJOB00497"/>
    <x v="7"/>
    <x v="29"/>
    <s v="Energy"/>
    <s v="Sydney, Australia"/>
    <s v="Australia"/>
    <s v="Remote"/>
    <x v="0"/>
    <s v="0-2 yrs"/>
    <n v="56930"/>
    <x v="496"/>
    <s v="Mistral"/>
    <s v="PhD"/>
    <n v="45442"/>
    <n v="445"/>
    <n v="3841"/>
    <s v="No"/>
    <n v="0"/>
    <s v="5000+"/>
    <s v="Contract"/>
    <s v="Yes"/>
  </r>
  <r>
    <s v="AIJOB00498"/>
    <x v="13"/>
    <x v="15"/>
    <s v="Finance"/>
    <s v="Austin, United States"/>
    <s v="United States"/>
    <s v="Remote"/>
    <x v="1"/>
    <s v="8+ yrs"/>
    <n v="193147"/>
    <x v="497"/>
    <s v="Falcon"/>
    <s v="Master's"/>
    <n v="45346"/>
    <n v="1109"/>
    <n v="357"/>
    <s v="No"/>
    <n v="6"/>
    <s v="51-200"/>
    <s v="Full-time"/>
    <s v="No"/>
  </r>
  <r>
    <s v="AIJOB00499"/>
    <x v="13"/>
    <x v="11"/>
    <s v="Education"/>
    <s v="Amsterdam, Netherlands"/>
    <s v="Netherlands"/>
    <s v="Remote"/>
    <x v="2"/>
    <s v="2-5 yrs"/>
    <n v="92662"/>
    <x v="498"/>
    <s v="Mistral"/>
    <s v="Master's"/>
    <n v="45494"/>
    <n v="2099"/>
    <n v="672"/>
    <s v="Yes"/>
    <n v="2"/>
    <s v="1001-5000"/>
    <s v="Full-time"/>
    <s v="No"/>
  </r>
  <r>
    <s v="AIJOB00500"/>
    <x v="9"/>
    <x v="3"/>
    <s v="Automotive"/>
    <s v="Singapore"/>
    <s v="Singapore"/>
    <s v="Remote"/>
    <x v="0"/>
    <s v="0-2 yrs"/>
    <n v="52576"/>
    <x v="499"/>
    <s v="Command R"/>
    <s v="Bachelor's"/>
    <n v="45360"/>
    <n v="2303"/>
    <n v="2263"/>
    <s v="No"/>
    <n v="0"/>
    <s v="51-200"/>
    <s v="Full-time"/>
    <s v="No"/>
  </r>
  <r>
    <s v="AIJOB00501"/>
    <x v="11"/>
    <x v="17"/>
    <s v="Government"/>
    <s v="Berlin, Germany"/>
    <s v="Germany"/>
    <s v="Remote"/>
    <x v="1"/>
    <s v="8+ yrs"/>
    <n v="233342"/>
    <x v="500"/>
    <s v="Llama"/>
    <s v="Master's"/>
    <n v="45347"/>
    <n v="332"/>
    <n v="1789"/>
    <s v="No"/>
    <n v="6"/>
    <s v="201-1000"/>
    <s v="Full-time"/>
    <s v="No"/>
  </r>
  <r>
    <s v="AIJOB00502"/>
    <x v="7"/>
    <x v="26"/>
    <s v="Education"/>
    <s v="Dublin, Ireland"/>
    <s v="Ireland"/>
    <s v="Remote"/>
    <x v="2"/>
    <s v="2-5 yrs"/>
    <n v="147806"/>
    <x v="501"/>
    <s v="BLOOM"/>
    <s v="PhD"/>
    <n v="45435"/>
    <n v="722"/>
    <n v="2881"/>
    <s v="No"/>
    <n v="2"/>
    <s v="5000+"/>
    <s v="Full-time"/>
    <s v="No"/>
  </r>
  <r>
    <s v="AIJOB00503"/>
    <x v="12"/>
    <x v="26"/>
    <s v="Finance"/>
    <s v="Paris, France"/>
    <s v="France"/>
    <s v="Remote"/>
    <x v="2"/>
    <s v="2-5 yrs"/>
    <n v="82308"/>
    <x v="502"/>
    <s v="Grok"/>
    <s v="PhD"/>
    <n v="45497"/>
    <n v="1857"/>
    <n v="1678"/>
    <s v="No"/>
    <n v="2"/>
    <s v="51-200"/>
    <s v="Full-time"/>
    <s v="Yes"/>
  </r>
  <r>
    <s v="AIJOB00504"/>
    <x v="17"/>
    <x v="20"/>
    <s v="Technology"/>
    <s v="New York, United States"/>
    <s v="United States"/>
    <s v="Remote"/>
    <x v="1"/>
    <s v="8+ yrs"/>
    <n v="220266"/>
    <x v="503"/>
    <s v="GPT-4"/>
    <s v="Bachelor's"/>
    <n v="45429"/>
    <n v="1617"/>
    <n v="878"/>
    <s v="No"/>
    <n v="6"/>
    <s v="201-1000"/>
    <s v="Contract"/>
    <s v="Yes"/>
  </r>
  <r>
    <s v="AIJOB00505"/>
    <x v="15"/>
    <x v="6"/>
    <s v="Healthcare"/>
    <s v="Tel Aviv, Israel"/>
    <s v="Israel"/>
    <s v="Remote"/>
    <x v="3"/>
    <s v="5-8 yrs"/>
    <n v="132432"/>
    <x v="504"/>
    <s v="None"/>
    <s v="Master's"/>
    <n v="45447"/>
    <n v="1780"/>
    <n v="3053"/>
    <s v="No"/>
    <n v="4"/>
    <s v="5000+"/>
    <s v="Full-time"/>
    <s v="Yes"/>
  </r>
  <r>
    <s v="AIJOB00506"/>
    <x v="2"/>
    <x v="2"/>
    <s v="Retail"/>
    <s v="Zurich, Switzerland"/>
    <s v="Switzerland"/>
    <s v="Remote"/>
    <x v="2"/>
    <s v="2-5 yrs"/>
    <n v="100354"/>
    <x v="505"/>
    <s v="GPT-4"/>
    <s v="Bachelor's"/>
    <n v="45746"/>
    <n v="2125"/>
    <n v="3800"/>
    <s v="Yes"/>
    <n v="2"/>
    <s v="5000+"/>
    <s v="Full-time"/>
    <s v="Yes"/>
  </r>
  <r>
    <s v="AIJOB00507"/>
    <x v="8"/>
    <x v="28"/>
    <s v="Government"/>
    <s v="Stockholm, Sweden"/>
    <s v="Sweden"/>
    <s v="Hybrid"/>
    <x v="2"/>
    <s v="2-5 yrs"/>
    <n v="98270"/>
    <x v="506"/>
    <s v="Phi"/>
    <s v="Master's"/>
    <n v="45314"/>
    <n v="780"/>
    <n v="3740"/>
    <s v="No"/>
    <n v="2"/>
    <s v="1001-5000"/>
    <s v="Full-time"/>
    <s v="No"/>
  </r>
  <r>
    <s v="AIJOB00508"/>
    <x v="10"/>
    <x v="26"/>
    <s v="Media"/>
    <s v="Toronto, Canada"/>
    <s v="Canada"/>
    <s v="Hybrid"/>
    <x v="0"/>
    <s v="0-2 yrs"/>
    <n v="59113"/>
    <x v="507"/>
    <s v="None"/>
    <s v="Master's"/>
    <n v="45648"/>
    <n v="2480"/>
    <n v="3574"/>
    <s v="No"/>
    <n v="0"/>
    <s v="0-50"/>
    <s v="Full-time"/>
    <s v="No"/>
  </r>
  <r>
    <s v="AIJOB00509"/>
    <x v="11"/>
    <x v="8"/>
    <s v="Energy"/>
    <s v="Chicago, United States"/>
    <s v="United States"/>
    <s v="Hybrid"/>
    <x v="1"/>
    <s v="8+ yrs"/>
    <n v="201746"/>
    <x v="508"/>
    <s v="GPT-4"/>
    <s v="Master's"/>
    <n v="45397"/>
    <n v="2450"/>
    <n v="1070"/>
    <s v="No"/>
    <n v="6"/>
    <s v="51-200"/>
    <s v="Full-time"/>
    <s v="Yes"/>
  </r>
  <r>
    <s v="AIJOB00510"/>
    <x v="0"/>
    <x v="21"/>
    <s v="Technology"/>
    <s v="Paris, France"/>
    <s v="France"/>
    <s v="Remote"/>
    <x v="2"/>
    <s v="2-5 yrs"/>
    <n v="93547"/>
    <x v="509"/>
    <s v="None"/>
    <s v="Master's"/>
    <n v="45413"/>
    <n v="1319"/>
    <n v="3382"/>
    <s v="Yes"/>
    <n v="2"/>
    <s v="0-50"/>
    <s v="Full-time"/>
    <s v="Yes"/>
  </r>
  <r>
    <s v="AIJOB00511"/>
    <x v="6"/>
    <x v="10"/>
    <s v="Technology"/>
    <s v="Austin, United States"/>
    <s v="United States"/>
    <s v="Remote"/>
    <x v="3"/>
    <s v="5-8 yrs"/>
    <n v="157302"/>
    <x v="510"/>
    <s v="None"/>
    <s v="PhD"/>
    <n v="45653"/>
    <n v="1198"/>
    <n v="3002"/>
    <s v="Maybe"/>
    <n v="4"/>
    <s v="51-200"/>
    <s v="Full-time"/>
    <s v="Yes"/>
  </r>
  <r>
    <s v="AIJOB00512"/>
    <x v="12"/>
    <x v="27"/>
    <s v="Education"/>
    <s v="Chicago, United States"/>
    <s v="United States"/>
    <s v="On-site"/>
    <x v="0"/>
    <s v="0-2 yrs"/>
    <n v="69366"/>
    <x v="511"/>
    <s v="BLOOM"/>
    <s v="Bachelor's"/>
    <n v="45423"/>
    <n v="2077"/>
    <n v="1519"/>
    <s v="Yes"/>
    <n v="0"/>
    <s v="1001-5000"/>
    <s v="Full-time"/>
    <s v="Yes"/>
  </r>
  <r>
    <s v="AIJOB00513"/>
    <x v="15"/>
    <x v="14"/>
    <s v="Media"/>
    <s v="Singapore"/>
    <s v="Singapore"/>
    <s v="Hybrid"/>
    <x v="2"/>
    <s v="2-5 yrs"/>
    <n v="105268"/>
    <x v="512"/>
    <s v="None"/>
    <s v="Master's"/>
    <n v="45665"/>
    <n v="1069"/>
    <n v="294"/>
    <s v="Yes"/>
    <n v="2"/>
    <s v="1001-5000"/>
    <s v="Full-time"/>
    <s v="No"/>
  </r>
  <r>
    <s v="AIJOB00514"/>
    <x v="11"/>
    <x v="14"/>
    <s v="Technology"/>
    <s v="Dublin, Ireland"/>
    <s v="Ireland"/>
    <s v="Remote"/>
    <x v="0"/>
    <s v="0-2 yrs"/>
    <n v="58564"/>
    <x v="513"/>
    <s v="Claude"/>
    <s v="PhD"/>
    <n v="45676"/>
    <n v="479"/>
    <n v="551"/>
    <s v="Yes"/>
    <n v="0"/>
    <s v="0-50"/>
    <s v="Full-time"/>
    <s v="No"/>
  </r>
  <r>
    <s v="AIJOB00515"/>
    <x v="6"/>
    <x v="8"/>
    <s v="Education"/>
    <s v="San Francisco, United States"/>
    <s v="United States"/>
    <s v="On-site"/>
    <x v="0"/>
    <s v="0-2 yrs"/>
    <n v="62732"/>
    <x v="514"/>
    <s v="Grok"/>
    <s v="PhD"/>
    <n v="45346"/>
    <n v="1559"/>
    <n v="1368"/>
    <s v="No"/>
    <n v="0"/>
    <s v="51-200"/>
    <s v="Full-time"/>
    <s v="No"/>
  </r>
  <r>
    <s v="AIJOB00516"/>
    <x v="1"/>
    <x v="4"/>
    <s v="Healthcare"/>
    <s v="San Francisco, United States"/>
    <s v="United States"/>
    <s v="On-site"/>
    <x v="0"/>
    <s v="0-2 yrs"/>
    <n v="79517"/>
    <x v="515"/>
    <s v="BLOOM"/>
    <s v="Master's"/>
    <n v="45344"/>
    <n v="1474"/>
    <n v="935"/>
    <s v="Maybe"/>
    <n v="0"/>
    <s v="1001-5000"/>
    <s v="Full-time"/>
    <s v="No"/>
  </r>
  <r>
    <s v="AIJOB00517"/>
    <x v="0"/>
    <x v="28"/>
    <s v="Finance"/>
    <s v="Toronto, Canada"/>
    <s v="Canada"/>
    <s v="On-site"/>
    <x v="1"/>
    <s v="8+ yrs"/>
    <n v="218033"/>
    <x v="516"/>
    <s v="Claude"/>
    <s v="PhD"/>
    <n v="45406"/>
    <n v="918"/>
    <n v="739"/>
    <s v="No"/>
    <n v="6"/>
    <s v="201-1000"/>
    <s v="Full-time"/>
    <s v="No"/>
  </r>
  <r>
    <s v="AIJOB00518"/>
    <x v="3"/>
    <x v="19"/>
    <s v="Finance"/>
    <s v="Tokyo, Japan"/>
    <s v="Japan"/>
    <s v="On-site"/>
    <x v="3"/>
    <s v="5-8 yrs"/>
    <n v="123606"/>
    <x v="517"/>
    <s v="Mistral"/>
    <s v="PhD"/>
    <n v="45470"/>
    <n v="908"/>
    <n v="3195"/>
    <s v="No"/>
    <n v="4"/>
    <s v="201-1000"/>
    <s v="Full-time"/>
    <s v="Yes"/>
  </r>
  <r>
    <s v="AIJOB00519"/>
    <x v="8"/>
    <x v="24"/>
    <s v="Media"/>
    <s v="London, United Kingdom"/>
    <s v="United Kingdom"/>
    <s v="Hybrid"/>
    <x v="0"/>
    <s v="0-2 yrs"/>
    <n v="71251"/>
    <x v="518"/>
    <s v="Falcon"/>
    <s v="Master's"/>
    <n v="45664"/>
    <n v="1995"/>
    <n v="2474"/>
    <s v="No"/>
    <n v="0"/>
    <s v="201-1000"/>
    <s v="Full-time"/>
    <s v="No"/>
  </r>
  <r>
    <s v="AIJOB00520"/>
    <x v="7"/>
    <x v="5"/>
    <s v="Defense"/>
    <s v="Los Angeles, United States"/>
    <s v="United States"/>
    <s v="Hybrid"/>
    <x v="1"/>
    <s v="8+ yrs"/>
    <n v="227049"/>
    <x v="519"/>
    <s v="None"/>
    <s v="PhD"/>
    <n v="45567"/>
    <n v="1198"/>
    <n v="2889"/>
    <s v="Yes"/>
    <n v="6"/>
    <s v="201-1000"/>
    <s v="Full-time"/>
    <s v="No"/>
  </r>
  <r>
    <s v="AIJOB00521"/>
    <x v="13"/>
    <x v="6"/>
    <s v="Healthcare"/>
    <s v="Stockholm, Sweden"/>
    <s v="Sweden"/>
    <s v="Hybrid"/>
    <x v="3"/>
    <s v="5-8 yrs"/>
    <n v="104926"/>
    <x v="520"/>
    <s v="None"/>
    <s v="Bachelor's"/>
    <n v="45360"/>
    <n v="890"/>
    <n v="3431"/>
    <s v="Maybe"/>
    <n v="4"/>
    <s v="1001-5000"/>
    <s v="Full-time"/>
    <s v="No"/>
  </r>
  <r>
    <s v="AIJOB00522"/>
    <x v="17"/>
    <x v="28"/>
    <s v="Technology"/>
    <s v="London, United Kingdom"/>
    <s v="United Kingdom"/>
    <s v="On-site"/>
    <x v="2"/>
    <s v="2-5 yrs"/>
    <n v="120758"/>
    <x v="521"/>
    <s v="None"/>
    <s v="PhD"/>
    <n v="45652"/>
    <n v="602"/>
    <n v="1963"/>
    <s v="No"/>
    <n v="2"/>
    <s v="51-200"/>
    <s v="Full-time"/>
    <s v="Yes"/>
  </r>
  <r>
    <s v="AIJOB00523"/>
    <x v="4"/>
    <x v="23"/>
    <s v="Automotive"/>
    <s v="Seattle, United States"/>
    <s v="United States"/>
    <s v="Remote"/>
    <x v="2"/>
    <s v="2-5 yrs"/>
    <n v="96880"/>
    <x v="522"/>
    <s v="None"/>
    <s v="Master's"/>
    <n v="45717"/>
    <n v="1681"/>
    <n v="1828"/>
    <s v="No"/>
    <n v="2"/>
    <s v="0-50"/>
    <s v="Full-time"/>
    <s v="Yes"/>
  </r>
  <r>
    <s v="AIJOB00524"/>
    <x v="17"/>
    <x v="0"/>
    <s v="Healthcare"/>
    <s v="Dublin, Ireland"/>
    <s v="Ireland"/>
    <s v="Remote"/>
    <x v="2"/>
    <s v="2-5 yrs"/>
    <n v="121297"/>
    <x v="523"/>
    <s v="Llama"/>
    <s v="Bachelor's"/>
    <n v="45494"/>
    <n v="676"/>
    <n v="2146"/>
    <s v="No"/>
    <n v="2"/>
    <s v="51-200"/>
    <s v="Contract"/>
    <s v="Yes"/>
  </r>
  <r>
    <s v="AIJOB00525"/>
    <x v="17"/>
    <x v="4"/>
    <s v="Media"/>
    <s v="Chicago, United States"/>
    <s v="United States"/>
    <s v="Remote"/>
    <x v="2"/>
    <s v="2-5 yrs"/>
    <n v="94887"/>
    <x v="524"/>
    <s v="None"/>
    <s v="Bachelor's"/>
    <n v="45673"/>
    <n v="1821"/>
    <n v="2658"/>
    <s v="No"/>
    <n v="2"/>
    <s v="201-1000"/>
    <s v="Full-time"/>
    <s v="Yes"/>
  </r>
  <r>
    <s v="AIJOB00526"/>
    <x v="6"/>
    <x v="9"/>
    <s v="Automotive"/>
    <s v="San Francisco, United States"/>
    <s v="United States"/>
    <s v="Remote"/>
    <x v="3"/>
    <s v="5-8 yrs"/>
    <n v="101268"/>
    <x v="525"/>
    <s v="GPT-4"/>
    <s v="Bachelor's"/>
    <n v="45375"/>
    <n v="483"/>
    <n v="2319"/>
    <s v="Maybe"/>
    <n v="4"/>
    <s v="1001-5000"/>
    <s v="Full-time"/>
    <s v="Yes"/>
  </r>
  <r>
    <s v="AIJOB00527"/>
    <x v="5"/>
    <x v="11"/>
    <s v="Government"/>
    <s v="Boston, United States"/>
    <s v="United States"/>
    <s v="Hybrid"/>
    <x v="0"/>
    <s v="0-2 yrs"/>
    <n v="50000"/>
    <x v="526"/>
    <s v="None"/>
    <s v="Master's"/>
    <n v="45495"/>
    <n v="2362"/>
    <n v="423"/>
    <s v="No"/>
    <n v="0"/>
    <s v="51-200"/>
    <s v="Full-time"/>
    <s v="No"/>
  </r>
  <r>
    <s v="AIJOB00528"/>
    <x v="8"/>
    <x v="10"/>
    <s v="Healthcare"/>
    <s v="Sydney, Australia"/>
    <s v="Australia"/>
    <s v="Remote"/>
    <x v="0"/>
    <s v="0-2 yrs"/>
    <n v="70605"/>
    <x v="527"/>
    <s v="None"/>
    <s v="PhD"/>
    <n v="45641"/>
    <n v="959"/>
    <n v="3957"/>
    <s v="No"/>
    <n v="0"/>
    <s v="5000+"/>
    <s v="Full-time"/>
    <s v="No"/>
  </r>
  <r>
    <s v="AIJOB00529"/>
    <x v="18"/>
    <x v="25"/>
    <s v="Finance"/>
    <s v="Berlin, Germany"/>
    <s v="Germany"/>
    <s v="Remote"/>
    <x v="1"/>
    <s v="8+ yrs"/>
    <n v="209350"/>
    <x v="528"/>
    <s v="Grok"/>
    <s v="Bootcamp/Self-taught"/>
    <n v="45476"/>
    <n v="2337"/>
    <n v="408"/>
    <s v="No"/>
    <n v="6"/>
    <s v="51-200"/>
    <s v="Contract"/>
    <s v="Yes"/>
  </r>
  <r>
    <s v="AIJOB00530"/>
    <x v="4"/>
    <x v="20"/>
    <s v="Education"/>
    <s v="London, United Kingdom"/>
    <s v="United Kingdom"/>
    <s v="Hybrid"/>
    <x v="1"/>
    <s v="8+ yrs"/>
    <n v="167444"/>
    <x v="529"/>
    <s v="Claude"/>
    <s v="Bachelor's"/>
    <n v="45378"/>
    <n v="2238"/>
    <n v="1058"/>
    <s v="No"/>
    <n v="6"/>
    <s v="1001-5000"/>
    <s v="Full-time"/>
    <s v="Yes"/>
  </r>
  <r>
    <s v="AIJOB00531"/>
    <x v="0"/>
    <x v="1"/>
    <s v="Government"/>
    <s v="New York, United States"/>
    <s v="United States"/>
    <s v="Remote"/>
    <x v="1"/>
    <s v="8+ yrs"/>
    <n v="222989"/>
    <x v="530"/>
    <s v="Grok"/>
    <s v="Bachelor's"/>
    <n v="45438"/>
    <n v="1992"/>
    <n v="2082"/>
    <s v="No"/>
    <n v="6"/>
    <s v="0-50"/>
    <s v="Full-time"/>
    <s v="No"/>
  </r>
  <r>
    <s v="AIJOB00532"/>
    <x v="7"/>
    <x v="3"/>
    <s v="Finance"/>
    <s v="Berlin, Germany"/>
    <s v="Germany"/>
    <s v="On-site"/>
    <x v="0"/>
    <s v="0-2 yrs"/>
    <n v="50000"/>
    <x v="531"/>
    <s v="None"/>
    <s v="Master's"/>
    <n v="45440"/>
    <n v="2218"/>
    <n v="2641"/>
    <s v="No"/>
    <n v="0"/>
    <s v="1001-5000"/>
    <s v="Full-time"/>
    <s v="Yes"/>
  </r>
  <r>
    <s v="AIJOB00533"/>
    <x v="0"/>
    <x v="11"/>
    <s v="Automotive"/>
    <s v="Los Angeles, United States"/>
    <s v="United States"/>
    <s v="Remote"/>
    <x v="1"/>
    <s v="8+ yrs"/>
    <n v="197621"/>
    <x v="532"/>
    <s v="Command R"/>
    <s v="Master's"/>
    <n v="45460"/>
    <n v="937"/>
    <n v="3895"/>
    <s v="No"/>
    <n v="6"/>
    <s v="51-200"/>
    <s v="Full-time"/>
    <s v="Yes"/>
  </r>
  <r>
    <s v="AIJOB00534"/>
    <x v="6"/>
    <x v="10"/>
    <s v="Healthcare"/>
    <s v="New York, United States"/>
    <s v="United States"/>
    <s v="On-site"/>
    <x v="1"/>
    <s v="8+ yrs"/>
    <n v="156403"/>
    <x v="533"/>
    <s v="Mistral"/>
    <s v="Bachelor's"/>
    <n v="45477"/>
    <n v="583"/>
    <n v="1131"/>
    <s v="No"/>
    <n v="6"/>
    <s v="201-1000"/>
    <s v="Contract"/>
    <s v="No"/>
  </r>
  <r>
    <s v="AIJOB00535"/>
    <x v="19"/>
    <x v="22"/>
    <s v="Healthcare"/>
    <s v="Amsterdam, Netherlands"/>
    <s v="Netherlands"/>
    <s v="Remote"/>
    <x v="2"/>
    <s v="2-5 yrs"/>
    <n v="97093"/>
    <x v="534"/>
    <s v="None"/>
    <s v="Bachelor's"/>
    <n v="45319"/>
    <n v="2016"/>
    <n v="1982"/>
    <s v="No"/>
    <n v="2"/>
    <s v="51-200"/>
    <s v="Part-time"/>
    <s v="Yes"/>
  </r>
  <r>
    <s v="AIJOB00536"/>
    <x v="12"/>
    <x v="3"/>
    <s v="Government"/>
    <s v="San Francisco, United States"/>
    <s v="United States"/>
    <s v="Hybrid"/>
    <x v="1"/>
    <s v="8+ yrs"/>
    <n v="201706"/>
    <x v="535"/>
    <s v="Falcon"/>
    <s v="Bachelor's"/>
    <n v="45597"/>
    <n v="2178"/>
    <n v="3834"/>
    <s v="Yes"/>
    <n v="6"/>
    <s v="201-1000"/>
    <s v="Full-time"/>
    <s v="No"/>
  </r>
  <r>
    <s v="AIJOB00537"/>
    <x v="19"/>
    <x v="0"/>
    <s v="Energy"/>
    <s v="Dublin, Ireland"/>
    <s v="Ireland"/>
    <s v="Hybrid"/>
    <x v="3"/>
    <s v="5-8 yrs"/>
    <n v="126768"/>
    <x v="536"/>
    <s v="Llama"/>
    <s v="PhD"/>
    <n v="45522"/>
    <n v="1846"/>
    <n v="895"/>
    <s v="No"/>
    <n v="4"/>
    <s v="51-200"/>
    <s v="Part-time"/>
    <s v="No"/>
  </r>
  <r>
    <s v="AIJOB00538"/>
    <x v="13"/>
    <x v="28"/>
    <s v="Energy"/>
    <s v="Boston, United States"/>
    <s v="United States"/>
    <s v="Remote"/>
    <x v="3"/>
    <s v="5-8 yrs"/>
    <n v="139617"/>
    <x v="537"/>
    <s v="Falcon"/>
    <s v="Master's"/>
    <n v="45449"/>
    <n v="1675"/>
    <n v="474"/>
    <s v="Maybe"/>
    <n v="4"/>
    <s v="1001-5000"/>
    <s v="Full-time"/>
    <s v="Yes"/>
  </r>
  <r>
    <s v="AIJOB00539"/>
    <x v="6"/>
    <x v="11"/>
    <s v="Finance"/>
    <s v="Stockholm, Sweden"/>
    <s v="Sweden"/>
    <s v="Remote"/>
    <x v="2"/>
    <s v="2-5 yrs"/>
    <n v="129924"/>
    <x v="538"/>
    <s v="None"/>
    <s v="Master's"/>
    <n v="45437"/>
    <n v="1984"/>
    <n v="434"/>
    <s v="No"/>
    <n v="2"/>
    <s v="5000+"/>
    <s v="Part-time"/>
    <s v="Yes"/>
  </r>
  <r>
    <s v="AIJOB00540"/>
    <x v="14"/>
    <x v="11"/>
    <s v="Government"/>
    <s v="Sydney, Australia"/>
    <s v="Australia"/>
    <s v="On-site"/>
    <x v="0"/>
    <s v="0-2 yrs"/>
    <n v="62731"/>
    <x v="539"/>
    <s v="Command R"/>
    <s v="Bootcamp/Self-taught"/>
    <n v="45400"/>
    <n v="2200"/>
    <n v="1701"/>
    <s v="Maybe"/>
    <n v="0"/>
    <s v="1001-5000"/>
    <s v="Full-time"/>
    <s v="Yes"/>
  </r>
  <r>
    <s v="AIJOB00541"/>
    <x v="7"/>
    <x v="17"/>
    <s v="Technology"/>
    <s v="Amsterdam, Netherlands"/>
    <s v="Netherlands"/>
    <s v="On-site"/>
    <x v="3"/>
    <s v="5-8 yrs"/>
    <n v="172563"/>
    <x v="540"/>
    <s v="BLOOM"/>
    <s v="Bachelor's"/>
    <n v="45427"/>
    <n v="1833"/>
    <n v="3453"/>
    <s v="No"/>
    <n v="4"/>
    <s v="5000+"/>
    <s v="Full-time"/>
    <s v="Yes"/>
  </r>
  <r>
    <s v="AIJOB00542"/>
    <x v="12"/>
    <x v="0"/>
    <s v="Healthcare"/>
    <s v="Paris, France"/>
    <s v="France"/>
    <s v="Hybrid"/>
    <x v="1"/>
    <s v="8+ yrs"/>
    <n v="159330"/>
    <x v="541"/>
    <s v="Grok"/>
    <s v="Bootcamp/Self-taught"/>
    <n v="45492"/>
    <n v="1899"/>
    <n v="2992"/>
    <s v="Yes"/>
    <n v="6"/>
    <s v="201-1000"/>
    <s v="Full-time"/>
    <s v="Yes"/>
  </r>
  <r>
    <s v="AIJOB00543"/>
    <x v="0"/>
    <x v="26"/>
    <s v="Finance"/>
    <s v="Dublin, Ireland"/>
    <s v="Ireland"/>
    <s v="Remote"/>
    <x v="2"/>
    <s v="2-5 yrs"/>
    <n v="120490"/>
    <x v="542"/>
    <s v="None"/>
    <s v="Bachelor's"/>
    <n v="45587"/>
    <n v="2091"/>
    <n v="57"/>
    <s v="No"/>
    <n v="2"/>
    <s v="5000+"/>
    <s v="Full-time"/>
    <s v="No"/>
  </r>
  <r>
    <s v="AIJOB00544"/>
    <x v="1"/>
    <x v="22"/>
    <s v="Retail"/>
    <s v="Zurich, Switzerland"/>
    <s v="Switzerland"/>
    <s v="Remote"/>
    <x v="0"/>
    <s v="0-2 yrs"/>
    <n v="88163"/>
    <x v="543"/>
    <s v="Llama"/>
    <s v="Master's"/>
    <n v="45672"/>
    <n v="1304"/>
    <n v="2984"/>
    <s v="No"/>
    <n v="0"/>
    <s v="1001-5000"/>
    <s v="Contract"/>
    <s v="No"/>
  </r>
  <r>
    <s v="AIJOB00545"/>
    <x v="2"/>
    <x v="8"/>
    <s v="Healthcare"/>
    <s v="Berlin, Germany"/>
    <s v="Germany"/>
    <s v="Hybrid"/>
    <x v="0"/>
    <s v="0-2 yrs"/>
    <n v="50000"/>
    <x v="544"/>
    <s v="Mistral"/>
    <s v="Bachelor's"/>
    <n v="45618"/>
    <n v="2324"/>
    <n v="3469"/>
    <s v="No"/>
    <n v="0"/>
    <s v="51-200"/>
    <s v="Full-time"/>
    <s v="No"/>
  </r>
  <r>
    <s v="AIJOB00546"/>
    <x v="13"/>
    <x v="10"/>
    <s v="Education"/>
    <s v="Seattle, United States"/>
    <s v="United States"/>
    <s v="Hybrid"/>
    <x v="1"/>
    <s v="8+ yrs"/>
    <n v="171311"/>
    <x v="545"/>
    <s v="Falcon"/>
    <s v="PhD"/>
    <n v="45612"/>
    <n v="1036"/>
    <n v="1233"/>
    <s v="Yes"/>
    <n v="6"/>
    <s v="51-200"/>
    <s v="Full-time"/>
    <s v="No"/>
  </r>
  <r>
    <s v="AIJOB00547"/>
    <x v="17"/>
    <x v="26"/>
    <s v="Defense"/>
    <s v="Austin, United States"/>
    <s v="United States"/>
    <s v="On-site"/>
    <x v="0"/>
    <s v="0-2 yrs"/>
    <n v="77271"/>
    <x v="546"/>
    <s v="None"/>
    <s v="Bachelor's"/>
    <n v="45539"/>
    <n v="394"/>
    <n v="2131"/>
    <s v="No"/>
    <n v="0"/>
    <s v="51-200"/>
    <s v="Full-time"/>
    <s v="Yes"/>
  </r>
  <r>
    <s v="AIJOB00548"/>
    <x v="9"/>
    <x v="10"/>
    <s v="Automotive"/>
    <s v="Austin, United States"/>
    <s v="United States"/>
    <s v="Remote"/>
    <x v="0"/>
    <s v="0-2 yrs"/>
    <n v="67441"/>
    <x v="547"/>
    <s v="Phi"/>
    <s v="Master's"/>
    <n v="45334"/>
    <n v="2330"/>
    <n v="1796"/>
    <s v="No"/>
    <n v="0"/>
    <s v="1001-5000"/>
    <s v="Part-time"/>
    <s v="Yes"/>
  </r>
  <r>
    <s v="AIJOB00549"/>
    <x v="9"/>
    <x v="0"/>
    <s v="Defense"/>
    <s v="Chicago, United States"/>
    <s v="United States"/>
    <s v="Remote"/>
    <x v="3"/>
    <s v="5-8 yrs"/>
    <n v="160020"/>
    <x v="548"/>
    <s v="None"/>
    <s v="PhD"/>
    <n v="45698"/>
    <n v="1605"/>
    <n v="2561"/>
    <s v="Yes"/>
    <n v="4"/>
    <s v="1001-5000"/>
    <s v="Full-time"/>
    <s v="No"/>
  </r>
  <r>
    <s v="AIJOB00550"/>
    <x v="16"/>
    <x v="11"/>
    <s v="Healthcare"/>
    <s v="Bangalore, India"/>
    <s v="India"/>
    <s v="Remote"/>
    <x v="0"/>
    <s v="0-2 yrs"/>
    <n v="62389"/>
    <x v="549"/>
    <s v="GPT-4"/>
    <s v="PhD"/>
    <n v="45309"/>
    <n v="2058"/>
    <n v="3249"/>
    <s v="Yes"/>
    <n v="0"/>
    <s v="51-200"/>
    <s v="Full-time"/>
    <s v="No"/>
  </r>
  <r>
    <s v="AIJOB00551"/>
    <x v="16"/>
    <x v="8"/>
    <s v="Retail"/>
    <s v="Austin, United States"/>
    <s v="United States"/>
    <s v="Remote"/>
    <x v="2"/>
    <s v="2-5 yrs"/>
    <n v="111714"/>
    <x v="550"/>
    <s v="Falcon"/>
    <s v="Master's"/>
    <n v="45455"/>
    <n v="1879"/>
    <n v="1171"/>
    <s v="No"/>
    <n v="2"/>
    <s v="5000+"/>
    <s v="Full-time"/>
    <s v="No"/>
  </r>
  <r>
    <s v="AIJOB00552"/>
    <x v="6"/>
    <x v="24"/>
    <s v="Technology"/>
    <s v="Zurich, Switzerland"/>
    <s v="Switzerland"/>
    <s v="On-site"/>
    <x v="0"/>
    <s v="0-2 yrs"/>
    <n v="68038"/>
    <x v="551"/>
    <s v="None"/>
    <s v="Bootcamp/Self-taught"/>
    <n v="45507"/>
    <n v="2025"/>
    <n v="498"/>
    <s v="Yes"/>
    <n v="0"/>
    <s v="51-200"/>
    <s v="Full-time"/>
    <s v="No"/>
  </r>
  <r>
    <s v="AIJOB00553"/>
    <x v="7"/>
    <x v="17"/>
    <s v="Government"/>
    <s v="Sydney, Australia"/>
    <s v="Australia"/>
    <s v="Remote"/>
    <x v="0"/>
    <s v="0-2 yrs"/>
    <n v="84714"/>
    <x v="552"/>
    <s v="None"/>
    <s v="Master's"/>
    <n v="45693"/>
    <n v="584"/>
    <n v="1934"/>
    <s v="Yes"/>
    <n v="0"/>
    <s v="1001-5000"/>
    <s v="Contract"/>
    <s v="Yes"/>
  </r>
  <r>
    <s v="AIJOB00554"/>
    <x v="16"/>
    <x v="14"/>
    <s v="Government"/>
    <s v="Seattle, United States"/>
    <s v="United States"/>
    <s v="Hybrid"/>
    <x v="1"/>
    <s v="8+ yrs"/>
    <n v="209159"/>
    <x v="553"/>
    <s v="Claude"/>
    <s v="Bootcamp/Self-taught"/>
    <n v="45452"/>
    <n v="720"/>
    <n v="129"/>
    <s v="Yes"/>
    <n v="6"/>
    <s v="0-50"/>
    <s v="Full-time"/>
    <s v="No"/>
  </r>
  <r>
    <s v="AIJOB00555"/>
    <x v="19"/>
    <x v="21"/>
    <s v="Technology"/>
    <s v="Toronto, Canada"/>
    <s v="Canada"/>
    <s v="Remote"/>
    <x v="2"/>
    <s v="2-5 yrs"/>
    <n v="116684"/>
    <x v="554"/>
    <s v="None"/>
    <s v="Bachelor's"/>
    <n v="45662"/>
    <n v="1546"/>
    <n v="317"/>
    <s v="No"/>
    <n v="2"/>
    <s v="5000+"/>
    <s v="Contract"/>
    <s v="Yes"/>
  </r>
  <r>
    <s v="AIJOB00556"/>
    <x v="15"/>
    <x v="8"/>
    <s v="Media"/>
    <s v="Zurich, Switzerland"/>
    <s v="Switzerland"/>
    <s v="Hybrid"/>
    <x v="2"/>
    <s v="2-5 yrs"/>
    <n v="101844"/>
    <x v="555"/>
    <s v="None"/>
    <s v="Master's"/>
    <n v="45356"/>
    <n v="801"/>
    <n v="2147"/>
    <s v="No"/>
    <n v="2"/>
    <s v="5000+"/>
    <s v="Full-time"/>
    <s v="No"/>
  </r>
  <r>
    <s v="AIJOB00557"/>
    <x v="2"/>
    <x v="3"/>
    <s v="Retail"/>
    <s v="Tel Aviv, Israel"/>
    <s v="Israel"/>
    <s v="Remote"/>
    <x v="3"/>
    <s v="5-8 yrs"/>
    <n v="136834"/>
    <x v="556"/>
    <s v="None"/>
    <s v="Master's"/>
    <n v="45427"/>
    <n v="607"/>
    <n v="3990"/>
    <s v="No"/>
    <n v="4"/>
    <s v="51-200"/>
    <s v="Full-time"/>
    <s v="Yes"/>
  </r>
  <r>
    <s v="AIJOB00558"/>
    <x v="11"/>
    <x v="16"/>
    <s v="Energy"/>
    <s v="Tel Aviv, Israel"/>
    <s v="Israel"/>
    <s v="Remote"/>
    <x v="2"/>
    <s v="2-5 yrs"/>
    <n v="101435"/>
    <x v="557"/>
    <s v="Gemini"/>
    <s v="Bachelor's"/>
    <n v="45398"/>
    <n v="832"/>
    <n v="906"/>
    <s v="Maybe"/>
    <n v="2"/>
    <s v="1001-5000"/>
    <s v="Part-time"/>
    <s v="No"/>
  </r>
  <r>
    <s v="AIJOB00559"/>
    <x v="10"/>
    <x v="12"/>
    <s v="Finance"/>
    <s v="Chicago, United States"/>
    <s v="United States"/>
    <s v="Remote"/>
    <x v="2"/>
    <s v="2-5 yrs"/>
    <n v="117810"/>
    <x v="558"/>
    <s v="Claude"/>
    <s v="Bachelor's"/>
    <n v="45434"/>
    <n v="2187"/>
    <n v="776"/>
    <s v="No"/>
    <n v="2"/>
    <s v="1001-5000"/>
    <s v="Full-time"/>
    <s v="No"/>
  </r>
  <r>
    <s v="AIJOB00560"/>
    <x v="2"/>
    <x v="18"/>
    <s v="Automotive"/>
    <s v="Stockholm, Sweden"/>
    <s v="Sweden"/>
    <s v="Remote"/>
    <x v="0"/>
    <s v="0-2 yrs"/>
    <n v="64695"/>
    <x v="559"/>
    <s v="GPT-4"/>
    <s v="Master's"/>
    <n v="45512"/>
    <n v="501"/>
    <n v="2666"/>
    <s v="No"/>
    <n v="0"/>
    <s v="1001-5000"/>
    <s v="Full-time"/>
    <s v="Yes"/>
  </r>
  <r>
    <s v="AIJOB00561"/>
    <x v="15"/>
    <x v="8"/>
    <s v="Technology"/>
    <s v="Dublin, Ireland"/>
    <s v="Ireland"/>
    <s v="Hybrid"/>
    <x v="3"/>
    <s v="5-8 yrs"/>
    <n v="157823"/>
    <x v="560"/>
    <s v="GPT-4"/>
    <s v="Master's"/>
    <n v="45557"/>
    <n v="1277"/>
    <n v="279"/>
    <s v="No"/>
    <n v="4"/>
    <s v="201-1000"/>
    <s v="Full-time"/>
    <s v="No"/>
  </r>
  <r>
    <s v="AIJOB00562"/>
    <x v="11"/>
    <x v="22"/>
    <s v="Technology"/>
    <s v="Chicago, United States"/>
    <s v="United States"/>
    <s v="Remote"/>
    <x v="1"/>
    <s v="8+ yrs"/>
    <n v="274714"/>
    <x v="561"/>
    <s v="Grok"/>
    <s v="Bachelor's"/>
    <n v="45667"/>
    <n v="2361"/>
    <n v="3728"/>
    <s v="No"/>
    <n v="6"/>
    <s v="1001-5000"/>
    <s v="Contract"/>
    <s v="No"/>
  </r>
  <r>
    <s v="AIJOB00563"/>
    <x v="7"/>
    <x v="3"/>
    <s v="Education"/>
    <s v="Austin, United States"/>
    <s v="United States"/>
    <s v="Hybrid"/>
    <x v="2"/>
    <s v="2-5 yrs"/>
    <n v="127248"/>
    <x v="562"/>
    <s v="None"/>
    <s v="Master's"/>
    <n v="45377"/>
    <n v="385"/>
    <n v="737"/>
    <s v="Maybe"/>
    <n v="2"/>
    <s v="0-50"/>
    <s v="Full-time"/>
    <s v="No"/>
  </r>
  <r>
    <s v="AIJOB00564"/>
    <x v="13"/>
    <x v="14"/>
    <s v="Retail"/>
    <s v="Tel Aviv, Israel"/>
    <s v="Israel"/>
    <s v="Hybrid"/>
    <x v="3"/>
    <s v="5-8 yrs"/>
    <n v="141197"/>
    <x v="563"/>
    <s v="Mistral"/>
    <s v="Master's"/>
    <n v="45542"/>
    <n v="985"/>
    <n v="3102"/>
    <s v="Yes"/>
    <n v="4"/>
    <s v="0-50"/>
    <s v="Full-time"/>
    <s v="No"/>
  </r>
  <r>
    <s v="AIJOB00565"/>
    <x v="18"/>
    <x v="22"/>
    <s v="Government"/>
    <s v="Tel Aviv, Israel"/>
    <s v="Israel"/>
    <s v="Hybrid"/>
    <x v="1"/>
    <s v="8+ yrs"/>
    <n v="243243"/>
    <x v="564"/>
    <s v="Falcon"/>
    <s v="PhD"/>
    <n v="45571"/>
    <n v="2283"/>
    <n v="471"/>
    <s v="No"/>
    <n v="6"/>
    <s v="5000+"/>
    <s v="Contract"/>
    <s v="Yes"/>
  </r>
  <r>
    <s v="AIJOB00566"/>
    <x v="19"/>
    <x v="26"/>
    <s v="Media"/>
    <s v="Berlin, Germany"/>
    <s v="Germany"/>
    <s v="Remote"/>
    <x v="2"/>
    <s v="2-5 yrs"/>
    <n v="101920"/>
    <x v="565"/>
    <s v="Claude"/>
    <s v="Master's"/>
    <n v="45307"/>
    <n v="1421"/>
    <n v="3602"/>
    <s v="No"/>
    <n v="2"/>
    <s v="5000+"/>
    <s v="Contract"/>
    <s v="Yes"/>
  </r>
  <r>
    <s v="AIJOB00567"/>
    <x v="10"/>
    <x v="5"/>
    <s v="Government"/>
    <s v="Amsterdam, Netherlands"/>
    <s v="Netherlands"/>
    <s v="On-site"/>
    <x v="2"/>
    <s v="2-5 yrs"/>
    <n v="69645"/>
    <x v="566"/>
    <s v="Grok"/>
    <s v="PhD"/>
    <n v="45470"/>
    <n v="803"/>
    <n v="1785"/>
    <s v="No"/>
    <n v="2"/>
    <s v="5000+"/>
    <s v="Part-time"/>
    <s v="No"/>
  </r>
  <r>
    <s v="AIJOB00568"/>
    <x v="5"/>
    <x v="25"/>
    <s v="Energy"/>
    <s v="San Francisco, United States"/>
    <s v="United States"/>
    <s v="Hybrid"/>
    <x v="0"/>
    <s v="0-2 yrs"/>
    <n v="57298"/>
    <x v="567"/>
    <s v="None"/>
    <s v="Master's"/>
    <n v="45642"/>
    <n v="1543"/>
    <n v="2004"/>
    <s v="No"/>
    <n v="0"/>
    <s v="201-1000"/>
    <s v="Full-time"/>
    <s v="Yes"/>
  </r>
  <r>
    <s v="AIJOB00569"/>
    <x v="5"/>
    <x v="19"/>
    <s v="Energy"/>
    <s v="New York, United States"/>
    <s v="United States"/>
    <s v="Hybrid"/>
    <x v="0"/>
    <s v="0-2 yrs"/>
    <n v="50000"/>
    <x v="568"/>
    <s v="Mistral"/>
    <s v="Master's"/>
    <n v="45294"/>
    <n v="935"/>
    <n v="3916"/>
    <s v="Yes"/>
    <n v="0"/>
    <s v="201-1000"/>
    <s v="Full-time"/>
    <s v="No"/>
  </r>
  <r>
    <s v="AIJOB00570"/>
    <x v="19"/>
    <x v="8"/>
    <s v="Automotive"/>
    <s v="Sydney, Australia"/>
    <s v="Australia"/>
    <s v="Remote"/>
    <x v="0"/>
    <s v="0-2 yrs"/>
    <n v="65570"/>
    <x v="569"/>
    <s v="Claude"/>
    <s v="Bootcamp/Self-taught"/>
    <n v="45534"/>
    <n v="1572"/>
    <n v="719"/>
    <s v="No"/>
    <n v="0"/>
    <s v="201-1000"/>
    <s v="Contract"/>
    <s v="Yes"/>
  </r>
  <r>
    <s v="AIJOB00571"/>
    <x v="9"/>
    <x v="19"/>
    <s v="Media"/>
    <s v="Berlin, Germany"/>
    <s v="Germany"/>
    <s v="Remote"/>
    <x v="3"/>
    <s v="5-8 yrs"/>
    <n v="150497"/>
    <x v="570"/>
    <s v="BLOOM"/>
    <s v="Bachelor's"/>
    <n v="45394"/>
    <n v="2456"/>
    <n v="1820"/>
    <s v="No"/>
    <n v="4"/>
    <s v="5000+"/>
    <s v="Part-time"/>
    <s v="No"/>
  </r>
  <r>
    <s v="AIJOB00572"/>
    <x v="14"/>
    <x v="25"/>
    <s v="Automotive"/>
    <s v="Los Angeles, United States"/>
    <s v="United States"/>
    <s v="Hybrid"/>
    <x v="3"/>
    <s v="5-8 yrs"/>
    <n v="195263"/>
    <x v="571"/>
    <s v="None"/>
    <s v="PhD"/>
    <n v="45502"/>
    <n v="2397"/>
    <n v="1538"/>
    <s v="Yes"/>
    <n v="4"/>
    <s v="5000+"/>
    <s v="Contract"/>
    <s v="No"/>
  </r>
  <r>
    <s v="AIJOB00573"/>
    <x v="17"/>
    <x v="1"/>
    <s v="Defense"/>
    <s v="Berlin, Germany"/>
    <s v="Germany"/>
    <s v="Remote"/>
    <x v="1"/>
    <s v="8+ yrs"/>
    <n v="211769"/>
    <x v="572"/>
    <s v="Claude"/>
    <s v="Bachelor's"/>
    <n v="45295"/>
    <n v="1490"/>
    <n v="2326"/>
    <s v="No"/>
    <n v="6"/>
    <s v="201-1000"/>
    <s v="Contract"/>
    <s v="Yes"/>
  </r>
  <r>
    <s v="AIJOB00574"/>
    <x v="12"/>
    <x v="19"/>
    <s v="Education"/>
    <s v="Singapore"/>
    <s v="Singapore"/>
    <s v="Hybrid"/>
    <x v="0"/>
    <s v="0-2 yrs"/>
    <n v="67239"/>
    <x v="573"/>
    <s v="GPT-4"/>
    <s v="Master's"/>
    <n v="45579"/>
    <n v="1122"/>
    <n v="479"/>
    <s v="Yes"/>
    <n v="0"/>
    <s v="51-200"/>
    <s v="Full-time"/>
    <s v="Yes"/>
  </r>
  <r>
    <s v="AIJOB00575"/>
    <x v="0"/>
    <x v="14"/>
    <s v="Retail"/>
    <s v="Singapore"/>
    <s v="Singapore"/>
    <s v="Remote"/>
    <x v="2"/>
    <s v="2-5 yrs"/>
    <n v="126422"/>
    <x v="574"/>
    <s v="None"/>
    <s v="PhD"/>
    <n v="45304"/>
    <n v="1366"/>
    <n v="3375"/>
    <s v="No"/>
    <n v="2"/>
    <s v="1001-5000"/>
    <s v="Contract"/>
    <s v="No"/>
  </r>
  <r>
    <s v="AIJOB00576"/>
    <x v="19"/>
    <x v="24"/>
    <s v="Automotive"/>
    <s v="San Francisco, United States"/>
    <s v="United States"/>
    <s v="Remote"/>
    <x v="2"/>
    <s v="2-5 yrs"/>
    <n v="66219"/>
    <x v="575"/>
    <s v="Command R"/>
    <s v="Bachelor's"/>
    <n v="45711"/>
    <n v="709"/>
    <n v="3938"/>
    <s v="No"/>
    <n v="2"/>
    <s v="201-1000"/>
    <s v="Full-time"/>
    <s v="Yes"/>
  </r>
  <r>
    <s v="AIJOB00577"/>
    <x v="0"/>
    <x v="2"/>
    <s v="Automotive"/>
    <s v="Los Angeles, United States"/>
    <s v="United States"/>
    <s v="On-site"/>
    <x v="1"/>
    <s v="8+ yrs"/>
    <n v="208482"/>
    <x v="576"/>
    <s v="GPT-4"/>
    <s v="Bachelor's"/>
    <n v="45367"/>
    <n v="2120"/>
    <n v="184"/>
    <s v="Maybe"/>
    <n v="6"/>
    <s v="201-1000"/>
    <s v="Part-time"/>
    <s v="No"/>
  </r>
  <r>
    <s v="AIJOB00578"/>
    <x v="14"/>
    <x v="20"/>
    <s v="Healthcare"/>
    <s v="San Francisco, United States"/>
    <s v="United States"/>
    <s v="On-site"/>
    <x v="3"/>
    <s v="5-8 yrs"/>
    <n v="170813"/>
    <x v="577"/>
    <s v="Claude"/>
    <s v="Master's"/>
    <n v="45475"/>
    <n v="1689"/>
    <n v="1892"/>
    <s v="No"/>
    <n v="4"/>
    <s v="51-200"/>
    <s v="Full-time"/>
    <s v="No"/>
  </r>
  <r>
    <s v="AIJOB00579"/>
    <x v="5"/>
    <x v="5"/>
    <s v="Energy"/>
    <s v="Seattle, United States"/>
    <s v="United States"/>
    <s v="On-site"/>
    <x v="1"/>
    <s v="8+ yrs"/>
    <n v="146770"/>
    <x v="578"/>
    <s v="None"/>
    <s v="Bachelor's"/>
    <n v="45622"/>
    <n v="1627"/>
    <n v="2421"/>
    <s v="Maybe"/>
    <n v="6"/>
    <s v="201-1000"/>
    <s v="Full-time"/>
    <s v="No"/>
  </r>
  <r>
    <s v="AIJOB00580"/>
    <x v="4"/>
    <x v="6"/>
    <s v="Retail"/>
    <s v="San Francisco, United States"/>
    <s v="United States"/>
    <s v="On-site"/>
    <x v="0"/>
    <s v="0-2 yrs"/>
    <n v="84411"/>
    <x v="579"/>
    <s v="None"/>
    <s v="Bachelor's"/>
    <n v="45373"/>
    <n v="1012"/>
    <n v="2992"/>
    <s v="Maybe"/>
    <n v="0"/>
    <s v="1001-5000"/>
    <s v="Part-time"/>
    <s v="Yes"/>
  </r>
  <r>
    <s v="AIJOB00581"/>
    <x v="2"/>
    <x v="4"/>
    <s v="Healthcare"/>
    <s v="New York, United States"/>
    <s v="United States"/>
    <s v="On-site"/>
    <x v="0"/>
    <s v="0-2 yrs"/>
    <n v="74265"/>
    <x v="580"/>
    <s v="Command R"/>
    <s v="Bootcamp/Self-taught"/>
    <n v="45329"/>
    <n v="1118"/>
    <n v="811"/>
    <s v="No"/>
    <n v="0"/>
    <s v="1001-5000"/>
    <s v="Full-time"/>
    <s v="Yes"/>
  </r>
  <r>
    <s v="AIJOB00582"/>
    <x v="15"/>
    <x v="11"/>
    <s v="Retail"/>
    <s v="Dublin, Ireland"/>
    <s v="Ireland"/>
    <s v="On-site"/>
    <x v="1"/>
    <s v="8+ yrs"/>
    <n v="185049"/>
    <x v="581"/>
    <s v="None"/>
    <s v="Bachelor's"/>
    <n v="45390"/>
    <n v="875"/>
    <n v="3668"/>
    <s v="Yes"/>
    <n v="6"/>
    <s v="1001-5000"/>
    <s v="Full-time"/>
    <s v="No"/>
  </r>
  <r>
    <s v="AIJOB00583"/>
    <x v="18"/>
    <x v="8"/>
    <s v="Energy"/>
    <s v="Dublin, Ireland"/>
    <s v="Ireland"/>
    <s v="Hybrid"/>
    <x v="2"/>
    <s v="2-5 yrs"/>
    <n v="122529"/>
    <x v="582"/>
    <s v="Grok"/>
    <s v="PhD"/>
    <n v="45718"/>
    <n v="575"/>
    <n v="1807"/>
    <s v="No"/>
    <n v="2"/>
    <s v="1001-5000"/>
    <s v="Contract"/>
    <s v="No"/>
  </r>
  <r>
    <s v="AIJOB00584"/>
    <x v="3"/>
    <x v="29"/>
    <s v="Automotive"/>
    <s v="London, United Kingdom"/>
    <s v="United Kingdom"/>
    <s v="Remote"/>
    <x v="3"/>
    <s v="5-8 yrs"/>
    <n v="211308"/>
    <x v="583"/>
    <s v="Mistral"/>
    <s v="Master's"/>
    <n v="45410"/>
    <n v="1765"/>
    <n v="288"/>
    <s v="Maybe"/>
    <n v="4"/>
    <s v="51-200"/>
    <s v="Part-time"/>
    <s v="Yes"/>
  </r>
  <r>
    <s v="AIJOB00585"/>
    <x v="12"/>
    <x v="2"/>
    <s v="Education"/>
    <s v="Dublin, Ireland"/>
    <s v="Ireland"/>
    <s v="On-site"/>
    <x v="2"/>
    <s v="2-5 yrs"/>
    <n v="113600"/>
    <x v="584"/>
    <s v="None"/>
    <s v="Bootcamp/Self-taught"/>
    <n v="45548"/>
    <n v="1377"/>
    <n v="2685"/>
    <s v="Yes"/>
    <n v="2"/>
    <s v="201-1000"/>
    <s v="Full-time"/>
    <s v="Yes"/>
  </r>
  <r>
    <s v="AIJOB00586"/>
    <x v="17"/>
    <x v="8"/>
    <s v="Defense"/>
    <s v="Singapore"/>
    <s v="Singapore"/>
    <s v="Hybrid"/>
    <x v="2"/>
    <s v="2-5 yrs"/>
    <n v="114914"/>
    <x v="585"/>
    <s v="Grok"/>
    <s v="PhD"/>
    <n v="45667"/>
    <n v="444"/>
    <n v="1426"/>
    <s v="Maybe"/>
    <n v="2"/>
    <s v="1001-5000"/>
    <s v="Full-time"/>
    <s v="No"/>
  </r>
  <r>
    <s v="AIJOB00587"/>
    <x v="4"/>
    <x v="0"/>
    <s v="Education"/>
    <s v="Berlin, Germany"/>
    <s v="Germany"/>
    <s v="Remote"/>
    <x v="1"/>
    <s v="8+ yrs"/>
    <n v="183463"/>
    <x v="586"/>
    <s v="Falcon"/>
    <s v="Master's"/>
    <n v="45313"/>
    <n v="1232"/>
    <n v="97"/>
    <s v="Maybe"/>
    <n v="6"/>
    <s v="0-50"/>
    <s v="Contract"/>
    <s v="No"/>
  </r>
  <r>
    <s v="AIJOB00588"/>
    <x v="1"/>
    <x v="11"/>
    <s v="Education"/>
    <s v="San Francisco, United States"/>
    <s v="United States"/>
    <s v="Hybrid"/>
    <x v="1"/>
    <s v="8+ yrs"/>
    <n v="169405"/>
    <x v="587"/>
    <s v="Gemini"/>
    <s v="Bachelor's"/>
    <n v="45318"/>
    <n v="1806"/>
    <n v="1450"/>
    <s v="Yes"/>
    <n v="6"/>
    <s v="1001-5000"/>
    <s v="Contract"/>
    <s v="Yes"/>
  </r>
  <r>
    <s v="AIJOB00589"/>
    <x v="4"/>
    <x v="18"/>
    <s v="Healthcare"/>
    <s v="Paris, France"/>
    <s v="France"/>
    <s v="Remote"/>
    <x v="0"/>
    <s v="0-2 yrs"/>
    <n v="80462"/>
    <x v="588"/>
    <s v="Gemini"/>
    <s v="Bachelor's"/>
    <n v="45677"/>
    <n v="1586"/>
    <n v="1442"/>
    <s v="No"/>
    <n v="0"/>
    <s v="51-200"/>
    <s v="Part-time"/>
    <s v="Yes"/>
  </r>
  <r>
    <s v="AIJOB00590"/>
    <x v="11"/>
    <x v="8"/>
    <s v="Retail"/>
    <s v="London, United Kingdom"/>
    <s v="United Kingdom"/>
    <s v="Hybrid"/>
    <x v="1"/>
    <s v="8+ yrs"/>
    <n v="169180"/>
    <x v="589"/>
    <s v="None"/>
    <s v="Master's"/>
    <n v="45331"/>
    <n v="1539"/>
    <n v="3866"/>
    <s v="No"/>
    <n v="6"/>
    <s v="5000+"/>
    <s v="Full-time"/>
    <s v="No"/>
  </r>
  <r>
    <s v="AIJOB00591"/>
    <x v="10"/>
    <x v="24"/>
    <s v="Automotive"/>
    <s v="Austin, United States"/>
    <s v="United States"/>
    <s v="Hybrid"/>
    <x v="3"/>
    <s v="5-8 yrs"/>
    <n v="151932"/>
    <x v="590"/>
    <s v="Grok"/>
    <s v="Bachelor's"/>
    <n v="45549"/>
    <n v="861"/>
    <n v="3456"/>
    <s v="Maybe"/>
    <n v="4"/>
    <s v="51-200"/>
    <s v="Full-time"/>
    <s v="No"/>
  </r>
  <r>
    <s v="AIJOB00592"/>
    <x v="0"/>
    <x v="21"/>
    <s v="Automotive"/>
    <s v="Berlin, Germany"/>
    <s v="Germany"/>
    <s v="Remote"/>
    <x v="3"/>
    <s v="5-8 yrs"/>
    <n v="137103"/>
    <x v="591"/>
    <s v="None"/>
    <s v="Master's"/>
    <n v="45412"/>
    <n v="1530"/>
    <n v="3398"/>
    <s v="Maybe"/>
    <n v="4"/>
    <s v="0-50"/>
    <s v="Full-time"/>
    <s v="No"/>
  </r>
  <r>
    <s v="AIJOB00593"/>
    <x v="8"/>
    <x v="3"/>
    <s v="Automotive"/>
    <s v="Chicago, United States"/>
    <s v="United States"/>
    <s v="Remote"/>
    <x v="0"/>
    <s v="0-2 yrs"/>
    <n v="76035"/>
    <x v="592"/>
    <s v="GPT-4"/>
    <s v="Bachelor's"/>
    <n v="45314"/>
    <n v="1724"/>
    <n v="3848"/>
    <s v="Yes"/>
    <n v="0"/>
    <s v="5000+"/>
    <s v="Contract"/>
    <s v="Yes"/>
  </r>
  <r>
    <s v="AIJOB00594"/>
    <x v="2"/>
    <x v="7"/>
    <s v="Media"/>
    <s v="San Francisco, United States"/>
    <s v="United States"/>
    <s v="Remote"/>
    <x v="2"/>
    <s v="2-5 yrs"/>
    <n v="116606"/>
    <x v="593"/>
    <s v="None"/>
    <s v="Bootcamp/Self-taught"/>
    <n v="45716"/>
    <n v="1477"/>
    <n v="3526"/>
    <s v="Maybe"/>
    <n v="2"/>
    <s v="5000+"/>
    <s v="Full-time"/>
    <s v="No"/>
  </r>
  <r>
    <s v="AIJOB00595"/>
    <x v="12"/>
    <x v="21"/>
    <s v="Finance"/>
    <s v="Toronto, Canada"/>
    <s v="Canada"/>
    <s v="On-site"/>
    <x v="3"/>
    <s v="5-8 yrs"/>
    <n v="178013"/>
    <x v="594"/>
    <s v="None"/>
    <s v="Bootcamp/Self-taught"/>
    <n v="45531"/>
    <n v="1511"/>
    <n v="1392"/>
    <s v="No"/>
    <n v="4"/>
    <s v="0-50"/>
    <s v="Full-time"/>
    <s v="Yes"/>
  </r>
  <r>
    <s v="AIJOB00596"/>
    <x v="2"/>
    <x v="15"/>
    <s v="Education"/>
    <s v="London, United Kingdom"/>
    <s v="United Kingdom"/>
    <s v="Remote"/>
    <x v="0"/>
    <s v="0-2 yrs"/>
    <n v="63573"/>
    <x v="595"/>
    <s v="Command R"/>
    <s v="Bachelor's"/>
    <n v="45630"/>
    <n v="1769"/>
    <n v="1976"/>
    <s v="No"/>
    <n v="0"/>
    <s v="5000+"/>
    <s v="Full-time"/>
    <s v="Yes"/>
  </r>
  <r>
    <s v="AIJOB00597"/>
    <x v="4"/>
    <x v="27"/>
    <s v="Retail"/>
    <s v="Tokyo, Japan"/>
    <s v="Japan"/>
    <s v="Hybrid"/>
    <x v="3"/>
    <s v="5-8 yrs"/>
    <n v="142713"/>
    <x v="596"/>
    <s v="None"/>
    <s v="Master's"/>
    <n v="45324"/>
    <n v="901"/>
    <n v="3578"/>
    <s v="No"/>
    <n v="4"/>
    <s v="0-50"/>
    <s v="Full-time"/>
    <s v="No"/>
  </r>
  <r>
    <s v="AIJOB00598"/>
    <x v="15"/>
    <x v="16"/>
    <s v="Government"/>
    <s v="Zurich, Switzerland"/>
    <s v="Switzerland"/>
    <s v="Remote"/>
    <x v="1"/>
    <s v="8+ yrs"/>
    <n v="164764"/>
    <x v="597"/>
    <s v="None"/>
    <s v="Master's"/>
    <n v="45575"/>
    <n v="483"/>
    <n v="2469"/>
    <s v="Yes"/>
    <n v="6"/>
    <s v="0-50"/>
    <s v="Full-time"/>
    <s v="Yes"/>
  </r>
  <r>
    <s v="AIJOB00599"/>
    <x v="10"/>
    <x v="27"/>
    <s v="Technology"/>
    <s v="Paris, France"/>
    <s v="France"/>
    <s v="Remote"/>
    <x v="0"/>
    <s v="0-2 yrs"/>
    <n v="64401"/>
    <x v="598"/>
    <s v="Mistral"/>
    <s v="Master's"/>
    <n v="45584"/>
    <n v="1775"/>
    <n v="1382"/>
    <s v="Maybe"/>
    <n v="0"/>
    <s v="201-1000"/>
    <s v="Full-time"/>
    <s v="No"/>
  </r>
  <r>
    <s v="AIJOB00600"/>
    <x v="6"/>
    <x v="5"/>
    <s v="Energy"/>
    <s v="Toronto, Canada"/>
    <s v="Canada"/>
    <s v="Remote"/>
    <x v="0"/>
    <s v="0-2 yrs"/>
    <n v="74753"/>
    <x v="599"/>
    <s v="Falcon"/>
    <s v="PhD"/>
    <n v="45440"/>
    <n v="1709"/>
    <n v="3859"/>
    <s v="Yes"/>
    <n v="0"/>
    <s v="5000+"/>
    <s v="Full-time"/>
    <s v="No"/>
  </r>
  <r>
    <s v="AIJOB00601"/>
    <x v="11"/>
    <x v="16"/>
    <s v="Energy"/>
    <s v="Seattle, United States"/>
    <s v="United States"/>
    <s v="On-site"/>
    <x v="0"/>
    <s v="0-2 yrs"/>
    <n v="79538"/>
    <x v="600"/>
    <s v="None"/>
    <s v="PhD"/>
    <n v="45406"/>
    <n v="2234"/>
    <n v="2710"/>
    <s v="No"/>
    <n v="0"/>
    <s v="1001-5000"/>
    <s v="Full-time"/>
    <s v="Yes"/>
  </r>
  <r>
    <s v="AIJOB00602"/>
    <x v="12"/>
    <x v="18"/>
    <s v="Media"/>
    <s v="Paris, France"/>
    <s v="France"/>
    <s v="Remote"/>
    <x v="3"/>
    <s v="5-8 yrs"/>
    <n v="125101"/>
    <x v="601"/>
    <s v="None"/>
    <s v="Master's"/>
    <n v="45701"/>
    <n v="1741"/>
    <n v="2305"/>
    <s v="No"/>
    <n v="4"/>
    <s v="201-1000"/>
    <s v="Full-time"/>
    <s v="No"/>
  </r>
  <r>
    <s v="AIJOB00603"/>
    <x v="14"/>
    <x v="3"/>
    <s v="Healthcare"/>
    <s v="Paris, France"/>
    <s v="France"/>
    <s v="Hybrid"/>
    <x v="1"/>
    <s v="8+ yrs"/>
    <n v="231305"/>
    <x v="602"/>
    <s v="None"/>
    <s v="Master's"/>
    <n v="45715"/>
    <n v="1475"/>
    <n v="1409"/>
    <s v="No"/>
    <n v="6"/>
    <s v="0-50"/>
    <s v="Full-time"/>
    <s v="No"/>
  </r>
  <r>
    <s v="AIJOB00604"/>
    <x v="3"/>
    <x v="24"/>
    <s v="Finance"/>
    <s v="Singapore"/>
    <s v="Singapore"/>
    <s v="On-site"/>
    <x v="1"/>
    <s v="8+ yrs"/>
    <n v="248802"/>
    <x v="603"/>
    <s v="None"/>
    <s v="Bachelor's"/>
    <n v="45740"/>
    <n v="439"/>
    <n v="3425"/>
    <s v="No"/>
    <n v="6"/>
    <s v="51-200"/>
    <s v="Part-time"/>
    <s v="Yes"/>
  </r>
  <r>
    <s v="AIJOB00605"/>
    <x v="10"/>
    <x v="12"/>
    <s v="Technology"/>
    <s v="Los Angeles, United States"/>
    <s v="United States"/>
    <s v="Remote"/>
    <x v="1"/>
    <s v="8+ yrs"/>
    <n v="214883"/>
    <x v="604"/>
    <s v="Claude"/>
    <s v="Bachelor's"/>
    <n v="45497"/>
    <n v="1753"/>
    <n v="3900"/>
    <s v="No"/>
    <n v="6"/>
    <s v="1001-5000"/>
    <s v="Full-time"/>
    <s v="No"/>
  </r>
  <r>
    <s v="AIJOB00606"/>
    <x v="19"/>
    <x v="13"/>
    <s v="Healthcare"/>
    <s v="Tel Aviv, Israel"/>
    <s v="Israel"/>
    <s v="Hybrid"/>
    <x v="3"/>
    <s v="5-8 yrs"/>
    <n v="200673"/>
    <x v="605"/>
    <s v="None"/>
    <s v="PhD"/>
    <n v="45667"/>
    <n v="1815"/>
    <n v="2770"/>
    <s v="No"/>
    <n v="4"/>
    <s v="1001-5000"/>
    <s v="Full-time"/>
    <s v="Yes"/>
  </r>
  <r>
    <s v="AIJOB00607"/>
    <x v="12"/>
    <x v="22"/>
    <s v="Government"/>
    <s v="London, United Kingdom"/>
    <s v="United Kingdom"/>
    <s v="Remote"/>
    <x v="3"/>
    <s v="5-8 yrs"/>
    <n v="129107"/>
    <x v="606"/>
    <s v="None"/>
    <s v="Master's"/>
    <n v="45544"/>
    <n v="1030"/>
    <n v="3915"/>
    <s v="Yes"/>
    <n v="4"/>
    <s v="51-200"/>
    <s v="Full-time"/>
    <s v="Yes"/>
  </r>
  <r>
    <s v="AIJOB00608"/>
    <x v="6"/>
    <x v="22"/>
    <s v="Automotive"/>
    <s v="London, United Kingdom"/>
    <s v="United Kingdom"/>
    <s v="Remote"/>
    <x v="3"/>
    <s v="5-8 yrs"/>
    <n v="116394"/>
    <x v="607"/>
    <s v="Gemini"/>
    <s v="Bootcamp/Self-taught"/>
    <n v="45376"/>
    <n v="734"/>
    <n v="3796"/>
    <s v="Yes"/>
    <n v="4"/>
    <s v="201-1000"/>
    <s v="Full-time"/>
    <s v="Yes"/>
  </r>
  <r>
    <s v="AIJOB00609"/>
    <x v="10"/>
    <x v="0"/>
    <s v="Education"/>
    <s v="San Francisco, United States"/>
    <s v="United States"/>
    <s v="Hybrid"/>
    <x v="2"/>
    <s v="2-5 yrs"/>
    <n v="74781"/>
    <x v="608"/>
    <s v="Grok"/>
    <s v="Master's"/>
    <n v="45312"/>
    <n v="2158"/>
    <n v="1218"/>
    <s v="Maybe"/>
    <n v="2"/>
    <s v="0-50"/>
    <s v="Full-time"/>
    <s v="Yes"/>
  </r>
  <r>
    <s v="AIJOB00610"/>
    <x v="2"/>
    <x v="9"/>
    <s v="Finance"/>
    <s v="Berlin, Germany"/>
    <s v="Germany"/>
    <s v="On-site"/>
    <x v="0"/>
    <s v="0-2 yrs"/>
    <n v="88850"/>
    <x v="609"/>
    <s v="None"/>
    <s v="Master's"/>
    <n v="45666"/>
    <n v="2376"/>
    <n v="1383"/>
    <s v="No"/>
    <n v="0"/>
    <s v="5000+"/>
    <s v="Full-time"/>
    <s v="Yes"/>
  </r>
  <r>
    <s v="AIJOB00611"/>
    <x v="18"/>
    <x v="10"/>
    <s v="Technology"/>
    <s v="Los Angeles, United States"/>
    <s v="United States"/>
    <s v="Remote"/>
    <x v="0"/>
    <s v="0-2 yrs"/>
    <n v="78245"/>
    <x v="610"/>
    <s v="None"/>
    <s v="Bachelor's"/>
    <n v="45653"/>
    <n v="1840"/>
    <n v="3582"/>
    <s v="Maybe"/>
    <n v="0"/>
    <s v="51-200"/>
    <s v="Full-time"/>
    <s v="Yes"/>
  </r>
  <r>
    <s v="AIJOB00612"/>
    <x v="15"/>
    <x v="15"/>
    <s v="Media"/>
    <s v="Sydney, Australia"/>
    <s v="Australia"/>
    <s v="Remote"/>
    <x v="1"/>
    <s v="8+ yrs"/>
    <n v="197998"/>
    <x v="611"/>
    <s v="None"/>
    <s v="Bachelor's"/>
    <n v="45617"/>
    <n v="1154"/>
    <n v="2918"/>
    <s v="Yes"/>
    <n v="6"/>
    <s v="1001-5000"/>
    <s v="Full-time"/>
    <s v="No"/>
  </r>
  <r>
    <s v="AIJOB00613"/>
    <x v="12"/>
    <x v="3"/>
    <s v="Education"/>
    <s v="Boston, United States"/>
    <s v="United States"/>
    <s v="Hybrid"/>
    <x v="2"/>
    <s v="2-5 yrs"/>
    <n v="115543"/>
    <x v="612"/>
    <s v="None"/>
    <s v="Master's"/>
    <n v="45628"/>
    <n v="1906"/>
    <n v="2458"/>
    <s v="No"/>
    <n v="2"/>
    <s v="1001-5000"/>
    <s v="Full-time"/>
    <s v="Yes"/>
  </r>
  <r>
    <s v="AIJOB00614"/>
    <x v="5"/>
    <x v="23"/>
    <s v="Healthcare"/>
    <s v="Bangalore, India"/>
    <s v="India"/>
    <s v="Remote"/>
    <x v="1"/>
    <s v="8+ yrs"/>
    <n v="159482"/>
    <x v="613"/>
    <s v="BLOOM"/>
    <s v="PhD"/>
    <n v="45631"/>
    <n v="2281"/>
    <n v="3451"/>
    <s v="No"/>
    <n v="6"/>
    <s v="1001-5000"/>
    <s v="Full-time"/>
    <s v="No"/>
  </r>
  <r>
    <s v="AIJOB00615"/>
    <x v="13"/>
    <x v="19"/>
    <s v="Education"/>
    <s v="Amsterdam, Netherlands"/>
    <s v="Netherlands"/>
    <s v="Hybrid"/>
    <x v="3"/>
    <s v="5-8 yrs"/>
    <n v="216035"/>
    <x v="614"/>
    <s v="BLOOM"/>
    <s v="Master's"/>
    <n v="45747"/>
    <n v="1367"/>
    <n v="3747"/>
    <s v="Yes"/>
    <n v="4"/>
    <s v="1001-5000"/>
    <s v="Contract"/>
    <s v="Yes"/>
  </r>
  <r>
    <s v="AIJOB00616"/>
    <x v="17"/>
    <x v="25"/>
    <s v="Government"/>
    <s v="Bangalore, India"/>
    <s v="India"/>
    <s v="Remote"/>
    <x v="3"/>
    <s v="5-8 yrs"/>
    <n v="153488"/>
    <x v="615"/>
    <s v="Grok"/>
    <s v="Bachelor's"/>
    <n v="45585"/>
    <n v="381"/>
    <n v="3902"/>
    <s v="No"/>
    <n v="4"/>
    <s v="1001-5000"/>
    <s v="Full-time"/>
    <s v="No"/>
  </r>
  <r>
    <s v="AIJOB00617"/>
    <x v="16"/>
    <x v="29"/>
    <s v="Government"/>
    <s v="New York, United States"/>
    <s v="United States"/>
    <s v="Hybrid"/>
    <x v="0"/>
    <s v="0-2 yrs"/>
    <n v="71378"/>
    <x v="616"/>
    <s v="Gemini"/>
    <s v="Master's"/>
    <n v="45477"/>
    <n v="1183"/>
    <n v="2274"/>
    <s v="No"/>
    <n v="0"/>
    <s v="0-50"/>
    <s v="Full-time"/>
    <s v="Yes"/>
  </r>
  <r>
    <s v="AIJOB00618"/>
    <x v="10"/>
    <x v="17"/>
    <s v="Automotive"/>
    <s v="Dublin, Ireland"/>
    <s v="Ireland"/>
    <s v="Remote"/>
    <x v="0"/>
    <s v="0-2 yrs"/>
    <n v="79144"/>
    <x v="617"/>
    <s v="Llama"/>
    <s v="PhD"/>
    <n v="45540"/>
    <n v="1847"/>
    <n v="2694"/>
    <s v="No"/>
    <n v="0"/>
    <s v="201-1000"/>
    <s v="Contract"/>
    <s v="Yes"/>
  </r>
  <r>
    <s v="AIJOB00619"/>
    <x v="10"/>
    <x v="16"/>
    <s v="Automotive"/>
    <s v="San Francisco, United States"/>
    <s v="United States"/>
    <s v="Remote"/>
    <x v="1"/>
    <s v="8+ yrs"/>
    <n v="217316"/>
    <x v="618"/>
    <s v="None"/>
    <s v="PhD"/>
    <n v="45717"/>
    <n v="2041"/>
    <n v="2108"/>
    <s v="No"/>
    <n v="6"/>
    <s v="201-1000"/>
    <s v="Full-time"/>
    <s v="Yes"/>
  </r>
  <r>
    <s v="AIJOB00620"/>
    <x v="2"/>
    <x v="5"/>
    <s v="Retail"/>
    <s v="Chicago, United States"/>
    <s v="United States"/>
    <s v="Remote"/>
    <x v="1"/>
    <s v="8+ yrs"/>
    <n v="208059"/>
    <x v="619"/>
    <s v="Phi"/>
    <s v="Master's"/>
    <n v="45339"/>
    <n v="2335"/>
    <n v="2990"/>
    <s v="No"/>
    <n v="6"/>
    <s v="201-1000"/>
    <s v="Contract"/>
    <s v="No"/>
  </r>
  <r>
    <s v="AIJOB00621"/>
    <x v="14"/>
    <x v="1"/>
    <s v="Healthcare"/>
    <s v="Zurich, Switzerland"/>
    <s v="Switzerland"/>
    <s v="On-site"/>
    <x v="2"/>
    <s v="2-5 yrs"/>
    <n v="94348"/>
    <x v="620"/>
    <s v="Mistral"/>
    <s v="PhD"/>
    <n v="45495"/>
    <n v="642"/>
    <n v="400"/>
    <s v="No"/>
    <n v="2"/>
    <s v="51-200"/>
    <s v="Contract"/>
    <s v="No"/>
  </r>
  <r>
    <s v="AIJOB00622"/>
    <x v="7"/>
    <x v="21"/>
    <s v="Media"/>
    <s v="Berlin, Germany"/>
    <s v="Germany"/>
    <s v="Remote"/>
    <x v="0"/>
    <s v="0-2 yrs"/>
    <n v="75940"/>
    <x v="621"/>
    <s v="Command R"/>
    <s v="Master's"/>
    <n v="45721"/>
    <n v="1683"/>
    <n v="3427"/>
    <s v="Yes"/>
    <n v="0"/>
    <s v="201-1000"/>
    <s v="Full-time"/>
    <s v="No"/>
  </r>
  <r>
    <s v="AIJOB00623"/>
    <x v="13"/>
    <x v="5"/>
    <s v="Energy"/>
    <s v="Singapore"/>
    <s v="Singapore"/>
    <s v="Hybrid"/>
    <x v="3"/>
    <s v="5-8 yrs"/>
    <n v="200814"/>
    <x v="622"/>
    <s v="Command R"/>
    <s v="PhD"/>
    <n v="45698"/>
    <n v="633"/>
    <n v="3783"/>
    <s v="Yes"/>
    <n v="4"/>
    <s v="0-50"/>
    <s v="Full-time"/>
    <s v="No"/>
  </r>
  <r>
    <s v="AIJOB00624"/>
    <x v="15"/>
    <x v="24"/>
    <s v="Healthcare"/>
    <s v="Toronto, Canada"/>
    <s v="Canada"/>
    <s v="Remote"/>
    <x v="0"/>
    <s v="0-2 yrs"/>
    <n v="86952"/>
    <x v="623"/>
    <s v="Phi"/>
    <s v="PhD"/>
    <n v="45737"/>
    <n v="2012"/>
    <n v="1645"/>
    <s v="Yes"/>
    <n v="0"/>
    <s v="0-50"/>
    <s v="Full-time"/>
    <s v="Yes"/>
  </r>
  <r>
    <s v="AIJOB00625"/>
    <x v="2"/>
    <x v="23"/>
    <s v="Government"/>
    <s v="Tokyo, Japan"/>
    <s v="Japan"/>
    <s v="On-site"/>
    <x v="3"/>
    <s v="5-8 yrs"/>
    <n v="193016"/>
    <x v="624"/>
    <s v="Grok"/>
    <s v="Master's"/>
    <n v="45580"/>
    <n v="1329"/>
    <n v="1943"/>
    <s v="No"/>
    <n v="4"/>
    <s v="201-1000"/>
    <s v="Part-time"/>
    <s v="No"/>
  </r>
  <r>
    <s v="AIJOB00626"/>
    <x v="3"/>
    <x v="15"/>
    <s v="Automotive"/>
    <s v="Dublin, Ireland"/>
    <s v="Ireland"/>
    <s v="Hybrid"/>
    <x v="2"/>
    <s v="2-5 yrs"/>
    <n v="99877"/>
    <x v="625"/>
    <s v="Claude"/>
    <s v="PhD"/>
    <n v="45534"/>
    <n v="1116"/>
    <n v="2852"/>
    <s v="Yes"/>
    <n v="2"/>
    <s v="1001-5000"/>
    <s v="Full-time"/>
    <s v="Yes"/>
  </r>
  <r>
    <s v="AIJOB00627"/>
    <x v="14"/>
    <x v="2"/>
    <s v="Automotive"/>
    <s v="Seattle, United States"/>
    <s v="United States"/>
    <s v="Remote"/>
    <x v="2"/>
    <s v="2-5 yrs"/>
    <n v="90405"/>
    <x v="626"/>
    <s v="BLOOM"/>
    <s v="Master's"/>
    <n v="45578"/>
    <n v="1951"/>
    <n v="3836"/>
    <s v="No"/>
    <n v="2"/>
    <s v="5000+"/>
    <s v="Full-time"/>
    <s v="Yes"/>
  </r>
  <r>
    <s v="AIJOB00628"/>
    <x v="12"/>
    <x v="2"/>
    <s v="Media"/>
    <s v="London, United Kingdom"/>
    <s v="United Kingdom"/>
    <s v="Hybrid"/>
    <x v="2"/>
    <s v="2-5 yrs"/>
    <n v="107509"/>
    <x v="627"/>
    <s v="None"/>
    <s v="Master's"/>
    <n v="45435"/>
    <n v="1435"/>
    <n v="3969"/>
    <s v="No"/>
    <n v="2"/>
    <s v="5000+"/>
    <s v="Full-time"/>
    <s v="No"/>
  </r>
  <r>
    <s v="AIJOB00629"/>
    <x v="15"/>
    <x v="17"/>
    <s v="Healthcare"/>
    <s v="Paris, France"/>
    <s v="France"/>
    <s v="On-site"/>
    <x v="0"/>
    <s v="0-2 yrs"/>
    <n v="70702"/>
    <x v="628"/>
    <s v="None"/>
    <s v="Master's"/>
    <n v="45338"/>
    <n v="2100"/>
    <n v="1752"/>
    <s v="No"/>
    <n v="0"/>
    <s v="201-1000"/>
    <s v="Full-time"/>
    <s v="No"/>
  </r>
  <r>
    <s v="AIJOB00630"/>
    <x v="7"/>
    <x v="14"/>
    <s v="Retail"/>
    <s v="Chicago, United States"/>
    <s v="United States"/>
    <s v="Hybrid"/>
    <x v="1"/>
    <s v="8+ yrs"/>
    <n v="239390"/>
    <x v="629"/>
    <s v="Grok"/>
    <s v="Bootcamp/Self-taught"/>
    <n v="45653"/>
    <n v="1437"/>
    <n v="2923"/>
    <s v="Yes"/>
    <n v="6"/>
    <s v="1001-5000"/>
    <s v="Full-time"/>
    <s v="No"/>
  </r>
  <r>
    <s v="AIJOB00631"/>
    <x v="2"/>
    <x v="28"/>
    <s v="Media"/>
    <s v="Stockholm, Sweden"/>
    <s v="Sweden"/>
    <s v="On-site"/>
    <x v="0"/>
    <s v="0-2 yrs"/>
    <n v="50000"/>
    <x v="630"/>
    <s v="None"/>
    <s v="Bachelor's"/>
    <n v="45625"/>
    <n v="1082"/>
    <n v="1576"/>
    <s v="No"/>
    <n v="0"/>
    <s v="0-50"/>
    <s v="Full-time"/>
    <s v="Yes"/>
  </r>
  <r>
    <s v="AIJOB00632"/>
    <x v="9"/>
    <x v="4"/>
    <s v="Technology"/>
    <s v="Zurich, Switzerland"/>
    <s v="Switzerland"/>
    <s v="Remote"/>
    <x v="0"/>
    <s v="0-2 yrs"/>
    <n v="89272"/>
    <x v="631"/>
    <s v="Command R"/>
    <s v="Bootcamp/Self-taught"/>
    <n v="45340"/>
    <n v="1336"/>
    <n v="1133"/>
    <s v="No"/>
    <n v="0"/>
    <s v="5000+"/>
    <s v="Contract"/>
    <s v="No"/>
  </r>
  <r>
    <s v="AIJOB00633"/>
    <x v="8"/>
    <x v="16"/>
    <s v="Healthcare"/>
    <s v="Tel Aviv, Israel"/>
    <s v="Israel"/>
    <s v="Remote"/>
    <x v="1"/>
    <s v="8+ yrs"/>
    <n v="194311"/>
    <x v="632"/>
    <s v="Gemini"/>
    <s v="Bachelor's"/>
    <n v="45675"/>
    <n v="789"/>
    <n v="239"/>
    <s v="No"/>
    <n v="6"/>
    <s v="0-50"/>
    <s v="Full-time"/>
    <s v="No"/>
  </r>
  <r>
    <s v="AIJOB00634"/>
    <x v="2"/>
    <x v="5"/>
    <s v="Technology"/>
    <s v="Tokyo, Japan"/>
    <s v="Japan"/>
    <s v="Hybrid"/>
    <x v="2"/>
    <s v="2-5 yrs"/>
    <n v="101547"/>
    <x v="633"/>
    <s v="None"/>
    <s v="Bootcamp/Self-taught"/>
    <n v="45462"/>
    <n v="1951"/>
    <n v="1715"/>
    <s v="No"/>
    <n v="2"/>
    <s v="0-50"/>
    <s v="Full-time"/>
    <s v="No"/>
  </r>
  <r>
    <s v="AIJOB00635"/>
    <x v="10"/>
    <x v="0"/>
    <s v="Healthcare"/>
    <s v="Amsterdam, Netherlands"/>
    <s v="Netherlands"/>
    <s v="Remote"/>
    <x v="2"/>
    <s v="2-5 yrs"/>
    <n v="89960"/>
    <x v="634"/>
    <s v="None"/>
    <s v="Master's"/>
    <n v="45519"/>
    <n v="313"/>
    <n v="1284"/>
    <s v="No"/>
    <n v="2"/>
    <s v="201-1000"/>
    <s v="Full-time"/>
    <s v="No"/>
  </r>
  <r>
    <s v="AIJOB00636"/>
    <x v="4"/>
    <x v="6"/>
    <s v="Healthcare"/>
    <s v="Seattle, United States"/>
    <s v="United States"/>
    <s v="Remote"/>
    <x v="1"/>
    <s v="8+ yrs"/>
    <n v="140425"/>
    <x v="635"/>
    <s v="GPT-4"/>
    <s v="PhD"/>
    <n v="45338"/>
    <n v="1190"/>
    <n v="2623"/>
    <s v="No"/>
    <n v="6"/>
    <s v="0-50"/>
    <s v="Contract"/>
    <s v="No"/>
  </r>
  <r>
    <s v="AIJOB00637"/>
    <x v="5"/>
    <x v="21"/>
    <s v="Retail"/>
    <s v="Berlin, Germany"/>
    <s v="Germany"/>
    <s v="Remote"/>
    <x v="2"/>
    <s v="2-5 yrs"/>
    <n v="126298"/>
    <x v="636"/>
    <s v="Llama"/>
    <s v="Bachelor's"/>
    <n v="45486"/>
    <n v="1508"/>
    <n v="1072"/>
    <s v="No"/>
    <n v="2"/>
    <s v="201-1000"/>
    <s v="Full-time"/>
    <s v="Yes"/>
  </r>
  <r>
    <s v="AIJOB00638"/>
    <x v="16"/>
    <x v="26"/>
    <s v="Media"/>
    <s v="Dublin, Ireland"/>
    <s v="Ireland"/>
    <s v="Remote"/>
    <x v="3"/>
    <s v="5-8 yrs"/>
    <n v="151979"/>
    <x v="637"/>
    <s v="Grok"/>
    <s v="Master's"/>
    <n v="45615"/>
    <n v="1482"/>
    <n v="859"/>
    <s v="No"/>
    <n v="4"/>
    <s v="5000+"/>
    <s v="Full-time"/>
    <s v="No"/>
  </r>
  <r>
    <s v="AIJOB00639"/>
    <x v="2"/>
    <x v="24"/>
    <s v="Healthcare"/>
    <s v="Dublin, Ireland"/>
    <s v="Ireland"/>
    <s v="Hybrid"/>
    <x v="0"/>
    <s v="0-2 yrs"/>
    <n v="53746"/>
    <x v="638"/>
    <s v="Gemini"/>
    <s v="Master's"/>
    <n v="45424"/>
    <n v="1622"/>
    <n v="1534"/>
    <s v="No"/>
    <n v="0"/>
    <s v="5000+"/>
    <s v="Contract"/>
    <s v="Yes"/>
  </r>
  <r>
    <s v="AIJOB00640"/>
    <x v="0"/>
    <x v="22"/>
    <s v="Healthcare"/>
    <s v="San Francisco, United States"/>
    <s v="United States"/>
    <s v="Remote"/>
    <x v="3"/>
    <s v="5-8 yrs"/>
    <n v="115032"/>
    <x v="639"/>
    <s v="None"/>
    <s v="Master's"/>
    <n v="45535"/>
    <n v="1062"/>
    <n v="3090"/>
    <s v="Yes"/>
    <n v="4"/>
    <s v="5000+"/>
    <s v="Full-time"/>
    <s v="No"/>
  </r>
  <r>
    <s v="AIJOB00641"/>
    <x v="19"/>
    <x v="6"/>
    <s v="Energy"/>
    <s v="Tel Aviv, Israel"/>
    <s v="Israel"/>
    <s v="On-site"/>
    <x v="1"/>
    <s v="8+ yrs"/>
    <n v="187911"/>
    <x v="640"/>
    <s v="Llama"/>
    <s v="Bachelor's"/>
    <n v="45421"/>
    <n v="2044"/>
    <n v="3180"/>
    <s v="No"/>
    <n v="6"/>
    <s v="5000+"/>
    <s v="Full-time"/>
    <s v="Yes"/>
  </r>
  <r>
    <s v="AIJOB00642"/>
    <x v="10"/>
    <x v="17"/>
    <s v="Finance"/>
    <s v="Sydney, Australia"/>
    <s v="Australia"/>
    <s v="On-site"/>
    <x v="2"/>
    <s v="2-5 yrs"/>
    <n v="143046"/>
    <x v="641"/>
    <s v="None"/>
    <s v="Master's"/>
    <n v="45649"/>
    <n v="879"/>
    <n v="3292"/>
    <s v="No"/>
    <n v="2"/>
    <s v="1001-5000"/>
    <s v="Full-time"/>
    <s v="Yes"/>
  </r>
  <r>
    <s v="AIJOB00643"/>
    <x v="3"/>
    <x v="27"/>
    <s v="Energy"/>
    <s v="Toronto, Canada"/>
    <s v="Canada"/>
    <s v="Remote"/>
    <x v="2"/>
    <s v="2-5 yrs"/>
    <n v="104860"/>
    <x v="642"/>
    <s v="Llama"/>
    <s v="PhD"/>
    <n v="45333"/>
    <n v="1832"/>
    <n v="30"/>
    <s v="No"/>
    <n v="2"/>
    <s v="201-1000"/>
    <s v="Full-time"/>
    <s v="No"/>
  </r>
  <r>
    <s v="AIJOB00644"/>
    <x v="11"/>
    <x v="4"/>
    <s v="Government"/>
    <s v="Tel Aviv, Israel"/>
    <s v="Israel"/>
    <s v="Hybrid"/>
    <x v="2"/>
    <s v="2-5 yrs"/>
    <n v="80237"/>
    <x v="643"/>
    <s v="Gemini"/>
    <s v="PhD"/>
    <n v="45717"/>
    <n v="2039"/>
    <n v="2455"/>
    <s v="No"/>
    <n v="2"/>
    <s v="0-50"/>
    <s v="Full-time"/>
    <s v="No"/>
  </r>
  <r>
    <s v="AIJOB00645"/>
    <x v="12"/>
    <x v="6"/>
    <s v="Media"/>
    <s v="Paris, France"/>
    <s v="France"/>
    <s v="On-site"/>
    <x v="0"/>
    <s v="0-2 yrs"/>
    <n v="66903"/>
    <x v="644"/>
    <s v="Grok"/>
    <s v="Bootcamp/Self-taught"/>
    <n v="45383"/>
    <n v="1242"/>
    <n v="575"/>
    <s v="No"/>
    <n v="0"/>
    <s v="0-50"/>
    <s v="Full-time"/>
    <s v="Yes"/>
  </r>
  <r>
    <s v="AIJOB00646"/>
    <x v="18"/>
    <x v="20"/>
    <s v="Healthcare"/>
    <s v="Toronto, Canada"/>
    <s v="Canada"/>
    <s v="Remote"/>
    <x v="1"/>
    <s v="8+ yrs"/>
    <n v="190181"/>
    <x v="645"/>
    <s v="BLOOM"/>
    <s v="Master's"/>
    <n v="45437"/>
    <n v="2419"/>
    <n v="3427"/>
    <s v="Yes"/>
    <n v="6"/>
    <s v="0-50"/>
    <s v="Full-time"/>
    <s v="No"/>
  </r>
  <r>
    <s v="AIJOB00647"/>
    <x v="11"/>
    <x v="22"/>
    <s v="Media"/>
    <s v="Toronto, Canada"/>
    <s v="Canada"/>
    <s v="Remote"/>
    <x v="0"/>
    <s v="0-2 yrs"/>
    <n v="50000"/>
    <x v="646"/>
    <s v="GPT-4"/>
    <s v="Bachelor's"/>
    <n v="45586"/>
    <n v="774"/>
    <n v="2482"/>
    <s v="No"/>
    <n v="0"/>
    <s v="1001-5000"/>
    <s v="Full-time"/>
    <s v="No"/>
  </r>
  <r>
    <s v="AIJOB00648"/>
    <x v="18"/>
    <x v="23"/>
    <s v="Defense"/>
    <s v="London, United Kingdom"/>
    <s v="United Kingdom"/>
    <s v="Hybrid"/>
    <x v="3"/>
    <s v="5-8 yrs"/>
    <n v="148534"/>
    <x v="647"/>
    <s v="None"/>
    <s v="Bachelor's"/>
    <n v="45509"/>
    <n v="2409"/>
    <n v="3339"/>
    <s v="No"/>
    <n v="4"/>
    <s v="1001-5000"/>
    <s v="Full-time"/>
    <s v="No"/>
  </r>
  <r>
    <s v="AIJOB00649"/>
    <x v="17"/>
    <x v="15"/>
    <s v="Energy"/>
    <s v="Tel Aviv, Israel"/>
    <s v="Israel"/>
    <s v="Hybrid"/>
    <x v="0"/>
    <s v="0-2 yrs"/>
    <n v="67090"/>
    <x v="648"/>
    <s v="None"/>
    <s v="Bachelor's"/>
    <n v="45317"/>
    <n v="1501"/>
    <n v="1471"/>
    <s v="No"/>
    <n v="0"/>
    <s v="1001-5000"/>
    <s v="Full-time"/>
    <s v="No"/>
  </r>
  <r>
    <s v="AIJOB00650"/>
    <x v="6"/>
    <x v="10"/>
    <s v="Education"/>
    <s v="Boston, United States"/>
    <s v="United States"/>
    <s v="Hybrid"/>
    <x v="0"/>
    <s v="0-2 yrs"/>
    <n v="78772"/>
    <x v="649"/>
    <s v="None"/>
    <s v="Master's"/>
    <n v="45564"/>
    <n v="1425"/>
    <n v="1424"/>
    <s v="Maybe"/>
    <n v="0"/>
    <s v="5000+"/>
    <s v="Full-time"/>
    <s v="No"/>
  </r>
  <r>
    <s v="AIJOB00651"/>
    <x v="10"/>
    <x v="4"/>
    <s v="Energy"/>
    <s v="New York, United States"/>
    <s v="United States"/>
    <s v="Remote"/>
    <x v="1"/>
    <s v="8+ yrs"/>
    <n v="266562"/>
    <x v="650"/>
    <s v="Claude"/>
    <s v="Bootcamp/Self-taught"/>
    <n v="45482"/>
    <n v="622"/>
    <n v="1393"/>
    <s v="Maybe"/>
    <n v="6"/>
    <s v="201-1000"/>
    <s v="Full-time"/>
    <s v="Yes"/>
  </r>
  <r>
    <s v="AIJOB00652"/>
    <x v="2"/>
    <x v="23"/>
    <s v="Technology"/>
    <s v="Los Angeles, United States"/>
    <s v="United States"/>
    <s v="On-site"/>
    <x v="0"/>
    <s v="0-2 yrs"/>
    <n v="84194"/>
    <x v="651"/>
    <s v="Llama"/>
    <s v="Master's"/>
    <n v="45698"/>
    <n v="2237"/>
    <n v="891"/>
    <s v="No"/>
    <n v="0"/>
    <s v="1001-5000"/>
    <s v="Full-time"/>
    <s v="No"/>
  </r>
  <r>
    <s v="AIJOB00653"/>
    <x v="15"/>
    <x v="3"/>
    <s v="Healthcare"/>
    <s v="Dublin, Ireland"/>
    <s v="Ireland"/>
    <s v="Hybrid"/>
    <x v="3"/>
    <s v="5-8 yrs"/>
    <n v="142740"/>
    <x v="652"/>
    <s v="BLOOM"/>
    <s v="Bachelor's"/>
    <n v="45601"/>
    <n v="2194"/>
    <n v="2463"/>
    <s v="No"/>
    <n v="4"/>
    <s v="201-1000"/>
    <s v="Full-time"/>
    <s v="Yes"/>
  </r>
  <r>
    <s v="AIJOB00654"/>
    <x v="18"/>
    <x v="29"/>
    <s v="Energy"/>
    <s v="Seattle, United States"/>
    <s v="United States"/>
    <s v="Hybrid"/>
    <x v="2"/>
    <s v="2-5 yrs"/>
    <n v="88090"/>
    <x v="653"/>
    <s v="Command R"/>
    <s v="Bachelor's"/>
    <n v="45664"/>
    <n v="1695"/>
    <n v="1319"/>
    <s v="No"/>
    <n v="2"/>
    <s v="1001-5000"/>
    <s v="Full-time"/>
    <s v="No"/>
  </r>
  <r>
    <s v="AIJOB00655"/>
    <x v="8"/>
    <x v="28"/>
    <s v="Finance"/>
    <s v="Stockholm, Sweden"/>
    <s v="Sweden"/>
    <s v="Hybrid"/>
    <x v="2"/>
    <s v="2-5 yrs"/>
    <n v="160952"/>
    <x v="654"/>
    <s v="Phi"/>
    <s v="Bachelor's"/>
    <n v="45636"/>
    <n v="2469"/>
    <n v="1522"/>
    <s v="No"/>
    <n v="2"/>
    <s v="201-1000"/>
    <s v="Full-time"/>
    <s v="No"/>
  </r>
  <r>
    <s v="AIJOB00656"/>
    <x v="3"/>
    <x v="4"/>
    <s v="Energy"/>
    <s v="Tokyo, Japan"/>
    <s v="Japan"/>
    <s v="Remote"/>
    <x v="2"/>
    <s v="2-5 yrs"/>
    <n v="111172"/>
    <x v="655"/>
    <s v="Llama"/>
    <s v="Bachelor's"/>
    <n v="45512"/>
    <n v="805"/>
    <n v="407"/>
    <s v="No"/>
    <n v="2"/>
    <s v="51-200"/>
    <s v="Part-time"/>
    <s v="No"/>
  </r>
  <r>
    <s v="AIJOB00657"/>
    <x v="15"/>
    <x v="10"/>
    <s v="Finance"/>
    <s v="Chicago, United States"/>
    <s v="United States"/>
    <s v="Hybrid"/>
    <x v="2"/>
    <s v="2-5 yrs"/>
    <n v="110275"/>
    <x v="656"/>
    <s v="Falcon"/>
    <s v="Master's"/>
    <n v="45472"/>
    <n v="1601"/>
    <n v="2067"/>
    <s v="No"/>
    <n v="2"/>
    <s v="1001-5000"/>
    <s v="Full-time"/>
    <s v="Yes"/>
  </r>
  <r>
    <s v="AIJOB00658"/>
    <x v="14"/>
    <x v="6"/>
    <s v="Education"/>
    <s v="Bangalore, India"/>
    <s v="India"/>
    <s v="Remote"/>
    <x v="3"/>
    <s v="5-8 yrs"/>
    <n v="149348"/>
    <x v="657"/>
    <s v="None"/>
    <s v="Master's"/>
    <n v="45739"/>
    <n v="702"/>
    <n v="1580"/>
    <s v="No"/>
    <n v="4"/>
    <s v="1001-5000"/>
    <s v="Part-time"/>
    <s v="Yes"/>
  </r>
  <r>
    <s v="AIJOB00659"/>
    <x v="13"/>
    <x v="1"/>
    <s v="Defense"/>
    <s v="Berlin, Germany"/>
    <s v="Germany"/>
    <s v="Hybrid"/>
    <x v="2"/>
    <s v="2-5 yrs"/>
    <n v="113922"/>
    <x v="658"/>
    <s v="GPT-4"/>
    <s v="Bachelor's"/>
    <n v="45549"/>
    <n v="2232"/>
    <n v="2813"/>
    <s v="Yes"/>
    <n v="2"/>
    <s v="201-1000"/>
    <s v="Full-time"/>
    <s v="No"/>
  </r>
  <r>
    <s v="AIJOB00660"/>
    <x v="11"/>
    <x v="13"/>
    <s v="Technology"/>
    <s v="Toronto, Canada"/>
    <s v="Canada"/>
    <s v="Hybrid"/>
    <x v="2"/>
    <s v="2-5 yrs"/>
    <n v="107141"/>
    <x v="659"/>
    <s v="Mistral"/>
    <s v="Bachelor's"/>
    <n v="45662"/>
    <n v="2188"/>
    <n v="1890"/>
    <s v="Yes"/>
    <n v="2"/>
    <s v="5000+"/>
    <s v="Full-time"/>
    <s v="Yes"/>
  </r>
  <r>
    <s v="AIJOB00661"/>
    <x v="15"/>
    <x v="3"/>
    <s v="Media"/>
    <s v="Dublin, Ireland"/>
    <s v="Ireland"/>
    <s v="Hybrid"/>
    <x v="1"/>
    <s v="8+ yrs"/>
    <n v="179348"/>
    <x v="660"/>
    <s v="GPT-4"/>
    <s v="PhD"/>
    <n v="45703"/>
    <n v="2225"/>
    <n v="3541"/>
    <s v="No"/>
    <n v="6"/>
    <s v="1001-5000"/>
    <s v="Part-time"/>
    <s v="No"/>
  </r>
  <r>
    <s v="AIJOB00662"/>
    <x v="1"/>
    <x v="22"/>
    <s v="Media"/>
    <s v="Tokyo, Japan"/>
    <s v="Japan"/>
    <s v="Hybrid"/>
    <x v="0"/>
    <s v="0-2 yrs"/>
    <n v="63109"/>
    <x v="661"/>
    <s v="None"/>
    <s v="PhD"/>
    <n v="45565"/>
    <n v="463"/>
    <n v="1498"/>
    <s v="No"/>
    <n v="0"/>
    <s v="5000+"/>
    <s v="Full-time"/>
    <s v="Yes"/>
  </r>
  <r>
    <s v="AIJOB00663"/>
    <x v="0"/>
    <x v="27"/>
    <s v="Retail"/>
    <s v="Berlin, Germany"/>
    <s v="Germany"/>
    <s v="On-site"/>
    <x v="0"/>
    <s v="0-2 yrs"/>
    <n v="69587"/>
    <x v="662"/>
    <s v="None"/>
    <s v="PhD"/>
    <n v="45680"/>
    <n v="1160"/>
    <n v="1093"/>
    <s v="Yes"/>
    <n v="0"/>
    <s v="0-50"/>
    <s v="Full-time"/>
    <s v="No"/>
  </r>
  <r>
    <s v="AIJOB00664"/>
    <x v="7"/>
    <x v="6"/>
    <s v="Healthcare"/>
    <s v="Austin, United States"/>
    <s v="United States"/>
    <s v="Remote"/>
    <x v="3"/>
    <s v="5-8 yrs"/>
    <n v="135327"/>
    <x v="663"/>
    <s v="GPT-4"/>
    <s v="Bachelor's"/>
    <n v="45519"/>
    <n v="1481"/>
    <n v="116"/>
    <s v="Yes"/>
    <n v="4"/>
    <s v="201-1000"/>
    <s v="Full-time"/>
    <s v="No"/>
  </r>
  <r>
    <s v="AIJOB00665"/>
    <x v="5"/>
    <x v="16"/>
    <s v="Media"/>
    <s v="Zurich, Switzerland"/>
    <s v="Switzerland"/>
    <s v="Hybrid"/>
    <x v="2"/>
    <s v="2-5 yrs"/>
    <n v="95885"/>
    <x v="664"/>
    <s v="Mistral"/>
    <s v="Bachelor's"/>
    <n v="45535"/>
    <n v="1233"/>
    <n v="124"/>
    <s v="Maybe"/>
    <n v="2"/>
    <s v="5000+"/>
    <s v="Full-time"/>
    <s v="No"/>
  </r>
  <r>
    <s v="AIJOB00666"/>
    <x v="2"/>
    <x v="1"/>
    <s v="Energy"/>
    <s v="Dublin, Ireland"/>
    <s v="Ireland"/>
    <s v="Hybrid"/>
    <x v="3"/>
    <s v="5-8 yrs"/>
    <n v="152873"/>
    <x v="665"/>
    <s v="Phi"/>
    <s v="Master's"/>
    <n v="45556"/>
    <n v="2287"/>
    <n v="2665"/>
    <s v="Yes"/>
    <n v="4"/>
    <s v="5000+"/>
    <s v="Full-time"/>
    <s v="No"/>
  </r>
  <r>
    <s v="AIJOB00667"/>
    <x v="11"/>
    <x v="19"/>
    <s v="Finance"/>
    <s v="Seattle, United States"/>
    <s v="United States"/>
    <s v="Remote"/>
    <x v="0"/>
    <s v="0-2 yrs"/>
    <n v="66787"/>
    <x v="666"/>
    <s v="None"/>
    <s v="Master's"/>
    <n v="45450"/>
    <n v="1760"/>
    <n v="2053"/>
    <s v="No"/>
    <n v="0"/>
    <s v="0-50"/>
    <s v="Contract"/>
    <s v="No"/>
  </r>
  <r>
    <s v="AIJOB00668"/>
    <x v="10"/>
    <x v="16"/>
    <s v="Energy"/>
    <s v="Singapore"/>
    <s v="Singapore"/>
    <s v="Remote"/>
    <x v="2"/>
    <s v="2-5 yrs"/>
    <n v="139779"/>
    <x v="667"/>
    <s v="Phi"/>
    <s v="PhD"/>
    <n v="45308"/>
    <n v="529"/>
    <n v="1839"/>
    <s v="No"/>
    <n v="2"/>
    <s v="51-200"/>
    <s v="Full-time"/>
    <s v="No"/>
  </r>
  <r>
    <s v="AIJOB00669"/>
    <x v="15"/>
    <x v="12"/>
    <s v="Finance"/>
    <s v="Paris, France"/>
    <s v="France"/>
    <s v="Hybrid"/>
    <x v="2"/>
    <s v="2-5 yrs"/>
    <n v="57510"/>
    <x v="668"/>
    <s v="Llama"/>
    <s v="Bootcamp/Self-taught"/>
    <n v="45525"/>
    <n v="842"/>
    <n v="2150"/>
    <s v="No"/>
    <n v="2"/>
    <s v="51-200"/>
    <s v="Full-time"/>
    <s v="No"/>
  </r>
  <r>
    <s v="AIJOB00670"/>
    <x v="12"/>
    <x v="11"/>
    <s v="Education"/>
    <s v="Bangalore, India"/>
    <s v="India"/>
    <s v="Remote"/>
    <x v="1"/>
    <s v="8+ yrs"/>
    <n v="239294"/>
    <x v="669"/>
    <s v="Command R"/>
    <s v="Bachelor's"/>
    <n v="45743"/>
    <n v="1108"/>
    <n v="419"/>
    <s v="No"/>
    <n v="6"/>
    <s v="51-200"/>
    <s v="Full-time"/>
    <s v="Yes"/>
  </r>
  <r>
    <s v="AIJOB00671"/>
    <x v="13"/>
    <x v="15"/>
    <s v="Automotive"/>
    <s v="London, United Kingdom"/>
    <s v="United Kingdom"/>
    <s v="Hybrid"/>
    <x v="1"/>
    <s v="8+ yrs"/>
    <n v="244859"/>
    <x v="670"/>
    <s v="None"/>
    <s v="PhD"/>
    <n v="45518"/>
    <n v="1408"/>
    <n v="2027"/>
    <s v="No"/>
    <n v="6"/>
    <s v="201-1000"/>
    <s v="Full-time"/>
    <s v="No"/>
  </r>
  <r>
    <s v="AIJOB00672"/>
    <x v="5"/>
    <x v="24"/>
    <s v="Education"/>
    <s v="Stockholm, Sweden"/>
    <s v="Sweden"/>
    <s v="Remote"/>
    <x v="3"/>
    <s v="5-8 yrs"/>
    <n v="94018"/>
    <x v="671"/>
    <s v="Phi"/>
    <s v="Bachelor's"/>
    <n v="45432"/>
    <n v="568"/>
    <n v="3124"/>
    <s v="No"/>
    <n v="4"/>
    <s v="201-1000"/>
    <s v="Full-time"/>
    <s v="No"/>
  </r>
  <r>
    <s v="AIJOB00673"/>
    <x v="18"/>
    <x v="24"/>
    <s v="Finance"/>
    <s v="Singapore"/>
    <s v="Singapore"/>
    <s v="Hybrid"/>
    <x v="2"/>
    <s v="2-5 yrs"/>
    <n v="103214"/>
    <x v="672"/>
    <s v="None"/>
    <s v="Master's"/>
    <n v="45682"/>
    <n v="1161"/>
    <n v="2348"/>
    <s v="No"/>
    <n v="2"/>
    <s v="201-1000"/>
    <s v="Full-time"/>
    <s v="No"/>
  </r>
  <r>
    <s v="AIJOB00674"/>
    <x v="15"/>
    <x v="24"/>
    <s v="Automotive"/>
    <s v="Tokyo, Japan"/>
    <s v="Japan"/>
    <s v="Hybrid"/>
    <x v="2"/>
    <s v="2-5 yrs"/>
    <n v="102645"/>
    <x v="673"/>
    <s v="Mistral"/>
    <s v="Master's"/>
    <n v="45458"/>
    <n v="1554"/>
    <n v="1376"/>
    <s v="No"/>
    <n v="2"/>
    <s v="201-1000"/>
    <s v="Full-time"/>
    <s v="Yes"/>
  </r>
  <r>
    <s v="AIJOB00675"/>
    <x v="11"/>
    <x v="18"/>
    <s v="Automotive"/>
    <s v="San Francisco, United States"/>
    <s v="United States"/>
    <s v="Hybrid"/>
    <x v="1"/>
    <s v="8+ yrs"/>
    <n v="149329"/>
    <x v="674"/>
    <s v="None"/>
    <s v="Bachelor's"/>
    <n v="45498"/>
    <n v="1128"/>
    <n v="864"/>
    <s v="No"/>
    <n v="6"/>
    <s v="201-1000"/>
    <s v="Full-time"/>
    <s v="Yes"/>
  </r>
  <r>
    <s v="AIJOB00676"/>
    <x v="18"/>
    <x v="11"/>
    <s v="Finance"/>
    <s v="Chicago, United States"/>
    <s v="United States"/>
    <s v="Remote"/>
    <x v="1"/>
    <s v="8+ yrs"/>
    <n v="171998"/>
    <x v="675"/>
    <s v="Mistral"/>
    <s v="Bachelor's"/>
    <n v="45578"/>
    <n v="1633"/>
    <n v="2970"/>
    <s v="No"/>
    <n v="6"/>
    <s v="5000+"/>
    <s v="Full-time"/>
    <s v="No"/>
  </r>
  <r>
    <s v="AIJOB00677"/>
    <x v="17"/>
    <x v="29"/>
    <s v="Automotive"/>
    <s v="Tel Aviv, Israel"/>
    <s v="Israel"/>
    <s v="Remote"/>
    <x v="1"/>
    <s v="8+ yrs"/>
    <n v="160019"/>
    <x v="676"/>
    <s v="Command R"/>
    <s v="Bachelor's"/>
    <n v="45602"/>
    <n v="850"/>
    <n v="3617"/>
    <s v="No"/>
    <n v="6"/>
    <s v="201-1000"/>
    <s v="Part-time"/>
    <s v="No"/>
  </r>
  <r>
    <s v="AIJOB00678"/>
    <x v="3"/>
    <x v="14"/>
    <s v="Automotive"/>
    <s v="Zurich, Switzerland"/>
    <s v="Switzerland"/>
    <s v="Remote"/>
    <x v="2"/>
    <s v="2-5 yrs"/>
    <n v="144694"/>
    <x v="677"/>
    <s v="Phi"/>
    <s v="Master's"/>
    <n v="45394"/>
    <n v="875"/>
    <n v="3172"/>
    <s v="No"/>
    <n v="2"/>
    <s v="201-1000"/>
    <s v="Part-time"/>
    <s v="Yes"/>
  </r>
  <r>
    <s v="AIJOB00679"/>
    <x v="14"/>
    <x v="27"/>
    <s v="Finance"/>
    <s v="Toronto, Canada"/>
    <s v="Canada"/>
    <s v="Remote"/>
    <x v="2"/>
    <s v="2-5 yrs"/>
    <n v="128526"/>
    <x v="678"/>
    <s v="GPT-4"/>
    <s v="Master's"/>
    <n v="45408"/>
    <n v="2050"/>
    <n v="1633"/>
    <s v="No"/>
    <n v="2"/>
    <s v="0-50"/>
    <s v="Contract"/>
    <s v="Yes"/>
  </r>
  <r>
    <s v="AIJOB00680"/>
    <x v="10"/>
    <x v="12"/>
    <s v="Finance"/>
    <s v="San Francisco, United States"/>
    <s v="United States"/>
    <s v="Hybrid"/>
    <x v="3"/>
    <s v="5-8 yrs"/>
    <n v="184331"/>
    <x v="679"/>
    <s v="Claude"/>
    <s v="Master's"/>
    <n v="45308"/>
    <n v="760"/>
    <n v="2188"/>
    <s v="Yes"/>
    <n v="4"/>
    <s v="5000+"/>
    <s v="Contract"/>
    <s v="Yes"/>
  </r>
  <r>
    <s v="AIJOB00681"/>
    <x v="14"/>
    <x v="10"/>
    <s v="Defense"/>
    <s v="Seattle, United States"/>
    <s v="United States"/>
    <s v="Hybrid"/>
    <x v="2"/>
    <s v="2-5 yrs"/>
    <n v="124289"/>
    <x v="680"/>
    <s v="Gemini"/>
    <s v="Master's"/>
    <n v="45512"/>
    <n v="2461"/>
    <n v="3209"/>
    <s v="No"/>
    <n v="2"/>
    <s v="1001-5000"/>
    <s v="Contract"/>
    <s v="Yes"/>
  </r>
  <r>
    <s v="AIJOB00682"/>
    <x v="5"/>
    <x v="2"/>
    <s v="Government"/>
    <s v="Tokyo, Japan"/>
    <s v="Japan"/>
    <s v="On-site"/>
    <x v="0"/>
    <s v="0-2 yrs"/>
    <n v="55773"/>
    <x v="681"/>
    <s v="Llama"/>
    <s v="Master's"/>
    <n v="45301"/>
    <n v="1120"/>
    <n v="3163"/>
    <s v="No"/>
    <n v="0"/>
    <s v="201-1000"/>
    <s v="Contract"/>
    <s v="No"/>
  </r>
  <r>
    <s v="AIJOB00683"/>
    <x v="12"/>
    <x v="17"/>
    <s v="Healthcare"/>
    <s v="Singapore"/>
    <s v="Singapore"/>
    <s v="Hybrid"/>
    <x v="2"/>
    <s v="2-5 yrs"/>
    <n v="99614"/>
    <x v="682"/>
    <s v="None"/>
    <s v="Master's"/>
    <n v="45397"/>
    <n v="583"/>
    <n v="1351"/>
    <s v="Maybe"/>
    <n v="2"/>
    <s v="51-200"/>
    <s v="Full-time"/>
    <s v="Yes"/>
  </r>
  <r>
    <s v="AIJOB00684"/>
    <x v="15"/>
    <x v="4"/>
    <s v="Technology"/>
    <s v="Amsterdam, Netherlands"/>
    <s v="Netherlands"/>
    <s v="Remote"/>
    <x v="1"/>
    <s v="8+ yrs"/>
    <n v="217617"/>
    <x v="683"/>
    <s v="None"/>
    <s v="Master's"/>
    <n v="45403"/>
    <n v="1154"/>
    <n v="1568"/>
    <s v="Yes"/>
    <n v="6"/>
    <s v="1001-5000"/>
    <s v="Full-time"/>
    <s v="Yes"/>
  </r>
  <r>
    <s v="AIJOB00685"/>
    <x v="11"/>
    <x v="12"/>
    <s v="Defense"/>
    <s v="Seattle, United States"/>
    <s v="United States"/>
    <s v="On-site"/>
    <x v="0"/>
    <s v="0-2 yrs"/>
    <n v="54601"/>
    <x v="684"/>
    <s v="None"/>
    <s v="Master's"/>
    <n v="45551"/>
    <n v="1597"/>
    <n v="1710"/>
    <s v="Yes"/>
    <n v="0"/>
    <s v="0-50"/>
    <s v="Contract"/>
    <s v="Yes"/>
  </r>
  <r>
    <s v="AIJOB00686"/>
    <x v="2"/>
    <x v="0"/>
    <s v="Automotive"/>
    <s v="Bangalore, India"/>
    <s v="India"/>
    <s v="Remote"/>
    <x v="0"/>
    <s v="0-2 yrs"/>
    <n v="78983"/>
    <x v="685"/>
    <s v="None"/>
    <s v="Bachelor's"/>
    <n v="45486"/>
    <n v="645"/>
    <n v="2674"/>
    <s v="No"/>
    <n v="0"/>
    <s v="1001-5000"/>
    <s v="Contract"/>
    <s v="Yes"/>
  </r>
  <r>
    <s v="AIJOB00687"/>
    <x v="2"/>
    <x v="6"/>
    <s v="Technology"/>
    <s v="New York, United States"/>
    <s v="United States"/>
    <s v="Remote"/>
    <x v="3"/>
    <s v="5-8 yrs"/>
    <n v="143511"/>
    <x v="686"/>
    <s v="Command R"/>
    <s v="Bachelor's"/>
    <n v="45419"/>
    <n v="1159"/>
    <n v="3558"/>
    <s v="No"/>
    <n v="4"/>
    <s v="201-1000"/>
    <s v="Full-time"/>
    <s v="Yes"/>
  </r>
  <r>
    <s v="AIJOB00688"/>
    <x v="15"/>
    <x v="19"/>
    <s v="Healthcare"/>
    <s v="Toronto, Canada"/>
    <s v="Canada"/>
    <s v="Remote"/>
    <x v="1"/>
    <s v="8+ yrs"/>
    <n v="186506"/>
    <x v="687"/>
    <s v="Claude"/>
    <s v="Bachelor's"/>
    <n v="45557"/>
    <n v="1135"/>
    <n v="1263"/>
    <s v="No"/>
    <n v="6"/>
    <s v="201-1000"/>
    <s v="Contract"/>
    <s v="Yes"/>
  </r>
  <r>
    <s v="AIJOB00689"/>
    <x v="18"/>
    <x v="12"/>
    <s v="Energy"/>
    <s v="San Francisco, United States"/>
    <s v="United States"/>
    <s v="Remote"/>
    <x v="0"/>
    <s v="0-2 yrs"/>
    <n v="78958"/>
    <x v="688"/>
    <s v="Grok"/>
    <s v="Bachelor's"/>
    <n v="45747"/>
    <n v="710"/>
    <n v="71"/>
    <s v="No"/>
    <n v="0"/>
    <s v="51-200"/>
    <s v="Full-time"/>
    <s v="No"/>
  </r>
  <r>
    <s v="AIJOB00690"/>
    <x v="0"/>
    <x v="27"/>
    <s v="Government"/>
    <s v="Bangalore, India"/>
    <s v="India"/>
    <s v="On-site"/>
    <x v="1"/>
    <s v="8+ yrs"/>
    <n v="215993"/>
    <x v="689"/>
    <s v="Mistral"/>
    <s v="Master's"/>
    <n v="45730"/>
    <n v="1797"/>
    <n v="3929"/>
    <s v="No"/>
    <n v="6"/>
    <s v="0-50"/>
    <s v="Full-time"/>
    <s v="No"/>
  </r>
  <r>
    <s v="AIJOB00691"/>
    <x v="12"/>
    <x v="22"/>
    <s v="Defense"/>
    <s v="Berlin, Germany"/>
    <s v="Germany"/>
    <s v="Remote"/>
    <x v="2"/>
    <s v="2-5 yrs"/>
    <n v="102852"/>
    <x v="690"/>
    <s v="BLOOM"/>
    <s v="Bachelor's"/>
    <n v="45358"/>
    <n v="1226"/>
    <n v="1036"/>
    <s v="Yes"/>
    <n v="2"/>
    <s v="201-1000"/>
    <s v="Full-time"/>
    <s v="No"/>
  </r>
  <r>
    <s v="AIJOB00692"/>
    <x v="12"/>
    <x v="19"/>
    <s v="Media"/>
    <s v="Berlin, Germany"/>
    <s v="Germany"/>
    <s v="Remote"/>
    <x v="3"/>
    <s v="5-8 yrs"/>
    <n v="181301"/>
    <x v="691"/>
    <s v="None"/>
    <s v="Master's"/>
    <n v="45483"/>
    <n v="1110"/>
    <n v="756"/>
    <s v="Yes"/>
    <n v="4"/>
    <s v="0-50"/>
    <s v="Contract"/>
    <s v="Yes"/>
  </r>
  <r>
    <s v="AIJOB00693"/>
    <x v="11"/>
    <x v="18"/>
    <s v="Defense"/>
    <s v="San Francisco, United States"/>
    <s v="United States"/>
    <s v="Hybrid"/>
    <x v="3"/>
    <s v="5-8 yrs"/>
    <n v="120811"/>
    <x v="692"/>
    <s v="Llama"/>
    <s v="Bachelor's"/>
    <n v="45539"/>
    <n v="2101"/>
    <n v="492"/>
    <s v="No"/>
    <n v="4"/>
    <s v="5000+"/>
    <s v="Part-time"/>
    <s v="Yes"/>
  </r>
  <r>
    <s v="AIJOB00694"/>
    <x v="15"/>
    <x v="0"/>
    <s v="Technology"/>
    <s v="Austin, United States"/>
    <s v="United States"/>
    <s v="On-site"/>
    <x v="3"/>
    <s v="5-8 yrs"/>
    <n v="166630"/>
    <x v="693"/>
    <s v="Falcon"/>
    <s v="Bootcamp/Self-taught"/>
    <n v="45541"/>
    <n v="817"/>
    <n v="397"/>
    <s v="Yes"/>
    <n v="4"/>
    <s v="1001-5000"/>
    <s v="Contract"/>
    <s v="Yes"/>
  </r>
  <r>
    <s v="AIJOB00695"/>
    <x v="5"/>
    <x v="6"/>
    <s v="Technology"/>
    <s v="Boston, United States"/>
    <s v="United States"/>
    <s v="Remote"/>
    <x v="2"/>
    <s v="2-5 yrs"/>
    <n v="121743"/>
    <x v="694"/>
    <s v="Llama"/>
    <s v="Bachelor's"/>
    <n v="45515"/>
    <n v="1749"/>
    <n v="2162"/>
    <s v="No"/>
    <n v="2"/>
    <s v="51-200"/>
    <s v="Full-time"/>
    <s v="No"/>
  </r>
  <r>
    <s v="AIJOB00696"/>
    <x v="17"/>
    <x v="9"/>
    <s v="Healthcare"/>
    <s v="Stockholm, Sweden"/>
    <s v="Sweden"/>
    <s v="Remote"/>
    <x v="3"/>
    <s v="5-8 yrs"/>
    <n v="141642"/>
    <x v="695"/>
    <s v="Grok"/>
    <s v="Master's"/>
    <n v="45563"/>
    <n v="2036"/>
    <n v="3525"/>
    <s v="Yes"/>
    <n v="4"/>
    <s v="0-50"/>
    <s v="Part-time"/>
    <s v="No"/>
  </r>
  <r>
    <s v="AIJOB00697"/>
    <x v="5"/>
    <x v="3"/>
    <s v="Automotive"/>
    <s v="Dublin, Ireland"/>
    <s v="Ireland"/>
    <s v="On-site"/>
    <x v="1"/>
    <s v="8+ yrs"/>
    <n v="211740"/>
    <x v="696"/>
    <s v="Phi"/>
    <s v="Bachelor's"/>
    <n v="45535"/>
    <n v="573"/>
    <n v="252"/>
    <s v="No"/>
    <n v="6"/>
    <s v="51-200"/>
    <s v="Full-time"/>
    <s v="No"/>
  </r>
  <r>
    <s v="AIJOB00698"/>
    <x v="7"/>
    <x v="11"/>
    <s v="Defense"/>
    <s v="Toronto, Canada"/>
    <s v="Canada"/>
    <s v="Hybrid"/>
    <x v="1"/>
    <s v="8+ yrs"/>
    <n v="154959"/>
    <x v="697"/>
    <s v="BLOOM"/>
    <s v="Bootcamp/Self-taught"/>
    <n v="45492"/>
    <n v="921"/>
    <n v="853"/>
    <s v="No"/>
    <n v="6"/>
    <s v="201-1000"/>
    <s v="Contract"/>
    <s v="Yes"/>
  </r>
  <r>
    <s v="AIJOB00699"/>
    <x v="0"/>
    <x v="18"/>
    <s v="Healthcare"/>
    <s v="Dublin, Ireland"/>
    <s v="Ireland"/>
    <s v="Remote"/>
    <x v="3"/>
    <s v="5-8 yrs"/>
    <n v="174948"/>
    <x v="698"/>
    <s v="None"/>
    <s v="Bachelor's"/>
    <n v="45613"/>
    <n v="1698"/>
    <n v="3594"/>
    <s v="No"/>
    <n v="4"/>
    <s v="0-50"/>
    <s v="Full-time"/>
    <s v="No"/>
  </r>
  <r>
    <s v="AIJOB00700"/>
    <x v="0"/>
    <x v="25"/>
    <s v="Defense"/>
    <s v="Los Angeles, United States"/>
    <s v="United States"/>
    <s v="Hybrid"/>
    <x v="1"/>
    <s v="8+ yrs"/>
    <n v="193343"/>
    <x v="699"/>
    <s v="None"/>
    <s v="PhD"/>
    <n v="45740"/>
    <n v="1288"/>
    <n v="3570"/>
    <s v="No"/>
    <n v="6"/>
    <s v="1001-5000"/>
    <s v="Contract"/>
    <s v="No"/>
  </r>
  <r>
    <s v="AIJOB00701"/>
    <x v="19"/>
    <x v="28"/>
    <s v="Finance"/>
    <s v="London, United Kingdom"/>
    <s v="United Kingdom"/>
    <s v="On-site"/>
    <x v="0"/>
    <s v="0-2 yrs"/>
    <n v="63413"/>
    <x v="700"/>
    <s v="Mistral"/>
    <s v="Bachelor's"/>
    <n v="45435"/>
    <n v="2288"/>
    <n v="1004"/>
    <s v="No"/>
    <n v="0"/>
    <s v="51-200"/>
    <s v="Full-time"/>
    <s v="No"/>
  </r>
  <r>
    <s v="AIJOB00702"/>
    <x v="0"/>
    <x v="2"/>
    <s v="Finance"/>
    <s v="Stockholm, Sweden"/>
    <s v="Sweden"/>
    <s v="Hybrid"/>
    <x v="1"/>
    <s v="8+ yrs"/>
    <n v="237764"/>
    <x v="701"/>
    <s v="Claude"/>
    <s v="Bachelor's"/>
    <n v="45581"/>
    <n v="1277"/>
    <n v="1487"/>
    <s v="No"/>
    <n v="6"/>
    <s v="5000+"/>
    <s v="Full-time"/>
    <s v="Yes"/>
  </r>
  <r>
    <s v="AIJOB00703"/>
    <x v="17"/>
    <x v="15"/>
    <s v="Retail"/>
    <s v="Bangalore, India"/>
    <s v="India"/>
    <s v="On-site"/>
    <x v="3"/>
    <s v="5-8 yrs"/>
    <n v="130982"/>
    <x v="702"/>
    <s v="None"/>
    <s v="Master's"/>
    <n v="45585"/>
    <n v="398"/>
    <n v="2592"/>
    <s v="Maybe"/>
    <n v="4"/>
    <s v="0-50"/>
    <s v="Full-time"/>
    <s v="Yes"/>
  </r>
  <r>
    <s v="AIJOB00704"/>
    <x v="13"/>
    <x v="23"/>
    <s v="Automotive"/>
    <s v="Amsterdam, Netherlands"/>
    <s v="Netherlands"/>
    <s v="Remote"/>
    <x v="1"/>
    <s v="8+ yrs"/>
    <n v="149295"/>
    <x v="703"/>
    <s v="Command R"/>
    <s v="PhD"/>
    <n v="45641"/>
    <n v="957"/>
    <n v="867"/>
    <s v="No"/>
    <n v="6"/>
    <s v="5000+"/>
    <s v="Full-time"/>
    <s v="No"/>
  </r>
  <r>
    <s v="AIJOB00705"/>
    <x v="16"/>
    <x v="1"/>
    <s v="Automotive"/>
    <s v="Tel Aviv, Israel"/>
    <s v="Israel"/>
    <s v="On-site"/>
    <x v="2"/>
    <s v="2-5 yrs"/>
    <n v="79178"/>
    <x v="704"/>
    <s v="None"/>
    <s v="Bachelor's"/>
    <n v="45462"/>
    <n v="670"/>
    <n v="2629"/>
    <s v="No"/>
    <n v="2"/>
    <s v="5000+"/>
    <s v="Full-time"/>
    <s v="Yes"/>
  </r>
  <r>
    <s v="AIJOB00706"/>
    <x v="11"/>
    <x v="20"/>
    <s v="Government"/>
    <s v="Amsterdam, Netherlands"/>
    <s v="Netherlands"/>
    <s v="On-site"/>
    <x v="2"/>
    <s v="2-5 yrs"/>
    <n v="121998"/>
    <x v="705"/>
    <s v="None"/>
    <s v="Bachelor's"/>
    <n v="45540"/>
    <n v="1077"/>
    <n v="2393"/>
    <s v="No"/>
    <n v="2"/>
    <s v="5000+"/>
    <s v="Contract"/>
    <s v="No"/>
  </r>
  <r>
    <s v="AIJOB00707"/>
    <x v="1"/>
    <x v="16"/>
    <s v="Automotive"/>
    <s v="Chicago, United States"/>
    <s v="United States"/>
    <s v="Hybrid"/>
    <x v="2"/>
    <s v="2-5 yrs"/>
    <n v="84647"/>
    <x v="706"/>
    <s v="None"/>
    <s v="Bachelor's"/>
    <n v="45330"/>
    <n v="1693"/>
    <n v="2192"/>
    <s v="No"/>
    <n v="2"/>
    <s v="51-200"/>
    <s v="Part-time"/>
    <s v="Yes"/>
  </r>
  <r>
    <s v="AIJOB00708"/>
    <x v="5"/>
    <x v="21"/>
    <s v="Technology"/>
    <s v="Austin, United States"/>
    <s v="United States"/>
    <s v="On-site"/>
    <x v="0"/>
    <s v="0-2 yrs"/>
    <n v="92110"/>
    <x v="707"/>
    <s v="None"/>
    <s v="Master's"/>
    <n v="45518"/>
    <n v="1196"/>
    <n v="1014"/>
    <s v="Maybe"/>
    <n v="0"/>
    <s v="1001-5000"/>
    <s v="Full-time"/>
    <s v="Yes"/>
  </r>
  <r>
    <s v="AIJOB00709"/>
    <x v="13"/>
    <x v="16"/>
    <s v="Energy"/>
    <s v="Paris, France"/>
    <s v="France"/>
    <s v="On-site"/>
    <x v="3"/>
    <s v="5-8 yrs"/>
    <n v="93787"/>
    <x v="708"/>
    <s v="Gemini"/>
    <s v="Master's"/>
    <n v="45731"/>
    <n v="1885"/>
    <n v="3068"/>
    <s v="No"/>
    <n v="4"/>
    <s v="201-1000"/>
    <s v="Contract"/>
    <s v="Yes"/>
  </r>
  <r>
    <s v="AIJOB00710"/>
    <x v="16"/>
    <x v="23"/>
    <s v="Retail"/>
    <s v="Paris, France"/>
    <s v="France"/>
    <s v="Remote"/>
    <x v="3"/>
    <s v="5-8 yrs"/>
    <n v="195804"/>
    <x v="709"/>
    <s v="None"/>
    <s v="PhD"/>
    <n v="45474"/>
    <n v="827"/>
    <n v="405"/>
    <s v="Maybe"/>
    <n v="4"/>
    <s v="5000+"/>
    <s v="Contract"/>
    <s v="No"/>
  </r>
  <r>
    <s v="AIJOB00711"/>
    <x v="0"/>
    <x v="2"/>
    <s v="Media"/>
    <s v="Boston, United States"/>
    <s v="United States"/>
    <s v="Hybrid"/>
    <x v="2"/>
    <s v="2-5 yrs"/>
    <n v="114178"/>
    <x v="710"/>
    <s v="Command R"/>
    <s v="Bachelor's"/>
    <n v="45622"/>
    <n v="1001"/>
    <n v="100"/>
    <s v="No"/>
    <n v="2"/>
    <s v="5000+"/>
    <s v="Full-time"/>
    <s v="No"/>
  </r>
  <r>
    <s v="AIJOB00712"/>
    <x v="8"/>
    <x v="24"/>
    <s v="Media"/>
    <s v="Seattle, United States"/>
    <s v="United States"/>
    <s v="Hybrid"/>
    <x v="2"/>
    <s v="2-5 yrs"/>
    <n v="108085"/>
    <x v="711"/>
    <s v="None"/>
    <s v="PhD"/>
    <n v="45325"/>
    <n v="846"/>
    <n v="1633"/>
    <s v="Yes"/>
    <n v="2"/>
    <s v="1001-5000"/>
    <s v="Full-time"/>
    <s v="No"/>
  </r>
  <r>
    <s v="AIJOB00713"/>
    <x v="5"/>
    <x v="25"/>
    <s v="Technology"/>
    <s v="Paris, France"/>
    <s v="France"/>
    <s v="Hybrid"/>
    <x v="3"/>
    <s v="5-8 yrs"/>
    <n v="135287"/>
    <x v="712"/>
    <s v="None"/>
    <s v="PhD"/>
    <n v="45740"/>
    <n v="1767"/>
    <n v="2416"/>
    <s v="Yes"/>
    <n v="4"/>
    <s v="0-50"/>
    <s v="Full-time"/>
    <s v="No"/>
  </r>
  <r>
    <s v="AIJOB00714"/>
    <x v="15"/>
    <x v="12"/>
    <s v="Finance"/>
    <s v="Paris, France"/>
    <s v="France"/>
    <s v="On-site"/>
    <x v="2"/>
    <s v="2-5 yrs"/>
    <n v="117902"/>
    <x v="713"/>
    <s v="None"/>
    <s v="Master's"/>
    <n v="45688"/>
    <n v="685"/>
    <n v="3885"/>
    <s v="No"/>
    <n v="2"/>
    <s v="1001-5000"/>
    <s v="Contract"/>
    <s v="Yes"/>
  </r>
  <r>
    <s v="AIJOB00715"/>
    <x v="8"/>
    <x v="21"/>
    <s v="Media"/>
    <s v="Austin, United States"/>
    <s v="United States"/>
    <s v="Remote"/>
    <x v="2"/>
    <s v="2-5 yrs"/>
    <n v="109254"/>
    <x v="714"/>
    <s v="Gemini"/>
    <s v="Bachelor's"/>
    <n v="45451"/>
    <n v="1738"/>
    <n v="2661"/>
    <s v="No"/>
    <n v="2"/>
    <s v="201-1000"/>
    <s v="Full-time"/>
    <s v="Yes"/>
  </r>
  <r>
    <s v="AIJOB00716"/>
    <x v="2"/>
    <x v="15"/>
    <s v="Technology"/>
    <s v="Tokyo, Japan"/>
    <s v="Japan"/>
    <s v="Remote"/>
    <x v="0"/>
    <s v="0-2 yrs"/>
    <n v="83901"/>
    <x v="715"/>
    <s v="Phi"/>
    <s v="Master's"/>
    <n v="45577"/>
    <n v="1554"/>
    <n v="123"/>
    <s v="No"/>
    <n v="0"/>
    <s v="5000+"/>
    <s v="Full-time"/>
    <s v="No"/>
  </r>
  <r>
    <s v="AIJOB00717"/>
    <x v="15"/>
    <x v="25"/>
    <s v="Government"/>
    <s v="Tokyo, Japan"/>
    <s v="Japan"/>
    <s v="Hybrid"/>
    <x v="2"/>
    <s v="2-5 yrs"/>
    <n v="112261"/>
    <x v="716"/>
    <s v="None"/>
    <s v="Master's"/>
    <n v="45566"/>
    <n v="2105"/>
    <n v="2903"/>
    <s v="No"/>
    <n v="2"/>
    <s v="51-200"/>
    <s v="Full-time"/>
    <s v="No"/>
  </r>
  <r>
    <s v="AIJOB00718"/>
    <x v="14"/>
    <x v="2"/>
    <s v="Energy"/>
    <s v="Tokyo, Japan"/>
    <s v="Japan"/>
    <s v="Remote"/>
    <x v="0"/>
    <s v="0-2 yrs"/>
    <n v="71893"/>
    <x v="717"/>
    <s v="Gemini"/>
    <s v="Bachelor's"/>
    <n v="45567"/>
    <n v="708"/>
    <n v="2048"/>
    <s v="Yes"/>
    <n v="0"/>
    <s v="51-200"/>
    <s v="Part-time"/>
    <s v="No"/>
  </r>
  <r>
    <s v="AIJOB00719"/>
    <x v="14"/>
    <x v="17"/>
    <s v="Government"/>
    <s v="Bangalore, India"/>
    <s v="India"/>
    <s v="On-site"/>
    <x v="1"/>
    <s v="8+ yrs"/>
    <n v="186909"/>
    <x v="718"/>
    <s v="BLOOM"/>
    <s v="Bachelor's"/>
    <n v="45634"/>
    <n v="2267"/>
    <n v="3331"/>
    <s v="No"/>
    <n v="6"/>
    <s v="5000+"/>
    <s v="Full-time"/>
    <s v="No"/>
  </r>
  <r>
    <s v="AIJOB00720"/>
    <x v="18"/>
    <x v="0"/>
    <s v="Media"/>
    <s v="Stockholm, Sweden"/>
    <s v="Sweden"/>
    <s v="Hybrid"/>
    <x v="1"/>
    <s v="8+ yrs"/>
    <n v="197949"/>
    <x v="719"/>
    <s v="None"/>
    <s v="Master's"/>
    <n v="45436"/>
    <n v="637"/>
    <n v="2018"/>
    <s v="Yes"/>
    <n v="6"/>
    <s v="0-50"/>
    <s v="Full-time"/>
    <s v="No"/>
  </r>
  <r>
    <s v="AIJOB00721"/>
    <x v="11"/>
    <x v="26"/>
    <s v="Finance"/>
    <s v="Tel Aviv, Israel"/>
    <s v="Israel"/>
    <s v="On-site"/>
    <x v="3"/>
    <s v="5-8 yrs"/>
    <n v="158310"/>
    <x v="720"/>
    <s v="None"/>
    <s v="Master's"/>
    <n v="45686"/>
    <n v="1010"/>
    <n v="2635"/>
    <s v="No"/>
    <n v="4"/>
    <s v="0-50"/>
    <s v="Full-time"/>
    <s v="Yes"/>
  </r>
  <r>
    <s v="AIJOB00722"/>
    <x v="5"/>
    <x v="5"/>
    <s v="Healthcare"/>
    <s v="Singapore"/>
    <s v="Singapore"/>
    <s v="Remote"/>
    <x v="1"/>
    <s v="8+ yrs"/>
    <n v="138433"/>
    <x v="721"/>
    <s v="Phi"/>
    <s v="Master's"/>
    <n v="45567"/>
    <n v="483"/>
    <n v="3740"/>
    <s v="Yes"/>
    <n v="6"/>
    <s v="1001-5000"/>
    <s v="Part-time"/>
    <s v="No"/>
  </r>
  <r>
    <s v="AIJOB00723"/>
    <x v="18"/>
    <x v="3"/>
    <s v="Government"/>
    <s v="Singapore"/>
    <s v="Singapore"/>
    <s v="Hybrid"/>
    <x v="0"/>
    <s v="0-2 yrs"/>
    <n v="53012"/>
    <x v="722"/>
    <s v="Llama"/>
    <s v="Bootcamp/Self-taught"/>
    <n v="45584"/>
    <n v="1897"/>
    <n v="3395"/>
    <s v="Yes"/>
    <n v="0"/>
    <s v="1001-5000"/>
    <s v="Full-time"/>
    <s v="Yes"/>
  </r>
  <r>
    <s v="AIJOB00724"/>
    <x v="7"/>
    <x v="0"/>
    <s v="Media"/>
    <s v="Los Angeles, United States"/>
    <s v="United States"/>
    <s v="Hybrid"/>
    <x v="3"/>
    <s v="5-8 yrs"/>
    <n v="170068"/>
    <x v="723"/>
    <s v="GPT-4"/>
    <s v="Master's"/>
    <n v="45655"/>
    <n v="1076"/>
    <n v="3355"/>
    <s v="No"/>
    <n v="4"/>
    <s v="201-1000"/>
    <s v="Full-time"/>
    <s v="No"/>
  </r>
  <r>
    <s v="AIJOB00725"/>
    <x v="11"/>
    <x v="24"/>
    <s v="Finance"/>
    <s v="Bangalore, India"/>
    <s v="India"/>
    <s v="Remote"/>
    <x v="0"/>
    <s v="0-2 yrs"/>
    <n v="72152"/>
    <x v="724"/>
    <s v="None"/>
    <s v="Bachelor's"/>
    <n v="45645"/>
    <n v="1640"/>
    <n v="695"/>
    <s v="Maybe"/>
    <n v="0"/>
    <s v="201-1000"/>
    <s v="Part-time"/>
    <s v="No"/>
  </r>
  <r>
    <s v="AIJOB00726"/>
    <x v="11"/>
    <x v="26"/>
    <s v="Healthcare"/>
    <s v="Stockholm, Sweden"/>
    <s v="Sweden"/>
    <s v="Remote"/>
    <x v="3"/>
    <s v="5-8 yrs"/>
    <n v="145032"/>
    <x v="725"/>
    <s v="Command R"/>
    <s v="Master's"/>
    <n v="45730"/>
    <n v="446"/>
    <n v="1930"/>
    <s v="No"/>
    <n v="4"/>
    <s v="0-50"/>
    <s v="Full-time"/>
    <s v="No"/>
  </r>
  <r>
    <s v="AIJOB00727"/>
    <x v="15"/>
    <x v="6"/>
    <s v="Retail"/>
    <s v="Seattle, United States"/>
    <s v="United States"/>
    <s v="Remote"/>
    <x v="0"/>
    <s v="0-2 yrs"/>
    <n v="70232"/>
    <x v="726"/>
    <s v="Phi"/>
    <s v="PhD"/>
    <n v="45607"/>
    <n v="1602"/>
    <n v="189"/>
    <s v="No"/>
    <n v="0"/>
    <s v="51-200"/>
    <s v="Full-time"/>
    <s v="No"/>
  </r>
  <r>
    <s v="AIJOB00728"/>
    <x v="15"/>
    <x v="20"/>
    <s v="Retail"/>
    <s v="Bangalore, India"/>
    <s v="India"/>
    <s v="Remote"/>
    <x v="3"/>
    <s v="5-8 yrs"/>
    <n v="159384"/>
    <x v="727"/>
    <s v="Llama"/>
    <s v="Master's"/>
    <n v="45621"/>
    <n v="2097"/>
    <n v="113"/>
    <s v="Maybe"/>
    <n v="4"/>
    <s v="0-50"/>
    <s v="Contract"/>
    <s v="No"/>
  </r>
  <r>
    <s v="AIJOB00729"/>
    <x v="5"/>
    <x v="15"/>
    <s v="Defense"/>
    <s v="Berlin, Germany"/>
    <s v="Germany"/>
    <s v="Hybrid"/>
    <x v="2"/>
    <s v="2-5 yrs"/>
    <n v="99312"/>
    <x v="728"/>
    <s v="Phi"/>
    <s v="PhD"/>
    <n v="45454"/>
    <n v="1617"/>
    <n v="1527"/>
    <s v="Yes"/>
    <n v="2"/>
    <s v="0-50"/>
    <s v="Full-time"/>
    <s v="Yes"/>
  </r>
  <r>
    <s v="AIJOB00730"/>
    <x v="13"/>
    <x v="10"/>
    <s v="Education"/>
    <s v="Chicago, United States"/>
    <s v="United States"/>
    <s v="Hybrid"/>
    <x v="0"/>
    <s v="0-2 yrs"/>
    <n v="60193"/>
    <x v="729"/>
    <s v="GPT-4"/>
    <s v="Bootcamp/Self-taught"/>
    <n v="45353"/>
    <n v="1881"/>
    <n v="1166"/>
    <s v="No"/>
    <n v="0"/>
    <s v="1001-5000"/>
    <s v="Full-time"/>
    <s v="No"/>
  </r>
  <r>
    <s v="AIJOB00731"/>
    <x v="8"/>
    <x v="4"/>
    <s v="Automotive"/>
    <s v="Boston, United States"/>
    <s v="United States"/>
    <s v="On-site"/>
    <x v="3"/>
    <s v="5-8 yrs"/>
    <n v="155287"/>
    <x v="730"/>
    <s v="Gemini"/>
    <s v="PhD"/>
    <n v="45617"/>
    <n v="1807"/>
    <n v="3041"/>
    <s v="Yes"/>
    <n v="4"/>
    <s v="201-1000"/>
    <s v="Full-time"/>
    <s v="No"/>
  </r>
  <r>
    <s v="AIJOB00732"/>
    <x v="1"/>
    <x v="18"/>
    <s v="Media"/>
    <s v="Chicago, United States"/>
    <s v="United States"/>
    <s v="Remote"/>
    <x v="2"/>
    <s v="2-5 yrs"/>
    <n v="90628"/>
    <x v="731"/>
    <s v="None"/>
    <s v="Master's"/>
    <n v="45612"/>
    <n v="1683"/>
    <n v="1345"/>
    <s v="No"/>
    <n v="2"/>
    <s v="51-200"/>
    <s v="Contract"/>
    <s v="Yes"/>
  </r>
  <r>
    <s v="AIJOB00733"/>
    <x v="9"/>
    <x v="27"/>
    <s v="Education"/>
    <s v="Zurich, Switzerland"/>
    <s v="Switzerland"/>
    <s v="Remote"/>
    <x v="2"/>
    <s v="2-5 yrs"/>
    <n v="118083"/>
    <x v="732"/>
    <s v="BLOOM"/>
    <s v="Bachelor's"/>
    <n v="45739"/>
    <n v="2152"/>
    <n v="1240"/>
    <s v="Maybe"/>
    <n v="2"/>
    <s v="5000+"/>
    <s v="Full-time"/>
    <s v="Yes"/>
  </r>
  <r>
    <s v="AIJOB00734"/>
    <x v="18"/>
    <x v="21"/>
    <s v="Defense"/>
    <s v="Chicago, United States"/>
    <s v="United States"/>
    <s v="On-site"/>
    <x v="2"/>
    <s v="2-5 yrs"/>
    <n v="76288"/>
    <x v="733"/>
    <s v="Gemini"/>
    <s v="PhD"/>
    <n v="45513"/>
    <n v="1946"/>
    <n v="2365"/>
    <s v="No"/>
    <n v="2"/>
    <s v="51-200"/>
    <s v="Full-time"/>
    <s v="Yes"/>
  </r>
  <r>
    <s v="AIJOB00735"/>
    <x v="7"/>
    <x v="29"/>
    <s v="Technology"/>
    <s v="Tel Aviv, Israel"/>
    <s v="Israel"/>
    <s v="Remote"/>
    <x v="2"/>
    <s v="2-5 yrs"/>
    <n v="130377"/>
    <x v="734"/>
    <s v="GPT-4"/>
    <s v="Master's"/>
    <n v="45682"/>
    <n v="668"/>
    <n v="1293"/>
    <s v="Maybe"/>
    <n v="2"/>
    <s v="201-1000"/>
    <s v="Full-time"/>
    <s v="Yes"/>
  </r>
  <r>
    <s v="AIJOB00736"/>
    <x v="9"/>
    <x v="19"/>
    <s v="Energy"/>
    <s v="Seattle, United States"/>
    <s v="United States"/>
    <s v="Remote"/>
    <x v="3"/>
    <s v="5-8 yrs"/>
    <n v="162760"/>
    <x v="735"/>
    <s v="Claude"/>
    <s v="Bachelor's"/>
    <n v="45453"/>
    <n v="922"/>
    <n v="678"/>
    <s v="No"/>
    <n v="4"/>
    <s v="5000+"/>
    <s v="Contract"/>
    <s v="Yes"/>
  </r>
  <r>
    <s v="AIJOB00737"/>
    <x v="1"/>
    <x v="27"/>
    <s v="Media"/>
    <s v="Amsterdam, Netherlands"/>
    <s v="Netherlands"/>
    <s v="Hybrid"/>
    <x v="1"/>
    <s v="8+ yrs"/>
    <n v="209217"/>
    <x v="736"/>
    <s v="GPT-4"/>
    <s v="Master's"/>
    <n v="45419"/>
    <n v="2253"/>
    <n v="708"/>
    <s v="No"/>
    <n v="6"/>
    <s v="5000+"/>
    <s v="Full-time"/>
    <s v="No"/>
  </r>
  <r>
    <s v="AIJOB00738"/>
    <x v="14"/>
    <x v="29"/>
    <s v="Healthcare"/>
    <s v="Bangalore, India"/>
    <s v="India"/>
    <s v="On-site"/>
    <x v="2"/>
    <s v="2-5 yrs"/>
    <n v="129457"/>
    <x v="737"/>
    <s v="BLOOM"/>
    <s v="Bachelor's"/>
    <n v="45543"/>
    <n v="1107"/>
    <n v="3948"/>
    <s v="No"/>
    <n v="2"/>
    <s v="201-1000"/>
    <s v="Contract"/>
    <s v="No"/>
  </r>
  <r>
    <s v="AIJOB00739"/>
    <x v="4"/>
    <x v="28"/>
    <s v="Automotive"/>
    <s v="Tokyo, Japan"/>
    <s v="Japan"/>
    <s v="On-site"/>
    <x v="3"/>
    <s v="5-8 yrs"/>
    <n v="194967"/>
    <x v="738"/>
    <s v="Gemini"/>
    <s v="Bachelor's"/>
    <n v="45545"/>
    <n v="1447"/>
    <n v="2141"/>
    <s v="Maybe"/>
    <n v="4"/>
    <s v="0-50"/>
    <s v="Full-time"/>
    <s v="No"/>
  </r>
  <r>
    <s v="AIJOB00740"/>
    <x v="17"/>
    <x v="1"/>
    <s v="Energy"/>
    <s v="Sydney, Australia"/>
    <s v="Australia"/>
    <s v="Remote"/>
    <x v="2"/>
    <s v="2-5 yrs"/>
    <n v="130084"/>
    <x v="739"/>
    <s v="Claude"/>
    <s v="Bachelor's"/>
    <n v="45513"/>
    <n v="343"/>
    <n v="3019"/>
    <s v="No"/>
    <n v="2"/>
    <s v="201-1000"/>
    <s v="Full-time"/>
    <s v="No"/>
  </r>
  <r>
    <s v="AIJOB00741"/>
    <x v="11"/>
    <x v="27"/>
    <s v="Government"/>
    <s v="New York, United States"/>
    <s v="United States"/>
    <s v="Hybrid"/>
    <x v="1"/>
    <s v="8+ yrs"/>
    <n v="133728"/>
    <x v="740"/>
    <s v="None"/>
    <s v="PhD"/>
    <n v="45430"/>
    <n v="1090"/>
    <n v="2012"/>
    <s v="No"/>
    <n v="6"/>
    <s v="0-50"/>
    <s v="Contract"/>
    <s v="No"/>
  </r>
  <r>
    <s v="AIJOB00742"/>
    <x v="4"/>
    <x v="13"/>
    <s v="Healthcare"/>
    <s v="Dublin, Ireland"/>
    <s v="Ireland"/>
    <s v="On-site"/>
    <x v="3"/>
    <s v="5-8 yrs"/>
    <n v="115451"/>
    <x v="741"/>
    <s v="Falcon"/>
    <s v="Master's"/>
    <n v="45303"/>
    <n v="1270"/>
    <n v="3200"/>
    <s v="Yes"/>
    <n v="4"/>
    <s v="0-50"/>
    <s v="Full-time"/>
    <s v="Yes"/>
  </r>
  <r>
    <s v="AIJOB00743"/>
    <x v="18"/>
    <x v="23"/>
    <s v="Healthcare"/>
    <s v="Berlin, Germany"/>
    <s v="Germany"/>
    <s v="Hybrid"/>
    <x v="0"/>
    <s v="0-2 yrs"/>
    <n v="62127"/>
    <x v="742"/>
    <s v="GPT-4"/>
    <s v="Bachelor's"/>
    <n v="45738"/>
    <n v="632"/>
    <n v="770"/>
    <s v="Yes"/>
    <n v="0"/>
    <s v="0-50"/>
    <s v="Full-time"/>
    <s v="No"/>
  </r>
  <r>
    <s v="AIJOB00744"/>
    <x v="7"/>
    <x v="25"/>
    <s v="Healthcare"/>
    <s v="New York, United States"/>
    <s v="United States"/>
    <s v="Hybrid"/>
    <x v="2"/>
    <s v="2-5 yrs"/>
    <n v="110516"/>
    <x v="743"/>
    <s v="Command R"/>
    <s v="Master's"/>
    <n v="45490"/>
    <n v="550"/>
    <n v="1822"/>
    <s v="Yes"/>
    <n v="2"/>
    <s v="0-50"/>
    <s v="Full-time"/>
    <s v="No"/>
  </r>
  <r>
    <s v="AIJOB00745"/>
    <x v="2"/>
    <x v="6"/>
    <s v="Retail"/>
    <s v="Stockholm, Sweden"/>
    <s v="Sweden"/>
    <s v="Hybrid"/>
    <x v="2"/>
    <s v="2-5 yrs"/>
    <n v="120249"/>
    <x v="744"/>
    <s v="Falcon"/>
    <s v="Bachelor's"/>
    <n v="45388"/>
    <n v="1515"/>
    <n v="2473"/>
    <s v="No"/>
    <n v="2"/>
    <s v="201-1000"/>
    <s v="Full-time"/>
    <s v="Yes"/>
  </r>
  <r>
    <s v="AIJOB00746"/>
    <x v="16"/>
    <x v="8"/>
    <s v="Technology"/>
    <s v="Dublin, Ireland"/>
    <s v="Ireland"/>
    <s v="Remote"/>
    <x v="2"/>
    <s v="2-5 yrs"/>
    <n v="95630"/>
    <x v="745"/>
    <s v="Falcon"/>
    <s v="Master's"/>
    <n v="45747"/>
    <n v="2061"/>
    <n v="337"/>
    <s v="No"/>
    <n v="2"/>
    <s v="1001-5000"/>
    <s v="Full-time"/>
    <s v="No"/>
  </r>
  <r>
    <s v="AIJOB00747"/>
    <x v="4"/>
    <x v="28"/>
    <s v="Education"/>
    <s v="Zurich, Switzerland"/>
    <s v="Switzerland"/>
    <s v="Hybrid"/>
    <x v="3"/>
    <s v="5-8 yrs"/>
    <n v="155042"/>
    <x v="746"/>
    <s v="Command R"/>
    <s v="Master's"/>
    <n v="45477"/>
    <n v="2303"/>
    <n v="1293"/>
    <s v="No"/>
    <n v="4"/>
    <s v="51-200"/>
    <s v="Full-time"/>
    <s v="Yes"/>
  </r>
  <r>
    <s v="AIJOB00748"/>
    <x v="16"/>
    <x v="4"/>
    <s v="Media"/>
    <s v="Bangalore, India"/>
    <s v="India"/>
    <s v="On-site"/>
    <x v="1"/>
    <s v="8+ yrs"/>
    <n v="172806"/>
    <x v="747"/>
    <s v="None"/>
    <s v="Bootcamp/Self-taught"/>
    <n v="45458"/>
    <n v="871"/>
    <n v="3238"/>
    <s v="No"/>
    <n v="6"/>
    <s v="51-200"/>
    <s v="Full-time"/>
    <s v="Yes"/>
  </r>
  <r>
    <s v="AIJOB00749"/>
    <x v="15"/>
    <x v="26"/>
    <s v="Technology"/>
    <s v="Zurich, Switzerland"/>
    <s v="Switzerland"/>
    <s v="On-site"/>
    <x v="2"/>
    <s v="2-5 yrs"/>
    <n v="97891"/>
    <x v="748"/>
    <s v="Falcon"/>
    <s v="Master's"/>
    <n v="45403"/>
    <n v="948"/>
    <n v="1253"/>
    <s v="No"/>
    <n v="2"/>
    <s v="5000+"/>
    <s v="Full-time"/>
    <s v="Yes"/>
  </r>
  <r>
    <s v="AIJOB00750"/>
    <x v="6"/>
    <x v="13"/>
    <s v="Government"/>
    <s v="Los Angeles, United States"/>
    <s v="United States"/>
    <s v="Remote"/>
    <x v="1"/>
    <s v="8+ yrs"/>
    <n v="149360"/>
    <x v="749"/>
    <s v="None"/>
    <s v="PhD"/>
    <n v="45728"/>
    <n v="1485"/>
    <n v="589"/>
    <s v="Yes"/>
    <n v="6"/>
    <s v="1001-5000"/>
    <s v="Contract"/>
    <s v="Yes"/>
  </r>
  <r>
    <s v="AIJOB00751"/>
    <x v="13"/>
    <x v="19"/>
    <s v="Healthcare"/>
    <s v="Toronto, Canada"/>
    <s v="Canada"/>
    <s v="Remote"/>
    <x v="3"/>
    <s v="5-8 yrs"/>
    <n v="125072"/>
    <x v="750"/>
    <s v="Falcon"/>
    <s v="Master's"/>
    <n v="45451"/>
    <n v="2239"/>
    <n v="268"/>
    <s v="Yes"/>
    <n v="4"/>
    <s v="201-1000"/>
    <s v="Full-time"/>
    <s v="Yes"/>
  </r>
  <r>
    <s v="AIJOB00752"/>
    <x v="18"/>
    <x v="1"/>
    <s v="Defense"/>
    <s v="Austin, United States"/>
    <s v="United States"/>
    <s v="Hybrid"/>
    <x v="2"/>
    <s v="2-5 yrs"/>
    <n v="83236"/>
    <x v="751"/>
    <s v="Gemini"/>
    <s v="Bootcamp/Self-taught"/>
    <n v="45535"/>
    <n v="1237"/>
    <n v="2910"/>
    <s v="No"/>
    <n v="2"/>
    <s v="51-200"/>
    <s v="Contract"/>
    <s v="Yes"/>
  </r>
  <r>
    <s v="AIJOB00753"/>
    <x v="12"/>
    <x v="5"/>
    <s v="Education"/>
    <s v="San Francisco, United States"/>
    <s v="United States"/>
    <s v="Remote"/>
    <x v="1"/>
    <s v="8+ yrs"/>
    <n v="164868"/>
    <x v="752"/>
    <s v="Claude"/>
    <s v="Master's"/>
    <n v="45742"/>
    <n v="1389"/>
    <n v="284"/>
    <s v="No"/>
    <n v="6"/>
    <s v="51-200"/>
    <s v="Contract"/>
    <s v="Yes"/>
  </r>
  <r>
    <s v="AIJOB00754"/>
    <x v="3"/>
    <x v="27"/>
    <s v="Automotive"/>
    <s v="New York, United States"/>
    <s v="United States"/>
    <s v="Hybrid"/>
    <x v="3"/>
    <s v="5-8 yrs"/>
    <n v="178448"/>
    <x v="753"/>
    <s v="Phi"/>
    <s v="Bootcamp/Self-taught"/>
    <n v="45406"/>
    <n v="2285"/>
    <n v="1296"/>
    <s v="No"/>
    <n v="4"/>
    <s v="5000+"/>
    <s v="Full-time"/>
    <s v="No"/>
  </r>
  <r>
    <s v="AIJOB00755"/>
    <x v="9"/>
    <x v="0"/>
    <s v="Technology"/>
    <s v="Sydney, Australia"/>
    <s v="Australia"/>
    <s v="Hybrid"/>
    <x v="0"/>
    <s v="0-2 yrs"/>
    <n v="58037"/>
    <x v="754"/>
    <s v="None"/>
    <s v="Bachelor's"/>
    <n v="45668"/>
    <n v="1136"/>
    <n v="600"/>
    <s v="No"/>
    <n v="0"/>
    <s v="0-50"/>
    <s v="Full-time"/>
    <s v="No"/>
  </r>
  <r>
    <s v="AIJOB00756"/>
    <x v="4"/>
    <x v="11"/>
    <s v="Automotive"/>
    <s v="Bangalore, India"/>
    <s v="India"/>
    <s v="Hybrid"/>
    <x v="3"/>
    <s v="5-8 yrs"/>
    <n v="221074"/>
    <x v="755"/>
    <s v="None"/>
    <s v="Master's"/>
    <n v="45367"/>
    <n v="1110"/>
    <n v="2902"/>
    <s v="No"/>
    <n v="4"/>
    <s v="201-1000"/>
    <s v="Full-time"/>
    <s v="Yes"/>
  </r>
  <r>
    <s v="AIJOB00757"/>
    <x v="13"/>
    <x v="10"/>
    <s v="Government"/>
    <s v="New York, United States"/>
    <s v="United States"/>
    <s v="On-site"/>
    <x v="0"/>
    <s v="0-2 yrs"/>
    <n v="76215"/>
    <x v="756"/>
    <s v="BLOOM"/>
    <s v="Master's"/>
    <n v="45574"/>
    <n v="1637"/>
    <n v="2521"/>
    <s v="No"/>
    <n v="0"/>
    <s v="0-50"/>
    <s v="Full-time"/>
    <s v="Yes"/>
  </r>
  <r>
    <s v="AIJOB00758"/>
    <x v="12"/>
    <x v="13"/>
    <s v="Government"/>
    <s v="Dublin, Ireland"/>
    <s v="Ireland"/>
    <s v="Remote"/>
    <x v="0"/>
    <s v="0-2 yrs"/>
    <n v="72328"/>
    <x v="757"/>
    <s v="Llama"/>
    <s v="Bootcamp/Self-taught"/>
    <n v="45659"/>
    <n v="1685"/>
    <n v="342"/>
    <s v="No"/>
    <n v="0"/>
    <s v="0-50"/>
    <s v="Full-time"/>
    <s v="No"/>
  </r>
  <r>
    <s v="AIJOB00759"/>
    <x v="10"/>
    <x v="9"/>
    <s v="Retail"/>
    <s v="Chicago, United States"/>
    <s v="United States"/>
    <s v="Hybrid"/>
    <x v="1"/>
    <s v="8+ yrs"/>
    <n v="169099"/>
    <x v="758"/>
    <s v="Mistral"/>
    <s v="Bachelor's"/>
    <n v="45572"/>
    <n v="399"/>
    <n v="224"/>
    <s v="No"/>
    <n v="6"/>
    <s v="51-200"/>
    <s v="Full-time"/>
    <s v="Yes"/>
  </r>
  <r>
    <s v="AIJOB00760"/>
    <x v="7"/>
    <x v="24"/>
    <s v="Technology"/>
    <s v="Berlin, Germany"/>
    <s v="Germany"/>
    <s v="Hybrid"/>
    <x v="2"/>
    <s v="2-5 yrs"/>
    <n v="123866"/>
    <x v="759"/>
    <s v="None"/>
    <s v="Master's"/>
    <n v="45457"/>
    <n v="1999"/>
    <n v="2262"/>
    <s v="Yes"/>
    <n v="2"/>
    <s v="51-200"/>
    <s v="Full-time"/>
    <s v="Yes"/>
  </r>
  <r>
    <s v="AIJOB00761"/>
    <x v="12"/>
    <x v="22"/>
    <s v="Automotive"/>
    <s v="San Francisco, United States"/>
    <s v="United States"/>
    <s v="Remote"/>
    <x v="1"/>
    <s v="8+ yrs"/>
    <n v="179277"/>
    <x v="760"/>
    <s v="Grok"/>
    <s v="Master's"/>
    <n v="45333"/>
    <n v="2392"/>
    <n v="1600"/>
    <s v="Yes"/>
    <n v="6"/>
    <s v="51-200"/>
    <s v="Contract"/>
    <s v="Yes"/>
  </r>
  <r>
    <s v="AIJOB00762"/>
    <x v="9"/>
    <x v="26"/>
    <s v="Healthcare"/>
    <s v="Amsterdam, Netherlands"/>
    <s v="Netherlands"/>
    <s v="Remote"/>
    <x v="3"/>
    <s v="5-8 yrs"/>
    <n v="153294"/>
    <x v="761"/>
    <s v="BLOOM"/>
    <s v="Bachelor's"/>
    <n v="45625"/>
    <n v="1887"/>
    <n v="3305"/>
    <s v="Yes"/>
    <n v="4"/>
    <s v="51-200"/>
    <s v="Full-time"/>
    <s v="No"/>
  </r>
  <r>
    <s v="AIJOB00763"/>
    <x v="5"/>
    <x v="22"/>
    <s v="Technology"/>
    <s v="Zurich, Switzerland"/>
    <s v="Switzerland"/>
    <s v="On-site"/>
    <x v="2"/>
    <s v="2-5 yrs"/>
    <n v="160689"/>
    <x v="762"/>
    <s v="GPT-4"/>
    <s v="Bachelor's"/>
    <n v="45476"/>
    <n v="1041"/>
    <n v="3534"/>
    <s v="No"/>
    <n v="2"/>
    <s v="1001-5000"/>
    <s v="Part-time"/>
    <s v="Yes"/>
  </r>
  <r>
    <s v="AIJOB00764"/>
    <x v="18"/>
    <x v="8"/>
    <s v="Technology"/>
    <s v="Chicago, United States"/>
    <s v="United States"/>
    <s v="Hybrid"/>
    <x v="1"/>
    <s v="8+ yrs"/>
    <n v="196541"/>
    <x v="763"/>
    <s v="Claude"/>
    <s v="PhD"/>
    <n v="45376"/>
    <n v="504"/>
    <n v="3520"/>
    <s v="Yes"/>
    <n v="6"/>
    <s v="201-1000"/>
    <s v="Part-time"/>
    <s v="Yes"/>
  </r>
  <r>
    <s v="AIJOB00765"/>
    <x v="11"/>
    <x v="10"/>
    <s v="Technology"/>
    <s v="London, United Kingdom"/>
    <s v="United Kingdom"/>
    <s v="Remote"/>
    <x v="2"/>
    <s v="2-5 yrs"/>
    <n v="132755"/>
    <x v="764"/>
    <s v="BLOOM"/>
    <s v="Bachelor's"/>
    <n v="45402"/>
    <n v="443"/>
    <n v="3690"/>
    <s v="Yes"/>
    <n v="2"/>
    <s v="51-200"/>
    <s v="Full-time"/>
    <s v="No"/>
  </r>
  <r>
    <s v="AIJOB00766"/>
    <x v="9"/>
    <x v="23"/>
    <s v="Energy"/>
    <s v="San Francisco, United States"/>
    <s v="United States"/>
    <s v="On-site"/>
    <x v="0"/>
    <s v="0-2 yrs"/>
    <n v="61139"/>
    <x v="765"/>
    <s v="Grok"/>
    <s v="Bachelor's"/>
    <n v="45535"/>
    <n v="392"/>
    <n v="2888"/>
    <s v="No"/>
    <n v="0"/>
    <s v="0-50"/>
    <s v="Contract"/>
    <s v="Yes"/>
  </r>
  <r>
    <s v="AIJOB00767"/>
    <x v="4"/>
    <x v="3"/>
    <s v="Finance"/>
    <s v="Chicago, United States"/>
    <s v="United States"/>
    <s v="Remote"/>
    <x v="1"/>
    <s v="8+ yrs"/>
    <n v="198740"/>
    <x v="766"/>
    <s v="None"/>
    <s v="Bootcamp/Self-taught"/>
    <n v="45546"/>
    <n v="1450"/>
    <n v="2917"/>
    <s v="No"/>
    <n v="6"/>
    <s v="1001-5000"/>
    <s v="Full-time"/>
    <s v="Yes"/>
  </r>
  <r>
    <s v="AIJOB00768"/>
    <x v="2"/>
    <x v="7"/>
    <s v="Education"/>
    <s v="Paris, France"/>
    <s v="France"/>
    <s v="Hybrid"/>
    <x v="2"/>
    <s v="2-5 yrs"/>
    <n v="145061"/>
    <x v="767"/>
    <s v="BLOOM"/>
    <s v="PhD"/>
    <n v="45706"/>
    <n v="493"/>
    <n v="1183"/>
    <s v="No"/>
    <n v="2"/>
    <s v="5000+"/>
    <s v="Full-time"/>
    <s v="No"/>
  </r>
  <r>
    <s v="AIJOB00769"/>
    <x v="1"/>
    <x v="28"/>
    <s v="Education"/>
    <s v="Boston, United States"/>
    <s v="United States"/>
    <s v="Hybrid"/>
    <x v="2"/>
    <s v="2-5 yrs"/>
    <n v="97586"/>
    <x v="768"/>
    <s v="BLOOM"/>
    <s v="Bootcamp/Self-taught"/>
    <n v="45482"/>
    <n v="1497"/>
    <n v="614"/>
    <s v="No"/>
    <n v="2"/>
    <s v="1001-5000"/>
    <s v="Full-time"/>
    <s v="Yes"/>
  </r>
  <r>
    <s v="AIJOB00770"/>
    <x v="19"/>
    <x v="20"/>
    <s v="Technology"/>
    <s v="Tokyo, Japan"/>
    <s v="Japan"/>
    <s v="Remote"/>
    <x v="0"/>
    <s v="0-2 yrs"/>
    <n v="92836"/>
    <x v="769"/>
    <s v="None"/>
    <s v="Master's"/>
    <n v="45362"/>
    <n v="894"/>
    <n v="2462"/>
    <s v="No"/>
    <n v="0"/>
    <s v="51-200"/>
    <s v="Contract"/>
    <s v="No"/>
  </r>
  <r>
    <s v="AIJOB00771"/>
    <x v="9"/>
    <x v="15"/>
    <s v="Automotive"/>
    <s v="Seattle, United States"/>
    <s v="United States"/>
    <s v="On-site"/>
    <x v="1"/>
    <s v="8+ yrs"/>
    <n v="225479"/>
    <x v="770"/>
    <s v="Grok"/>
    <s v="Bootcamp/Self-taught"/>
    <n v="45742"/>
    <n v="974"/>
    <n v="3039"/>
    <s v="Yes"/>
    <n v="6"/>
    <s v="201-1000"/>
    <s v="Full-time"/>
    <s v="Yes"/>
  </r>
  <r>
    <s v="AIJOB00772"/>
    <x v="16"/>
    <x v="11"/>
    <s v="Retail"/>
    <s v="Dublin, Ireland"/>
    <s v="Ireland"/>
    <s v="Hybrid"/>
    <x v="1"/>
    <s v="8+ yrs"/>
    <n v="179751"/>
    <x v="771"/>
    <s v="None"/>
    <s v="Master's"/>
    <n v="45493"/>
    <n v="2158"/>
    <n v="647"/>
    <s v="No"/>
    <n v="6"/>
    <s v="51-200"/>
    <s v="Contract"/>
    <s v="No"/>
  </r>
  <r>
    <s v="AIJOB00773"/>
    <x v="10"/>
    <x v="14"/>
    <s v="Retail"/>
    <s v="Tel Aviv, Israel"/>
    <s v="Israel"/>
    <s v="Remote"/>
    <x v="0"/>
    <s v="0-2 yrs"/>
    <n v="77968"/>
    <x v="772"/>
    <s v="Claude"/>
    <s v="Bachelor's"/>
    <n v="45328"/>
    <n v="427"/>
    <n v="1221"/>
    <s v="Yes"/>
    <n v="0"/>
    <s v="51-200"/>
    <s v="Contract"/>
    <s v="No"/>
  </r>
  <r>
    <s v="AIJOB00774"/>
    <x v="4"/>
    <x v="28"/>
    <s v="Retail"/>
    <s v="Bangalore, India"/>
    <s v="India"/>
    <s v="On-site"/>
    <x v="3"/>
    <s v="5-8 yrs"/>
    <n v="176258"/>
    <x v="773"/>
    <s v="BLOOM"/>
    <s v="Master's"/>
    <n v="45508"/>
    <n v="2259"/>
    <n v="2611"/>
    <s v="No"/>
    <n v="4"/>
    <s v="0-50"/>
    <s v="Full-time"/>
    <s v="No"/>
  </r>
  <r>
    <s v="AIJOB00775"/>
    <x v="8"/>
    <x v="25"/>
    <s v="Government"/>
    <s v="Boston, United States"/>
    <s v="United States"/>
    <s v="Remote"/>
    <x v="3"/>
    <s v="5-8 yrs"/>
    <n v="166788"/>
    <x v="774"/>
    <s v="Grok"/>
    <s v="Bootcamp/Self-taught"/>
    <n v="45650"/>
    <n v="2308"/>
    <n v="121"/>
    <s v="No"/>
    <n v="4"/>
    <s v="1001-5000"/>
    <s v="Contract"/>
    <s v="Yes"/>
  </r>
  <r>
    <s v="AIJOB00776"/>
    <x v="2"/>
    <x v="24"/>
    <s v="Technology"/>
    <s v="Seattle, United States"/>
    <s v="United States"/>
    <s v="Remote"/>
    <x v="0"/>
    <s v="0-2 yrs"/>
    <n v="50215"/>
    <x v="775"/>
    <s v="Grok"/>
    <s v="Master's"/>
    <n v="45717"/>
    <n v="2148"/>
    <n v="897"/>
    <s v="No"/>
    <n v="0"/>
    <s v="0-50"/>
    <s v="Full-time"/>
    <s v="Yes"/>
  </r>
  <r>
    <s v="AIJOB00777"/>
    <x v="13"/>
    <x v="17"/>
    <s v="Automotive"/>
    <s v="Seattle, United States"/>
    <s v="United States"/>
    <s v="Hybrid"/>
    <x v="1"/>
    <s v="8+ yrs"/>
    <n v="173823"/>
    <x v="776"/>
    <s v="None"/>
    <s v="Master's"/>
    <n v="45529"/>
    <n v="2416"/>
    <n v="2021"/>
    <s v="Yes"/>
    <n v="6"/>
    <s v="1001-5000"/>
    <s v="Full-time"/>
    <s v="Yes"/>
  </r>
  <r>
    <s v="AIJOB00778"/>
    <x v="5"/>
    <x v="6"/>
    <s v="Media"/>
    <s v="Los Angeles, United States"/>
    <s v="United States"/>
    <s v="Remote"/>
    <x v="3"/>
    <s v="5-8 yrs"/>
    <n v="143316"/>
    <x v="777"/>
    <s v="Gemini"/>
    <s v="Bachelor's"/>
    <n v="45371"/>
    <n v="1048"/>
    <n v="925"/>
    <s v="No"/>
    <n v="4"/>
    <s v="5000+"/>
    <s v="Contract"/>
    <s v="Yes"/>
  </r>
  <r>
    <s v="AIJOB00779"/>
    <x v="14"/>
    <x v="8"/>
    <s v="Government"/>
    <s v="London, United Kingdom"/>
    <s v="United Kingdom"/>
    <s v="Remote"/>
    <x v="0"/>
    <s v="0-2 yrs"/>
    <n v="69062"/>
    <x v="778"/>
    <s v="Phi"/>
    <s v="Master's"/>
    <n v="45359"/>
    <n v="735"/>
    <n v="1724"/>
    <s v="No"/>
    <n v="0"/>
    <s v="201-1000"/>
    <s v="Full-time"/>
    <s v="No"/>
  </r>
  <r>
    <s v="AIJOB00780"/>
    <x v="4"/>
    <x v="20"/>
    <s v="Finance"/>
    <s v="Seattle, United States"/>
    <s v="United States"/>
    <s v="Remote"/>
    <x v="0"/>
    <s v="0-2 yrs"/>
    <n v="77820"/>
    <x v="779"/>
    <s v="GPT-4"/>
    <s v="Master's"/>
    <n v="45632"/>
    <n v="1104"/>
    <n v="1837"/>
    <s v="No"/>
    <n v="0"/>
    <s v="5000+"/>
    <s v="Full-time"/>
    <s v="Yes"/>
  </r>
  <r>
    <s v="AIJOB00781"/>
    <x v="4"/>
    <x v="15"/>
    <s v="Government"/>
    <s v="Zurich, Switzerland"/>
    <s v="Switzerland"/>
    <s v="Remote"/>
    <x v="2"/>
    <s v="2-5 yrs"/>
    <n v="113518"/>
    <x v="780"/>
    <s v="BLOOM"/>
    <s v="Bachelor's"/>
    <n v="45578"/>
    <n v="349"/>
    <n v="471"/>
    <s v="No"/>
    <n v="2"/>
    <s v="201-1000"/>
    <s v="Full-time"/>
    <s v="Yes"/>
  </r>
  <r>
    <s v="AIJOB00782"/>
    <x v="3"/>
    <x v="10"/>
    <s v="Energy"/>
    <s v="Paris, France"/>
    <s v="France"/>
    <s v="On-site"/>
    <x v="3"/>
    <s v="5-8 yrs"/>
    <n v="113945"/>
    <x v="781"/>
    <s v="Phi"/>
    <s v="PhD"/>
    <n v="45702"/>
    <n v="590"/>
    <n v="608"/>
    <s v="No"/>
    <n v="4"/>
    <s v="5000+"/>
    <s v="Full-time"/>
    <s v="No"/>
  </r>
  <r>
    <s v="AIJOB00783"/>
    <x v="8"/>
    <x v="17"/>
    <s v="Government"/>
    <s v="Zurich, Switzerland"/>
    <s v="Switzerland"/>
    <s v="Remote"/>
    <x v="0"/>
    <s v="0-2 yrs"/>
    <n v="74790"/>
    <x v="782"/>
    <s v="BLOOM"/>
    <s v="PhD"/>
    <n v="45612"/>
    <n v="413"/>
    <n v="798"/>
    <s v="No"/>
    <n v="0"/>
    <s v="201-1000"/>
    <s v="Full-time"/>
    <s v="No"/>
  </r>
  <r>
    <s v="AIJOB00784"/>
    <x v="7"/>
    <x v="24"/>
    <s v="Finance"/>
    <s v="Tel Aviv, Israel"/>
    <s v="Israel"/>
    <s v="Hybrid"/>
    <x v="2"/>
    <s v="2-5 yrs"/>
    <n v="122089"/>
    <x v="783"/>
    <s v="Mistral"/>
    <s v="Master's"/>
    <n v="45696"/>
    <n v="426"/>
    <n v="1719"/>
    <s v="Yes"/>
    <n v="2"/>
    <s v="0-50"/>
    <s v="Contract"/>
    <s v="No"/>
  </r>
  <r>
    <s v="AIJOB00785"/>
    <x v="17"/>
    <x v="16"/>
    <s v="Education"/>
    <s v="Amsterdam, Netherlands"/>
    <s v="Netherlands"/>
    <s v="Remote"/>
    <x v="3"/>
    <s v="5-8 yrs"/>
    <n v="165114"/>
    <x v="784"/>
    <s v="None"/>
    <s v="Master's"/>
    <n v="45529"/>
    <n v="1881"/>
    <n v="3112"/>
    <s v="Maybe"/>
    <n v="4"/>
    <s v="5000+"/>
    <s v="Full-time"/>
    <s v="No"/>
  </r>
  <r>
    <s v="AIJOB00786"/>
    <x v="6"/>
    <x v="29"/>
    <s v="Automotive"/>
    <s v="Tel Aviv, Israel"/>
    <s v="Israel"/>
    <s v="Remote"/>
    <x v="2"/>
    <s v="2-5 yrs"/>
    <n v="131399"/>
    <x v="785"/>
    <s v="Mistral"/>
    <s v="PhD"/>
    <n v="45646"/>
    <n v="2403"/>
    <n v="943"/>
    <s v="No"/>
    <n v="2"/>
    <s v="201-1000"/>
    <s v="Contract"/>
    <s v="No"/>
  </r>
  <r>
    <s v="AIJOB00787"/>
    <x v="16"/>
    <x v="8"/>
    <s v="Healthcare"/>
    <s v="Singapore"/>
    <s v="Singapore"/>
    <s v="On-site"/>
    <x v="3"/>
    <s v="5-8 yrs"/>
    <n v="172515"/>
    <x v="786"/>
    <s v="Grok"/>
    <s v="PhD"/>
    <n v="45557"/>
    <n v="1508"/>
    <n v="788"/>
    <s v="No"/>
    <n v="4"/>
    <s v="201-1000"/>
    <s v="Contract"/>
    <s v="No"/>
  </r>
  <r>
    <s v="AIJOB00788"/>
    <x v="9"/>
    <x v="20"/>
    <s v="Education"/>
    <s v="Zurich, Switzerland"/>
    <s v="Switzerland"/>
    <s v="Hybrid"/>
    <x v="1"/>
    <s v="8+ yrs"/>
    <n v="216530"/>
    <x v="787"/>
    <s v="Falcon"/>
    <s v="Master's"/>
    <n v="45352"/>
    <n v="1904"/>
    <n v="1993"/>
    <s v="No"/>
    <n v="6"/>
    <s v="5000+"/>
    <s v="Full-time"/>
    <s v="Yes"/>
  </r>
  <r>
    <s v="AIJOB00789"/>
    <x v="2"/>
    <x v="7"/>
    <s v="Defense"/>
    <s v="Amsterdam, Netherlands"/>
    <s v="Netherlands"/>
    <s v="Remote"/>
    <x v="0"/>
    <s v="0-2 yrs"/>
    <n v="69115"/>
    <x v="788"/>
    <s v="None"/>
    <s v="PhD"/>
    <n v="45484"/>
    <n v="2393"/>
    <n v="2334"/>
    <s v="No"/>
    <n v="0"/>
    <s v="201-1000"/>
    <s v="Full-time"/>
    <s v="Yes"/>
  </r>
  <r>
    <s v="AIJOB00790"/>
    <x v="8"/>
    <x v="17"/>
    <s v="Finance"/>
    <s v="Tel Aviv, Israel"/>
    <s v="Israel"/>
    <s v="Remote"/>
    <x v="0"/>
    <s v="0-2 yrs"/>
    <n v="50000"/>
    <x v="789"/>
    <s v="GPT-4"/>
    <s v="Bachelor's"/>
    <n v="45452"/>
    <n v="2492"/>
    <n v="1109"/>
    <s v="Yes"/>
    <n v="0"/>
    <s v="0-50"/>
    <s v="Part-time"/>
    <s v="No"/>
  </r>
  <r>
    <s v="AIJOB00791"/>
    <x v="9"/>
    <x v="25"/>
    <s v="Defense"/>
    <s v="Zurich, Switzerland"/>
    <s v="Switzerland"/>
    <s v="Remote"/>
    <x v="0"/>
    <s v="0-2 yrs"/>
    <n v="75413"/>
    <x v="790"/>
    <s v="Llama"/>
    <s v="Master's"/>
    <n v="45349"/>
    <n v="1392"/>
    <n v="3810"/>
    <s v="No"/>
    <n v="0"/>
    <s v="51-200"/>
    <s v="Full-time"/>
    <s v="No"/>
  </r>
  <r>
    <s v="AIJOB00792"/>
    <x v="18"/>
    <x v="21"/>
    <s v="Education"/>
    <s v="Toronto, Canada"/>
    <s v="Canada"/>
    <s v="On-site"/>
    <x v="2"/>
    <s v="2-5 yrs"/>
    <n v="114112"/>
    <x v="791"/>
    <s v="Grok"/>
    <s v="Bachelor's"/>
    <n v="45714"/>
    <n v="1308"/>
    <n v="3472"/>
    <s v="No"/>
    <n v="2"/>
    <s v="51-200"/>
    <s v="Full-time"/>
    <s v="Yes"/>
  </r>
  <r>
    <s v="AIJOB00793"/>
    <x v="15"/>
    <x v="11"/>
    <s v="Finance"/>
    <s v="Amsterdam, Netherlands"/>
    <s v="Netherlands"/>
    <s v="Remote"/>
    <x v="2"/>
    <s v="2-5 yrs"/>
    <n v="115377"/>
    <x v="792"/>
    <s v="Llama"/>
    <s v="Master's"/>
    <n v="45414"/>
    <n v="2119"/>
    <n v="1822"/>
    <s v="Yes"/>
    <n v="2"/>
    <s v="1001-5000"/>
    <s v="Contract"/>
    <s v="No"/>
  </r>
  <r>
    <s v="AIJOB00794"/>
    <x v="13"/>
    <x v="14"/>
    <s v="Education"/>
    <s v="Singapore"/>
    <s v="Singapore"/>
    <s v="On-site"/>
    <x v="3"/>
    <s v="5-8 yrs"/>
    <n v="115527"/>
    <x v="793"/>
    <s v="BLOOM"/>
    <s v="Master's"/>
    <n v="45543"/>
    <n v="1827"/>
    <n v="601"/>
    <s v="No"/>
    <n v="4"/>
    <s v="5000+"/>
    <s v="Contract"/>
    <s v="No"/>
  </r>
  <r>
    <s v="AIJOB00795"/>
    <x v="15"/>
    <x v="15"/>
    <s v="Defense"/>
    <s v="Singapore"/>
    <s v="Singapore"/>
    <s v="Remote"/>
    <x v="1"/>
    <s v="8+ yrs"/>
    <n v="161081"/>
    <x v="794"/>
    <s v="Command R"/>
    <s v="Bachelor's"/>
    <n v="45472"/>
    <n v="564"/>
    <n v="1862"/>
    <s v="No"/>
    <n v="6"/>
    <s v="0-50"/>
    <s v="Full-time"/>
    <s v="Yes"/>
  </r>
  <r>
    <s v="AIJOB00796"/>
    <x v="11"/>
    <x v="24"/>
    <s v="Healthcare"/>
    <s v="Tel Aviv, Israel"/>
    <s v="Israel"/>
    <s v="Remote"/>
    <x v="0"/>
    <s v="0-2 yrs"/>
    <n v="83269"/>
    <x v="795"/>
    <s v="Mistral"/>
    <s v="Bachelor's"/>
    <n v="45520"/>
    <n v="2418"/>
    <n v="2463"/>
    <s v="No"/>
    <n v="0"/>
    <s v="51-200"/>
    <s v="Contract"/>
    <s v="No"/>
  </r>
  <r>
    <s v="AIJOB00797"/>
    <x v="16"/>
    <x v="5"/>
    <s v="Automotive"/>
    <s v="Paris, France"/>
    <s v="France"/>
    <s v="Remote"/>
    <x v="0"/>
    <s v="0-2 yrs"/>
    <n v="69501"/>
    <x v="796"/>
    <s v="Claude"/>
    <s v="Master's"/>
    <n v="45373"/>
    <n v="1500"/>
    <n v="590"/>
    <s v="Maybe"/>
    <n v="0"/>
    <s v="201-1000"/>
    <s v="Contract"/>
    <s v="Yes"/>
  </r>
  <r>
    <s v="AIJOB00798"/>
    <x v="19"/>
    <x v="19"/>
    <s v="Healthcare"/>
    <s v="Toronto, Canada"/>
    <s v="Canada"/>
    <s v="Hybrid"/>
    <x v="3"/>
    <s v="5-8 yrs"/>
    <n v="168400"/>
    <x v="797"/>
    <s v="None"/>
    <s v="Bachelor's"/>
    <n v="45410"/>
    <n v="2226"/>
    <n v="3868"/>
    <s v="No"/>
    <n v="4"/>
    <s v="51-200"/>
    <s v="Full-time"/>
    <s v="No"/>
  </r>
  <r>
    <s v="AIJOB00799"/>
    <x v="9"/>
    <x v="12"/>
    <s v="Healthcare"/>
    <s v="Seattle, United States"/>
    <s v="United States"/>
    <s v="Hybrid"/>
    <x v="0"/>
    <s v="0-2 yrs"/>
    <n v="70356"/>
    <x v="798"/>
    <s v="Falcon"/>
    <s v="Bachelor's"/>
    <n v="45429"/>
    <n v="1065"/>
    <n v="1016"/>
    <s v="No"/>
    <n v="0"/>
    <s v="201-1000"/>
    <s v="Contract"/>
    <s v="No"/>
  </r>
  <r>
    <s v="AIJOB00800"/>
    <x v="10"/>
    <x v="14"/>
    <s v="Government"/>
    <s v="Dublin, Ireland"/>
    <s v="Ireland"/>
    <s v="Hybrid"/>
    <x v="0"/>
    <s v="0-2 yrs"/>
    <n v="70374"/>
    <x v="799"/>
    <s v="Grok"/>
    <s v="Master's"/>
    <n v="45321"/>
    <n v="1443"/>
    <n v="1904"/>
    <s v="Yes"/>
    <n v="0"/>
    <s v="51-200"/>
    <s v="Contract"/>
    <s v="No"/>
  </r>
  <r>
    <s v="AIJOB00801"/>
    <x v="15"/>
    <x v="3"/>
    <s v="Media"/>
    <s v="Seattle, United States"/>
    <s v="United States"/>
    <s v="On-site"/>
    <x v="0"/>
    <s v="0-2 yrs"/>
    <n v="81822"/>
    <x v="800"/>
    <s v="None"/>
    <s v="Master's"/>
    <n v="45361"/>
    <n v="1954"/>
    <n v="3650"/>
    <s v="No"/>
    <n v="0"/>
    <s v="5000+"/>
    <s v="Full-time"/>
    <s v="No"/>
  </r>
  <r>
    <s v="AIJOB00802"/>
    <x v="11"/>
    <x v="14"/>
    <s v="Automotive"/>
    <s v="Dublin, Ireland"/>
    <s v="Ireland"/>
    <s v="On-site"/>
    <x v="3"/>
    <s v="5-8 yrs"/>
    <n v="136066"/>
    <x v="801"/>
    <s v="Falcon"/>
    <s v="Bachelor's"/>
    <n v="45377"/>
    <n v="1989"/>
    <n v="1577"/>
    <s v="No"/>
    <n v="4"/>
    <s v="201-1000"/>
    <s v="Full-time"/>
    <s v="No"/>
  </r>
  <r>
    <s v="AIJOB00803"/>
    <x v="13"/>
    <x v="27"/>
    <s v="Automotive"/>
    <s v="Los Angeles, United States"/>
    <s v="United States"/>
    <s v="Hybrid"/>
    <x v="2"/>
    <s v="2-5 yrs"/>
    <n v="111903"/>
    <x v="802"/>
    <s v="None"/>
    <s v="Master's"/>
    <n v="45676"/>
    <n v="882"/>
    <n v="77"/>
    <s v="Maybe"/>
    <n v="2"/>
    <s v="1001-5000"/>
    <s v="Full-time"/>
    <s v="Yes"/>
  </r>
  <r>
    <s v="AIJOB00804"/>
    <x v="14"/>
    <x v="22"/>
    <s v="Government"/>
    <s v="Singapore"/>
    <s v="Singapore"/>
    <s v="Hybrid"/>
    <x v="3"/>
    <s v="5-8 yrs"/>
    <n v="137518"/>
    <x v="803"/>
    <s v="Claude"/>
    <s v="Bachelor's"/>
    <n v="45504"/>
    <n v="2205"/>
    <n v="3734"/>
    <s v="No"/>
    <n v="4"/>
    <s v="1001-5000"/>
    <s v="Full-time"/>
    <s v="Yes"/>
  </r>
  <r>
    <s v="AIJOB00805"/>
    <x v="10"/>
    <x v="27"/>
    <s v="Energy"/>
    <s v="New York, United States"/>
    <s v="United States"/>
    <s v="On-site"/>
    <x v="1"/>
    <s v="8+ yrs"/>
    <n v="184358"/>
    <x v="804"/>
    <s v="Claude"/>
    <s v="Bachelor's"/>
    <n v="45736"/>
    <n v="401"/>
    <n v="2096"/>
    <s v="Yes"/>
    <n v="6"/>
    <s v="5000+"/>
    <s v="Full-time"/>
    <s v="Yes"/>
  </r>
  <r>
    <s v="AIJOB00806"/>
    <x v="18"/>
    <x v="6"/>
    <s v="Education"/>
    <s v="Boston, United States"/>
    <s v="United States"/>
    <s v="Hybrid"/>
    <x v="1"/>
    <s v="8+ yrs"/>
    <n v="188869"/>
    <x v="805"/>
    <s v="None"/>
    <s v="Master's"/>
    <n v="45437"/>
    <n v="2405"/>
    <n v="158"/>
    <s v="No"/>
    <n v="6"/>
    <s v="5000+"/>
    <s v="Contract"/>
    <s v="No"/>
  </r>
  <r>
    <s v="AIJOB00807"/>
    <x v="4"/>
    <x v="26"/>
    <s v="Finance"/>
    <s v="Chicago, United States"/>
    <s v="United States"/>
    <s v="Remote"/>
    <x v="2"/>
    <s v="2-5 yrs"/>
    <n v="114398"/>
    <x v="806"/>
    <s v="None"/>
    <s v="Master's"/>
    <n v="45657"/>
    <n v="1429"/>
    <n v="1625"/>
    <s v="Yes"/>
    <n v="2"/>
    <s v="0-50"/>
    <s v="Full-time"/>
    <s v="No"/>
  </r>
  <r>
    <s v="AIJOB00808"/>
    <x v="9"/>
    <x v="26"/>
    <s v="Technology"/>
    <s v="Zurich, Switzerland"/>
    <s v="Switzerland"/>
    <s v="Remote"/>
    <x v="1"/>
    <s v="8+ yrs"/>
    <n v="182765"/>
    <x v="807"/>
    <s v="None"/>
    <s v="Bootcamp/Self-taught"/>
    <n v="45701"/>
    <n v="969"/>
    <n v="3527"/>
    <s v="Yes"/>
    <n v="6"/>
    <s v="1001-5000"/>
    <s v="Contract"/>
    <s v="Yes"/>
  </r>
  <r>
    <s v="AIJOB00809"/>
    <x v="15"/>
    <x v="21"/>
    <s v="Defense"/>
    <s v="London, United Kingdom"/>
    <s v="United Kingdom"/>
    <s v="Remote"/>
    <x v="1"/>
    <s v="8+ yrs"/>
    <n v="245207"/>
    <x v="808"/>
    <s v="None"/>
    <s v="Master's"/>
    <n v="45527"/>
    <n v="1654"/>
    <n v="2596"/>
    <s v="No"/>
    <n v="6"/>
    <s v="5000+"/>
    <s v="Full-time"/>
    <s v="No"/>
  </r>
  <r>
    <s v="AIJOB00810"/>
    <x v="12"/>
    <x v="22"/>
    <s v="Education"/>
    <s v="Tokyo, Japan"/>
    <s v="Japan"/>
    <s v="Hybrid"/>
    <x v="3"/>
    <s v="5-8 yrs"/>
    <n v="125845"/>
    <x v="809"/>
    <s v="Phi"/>
    <s v="Bootcamp/Self-taught"/>
    <n v="45417"/>
    <n v="1957"/>
    <n v="220"/>
    <s v="Maybe"/>
    <n v="4"/>
    <s v="201-1000"/>
    <s v="Contract"/>
    <s v="Yes"/>
  </r>
  <r>
    <s v="AIJOB00811"/>
    <x v="3"/>
    <x v="0"/>
    <s v="Defense"/>
    <s v="Paris, France"/>
    <s v="France"/>
    <s v="On-site"/>
    <x v="2"/>
    <s v="2-5 yrs"/>
    <n v="106299"/>
    <x v="810"/>
    <s v="BLOOM"/>
    <s v="Master's"/>
    <n v="45419"/>
    <n v="632"/>
    <n v="1003"/>
    <s v="Yes"/>
    <n v="2"/>
    <s v="1001-5000"/>
    <s v="Part-time"/>
    <s v="No"/>
  </r>
  <r>
    <s v="AIJOB00812"/>
    <x v="18"/>
    <x v="11"/>
    <s v="Automotive"/>
    <s v="Los Angeles, United States"/>
    <s v="United States"/>
    <s v="Remote"/>
    <x v="0"/>
    <s v="0-2 yrs"/>
    <n v="64459"/>
    <x v="811"/>
    <s v="None"/>
    <s v="Bachelor's"/>
    <n v="45513"/>
    <n v="2314"/>
    <n v="3810"/>
    <s v="Maybe"/>
    <n v="0"/>
    <s v="5000+"/>
    <s v="Full-time"/>
    <s v="Yes"/>
  </r>
  <r>
    <s v="AIJOB00813"/>
    <x v="7"/>
    <x v="11"/>
    <s v="Finance"/>
    <s v="Paris, France"/>
    <s v="France"/>
    <s v="Hybrid"/>
    <x v="3"/>
    <s v="5-8 yrs"/>
    <n v="189068"/>
    <x v="812"/>
    <s v="None"/>
    <s v="Bachelor's"/>
    <n v="45376"/>
    <n v="334"/>
    <n v="624"/>
    <s v="No"/>
    <n v="4"/>
    <s v="1001-5000"/>
    <s v="Contract"/>
    <s v="No"/>
  </r>
  <r>
    <s v="AIJOB00814"/>
    <x v="3"/>
    <x v="14"/>
    <s v="Government"/>
    <s v="San Francisco, United States"/>
    <s v="United States"/>
    <s v="Hybrid"/>
    <x v="0"/>
    <s v="0-2 yrs"/>
    <n v="72476"/>
    <x v="813"/>
    <s v="None"/>
    <s v="Master's"/>
    <n v="45308"/>
    <n v="658"/>
    <n v="175"/>
    <s v="Yes"/>
    <n v="0"/>
    <s v="201-1000"/>
    <s v="Full-time"/>
    <s v="Yes"/>
  </r>
  <r>
    <s v="AIJOB00815"/>
    <x v="12"/>
    <x v="24"/>
    <s v="Finance"/>
    <s v="New York, United States"/>
    <s v="United States"/>
    <s v="Hybrid"/>
    <x v="0"/>
    <s v="0-2 yrs"/>
    <n v="83001"/>
    <x v="814"/>
    <s v="None"/>
    <s v="Bachelor's"/>
    <n v="45712"/>
    <n v="1493"/>
    <n v="2530"/>
    <s v="No"/>
    <n v="0"/>
    <s v="0-50"/>
    <s v="Contract"/>
    <s v="Yes"/>
  </r>
  <r>
    <s v="AIJOB00816"/>
    <x v="4"/>
    <x v="3"/>
    <s v="Healthcare"/>
    <s v="Tokyo, Japan"/>
    <s v="Japan"/>
    <s v="On-site"/>
    <x v="1"/>
    <s v="8+ yrs"/>
    <n v="146519"/>
    <x v="815"/>
    <s v="Falcon"/>
    <s v="Master's"/>
    <n v="45372"/>
    <n v="2153"/>
    <n v="1479"/>
    <s v="Maybe"/>
    <n v="6"/>
    <s v="201-1000"/>
    <s v="Full-time"/>
    <s v="No"/>
  </r>
  <r>
    <s v="AIJOB00817"/>
    <x v="11"/>
    <x v="17"/>
    <s v="Finance"/>
    <s v="Paris, France"/>
    <s v="France"/>
    <s v="Hybrid"/>
    <x v="1"/>
    <s v="8+ yrs"/>
    <n v="209613"/>
    <x v="816"/>
    <s v="Gemini"/>
    <s v="Bachelor's"/>
    <n v="45725"/>
    <n v="782"/>
    <n v="614"/>
    <s v="Yes"/>
    <n v="6"/>
    <s v="1001-5000"/>
    <s v="Full-time"/>
    <s v="No"/>
  </r>
  <r>
    <s v="AIJOB00818"/>
    <x v="5"/>
    <x v="22"/>
    <s v="Retail"/>
    <s v="Austin, United States"/>
    <s v="United States"/>
    <s v="Hybrid"/>
    <x v="3"/>
    <s v="5-8 yrs"/>
    <n v="174020"/>
    <x v="817"/>
    <s v="Grok"/>
    <s v="PhD"/>
    <n v="45659"/>
    <n v="438"/>
    <n v="1501"/>
    <s v="Yes"/>
    <n v="4"/>
    <s v="51-200"/>
    <s v="Full-time"/>
    <s v="Yes"/>
  </r>
  <r>
    <s v="AIJOB00819"/>
    <x v="2"/>
    <x v="23"/>
    <s v="Media"/>
    <s v="Toronto, Canada"/>
    <s v="Canada"/>
    <s v="On-site"/>
    <x v="1"/>
    <s v="8+ yrs"/>
    <n v="202962"/>
    <x v="818"/>
    <s v="None"/>
    <s v="Master's"/>
    <n v="45529"/>
    <n v="1053"/>
    <n v="40"/>
    <s v="Maybe"/>
    <n v="6"/>
    <s v="51-200"/>
    <s v="Part-time"/>
    <s v="Yes"/>
  </r>
  <r>
    <s v="AIJOB00820"/>
    <x v="8"/>
    <x v="12"/>
    <s v="Healthcare"/>
    <s v="Berlin, Germany"/>
    <s v="Germany"/>
    <s v="Remote"/>
    <x v="3"/>
    <s v="5-8 yrs"/>
    <n v="178767"/>
    <x v="819"/>
    <s v="None"/>
    <s v="Master's"/>
    <n v="45363"/>
    <n v="337"/>
    <n v="2596"/>
    <s v="No"/>
    <n v="4"/>
    <s v="201-1000"/>
    <s v="Contract"/>
    <s v="Yes"/>
  </r>
  <r>
    <s v="AIJOB00821"/>
    <x v="13"/>
    <x v="12"/>
    <s v="Energy"/>
    <s v="Tel Aviv, Israel"/>
    <s v="Israel"/>
    <s v="Hybrid"/>
    <x v="0"/>
    <s v="0-2 yrs"/>
    <n v="63482"/>
    <x v="820"/>
    <s v="None"/>
    <s v="Bachelor's"/>
    <n v="45548"/>
    <n v="1900"/>
    <n v="3653"/>
    <s v="No"/>
    <n v="0"/>
    <s v="5000+"/>
    <s v="Full-time"/>
    <s v="No"/>
  </r>
  <r>
    <s v="AIJOB00822"/>
    <x v="19"/>
    <x v="10"/>
    <s v="Finance"/>
    <s v="Bangalore, India"/>
    <s v="India"/>
    <s v="On-site"/>
    <x v="0"/>
    <s v="0-2 yrs"/>
    <n v="87757"/>
    <x v="821"/>
    <s v="Grok"/>
    <s v="Master's"/>
    <n v="45594"/>
    <n v="2009"/>
    <n v="3815"/>
    <s v="No"/>
    <n v="0"/>
    <s v="5000+"/>
    <s v="Full-time"/>
    <s v="No"/>
  </r>
  <r>
    <s v="AIJOB00823"/>
    <x v="12"/>
    <x v="21"/>
    <s v="Media"/>
    <s v="Bangalore, India"/>
    <s v="India"/>
    <s v="Remote"/>
    <x v="2"/>
    <s v="2-5 yrs"/>
    <n v="155518"/>
    <x v="822"/>
    <s v="None"/>
    <s v="Bachelor's"/>
    <n v="45625"/>
    <n v="2473"/>
    <n v="948"/>
    <s v="Yes"/>
    <n v="2"/>
    <s v="1001-5000"/>
    <s v="Full-time"/>
    <s v="Yes"/>
  </r>
  <r>
    <s v="AIJOB00824"/>
    <x v="17"/>
    <x v="6"/>
    <s v="Defense"/>
    <s v="Amsterdam, Netherlands"/>
    <s v="Netherlands"/>
    <s v="Hybrid"/>
    <x v="0"/>
    <s v="0-2 yrs"/>
    <n v="65428"/>
    <x v="823"/>
    <s v="None"/>
    <s v="Master's"/>
    <n v="45571"/>
    <n v="2334"/>
    <n v="2386"/>
    <s v="Yes"/>
    <n v="0"/>
    <s v="5000+"/>
    <s v="Full-time"/>
    <s v="Yes"/>
  </r>
  <r>
    <s v="AIJOB00825"/>
    <x v="7"/>
    <x v="15"/>
    <s v="Finance"/>
    <s v="Stockholm, Sweden"/>
    <s v="Sweden"/>
    <s v="Hybrid"/>
    <x v="1"/>
    <s v="8+ yrs"/>
    <n v="183961"/>
    <x v="824"/>
    <s v="Command R"/>
    <s v="Bachelor's"/>
    <n v="45382"/>
    <n v="1357"/>
    <n v="702"/>
    <s v="No"/>
    <n v="6"/>
    <s v="201-1000"/>
    <s v="Full-time"/>
    <s v="No"/>
  </r>
  <r>
    <s v="AIJOB00826"/>
    <x v="9"/>
    <x v="16"/>
    <s v="Technology"/>
    <s v="Boston, United States"/>
    <s v="United States"/>
    <s v="Remote"/>
    <x v="2"/>
    <s v="2-5 yrs"/>
    <n v="138777"/>
    <x v="825"/>
    <s v="None"/>
    <s v="Bootcamp/Self-taught"/>
    <n v="45439"/>
    <n v="570"/>
    <n v="3199"/>
    <s v="No"/>
    <n v="2"/>
    <s v="201-1000"/>
    <s v="Part-time"/>
    <s v="Yes"/>
  </r>
  <r>
    <s v="AIJOB00827"/>
    <x v="14"/>
    <x v="28"/>
    <s v="Finance"/>
    <s v="London, United Kingdom"/>
    <s v="United Kingdom"/>
    <s v="Hybrid"/>
    <x v="3"/>
    <s v="5-8 yrs"/>
    <n v="192648"/>
    <x v="826"/>
    <s v="None"/>
    <s v="Master's"/>
    <n v="45719"/>
    <n v="1888"/>
    <n v="3313"/>
    <s v="Yes"/>
    <n v="4"/>
    <s v="201-1000"/>
    <s v="Contract"/>
    <s v="No"/>
  </r>
  <r>
    <s v="AIJOB00828"/>
    <x v="6"/>
    <x v="15"/>
    <s v="Government"/>
    <s v="Seattle, United States"/>
    <s v="United States"/>
    <s v="Remote"/>
    <x v="0"/>
    <s v="0-2 yrs"/>
    <n v="63411"/>
    <x v="827"/>
    <s v="Falcon"/>
    <s v="PhD"/>
    <n v="45467"/>
    <n v="2071"/>
    <n v="434"/>
    <s v="No"/>
    <n v="0"/>
    <s v="1001-5000"/>
    <s v="Full-time"/>
    <s v="Yes"/>
  </r>
  <r>
    <s v="AIJOB00829"/>
    <x v="8"/>
    <x v="17"/>
    <s v="Education"/>
    <s v="Paris, France"/>
    <s v="France"/>
    <s v="On-site"/>
    <x v="0"/>
    <s v="0-2 yrs"/>
    <n v="64705"/>
    <x v="828"/>
    <s v="GPT-4"/>
    <s v="Bachelor's"/>
    <n v="45691"/>
    <n v="1755"/>
    <n v="80"/>
    <s v="Maybe"/>
    <n v="0"/>
    <s v="201-1000"/>
    <s v="Full-time"/>
    <s v="Yes"/>
  </r>
  <r>
    <s v="AIJOB00830"/>
    <x v="13"/>
    <x v="2"/>
    <s v="Healthcare"/>
    <s v="Bangalore, India"/>
    <s v="India"/>
    <s v="Remote"/>
    <x v="3"/>
    <s v="5-8 yrs"/>
    <n v="142391"/>
    <x v="829"/>
    <s v="None"/>
    <s v="Master's"/>
    <n v="45723"/>
    <n v="1695"/>
    <n v="500"/>
    <s v="No"/>
    <n v="4"/>
    <s v="0-50"/>
    <s v="Contract"/>
    <s v="No"/>
  </r>
  <r>
    <s v="AIJOB00831"/>
    <x v="7"/>
    <x v="3"/>
    <s v="Healthcare"/>
    <s v="Stockholm, Sweden"/>
    <s v="Sweden"/>
    <s v="On-site"/>
    <x v="3"/>
    <s v="5-8 yrs"/>
    <n v="113699"/>
    <x v="830"/>
    <s v="None"/>
    <s v="Master's"/>
    <n v="45442"/>
    <n v="1854"/>
    <n v="636"/>
    <s v="No"/>
    <n v="4"/>
    <s v="1001-5000"/>
    <s v="Part-time"/>
    <s v="No"/>
  </r>
  <r>
    <s v="AIJOB00832"/>
    <x v="16"/>
    <x v="29"/>
    <s v="Energy"/>
    <s v="Tel Aviv, Israel"/>
    <s v="Israel"/>
    <s v="Remote"/>
    <x v="0"/>
    <s v="0-2 yrs"/>
    <n v="58424"/>
    <x v="831"/>
    <s v="Gemini"/>
    <s v="Master's"/>
    <n v="45445"/>
    <n v="710"/>
    <n v="1494"/>
    <s v="Yes"/>
    <n v="0"/>
    <s v="201-1000"/>
    <s v="Contract"/>
    <s v="Yes"/>
  </r>
  <r>
    <s v="AIJOB00833"/>
    <x v="0"/>
    <x v="6"/>
    <s v="Energy"/>
    <s v="Zurich, Switzerland"/>
    <s v="Switzerland"/>
    <s v="Remote"/>
    <x v="2"/>
    <s v="2-5 yrs"/>
    <n v="90118"/>
    <x v="832"/>
    <s v="Phi"/>
    <s v="Bootcamp/Self-taught"/>
    <n v="45701"/>
    <n v="626"/>
    <n v="3334"/>
    <s v="No"/>
    <n v="2"/>
    <s v="5000+"/>
    <s v="Contract"/>
    <s v="No"/>
  </r>
  <r>
    <s v="AIJOB00834"/>
    <x v="1"/>
    <x v="21"/>
    <s v="Technology"/>
    <s v="London, United Kingdom"/>
    <s v="United Kingdom"/>
    <s v="On-site"/>
    <x v="3"/>
    <s v="5-8 yrs"/>
    <n v="129269"/>
    <x v="833"/>
    <s v="Falcon"/>
    <s v="Bachelor's"/>
    <n v="45677"/>
    <n v="686"/>
    <n v="3897"/>
    <s v="Maybe"/>
    <n v="4"/>
    <s v="0-50"/>
    <s v="Full-time"/>
    <s v="No"/>
  </r>
  <r>
    <s v="AIJOB00835"/>
    <x v="8"/>
    <x v="20"/>
    <s v="Healthcare"/>
    <s v="Chicago, United States"/>
    <s v="United States"/>
    <s v="Hybrid"/>
    <x v="3"/>
    <s v="5-8 yrs"/>
    <n v="149063"/>
    <x v="834"/>
    <s v="Falcon"/>
    <s v="Master's"/>
    <n v="45427"/>
    <n v="725"/>
    <n v="2593"/>
    <s v="No"/>
    <n v="4"/>
    <s v="1001-5000"/>
    <s v="Full-time"/>
    <s v="No"/>
  </r>
  <r>
    <s v="AIJOB00836"/>
    <x v="15"/>
    <x v="9"/>
    <s v="Technology"/>
    <s v="Los Angeles, United States"/>
    <s v="United States"/>
    <s v="Remote"/>
    <x v="2"/>
    <s v="2-5 yrs"/>
    <n v="114637"/>
    <x v="835"/>
    <s v="Phi"/>
    <s v="Master's"/>
    <n v="45559"/>
    <n v="1891"/>
    <n v="798"/>
    <s v="No"/>
    <n v="2"/>
    <s v="201-1000"/>
    <s v="Full-time"/>
    <s v="Yes"/>
  </r>
  <r>
    <s v="AIJOB00837"/>
    <x v="12"/>
    <x v="4"/>
    <s v="Defense"/>
    <s v="Zurich, Switzerland"/>
    <s v="Switzerland"/>
    <s v="Remote"/>
    <x v="1"/>
    <s v="8+ yrs"/>
    <n v="255818"/>
    <x v="836"/>
    <s v="Claude"/>
    <s v="Bachelor's"/>
    <n v="45419"/>
    <n v="1336"/>
    <n v="2841"/>
    <s v="Yes"/>
    <n v="6"/>
    <s v="51-200"/>
    <s v="Contract"/>
    <s v="No"/>
  </r>
  <r>
    <s v="AIJOB00838"/>
    <x v="7"/>
    <x v="21"/>
    <s v="Finance"/>
    <s v="New York, United States"/>
    <s v="United States"/>
    <s v="Remote"/>
    <x v="2"/>
    <s v="2-5 yrs"/>
    <n v="90232"/>
    <x v="837"/>
    <s v="Llama"/>
    <s v="Master's"/>
    <n v="45419"/>
    <n v="1160"/>
    <n v="2947"/>
    <s v="Yes"/>
    <n v="2"/>
    <s v="0-50"/>
    <s v="Full-time"/>
    <s v="Yes"/>
  </r>
  <r>
    <s v="AIJOB00839"/>
    <x v="14"/>
    <x v="4"/>
    <s v="Energy"/>
    <s v="Berlin, Germany"/>
    <s v="Germany"/>
    <s v="Hybrid"/>
    <x v="2"/>
    <s v="2-5 yrs"/>
    <n v="129489"/>
    <x v="838"/>
    <s v="None"/>
    <s v="Master's"/>
    <n v="45694"/>
    <n v="2116"/>
    <n v="2726"/>
    <s v="Yes"/>
    <n v="2"/>
    <s v="51-200"/>
    <s v="Full-time"/>
    <s v="Yes"/>
  </r>
  <r>
    <s v="AIJOB00840"/>
    <x v="7"/>
    <x v="19"/>
    <s v="Technology"/>
    <s v="Tel Aviv, Israel"/>
    <s v="Israel"/>
    <s v="On-site"/>
    <x v="1"/>
    <s v="8+ yrs"/>
    <n v="192296"/>
    <x v="839"/>
    <s v="GPT-4"/>
    <s v="PhD"/>
    <n v="45515"/>
    <n v="2447"/>
    <n v="1194"/>
    <s v="Yes"/>
    <n v="6"/>
    <s v="0-50"/>
    <s v="Contract"/>
    <s v="Yes"/>
  </r>
  <r>
    <s v="AIJOB00841"/>
    <x v="2"/>
    <x v="14"/>
    <s v="Education"/>
    <s v="Los Angeles, United States"/>
    <s v="United States"/>
    <s v="Hybrid"/>
    <x v="2"/>
    <s v="2-5 yrs"/>
    <n v="109020"/>
    <x v="840"/>
    <s v="Mistral"/>
    <s v="Bootcamp/Self-taught"/>
    <n v="45534"/>
    <n v="1404"/>
    <n v="667"/>
    <s v="No"/>
    <n v="2"/>
    <s v="1001-5000"/>
    <s v="Contract"/>
    <s v="Yes"/>
  </r>
  <r>
    <s v="AIJOB00842"/>
    <x v="7"/>
    <x v="21"/>
    <s v="Energy"/>
    <s v="Chicago, United States"/>
    <s v="United States"/>
    <s v="Remote"/>
    <x v="1"/>
    <s v="8+ yrs"/>
    <n v="224293"/>
    <x v="841"/>
    <s v="Claude"/>
    <s v="PhD"/>
    <n v="45574"/>
    <n v="1953"/>
    <n v="93"/>
    <s v="Yes"/>
    <n v="6"/>
    <s v="0-50"/>
    <s v="Full-time"/>
    <s v="Yes"/>
  </r>
  <r>
    <s v="AIJOB00843"/>
    <x v="7"/>
    <x v="0"/>
    <s v="Defense"/>
    <s v="Tel Aviv, Israel"/>
    <s v="Israel"/>
    <s v="On-site"/>
    <x v="2"/>
    <s v="2-5 yrs"/>
    <n v="87770"/>
    <x v="842"/>
    <s v="None"/>
    <s v="Master's"/>
    <n v="45293"/>
    <n v="2270"/>
    <n v="802"/>
    <s v="Yes"/>
    <n v="2"/>
    <s v="201-1000"/>
    <s v="Contract"/>
    <s v="Yes"/>
  </r>
  <r>
    <s v="AIJOB00844"/>
    <x v="2"/>
    <x v="1"/>
    <s v="Technology"/>
    <s v="Chicago, United States"/>
    <s v="United States"/>
    <s v="Hybrid"/>
    <x v="2"/>
    <s v="2-5 yrs"/>
    <n v="117571"/>
    <x v="843"/>
    <s v="None"/>
    <s v="PhD"/>
    <n v="45600"/>
    <n v="1761"/>
    <n v="1940"/>
    <s v="No"/>
    <n v="2"/>
    <s v="5000+"/>
    <s v="Full-time"/>
    <s v="Yes"/>
  </r>
  <r>
    <s v="AIJOB00845"/>
    <x v="1"/>
    <x v="12"/>
    <s v="Finance"/>
    <s v="Seattle, United States"/>
    <s v="United States"/>
    <s v="Remote"/>
    <x v="0"/>
    <s v="0-2 yrs"/>
    <n v="72097"/>
    <x v="844"/>
    <s v="Phi"/>
    <s v="Bachelor's"/>
    <n v="45362"/>
    <n v="2107"/>
    <n v="2952"/>
    <s v="Yes"/>
    <n v="0"/>
    <s v="51-200"/>
    <s v="Full-time"/>
    <s v="Yes"/>
  </r>
  <r>
    <s v="AIJOB00846"/>
    <x v="2"/>
    <x v="19"/>
    <s v="Defense"/>
    <s v="Zurich, Switzerland"/>
    <s v="Switzerland"/>
    <s v="Remote"/>
    <x v="0"/>
    <s v="0-2 yrs"/>
    <n v="76204"/>
    <x v="845"/>
    <s v="Mistral"/>
    <s v="Master's"/>
    <n v="45435"/>
    <n v="1287"/>
    <n v="190"/>
    <s v="No"/>
    <n v="0"/>
    <s v="201-1000"/>
    <s v="Full-time"/>
    <s v="No"/>
  </r>
  <r>
    <s v="AIJOB00847"/>
    <x v="13"/>
    <x v="21"/>
    <s v="Technology"/>
    <s v="Singapore"/>
    <s v="Singapore"/>
    <s v="Hybrid"/>
    <x v="1"/>
    <s v="8+ yrs"/>
    <n v="210410"/>
    <x v="846"/>
    <s v="None"/>
    <s v="Master's"/>
    <n v="45746"/>
    <n v="1729"/>
    <n v="3838"/>
    <s v="No"/>
    <n v="6"/>
    <s v="1001-5000"/>
    <s v="Full-time"/>
    <s v="Yes"/>
  </r>
  <r>
    <s v="AIJOB00848"/>
    <x v="0"/>
    <x v="26"/>
    <s v="Healthcare"/>
    <s v="Amsterdam, Netherlands"/>
    <s v="Netherlands"/>
    <s v="Remote"/>
    <x v="0"/>
    <s v="0-2 yrs"/>
    <n v="100936"/>
    <x v="847"/>
    <s v="Llama"/>
    <s v="Bachelor's"/>
    <n v="45713"/>
    <n v="550"/>
    <n v="2720"/>
    <s v="No"/>
    <n v="0"/>
    <s v="5000+"/>
    <s v="Full-time"/>
    <s v="Yes"/>
  </r>
  <r>
    <s v="AIJOB00849"/>
    <x v="9"/>
    <x v="15"/>
    <s v="Healthcare"/>
    <s v="Sydney, Australia"/>
    <s v="Australia"/>
    <s v="On-site"/>
    <x v="3"/>
    <s v="5-8 yrs"/>
    <n v="132781"/>
    <x v="848"/>
    <s v="BLOOM"/>
    <s v="Master's"/>
    <n v="45513"/>
    <n v="2483"/>
    <n v="727"/>
    <s v="No"/>
    <n v="4"/>
    <s v="1001-5000"/>
    <s v="Full-time"/>
    <s v="No"/>
  </r>
  <r>
    <s v="AIJOB00850"/>
    <x v="9"/>
    <x v="23"/>
    <s v="Energy"/>
    <s v="Berlin, Germany"/>
    <s v="Germany"/>
    <s v="Remote"/>
    <x v="0"/>
    <s v="0-2 yrs"/>
    <n v="63309"/>
    <x v="849"/>
    <s v="None"/>
    <s v="PhD"/>
    <n v="45514"/>
    <n v="2474"/>
    <n v="3901"/>
    <s v="Maybe"/>
    <n v="0"/>
    <s v="5000+"/>
    <s v="Contract"/>
    <s v="No"/>
  </r>
  <r>
    <s v="AIJOB00851"/>
    <x v="18"/>
    <x v="18"/>
    <s v="Automotive"/>
    <s v="Toronto, Canada"/>
    <s v="Canada"/>
    <s v="On-site"/>
    <x v="1"/>
    <s v="8+ yrs"/>
    <n v="177566"/>
    <x v="850"/>
    <s v="None"/>
    <s v="Master's"/>
    <n v="45596"/>
    <n v="1177"/>
    <n v="3803"/>
    <s v="No"/>
    <n v="6"/>
    <s v="0-50"/>
    <s v="Full-time"/>
    <s v="Yes"/>
  </r>
  <r>
    <s v="AIJOB00852"/>
    <x v="1"/>
    <x v="16"/>
    <s v="Finance"/>
    <s v="Seattle, United States"/>
    <s v="United States"/>
    <s v="On-site"/>
    <x v="1"/>
    <s v="8+ yrs"/>
    <n v="180002"/>
    <x v="851"/>
    <s v="None"/>
    <s v="Master's"/>
    <n v="45351"/>
    <n v="1916"/>
    <n v="3734"/>
    <s v="No"/>
    <n v="6"/>
    <s v="51-200"/>
    <s v="Full-time"/>
    <s v="Yes"/>
  </r>
  <r>
    <s v="AIJOB00853"/>
    <x v="7"/>
    <x v="21"/>
    <s v="Automotive"/>
    <s v="Paris, France"/>
    <s v="France"/>
    <s v="On-site"/>
    <x v="2"/>
    <s v="2-5 yrs"/>
    <n v="97379"/>
    <x v="852"/>
    <s v="Claude"/>
    <s v="Master's"/>
    <n v="45552"/>
    <n v="857"/>
    <n v="3401"/>
    <s v="Yes"/>
    <n v="2"/>
    <s v="1001-5000"/>
    <s v="Full-time"/>
    <s v="No"/>
  </r>
  <r>
    <s v="AIJOB00854"/>
    <x v="3"/>
    <x v="1"/>
    <s v="Education"/>
    <s v="Seattle, United States"/>
    <s v="United States"/>
    <s v="Hybrid"/>
    <x v="2"/>
    <s v="2-5 yrs"/>
    <n v="133542"/>
    <x v="853"/>
    <s v="None"/>
    <s v="Bachelor's"/>
    <n v="45611"/>
    <n v="1431"/>
    <n v="3480"/>
    <s v="No"/>
    <n v="2"/>
    <s v="0-50"/>
    <s v="Contract"/>
    <s v="No"/>
  </r>
  <r>
    <s v="AIJOB00855"/>
    <x v="13"/>
    <x v="7"/>
    <s v="Government"/>
    <s v="Seattle, United States"/>
    <s v="United States"/>
    <s v="Remote"/>
    <x v="0"/>
    <s v="0-2 yrs"/>
    <n v="87898"/>
    <x v="854"/>
    <s v="None"/>
    <s v="Bachelor's"/>
    <n v="45679"/>
    <n v="405"/>
    <n v="2955"/>
    <s v="Yes"/>
    <n v="0"/>
    <s v="201-1000"/>
    <s v="Full-time"/>
    <s v="No"/>
  </r>
  <r>
    <s v="AIJOB00856"/>
    <x v="10"/>
    <x v="29"/>
    <s v="Finance"/>
    <s v="Sydney, Australia"/>
    <s v="Australia"/>
    <s v="Remote"/>
    <x v="3"/>
    <s v="5-8 yrs"/>
    <n v="134589"/>
    <x v="855"/>
    <s v="Phi"/>
    <s v="Bachelor's"/>
    <n v="45335"/>
    <n v="1483"/>
    <n v="2063"/>
    <s v="No"/>
    <n v="4"/>
    <s v="0-50"/>
    <s v="Full-time"/>
    <s v="No"/>
  </r>
  <r>
    <s v="AIJOB00857"/>
    <x v="10"/>
    <x v="4"/>
    <s v="Government"/>
    <s v="Bangalore, India"/>
    <s v="India"/>
    <s v="Remote"/>
    <x v="1"/>
    <s v="8+ yrs"/>
    <n v="170035"/>
    <x v="856"/>
    <s v="None"/>
    <s v="Master's"/>
    <n v="45598"/>
    <n v="663"/>
    <n v="1490"/>
    <s v="No"/>
    <n v="6"/>
    <s v="201-1000"/>
    <s v="Full-time"/>
    <s v="Yes"/>
  </r>
  <r>
    <s v="AIJOB00858"/>
    <x v="12"/>
    <x v="14"/>
    <s v="Healthcare"/>
    <s v="Paris, France"/>
    <s v="France"/>
    <s v="Remote"/>
    <x v="0"/>
    <s v="0-2 yrs"/>
    <n v="75939"/>
    <x v="857"/>
    <s v="Mistral"/>
    <s v="PhD"/>
    <n v="45700"/>
    <n v="1837"/>
    <n v="2998"/>
    <s v="Yes"/>
    <n v="0"/>
    <s v="0-50"/>
    <s v="Full-time"/>
    <s v="Yes"/>
  </r>
  <r>
    <s v="AIJOB00859"/>
    <x v="9"/>
    <x v="16"/>
    <s v="Energy"/>
    <s v="Los Angeles, United States"/>
    <s v="United States"/>
    <s v="Hybrid"/>
    <x v="2"/>
    <s v="2-5 yrs"/>
    <n v="99065"/>
    <x v="858"/>
    <s v="None"/>
    <s v="Bachelor's"/>
    <n v="45606"/>
    <n v="564"/>
    <n v="258"/>
    <s v="No"/>
    <n v="2"/>
    <s v="0-50"/>
    <s v="Part-time"/>
    <s v="No"/>
  </r>
  <r>
    <s v="AIJOB00860"/>
    <x v="2"/>
    <x v="7"/>
    <s v="Education"/>
    <s v="Stockholm, Sweden"/>
    <s v="Sweden"/>
    <s v="On-site"/>
    <x v="0"/>
    <s v="0-2 yrs"/>
    <n v="77974"/>
    <x v="859"/>
    <s v="Gemini"/>
    <s v="Master's"/>
    <n v="45670"/>
    <n v="1319"/>
    <n v="2122"/>
    <s v="Yes"/>
    <n v="0"/>
    <s v="51-200"/>
    <s v="Full-time"/>
    <s v="Yes"/>
  </r>
  <r>
    <s v="AIJOB00861"/>
    <x v="2"/>
    <x v="0"/>
    <s v="Automotive"/>
    <s v="Berlin, Germany"/>
    <s v="Germany"/>
    <s v="Hybrid"/>
    <x v="2"/>
    <s v="2-5 yrs"/>
    <n v="114017"/>
    <x v="860"/>
    <s v="Mistral"/>
    <s v="Bachelor's"/>
    <n v="45364"/>
    <n v="1294"/>
    <n v="3612"/>
    <s v="No"/>
    <n v="2"/>
    <s v="51-200"/>
    <s v="Full-time"/>
    <s v="No"/>
  </r>
  <r>
    <s v="AIJOB00862"/>
    <x v="10"/>
    <x v="20"/>
    <s v="Government"/>
    <s v="Singapore"/>
    <s v="Singapore"/>
    <s v="Remote"/>
    <x v="1"/>
    <s v="8+ yrs"/>
    <n v="145433"/>
    <x v="861"/>
    <s v="BLOOM"/>
    <s v="Bootcamp/Self-taught"/>
    <n v="45690"/>
    <n v="1830"/>
    <n v="3113"/>
    <s v="No"/>
    <n v="6"/>
    <s v="0-50"/>
    <s v="Full-time"/>
    <s v="No"/>
  </r>
  <r>
    <s v="AIJOB00863"/>
    <x v="16"/>
    <x v="22"/>
    <s v="Media"/>
    <s v="Stockholm, Sweden"/>
    <s v="Sweden"/>
    <s v="Hybrid"/>
    <x v="3"/>
    <s v="5-8 yrs"/>
    <n v="191782"/>
    <x v="862"/>
    <s v="BLOOM"/>
    <s v="PhD"/>
    <n v="45442"/>
    <n v="1490"/>
    <n v="2111"/>
    <s v="No"/>
    <n v="4"/>
    <s v="5000+"/>
    <s v="Full-time"/>
    <s v="No"/>
  </r>
  <r>
    <s v="AIJOB00864"/>
    <x v="7"/>
    <x v="3"/>
    <s v="Government"/>
    <s v="Boston, United States"/>
    <s v="United States"/>
    <s v="Remote"/>
    <x v="0"/>
    <s v="0-2 yrs"/>
    <n v="92628"/>
    <x v="863"/>
    <s v="GPT-4"/>
    <s v="Bachelor's"/>
    <n v="45649"/>
    <n v="535"/>
    <n v="3503"/>
    <s v="No"/>
    <n v="0"/>
    <s v="51-200"/>
    <s v="Contract"/>
    <s v="Yes"/>
  </r>
  <r>
    <s v="AIJOB00865"/>
    <x v="16"/>
    <x v="19"/>
    <s v="Finance"/>
    <s v="Dublin, Ireland"/>
    <s v="Ireland"/>
    <s v="Remote"/>
    <x v="2"/>
    <s v="2-5 yrs"/>
    <n v="97866"/>
    <x v="864"/>
    <s v="None"/>
    <s v="Bachelor's"/>
    <n v="45453"/>
    <n v="2162"/>
    <n v="2165"/>
    <s v="No"/>
    <n v="2"/>
    <s v="0-50"/>
    <s v="Full-time"/>
    <s v="No"/>
  </r>
  <r>
    <s v="AIJOB00866"/>
    <x v="9"/>
    <x v="17"/>
    <s v="Media"/>
    <s v="Zurich, Switzerland"/>
    <s v="Switzerland"/>
    <s v="Remote"/>
    <x v="2"/>
    <s v="2-5 yrs"/>
    <n v="102323"/>
    <x v="865"/>
    <s v="Llama"/>
    <s v="PhD"/>
    <n v="45639"/>
    <n v="614"/>
    <n v="3926"/>
    <s v="Yes"/>
    <n v="2"/>
    <s v="5000+"/>
    <s v="Contract"/>
    <s v="No"/>
  </r>
  <r>
    <s v="AIJOB00867"/>
    <x v="18"/>
    <x v="26"/>
    <s v="Technology"/>
    <s v="London, United Kingdom"/>
    <s v="United Kingdom"/>
    <s v="Hybrid"/>
    <x v="1"/>
    <s v="8+ yrs"/>
    <n v="210291"/>
    <x v="866"/>
    <s v="None"/>
    <s v="Bootcamp/Self-taught"/>
    <n v="45548"/>
    <n v="420"/>
    <n v="2410"/>
    <s v="Yes"/>
    <n v="6"/>
    <s v="1001-5000"/>
    <s v="Full-time"/>
    <s v="Yes"/>
  </r>
  <r>
    <s v="AIJOB00868"/>
    <x v="6"/>
    <x v="25"/>
    <s v="Finance"/>
    <s v="Paris, France"/>
    <s v="France"/>
    <s v="Hybrid"/>
    <x v="0"/>
    <s v="0-2 yrs"/>
    <n v="74214"/>
    <x v="867"/>
    <s v="None"/>
    <s v="Bootcamp/Self-taught"/>
    <n v="45462"/>
    <n v="2001"/>
    <n v="3764"/>
    <s v="Yes"/>
    <n v="0"/>
    <s v="5000+"/>
    <s v="Full-time"/>
    <s v="Yes"/>
  </r>
  <r>
    <s v="AIJOB00869"/>
    <x v="6"/>
    <x v="22"/>
    <s v="Finance"/>
    <s v="Berlin, Germany"/>
    <s v="Germany"/>
    <s v="On-site"/>
    <x v="3"/>
    <s v="5-8 yrs"/>
    <n v="167780"/>
    <x v="868"/>
    <s v="Grok"/>
    <s v="Master's"/>
    <n v="45331"/>
    <n v="1225"/>
    <n v="957"/>
    <s v="No"/>
    <n v="4"/>
    <s v="1001-5000"/>
    <s v="Full-time"/>
    <s v="Yes"/>
  </r>
  <r>
    <s v="AIJOB00870"/>
    <x v="3"/>
    <x v="21"/>
    <s v="Government"/>
    <s v="Singapore"/>
    <s v="Singapore"/>
    <s v="Remote"/>
    <x v="1"/>
    <s v="8+ yrs"/>
    <n v="272367"/>
    <x v="869"/>
    <s v="Command R"/>
    <s v="Master's"/>
    <n v="45662"/>
    <n v="614"/>
    <n v="387"/>
    <s v="No"/>
    <n v="6"/>
    <s v="0-50"/>
    <s v="Full-time"/>
    <s v="No"/>
  </r>
  <r>
    <s v="AIJOB00871"/>
    <x v="5"/>
    <x v="9"/>
    <s v="Education"/>
    <s v="Dublin, Ireland"/>
    <s v="Ireland"/>
    <s v="Hybrid"/>
    <x v="2"/>
    <s v="2-5 yrs"/>
    <n v="106496"/>
    <x v="870"/>
    <s v="Falcon"/>
    <s v="Bootcamp/Self-taught"/>
    <n v="45674"/>
    <n v="2055"/>
    <n v="1793"/>
    <s v="Maybe"/>
    <n v="2"/>
    <s v="0-50"/>
    <s v="Full-time"/>
    <s v="Yes"/>
  </r>
  <r>
    <s v="AIJOB00872"/>
    <x v="3"/>
    <x v="8"/>
    <s v="Defense"/>
    <s v="San Francisco, United States"/>
    <s v="United States"/>
    <s v="On-site"/>
    <x v="1"/>
    <s v="8+ yrs"/>
    <n v="171261"/>
    <x v="871"/>
    <s v="BLOOM"/>
    <s v="Bachelor's"/>
    <n v="45390"/>
    <n v="411"/>
    <n v="1592"/>
    <s v="Yes"/>
    <n v="6"/>
    <s v="1001-5000"/>
    <s v="Full-time"/>
    <s v="No"/>
  </r>
  <r>
    <s v="AIJOB00873"/>
    <x v="9"/>
    <x v="2"/>
    <s v="Finance"/>
    <s v="Toronto, Canada"/>
    <s v="Canada"/>
    <s v="Hybrid"/>
    <x v="0"/>
    <s v="0-2 yrs"/>
    <n v="52620"/>
    <x v="872"/>
    <s v="BLOOM"/>
    <s v="Master's"/>
    <n v="45422"/>
    <n v="2287"/>
    <n v="1748"/>
    <s v="No"/>
    <n v="0"/>
    <s v="51-200"/>
    <s v="Full-time"/>
    <s v="No"/>
  </r>
  <r>
    <s v="AIJOB00874"/>
    <x v="2"/>
    <x v="16"/>
    <s v="Energy"/>
    <s v="New York, United States"/>
    <s v="United States"/>
    <s v="Remote"/>
    <x v="3"/>
    <s v="5-8 yrs"/>
    <n v="130264"/>
    <x v="873"/>
    <s v="Command R"/>
    <s v="PhD"/>
    <n v="45447"/>
    <n v="2465"/>
    <n v="569"/>
    <s v="No"/>
    <n v="4"/>
    <s v="51-200"/>
    <s v="Full-time"/>
    <s v="Yes"/>
  </r>
  <r>
    <s v="AIJOB00875"/>
    <x v="0"/>
    <x v="2"/>
    <s v="Finance"/>
    <s v="London, United Kingdom"/>
    <s v="United Kingdom"/>
    <s v="Hybrid"/>
    <x v="0"/>
    <s v="0-2 yrs"/>
    <n v="69582"/>
    <x v="874"/>
    <s v="Grok"/>
    <s v="PhD"/>
    <n v="45523"/>
    <n v="1470"/>
    <n v="2361"/>
    <s v="Yes"/>
    <n v="0"/>
    <s v="0-50"/>
    <s v="Contract"/>
    <s v="No"/>
  </r>
  <r>
    <s v="AIJOB00876"/>
    <x v="2"/>
    <x v="3"/>
    <s v="Automotive"/>
    <s v="Chicago, United States"/>
    <s v="United States"/>
    <s v="Hybrid"/>
    <x v="2"/>
    <s v="2-5 yrs"/>
    <n v="145532"/>
    <x v="875"/>
    <s v="None"/>
    <s v="PhD"/>
    <n v="45653"/>
    <n v="2168"/>
    <n v="377"/>
    <s v="Maybe"/>
    <n v="2"/>
    <s v="201-1000"/>
    <s v="Full-time"/>
    <s v="No"/>
  </r>
  <r>
    <s v="AIJOB00877"/>
    <x v="12"/>
    <x v="20"/>
    <s v="Retail"/>
    <s v="Zurich, Switzerland"/>
    <s v="Switzerland"/>
    <s v="Remote"/>
    <x v="1"/>
    <s v="8+ yrs"/>
    <n v="181365"/>
    <x v="876"/>
    <s v="Llama"/>
    <s v="Bachelor's"/>
    <n v="45461"/>
    <n v="1213"/>
    <n v="1215"/>
    <s v="No"/>
    <n v="6"/>
    <s v="1001-5000"/>
    <s v="Full-time"/>
    <s v="No"/>
  </r>
  <r>
    <s v="AIJOB00878"/>
    <x v="17"/>
    <x v="15"/>
    <s v="Education"/>
    <s v="Tokyo, Japan"/>
    <s v="Japan"/>
    <s v="Hybrid"/>
    <x v="1"/>
    <s v="8+ yrs"/>
    <n v="208056"/>
    <x v="877"/>
    <s v="None"/>
    <s v="Bachelor's"/>
    <n v="45577"/>
    <n v="1184"/>
    <n v="1277"/>
    <s v="No"/>
    <n v="6"/>
    <s v="51-200"/>
    <s v="Full-time"/>
    <s v="Yes"/>
  </r>
  <r>
    <s v="AIJOB00879"/>
    <x v="6"/>
    <x v="14"/>
    <s v="Technology"/>
    <s v="Paris, France"/>
    <s v="France"/>
    <s v="On-site"/>
    <x v="3"/>
    <s v="5-8 yrs"/>
    <n v="149556"/>
    <x v="878"/>
    <s v="Mistral"/>
    <s v="PhD"/>
    <n v="45558"/>
    <n v="1969"/>
    <n v="3644"/>
    <s v="No"/>
    <n v="4"/>
    <s v="51-200"/>
    <s v="Contract"/>
    <s v="No"/>
  </r>
  <r>
    <s v="AIJOB00880"/>
    <x v="19"/>
    <x v="0"/>
    <s v="Automotive"/>
    <s v="San Francisco, United States"/>
    <s v="United States"/>
    <s v="Hybrid"/>
    <x v="3"/>
    <s v="5-8 yrs"/>
    <n v="182086"/>
    <x v="879"/>
    <s v="Gemini"/>
    <s v="Bachelor's"/>
    <n v="45726"/>
    <n v="1866"/>
    <n v="2356"/>
    <s v="No"/>
    <n v="4"/>
    <s v="1001-5000"/>
    <s v="Full-time"/>
    <s v="No"/>
  </r>
  <r>
    <s v="AIJOB00881"/>
    <x v="9"/>
    <x v="19"/>
    <s v="Energy"/>
    <s v="Stockholm, Sweden"/>
    <s v="Sweden"/>
    <s v="Hybrid"/>
    <x v="0"/>
    <s v="0-2 yrs"/>
    <n v="101839"/>
    <x v="880"/>
    <s v="Llama"/>
    <s v="Master's"/>
    <n v="45510"/>
    <n v="1679"/>
    <n v="3793"/>
    <s v="No"/>
    <n v="0"/>
    <s v="201-1000"/>
    <s v="Contract"/>
    <s v="No"/>
  </r>
  <r>
    <s v="AIJOB00882"/>
    <x v="11"/>
    <x v="14"/>
    <s v="Healthcare"/>
    <s v="Paris, France"/>
    <s v="France"/>
    <s v="Hybrid"/>
    <x v="2"/>
    <s v="2-5 yrs"/>
    <n v="99488"/>
    <x v="881"/>
    <s v="GPT-4"/>
    <s v="Master's"/>
    <n v="45687"/>
    <n v="1216"/>
    <n v="14"/>
    <s v="Yes"/>
    <n v="2"/>
    <s v="5000+"/>
    <s v="Full-time"/>
    <s v="Yes"/>
  </r>
  <r>
    <s v="AIJOB00883"/>
    <x v="11"/>
    <x v="1"/>
    <s v="Technology"/>
    <s v="New York, United States"/>
    <s v="United States"/>
    <s v="Remote"/>
    <x v="0"/>
    <s v="0-2 yrs"/>
    <n v="63833"/>
    <x v="882"/>
    <s v="None"/>
    <s v="Bachelor's"/>
    <n v="45682"/>
    <n v="571"/>
    <n v="1546"/>
    <s v="No"/>
    <n v="0"/>
    <s v="5000+"/>
    <s v="Full-time"/>
    <s v="Yes"/>
  </r>
  <r>
    <s v="AIJOB00884"/>
    <x v="6"/>
    <x v="18"/>
    <s v="Media"/>
    <s v="Austin, United States"/>
    <s v="United States"/>
    <s v="Remote"/>
    <x v="0"/>
    <s v="0-2 yrs"/>
    <n v="83156"/>
    <x v="883"/>
    <s v="None"/>
    <s v="Master's"/>
    <n v="45500"/>
    <n v="506"/>
    <n v="2999"/>
    <s v="No"/>
    <n v="0"/>
    <s v="201-1000"/>
    <s v="Full-time"/>
    <s v="No"/>
  </r>
  <r>
    <s v="AIJOB00885"/>
    <x v="14"/>
    <x v="6"/>
    <s v="Media"/>
    <s v="Tokyo, Japan"/>
    <s v="Japan"/>
    <s v="Remote"/>
    <x v="1"/>
    <s v="8+ yrs"/>
    <n v="224548"/>
    <x v="884"/>
    <s v="BLOOM"/>
    <s v="Master's"/>
    <n v="45375"/>
    <n v="861"/>
    <n v="1421"/>
    <s v="Yes"/>
    <n v="6"/>
    <s v="0-50"/>
    <s v="Contract"/>
    <s v="No"/>
  </r>
  <r>
    <s v="AIJOB00886"/>
    <x v="8"/>
    <x v="21"/>
    <s v="Finance"/>
    <s v="New York, United States"/>
    <s v="United States"/>
    <s v="On-site"/>
    <x v="1"/>
    <s v="8+ yrs"/>
    <n v="266481"/>
    <x v="885"/>
    <s v="None"/>
    <s v="Bootcamp/Self-taught"/>
    <n v="45581"/>
    <n v="1112"/>
    <n v="840"/>
    <s v="No"/>
    <n v="6"/>
    <s v="0-50"/>
    <s v="Part-time"/>
    <s v="No"/>
  </r>
  <r>
    <s v="AIJOB00887"/>
    <x v="18"/>
    <x v="16"/>
    <s v="Healthcare"/>
    <s v="Toronto, Canada"/>
    <s v="Canada"/>
    <s v="Remote"/>
    <x v="3"/>
    <s v="5-8 yrs"/>
    <n v="165766"/>
    <x v="886"/>
    <s v="Llama"/>
    <s v="Master's"/>
    <n v="45497"/>
    <n v="621"/>
    <n v="2479"/>
    <s v="Yes"/>
    <n v="4"/>
    <s v="1001-5000"/>
    <s v="Full-time"/>
    <s v="No"/>
  </r>
  <r>
    <s v="AIJOB00888"/>
    <x v="7"/>
    <x v="7"/>
    <s v="Automotive"/>
    <s v="Berlin, Germany"/>
    <s v="Germany"/>
    <s v="Hybrid"/>
    <x v="3"/>
    <s v="5-8 yrs"/>
    <n v="140299"/>
    <x v="887"/>
    <s v="None"/>
    <s v="Master's"/>
    <n v="45571"/>
    <n v="501"/>
    <n v="2983"/>
    <s v="Maybe"/>
    <n v="4"/>
    <s v="5000+"/>
    <s v="Full-time"/>
    <s v="Yes"/>
  </r>
  <r>
    <s v="AIJOB00889"/>
    <x v="11"/>
    <x v="9"/>
    <s v="Education"/>
    <s v="Dublin, Ireland"/>
    <s v="Ireland"/>
    <s v="Remote"/>
    <x v="3"/>
    <s v="5-8 yrs"/>
    <n v="165947"/>
    <x v="888"/>
    <s v="None"/>
    <s v="Bachelor's"/>
    <n v="45710"/>
    <n v="1324"/>
    <n v="3417"/>
    <s v="Yes"/>
    <n v="4"/>
    <s v="1001-5000"/>
    <s v="Full-time"/>
    <s v="No"/>
  </r>
  <r>
    <s v="AIJOB00890"/>
    <x v="14"/>
    <x v="8"/>
    <s v="Defense"/>
    <s v="Dublin, Ireland"/>
    <s v="Ireland"/>
    <s v="Remote"/>
    <x v="1"/>
    <s v="8+ yrs"/>
    <n v="239913"/>
    <x v="889"/>
    <s v="Command R"/>
    <s v="Master's"/>
    <n v="45387"/>
    <n v="1047"/>
    <n v="429"/>
    <s v="No"/>
    <n v="6"/>
    <s v="201-1000"/>
    <s v="Full-time"/>
    <s v="No"/>
  </r>
  <r>
    <s v="AIJOB00891"/>
    <x v="15"/>
    <x v="16"/>
    <s v="Energy"/>
    <s v="Tel Aviv, Israel"/>
    <s v="Israel"/>
    <s v="Hybrid"/>
    <x v="3"/>
    <s v="5-8 yrs"/>
    <n v="172153"/>
    <x v="890"/>
    <s v="None"/>
    <s v="Bachelor's"/>
    <n v="45643"/>
    <n v="1604"/>
    <n v="1682"/>
    <s v="Yes"/>
    <n v="4"/>
    <s v="51-200"/>
    <s v="Full-time"/>
    <s v="Yes"/>
  </r>
  <r>
    <s v="AIJOB00892"/>
    <x v="13"/>
    <x v="9"/>
    <s v="Media"/>
    <s v="Zurich, Switzerland"/>
    <s v="Switzerland"/>
    <s v="Hybrid"/>
    <x v="1"/>
    <s v="8+ yrs"/>
    <n v="218261"/>
    <x v="891"/>
    <s v="Command R"/>
    <s v="Master's"/>
    <n v="45617"/>
    <n v="900"/>
    <n v="3532"/>
    <s v="No"/>
    <n v="6"/>
    <s v="201-1000"/>
    <s v="Contract"/>
    <s v="Yes"/>
  </r>
  <r>
    <s v="AIJOB00893"/>
    <x v="3"/>
    <x v="3"/>
    <s v="Government"/>
    <s v="Toronto, Canada"/>
    <s v="Canada"/>
    <s v="Remote"/>
    <x v="0"/>
    <s v="0-2 yrs"/>
    <n v="83440"/>
    <x v="892"/>
    <s v="None"/>
    <s v="Bachelor's"/>
    <n v="45614"/>
    <n v="1672"/>
    <n v="2218"/>
    <s v="Maybe"/>
    <n v="0"/>
    <s v="0-50"/>
    <s v="Full-time"/>
    <s v="Yes"/>
  </r>
  <r>
    <s v="AIJOB00894"/>
    <x v="3"/>
    <x v="6"/>
    <s v="Defense"/>
    <s v="Dublin, Ireland"/>
    <s v="Ireland"/>
    <s v="Hybrid"/>
    <x v="0"/>
    <s v="0-2 yrs"/>
    <n v="84733"/>
    <x v="893"/>
    <s v="Command R"/>
    <s v="Bootcamp/Self-taught"/>
    <n v="45381"/>
    <n v="2488"/>
    <n v="3174"/>
    <s v="No"/>
    <n v="0"/>
    <s v="51-200"/>
    <s v="Full-time"/>
    <s v="No"/>
  </r>
  <r>
    <s v="AIJOB00895"/>
    <x v="5"/>
    <x v="0"/>
    <s v="Defense"/>
    <s v="Toronto, Canada"/>
    <s v="Canada"/>
    <s v="Remote"/>
    <x v="0"/>
    <s v="0-2 yrs"/>
    <n v="87415"/>
    <x v="894"/>
    <s v="Phi"/>
    <s v="PhD"/>
    <n v="45311"/>
    <n v="1327"/>
    <n v="2088"/>
    <s v="Maybe"/>
    <n v="0"/>
    <s v="51-200"/>
    <s v="Full-time"/>
    <s v="No"/>
  </r>
  <r>
    <s v="AIJOB00896"/>
    <x v="6"/>
    <x v="29"/>
    <s v="Healthcare"/>
    <s v="Seattle, United States"/>
    <s v="United States"/>
    <s v="Remote"/>
    <x v="0"/>
    <s v="0-2 yrs"/>
    <n v="78173"/>
    <x v="895"/>
    <s v="Falcon"/>
    <s v="Bachelor's"/>
    <n v="45523"/>
    <n v="1945"/>
    <n v="1843"/>
    <s v="No"/>
    <n v="0"/>
    <s v="51-200"/>
    <s v="Full-time"/>
    <s v="No"/>
  </r>
  <r>
    <s v="AIJOB00897"/>
    <x v="15"/>
    <x v="24"/>
    <s v="Defense"/>
    <s v="Tokyo, Japan"/>
    <s v="Japan"/>
    <s v="Hybrid"/>
    <x v="0"/>
    <s v="0-2 yrs"/>
    <n v="67894"/>
    <x v="896"/>
    <s v="Command R"/>
    <s v="Master's"/>
    <n v="45486"/>
    <n v="1874"/>
    <n v="2229"/>
    <s v="Yes"/>
    <n v="0"/>
    <s v="5000+"/>
    <s v="Full-time"/>
    <s v="Yes"/>
  </r>
  <r>
    <s v="AIJOB00898"/>
    <x v="8"/>
    <x v="3"/>
    <s v="Energy"/>
    <s v="Berlin, Germany"/>
    <s v="Germany"/>
    <s v="Remote"/>
    <x v="2"/>
    <s v="2-5 yrs"/>
    <n v="112904"/>
    <x v="897"/>
    <s v="Falcon"/>
    <s v="Bachelor's"/>
    <n v="45587"/>
    <n v="1062"/>
    <n v="2804"/>
    <s v="No"/>
    <n v="2"/>
    <s v="51-200"/>
    <s v="Full-time"/>
    <s v="No"/>
  </r>
  <r>
    <s v="AIJOB00899"/>
    <x v="13"/>
    <x v="20"/>
    <s v="Automotive"/>
    <s v="Chicago, United States"/>
    <s v="United States"/>
    <s v="Remote"/>
    <x v="3"/>
    <s v="5-8 yrs"/>
    <n v="182575"/>
    <x v="898"/>
    <s v="None"/>
    <s v="PhD"/>
    <n v="45609"/>
    <n v="1020"/>
    <n v="3198"/>
    <s v="No"/>
    <n v="4"/>
    <s v="201-1000"/>
    <s v="Full-time"/>
    <s v="Yes"/>
  </r>
  <r>
    <s v="AIJOB00900"/>
    <x v="10"/>
    <x v="10"/>
    <s v="Healthcare"/>
    <s v="Bangalore, India"/>
    <s v="India"/>
    <s v="Hybrid"/>
    <x v="1"/>
    <s v="8+ yrs"/>
    <n v="170590"/>
    <x v="899"/>
    <s v="Llama"/>
    <s v="Master's"/>
    <n v="45392"/>
    <n v="1402"/>
    <n v="3243"/>
    <s v="No"/>
    <n v="6"/>
    <s v="51-200"/>
    <s v="Contract"/>
    <s v="Yes"/>
  </r>
  <r>
    <s v="AIJOB00901"/>
    <x v="12"/>
    <x v="12"/>
    <s v="Education"/>
    <s v="Austin, United States"/>
    <s v="United States"/>
    <s v="Remote"/>
    <x v="0"/>
    <s v="0-2 yrs"/>
    <n v="74645"/>
    <x v="900"/>
    <s v="Falcon"/>
    <s v="Bachelor's"/>
    <n v="45425"/>
    <n v="1706"/>
    <n v="1603"/>
    <s v="Yes"/>
    <n v="0"/>
    <s v="5000+"/>
    <s v="Full-time"/>
    <s v="No"/>
  </r>
  <r>
    <s v="AIJOB00902"/>
    <x v="7"/>
    <x v="28"/>
    <s v="Government"/>
    <s v="Austin, United States"/>
    <s v="United States"/>
    <s v="Hybrid"/>
    <x v="2"/>
    <s v="2-5 yrs"/>
    <n v="102211"/>
    <x v="901"/>
    <s v="None"/>
    <s v="Bachelor's"/>
    <n v="45692"/>
    <n v="2305"/>
    <n v="2135"/>
    <s v="No"/>
    <n v="2"/>
    <s v="1001-5000"/>
    <s v="Part-time"/>
    <s v="No"/>
  </r>
  <r>
    <s v="AIJOB00903"/>
    <x v="13"/>
    <x v="14"/>
    <s v="Defense"/>
    <s v="Tel Aviv, Israel"/>
    <s v="Israel"/>
    <s v="Hybrid"/>
    <x v="3"/>
    <s v="5-8 yrs"/>
    <n v="150776"/>
    <x v="902"/>
    <s v="Phi"/>
    <s v="Bachelor's"/>
    <n v="45439"/>
    <n v="763"/>
    <n v="3753"/>
    <s v="No"/>
    <n v="4"/>
    <s v="1001-5000"/>
    <s v="Full-time"/>
    <s v="Yes"/>
  </r>
  <r>
    <s v="AIJOB00904"/>
    <x v="18"/>
    <x v="1"/>
    <s v="Government"/>
    <s v="Amsterdam, Netherlands"/>
    <s v="Netherlands"/>
    <s v="Hybrid"/>
    <x v="2"/>
    <s v="2-5 yrs"/>
    <n v="135313"/>
    <x v="903"/>
    <s v="Claude"/>
    <s v="Bachelor's"/>
    <n v="45336"/>
    <n v="1187"/>
    <n v="2995"/>
    <s v="Yes"/>
    <n v="2"/>
    <s v="5000+"/>
    <s v="Contract"/>
    <s v="No"/>
  </r>
  <r>
    <s v="AIJOB00905"/>
    <x v="8"/>
    <x v="22"/>
    <s v="Finance"/>
    <s v="Paris, France"/>
    <s v="France"/>
    <s v="Hybrid"/>
    <x v="0"/>
    <s v="0-2 yrs"/>
    <n v="72407"/>
    <x v="904"/>
    <s v="Claude"/>
    <s v="Bachelor's"/>
    <n v="45521"/>
    <n v="1749"/>
    <n v="736"/>
    <s v="No"/>
    <n v="0"/>
    <s v="5000+"/>
    <s v="Full-time"/>
    <s v="No"/>
  </r>
  <r>
    <s v="AIJOB00906"/>
    <x v="12"/>
    <x v="16"/>
    <s v="Energy"/>
    <s v="Stockholm, Sweden"/>
    <s v="Sweden"/>
    <s v="Remote"/>
    <x v="1"/>
    <s v="8+ yrs"/>
    <n v="201671"/>
    <x v="905"/>
    <s v="Llama"/>
    <s v="Master's"/>
    <n v="45667"/>
    <n v="1726"/>
    <n v="1657"/>
    <s v="Yes"/>
    <n v="6"/>
    <s v="51-200"/>
    <s v="Part-time"/>
    <s v="No"/>
  </r>
  <r>
    <s v="AIJOB00907"/>
    <x v="19"/>
    <x v="27"/>
    <s v="Education"/>
    <s v="New York, United States"/>
    <s v="United States"/>
    <s v="On-site"/>
    <x v="1"/>
    <s v="8+ yrs"/>
    <n v="151045"/>
    <x v="906"/>
    <s v="Gemini"/>
    <s v="PhD"/>
    <n v="45734"/>
    <n v="2389"/>
    <n v="1391"/>
    <s v="Maybe"/>
    <n v="6"/>
    <s v="201-1000"/>
    <s v="Full-time"/>
    <s v="Yes"/>
  </r>
  <r>
    <s v="AIJOB00908"/>
    <x v="12"/>
    <x v="19"/>
    <s v="Media"/>
    <s v="Boston, United States"/>
    <s v="United States"/>
    <s v="Hybrid"/>
    <x v="1"/>
    <s v="8+ yrs"/>
    <n v="226865"/>
    <x v="907"/>
    <s v="None"/>
    <s v="Bootcamp/Self-taught"/>
    <n v="45454"/>
    <n v="404"/>
    <n v="567"/>
    <s v="Maybe"/>
    <n v="6"/>
    <s v="0-50"/>
    <s v="Contract"/>
    <s v="Yes"/>
  </r>
  <r>
    <s v="AIJOB00909"/>
    <x v="5"/>
    <x v="8"/>
    <s v="Finance"/>
    <s v="Paris, France"/>
    <s v="France"/>
    <s v="Hybrid"/>
    <x v="3"/>
    <s v="5-8 yrs"/>
    <n v="167428"/>
    <x v="908"/>
    <s v="None"/>
    <s v="PhD"/>
    <n v="45741"/>
    <n v="1599"/>
    <n v="293"/>
    <s v="Yes"/>
    <n v="4"/>
    <s v="201-1000"/>
    <s v="Full-time"/>
    <s v="Yes"/>
  </r>
  <r>
    <s v="AIJOB00910"/>
    <x v="9"/>
    <x v="4"/>
    <s v="Defense"/>
    <s v="Stockholm, Sweden"/>
    <s v="Sweden"/>
    <s v="Hybrid"/>
    <x v="1"/>
    <s v="8+ yrs"/>
    <n v="277877"/>
    <x v="909"/>
    <s v="BLOOM"/>
    <s v="Master's"/>
    <n v="45641"/>
    <n v="2309"/>
    <n v="600"/>
    <s v="No"/>
    <n v="6"/>
    <s v="51-200"/>
    <s v="Full-time"/>
    <s v="No"/>
  </r>
  <r>
    <s v="AIJOB00911"/>
    <x v="14"/>
    <x v="29"/>
    <s v="Government"/>
    <s v="Los Angeles, United States"/>
    <s v="United States"/>
    <s v="Remote"/>
    <x v="3"/>
    <s v="5-8 yrs"/>
    <n v="141689"/>
    <x v="910"/>
    <s v="None"/>
    <s v="Bachelor's"/>
    <n v="45295"/>
    <n v="585"/>
    <n v="2163"/>
    <s v="Yes"/>
    <n v="4"/>
    <s v="51-200"/>
    <s v="Contract"/>
    <s v="No"/>
  </r>
  <r>
    <s v="AIJOB00912"/>
    <x v="0"/>
    <x v="25"/>
    <s v="Finance"/>
    <s v="Singapore"/>
    <s v="Singapore"/>
    <s v="On-site"/>
    <x v="2"/>
    <s v="2-5 yrs"/>
    <n v="114339"/>
    <x v="911"/>
    <s v="Mistral"/>
    <s v="Bachelor's"/>
    <n v="45356"/>
    <n v="333"/>
    <n v="3636"/>
    <s v="Yes"/>
    <n v="2"/>
    <s v="51-200"/>
    <s v="Full-time"/>
    <s v="No"/>
  </r>
  <r>
    <s v="AIJOB00913"/>
    <x v="9"/>
    <x v="8"/>
    <s v="Government"/>
    <s v="Boston, United States"/>
    <s v="United States"/>
    <s v="Remote"/>
    <x v="1"/>
    <s v="8+ yrs"/>
    <n v="208977"/>
    <x v="912"/>
    <s v="Gemini"/>
    <s v="Master's"/>
    <n v="45376"/>
    <n v="1614"/>
    <n v="1076"/>
    <s v="No"/>
    <n v="6"/>
    <s v="201-1000"/>
    <s v="Full-time"/>
    <s v="Yes"/>
  </r>
  <r>
    <s v="AIJOB00914"/>
    <x v="3"/>
    <x v="3"/>
    <s v="Education"/>
    <s v="Berlin, Germany"/>
    <s v="Germany"/>
    <s v="On-site"/>
    <x v="1"/>
    <s v="8+ yrs"/>
    <n v="256788"/>
    <x v="913"/>
    <s v="None"/>
    <s v="Master's"/>
    <n v="45308"/>
    <n v="1287"/>
    <n v="2998"/>
    <s v="Yes"/>
    <n v="6"/>
    <s v="0-50"/>
    <s v="Full-time"/>
    <s v="Yes"/>
  </r>
  <r>
    <s v="AIJOB00915"/>
    <x v="14"/>
    <x v="29"/>
    <s v="Defense"/>
    <s v="Tel Aviv, Israel"/>
    <s v="Israel"/>
    <s v="Remote"/>
    <x v="0"/>
    <s v="0-2 yrs"/>
    <n v="68799"/>
    <x v="914"/>
    <s v="None"/>
    <s v="Master's"/>
    <n v="45526"/>
    <n v="1062"/>
    <n v="3928"/>
    <s v="No"/>
    <n v="0"/>
    <s v="0-50"/>
    <s v="Full-time"/>
    <s v="Yes"/>
  </r>
  <r>
    <s v="AIJOB00916"/>
    <x v="12"/>
    <x v="7"/>
    <s v="Healthcare"/>
    <s v="Los Angeles, United States"/>
    <s v="United States"/>
    <s v="On-site"/>
    <x v="2"/>
    <s v="2-5 yrs"/>
    <n v="115524"/>
    <x v="915"/>
    <s v="Phi"/>
    <s v="Bachelor's"/>
    <n v="45343"/>
    <n v="982"/>
    <n v="1341"/>
    <s v="No"/>
    <n v="2"/>
    <s v="51-200"/>
    <s v="Contract"/>
    <s v="No"/>
  </r>
  <r>
    <s v="AIJOB00917"/>
    <x v="1"/>
    <x v="9"/>
    <s v="Healthcare"/>
    <s v="Austin, United States"/>
    <s v="United States"/>
    <s v="Hybrid"/>
    <x v="2"/>
    <s v="2-5 yrs"/>
    <n v="122036"/>
    <x v="916"/>
    <s v="Command R"/>
    <s v="PhD"/>
    <n v="45449"/>
    <n v="1487"/>
    <n v="1022"/>
    <s v="Maybe"/>
    <n v="2"/>
    <s v="5000+"/>
    <s v="Full-time"/>
    <s v="No"/>
  </r>
  <r>
    <s v="AIJOB00918"/>
    <x v="12"/>
    <x v="2"/>
    <s v="Education"/>
    <s v="Tokyo, Japan"/>
    <s v="Japan"/>
    <s v="Hybrid"/>
    <x v="1"/>
    <s v="8+ yrs"/>
    <n v="206717"/>
    <x v="917"/>
    <s v="None"/>
    <s v="Bachelor's"/>
    <n v="45351"/>
    <n v="1014"/>
    <n v="1812"/>
    <s v="Yes"/>
    <n v="6"/>
    <s v="0-50"/>
    <s v="Full-time"/>
    <s v="No"/>
  </r>
  <r>
    <s v="AIJOB00919"/>
    <x v="6"/>
    <x v="1"/>
    <s v="Healthcare"/>
    <s v="Dublin, Ireland"/>
    <s v="Ireland"/>
    <s v="On-site"/>
    <x v="1"/>
    <s v="8+ yrs"/>
    <n v="183928"/>
    <x v="918"/>
    <s v="None"/>
    <s v="Master's"/>
    <n v="45660"/>
    <n v="2425"/>
    <n v="1005"/>
    <s v="Yes"/>
    <n v="6"/>
    <s v="0-50"/>
    <s v="Contract"/>
    <s v="No"/>
  </r>
  <r>
    <s v="AIJOB00920"/>
    <x v="0"/>
    <x v="21"/>
    <s v="Energy"/>
    <s v="Boston, United States"/>
    <s v="United States"/>
    <s v="Remote"/>
    <x v="2"/>
    <s v="2-5 yrs"/>
    <n v="113842"/>
    <x v="919"/>
    <s v="GPT-4"/>
    <s v="Master's"/>
    <n v="45696"/>
    <n v="2207"/>
    <n v="2134"/>
    <s v="No"/>
    <n v="2"/>
    <s v="5000+"/>
    <s v="Full-time"/>
    <s v="No"/>
  </r>
  <r>
    <s v="AIJOB00921"/>
    <x v="16"/>
    <x v="22"/>
    <s v="Retail"/>
    <s v="Toronto, Canada"/>
    <s v="Canada"/>
    <s v="Remote"/>
    <x v="3"/>
    <s v="5-8 yrs"/>
    <n v="178988"/>
    <x v="920"/>
    <s v="Mistral"/>
    <s v="Bootcamp/Self-taught"/>
    <n v="45565"/>
    <n v="635"/>
    <n v="3346"/>
    <s v="No"/>
    <n v="4"/>
    <s v="5000+"/>
    <s v="Full-time"/>
    <s v="No"/>
  </r>
  <r>
    <s v="AIJOB00922"/>
    <x v="16"/>
    <x v="6"/>
    <s v="Defense"/>
    <s v="Singapore"/>
    <s v="Singapore"/>
    <s v="On-site"/>
    <x v="2"/>
    <s v="2-5 yrs"/>
    <n v="89674"/>
    <x v="921"/>
    <s v="Gemini"/>
    <s v="PhD"/>
    <n v="45584"/>
    <n v="398"/>
    <n v="388"/>
    <s v="No"/>
    <n v="2"/>
    <s v="1001-5000"/>
    <s v="Full-time"/>
    <s v="No"/>
  </r>
  <r>
    <s v="AIJOB00923"/>
    <x v="10"/>
    <x v="24"/>
    <s v="Finance"/>
    <s v="New York, United States"/>
    <s v="United States"/>
    <s v="Hybrid"/>
    <x v="2"/>
    <s v="2-5 yrs"/>
    <n v="112632"/>
    <x v="922"/>
    <s v="Grok"/>
    <s v="Master's"/>
    <n v="45392"/>
    <n v="771"/>
    <n v="604"/>
    <s v="No"/>
    <n v="2"/>
    <s v="51-200"/>
    <s v="Contract"/>
    <s v="Yes"/>
  </r>
  <r>
    <s v="AIJOB00924"/>
    <x v="15"/>
    <x v="13"/>
    <s v="Finance"/>
    <s v="Bangalore, India"/>
    <s v="India"/>
    <s v="Remote"/>
    <x v="0"/>
    <s v="0-2 yrs"/>
    <n v="61178"/>
    <x v="923"/>
    <s v="None"/>
    <s v="Bachelor's"/>
    <n v="45677"/>
    <n v="1949"/>
    <n v="438"/>
    <s v="Yes"/>
    <n v="0"/>
    <s v="51-200"/>
    <s v="Full-time"/>
    <s v="No"/>
  </r>
  <r>
    <s v="AIJOB00925"/>
    <x v="17"/>
    <x v="26"/>
    <s v="Media"/>
    <s v="Berlin, Germany"/>
    <s v="Germany"/>
    <s v="Hybrid"/>
    <x v="1"/>
    <s v="8+ yrs"/>
    <n v="243021"/>
    <x v="924"/>
    <s v="Grok"/>
    <s v="Master's"/>
    <n v="45630"/>
    <n v="1153"/>
    <n v="2206"/>
    <s v="Yes"/>
    <n v="6"/>
    <s v="51-200"/>
    <s v="Full-time"/>
    <s v="No"/>
  </r>
  <r>
    <s v="AIJOB00926"/>
    <x v="5"/>
    <x v="3"/>
    <s v="Media"/>
    <s v="Berlin, Germany"/>
    <s v="Germany"/>
    <s v="Hybrid"/>
    <x v="0"/>
    <s v="0-2 yrs"/>
    <n v="50807"/>
    <x v="925"/>
    <s v="None"/>
    <s v="Master's"/>
    <n v="45436"/>
    <n v="875"/>
    <n v="3786"/>
    <s v="No"/>
    <n v="0"/>
    <s v="0-50"/>
    <s v="Full-time"/>
    <s v="Yes"/>
  </r>
  <r>
    <s v="AIJOB00927"/>
    <x v="3"/>
    <x v="28"/>
    <s v="Government"/>
    <s v="Tokyo, Japan"/>
    <s v="Japan"/>
    <s v="Remote"/>
    <x v="2"/>
    <s v="2-5 yrs"/>
    <n v="98933"/>
    <x v="926"/>
    <s v="None"/>
    <s v="PhD"/>
    <n v="45357"/>
    <n v="570"/>
    <n v="3329"/>
    <s v="No"/>
    <n v="2"/>
    <s v="0-50"/>
    <s v="Contract"/>
    <s v="Yes"/>
  </r>
  <r>
    <s v="AIJOB00928"/>
    <x v="12"/>
    <x v="26"/>
    <s v="Media"/>
    <s v="Berlin, Germany"/>
    <s v="Germany"/>
    <s v="Hybrid"/>
    <x v="3"/>
    <s v="5-8 yrs"/>
    <n v="160184"/>
    <x v="927"/>
    <s v="Mistral"/>
    <s v="Bootcamp/Self-taught"/>
    <n v="45590"/>
    <n v="1637"/>
    <n v="2220"/>
    <s v="No"/>
    <n v="4"/>
    <s v="201-1000"/>
    <s v="Contract"/>
    <s v="Yes"/>
  </r>
  <r>
    <s v="AIJOB00929"/>
    <x v="13"/>
    <x v="25"/>
    <s v="Healthcare"/>
    <s v="Seattle, United States"/>
    <s v="United States"/>
    <s v="On-site"/>
    <x v="3"/>
    <s v="5-8 yrs"/>
    <n v="192269"/>
    <x v="928"/>
    <s v="Falcon"/>
    <s v="Master's"/>
    <n v="45690"/>
    <n v="2326"/>
    <n v="1148"/>
    <s v="Yes"/>
    <n v="4"/>
    <s v="5000+"/>
    <s v="Full-time"/>
    <s v="Yes"/>
  </r>
  <r>
    <s v="AIJOB00930"/>
    <x v="4"/>
    <x v="11"/>
    <s v="Government"/>
    <s v="Los Angeles, United States"/>
    <s v="United States"/>
    <s v="On-site"/>
    <x v="1"/>
    <s v="8+ yrs"/>
    <n v="197632"/>
    <x v="929"/>
    <s v="None"/>
    <s v="Master's"/>
    <n v="45303"/>
    <n v="949"/>
    <n v="3400"/>
    <s v="Maybe"/>
    <n v="6"/>
    <s v="0-50"/>
    <s v="Full-time"/>
    <s v="No"/>
  </r>
  <r>
    <s v="AIJOB00931"/>
    <x v="5"/>
    <x v="25"/>
    <s v="Finance"/>
    <s v="Paris, France"/>
    <s v="France"/>
    <s v="Remote"/>
    <x v="0"/>
    <s v="0-2 yrs"/>
    <n v="63004"/>
    <x v="930"/>
    <s v="Mistral"/>
    <s v="Master's"/>
    <n v="45300"/>
    <n v="1725"/>
    <n v="1533"/>
    <s v="No"/>
    <n v="0"/>
    <s v="51-200"/>
    <s v="Part-time"/>
    <s v="Yes"/>
  </r>
  <r>
    <s v="AIJOB00932"/>
    <x v="0"/>
    <x v="11"/>
    <s v="Technology"/>
    <s v="Amsterdam, Netherlands"/>
    <s v="Netherlands"/>
    <s v="Hybrid"/>
    <x v="2"/>
    <s v="2-5 yrs"/>
    <n v="147246"/>
    <x v="931"/>
    <s v="Phi"/>
    <s v="Bachelor's"/>
    <n v="45293"/>
    <n v="1989"/>
    <n v="2278"/>
    <s v="Yes"/>
    <n v="2"/>
    <s v="1001-5000"/>
    <s v="Full-time"/>
    <s v="No"/>
  </r>
  <r>
    <s v="AIJOB00933"/>
    <x v="4"/>
    <x v="2"/>
    <s v="Technology"/>
    <s v="Toronto, Canada"/>
    <s v="Canada"/>
    <s v="Remote"/>
    <x v="1"/>
    <s v="8+ yrs"/>
    <n v="147871"/>
    <x v="932"/>
    <s v="Gemini"/>
    <s v="PhD"/>
    <n v="45313"/>
    <n v="743"/>
    <n v="4000"/>
    <s v="No"/>
    <n v="6"/>
    <s v="0-50"/>
    <s v="Full-time"/>
    <s v="Yes"/>
  </r>
  <r>
    <s v="AIJOB00934"/>
    <x v="17"/>
    <x v="21"/>
    <s v="Education"/>
    <s v="Bangalore, India"/>
    <s v="India"/>
    <s v="Remote"/>
    <x v="1"/>
    <s v="8+ yrs"/>
    <n v="120842"/>
    <x v="933"/>
    <s v="Phi"/>
    <s v="Master's"/>
    <n v="45319"/>
    <n v="1940"/>
    <n v="726"/>
    <s v="Yes"/>
    <n v="6"/>
    <s v="51-200"/>
    <s v="Full-time"/>
    <s v="No"/>
  </r>
  <r>
    <s v="AIJOB00935"/>
    <x v="15"/>
    <x v="11"/>
    <s v="Energy"/>
    <s v="Stockholm, Sweden"/>
    <s v="Sweden"/>
    <s v="On-site"/>
    <x v="3"/>
    <s v="5-8 yrs"/>
    <n v="161880"/>
    <x v="934"/>
    <s v="Llama"/>
    <s v="Bachelor's"/>
    <n v="45638"/>
    <n v="1114"/>
    <n v="2758"/>
    <s v="No"/>
    <n v="4"/>
    <s v="51-200"/>
    <s v="Full-time"/>
    <s v="Yes"/>
  </r>
  <r>
    <s v="AIJOB00936"/>
    <x v="14"/>
    <x v="23"/>
    <s v="Education"/>
    <s v="Los Angeles, United States"/>
    <s v="United States"/>
    <s v="On-site"/>
    <x v="3"/>
    <s v="5-8 yrs"/>
    <n v="136444"/>
    <x v="935"/>
    <s v="Gemini"/>
    <s v="Bachelor's"/>
    <n v="45515"/>
    <n v="535"/>
    <n v="1099"/>
    <s v="No"/>
    <n v="4"/>
    <s v="1001-5000"/>
    <s v="Full-time"/>
    <s v="No"/>
  </r>
  <r>
    <s v="AIJOB00937"/>
    <x v="12"/>
    <x v="2"/>
    <s v="Retail"/>
    <s v="Seattle, United States"/>
    <s v="United States"/>
    <s v="Hybrid"/>
    <x v="0"/>
    <s v="0-2 yrs"/>
    <n v="57132"/>
    <x v="936"/>
    <s v="Mistral"/>
    <s v="Master's"/>
    <n v="45317"/>
    <n v="578"/>
    <n v="3370"/>
    <s v="No"/>
    <n v="0"/>
    <s v="201-1000"/>
    <s v="Full-time"/>
    <s v="Yes"/>
  </r>
  <r>
    <s v="AIJOB00938"/>
    <x v="4"/>
    <x v="29"/>
    <s v="Media"/>
    <s v="Toronto, Canada"/>
    <s v="Canada"/>
    <s v="Remote"/>
    <x v="3"/>
    <s v="5-8 yrs"/>
    <n v="169125"/>
    <x v="937"/>
    <s v="None"/>
    <s v="PhD"/>
    <n v="45604"/>
    <n v="2467"/>
    <n v="2028"/>
    <s v="No"/>
    <n v="4"/>
    <s v="0-50"/>
    <s v="Full-time"/>
    <s v="No"/>
  </r>
  <r>
    <s v="AIJOB00939"/>
    <x v="0"/>
    <x v="24"/>
    <s v="Education"/>
    <s v="Chicago, United States"/>
    <s v="United States"/>
    <s v="Hybrid"/>
    <x v="1"/>
    <s v="8+ yrs"/>
    <n v="208776"/>
    <x v="938"/>
    <s v="GPT-4"/>
    <s v="Master's"/>
    <n v="45675"/>
    <n v="1316"/>
    <n v="965"/>
    <s v="No"/>
    <n v="6"/>
    <s v="201-1000"/>
    <s v="Full-time"/>
    <s v="Yes"/>
  </r>
  <r>
    <s v="AIJOB00940"/>
    <x v="10"/>
    <x v="16"/>
    <s v="Healthcare"/>
    <s v="Zurich, Switzerland"/>
    <s v="Switzerland"/>
    <s v="Hybrid"/>
    <x v="3"/>
    <s v="5-8 yrs"/>
    <n v="134769"/>
    <x v="939"/>
    <s v="None"/>
    <s v="Bachelor's"/>
    <n v="45350"/>
    <n v="2213"/>
    <n v="218"/>
    <s v="No"/>
    <n v="4"/>
    <s v="5000+"/>
    <s v="Contract"/>
    <s v="Yes"/>
  </r>
  <r>
    <s v="AIJOB00941"/>
    <x v="19"/>
    <x v="16"/>
    <s v="Energy"/>
    <s v="Toronto, Canada"/>
    <s v="Canada"/>
    <s v="Hybrid"/>
    <x v="0"/>
    <s v="0-2 yrs"/>
    <n v="53868"/>
    <x v="940"/>
    <s v="Claude"/>
    <s v="Bootcamp/Self-taught"/>
    <n v="45629"/>
    <n v="642"/>
    <n v="973"/>
    <s v="No"/>
    <n v="0"/>
    <s v="5000+"/>
    <s v="Full-time"/>
    <s v="No"/>
  </r>
  <r>
    <s v="AIJOB00942"/>
    <x v="12"/>
    <x v="29"/>
    <s v="Energy"/>
    <s v="Berlin, Germany"/>
    <s v="Germany"/>
    <s v="On-site"/>
    <x v="1"/>
    <s v="8+ yrs"/>
    <n v="231408"/>
    <x v="941"/>
    <s v="Mistral"/>
    <s v="Bachelor's"/>
    <n v="45334"/>
    <n v="589"/>
    <n v="3985"/>
    <s v="No"/>
    <n v="6"/>
    <s v="1001-5000"/>
    <s v="Contract"/>
    <s v="Yes"/>
  </r>
  <r>
    <s v="AIJOB00943"/>
    <x v="3"/>
    <x v="28"/>
    <s v="Education"/>
    <s v="London, United Kingdom"/>
    <s v="United Kingdom"/>
    <s v="Hybrid"/>
    <x v="2"/>
    <s v="2-5 yrs"/>
    <n v="122873"/>
    <x v="942"/>
    <s v="None"/>
    <s v="Bootcamp/Self-taught"/>
    <n v="45742"/>
    <n v="1006"/>
    <n v="262"/>
    <s v="No"/>
    <n v="2"/>
    <s v="201-1000"/>
    <s v="Full-time"/>
    <s v="Yes"/>
  </r>
  <r>
    <s v="AIJOB00944"/>
    <x v="18"/>
    <x v="6"/>
    <s v="Finance"/>
    <s v="Seattle, United States"/>
    <s v="United States"/>
    <s v="On-site"/>
    <x v="1"/>
    <s v="8+ yrs"/>
    <n v="196429"/>
    <x v="943"/>
    <s v="Claude"/>
    <s v="Bootcamp/Self-taught"/>
    <n v="45384"/>
    <n v="2392"/>
    <n v="3659"/>
    <s v="No"/>
    <n v="6"/>
    <s v="5000+"/>
    <s v="Full-time"/>
    <s v="Yes"/>
  </r>
  <r>
    <s v="AIJOB00945"/>
    <x v="19"/>
    <x v="9"/>
    <s v="Finance"/>
    <s v="Bangalore, India"/>
    <s v="India"/>
    <s v="Hybrid"/>
    <x v="2"/>
    <s v="2-5 yrs"/>
    <n v="146563"/>
    <x v="944"/>
    <s v="Falcon"/>
    <s v="Bachelor's"/>
    <n v="45492"/>
    <n v="662"/>
    <n v="3246"/>
    <s v="No"/>
    <n v="2"/>
    <s v="0-50"/>
    <s v="Full-time"/>
    <s v="Yes"/>
  </r>
  <r>
    <s v="AIJOB00946"/>
    <x v="1"/>
    <x v="18"/>
    <s v="Defense"/>
    <s v="Toronto, Canada"/>
    <s v="Canada"/>
    <s v="Hybrid"/>
    <x v="2"/>
    <s v="2-5 yrs"/>
    <n v="88812"/>
    <x v="945"/>
    <s v="None"/>
    <s v="PhD"/>
    <n v="45637"/>
    <n v="1930"/>
    <n v="754"/>
    <s v="No"/>
    <n v="2"/>
    <s v="0-50"/>
    <s v="Contract"/>
    <s v="No"/>
  </r>
  <r>
    <s v="AIJOB00947"/>
    <x v="5"/>
    <x v="13"/>
    <s v="Education"/>
    <s v="Chicago, United States"/>
    <s v="United States"/>
    <s v="Hybrid"/>
    <x v="1"/>
    <s v="8+ yrs"/>
    <n v="145081"/>
    <x v="946"/>
    <s v="Gemini"/>
    <s v="Bachelor's"/>
    <n v="45660"/>
    <n v="1684"/>
    <n v="428"/>
    <s v="No"/>
    <n v="6"/>
    <s v="51-200"/>
    <s v="Part-time"/>
    <s v="Yes"/>
  </r>
  <r>
    <s v="AIJOB00948"/>
    <x v="7"/>
    <x v="21"/>
    <s v="Energy"/>
    <s v="Amsterdam, Netherlands"/>
    <s v="Netherlands"/>
    <s v="Hybrid"/>
    <x v="1"/>
    <s v="8+ yrs"/>
    <n v="175091"/>
    <x v="947"/>
    <s v="None"/>
    <s v="Master's"/>
    <n v="45356"/>
    <n v="2355"/>
    <n v="943"/>
    <s v="No"/>
    <n v="6"/>
    <s v="1001-5000"/>
    <s v="Full-time"/>
    <s v="Yes"/>
  </r>
  <r>
    <s v="AIJOB00949"/>
    <x v="8"/>
    <x v="13"/>
    <s v="Automotive"/>
    <s v="Dublin, Ireland"/>
    <s v="Ireland"/>
    <s v="Remote"/>
    <x v="2"/>
    <s v="2-5 yrs"/>
    <n v="109097"/>
    <x v="948"/>
    <s v="None"/>
    <s v="Bachelor's"/>
    <n v="45586"/>
    <n v="762"/>
    <n v="2412"/>
    <s v="Maybe"/>
    <n v="2"/>
    <s v="51-200"/>
    <s v="Full-time"/>
    <s v="No"/>
  </r>
  <r>
    <s v="AIJOB00950"/>
    <x v="6"/>
    <x v="1"/>
    <s v="Healthcare"/>
    <s v="Singapore"/>
    <s v="Singapore"/>
    <s v="Hybrid"/>
    <x v="2"/>
    <s v="2-5 yrs"/>
    <n v="114818"/>
    <x v="949"/>
    <s v="None"/>
    <s v="Bootcamp/Self-taught"/>
    <n v="45347"/>
    <n v="479"/>
    <n v="3771"/>
    <s v="No"/>
    <n v="2"/>
    <s v="5000+"/>
    <s v="Full-time"/>
    <s v="Yes"/>
  </r>
  <r>
    <s v="AIJOB00951"/>
    <x v="13"/>
    <x v="10"/>
    <s v="Technology"/>
    <s v="Boston, United States"/>
    <s v="United States"/>
    <s v="On-site"/>
    <x v="2"/>
    <s v="2-5 yrs"/>
    <n v="105223"/>
    <x v="950"/>
    <s v="Falcon"/>
    <s v="PhD"/>
    <n v="45434"/>
    <n v="1484"/>
    <n v="1130"/>
    <s v="Yes"/>
    <n v="2"/>
    <s v="5000+"/>
    <s v="Full-time"/>
    <s v="No"/>
  </r>
  <r>
    <s v="AIJOB00952"/>
    <x v="8"/>
    <x v="29"/>
    <s v="Technology"/>
    <s v="Seattle, United States"/>
    <s v="United States"/>
    <s v="Hybrid"/>
    <x v="1"/>
    <s v="8+ yrs"/>
    <n v="212673"/>
    <x v="951"/>
    <s v="Phi"/>
    <s v="PhD"/>
    <n v="45356"/>
    <n v="2191"/>
    <n v="3423"/>
    <s v="No"/>
    <n v="6"/>
    <s v="0-50"/>
    <s v="Full-time"/>
    <s v="Yes"/>
  </r>
  <r>
    <s v="AIJOB00953"/>
    <x v="19"/>
    <x v="25"/>
    <s v="Retail"/>
    <s v="Paris, France"/>
    <s v="France"/>
    <s v="On-site"/>
    <x v="0"/>
    <s v="0-2 yrs"/>
    <n v="54230"/>
    <x v="952"/>
    <s v="Phi"/>
    <s v="Master's"/>
    <n v="45610"/>
    <n v="1921"/>
    <n v="2862"/>
    <s v="No"/>
    <n v="0"/>
    <s v="1001-5000"/>
    <s v="Full-time"/>
    <s v="No"/>
  </r>
  <r>
    <s v="AIJOB00954"/>
    <x v="12"/>
    <x v="12"/>
    <s v="Defense"/>
    <s v="Seattle, United States"/>
    <s v="United States"/>
    <s v="Remote"/>
    <x v="3"/>
    <s v="5-8 yrs"/>
    <n v="188981"/>
    <x v="953"/>
    <s v="Gemini"/>
    <s v="Master's"/>
    <n v="45593"/>
    <n v="539"/>
    <n v="3470"/>
    <s v="No"/>
    <n v="4"/>
    <s v="1001-5000"/>
    <s v="Part-time"/>
    <s v="Yes"/>
  </r>
  <r>
    <s v="AIJOB00955"/>
    <x v="11"/>
    <x v="7"/>
    <s v="Energy"/>
    <s v="Boston, United States"/>
    <s v="United States"/>
    <s v="Remote"/>
    <x v="0"/>
    <s v="0-2 yrs"/>
    <n v="68964"/>
    <x v="954"/>
    <s v="Grok"/>
    <s v="PhD"/>
    <n v="45534"/>
    <n v="1148"/>
    <n v="1735"/>
    <s v="No"/>
    <n v="0"/>
    <s v="1001-5000"/>
    <s v="Part-time"/>
    <s v="No"/>
  </r>
  <r>
    <s v="AIJOB00956"/>
    <x v="0"/>
    <x v="22"/>
    <s v="Healthcare"/>
    <s v="Austin, United States"/>
    <s v="United States"/>
    <s v="Remote"/>
    <x v="3"/>
    <s v="5-8 yrs"/>
    <n v="180166"/>
    <x v="955"/>
    <s v="None"/>
    <s v="Bachelor's"/>
    <n v="45320"/>
    <n v="1324"/>
    <n v="742"/>
    <s v="Yes"/>
    <n v="4"/>
    <s v="1001-5000"/>
    <s v="Part-time"/>
    <s v="No"/>
  </r>
  <r>
    <s v="AIJOB00957"/>
    <x v="2"/>
    <x v="29"/>
    <s v="Automotive"/>
    <s v="Los Angeles, United States"/>
    <s v="United States"/>
    <s v="Hybrid"/>
    <x v="1"/>
    <s v="8+ yrs"/>
    <n v="212338"/>
    <x v="956"/>
    <s v="None"/>
    <s v="Master's"/>
    <n v="45317"/>
    <n v="1791"/>
    <n v="2017"/>
    <s v="No"/>
    <n v="6"/>
    <s v="201-1000"/>
    <s v="Full-time"/>
    <s v="Yes"/>
  </r>
  <r>
    <s v="AIJOB00958"/>
    <x v="14"/>
    <x v="8"/>
    <s v="Media"/>
    <s v="Austin, United States"/>
    <s v="United States"/>
    <s v="On-site"/>
    <x v="3"/>
    <s v="5-8 yrs"/>
    <n v="162332"/>
    <x v="957"/>
    <s v="BLOOM"/>
    <s v="PhD"/>
    <n v="45390"/>
    <n v="1054"/>
    <n v="3165"/>
    <s v="No"/>
    <n v="4"/>
    <s v="201-1000"/>
    <s v="Full-time"/>
    <s v="Yes"/>
  </r>
  <r>
    <s v="AIJOB00959"/>
    <x v="18"/>
    <x v="0"/>
    <s v="Education"/>
    <s v="Paris, France"/>
    <s v="France"/>
    <s v="On-site"/>
    <x v="3"/>
    <s v="5-8 yrs"/>
    <n v="165383"/>
    <x v="958"/>
    <s v="Command R"/>
    <s v="Master's"/>
    <n v="45296"/>
    <n v="2241"/>
    <n v="1282"/>
    <s v="No"/>
    <n v="4"/>
    <s v="201-1000"/>
    <s v="Full-time"/>
    <s v="Yes"/>
  </r>
  <r>
    <s v="AIJOB00960"/>
    <x v="0"/>
    <x v="21"/>
    <s v="Energy"/>
    <s v="Toronto, Canada"/>
    <s v="Canada"/>
    <s v="Remote"/>
    <x v="0"/>
    <s v="0-2 yrs"/>
    <n v="75641"/>
    <x v="959"/>
    <s v="None"/>
    <s v="PhD"/>
    <n v="45343"/>
    <n v="1890"/>
    <n v="255"/>
    <s v="Yes"/>
    <n v="0"/>
    <s v="5000+"/>
    <s v="Full-time"/>
    <s v="No"/>
  </r>
  <r>
    <s v="AIJOB00961"/>
    <x v="10"/>
    <x v="18"/>
    <s v="Technology"/>
    <s v="Tel Aviv, Israel"/>
    <s v="Israel"/>
    <s v="Hybrid"/>
    <x v="1"/>
    <s v="8+ yrs"/>
    <n v="223138"/>
    <x v="960"/>
    <s v="Falcon"/>
    <s v="Bootcamp/Self-taught"/>
    <n v="45578"/>
    <n v="1419"/>
    <n v="1837"/>
    <s v="Yes"/>
    <n v="6"/>
    <s v="1001-5000"/>
    <s v="Contract"/>
    <s v="No"/>
  </r>
  <r>
    <s v="AIJOB00962"/>
    <x v="19"/>
    <x v="1"/>
    <s v="Retail"/>
    <s v="Berlin, Germany"/>
    <s v="Germany"/>
    <s v="Hybrid"/>
    <x v="0"/>
    <s v="0-2 yrs"/>
    <n v="86747"/>
    <x v="961"/>
    <s v="Command R"/>
    <s v="Master's"/>
    <n v="45376"/>
    <n v="1880"/>
    <n v="3558"/>
    <s v="No"/>
    <n v="0"/>
    <s v="0-50"/>
    <s v="Full-time"/>
    <s v="Yes"/>
  </r>
  <r>
    <s v="AIJOB00963"/>
    <x v="15"/>
    <x v="5"/>
    <s v="Government"/>
    <s v="Amsterdam, Netherlands"/>
    <s v="Netherlands"/>
    <s v="On-site"/>
    <x v="3"/>
    <s v="5-8 yrs"/>
    <n v="155306"/>
    <x v="962"/>
    <s v="None"/>
    <s v="PhD"/>
    <n v="45381"/>
    <n v="1782"/>
    <n v="3274"/>
    <s v="No"/>
    <n v="4"/>
    <s v="201-1000"/>
    <s v="Full-time"/>
    <s v="No"/>
  </r>
  <r>
    <s v="AIJOB00964"/>
    <x v="19"/>
    <x v="27"/>
    <s v="Education"/>
    <s v="Sydney, Australia"/>
    <s v="Australia"/>
    <s v="Hybrid"/>
    <x v="3"/>
    <s v="5-8 yrs"/>
    <n v="169143"/>
    <x v="963"/>
    <s v="Llama"/>
    <s v="Bachelor's"/>
    <n v="45438"/>
    <n v="2500"/>
    <n v="2528"/>
    <s v="No"/>
    <n v="4"/>
    <s v="1001-5000"/>
    <s v="Full-time"/>
    <s v="No"/>
  </r>
  <r>
    <s v="AIJOB00965"/>
    <x v="4"/>
    <x v="24"/>
    <s v="Healthcare"/>
    <s v="Bangalore, India"/>
    <s v="India"/>
    <s v="On-site"/>
    <x v="1"/>
    <s v="8+ yrs"/>
    <n v="196769"/>
    <x v="964"/>
    <s v="Gemini"/>
    <s v="Bachelor's"/>
    <n v="45495"/>
    <n v="1854"/>
    <n v="2816"/>
    <s v="Yes"/>
    <n v="6"/>
    <s v="0-50"/>
    <s v="Contract"/>
    <s v="Yes"/>
  </r>
  <r>
    <s v="AIJOB00966"/>
    <x v="13"/>
    <x v="26"/>
    <s v="Technology"/>
    <s v="Seattle, United States"/>
    <s v="United States"/>
    <s v="Hybrid"/>
    <x v="0"/>
    <s v="0-2 yrs"/>
    <n v="88145"/>
    <x v="965"/>
    <s v="None"/>
    <s v="Master's"/>
    <n v="45490"/>
    <n v="1240"/>
    <n v="1341"/>
    <s v="No"/>
    <n v="0"/>
    <s v="5000+"/>
    <s v="Contract"/>
    <s v="Yes"/>
  </r>
  <r>
    <s v="AIJOB00967"/>
    <x v="7"/>
    <x v="5"/>
    <s v="Finance"/>
    <s v="Paris, France"/>
    <s v="France"/>
    <s v="On-site"/>
    <x v="3"/>
    <s v="5-8 yrs"/>
    <n v="131737"/>
    <x v="966"/>
    <s v="Claude"/>
    <s v="PhD"/>
    <n v="45298"/>
    <n v="1923"/>
    <n v="1814"/>
    <s v="No"/>
    <n v="4"/>
    <s v="201-1000"/>
    <s v="Full-time"/>
    <s v="Yes"/>
  </r>
  <r>
    <s v="AIJOB00968"/>
    <x v="19"/>
    <x v="8"/>
    <s v="Government"/>
    <s v="Toronto, Canada"/>
    <s v="Canada"/>
    <s v="Remote"/>
    <x v="3"/>
    <s v="5-8 yrs"/>
    <n v="198625"/>
    <x v="967"/>
    <s v="Phi"/>
    <s v="Master's"/>
    <n v="45422"/>
    <n v="2246"/>
    <n v="2478"/>
    <s v="No"/>
    <n v="4"/>
    <s v="1001-5000"/>
    <s v="Contract"/>
    <s v="No"/>
  </r>
  <r>
    <s v="AIJOB00969"/>
    <x v="13"/>
    <x v="12"/>
    <s v="Media"/>
    <s v="Paris, France"/>
    <s v="France"/>
    <s v="Hybrid"/>
    <x v="3"/>
    <s v="5-8 yrs"/>
    <n v="148915"/>
    <x v="968"/>
    <s v="Phi"/>
    <s v="PhD"/>
    <n v="45355"/>
    <n v="2043"/>
    <n v="2411"/>
    <s v="No"/>
    <n v="4"/>
    <s v="51-200"/>
    <s v="Contract"/>
    <s v="No"/>
  </r>
  <r>
    <s v="AIJOB00970"/>
    <x v="6"/>
    <x v="3"/>
    <s v="Healthcare"/>
    <s v="Sydney, Australia"/>
    <s v="Australia"/>
    <s v="On-site"/>
    <x v="0"/>
    <s v="0-2 yrs"/>
    <n v="51972"/>
    <x v="969"/>
    <s v="None"/>
    <s v="Bachelor's"/>
    <n v="45453"/>
    <n v="1252"/>
    <n v="159"/>
    <s v="No"/>
    <n v="0"/>
    <s v="5000+"/>
    <s v="Full-time"/>
    <s v="No"/>
  </r>
  <r>
    <s v="AIJOB00971"/>
    <x v="2"/>
    <x v="27"/>
    <s v="Finance"/>
    <s v="Amsterdam, Netherlands"/>
    <s v="Netherlands"/>
    <s v="Remote"/>
    <x v="2"/>
    <s v="2-5 yrs"/>
    <n v="112536"/>
    <x v="970"/>
    <s v="Claude"/>
    <s v="Bootcamp/Self-taught"/>
    <n v="45396"/>
    <n v="2347"/>
    <n v="133"/>
    <s v="No"/>
    <n v="2"/>
    <s v="51-200"/>
    <s v="Part-time"/>
    <s v="No"/>
  </r>
  <r>
    <s v="AIJOB00972"/>
    <x v="15"/>
    <x v="9"/>
    <s v="Healthcare"/>
    <s v="Zurich, Switzerland"/>
    <s v="Switzerland"/>
    <s v="Hybrid"/>
    <x v="0"/>
    <s v="0-2 yrs"/>
    <n v="61418"/>
    <x v="971"/>
    <s v="Gemini"/>
    <s v="PhD"/>
    <n v="45400"/>
    <n v="366"/>
    <n v="268"/>
    <s v="No"/>
    <n v="0"/>
    <s v="1001-5000"/>
    <s v="Full-time"/>
    <s v="Yes"/>
  </r>
  <r>
    <s v="AIJOB00973"/>
    <x v="17"/>
    <x v="26"/>
    <s v="Government"/>
    <s v="Dublin, Ireland"/>
    <s v="Ireland"/>
    <s v="On-site"/>
    <x v="0"/>
    <s v="0-2 yrs"/>
    <n v="80592"/>
    <x v="972"/>
    <s v="Mistral"/>
    <s v="Master's"/>
    <n v="45597"/>
    <n v="680"/>
    <n v="1192"/>
    <s v="Yes"/>
    <n v="0"/>
    <s v="51-200"/>
    <s v="Contract"/>
    <s v="Yes"/>
  </r>
  <r>
    <s v="AIJOB00974"/>
    <x v="18"/>
    <x v="10"/>
    <s v="Healthcare"/>
    <s v="Seattle, United States"/>
    <s v="United States"/>
    <s v="Hybrid"/>
    <x v="2"/>
    <s v="2-5 yrs"/>
    <n v="97078"/>
    <x v="973"/>
    <s v="Phi"/>
    <s v="Bachelor's"/>
    <n v="45678"/>
    <n v="1567"/>
    <n v="1683"/>
    <s v="Maybe"/>
    <n v="2"/>
    <s v="5000+"/>
    <s v="Full-time"/>
    <s v="No"/>
  </r>
  <r>
    <s v="AIJOB00975"/>
    <x v="0"/>
    <x v="15"/>
    <s v="Government"/>
    <s v="San Francisco, United States"/>
    <s v="United States"/>
    <s v="Remote"/>
    <x v="0"/>
    <s v="0-2 yrs"/>
    <n v="64378"/>
    <x v="974"/>
    <s v="Gemini"/>
    <s v="PhD"/>
    <n v="45687"/>
    <n v="1442"/>
    <n v="3874"/>
    <s v="No"/>
    <n v="0"/>
    <s v="5000+"/>
    <s v="Full-time"/>
    <s v="No"/>
  </r>
  <r>
    <s v="AIJOB00976"/>
    <x v="18"/>
    <x v="22"/>
    <s v="Finance"/>
    <s v="New York, United States"/>
    <s v="United States"/>
    <s v="Remote"/>
    <x v="0"/>
    <s v="0-2 yrs"/>
    <n v="50000"/>
    <x v="975"/>
    <s v="Falcon"/>
    <s v="PhD"/>
    <n v="45634"/>
    <n v="1220"/>
    <n v="1165"/>
    <s v="Yes"/>
    <n v="0"/>
    <s v="1001-5000"/>
    <s v="Full-time"/>
    <s v="Yes"/>
  </r>
  <r>
    <s v="AIJOB00977"/>
    <x v="6"/>
    <x v="22"/>
    <s v="Energy"/>
    <s v="Tokyo, Japan"/>
    <s v="Japan"/>
    <s v="Hybrid"/>
    <x v="3"/>
    <s v="5-8 yrs"/>
    <n v="137787"/>
    <x v="976"/>
    <s v="Llama"/>
    <s v="Bachelor's"/>
    <n v="45559"/>
    <n v="2488"/>
    <n v="2982"/>
    <s v="No"/>
    <n v="4"/>
    <s v="5000+"/>
    <s v="Full-time"/>
    <s v="Yes"/>
  </r>
  <r>
    <s v="AIJOB00978"/>
    <x v="14"/>
    <x v="3"/>
    <s v="Education"/>
    <s v="Dublin, Ireland"/>
    <s v="Ireland"/>
    <s v="Remote"/>
    <x v="0"/>
    <s v="0-2 yrs"/>
    <n v="50000"/>
    <x v="977"/>
    <s v="None"/>
    <s v="PhD"/>
    <n v="45513"/>
    <n v="597"/>
    <n v="1501"/>
    <s v="Yes"/>
    <n v="0"/>
    <s v="5000+"/>
    <s v="Full-time"/>
    <s v="Yes"/>
  </r>
  <r>
    <s v="AIJOB00979"/>
    <x v="4"/>
    <x v="6"/>
    <s v="Government"/>
    <s v="Chicago, United States"/>
    <s v="United States"/>
    <s v="Remote"/>
    <x v="1"/>
    <s v="8+ yrs"/>
    <n v="142979"/>
    <x v="978"/>
    <s v="None"/>
    <s v="Master's"/>
    <n v="45596"/>
    <n v="2438"/>
    <n v="2374"/>
    <s v="No"/>
    <n v="6"/>
    <s v="51-200"/>
    <s v="Full-time"/>
    <s v="Yes"/>
  </r>
  <r>
    <s v="AIJOB00980"/>
    <x v="4"/>
    <x v="11"/>
    <s v="Education"/>
    <s v="Zurich, Switzerland"/>
    <s v="Switzerland"/>
    <s v="Remote"/>
    <x v="0"/>
    <s v="0-2 yrs"/>
    <n v="79581"/>
    <x v="979"/>
    <s v="Falcon"/>
    <s v="Master's"/>
    <n v="45363"/>
    <n v="1491"/>
    <n v="2902"/>
    <s v="Yes"/>
    <n v="0"/>
    <s v="51-200"/>
    <s v="Full-time"/>
    <s v="Yes"/>
  </r>
  <r>
    <s v="AIJOB00981"/>
    <x v="15"/>
    <x v="0"/>
    <s v="Automotive"/>
    <s v="London, United Kingdom"/>
    <s v="United Kingdom"/>
    <s v="Hybrid"/>
    <x v="0"/>
    <s v="0-2 yrs"/>
    <n v="79901"/>
    <x v="980"/>
    <s v="None"/>
    <s v="Bachelor's"/>
    <n v="45700"/>
    <n v="877"/>
    <n v="2480"/>
    <s v="Maybe"/>
    <n v="0"/>
    <s v="201-1000"/>
    <s v="Full-time"/>
    <s v="Yes"/>
  </r>
  <r>
    <s v="AIJOB00982"/>
    <x v="17"/>
    <x v="28"/>
    <s v="Education"/>
    <s v="Boston, United States"/>
    <s v="United States"/>
    <s v="Remote"/>
    <x v="3"/>
    <s v="5-8 yrs"/>
    <n v="161487"/>
    <x v="981"/>
    <s v="None"/>
    <s v="PhD"/>
    <n v="45359"/>
    <n v="485"/>
    <n v="1316"/>
    <s v="No"/>
    <n v="4"/>
    <s v="5000+"/>
    <s v="Full-time"/>
    <s v="No"/>
  </r>
  <r>
    <s v="AIJOB00983"/>
    <x v="3"/>
    <x v="8"/>
    <s v="Government"/>
    <s v="Boston, United States"/>
    <s v="United States"/>
    <s v="Hybrid"/>
    <x v="2"/>
    <s v="2-5 yrs"/>
    <n v="90853"/>
    <x v="982"/>
    <s v="None"/>
    <s v="Master's"/>
    <n v="45292"/>
    <n v="516"/>
    <n v="1891"/>
    <s v="Yes"/>
    <n v="2"/>
    <s v="51-200"/>
    <s v="Full-time"/>
    <s v="No"/>
  </r>
  <r>
    <s v="AIJOB00984"/>
    <x v="15"/>
    <x v="29"/>
    <s v="Energy"/>
    <s v="Stockholm, Sweden"/>
    <s v="Sweden"/>
    <s v="Hybrid"/>
    <x v="2"/>
    <s v="2-5 yrs"/>
    <n v="109055"/>
    <x v="983"/>
    <s v="None"/>
    <s v="Bachelor's"/>
    <n v="45746"/>
    <n v="1372"/>
    <n v="2947"/>
    <s v="No"/>
    <n v="2"/>
    <s v="0-50"/>
    <s v="Full-time"/>
    <s v="Yes"/>
  </r>
  <r>
    <s v="AIJOB00985"/>
    <x v="11"/>
    <x v="28"/>
    <s v="Technology"/>
    <s v="San Francisco, United States"/>
    <s v="United States"/>
    <s v="Hybrid"/>
    <x v="3"/>
    <s v="5-8 yrs"/>
    <n v="149902"/>
    <x v="984"/>
    <s v="Grok"/>
    <s v="Master's"/>
    <n v="45322"/>
    <n v="2199"/>
    <n v="3638"/>
    <s v="No"/>
    <n v="4"/>
    <s v="0-50"/>
    <s v="Full-time"/>
    <s v="Yes"/>
  </r>
  <r>
    <s v="AIJOB00986"/>
    <x v="17"/>
    <x v="19"/>
    <s v="Media"/>
    <s v="Paris, France"/>
    <s v="France"/>
    <s v="On-site"/>
    <x v="3"/>
    <s v="5-8 yrs"/>
    <n v="118724"/>
    <x v="985"/>
    <s v="Claude"/>
    <s v="Master's"/>
    <n v="45733"/>
    <n v="360"/>
    <n v="28"/>
    <s v="Maybe"/>
    <n v="4"/>
    <s v="201-1000"/>
    <s v="Contract"/>
    <s v="No"/>
  </r>
  <r>
    <s v="AIJOB00987"/>
    <x v="4"/>
    <x v="2"/>
    <s v="Energy"/>
    <s v="Stockholm, Sweden"/>
    <s v="Sweden"/>
    <s v="Hybrid"/>
    <x v="3"/>
    <s v="5-8 yrs"/>
    <n v="190591"/>
    <x v="986"/>
    <s v="BLOOM"/>
    <s v="Master's"/>
    <n v="45649"/>
    <n v="1988"/>
    <n v="1421"/>
    <s v="Yes"/>
    <n v="4"/>
    <s v="201-1000"/>
    <s v="Full-time"/>
    <s v="No"/>
  </r>
  <r>
    <s v="AIJOB00988"/>
    <x v="0"/>
    <x v="17"/>
    <s v="Automotive"/>
    <s v="Seattle, United States"/>
    <s v="United States"/>
    <s v="On-site"/>
    <x v="1"/>
    <s v="8+ yrs"/>
    <n v="231585"/>
    <x v="987"/>
    <s v="Claude"/>
    <s v="Master's"/>
    <n v="45698"/>
    <n v="929"/>
    <n v="1450"/>
    <s v="No"/>
    <n v="6"/>
    <s v="5000+"/>
    <s v="Full-time"/>
    <s v="No"/>
  </r>
  <r>
    <s v="AIJOB00989"/>
    <x v="4"/>
    <x v="1"/>
    <s v="Healthcare"/>
    <s v="Sydney, Australia"/>
    <s v="Australia"/>
    <s v="Remote"/>
    <x v="1"/>
    <s v="8+ yrs"/>
    <n v="192045"/>
    <x v="988"/>
    <s v="None"/>
    <s v="Master's"/>
    <n v="45743"/>
    <n v="547"/>
    <n v="1671"/>
    <s v="Maybe"/>
    <n v="6"/>
    <s v="5000+"/>
    <s v="Full-time"/>
    <s v="No"/>
  </r>
  <r>
    <s v="AIJOB00990"/>
    <x v="14"/>
    <x v="1"/>
    <s v="Retail"/>
    <s v="Zurich, Switzerland"/>
    <s v="Switzerland"/>
    <s v="Hybrid"/>
    <x v="2"/>
    <s v="2-5 yrs"/>
    <n v="110532"/>
    <x v="989"/>
    <s v="Gemini"/>
    <s v="Master's"/>
    <n v="45659"/>
    <n v="1520"/>
    <n v="1672"/>
    <s v="Maybe"/>
    <n v="2"/>
    <s v="5000+"/>
    <s v="Full-time"/>
    <s v="Yes"/>
  </r>
  <r>
    <s v="AIJOB00991"/>
    <x v="14"/>
    <x v="20"/>
    <s v="Retail"/>
    <s v="Amsterdam, Netherlands"/>
    <s v="Netherlands"/>
    <s v="Hybrid"/>
    <x v="1"/>
    <s v="8+ yrs"/>
    <n v="207501"/>
    <x v="990"/>
    <s v="BLOOM"/>
    <s v="Master's"/>
    <n v="45493"/>
    <n v="339"/>
    <n v="2443"/>
    <s v="Yes"/>
    <n v="6"/>
    <s v="201-1000"/>
    <s v="Contract"/>
    <s v="Yes"/>
  </r>
  <r>
    <s v="AIJOB00992"/>
    <x v="17"/>
    <x v="11"/>
    <s v="Defense"/>
    <s v="Sydney, Australia"/>
    <s v="Australia"/>
    <s v="Hybrid"/>
    <x v="1"/>
    <s v="8+ yrs"/>
    <n v="126497"/>
    <x v="991"/>
    <s v="None"/>
    <s v="Bootcamp/Self-taught"/>
    <n v="45633"/>
    <n v="378"/>
    <n v="592"/>
    <s v="No"/>
    <n v="6"/>
    <s v="201-1000"/>
    <s v="Contract"/>
    <s v="Yes"/>
  </r>
  <r>
    <s v="AIJOB00993"/>
    <x v="11"/>
    <x v="13"/>
    <s v="Healthcare"/>
    <s v="Toronto, Canada"/>
    <s v="Canada"/>
    <s v="Remote"/>
    <x v="0"/>
    <s v="0-2 yrs"/>
    <n v="66885"/>
    <x v="992"/>
    <s v="None"/>
    <s v="Bootcamp/Self-taught"/>
    <n v="45304"/>
    <n v="638"/>
    <n v="2741"/>
    <s v="Yes"/>
    <n v="0"/>
    <s v="1001-5000"/>
    <s v="Contract"/>
    <s v="No"/>
  </r>
  <r>
    <s v="AIJOB00994"/>
    <x v="12"/>
    <x v="16"/>
    <s v="Healthcare"/>
    <s v="New York, United States"/>
    <s v="United States"/>
    <s v="Remote"/>
    <x v="3"/>
    <s v="5-8 yrs"/>
    <n v="131586"/>
    <x v="993"/>
    <s v="Llama"/>
    <s v="Bootcamp/Self-taught"/>
    <n v="45732"/>
    <n v="1721"/>
    <n v="3969"/>
    <s v="No"/>
    <n v="4"/>
    <s v="5000+"/>
    <s v="Full-time"/>
    <s v="No"/>
  </r>
  <r>
    <s v="AIJOB00995"/>
    <x v="6"/>
    <x v="17"/>
    <s v="Government"/>
    <s v="New York, United States"/>
    <s v="United States"/>
    <s v="Remote"/>
    <x v="3"/>
    <s v="5-8 yrs"/>
    <n v="122956"/>
    <x v="994"/>
    <s v="Phi"/>
    <s v="PhD"/>
    <n v="45314"/>
    <n v="1799"/>
    <n v="2647"/>
    <s v="Yes"/>
    <n v="4"/>
    <s v="51-200"/>
    <s v="Full-time"/>
    <s v="No"/>
  </r>
  <r>
    <s v="AIJOB00996"/>
    <x v="17"/>
    <x v="11"/>
    <s v="Technology"/>
    <s v="Chicago, United States"/>
    <s v="United States"/>
    <s v="Remote"/>
    <x v="0"/>
    <s v="0-2 yrs"/>
    <n v="66458"/>
    <x v="995"/>
    <s v="None"/>
    <s v="Bachelor's"/>
    <n v="45638"/>
    <n v="816"/>
    <n v="3850"/>
    <s v="Yes"/>
    <n v="0"/>
    <s v="51-200"/>
    <s v="Full-time"/>
    <s v="No"/>
  </r>
  <r>
    <s v="AIJOB00997"/>
    <x v="5"/>
    <x v="28"/>
    <s v="Government"/>
    <s v="Seattle, United States"/>
    <s v="United States"/>
    <s v="Hybrid"/>
    <x v="0"/>
    <s v="0-2 yrs"/>
    <n v="92650"/>
    <x v="996"/>
    <s v="None"/>
    <s v="PhD"/>
    <n v="45612"/>
    <n v="1297"/>
    <n v="3734"/>
    <s v="No"/>
    <n v="0"/>
    <s v="5000+"/>
    <s v="Full-time"/>
    <s v="Yes"/>
  </r>
  <r>
    <s v="AIJOB00998"/>
    <x v="11"/>
    <x v="29"/>
    <s v="Energy"/>
    <s v="New York, United States"/>
    <s v="United States"/>
    <s v="Remote"/>
    <x v="0"/>
    <s v="0-2 yrs"/>
    <n v="78074"/>
    <x v="997"/>
    <s v="None"/>
    <s v="Bachelor's"/>
    <n v="45541"/>
    <n v="1884"/>
    <n v="2947"/>
    <s v="No"/>
    <n v="0"/>
    <s v="201-1000"/>
    <s v="Full-time"/>
    <s v="No"/>
  </r>
  <r>
    <s v="AIJOB00999"/>
    <x v="7"/>
    <x v="22"/>
    <s v="Defense"/>
    <s v="Dublin, Ireland"/>
    <s v="Ireland"/>
    <s v="Remote"/>
    <x v="1"/>
    <s v="8+ yrs"/>
    <n v="179437"/>
    <x v="998"/>
    <s v="Mistral"/>
    <s v="Master's"/>
    <n v="45640"/>
    <n v="1835"/>
    <n v="3540"/>
    <s v="Yes"/>
    <n v="6"/>
    <s v="0-50"/>
    <s v="Full-time"/>
    <s v="No"/>
  </r>
  <r>
    <s v="AIJOB01000"/>
    <x v="15"/>
    <x v="1"/>
    <s v="Automotive"/>
    <s v="Austin, United States"/>
    <s v="United States"/>
    <s v="Remote"/>
    <x v="3"/>
    <s v="5-8 yrs"/>
    <n v="165459"/>
    <x v="999"/>
    <s v="None"/>
    <s v="Bachelor's"/>
    <n v="45374"/>
    <n v="1902"/>
    <n v="762"/>
    <s v="No"/>
    <n v="4"/>
    <s v="1001-5000"/>
    <s v="Full-time"/>
    <s v="Yes"/>
  </r>
  <r>
    <s v="AIJOB01001"/>
    <x v="17"/>
    <x v="13"/>
    <s v="Technology"/>
    <s v="Zurich, Switzerland"/>
    <s v="Switzerland"/>
    <s v="Hybrid"/>
    <x v="2"/>
    <s v="2-5 yrs"/>
    <n v="137707"/>
    <x v="1000"/>
    <s v="None"/>
    <s v="PhD"/>
    <n v="45368"/>
    <n v="430"/>
    <n v="2350"/>
    <s v="Yes"/>
    <n v="2"/>
    <s v="1001-5000"/>
    <s v="Contract"/>
    <s v="Yes"/>
  </r>
  <r>
    <s v="AIJOB01002"/>
    <x v="7"/>
    <x v="19"/>
    <s v="Healthcare"/>
    <s v="Stockholm, Sweden"/>
    <s v="Sweden"/>
    <s v="Hybrid"/>
    <x v="0"/>
    <s v="0-2 yrs"/>
    <n v="81650"/>
    <x v="1001"/>
    <s v="Llama"/>
    <s v="Master's"/>
    <n v="45503"/>
    <n v="326"/>
    <n v="1163"/>
    <s v="Maybe"/>
    <n v="0"/>
    <s v="201-1000"/>
    <s v="Part-time"/>
    <s v="No"/>
  </r>
  <r>
    <s v="AIJOB01003"/>
    <x v="14"/>
    <x v="6"/>
    <s v="Media"/>
    <s v="Zurich, Switzerland"/>
    <s v="Switzerland"/>
    <s v="Hybrid"/>
    <x v="3"/>
    <s v="5-8 yrs"/>
    <n v="151610"/>
    <x v="1002"/>
    <s v="Grok"/>
    <s v="Master's"/>
    <n v="45570"/>
    <n v="1918"/>
    <n v="200"/>
    <s v="Yes"/>
    <n v="4"/>
    <s v="51-200"/>
    <s v="Full-time"/>
    <s v="No"/>
  </r>
  <r>
    <s v="AIJOB01004"/>
    <x v="15"/>
    <x v="29"/>
    <s v="Education"/>
    <s v="Berlin, Germany"/>
    <s v="Germany"/>
    <s v="Hybrid"/>
    <x v="0"/>
    <s v="0-2 yrs"/>
    <n v="61848"/>
    <x v="1003"/>
    <s v="GPT-4"/>
    <s v="Bachelor's"/>
    <n v="45473"/>
    <n v="1710"/>
    <n v="3458"/>
    <s v="Yes"/>
    <n v="0"/>
    <s v="5000+"/>
    <s v="Full-time"/>
    <s v="Yes"/>
  </r>
  <r>
    <s v="AIJOB01005"/>
    <x v="15"/>
    <x v="29"/>
    <s v="Education"/>
    <s v="Tokyo, Japan"/>
    <s v="Japan"/>
    <s v="Hybrid"/>
    <x v="0"/>
    <s v="0-2 yrs"/>
    <n v="78797"/>
    <x v="1004"/>
    <s v="Grok"/>
    <s v="PhD"/>
    <n v="45379"/>
    <n v="1799"/>
    <n v="2326"/>
    <s v="Yes"/>
    <n v="0"/>
    <s v="0-50"/>
    <s v="Contract"/>
    <s v="No"/>
  </r>
  <r>
    <s v="AIJOB01006"/>
    <x v="9"/>
    <x v="4"/>
    <s v="Energy"/>
    <s v="Austin, United States"/>
    <s v="United States"/>
    <s v="Hybrid"/>
    <x v="3"/>
    <s v="5-8 yrs"/>
    <n v="160624"/>
    <x v="1005"/>
    <s v="Claude"/>
    <s v="Master's"/>
    <n v="45333"/>
    <n v="506"/>
    <n v="3083"/>
    <s v="Maybe"/>
    <n v="4"/>
    <s v="201-1000"/>
    <s v="Contract"/>
    <s v="No"/>
  </r>
  <r>
    <s v="AIJOB01007"/>
    <x v="6"/>
    <x v="16"/>
    <s v="Technology"/>
    <s v="Seattle, United States"/>
    <s v="United States"/>
    <s v="Hybrid"/>
    <x v="2"/>
    <s v="2-5 yrs"/>
    <n v="127724"/>
    <x v="1006"/>
    <s v="Mistral"/>
    <s v="Master's"/>
    <n v="45484"/>
    <n v="2404"/>
    <n v="575"/>
    <s v="Yes"/>
    <n v="2"/>
    <s v="1001-5000"/>
    <s v="Full-time"/>
    <s v="Yes"/>
  </r>
  <r>
    <s v="AIJOB01008"/>
    <x v="1"/>
    <x v="24"/>
    <s v="Automotive"/>
    <s v="Tokyo, Japan"/>
    <s v="Japan"/>
    <s v="Remote"/>
    <x v="2"/>
    <s v="2-5 yrs"/>
    <n v="122576"/>
    <x v="1007"/>
    <s v="Mistral"/>
    <s v="Master's"/>
    <n v="45357"/>
    <n v="839"/>
    <n v="3796"/>
    <s v="No"/>
    <n v="2"/>
    <s v="5000+"/>
    <s v="Contract"/>
    <s v="Yes"/>
  </r>
  <r>
    <s v="AIJOB01009"/>
    <x v="16"/>
    <x v="21"/>
    <s v="Healthcare"/>
    <s v="San Francisco, United States"/>
    <s v="United States"/>
    <s v="Hybrid"/>
    <x v="2"/>
    <s v="2-5 yrs"/>
    <n v="130781"/>
    <x v="1008"/>
    <s v="GPT-4"/>
    <s v="Bachelor's"/>
    <n v="45668"/>
    <n v="837"/>
    <n v="544"/>
    <s v="No"/>
    <n v="2"/>
    <s v="1001-5000"/>
    <s v="Full-time"/>
    <s v="No"/>
  </r>
  <r>
    <s v="AIJOB01010"/>
    <x v="0"/>
    <x v="0"/>
    <s v="Automotive"/>
    <s v="Boston, United States"/>
    <s v="United States"/>
    <s v="Hybrid"/>
    <x v="2"/>
    <s v="2-5 yrs"/>
    <n v="99402"/>
    <x v="1009"/>
    <s v="None"/>
    <s v="Master's"/>
    <n v="45313"/>
    <n v="311"/>
    <n v="2804"/>
    <s v="Maybe"/>
    <n v="2"/>
    <s v="0-50"/>
    <s v="Full-time"/>
    <s v="No"/>
  </r>
  <r>
    <s v="AIJOB01011"/>
    <x v="7"/>
    <x v="25"/>
    <s v="Finance"/>
    <s v="Bangalore, India"/>
    <s v="India"/>
    <s v="Hybrid"/>
    <x v="1"/>
    <s v="8+ yrs"/>
    <n v="247426"/>
    <x v="1010"/>
    <s v="Gemini"/>
    <s v="Master's"/>
    <n v="45495"/>
    <n v="603"/>
    <n v="1933"/>
    <s v="No"/>
    <n v="6"/>
    <s v="5000+"/>
    <s v="Full-time"/>
    <s v="No"/>
  </r>
  <r>
    <s v="AIJOB01012"/>
    <x v="12"/>
    <x v="4"/>
    <s v="Healthcare"/>
    <s v="London, United Kingdom"/>
    <s v="United Kingdom"/>
    <s v="On-site"/>
    <x v="2"/>
    <s v="2-5 yrs"/>
    <n v="113912"/>
    <x v="1011"/>
    <s v="BLOOM"/>
    <s v="Bachelor's"/>
    <n v="45306"/>
    <n v="632"/>
    <n v="3292"/>
    <s v="Maybe"/>
    <n v="2"/>
    <s v="0-50"/>
    <s v="Full-time"/>
    <s v="Yes"/>
  </r>
  <r>
    <s v="AIJOB01013"/>
    <x v="17"/>
    <x v="29"/>
    <s v="Healthcare"/>
    <s v="Chicago, United States"/>
    <s v="United States"/>
    <s v="Hybrid"/>
    <x v="3"/>
    <s v="5-8 yrs"/>
    <n v="206032"/>
    <x v="1012"/>
    <s v="BLOOM"/>
    <s v="Bachelor's"/>
    <n v="45480"/>
    <n v="2397"/>
    <n v="3303"/>
    <s v="No"/>
    <n v="4"/>
    <s v="201-1000"/>
    <s v="Full-time"/>
    <s v="No"/>
  </r>
  <r>
    <s v="AIJOB01014"/>
    <x v="2"/>
    <x v="2"/>
    <s v="Media"/>
    <s v="New York, United States"/>
    <s v="United States"/>
    <s v="Remote"/>
    <x v="3"/>
    <s v="5-8 yrs"/>
    <n v="131391"/>
    <x v="1013"/>
    <s v="None"/>
    <s v="Master's"/>
    <n v="45512"/>
    <n v="1538"/>
    <n v="2661"/>
    <s v="No"/>
    <n v="4"/>
    <s v="51-200"/>
    <s v="Full-time"/>
    <s v="Yes"/>
  </r>
  <r>
    <s v="AIJOB01015"/>
    <x v="15"/>
    <x v="3"/>
    <s v="Healthcare"/>
    <s v="Berlin, Germany"/>
    <s v="Germany"/>
    <s v="Remote"/>
    <x v="1"/>
    <s v="8+ yrs"/>
    <n v="262494"/>
    <x v="1014"/>
    <s v="BLOOM"/>
    <s v="Bootcamp/Self-taught"/>
    <n v="45719"/>
    <n v="1707"/>
    <n v="3863"/>
    <s v="No"/>
    <n v="6"/>
    <s v="201-1000"/>
    <s v="Full-time"/>
    <s v="Yes"/>
  </r>
  <r>
    <s v="AIJOB01016"/>
    <x v="10"/>
    <x v="29"/>
    <s v="Finance"/>
    <s v="Stockholm, Sweden"/>
    <s v="Sweden"/>
    <s v="Hybrid"/>
    <x v="0"/>
    <s v="0-2 yrs"/>
    <n v="72493"/>
    <x v="1015"/>
    <s v="None"/>
    <s v="Master's"/>
    <n v="45596"/>
    <n v="1857"/>
    <n v="1089"/>
    <s v="Yes"/>
    <n v="0"/>
    <s v="5000+"/>
    <s v="Full-time"/>
    <s v="Yes"/>
  </r>
  <r>
    <s v="AIJOB01017"/>
    <x v="3"/>
    <x v="26"/>
    <s v="Technology"/>
    <s v="Bangalore, India"/>
    <s v="India"/>
    <s v="On-site"/>
    <x v="3"/>
    <s v="5-8 yrs"/>
    <n v="132411"/>
    <x v="1016"/>
    <s v="Mistral"/>
    <s v="PhD"/>
    <n v="45387"/>
    <n v="1286"/>
    <n v="327"/>
    <s v="Yes"/>
    <n v="4"/>
    <s v="201-1000"/>
    <s v="Contract"/>
    <s v="No"/>
  </r>
  <r>
    <s v="AIJOB01018"/>
    <x v="11"/>
    <x v="2"/>
    <s v="Automotive"/>
    <s v="Boston, United States"/>
    <s v="United States"/>
    <s v="On-site"/>
    <x v="0"/>
    <s v="0-2 yrs"/>
    <n v="63903"/>
    <x v="1017"/>
    <s v="None"/>
    <s v="Master's"/>
    <n v="45428"/>
    <n v="2157"/>
    <n v="1654"/>
    <s v="No"/>
    <n v="0"/>
    <s v="201-1000"/>
    <s v="Contract"/>
    <s v="No"/>
  </r>
  <r>
    <s v="AIJOB01019"/>
    <x v="18"/>
    <x v="6"/>
    <s v="Energy"/>
    <s v="Boston, United States"/>
    <s v="United States"/>
    <s v="On-site"/>
    <x v="2"/>
    <s v="2-5 yrs"/>
    <n v="103657"/>
    <x v="1018"/>
    <s v="Grok"/>
    <s v="Master's"/>
    <n v="45515"/>
    <n v="560"/>
    <n v="1774"/>
    <s v="Yes"/>
    <n v="2"/>
    <s v="201-1000"/>
    <s v="Full-time"/>
    <s v="Yes"/>
  </r>
  <r>
    <s v="AIJOB01020"/>
    <x v="5"/>
    <x v="25"/>
    <s v="Healthcare"/>
    <s v="San Francisco, United States"/>
    <s v="United States"/>
    <s v="Hybrid"/>
    <x v="3"/>
    <s v="5-8 yrs"/>
    <n v="161452"/>
    <x v="1019"/>
    <s v="BLOOM"/>
    <s v="Master's"/>
    <n v="45296"/>
    <n v="1820"/>
    <n v="2368"/>
    <s v="No"/>
    <n v="4"/>
    <s v="201-1000"/>
    <s v="Contract"/>
    <s v="Yes"/>
  </r>
  <r>
    <s v="AIJOB01021"/>
    <x v="7"/>
    <x v="21"/>
    <s v="Healthcare"/>
    <s v="Bangalore, India"/>
    <s v="India"/>
    <s v="On-site"/>
    <x v="0"/>
    <s v="0-2 yrs"/>
    <n v="76587"/>
    <x v="1020"/>
    <s v="Claude"/>
    <s v="Master's"/>
    <n v="45433"/>
    <n v="1471"/>
    <n v="225"/>
    <s v="Maybe"/>
    <n v="0"/>
    <s v="201-1000"/>
    <s v="Full-time"/>
    <s v="No"/>
  </r>
  <r>
    <s v="AIJOB01022"/>
    <x v="7"/>
    <x v="0"/>
    <s v="Retail"/>
    <s v="Los Angeles, United States"/>
    <s v="United States"/>
    <s v="On-site"/>
    <x v="2"/>
    <s v="2-5 yrs"/>
    <n v="98640"/>
    <x v="1021"/>
    <s v="Grok"/>
    <s v="Master's"/>
    <n v="45446"/>
    <n v="2175"/>
    <n v="935"/>
    <s v="Yes"/>
    <n v="2"/>
    <s v="0-50"/>
    <s v="Full-time"/>
    <s v="No"/>
  </r>
  <r>
    <s v="AIJOB01023"/>
    <x v="0"/>
    <x v="29"/>
    <s v="Energy"/>
    <s v="Dublin, Ireland"/>
    <s v="Ireland"/>
    <s v="On-site"/>
    <x v="1"/>
    <s v="8+ yrs"/>
    <n v="199123"/>
    <x v="1022"/>
    <s v="Claude"/>
    <s v="Bachelor's"/>
    <n v="45377"/>
    <n v="940"/>
    <n v="866"/>
    <s v="No"/>
    <n v="6"/>
    <s v="201-1000"/>
    <s v="Contract"/>
    <s v="Yes"/>
  </r>
  <r>
    <s v="AIJOB01024"/>
    <x v="10"/>
    <x v="29"/>
    <s v="Technology"/>
    <s v="Amsterdam, Netherlands"/>
    <s v="Netherlands"/>
    <s v="Remote"/>
    <x v="1"/>
    <s v="8+ yrs"/>
    <n v="277121"/>
    <x v="1023"/>
    <s v="None"/>
    <s v="Master's"/>
    <n v="45640"/>
    <n v="1983"/>
    <n v="3273"/>
    <s v="No"/>
    <n v="6"/>
    <s v="51-200"/>
    <s v="Full-time"/>
    <s v="Yes"/>
  </r>
  <r>
    <s v="AIJOB01025"/>
    <x v="14"/>
    <x v="10"/>
    <s v="Technology"/>
    <s v="Zurich, Switzerland"/>
    <s v="Switzerland"/>
    <s v="Remote"/>
    <x v="2"/>
    <s v="2-5 yrs"/>
    <n v="144205"/>
    <x v="1024"/>
    <s v="GPT-4"/>
    <s v="Bootcamp/Self-taught"/>
    <n v="45641"/>
    <n v="1762"/>
    <n v="3349"/>
    <s v="Yes"/>
    <n v="2"/>
    <s v="1001-5000"/>
    <s v="Part-time"/>
    <s v="Yes"/>
  </r>
  <r>
    <s v="AIJOB01026"/>
    <x v="16"/>
    <x v="20"/>
    <s v="Healthcare"/>
    <s v="Dublin, Ireland"/>
    <s v="Ireland"/>
    <s v="Hybrid"/>
    <x v="3"/>
    <s v="5-8 yrs"/>
    <n v="161780"/>
    <x v="1025"/>
    <s v="None"/>
    <s v="Bachelor's"/>
    <n v="45315"/>
    <n v="1063"/>
    <n v="1319"/>
    <s v="No"/>
    <n v="4"/>
    <s v="51-200"/>
    <s v="Full-time"/>
    <s v="Yes"/>
  </r>
  <r>
    <s v="AIJOB01027"/>
    <x v="5"/>
    <x v="24"/>
    <s v="Healthcare"/>
    <s v="Zurich, Switzerland"/>
    <s v="Switzerland"/>
    <s v="Hybrid"/>
    <x v="2"/>
    <s v="2-5 yrs"/>
    <n v="110752"/>
    <x v="1026"/>
    <s v="Claude"/>
    <s v="Bootcamp/Self-taught"/>
    <n v="45355"/>
    <n v="1112"/>
    <n v="508"/>
    <s v="Yes"/>
    <n v="2"/>
    <s v="5000+"/>
    <s v="Full-time"/>
    <s v="No"/>
  </r>
  <r>
    <s v="AIJOB01028"/>
    <x v="10"/>
    <x v="25"/>
    <s v="Government"/>
    <s v="Toronto, Canada"/>
    <s v="Canada"/>
    <s v="On-site"/>
    <x v="1"/>
    <s v="8+ yrs"/>
    <n v="204321"/>
    <x v="1027"/>
    <s v="Falcon"/>
    <s v="PhD"/>
    <n v="45305"/>
    <n v="1173"/>
    <n v="3735"/>
    <s v="Yes"/>
    <n v="6"/>
    <s v="51-200"/>
    <s v="Full-time"/>
    <s v="No"/>
  </r>
  <r>
    <s v="AIJOB01029"/>
    <x v="14"/>
    <x v="8"/>
    <s v="Retail"/>
    <s v="Tokyo, Japan"/>
    <s v="Japan"/>
    <s v="Remote"/>
    <x v="2"/>
    <s v="2-5 yrs"/>
    <n v="122147"/>
    <x v="1028"/>
    <s v="None"/>
    <s v="PhD"/>
    <n v="45559"/>
    <n v="1223"/>
    <n v="539"/>
    <s v="Yes"/>
    <n v="2"/>
    <s v="1001-5000"/>
    <s v="Full-time"/>
    <s v="Yes"/>
  </r>
  <r>
    <s v="AIJOB01030"/>
    <x v="17"/>
    <x v="11"/>
    <s v="Energy"/>
    <s v="Chicago, United States"/>
    <s v="United States"/>
    <s v="Remote"/>
    <x v="1"/>
    <s v="8+ yrs"/>
    <n v="163179"/>
    <x v="1029"/>
    <s v="None"/>
    <s v="PhD"/>
    <n v="45317"/>
    <n v="1118"/>
    <n v="1571"/>
    <s v="Yes"/>
    <n v="6"/>
    <s v="0-50"/>
    <s v="Full-time"/>
    <s v="Yes"/>
  </r>
  <r>
    <s v="AIJOB01031"/>
    <x v="0"/>
    <x v="7"/>
    <s v="Automotive"/>
    <s v="Stockholm, Sweden"/>
    <s v="Sweden"/>
    <s v="Remote"/>
    <x v="3"/>
    <s v="5-8 yrs"/>
    <n v="143050"/>
    <x v="1030"/>
    <s v="Mistral"/>
    <s v="PhD"/>
    <n v="45577"/>
    <n v="2259"/>
    <n v="830"/>
    <s v="No"/>
    <n v="4"/>
    <s v="201-1000"/>
    <s v="Full-time"/>
    <s v="Yes"/>
  </r>
  <r>
    <s v="AIJOB01032"/>
    <x v="9"/>
    <x v="28"/>
    <s v="Energy"/>
    <s v="Berlin, Germany"/>
    <s v="Germany"/>
    <s v="On-site"/>
    <x v="2"/>
    <s v="2-5 yrs"/>
    <n v="76962"/>
    <x v="1031"/>
    <s v="None"/>
    <s v="Bootcamp/Self-taught"/>
    <n v="45656"/>
    <n v="931"/>
    <n v="2948"/>
    <s v="No"/>
    <n v="2"/>
    <s v="51-200"/>
    <s v="Full-time"/>
    <s v="No"/>
  </r>
  <r>
    <s v="AIJOB01033"/>
    <x v="11"/>
    <x v="10"/>
    <s v="Education"/>
    <s v="Chicago, United States"/>
    <s v="United States"/>
    <s v="Remote"/>
    <x v="0"/>
    <s v="0-2 yrs"/>
    <n v="75030"/>
    <x v="1032"/>
    <s v="None"/>
    <s v="PhD"/>
    <n v="45746"/>
    <n v="1302"/>
    <n v="283"/>
    <s v="Maybe"/>
    <n v="0"/>
    <s v="0-50"/>
    <s v="Full-time"/>
    <s v="Yes"/>
  </r>
  <r>
    <s v="AIJOB01034"/>
    <x v="8"/>
    <x v="1"/>
    <s v="Healthcare"/>
    <s v="London, United Kingdom"/>
    <s v="United Kingdom"/>
    <s v="On-site"/>
    <x v="3"/>
    <s v="5-8 yrs"/>
    <n v="167474"/>
    <x v="1033"/>
    <s v="None"/>
    <s v="Bachelor's"/>
    <n v="45295"/>
    <n v="593"/>
    <n v="910"/>
    <s v="No"/>
    <n v="4"/>
    <s v="51-200"/>
    <s v="Full-time"/>
    <s v="Yes"/>
  </r>
  <r>
    <s v="AIJOB01035"/>
    <x v="5"/>
    <x v="17"/>
    <s v="Government"/>
    <s v="Paris, France"/>
    <s v="France"/>
    <s v="Hybrid"/>
    <x v="1"/>
    <s v="8+ yrs"/>
    <n v="182605"/>
    <x v="1034"/>
    <s v="Command R"/>
    <s v="Master's"/>
    <n v="45660"/>
    <n v="597"/>
    <n v="3283"/>
    <s v="Yes"/>
    <n v="6"/>
    <s v="0-50"/>
    <s v="Full-time"/>
    <s v="Yes"/>
  </r>
  <r>
    <s v="AIJOB01036"/>
    <x v="2"/>
    <x v="13"/>
    <s v="Defense"/>
    <s v="Seattle, United States"/>
    <s v="United States"/>
    <s v="Hybrid"/>
    <x v="0"/>
    <s v="0-2 yrs"/>
    <n v="89832"/>
    <x v="1035"/>
    <s v="None"/>
    <s v="PhD"/>
    <n v="45636"/>
    <n v="1166"/>
    <n v="2430"/>
    <s v="No"/>
    <n v="0"/>
    <s v="5000+"/>
    <s v="Full-time"/>
    <s v="No"/>
  </r>
  <r>
    <s v="AIJOB01037"/>
    <x v="17"/>
    <x v="11"/>
    <s v="Healthcare"/>
    <s v="San Francisco, United States"/>
    <s v="United States"/>
    <s v="On-site"/>
    <x v="1"/>
    <s v="8+ yrs"/>
    <n v="155872"/>
    <x v="1036"/>
    <s v="Command R"/>
    <s v="PhD"/>
    <n v="45301"/>
    <n v="667"/>
    <n v="623"/>
    <s v="No"/>
    <n v="6"/>
    <s v="51-200"/>
    <s v="Full-time"/>
    <s v="No"/>
  </r>
  <r>
    <s v="AIJOB01038"/>
    <x v="19"/>
    <x v="24"/>
    <s v="Education"/>
    <s v="Bangalore, India"/>
    <s v="India"/>
    <s v="Hybrid"/>
    <x v="1"/>
    <s v="8+ yrs"/>
    <n v="147282"/>
    <x v="1037"/>
    <s v="BLOOM"/>
    <s v="Bachelor's"/>
    <n v="45623"/>
    <n v="1059"/>
    <n v="550"/>
    <s v="No"/>
    <n v="6"/>
    <s v="1001-5000"/>
    <s v="Full-time"/>
    <s v="Yes"/>
  </r>
  <r>
    <s v="AIJOB01039"/>
    <x v="18"/>
    <x v="23"/>
    <s v="Automotive"/>
    <s v="Stockholm, Sweden"/>
    <s v="Sweden"/>
    <s v="Remote"/>
    <x v="1"/>
    <s v="8+ yrs"/>
    <n v="208080"/>
    <x v="1038"/>
    <s v="None"/>
    <s v="Bachelor's"/>
    <n v="45413"/>
    <n v="675"/>
    <n v="2590"/>
    <s v="No"/>
    <n v="6"/>
    <s v="201-1000"/>
    <s v="Full-time"/>
    <s v="Yes"/>
  </r>
  <r>
    <s v="AIJOB01040"/>
    <x v="10"/>
    <x v="6"/>
    <s v="Government"/>
    <s v="Toronto, Canada"/>
    <s v="Canada"/>
    <s v="Remote"/>
    <x v="3"/>
    <s v="5-8 yrs"/>
    <n v="178271"/>
    <x v="1039"/>
    <s v="GPT-4"/>
    <s v="Master's"/>
    <n v="45366"/>
    <n v="1848"/>
    <n v="1125"/>
    <s v="Maybe"/>
    <n v="4"/>
    <s v="5000+"/>
    <s v="Full-time"/>
    <s v="No"/>
  </r>
  <r>
    <s v="AIJOB01041"/>
    <x v="5"/>
    <x v="3"/>
    <s v="Media"/>
    <s v="San Francisco, United States"/>
    <s v="United States"/>
    <s v="Hybrid"/>
    <x v="1"/>
    <s v="8+ yrs"/>
    <n v="260621"/>
    <x v="1040"/>
    <s v="Phi"/>
    <s v="Master's"/>
    <n v="45292"/>
    <n v="1519"/>
    <n v="2354"/>
    <s v="No"/>
    <n v="6"/>
    <s v="1001-5000"/>
    <s v="Part-time"/>
    <s v="No"/>
  </r>
  <r>
    <s v="AIJOB01042"/>
    <x v="4"/>
    <x v="1"/>
    <s v="Retail"/>
    <s v="Singapore"/>
    <s v="Singapore"/>
    <s v="Remote"/>
    <x v="1"/>
    <s v="8+ yrs"/>
    <n v="183480"/>
    <x v="1041"/>
    <s v="Falcon"/>
    <s v="Master's"/>
    <n v="45469"/>
    <n v="454"/>
    <n v="2421"/>
    <s v="No"/>
    <n v="6"/>
    <s v="201-1000"/>
    <s v="Full-time"/>
    <s v="No"/>
  </r>
  <r>
    <s v="AIJOB01043"/>
    <x v="14"/>
    <x v="23"/>
    <s v="Government"/>
    <s v="Seattle, United States"/>
    <s v="United States"/>
    <s v="Remote"/>
    <x v="1"/>
    <s v="8+ yrs"/>
    <n v="238832"/>
    <x v="1042"/>
    <s v="GPT-4"/>
    <s v="Master's"/>
    <n v="45617"/>
    <n v="332"/>
    <n v="744"/>
    <s v="No"/>
    <n v="6"/>
    <s v="0-50"/>
    <s v="Full-time"/>
    <s v="Yes"/>
  </r>
  <r>
    <s v="AIJOB01044"/>
    <x v="19"/>
    <x v="6"/>
    <s v="Government"/>
    <s v="Los Angeles, United States"/>
    <s v="United States"/>
    <s v="Remote"/>
    <x v="2"/>
    <s v="2-5 yrs"/>
    <n v="109237"/>
    <x v="1043"/>
    <s v="None"/>
    <s v="Master's"/>
    <n v="45332"/>
    <n v="1728"/>
    <n v="3788"/>
    <s v="No"/>
    <n v="2"/>
    <s v="1001-5000"/>
    <s v="Full-time"/>
    <s v="No"/>
  </r>
  <r>
    <s v="AIJOB01045"/>
    <x v="2"/>
    <x v="2"/>
    <s v="Defense"/>
    <s v="Paris, France"/>
    <s v="France"/>
    <s v="Remote"/>
    <x v="3"/>
    <s v="5-8 yrs"/>
    <n v="145339"/>
    <x v="1044"/>
    <s v="BLOOM"/>
    <s v="Master's"/>
    <n v="45423"/>
    <n v="1293"/>
    <n v="3425"/>
    <s v="No"/>
    <n v="4"/>
    <s v="201-1000"/>
    <s v="Full-time"/>
    <s v="No"/>
  </r>
  <r>
    <s v="AIJOB01046"/>
    <x v="7"/>
    <x v="12"/>
    <s v="Education"/>
    <s v="Los Angeles, United States"/>
    <s v="United States"/>
    <s v="Remote"/>
    <x v="3"/>
    <s v="5-8 yrs"/>
    <n v="173858"/>
    <x v="1045"/>
    <s v="Grok"/>
    <s v="PhD"/>
    <n v="45561"/>
    <n v="1195"/>
    <n v="2367"/>
    <s v="No"/>
    <n v="4"/>
    <s v="5000+"/>
    <s v="Full-time"/>
    <s v="No"/>
  </r>
  <r>
    <s v="AIJOB01047"/>
    <x v="12"/>
    <x v="23"/>
    <s v="Healthcare"/>
    <s v="London, United Kingdom"/>
    <s v="United Kingdom"/>
    <s v="Remote"/>
    <x v="3"/>
    <s v="5-8 yrs"/>
    <n v="167612"/>
    <x v="1046"/>
    <s v="GPT-4"/>
    <s v="Bachelor's"/>
    <n v="45345"/>
    <n v="2260"/>
    <n v="3129"/>
    <s v="Yes"/>
    <n v="4"/>
    <s v="201-1000"/>
    <s v="Full-time"/>
    <s v="No"/>
  </r>
  <r>
    <s v="AIJOB01048"/>
    <x v="16"/>
    <x v="27"/>
    <s v="Technology"/>
    <s v="Sydney, Australia"/>
    <s v="Australia"/>
    <s v="Hybrid"/>
    <x v="2"/>
    <s v="2-5 yrs"/>
    <n v="78787"/>
    <x v="1047"/>
    <s v="None"/>
    <s v="Bachelor's"/>
    <n v="45693"/>
    <n v="475"/>
    <n v="1246"/>
    <s v="No"/>
    <n v="2"/>
    <s v="1001-5000"/>
    <s v="Contract"/>
    <s v="Yes"/>
  </r>
  <r>
    <s v="AIJOB01049"/>
    <x v="4"/>
    <x v="11"/>
    <s v="Healthcare"/>
    <s v="Tokyo, Japan"/>
    <s v="Japan"/>
    <s v="Remote"/>
    <x v="2"/>
    <s v="2-5 yrs"/>
    <n v="139235"/>
    <x v="1048"/>
    <s v="None"/>
    <s v="PhD"/>
    <n v="45319"/>
    <n v="1135"/>
    <n v="3015"/>
    <s v="Maybe"/>
    <n v="2"/>
    <s v="201-1000"/>
    <s v="Contract"/>
    <s v="No"/>
  </r>
  <r>
    <s v="AIJOB01050"/>
    <x v="10"/>
    <x v="21"/>
    <s v="Government"/>
    <s v="Singapore"/>
    <s v="Singapore"/>
    <s v="Remote"/>
    <x v="1"/>
    <s v="8+ yrs"/>
    <n v="249683"/>
    <x v="1049"/>
    <s v="Claude"/>
    <s v="Master's"/>
    <n v="45464"/>
    <n v="1074"/>
    <n v="1072"/>
    <s v="No"/>
    <n v="6"/>
    <s v="1001-5000"/>
    <s v="Full-time"/>
    <s v="Yes"/>
  </r>
  <r>
    <s v="AIJOB01051"/>
    <x v="7"/>
    <x v="12"/>
    <s v="Healthcare"/>
    <s v="New York, United States"/>
    <s v="United States"/>
    <s v="On-site"/>
    <x v="3"/>
    <s v="5-8 yrs"/>
    <n v="133109"/>
    <x v="1050"/>
    <s v="None"/>
    <s v="Bachelor's"/>
    <n v="45443"/>
    <n v="1318"/>
    <n v="808"/>
    <s v="No"/>
    <n v="4"/>
    <s v="201-1000"/>
    <s v="Full-time"/>
    <s v="Yes"/>
  </r>
  <r>
    <s v="AIJOB01052"/>
    <x v="0"/>
    <x v="7"/>
    <s v="Technology"/>
    <s v="Sydney, Australia"/>
    <s v="Australia"/>
    <s v="Remote"/>
    <x v="0"/>
    <s v="0-2 yrs"/>
    <n v="74987"/>
    <x v="1051"/>
    <s v="None"/>
    <s v="Bachelor's"/>
    <n v="45522"/>
    <n v="1585"/>
    <n v="2921"/>
    <s v="No"/>
    <n v="0"/>
    <s v="51-200"/>
    <s v="Full-time"/>
    <s v="Yes"/>
  </r>
  <r>
    <s v="AIJOB01053"/>
    <x v="12"/>
    <x v="13"/>
    <s v="Education"/>
    <s v="Berlin, Germany"/>
    <s v="Germany"/>
    <s v="On-site"/>
    <x v="0"/>
    <s v="0-2 yrs"/>
    <n v="76224"/>
    <x v="1052"/>
    <s v="Mistral"/>
    <s v="Bachelor's"/>
    <n v="45626"/>
    <n v="453"/>
    <n v="1247"/>
    <s v="Yes"/>
    <n v="0"/>
    <s v="201-1000"/>
    <s v="Full-time"/>
    <s v="Yes"/>
  </r>
  <r>
    <s v="AIJOB01054"/>
    <x v="16"/>
    <x v="6"/>
    <s v="Healthcare"/>
    <s v="Toronto, Canada"/>
    <s v="Canada"/>
    <s v="Remote"/>
    <x v="0"/>
    <s v="0-2 yrs"/>
    <n v="73284"/>
    <x v="1053"/>
    <s v="None"/>
    <s v="Bachelor's"/>
    <n v="45578"/>
    <n v="846"/>
    <n v="2141"/>
    <s v="Maybe"/>
    <n v="0"/>
    <s v="5000+"/>
    <s v="Contract"/>
    <s v="Yes"/>
  </r>
  <r>
    <s v="AIJOB01055"/>
    <x v="13"/>
    <x v="21"/>
    <s v="Media"/>
    <s v="Austin, United States"/>
    <s v="United States"/>
    <s v="Remote"/>
    <x v="2"/>
    <s v="2-5 yrs"/>
    <n v="99103"/>
    <x v="1054"/>
    <s v="Llama"/>
    <s v="Master's"/>
    <n v="45347"/>
    <n v="577"/>
    <n v="3016"/>
    <s v="No"/>
    <n v="2"/>
    <s v="1001-5000"/>
    <s v="Contract"/>
    <s v="Yes"/>
  </r>
  <r>
    <s v="AIJOB01056"/>
    <x v="13"/>
    <x v="26"/>
    <s v="Technology"/>
    <s v="Los Angeles, United States"/>
    <s v="United States"/>
    <s v="Remote"/>
    <x v="1"/>
    <s v="8+ yrs"/>
    <n v="175821"/>
    <x v="1055"/>
    <s v="Falcon"/>
    <s v="Bachelor's"/>
    <n v="45536"/>
    <n v="1008"/>
    <n v="3738"/>
    <s v="Yes"/>
    <n v="6"/>
    <s v="5000+"/>
    <s v="Full-time"/>
    <s v="Yes"/>
  </r>
  <r>
    <s v="AIJOB01057"/>
    <x v="8"/>
    <x v="19"/>
    <s v="Technology"/>
    <s v="Paris, France"/>
    <s v="France"/>
    <s v="Remote"/>
    <x v="2"/>
    <s v="2-5 yrs"/>
    <n v="109494"/>
    <x v="1056"/>
    <s v="Grok"/>
    <s v="Bachelor's"/>
    <n v="45430"/>
    <n v="967"/>
    <n v="3932"/>
    <s v="Yes"/>
    <n v="2"/>
    <s v="51-200"/>
    <s v="Full-time"/>
    <s v="No"/>
  </r>
  <r>
    <s v="AIJOB01058"/>
    <x v="17"/>
    <x v="1"/>
    <s v="Automotive"/>
    <s v="Los Angeles, United States"/>
    <s v="United States"/>
    <s v="On-site"/>
    <x v="1"/>
    <s v="8+ yrs"/>
    <n v="242218"/>
    <x v="1057"/>
    <s v="None"/>
    <s v="Master's"/>
    <n v="45424"/>
    <n v="1049"/>
    <n v="3801"/>
    <s v="No"/>
    <n v="6"/>
    <s v="1001-5000"/>
    <s v="Full-time"/>
    <s v="No"/>
  </r>
  <r>
    <s v="AIJOB01059"/>
    <x v="1"/>
    <x v="25"/>
    <s v="Technology"/>
    <s v="Berlin, Germany"/>
    <s v="Germany"/>
    <s v="Hybrid"/>
    <x v="1"/>
    <s v="8+ yrs"/>
    <n v="219569"/>
    <x v="1058"/>
    <s v="Falcon"/>
    <s v="PhD"/>
    <n v="45532"/>
    <n v="1705"/>
    <n v="1588"/>
    <s v="No"/>
    <n v="6"/>
    <s v="5000+"/>
    <s v="Full-time"/>
    <s v="Yes"/>
  </r>
  <r>
    <s v="AIJOB01060"/>
    <x v="10"/>
    <x v="11"/>
    <s v="Healthcare"/>
    <s v="Paris, France"/>
    <s v="France"/>
    <s v="Hybrid"/>
    <x v="2"/>
    <s v="2-5 yrs"/>
    <n v="102661"/>
    <x v="1059"/>
    <s v="None"/>
    <s v="Bachelor's"/>
    <n v="45613"/>
    <n v="493"/>
    <n v="498"/>
    <s v="No"/>
    <n v="2"/>
    <s v="5000+"/>
    <s v="Full-time"/>
    <s v="No"/>
  </r>
  <r>
    <s v="AIJOB01061"/>
    <x v="1"/>
    <x v="25"/>
    <s v="Healthcare"/>
    <s v="Tokyo, Japan"/>
    <s v="Japan"/>
    <s v="Remote"/>
    <x v="1"/>
    <s v="8+ yrs"/>
    <n v="227781"/>
    <x v="1060"/>
    <s v="Llama"/>
    <s v="Master's"/>
    <n v="45329"/>
    <n v="1331"/>
    <n v="2854"/>
    <s v="No"/>
    <n v="6"/>
    <s v="5000+"/>
    <s v="Full-time"/>
    <s v="No"/>
  </r>
  <r>
    <s v="AIJOB01062"/>
    <x v="0"/>
    <x v="15"/>
    <s v="Government"/>
    <s v="London, United Kingdom"/>
    <s v="United Kingdom"/>
    <s v="Remote"/>
    <x v="1"/>
    <s v="8+ yrs"/>
    <n v="97452"/>
    <x v="1061"/>
    <s v="Gemini"/>
    <s v="PhD"/>
    <n v="45364"/>
    <n v="912"/>
    <n v="601"/>
    <s v="Yes"/>
    <n v="6"/>
    <s v="51-200"/>
    <s v="Full-time"/>
    <s v="Yes"/>
  </r>
  <r>
    <s v="AIJOB01063"/>
    <x v="2"/>
    <x v="22"/>
    <s v="Automotive"/>
    <s v="Singapore"/>
    <s v="Singapore"/>
    <s v="On-site"/>
    <x v="1"/>
    <s v="8+ yrs"/>
    <n v="241355"/>
    <x v="1062"/>
    <s v="Mistral"/>
    <s v="Master's"/>
    <n v="45670"/>
    <n v="375"/>
    <n v="1258"/>
    <s v="No"/>
    <n v="6"/>
    <s v="5000+"/>
    <s v="Full-time"/>
    <s v="No"/>
  </r>
  <r>
    <s v="AIJOB01064"/>
    <x v="18"/>
    <x v="6"/>
    <s v="Energy"/>
    <s v="Amsterdam, Netherlands"/>
    <s v="Netherlands"/>
    <s v="Hybrid"/>
    <x v="0"/>
    <s v="0-2 yrs"/>
    <n v="50000"/>
    <x v="1063"/>
    <s v="None"/>
    <s v="Master's"/>
    <n v="45703"/>
    <n v="592"/>
    <n v="2517"/>
    <s v="No"/>
    <n v="0"/>
    <s v="201-1000"/>
    <s v="Full-time"/>
    <s v="No"/>
  </r>
  <r>
    <s v="AIJOB01065"/>
    <x v="8"/>
    <x v="0"/>
    <s v="Retail"/>
    <s v="Tokyo, Japan"/>
    <s v="Japan"/>
    <s v="Hybrid"/>
    <x v="3"/>
    <s v="5-8 yrs"/>
    <n v="140214"/>
    <x v="1064"/>
    <s v="None"/>
    <s v="Bachelor's"/>
    <n v="45385"/>
    <n v="2152"/>
    <n v="3783"/>
    <s v="No"/>
    <n v="4"/>
    <s v="201-1000"/>
    <s v="Contract"/>
    <s v="Yes"/>
  </r>
  <r>
    <s v="AIJOB01066"/>
    <x v="16"/>
    <x v="2"/>
    <s v="Healthcare"/>
    <s v="San Francisco, United States"/>
    <s v="United States"/>
    <s v="Remote"/>
    <x v="2"/>
    <s v="2-5 yrs"/>
    <n v="87830"/>
    <x v="1065"/>
    <s v="Falcon"/>
    <s v="Bachelor's"/>
    <n v="45745"/>
    <n v="1470"/>
    <n v="489"/>
    <s v="Yes"/>
    <n v="2"/>
    <s v="1001-5000"/>
    <s v="Full-time"/>
    <s v="Yes"/>
  </r>
  <r>
    <s v="AIJOB01067"/>
    <x v="18"/>
    <x v="20"/>
    <s v="Defense"/>
    <s v="Zurich, Switzerland"/>
    <s v="Switzerland"/>
    <s v="Remote"/>
    <x v="3"/>
    <s v="5-8 yrs"/>
    <n v="115043"/>
    <x v="1066"/>
    <s v="BLOOM"/>
    <s v="PhD"/>
    <n v="45515"/>
    <n v="1036"/>
    <n v="185"/>
    <s v="No"/>
    <n v="4"/>
    <s v="0-50"/>
    <s v="Full-time"/>
    <s v="Yes"/>
  </r>
  <r>
    <s v="AIJOB01068"/>
    <x v="10"/>
    <x v="17"/>
    <s v="Automotive"/>
    <s v="Stockholm, Sweden"/>
    <s v="Sweden"/>
    <s v="Remote"/>
    <x v="0"/>
    <s v="0-2 yrs"/>
    <n v="84626"/>
    <x v="1067"/>
    <s v="GPT-4"/>
    <s v="Master's"/>
    <n v="45391"/>
    <n v="1219"/>
    <n v="2895"/>
    <s v="Maybe"/>
    <n v="0"/>
    <s v="0-50"/>
    <s v="Contract"/>
    <s v="Yes"/>
  </r>
  <r>
    <s v="AIJOB01069"/>
    <x v="3"/>
    <x v="16"/>
    <s v="Media"/>
    <s v="Toronto, Canada"/>
    <s v="Canada"/>
    <s v="Hybrid"/>
    <x v="0"/>
    <s v="0-2 yrs"/>
    <n v="64106"/>
    <x v="1068"/>
    <s v="Gemini"/>
    <s v="Master's"/>
    <n v="45482"/>
    <n v="2494"/>
    <n v="2055"/>
    <s v="Maybe"/>
    <n v="0"/>
    <s v="201-1000"/>
    <s v="Contract"/>
    <s v="Yes"/>
  </r>
  <r>
    <s v="AIJOB01070"/>
    <x v="12"/>
    <x v="20"/>
    <s v="Defense"/>
    <s v="Dublin, Ireland"/>
    <s v="Ireland"/>
    <s v="Remote"/>
    <x v="0"/>
    <s v="0-2 yrs"/>
    <n v="74365"/>
    <x v="1069"/>
    <s v="BLOOM"/>
    <s v="Bootcamp/Self-taught"/>
    <n v="45576"/>
    <n v="2339"/>
    <n v="1821"/>
    <s v="No"/>
    <n v="0"/>
    <s v="1001-5000"/>
    <s v="Full-time"/>
    <s v="Yes"/>
  </r>
  <r>
    <s v="AIJOB01071"/>
    <x v="18"/>
    <x v="26"/>
    <s v="Automotive"/>
    <s v="Chicago, United States"/>
    <s v="United States"/>
    <s v="Remote"/>
    <x v="1"/>
    <s v="8+ yrs"/>
    <n v="198310"/>
    <x v="1070"/>
    <s v="Gemini"/>
    <s v="Master's"/>
    <n v="45737"/>
    <n v="757"/>
    <n v="2510"/>
    <s v="Yes"/>
    <n v="6"/>
    <s v="1001-5000"/>
    <s v="Contract"/>
    <s v="Yes"/>
  </r>
  <r>
    <s v="AIJOB01072"/>
    <x v="9"/>
    <x v="19"/>
    <s v="Finance"/>
    <s v="San Francisco, United States"/>
    <s v="United States"/>
    <s v="Remote"/>
    <x v="2"/>
    <s v="2-5 yrs"/>
    <n v="119445"/>
    <x v="1071"/>
    <s v="Llama"/>
    <s v="Bachelor's"/>
    <n v="45324"/>
    <n v="2289"/>
    <n v="3850"/>
    <s v="No"/>
    <n v="2"/>
    <s v="5000+"/>
    <s v="Contract"/>
    <s v="No"/>
  </r>
  <r>
    <s v="AIJOB01073"/>
    <x v="0"/>
    <x v="21"/>
    <s v="Defense"/>
    <s v="Tel Aviv, Israel"/>
    <s v="Israel"/>
    <s v="On-site"/>
    <x v="0"/>
    <s v="0-2 yrs"/>
    <n v="70967"/>
    <x v="1072"/>
    <s v="Grok"/>
    <s v="Master's"/>
    <n v="45520"/>
    <n v="695"/>
    <n v="2679"/>
    <s v="Yes"/>
    <n v="0"/>
    <s v="51-200"/>
    <s v="Full-time"/>
    <s v="No"/>
  </r>
  <r>
    <s v="AIJOB01074"/>
    <x v="17"/>
    <x v="12"/>
    <s v="Healthcare"/>
    <s v="Los Angeles, United States"/>
    <s v="United States"/>
    <s v="Remote"/>
    <x v="2"/>
    <s v="2-5 yrs"/>
    <n v="84596"/>
    <x v="1073"/>
    <s v="None"/>
    <s v="Master's"/>
    <n v="45302"/>
    <n v="1092"/>
    <n v="2238"/>
    <s v="No"/>
    <n v="2"/>
    <s v="0-50"/>
    <s v="Full-time"/>
    <s v="No"/>
  </r>
  <r>
    <s v="AIJOB01075"/>
    <x v="18"/>
    <x v="29"/>
    <s v="Media"/>
    <s v="Amsterdam, Netherlands"/>
    <s v="Netherlands"/>
    <s v="Remote"/>
    <x v="2"/>
    <s v="2-5 yrs"/>
    <n v="129726"/>
    <x v="1074"/>
    <s v="Gemini"/>
    <s v="PhD"/>
    <n v="45563"/>
    <n v="1000"/>
    <n v="2713"/>
    <s v="No"/>
    <n v="2"/>
    <s v="5000+"/>
    <s v="Full-time"/>
    <s v="No"/>
  </r>
  <r>
    <s v="AIJOB01076"/>
    <x v="1"/>
    <x v="5"/>
    <s v="Defense"/>
    <s v="Toronto, Canada"/>
    <s v="Canada"/>
    <s v="On-site"/>
    <x v="1"/>
    <s v="8+ yrs"/>
    <n v="182224"/>
    <x v="1075"/>
    <s v="None"/>
    <s v="PhD"/>
    <n v="45679"/>
    <n v="1134"/>
    <n v="888"/>
    <s v="No"/>
    <n v="6"/>
    <s v="1001-5000"/>
    <s v="Contract"/>
    <s v="Yes"/>
  </r>
  <r>
    <s v="AIJOB01077"/>
    <x v="18"/>
    <x v="15"/>
    <s v="Finance"/>
    <s v="Stockholm, Sweden"/>
    <s v="Sweden"/>
    <s v="On-site"/>
    <x v="0"/>
    <s v="0-2 yrs"/>
    <n v="50387"/>
    <x v="1076"/>
    <s v="Claude"/>
    <s v="Bachelor's"/>
    <n v="45676"/>
    <n v="2371"/>
    <n v="3250"/>
    <s v="Yes"/>
    <n v="0"/>
    <s v="51-200"/>
    <s v="Contract"/>
    <s v="Yes"/>
  </r>
  <r>
    <s v="AIJOB01078"/>
    <x v="1"/>
    <x v="12"/>
    <s v="Technology"/>
    <s v="Boston, United States"/>
    <s v="United States"/>
    <s v="On-site"/>
    <x v="2"/>
    <s v="2-5 yrs"/>
    <n v="101523"/>
    <x v="1077"/>
    <s v="None"/>
    <s v="Master's"/>
    <n v="45528"/>
    <n v="2275"/>
    <n v="2029"/>
    <s v="No"/>
    <n v="2"/>
    <s v="0-50"/>
    <s v="Full-time"/>
    <s v="No"/>
  </r>
  <r>
    <s v="AIJOB01079"/>
    <x v="16"/>
    <x v="18"/>
    <s v="Media"/>
    <s v="San Francisco, United States"/>
    <s v="United States"/>
    <s v="Hybrid"/>
    <x v="2"/>
    <s v="2-5 yrs"/>
    <n v="139715"/>
    <x v="1078"/>
    <s v="Grok"/>
    <s v="Bachelor's"/>
    <n v="45567"/>
    <n v="2360"/>
    <n v="2855"/>
    <s v="Yes"/>
    <n v="2"/>
    <s v="5000+"/>
    <s v="Full-time"/>
    <s v="No"/>
  </r>
  <r>
    <s v="AIJOB01080"/>
    <x v="7"/>
    <x v="4"/>
    <s v="Government"/>
    <s v="Boston, United States"/>
    <s v="United States"/>
    <s v="Hybrid"/>
    <x v="3"/>
    <s v="5-8 yrs"/>
    <n v="172955"/>
    <x v="1079"/>
    <s v="BLOOM"/>
    <s v="Master's"/>
    <n v="45383"/>
    <n v="1935"/>
    <n v="2196"/>
    <s v="No"/>
    <n v="4"/>
    <s v="51-200"/>
    <s v="Full-time"/>
    <s v="Yes"/>
  </r>
  <r>
    <s v="AIJOB01081"/>
    <x v="0"/>
    <x v="10"/>
    <s v="Technology"/>
    <s v="Austin, United States"/>
    <s v="United States"/>
    <s v="Remote"/>
    <x v="2"/>
    <s v="2-5 yrs"/>
    <n v="103096"/>
    <x v="1080"/>
    <s v="BLOOM"/>
    <s v="PhD"/>
    <n v="45449"/>
    <n v="1520"/>
    <n v="3641"/>
    <s v="Yes"/>
    <n v="2"/>
    <s v="5000+"/>
    <s v="Full-time"/>
    <s v="Yes"/>
  </r>
  <r>
    <s v="AIJOB01082"/>
    <x v="8"/>
    <x v="7"/>
    <s v="Technology"/>
    <s v="Tokyo, Japan"/>
    <s v="Japan"/>
    <s v="Remote"/>
    <x v="2"/>
    <s v="2-5 yrs"/>
    <n v="103084"/>
    <x v="1081"/>
    <s v="GPT-4"/>
    <s v="Master's"/>
    <n v="45594"/>
    <n v="2173"/>
    <n v="1267"/>
    <s v="No"/>
    <n v="2"/>
    <s v="1001-5000"/>
    <s v="Full-time"/>
    <s v="Yes"/>
  </r>
  <r>
    <s v="AIJOB01083"/>
    <x v="6"/>
    <x v="18"/>
    <s v="Retail"/>
    <s v="Chicago, United States"/>
    <s v="United States"/>
    <s v="Remote"/>
    <x v="3"/>
    <s v="5-8 yrs"/>
    <n v="141315"/>
    <x v="1082"/>
    <s v="BLOOM"/>
    <s v="Bachelor's"/>
    <n v="45552"/>
    <n v="2177"/>
    <n v="2135"/>
    <s v="Maybe"/>
    <n v="4"/>
    <s v="201-1000"/>
    <s v="Full-time"/>
    <s v="No"/>
  </r>
  <r>
    <s v="AIJOB01084"/>
    <x v="1"/>
    <x v="5"/>
    <s v="Media"/>
    <s v="Chicago, United States"/>
    <s v="United States"/>
    <s v="Remote"/>
    <x v="0"/>
    <s v="0-2 yrs"/>
    <n v="96167"/>
    <x v="1083"/>
    <s v="None"/>
    <s v="PhD"/>
    <n v="45591"/>
    <n v="1638"/>
    <n v="3962"/>
    <s v="Yes"/>
    <n v="0"/>
    <s v="0-50"/>
    <s v="Full-time"/>
    <s v="Yes"/>
  </r>
  <r>
    <s v="AIJOB01085"/>
    <x v="14"/>
    <x v="28"/>
    <s v="Energy"/>
    <s v="Chicago, United States"/>
    <s v="United States"/>
    <s v="Remote"/>
    <x v="0"/>
    <s v="0-2 yrs"/>
    <n v="74812"/>
    <x v="1084"/>
    <s v="None"/>
    <s v="Bachelor's"/>
    <n v="45575"/>
    <n v="1207"/>
    <n v="12"/>
    <s v="No"/>
    <n v="0"/>
    <s v="5000+"/>
    <s v="Full-time"/>
    <s v="Yes"/>
  </r>
  <r>
    <s v="AIJOB01086"/>
    <x v="17"/>
    <x v="12"/>
    <s v="Finance"/>
    <s v="Tel Aviv, Israel"/>
    <s v="Israel"/>
    <s v="Remote"/>
    <x v="3"/>
    <s v="5-8 yrs"/>
    <n v="161611"/>
    <x v="1085"/>
    <s v="None"/>
    <s v="Master's"/>
    <n v="45709"/>
    <n v="2003"/>
    <n v="3555"/>
    <s v="Yes"/>
    <n v="4"/>
    <s v="51-200"/>
    <s v="Part-time"/>
    <s v="Yes"/>
  </r>
  <r>
    <s v="AIJOB01087"/>
    <x v="16"/>
    <x v="28"/>
    <s v="Retail"/>
    <s v="New York, United States"/>
    <s v="United States"/>
    <s v="Remote"/>
    <x v="0"/>
    <s v="0-2 yrs"/>
    <n v="82981"/>
    <x v="1086"/>
    <s v="Grok"/>
    <s v="Bachelor's"/>
    <n v="45315"/>
    <n v="1764"/>
    <n v="1596"/>
    <s v="No"/>
    <n v="0"/>
    <s v="5000+"/>
    <s v="Full-time"/>
    <s v="No"/>
  </r>
  <r>
    <s v="AIJOB01088"/>
    <x v="14"/>
    <x v="8"/>
    <s v="Technology"/>
    <s v="Los Angeles, United States"/>
    <s v="United States"/>
    <s v="Remote"/>
    <x v="3"/>
    <s v="5-8 yrs"/>
    <n v="156447"/>
    <x v="1087"/>
    <s v="BLOOM"/>
    <s v="Bachelor's"/>
    <n v="45318"/>
    <n v="1135"/>
    <n v="1761"/>
    <s v="No"/>
    <n v="4"/>
    <s v="0-50"/>
    <s v="Full-time"/>
    <s v="Yes"/>
  </r>
  <r>
    <s v="AIJOB01089"/>
    <x v="5"/>
    <x v="0"/>
    <s v="Energy"/>
    <s v="Amsterdam, Netherlands"/>
    <s v="Netherlands"/>
    <s v="Remote"/>
    <x v="3"/>
    <s v="5-8 yrs"/>
    <n v="143005"/>
    <x v="1088"/>
    <s v="None"/>
    <s v="Bootcamp/Self-taught"/>
    <n v="45596"/>
    <n v="1941"/>
    <n v="3362"/>
    <s v="Maybe"/>
    <n v="4"/>
    <s v="51-200"/>
    <s v="Full-time"/>
    <s v="Yes"/>
  </r>
  <r>
    <s v="AIJOB01090"/>
    <x v="3"/>
    <x v="11"/>
    <s v="Defense"/>
    <s v="London, United Kingdom"/>
    <s v="United Kingdom"/>
    <s v="Remote"/>
    <x v="2"/>
    <s v="2-5 yrs"/>
    <n v="106112"/>
    <x v="1089"/>
    <s v="Gemini"/>
    <s v="Bachelor's"/>
    <n v="45468"/>
    <n v="1266"/>
    <n v="892"/>
    <s v="Maybe"/>
    <n v="2"/>
    <s v="201-1000"/>
    <s v="Full-time"/>
    <s v="Yes"/>
  </r>
  <r>
    <s v="AIJOB01091"/>
    <x v="8"/>
    <x v="20"/>
    <s v="Finance"/>
    <s v="Tel Aviv, Israel"/>
    <s v="Israel"/>
    <s v="On-site"/>
    <x v="3"/>
    <s v="5-8 yrs"/>
    <n v="148066"/>
    <x v="1090"/>
    <s v="Falcon"/>
    <s v="PhD"/>
    <n v="45447"/>
    <n v="1249"/>
    <n v="2198"/>
    <s v="Yes"/>
    <n v="4"/>
    <s v="0-50"/>
    <s v="Full-time"/>
    <s v="Yes"/>
  </r>
  <r>
    <s v="AIJOB01092"/>
    <x v="3"/>
    <x v="25"/>
    <s v="Technology"/>
    <s v="Austin, United States"/>
    <s v="United States"/>
    <s v="Hybrid"/>
    <x v="3"/>
    <s v="5-8 yrs"/>
    <n v="148994"/>
    <x v="1091"/>
    <s v="None"/>
    <s v="Bachelor's"/>
    <n v="45403"/>
    <n v="1320"/>
    <n v="1625"/>
    <s v="Yes"/>
    <n v="4"/>
    <s v="51-200"/>
    <s v="Part-time"/>
    <s v="No"/>
  </r>
  <r>
    <s v="AIJOB01093"/>
    <x v="4"/>
    <x v="7"/>
    <s v="Energy"/>
    <s v="Paris, France"/>
    <s v="France"/>
    <s v="On-site"/>
    <x v="1"/>
    <s v="8+ yrs"/>
    <n v="226194"/>
    <x v="1092"/>
    <s v="Mistral"/>
    <s v="PhD"/>
    <n v="45619"/>
    <n v="1719"/>
    <n v="2286"/>
    <s v="No"/>
    <n v="6"/>
    <s v="201-1000"/>
    <s v="Full-time"/>
    <s v="Yes"/>
  </r>
  <r>
    <s v="AIJOB01094"/>
    <x v="12"/>
    <x v="1"/>
    <s v="Education"/>
    <s v="Toronto, Canada"/>
    <s v="Canada"/>
    <s v="Hybrid"/>
    <x v="3"/>
    <s v="5-8 yrs"/>
    <n v="151402"/>
    <x v="1093"/>
    <s v="Phi"/>
    <s v="Master's"/>
    <n v="45469"/>
    <n v="644"/>
    <n v="1847"/>
    <s v="Yes"/>
    <n v="4"/>
    <s v="201-1000"/>
    <s v="Contract"/>
    <s v="No"/>
  </r>
  <r>
    <s v="AIJOB01095"/>
    <x v="17"/>
    <x v="6"/>
    <s v="Healthcare"/>
    <s v="Sydney, Australia"/>
    <s v="Australia"/>
    <s v="Hybrid"/>
    <x v="3"/>
    <s v="5-8 yrs"/>
    <n v="169781"/>
    <x v="1094"/>
    <s v="Falcon"/>
    <s v="Bachelor's"/>
    <n v="45424"/>
    <n v="2466"/>
    <n v="3007"/>
    <s v="No"/>
    <n v="4"/>
    <s v="201-1000"/>
    <s v="Full-time"/>
    <s v="No"/>
  </r>
  <r>
    <s v="AIJOB01096"/>
    <x v="14"/>
    <x v="5"/>
    <s v="Energy"/>
    <s v="Boston, United States"/>
    <s v="United States"/>
    <s v="Hybrid"/>
    <x v="0"/>
    <s v="0-2 yrs"/>
    <n v="68982"/>
    <x v="1095"/>
    <s v="Command R"/>
    <s v="Bachelor's"/>
    <n v="45651"/>
    <n v="1099"/>
    <n v="521"/>
    <s v="No"/>
    <n v="0"/>
    <s v="1001-5000"/>
    <s v="Full-time"/>
    <s v="No"/>
  </r>
  <r>
    <s v="AIJOB01097"/>
    <x v="9"/>
    <x v="7"/>
    <s v="Finance"/>
    <s v="Dublin, Ireland"/>
    <s v="Ireland"/>
    <s v="On-site"/>
    <x v="2"/>
    <s v="2-5 yrs"/>
    <n v="111556"/>
    <x v="1096"/>
    <s v="None"/>
    <s v="Master's"/>
    <n v="45385"/>
    <n v="1013"/>
    <n v="1975"/>
    <s v="No"/>
    <n v="2"/>
    <s v="51-200"/>
    <s v="Full-time"/>
    <s v="No"/>
  </r>
  <r>
    <s v="AIJOB01098"/>
    <x v="19"/>
    <x v="29"/>
    <s v="Government"/>
    <s v="Austin, United States"/>
    <s v="United States"/>
    <s v="Hybrid"/>
    <x v="2"/>
    <s v="2-5 yrs"/>
    <n v="70435"/>
    <x v="1097"/>
    <s v="Llama"/>
    <s v="PhD"/>
    <n v="45452"/>
    <n v="2276"/>
    <n v="3336"/>
    <s v="No"/>
    <n v="2"/>
    <s v="5000+"/>
    <s v="Full-time"/>
    <s v="No"/>
  </r>
  <r>
    <s v="AIJOB01099"/>
    <x v="0"/>
    <x v="18"/>
    <s v="Media"/>
    <s v="Los Angeles, United States"/>
    <s v="United States"/>
    <s v="Hybrid"/>
    <x v="3"/>
    <s v="5-8 yrs"/>
    <n v="174740"/>
    <x v="1098"/>
    <s v="None"/>
    <s v="Bootcamp/Self-taught"/>
    <n v="45388"/>
    <n v="1928"/>
    <n v="2421"/>
    <s v="Maybe"/>
    <n v="4"/>
    <s v="201-1000"/>
    <s v="Full-time"/>
    <s v="No"/>
  </r>
  <r>
    <s v="AIJOB01100"/>
    <x v="3"/>
    <x v="23"/>
    <s v="Technology"/>
    <s v="Chicago, United States"/>
    <s v="United States"/>
    <s v="Hybrid"/>
    <x v="3"/>
    <s v="5-8 yrs"/>
    <n v="159355"/>
    <x v="1099"/>
    <s v="GPT-4"/>
    <s v="Bachelor's"/>
    <n v="45512"/>
    <n v="2480"/>
    <n v="2449"/>
    <s v="No"/>
    <n v="4"/>
    <s v="1001-5000"/>
    <s v="Full-time"/>
    <s v="Yes"/>
  </r>
  <r>
    <s v="AIJOB01101"/>
    <x v="7"/>
    <x v="4"/>
    <s v="Automotive"/>
    <s v="Toronto, Canada"/>
    <s v="Canada"/>
    <s v="Remote"/>
    <x v="3"/>
    <s v="5-8 yrs"/>
    <n v="176946"/>
    <x v="1100"/>
    <s v="None"/>
    <s v="PhD"/>
    <n v="45335"/>
    <n v="2407"/>
    <n v="3190"/>
    <s v="No"/>
    <n v="4"/>
    <s v="5000+"/>
    <s v="Contract"/>
    <s v="No"/>
  </r>
  <r>
    <s v="AIJOB01102"/>
    <x v="6"/>
    <x v="28"/>
    <s v="Energy"/>
    <s v="Zurich, Switzerland"/>
    <s v="Switzerland"/>
    <s v="Remote"/>
    <x v="1"/>
    <s v="8+ yrs"/>
    <n v="95734"/>
    <x v="1101"/>
    <s v="None"/>
    <s v="Bachelor's"/>
    <n v="45379"/>
    <n v="2423"/>
    <n v="3048"/>
    <s v="Yes"/>
    <n v="6"/>
    <s v="5000+"/>
    <s v="Full-time"/>
    <s v="Yes"/>
  </r>
  <r>
    <s v="AIJOB01103"/>
    <x v="14"/>
    <x v="10"/>
    <s v="Defense"/>
    <s v="Stockholm, Sweden"/>
    <s v="Sweden"/>
    <s v="Hybrid"/>
    <x v="1"/>
    <s v="8+ yrs"/>
    <n v="275181"/>
    <x v="1102"/>
    <s v="Llama"/>
    <s v="Bootcamp/Self-taught"/>
    <n v="45631"/>
    <n v="2150"/>
    <n v="3691"/>
    <s v="Yes"/>
    <n v="6"/>
    <s v="0-50"/>
    <s v="Part-time"/>
    <s v="No"/>
  </r>
  <r>
    <s v="AIJOB01104"/>
    <x v="10"/>
    <x v="5"/>
    <s v="Media"/>
    <s v="Amsterdam, Netherlands"/>
    <s v="Netherlands"/>
    <s v="On-site"/>
    <x v="3"/>
    <s v="5-8 yrs"/>
    <n v="146231"/>
    <x v="1103"/>
    <s v="Gemini"/>
    <s v="Bootcamp/Self-taught"/>
    <n v="45707"/>
    <n v="729"/>
    <n v="349"/>
    <s v="Yes"/>
    <n v="4"/>
    <s v="51-200"/>
    <s v="Full-time"/>
    <s v="Yes"/>
  </r>
  <r>
    <s v="AIJOB01105"/>
    <x v="10"/>
    <x v="24"/>
    <s v="Energy"/>
    <s v="Los Angeles, United States"/>
    <s v="United States"/>
    <s v="On-site"/>
    <x v="3"/>
    <s v="5-8 yrs"/>
    <n v="179920"/>
    <x v="1104"/>
    <s v="None"/>
    <s v="Bachelor's"/>
    <n v="45350"/>
    <n v="1678"/>
    <n v="2371"/>
    <s v="Yes"/>
    <n v="4"/>
    <s v="0-50"/>
    <s v="Contract"/>
    <s v="No"/>
  </r>
  <r>
    <s v="AIJOB01106"/>
    <x v="12"/>
    <x v="29"/>
    <s v="Media"/>
    <s v="London, United Kingdom"/>
    <s v="United Kingdom"/>
    <s v="Remote"/>
    <x v="2"/>
    <s v="2-5 yrs"/>
    <n v="89409"/>
    <x v="1105"/>
    <s v="BLOOM"/>
    <s v="Master's"/>
    <n v="45587"/>
    <n v="1205"/>
    <n v="3381"/>
    <s v="No"/>
    <n v="2"/>
    <s v="0-50"/>
    <s v="Full-time"/>
    <s v="No"/>
  </r>
  <r>
    <s v="AIJOB01107"/>
    <x v="10"/>
    <x v="11"/>
    <s v="Finance"/>
    <s v="Bangalore, India"/>
    <s v="India"/>
    <s v="On-site"/>
    <x v="0"/>
    <s v="0-2 yrs"/>
    <n v="77720"/>
    <x v="1106"/>
    <s v="None"/>
    <s v="Master's"/>
    <n v="45298"/>
    <n v="626"/>
    <n v="52"/>
    <s v="Yes"/>
    <n v="0"/>
    <s v="5000+"/>
    <s v="Full-time"/>
    <s v="No"/>
  </r>
  <r>
    <s v="AIJOB01108"/>
    <x v="8"/>
    <x v="1"/>
    <s v="Energy"/>
    <s v="Berlin, Germany"/>
    <s v="Germany"/>
    <s v="Hybrid"/>
    <x v="3"/>
    <s v="5-8 yrs"/>
    <n v="121557"/>
    <x v="1107"/>
    <s v="Phi"/>
    <s v="PhD"/>
    <n v="45453"/>
    <n v="2357"/>
    <n v="2947"/>
    <s v="Yes"/>
    <n v="4"/>
    <s v="201-1000"/>
    <s v="Full-time"/>
    <s v="No"/>
  </r>
  <r>
    <s v="AIJOB01109"/>
    <x v="5"/>
    <x v="27"/>
    <s v="Education"/>
    <s v="Bangalore, India"/>
    <s v="India"/>
    <s v="Remote"/>
    <x v="2"/>
    <s v="2-5 yrs"/>
    <n v="97649"/>
    <x v="1108"/>
    <s v="BLOOM"/>
    <s v="Bachelor's"/>
    <n v="45327"/>
    <n v="1728"/>
    <n v="2097"/>
    <s v="No"/>
    <n v="2"/>
    <s v="1001-5000"/>
    <s v="Full-time"/>
    <s v="Yes"/>
  </r>
  <r>
    <s v="AIJOB01110"/>
    <x v="7"/>
    <x v="18"/>
    <s v="Retail"/>
    <s v="San Francisco, United States"/>
    <s v="United States"/>
    <s v="Hybrid"/>
    <x v="0"/>
    <s v="0-2 yrs"/>
    <n v="94116"/>
    <x v="1109"/>
    <s v="Mistral"/>
    <s v="Bachelor's"/>
    <n v="45570"/>
    <n v="1669"/>
    <n v="3535"/>
    <s v="No"/>
    <n v="0"/>
    <s v="1001-5000"/>
    <s v="Full-time"/>
    <s v="No"/>
  </r>
  <r>
    <s v="AIJOB01111"/>
    <x v="15"/>
    <x v="17"/>
    <s v="Healthcare"/>
    <s v="Boston, United States"/>
    <s v="United States"/>
    <s v="Hybrid"/>
    <x v="3"/>
    <s v="5-8 yrs"/>
    <n v="144851"/>
    <x v="1110"/>
    <s v="Grok"/>
    <s v="PhD"/>
    <n v="45351"/>
    <n v="1282"/>
    <n v="1941"/>
    <s v="No"/>
    <n v="4"/>
    <s v="1001-5000"/>
    <s v="Full-time"/>
    <s v="Yes"/>
  </r>
  <r>
    <s v="AIJOB01112"/>
    <x v="6"/>
    <x v="21"/>
    <s v="Finance"/>
    <s v="Chicago, United States"/>
    <s v="United States"/>
    <s v="Remote"/>
    <x v="1"/>
    <s v="8+ yrs"/>
    <n v="207827"/>
    <x v="1111"/>
    <s v="Mistral"/>
    <s v="PhD"/>
    <n v="45467"/>
    <n v="1988"/>
    <n v="323"/>
    <s v="Yes"/>
    <n v="6"/>
    <s v="0-50"/>
    <s v="Full-time"/>
    <s v="No"/>
  </r>
  <r>
    <s v="AIJOB01113"/>
    <x v="18"/>
    <x v="17"/>
    <s v="Retail"/>
    <s v="Austin, United States"/>
    <s v="United States"/>
    <s v="Hybrid"/>
    <x v="2"/>
    <s v="2-5 yrs"/>
    <n v="127227"/>
    <x v="1112"/>
    <s v="None"/>
    <s v="Master's"/>
    <n v="45710"/>
    <n v="305"/>
    <n v="564"/>
    <s v="No"/>
    <n v="2"/>
    <s v="51-200"/>
    <s v="Full-time"/>
    <s v="Yes"/>
  </r>
  <r>
    <s v="AIJOB01114"/>
    <x v="19"/>
    <x v="6"/>
    <s v="Defense"/>
    <s v="Los Angeles, United States"/>
    <s v="United States"/>
    <s v="Remote"/>
    <x v="2"/>
    <s v="2-5 yrs"/>
    <n v="119814"/>
    <x v="1113"/>
    <s v="Phi"/>
    <s v="Bachelor's"/>
    <n v="45730"/>
    <n v="1598"/>
    <n v="3263"/>
    <s v="Yes"/>
    <n v="2"/>
    <s v="0-50"/>
    <s v="Full-time"/>
    <s v="No"/>
  </r>
  <r>
    <s v="AIJOB01115"/>
    <x v="17"/>
    <x v="25"/>
    <s v="Energy"/>
    <s v="Tel Aviv, Israel"/>
    <s v="Israel"/>
    <s v="Remote"/>
    <x v="1"/>
    <s v="8+ yrs"/>
    <n v="205415"/>
    <x v="1114"/>
    <s v="Mistral"/>
    <s v="Master's"/>
    <n v="45647"/>
    <n v="1404"/>
    <n v="3578"/>
    <s v="No"/>
    <n v="6"/>
    <s v="201-1000"/>
    <s v="Full-time"/>
    <s v="No"/>
  </r>
  <r>
    <s v="AIJOB01116"/>
    <x v="18"/>
    <x v="11"/>
    <s v="Finance"/>
    <s v="Berlin, Germany"/>
    <s v="Germany"/>
    <s v="On-site"/>
    <x v="1"/>
    <s v="8+ yrs"/>
    <n v="213138"/>
    <x v="1115"/>
    <s v="None"/>
    <s v="PhD"/>
    <n v="45355"/>
    <n v="1409"/>
    <n v="3187"/>
    <s v="No"/>
    <n v="6"/>
    <s v="0-50"/>
    <s v="Full-time"/>
    <s v="No"/>
  </r>
  <r>
    <s v="AIJOB01117"/>
    <x v="12"/>
    <x v="26"/>
    <s v="Media"/>
    <s v="Dublin, Ireland"/>
    <s v="Ireland"/>
    <s v="Hybrid"/>
    <x v="0"/>
    <s v="0-2 yrs"/>
    <n v="100283"/>
    <x v="1116"/>
    <s v="None"/>
    <s v="Bachelor's"/>
    <n v="45572"/>
    <n v="2245"/>
    <n v="1851"/>
    <s v="Yes"/>
    <n v="0"/>
    <s v="201-1000"/>
    <s v="Full-time"/>
    <s v="No"/>
  </r>
  <r>
    <s v="AIJOB01118"/>
    <x v="6"/>
    <x v="20"/>
    <s v="Energy"/>
    <s v="Tokyo, Japan"/>
    <s v="Japan"/>
    <s v="On-site"/>
    <x v="0"/>
    <s v="0-2 yrs"/>
    <n v="69274"/>
    <x v="1117"/>
    <s v="GPT-4"/>
    <s v="Bachelor's"/>
    <n v="45470"/>
    <n v="845"/>
    <n v="1438"/>
    <s v="No"/>
    <n v="0"/>
    <s v="51-200"/>
    <s v="Part-time"/>
    <s v="No"/>
  </r>
  <r>
    <s v="AIJOB01119"/>
    <x v="4"/>
    <x v="15"/>
    <s v="Automotive"/>
    <s v="Paris, France"/>
    <s v="France"/>
    <s v="On-site"/>
    <x v="2"/>
    <s v="2-5 yrs"/>
    <n v="113981"/>
    <x v="1118"/>
    <s v="Gemini"/>
    <s v="PhD"/>
    <n v="45604"/>
    <n v="571"/>
    <n v="90"/>
    <s v="Yes"/>
    <n v="2"/>
    <s v="1001-5000"/>
    <s v="Full-time"/>
    <s v="No"/>
  </r>
  <r>
    <s v="AIJOB01120"/>
    <x v="2"/>
    <x v="24"/>
    <s v="Defense"/>
    <s v="Zurich, Switzerland"/>
    <s v="Switzerland"/>
    <s v="Remote"/>
    <x v="0"/>
    <s v="0-2 yrs"/>
    <n v="83238"/>
    <x v="1119"/>
    <s v="Grok"/>
    <s v="Master's"/>
    <n v="45430"/>
    <n v="891"/>
    <n v="600"/>
    <s v="No"/>
    <n v="0"/>
    <s v="5000+"/>
    <s v="Part-time"/>
    <s v="Yes"/>
  </r>
  <r>
    <s v="AIJOB01121"/>
    <x v="1"/>
    <x v="19"/>
    <s v="Healthcare"/>
    <s v="Berlin, Germany"/>
    <s v="Germany"/>
    <s v="Hybrid"/>
    <x v="1"/>
    <s v="8+ yrs"/>
    <n v="239798"/>
    <x v="1120"/>
    <s v="None"/>
    <s v="Bachelor's"/>
    <n v="45422"/>
    <n v="357"/>
    <n v="1095"/>
    <s v="No"/>
    <n v="6"/>
    <s v="51-200"/>
    <s v="Full-time"/>
    <s v="Yes"/>
  </r>
  <r>
    <s v="AIJOB01122"/>
    <x v="1"/>
    <x v="4"/>
    <s v="Education"/>
    <s v="New York, United States"/>
    <s v="United States"/>
    <s v="Remote"/>
    <x v="0"/>
    <s v="0-2 yrs"/>
    <n v="84956"/>
    <x v="1121"/>
    <s v="Phi"/>
    <s v="Master's"/>
    <n v="45487"/>
    <n v="995"/>
    <n v="239"/>
    <s v="Maybe"/>
    <n v="0"/>
    <s v="51-200"/>
    <s v="Contract"/>
    <s v="Yes"/>
  </r>
  <r>
    <s v="AIJOB01123"/>
    <x v="18"/>
    <x v="2"/>
    <s v="Technology"/>
    <s v="Chicago, United States"/>
    <s v="United States"/>
    <s v="On-site"/>
    <x v="2"/>
    <s v="2-5 yrs"/>
    <n v="122646"/>
    <x v="1122"/>
    <s v="Phi"/>
    <s v="Bachelor's"/>
    <n v="45504"/>
    <n v="2204"/>
    <n v="1958"/>
    <s v="No"/>
    <n v="2"/>
    <s v="0-50"/>
    <s v="Full-time"/>
    <s v="No"/>
  </r>
  <r>
    <s v="AIJOB01124"/>
    <x v="3"/>
    <x v="20"/>
    <s v="Healthcare"/>
    <s v="Zurich, Switzerland"/>
    <s v="Switzerland"/>
    <s v="On-site"/>
    <x v="3"/>
    <s v="5-8 yrs"/>
    <n v="119138"/>
    <x v="1123"/>
    <s v="None"/>
    <s v="Bachelor's"/>
    <n v="45305"/>
    <n v="1136"/>
    <n v="2224"/>
    <s v="No"/>
    <n v="4"/>
    <s v="5000+"/>
    <s v="Full-time"/>
    <s v="No"/>
  </r>
  <r>
    <s v="AIJOB01125"/>
    <x v="4"/>
    <x v="12"/>
    <s v="Media"/>
    <s v="Tel Aviv, Israel"/>
    <s v="Israel"/>
    <s v="Remote"/>
    <x v="1"/>
    <s v="8+ yrs"/>
    <n v="258803"/>
    <x v="1124"/>
    <s v="Mistral"/>
    <s v="PhD"/>
    <n v="45353"/>
    <n v="2331"/>
    <n v="464"/>
    <s v="No"/>
    <n v="6"/>
    <s v="5000+"/>
    <s v="Contract"/>
    <s v="No"/>
  </r>
  <r>
    <s v="AIJOB01126"/>
    <x v="8"/>
    <x v="20"/>
    <s v="Government"/>
    <s v="Bangalore, India"/>
    <s v="India"/>
    <s v="Remote"/>
    <x v="0"/>
    <s v="0-2 yrs"/>
    <n v="55556"/>
    <x v="1125"/>
    <s v="Gemini"/>
    <s v="Bachelor's"/>
    <n v="45417"/>
    <n v="1927"/>
    <n v="73"/>
    <s v="Yes"/>
    <n v="0"/>
    <s v="51-200"/>
    <s v="Full-time"/>
    <s v="No"/>
  </r>
  <r>
    <s v="AIJOB01127"/>
    <x v="4"/>
    <x v="0"/>
    <s v="Government"/>
    <s v="San Francisco, United States"/>
    <s v="United States"/>
    <s v="Hybrid"/>
    <x v="2"/>
    <s v="2-5 yrs"/>
    <n v="115992"/>
    <x v="1126"/>
    <s v="Gemini"/>
    <s v="Master's"/>
    <n v="45448"/>
    <n v="1220"/>
    <n v="3790"/>
    <s v="Yes"/>
    <n v="2"/>
    <s v="1001-5000"/>
    <s v="Full-time"/>
    <s v="No"/>
  </r>
  <r>
    <s v="AIJOB01128"/>
    <x v="5"/>
    <x v="11"/>
    <s v="Defense"/>
    <s v="Berlin, Germany"/>
    <s v="Germany"/>
    <s v="Remote"/>
    <x v="0"/>
    <s v="0-2 yrs"/>
    <n v="60496"/>
    <x v="1127"/>
    <s v="Claude"/>
    <s v="Master's"/>
    <n v="45468"/>
    <n v="1609"/>
    <n v="3922"/>
    <s v="Maybe"/>
    <n v="0"/>
    <s v="5000+"/>
    <s v="Part-time"/>
    <s v="Yes"/>
  </r>
  <r>
    <s v="AIJOB01129"/>
    <x v="19"/>
    <x v="27"/>
    <s v="Retail"/>
    <s v="Sydney, Australia"/>
    <s v="Australia"/>
    <s v="Hybrid"/>
    <x v="1"/>
    <s v="8+ yrs"/>
    <n v="197691"/>
    <x v="1128"/>
    <s v="None"/>
    <s v="Master's"/>
    <n v="45702"/>
    <n v="540"/>
    <n v="3728"/>
    <s v="Yes"/>
    <n v="6"/>
    <s v="5000+"/>
    <s v="Full-time"/>
    <s v="No"/>
  </r>
  <r>
    <s v="AIJOB01130"/>
    <x v="13"/>
    <x v="16"/>
    <s v="Defense"/>
    <s v="Bangalore, India"/>
    <s v="India"/>
    <s v="On-site"/>
    <x v="2"/>
    <s v="2-5 yrs"/>
    <n v="116509"/>
    <x v="1129"/>
    <s v="Grok"/>
    <s v="Bachelor's"/>
    <n v="45577"/>
    <n v="2090"/>
    <n v="1241"/>
    <s v="Yes"/>
    <n v="2"/>
    <s v="1001-5000"/>
    <s v="Full-time"/>
    <s v="No"/>
  </r>
  <r>
    <s v="AIJOB01131"/>
    <x v="10"/>
    <x v="21"/>
    <s v="Energy"/>
    <s v="Chicago, United States"/>
    <s v="United States"/>
    <s v="Hybrid"/>
    <x v="2"/>
    <s v="2-5 yrs"/>
    <n v="116362"/>
    <x v="1130"/>
    <s v="None"/>
    <s v="Bachelor's"/>
    <n v="45665"/>
    <n v="2090"/>
    <n v="1117"/>
    <s v="No"/>
    <n v="2"/>
    <s v="0-50"/>
    <s v="Full-time"/>
    <s v="Yes"/>
  </r>
  <r>
    <s v="AIJOB01132"/>
    <x v="12"/>
    <x v="26"/>
    <s v="Education"/>
    <s v="Austin, United States"/>
    <s v="United States"/>
    <s v="Remote"/>
    <x v="1"/>
    <s v="8+ yrs"/>
    <n v="215189"/>
    <x v="1131"/>
    <s v="Gemini"/>
    <s v="Master's"/>
    <n v="45387"/>
    <n v="907"/>
    <n v="3558"/>
    <s v="Yes"/>
    <n v="6"/>
    <s v="201-1000"/>
    <s v="Full-time"/>
    <s v="Yes"/>
  </r>
  <r>
    <s v="AIJOB01133"/>
    <x v="9"/>
    <x v="11"/>
    <s v="Defense"/>
    <s v="New York, United States"/>
    <s v="United States"/>
    <s v="Remote"/>
    <x v="0"/>
    <s v="0-2 yrs"/>
    <n v="90332"/>
    <x v="1132"/>
    <s v="Grok"/>
    <s v="Bachelor's"/>
    <n v="45572"/>
    <n v="2414"/>
    <n v="2144"/>
    <s v="No"/>
    <n v="0"/>
    <s v="5000+"/>
    <s v="Part-time"/>
    <s v="Yes"/>
  </r>
  <r>
    <s v="AIJOB01134"/>
    <x v="0"/>
    <x v="27"/>
    <s v="Retail"/>
    <s v="San Francisco, United States"/>
    <s v="United States"/>
    <s v="Remote"/>
    <x v="1"/>
    <s v="8+ yrs"/>
    <n v="216327"/>
    <x v="1133"/>
    <s v="None"/>
    <s v="Bachelor's"/>
    <n v="45730"/>
    <n v="2325"/>
    <n v="835"/>
    <s v="Maybe"/>
    <n v="6"/>
    <s v="5000+"/>
    <s v="Full-time"/>
    <s v="No"/>
  </r>
  <r>
    <s v="AIJOB01135"/>
    <x v="12"/>
    <x v="4"/>
    <s v="Retail"/>
    <s v="Tokyo, Japan"/>
    <s v="Japan"/>
    <s v="Remote"/>
    <x v="1"/>
    <s v="8+ yrs"/>
    <n v="191210"/>
    <x v="1134"/>
    <s v="Mistral"/>
    <s v="Bachelor's"/>
    <n v="45296"/>
    <n v="394"/>
    <n v="3783"/>
    <s v="No"/>
    <n v="6"/>
    <s v="5000+"/>
    <s v="Full-time"/>
    <s v="No"/>
  </r>
  <r>
    <s v="AIJOB01136"/>
    <x v="7"/>
    <x v="1"/>
    <s v="Finance"/>
    <s v="London, United Kingdom"/>
    <s v="United Kingdom"/>
    <s v="On-site"/>
    <x v="1"/>
    <s v="8+ yrs"/>
    <n v="234707"/>
    <x v="1135"/>
    <s v="None"/>
    <s v="Master's"/>
    <n v="45662"/>
    <n v="1812"/>
    <n v="2853"/>
    <s v="No"/>
    <n v="6"/>
    <s v="5000+"/>
    <s v="Full-time"/>
    <s v="No"/>
  </r>
  <r>
    <s v="AIJOB01137"/>
    <x v="5"/>
    <x v="21"/>
    <s v="Media"/>
    <s v="San Francisco, United States"/>
    <s v="United States"/>
    <s v="Remote"/>
    <x v="2"/>
    <s v="2-5 yrs"/>
    <n v="133551"/>
    <x v="1136"/>
    <s v="Llama"/>
    <s v="Master's"/>
    <n v="45425"/>
    <n v="2128"/>
    <n v="1327"/>
    <s v="No"/>
    <n v="2"/>
    <s v="5000+"/>
    <s v="Full-time"/>
    <s v="Yes"/>
  </r>
  <r>
    <s v="AIJOB01138"/>
    <x v="12"/>
    <x v="19"/>
    <s v="Healthcare"/>
    <s v="Chicago, United States"/>
    <s v="United States"/>
    <s v="Remote"/>
    <x v="3"/>
    <s v="5-8 yrs"/>
    <n v="116854"/>
    <x v="1137"/>
    <s v="GPT-4"/>
    <s v="PhD"/>
    <n v="45367"/>
    <n v="675"/>
    <n v="2830"/>
    <s v="No"/>
    <n v="4"/>
    <s v="51-200"/>
    <s v="Full-time"/>
    <s v="No"/>
  </r>
  <r>
    <s v="AIJOB01139"/>
    <x v="6"/>
    <x v="23"/>
    <s v="Government"/>
    <s v="San Francisco, United States"/>
    <s v="United States"/>
    <s v="Remote"/>
    <x v="3"/>
    <s v="5-8 yrs"/>
    <n v="166129"/>
    <x v="1138"/>
    <s v="Mistral"/>
    <s v="Bootcamp/Self-taught"/>
    <n v="45492"/>
    <n v="2215"/>
    <n v="941"/>
    <s v="No"/>
    <n v="4"/>
    <s v="201-1000"/>
    <s v="Full-time"/>
    <s v="Yes"/>
  </r>
  <r>
    <s v="AIJOB01140"/>
    <x v="5"/>
    <x v="6"/>
    <s v="Energy"/>
    <s v="Paris, France"/>
    <s v="France"/>
    <s v="Remote"/>
    <x v="2"/>
    <s v="2-5 yrs"/>
    <n v="123883"/>
    <x v="1139"/>
    <s v="Claude"/>
    <s v="Bootcamp/Self-taught"/>
    <n v="45524"/>
    <n v="1659"/>
    <n v="449"/>
    <s v="No"/>
    <n v="2"/>
    <s v="1001-5000"/>
    <s v="Part-time"/>
    <s v="No"/>
  </r>
  <r>
    <s v="AIJOB01141"/>
    <x v="18"/>
    <x v="0"/>
    <s v="Media"/>
    <s v="Zurich, Switzerland"/>
    <s v="Switzerland"/>
    <s v="Remote"/>
    <x v="3"/>
    <s v="5-8 yrs"/>
    <n v="141965"/>
    <x v="1140"/>
    <s v="Mistral"/>
    <s v="Bachelor's"/>
    <n v="45632"/>
    <n v="649"/>
    <n v="533"/>
    <s v="No"/>
    <n v="4"/>
    <s v="5000+"/>
    <s v="Full-time"/>
    <s v="Yes"/>
  </r>
  <r>
    <s v="AIJOB01142"/>
    <x v="4"/>
    <x v="7"/>
    <s v="Government"/>
    <s v="Singapore"/>
    <s v="Singapore"/>
    <s v="On-site"/>
    <x v="2"/>
    <s v="2-5 yrs"/>
    <n v="137238"/>
    <x v="1141"/>
    <s v="Mistral"/>
    <s v="Bachelor's"/>
    <n v="45357"/>
    <n v="2058"/>
    <n v="1792"/>
    <s v="No"/>
    <n v="2"/>
    <s v="51-200"/>
    <s v="Part-time"/>
    <s v="No"/>
  </r>
  <r>
    <s v="AIJOB01143"/>
    <x v="2"/>
    <x v="16"/>
    <s v="Automotive"/>
    <s v="Chicago, United States"/>
    <s v="United States"/>
    <s v="Hybrid"/>
    <x v="3"/>
    <s v="5-8 yrs"/>
    <n v="145948"/>
    <x v="1142"/>
    <s v="Llama"/>
    <s v="Master's"/>
    <n v="45740"/>
    <n v="403"/>
    <n v="448"/>
    <s v="No"/>
    <n v="4"/>
    <s v="201-1000"/>
    <s v="Full-time"/>
    <s v="Yes"/>
  </r>
  <r>
    <s v="AIJOB01144"/>
    <x v="9"/>
    <x v="7"/>
    <s v="Healthcare"/>
    <s v="Tel Aviv, Israel"/>
    <s v="Israel"/>
    <s v="On-site"/>
    <x v="3"/>
    <s v="5-8 yrs"/>
    <n v="153390"/>
    <x v="1143"/>
    <s v="BLOOM"/>
    <s v="Bachelor's"/>
    <n v="45424"/>
    <n v="1601"/>
    <n v="3110"/>
    <s v="Yes"/>
    <n v="4"/>
    <s v="51-200"/>
    <s v="Contract"/>
    <s v="No"/>
  </r>
  <r>
    <s v="AIJOB01145"/>
    <x v="15"/>
    <x v="19"/>
    <s v="Media"/>
    <s v="Bangalore, India"/>
    <s v="India"/>
    <s v="On-site"/>
    <x v="1"/>
    <s v="8+ yrs"/>
    <n v="193769"/>
    <x v="1144"/>
    <s v="None"/>
    <s v="Bootcamp/Self-taught"/>
    <n v="45552"/>
    <n v="832"/>
    <n v="1140"/>
    <s v="Maybe"/>
    <n v="6"/>
    <s v="5000+"/>
    <s v="Contract"/>
    <s v="No"/>
  </r>
  <r>
    <s v="AIJOB01146"/>
    <x v="19"/>
    <x v="28"/>
    <s v="Technology"/>
    <s v="Dublin, Ireland"/>
    <s v="Ireland"/>
    <s v="On-site"/>
    <x v="1"/>
    <s v="8+ yrs"/>
    <n v="200560"/>
    <x v="1145"/>
    <s v="Llama"/>
    <s v="Bachelor's"/>
    <n v="45430"/>
    <n v="745"/>
    <n v="3312"/>
    <s v="No"/>
    <n v="6"/>
    <s v="5000+"/>
    <s v="Full-time"/>
    <s v="No"/>
  </r>
  <r>
    <s v="AIJOB01147"/>
    <x v="3"/>
    <x v="6"/>
    <s v="Media"/>
    <s v="Paris, France"/>
    <s v="France"/>
    <s v="Remote"/>
    <x v="2"/>
    <s v="2-5 yrs"/>
    <n v="88293"/>
    <x v="1146"/>
    <s v="None"/>
    <s v="Master's"/>
    <n v="45431"/>
    <n v="752"/>
    <n v="627"/>
    <s v="Yes"/>
    <n v="2"/>
    <s v="1001-5000"/>
    <s v="Contract"/>
    <s v="No"/>
  </r>
  <r>
    <s v="AIJOB01148"/>
    <x v="16"/>
    <x v="10"/>
    <s v="Finance"/>
    <s v="Boston, United States"/>
    <s v="United States"/>
    <s v="Remote"/>
    <x v="2"/>
    <s v="2-5 yrs"/>
    <n v="81486"/>
    <x v="1147"/>
    <s v="Mistral"/>
    <s v="PhD"/>
    <n v="45694"/>
    <n v="714"/>
    <n v="2756"/>
    <s v="No"/>
    <n v="2"/>
    <s v="1001-5000"/>
    <s v="Contract"/>
    <s v="No"/>
  </r>
  <r>
    <s v="AIJOB01149"/>
    <x v="4"/>
    <x v="5"/>
    <s v="Energy"/>
    <s v="Bangalore, India"/>
    <s v="India"/>
    <s v="Remote"/>
    <x v="2"/>
    <s v="2-5 yrs"/>
    <n v="141571"/>
    <x v="1148"/>
    <s v="None"/>
    <s v="PhD"/>
    <n v="45730"/>
    <n v="565"/>
    <n v="2173"/>
    <s v="No"/>
    <n v="2"/>
    <s v="5000+"/>
    <s v="Contract"/>
    <s v="No"/>
  </r>
  <r>
    <s v="AIJOB01150"/>
    <x v="11"/>
    <x v="22"/>
    <s v="Retail"/>
    <s v="Amsterdam, Netherlands"/>
    <s v="Netherlands"/>
    <s v="On-site"/>
    <x v="1"/>
    <s v="8+ yrs"/>
    <n v="169509"/>
    <x v="1149"/>
    <s v="Falcon"/>
    <s v="Master's"/>
    <n v="45301"/>
    <n v="1442"/>
    <n v="346"/>
    <s v="No"/>
    <n v="6"/>
    <s v="51-200"/>
    <s v="Full-time"/>
    <s v="Yes"/>
  </r>
  <r>
    <s v="AIJOB01151"/>
    <x v="11"/>
    <x v="10"/>
    <s v="Energy"/>
    <s v="Sydney, Australia"/>
    <s v="Australia"/>
    <s v="Hybrid"/>
    <x v="0"/>
    <s v="0-2 yrs"/>
    <n v="57508"/>
    <x v="1150"/>
    <s v="None"/>
    <s v="Master's"/>
    <n v="45562"/>
    <n v="539"/>
    <n v="839"/>
    <s v="Yes"/>
    <n v="0"/>
    <s v="51-200"/>
    <s v="Full-time"/>
    <s v="Yes"/>
  </r>
  <r>
    <s v="AIJOB01152"/>
    <x v="12"/>
    <x v="24"/>
    <s v="Finance"/>
    <s v="Seattle, United States"/>
    <s v="United States"/>
    <s v="Remote"/>
    <x v="0"/>
    <s v="0-2 yrs"/>
    <n v="50000"/>
    <x v="1151"/>
    <s v="None"/>
    <s v="Bachelor's"/>
    <n v="45433"/>
    <n v="2333"/>
    <n v="3071"/>
    <s v="Yes"/>
    <n v="0"/>
    <s v="1001-5000"/>
    <s v="Contract"/>
    <s v="No"/>
  </r>
  <r>
    <s v="AIJOB01153"/>
    <x v="17"/>
    <x v="21"/>
    <s v="Finance"/>
    <s v="Chicago, United States"/>
    <s v="United States"/>
    <s v="On-site"/>
    <x v="0"/>
    <s v="0-2 yrs"/>
    <n v="61949"/>
    <x v="1152"/>
    <s v="None"/>
    <s v="Master's"/>
    <n v="45371"/>
    <n v="1466"/>
    <n v="3472"/>
    <s v="Maybe"/>
    <n v="0"/>
    <s v="1001-5000"/>
    <s v="Contract"/>
    <s v="Yes"/>
  </r>
  <r>
    <s v="AIJOB01154"/>
    <x v="16"/>
    <x v="29"/>
    <s v="Healthcare"/>
    <s v="London, United Kingdom"/>
    <s v="United Kingdom"/>
    <s v="Remote"/>
    <x v="0"/>
    <s v="0-2 yrs"/>
    <n v="53329"/>
    <x v="1153"/>
    <s v="Command R"/>
    <s v="Master's"/>
    <n v="45516"/>
    <n v="2117"/>
    <n v="2150"/>
    <s v="No"/>
    <n v="0"/>
    <s v="1001-5000"/>
    <s v="Full-time"/>
    <s v="No"/>
  </r>
  <r>
    <s v="AIJOB01155"/>
    <x v="17"/>
    <x v="11"/>
    <s v="Defense"/>
    <s v="Bangalore, India"/>
    <s v="India"/>
    <s v="Remote"/>
    <x v="2"/>
    <s v="2-5 yrs"/>
    <n v="142511"/>
    <x v="1154"/>
    <s v="None"/>
    <s v="Master's"/>
    <n v="45504"/>
    <n v="933"/>
    <n v="541"/>
    <s v="Maybe"/>
    <n v="2"/>
    <s v="5000+"/>
    <s v="Contract"/>
    <s v="No"/>
  </r>
  <r>
    <s v="AIJOB01156"/>
    <x v="11"/>
    <x v="8"/>
    <s v="Technology"/>
    <s v="Tel Aviv, Israel"/>
    <s v="Israel"/>
    <s v="Hybrid"/>
    <x v="3"/>
    <s v="5-8 yrs"/>
    <n v="177265"/>
    <x v="1155"/>
    <s v="Claude"/>
    <s v="Bachelor's"/>
    <n v="45353"/>
    <n v="1474"/>
    <n v="2250"/>
    <s v="Yes"/>
    <n v="4"/>
    <s v="5000+"/>
    <s v="Full-time"/>
    <s v="Yes"/>
  </r>
  <r>
    <s v="AIJOB01157"/>
    <x v="10"/>
    <x v="20"/>
    <s v="Finance"/>
    <s v="San Francisco, United States"/>
    <s v="United States"/>
    <s v="Remote"/>
    <x v="0"/>
    <s v="0-2 yrs"/>
    <n v="61329"/>
    <x v="1156"/>
    <s v="Gemini"/>
    <s v="Master's"/>
    <n v="45423"/>
    <n v="455"/>
    <n v="3243"/>
    <s v="Maybe"/>
    <n v="0"/>
    <s v="5000+"/>
    <s v="Full-time"/>
    <s v="Yes"/>
  </r>
  <r>
    <s v="AIJOB01158"/>
    <x v="16"/>
    <x v="28"/>
    <s v="Finance"/>
    <s v="Amsterdam, Netherlands"/>
    <s v="Netherlands"/>
    <s v="Remote"/>
    <x v="1"/>
    <s v="8+ yrs"/>
    <n v="281087"/>
    <x v="1157"/>
    <s v="None"/>
    <s v="Master's"/>
    <n v="45533"/>
    <n v="784"/>
    <n v="1017"/>
    <s v="No"/>
    <n v="6"/>
    <s v="201-1000"/>
    <s v="Full-time"/>
    <s v="No"/>
  </r>
  <r>
    <s v="AIJOB01159"/>
    <x v="3"/>
    <x v="26"/>
    <s v="Retail"/>
    <s v="Austin, United States"/>
    <s v="United States"/>
    <s v="Remote"/>
    <x v="0"/>
    <s v="0-2 yrs"/>
    <n v="82370"/>
    <x v="1158"/>
    <s v="GPT-4"/>
    <s v="Master's"/>
    <n v="45351"/>
    <n v="2440"/>
    <n v="3150"/>
    <s v="No"/>
    <n v="0"/>
    <s v="51-200"/>
    <s v="Full-time"/>
    <s v="Yes"/>
  </r>
  <r>
    <s v="AIJOB01160"/>
    <x v="0"/>
    <x v="12"/>
    <s v="Media"/>
    <s v="Zurich, Switzerland"/>
    <s v="Switzerland"/>
    <s v="Remote"/>
    <x v="2"/>
    <s v="2-5 yrs"/>
    <n v="103568"/>
    <x v="1159"/>
    <s v="None"/>
    <s v="Master's"/>
    <n v="45569"/>
    <n v="605"/>
    <n v="3344"/>
    <s v="Yes"/>
    <n v="2"/>
    <s v="51-200"/>
    <s v="Full-time"/>
    <s v="Yes"/>
  </r>
  <r>
    <s v="AIJOB01161"/>
    <x v="4"/>
    <x v="29"/>
    <s v="Defense"/>
    <s v="Tel Aviv, Israel"/>
    <s v="Israel"/>
    <s v="Hybrid"/>
    <x v="1"/>
    <s v="8+ yrs"/>
    <n v="110021"/>
    <x v="1160"/>
    <s v="None"/>
    <s v="PhD"/>
    <n v="45682"/>
    <n v="1253"/>
    <n v="1279"/>
    <s v="No"/>
    <n v="6"/>
    <s v="0-50"/>
    <s v="Full-time"/>
    <s v="Yes"/>
  </r>
  <r>
    <s v="AIJOB01162"/>
    <x v="0"/>
    <x v="16"/>
    <s v="Finance"/>
    <s v="Tel Aviv, Israel"/>
    <s v="Israel"/>
    <s v="Remote"/>
    <x v="3"/>
    <s v="5-8 yrs"/>
    <n v="211855"/>
    <x v="1161"/>
    <s v="BLOOM"/>
    <s v="Master's"/>
    <n v="45685"/>
    <n v="1310"/>
    <n v="2270"/>
    <s v="No"/>
    <n v="4"/>
    <s v="0-50"/>
    <s v="Full-time"/>
    <s v="No"/>
  </r>
  <r>
    <s v="AIJOB01163"/>
    <x v="14"/>
    <x v="28"/>
    <s v="Automotive"/>
    <s v="Austin, United States"/>
    <s v="United States"/>
    <s v="On-site"/>
    <x v="1"/>
    <s v="8+ yrs"/>
    <n v="149975"/>
    <x v="1162"/>
    <s v="Falcon"/>
    <s v="Bachelor's"/>
    <n v="45360"/>
    <n v="486"/>
    <n v="3132"/>
    <s v="No"/>
    <n v="6"/>
    <s v="5000+"/>
    <s v="Full-time"/>
    <s v="Yes"/>
  </r>
  <r>
    <s v="AIJOB01164"/>
    <x v="11"/>
    <x v="18"/>
    <s v="Healthcare"/>
    <s v="Berlin, Germany"/>
    <s v="Germany"/>
    <s v="Remote"/>
    <x v="0"/>
    <s v="0-2 yrs"/>
    <n v="50000"/>
    <x v="1163"/>
    <s v="Command R"/>
    <s v="Bachelor's"/>
    <n v="45441"/>
    <n v="564"/>
    <n v="1818"/>
    <s v="Yes"/>
    <n v="0"/>
    <s v="1001-5000"/>
    <s v="Full-time"/>
    <s v="No"/>
  </r>
  <r>
    <s v="AIJOB01165"/>
    <x v="14"/>
    <x v="26"/>
    <s v="Finance"/>
    <s v="Boston, United States"/>
    <s v="United States"/>
    <s v="Remote"/>
    <x v="0"/>
    <s v="0-2 yrs"/>
    <n v="82884"/>
    <x v="1164"/>
    <s v="None"/>
    <s v="Master's"/>
    <n v="45426"/>
    <n v="1557"/>
    <n v="944"/>
    <s v="No"/>
    <n v="0"/>
    <s v="51-200"/>
    <s v="Contract"/>
    <s v="Yes"/>
  </r>
  <r>
    <s v="AIJOB01166"/>
    <x v="4"/>
    <x v="6"/>
    <s v="Media"/>
    <s v="Dublin, Ireland"/>
    <s v="Ireland"/>
    <s v="On-site"/>
    <x v="3"/>
    <s v="5-8 yrs"/>
    <n v="215873"/>
    <x v="1165"/>
    <s v="Mistral"/>
    <s v="Master's"/>
    <n v="45653"/>
    <n v="1949"/>
    <n v="614"/>
    <s v="Maybe"/>
    <n v="4"/>
    <s v="51-200"/>
    <s v="Full-time"/>
    <s v="No"/>
  </r>
  <r>
    <s v="AIJOB01167"/>
    <x v="17"/>
    <x v="27"/>
    <s v="Education"/>
    <s v="Los Angeles, United States"/>
    <s v="United States"/>
    <s v="Remote"/>
    <x v="1"/>
    <s v="8+ yrs"/>
    <n v="249833"/>
    <x v="1166"/>
    <s v="Llama"/>
    <s v="Bootcamp/Self-taught"/>
    <n v="45361"/>
    <n v="1145"/>
    <n v="3872"/>
    <s v="No"/>
    <n v="6"/>
    <s v="5000+"/>
    <s v="Part-time"/>
    <s v="Yes"/>
  </r>
  <r>
    <s v="AIJOB01168"/>
    <x v="19"/>
    <x v="23"/>
    <s v="Technology"/>
    <s v="Boston, United States"/>
    <s v="United States"/>
    <s v="Hybrid"/>
    <x v="2"/>
    <s v="2-5 yrs"/>
    <n v="121165"/>
    <x v="1167"/>
    <s v="None"/>
    <s v="PhD"/>
    <n v="45403"/>
    <n v="2417"/>
    <n v="3772"/>
    <s v="Maybe"/>
    <n v="2"/>
    <s v="1001-5000"/>
    <s v="Full-time"/>
    <s v="Yes"/>
  </r>
  <r>
    <s v="AIJOB01169"/>
    <x v="17"/>
    <x v="14"/>
    <s v="Defense"/>
    <s v="Boston, United States"/>
    <s v="United States"/>
    <s v="Hybrid"/>
    <x v="3"/>
    <s v="5-8 yrs"/>
    <n v="166058"/>
    <x v="1168"/>
    <s v="None"/>
    <s v="PhD"/>
    <n v="45424"/>
    <n v="2242"/>
    <n v="829"/>
    <s v="No"/>
    <n v="4"/>
    <s v="0-50"/>
    <s v="Part-time"/>
    <s v="Yes"/>
  </r>
  <r>
    <s v="AIJOB01170"/>
    <x v="14"/>
    <x v="12"/>
    <s v="Education"/>
    <s v="Amsterdam, Netherlands"/>
    <s v="Netherlands"/>
    <s v="Hybrid"/>
    <x v="1"/>
    <s v="8+ yrs"/>
    <n v="230722"/>
    <x v="1169"/>
    <s v="GPT-4"/>
    <s v="Master's"/>
    <n v="45452"/>
    <n v="2197"/>
    <n v="2057"/>
    <s v="No"/>
    <n v="6"/>
    <s v="201-1000"/>
    <s v="Full-time"/>
    <s v="Yes"/>
  </r>
  <r>
    <s v="AIJOB01171"/>
    <x v="4"/>
    <x v="12"/>
    <s v="Healthcare"/>
    <s v="Paris, France"/>
    <s v="France"/>
    <s v="On-site"/>
    <x v="0"/>
    <s v="0-2 yrs"/>
    <n v="79562"/>
    <x v="1170"/>
    <s v="None"/>
    <s v="Master's"/>
    <n v="45561"/>
    <n v="1144"/>
    <n v="748"/>
    <s v="Yes"/>
    <n v="0"/>
    <s v="51-200"/>
    <s v="Full-time"/>
    <s v="No"/>
  </r>
  <r>
    <s v="AIJOB01172"/>
    <x v="8"/>
    <x v="11"/>
    <s v="Media"/>
    <s v="London, United Kingdom"/>
    <s v="United Kingdom"/>
    <s v="Hybrid"/>
    <x v="0"/>
    <s v="0-2 yrs"/>
    <n v="73543"/>
    <x v="1171"/>
    <s v="Command R"/>
    <s v="Bachelor's"/>
    <n v="45719"/>
    <n v="1506"/>
    <n v="655"/>
    <s v="No"/>
    <n v="0"/>
    <s v="5000+"/>
    <s v="Full-time"/>
    <s v="Yes"/>
  </r>
  <r>
    <s v="AIJOB01173"/>
    <x v="1"/>
    <x v="16"/>
    <s v="Healthcare"/>
    <s v="Zurich, Switzerland"/>
    <s v="Switzerland"/>
    <s v="Hybrid"/>
    <x v="1"/>
    <s v="8+ yrs"/>
    <n v="203751"/>
    <x v="1172"/>
    <s v="Grok"/>
    <s v="Bachelor's"/>
    <n v="45308"/>
    <n v="1038"/>
    <n v="3069"/>
    <s v="No"/>
    <n v="6"/>
    <s v="5000+"/>
    <s v="Contract"/>
    <s v="Yes"/>
  </r>
  <r>
    <s v="AIJOB01174"/>
    <x v="2"/>
    <x v="18"/>
    <s v="Education"/>
    <s v="Chicago, United States"/>
    <s v="United States"/>
    <s v="Remote"/>
    <x v="2"/>
    <s v="2-5 yrs"/>
    <n v="108760"/>
    <x v="1173"/>
    <s v="Claude"/>
    <s v="PhD"/>
    <n v="45716"/>
    <n v="379"/>
    <n v="3784"/>
    <s v="Yes"/>
    <n v="2"/>
    <s v="0-50"/>
    <s v="Full-time"/>
    <s v="Yes"/>
  </r>
  <r>
    <s v="AIJOB01175"/>
    <x v="17"/>
    <x v="4"/>
    <s v="Defense"/>
    <s v="San Francisco, United States"/>
    <s v="United States"/>
    <s v="On-site"/>
    <x v="3"/>
    <s v="5-8 yrs"/>
    <n v="129642"/>
    <x v="1174"/>
    <s v="None"/>
    <s v="Bachelor's"/>
    <n v="45441"/>
    <n v="763"/>
    <n v="3544"/>
    <s v="No"/>
    <n v="4"/>
    <s v="51-200"/>
    <s v="Full-time"/>
    <s v="No"/>
  </r>
  <r>
    <s v="AIJOB01176"/>
    <x v="19"/>
    <x v="25"/>
    <s v="Defense"/>
    <s v="Stockholm, Sweden"/>
    <s v="Sweden"/>
    <s v="Remote"/>
    <x v="2"/>
    <s v="2-5 yrs"/>
    <n v="104442"/>
    <x v="1175"/>
    <s v="Falcon"/>
    <s v="PhD"/>
    <n v="45405"/>
    <n v="1631"/>
    <n v="455"/>
    <s v="No"/>
    <n v="2"/>
    <s v="51-200"/>
    <s v="Contract"/>
    <s v="Yes"/>
  </r>
  <r>
    <s v="AIJOB01177"/>
    <x v="14"/>
    <x v="9"/>
    <s v="Government"/>
    <s v="Tel Aviv, Israel"/>
    <s v="Israel"/>
    <s v="Remote"/>
    <x v="2"/>
    <s v="2-5 yrs"/>
    <n v="76479"/>
    <x v="1176"/>
    <s v="BLOOM"/>
    <s v="Master's"/>
    <n v="45732"/>
    <n v="1522"/>
    <n v="3173"/>
    <s v="No"/>
    <n v="2"/>
    <s v="1001-5000"/>
    <s v="Full-time"/>
    <s v="No"/>
  </r>
  <r>
    <s v="AIJOB01178"/>
    <x v="19"/>
    <x v="26"/>
    <s v="Defense"/>
    <s v="Chicago, United States"/>
    <s v="United States"/>
    <s v="Hybrid"/>
    <x v="1"/>
    <s v="8+ yrs"/>
    <n v="196459"/>
    <x v="1177"/>
    <s v="Falcon"/>
    <s v="Master's"/>
    <n v="45713"/>
    <n v="1830"/>
    <n v="105"/>
    <s v="No"/>
    <n v="6"/>
    <s v="0-50"/>
    <s v="Full-time"/>
    <s v="No"/>
  </r>
  <r>
    <s v="AIJOB01179"/>
    <x v="5"/>
    <x v="2"/>
    <s v="Healthcare"/>
    <s v="Los Angeles, United States"/>
    <s v="United States"/>
    <s v="Hybrid"/>
    <x v="0"/>
    <s v="0-2 yrs"/>
    <n v="57543"/>
    <x v="1178"/>
    <s v="Claude"/>
    <s v="Master's"/>
    <n v="45478"/>
    <n v="979"/>
    <n v="772"/>
    <s v="No"/>
    <n v="0"/>
    <s v="201-1000"/>
    <s v="Contract"/>
    <s v="No"/>
  </r>
  <r>
    <s v="AIJOB01180"/>
    <x v="7"/>
    <x v="28"/>
    <s v="Retail"/>
    <s v="Amsterdam, Netherlands"/>
    <s v="Netherlands"/>
    <s v="Remote"/>
    <x v="0"/>
    <s v="0-2 yrs"/>
    <n v="56094"/>
    <x v="1179"/>
    <s v="None"/>
    <s v="Bachelor's"/>
    <n v="45585"/>
    <n v="1009"/>
    <n v="36"/>
    <s v="Maybe"/>
    <n v="0"/>
    <s v="51-200"/>
    <s v="Full-time"/>
    <s v="Yes"/>
  </r>
  <r>
    <s v="AIJOB01181"/>
    <x v="16"/>
    <x v="22"/>
    <s v="Government"/>
    <s v="Boston, United States"/>
    <s v="United States"/>
    <s v="On-site"/>
    <x v="3"/>
    <s v="5-8 yrs"/>
    <n v="154857"/>
    <x v="1180"/>
    <s v="Falcon"/>
    <s v="PhD"/>
    <n v="45322"/>
    <n v="436"/>
    <n v="935"/>
    <s v="Maybe"/>
    <n v="4"/>
    <s v="5000+"/>
    <s v="Full-time"/>
    <s v="No"/>
  </r>
  <r>
    <s v="AIJOB01182"/>
    <x v="1"/>
    <x v="4"/>
    <s v="Healthcare"/>
    <s v="Singapore"/>
    <s v="Singapore"/>
    <s v="Hybrid"/>
    <x v="3"/>
    <s v="5-8 yrs"/>
    <n v="187584"/>
    <x v="1181"/>
    <s v="None"/>
    <s v="Master's"/>
    <n v="45678"/>
    <n v="841"/>
    <n v="39"/>
    <s v="No"/>
    <n v="4"/>
    <s v="0-50"/>
    <s v="Full-time"/>
    <s v="No"/>
  </r>
  <r>
    <s v="AIJOB01183"/>
    <x v="1"/>
    <x v="6"/>
    <s v="Government"/>
    <s v="London, United Kingdom"/>
    <s v="United Kingdom"/>
    <s v="Remote"/>
    <x v="2"/>
    <s v="2-5 yrs"/>
    <n v="128182"/>
    <x v="1182"/>
    <s v="Command R"/>
    <s v="PhD"/>
    <n v="45695"/>
    <n v="1908"/>
    <n v="1292"/>
    <s v="Maybe"/>
    <n v="2"/>
    <s v="5000+"/>
    <s v="Full-time"/>
    <s v="Yes"/>
  </r>
  <r>
    <s v="AIJOB01184"/>
    <x v="17"/>
    <x v="13"/>
    <s v="Technology"/>
    <s v="Berlin, Germany"/>
    <s v="Germany"/>
    <s v="Remote"/>
    <x v="0"/>
    <s v="0-2 yrs"/>
    <n v="50211"/>
    <x v="1183"/>
    <s v="Gemini"/>
    <s v="Master's"/>
    <n v="45546"/>
    <n v="1398"/>
    <n v="2635"/>
    <s v="Yes"/>
    <n v="0"/>
    <s v="51-200"/>
    <s v="Contract"/>
    <s v="Yes"/>
  </r>
  <r>
    <s v="AIJOB01185"/>
    <x v="0"/>
    <x v="27"/>
    <s v="Media"/>
    <s v="Toronto, Canada"/>
    <s v="Canada"/>
    <s v="Remote"/>
    <x v="2"/>
    <s v="2-5 yrs"/>
    <n v="90405"/>
    <x v="1184"/>
    <s v="None"/>
    <s v="PhD"/>
    <n v="45330"/>
    <n v="1422"/>
    <n v="1949"/>
    <s v="No"/>
    <n v="2"/>
    <s v="5000+"/>
    <s v="Full-time"/>
    <s v="Yes"/>
  </r>
  <r>
    <s v="AIJOB01186"/>
    <x v="11"/>
    <x v="20"/>
    <s v="Energy"/>
    <s v="Berlin, Germany"/>
    <s v="Germany"/>
    <s v="Hybrid"/>
    <x v="0"/>
    <s v="0-2 yrs"/>
    <n v="81853"/>
    <x v="1185"/>
    <s v="Grok"/>
    <s v="Bootcamp/Self-taught"/>
    <n v="45747"/>
    <n v="1591"/>
    <n v="3592"/>
    <s v="Yes"/>
    <n v="0"/>
    <s v="0-50"/>
    <s v="Full-time"/>
    <s v="No"/>
  </r>
  <r>
    <s v="AIJOB01187"/>
    <x v="4"/>
    <x v="11"/>
    <s v="Defense"/>
    <s v="Paris, France"/>
    <s v="France"/>
    <s v="On-site"/>
    <x v="3"/>
    <s v="5-8 yrs"/>
    <n v="123472"/>
    <x v="1186"/>
    <s v="Gemini"/>
    <s v="Master's"/>
    <n v="45473"/>
    <n v="1526"/>
    <n v="983"/>
    <s v="No"/>
    <n v="4"/>
    <s v="0-50"/>
    <s v="Full-time"/>
    <s v="Yes"/>
  </r>
  <r>
    <s v="AIJOB01188"/>
    <x v="12"/>
    <x v="27"/>
    <s v="Finance"/>
    <s v="Berlin, Germany"/>
    <s v="Germany"/>
    <s v="Remote"/>
    <x v="1"/>
    <s v="8+ yrs"/>
    <n v="191913"/>
    <x v="1187"/>
    <s v="None"/>
    <s v="Master's"/>
    <n v="45601"/>
    <n v="1267"/>
    <n v="2910"/>
    <s v="No"/>
    <n v="6"/>
    <s v="201-1000"/>
    <s v="Contract"/>
    <s v="No"/>
  </r>
  <r>
    <s v="AIJOB01189"/>
    <x v="0"/>
    <x v="26"/>
    <s v="Retail"/>
    <s v="San Francisco, United States"/>
    <s v="United States"/>
    <s v="Remote"/>
    <x v="2"/>
    <s v="2-5 yrs"/>
    <n v="120891"/>
    <x v="1188"/>
    <s v="None"/>
    <s v="PhD"/>
    <n v="45569"/>
    <n v="996"/>
    <n v="2422"/>
    <s v="No"/>
    <n v="2"/>
    <s v="5000+"/>
    <s v="Full-time"/>
    <s v="Yes"/>
  </r>
  <r>
    <s v="AIJOB01190"/>
    <x v="6"/>
    <x v="12"/>
    <s v="Energy"/>
    <s v="Toronto, Canada"/>
    <s v="Canada"/>
    <s v="Remote"/>
    <x v="0"/>
    <s v="0-2 yrs"/>
    <n v="57798"/>
    <x v="1189"/>
    <s v="Falcon"/>
    <s v="Master's"/>
    <n v="45658"/>
    <n v="1003"/>
    <n v="3994"/>
    <s v="No"/>
    <n v="0"/>
    <s v="1001-5000"/>
    <s v="Contract"/>
    <s v="No"/>
  </r>
  <r>
    <s v="AIJOB01191"/>
    <x v="11"/>
    <x v="16"/>
    <s v="Government"/>
    <s v="San Francisco, United States"/>
    <s v="United States"/>
    <s v="Hybrid"/>
    <x v="2"/>
    <s v="2-5 yrs"/>
    <n v="112086"/>
    <x v="1190"/>
    <s v="Llama"/>
    <s v="PhD"/>
    <n v="45428"/>
    <n v="628"/>
    <n v="3228"/>
    <s v="No"/>
    <n v="2"/>
    <s v="51-200"/>
    <s v="Full-time"/>
    <s v="Yes"/>
  </r>
  <r>
    <s v="AIJOB01192"/>
    <x v="16"/>
    <x v="6"/>
    <s v="Automotive"/>
    <s v="London, United Kingdom"/>
    <s v="United Kingdom"/>
    <s v="Hybrid"/>
    <x v="0"/>
    <s v="0-2 yrs"/>
    <n v="53191"/>
    <x v="1191"/>
    <s v="Grok"/>
    <s v="PhD"/>
    <n v="45472"/>
    <n v="352"/>
    <n v="381"/>
    <s v="Maybe"/>
    <n v="0"/>
    <s v="51-200"/>
    <s v="Contract"/>
    <s v="Yes"/>
  </r>
  <r>
    <s v="AIJOB01193"/>
    <x v="2"/>
    <x v="17"/>
    <s v="Healthcare"/>
    <s v="Sydney, Australia"/>
    <s v="Australia"/>
    <s v="Hybrid"/>
    <x v="0"/>
    <s v="0-2 yrs"/>
    <n v="62422"/>
    <x v="1192"/>
    <s v="Command R"/>
    <s v="Master's"/>
    <n v="45381"/>
    <n v="301"/>
    <n v="1084"/>
    <s v="Maybe"/>
    <n v="0"/>
    <s v="201-1000"/>
    <s v="Contract"/>
    <s v="Yes"/>
  </r>
  <r>
    <s v="AIJOB01194"/>
    <x v="12"/>
    <x v="17"/>
    <s v="Finance"/>
    <s v="Los Angeles, United States"/>
    <s v="United States"/>
    <s v="Remote"/>
    <x v="3"/>
    <s v="5-8 yrs"/>
    <n v="158634"/>
    <x v="1193"/>
    <s v="Claude"/>
    <s v="Master's"/>
    <n v="45326"/>
    <n v="1306"/>
    <n v="1528"/>
    <s v="No"/>
    <n v="4"/>
    <s v="5000+"/>
    <s v="Full-time"/>
    <s v="Yes"/>
  </r>
  <r>
    <s v="AIJOB01195"/>
    <x v="5"/>
    <x v="29"/>
    <s v="Energy"/>
    <s v="Seattle, United States"/>
    <s v="United States"/>
    <s v="Remote"/>
    <x v="1"/>
    <s v="8+ yrs"/>
    <n v="142652"/>
    <x v="1194"/>
    <s v="GPT-4"/>
    <s v="Bachelor's"/>
    <n v="45595"/>
    <n v="2290"/>
    <n v="2709"/>
    <s v="Yes"/>
    <n v="6"/>
    <s v="1001-5000"/>
    <s v="Full-time"/>
    <s v="Yes"/>
  </r>
  <r>
    <s v="AIJOB01196"/>
    <x v="19"/>
    <x v="15"/>
    <s v="Technology"/>
    <s v="Tel Aviv, Israel"/>
    <s v="Israel"/>
    <s v="On-site"/>
    <x v="0"/>
    <s v="0-2 yrs"/>
    <n v="75549"/>
    <x v="1195"/>
    <s v="Falcon"/>
    <s v="Master's"/>
    <n v="45737"/>
    <n v="1234"/>
    <n v="1906"/>
    <s v="Yes"/>
    <n v="0"/>
    <s v="201-1000"/>
    <s v="Full-time"/>
    <s v="Yes"/>
  </r>
  <r>
    <s v="AIJOB01197"/>
    <x v="19"/>
    <x v="21"/>
    <s v="Automotive"/>
    <s v="Paris, France"/>
    <s v="France"/>
    <s v="Hybrid"/>
    <x v="2"/>
    <s v="2-5 yrs"/>
    <n v="109611"/>
    <x v="1196"/>
    <s v="Grok"/>
    <s v="PhD"/>
    <n v="45397"/>
    <n v="2082"/>
    <n v="1237"/>
    <s v="Yes"/>
    <n v="2"/>
    <s v="51-200"/>
    <s v="Contract"/>
    <s v="Yes"/>
  </r>
  <r>
    <s v="AIJOB01198"/>
    <x v="2"/>
    <x v="8"/>
    <s v="Technology"/>
    <s v="London, United Kingdom"/>
    <s v="United Kingdom"/>
    <s v="On-site"/>
    <x v="3"/>
    <s v="5-8 yrs"/>
    <n v="164917"/>
    <x v="1197"/>
    <s v="BLOOM"/>
    <s v="Master's"/>
    <n v="45392"/>
    <n v="1153"/>
    <n v="3246"/>
    <s v="No"/>
    <n v="4"/>
    <s v="201-1000"/>
    <s v="Full-time"/>
    <s v="No"/>
  </r>
  <r>
    <s v="AIJOB01199"/>
    <x v="2"/>
    <x v="14"/>
    <s v="Education"/>
    <s v="Seattle, United States"/>
    <s v="United States"/>
    <s v="Hybrid"/>
    <x v="1"/>
    <s v="8+ yrs"/>
    <n v="208060"/>
    <x v="1198"/>
    <s v="None"/>
    <s v="Master's"/>
    <n v="45731"/>
    <n v="1073"/>
    <n v="716"/>
    <s v="No"/>
    <n v="6"/>
    <s v="51-200"/>
    <s v="Full-time"/>
    <s v="Yes"/>
  </r>
  <r>
    <s v="AIJOB01200"/>
    <x v="1"/>
    <x v="6"/>
    <s v="Government"/>
    <s v="Bangalore, India"/>
    <s v="India"/>
    <s v="Remote"/>
    <x v="2"/>
    <s v="2-5 yrs"/>
    <n v="137009"/>
    <x v="1199"/>
    <s v="BLOOM"/>
    <s v="PhD"/>
    <n v="45687"/>
    <n v="2352"/>
    <n v="3384"/>
    <s v="No"/>
    <n v="2"/>
    <s v="201-1000"/>
    <s v="Full-time"/>
    <s v="No"/>
  </r>
  <r>
    <s v="AIJOB01201"/>
    <x v="13"/>
    <x v="21"/>
    <s v="Education"/>
    <s v="Boston, United States"/>
    <s v="United States"/>
    <s v="On-site"/>
    <x v="2"/>
    <s v="2-5 yrs"/>
    <n v="112479"/>
    <x v="1200"/>
    <s v="GPT-4"/>
    <s v="Bachelor's"/>
    <n v="45687"/>
    <n v="2412"/>
    <n v="1787"/>
    <s v="No"/>
    <n v="2"/>
    <s v="201-1000"/>
    <s v="Full-time"/>
    <s v="Yes"/>
  </r>
  <r>
    <s v="AIJOB01202"/>
    <x v="13"/>
    <x v="9"/>
    <s v="Government"/>
    <s v="Paris, France"/>
    <s v="France"/>
    <s v="Hybrid"/>
    <x v="3"/>
    <s v="5-8 yrs"/>
    <n v="138406"/>
    <x v="1201"/>
    <s v="Mistral"/>
    <s v="PhD"/>
    <n v="45464"/>
    <n v="365"/>
    <n v="3431"/>
    <s v="No"/>
    <n v="4"/>
    <s v="5000+"/>
    <s v="Contract"/>
    <s v="No"/>
  </r>
  <r>
    <s v="AIJOB01203"/>
    <x v="4"/>
    <x v="5"/>
    <s v="Automotive"/>
    <s v="Los Angeles, United States"/>
    <s v="United States"/>
    <s v="Remote"/>
    <x v="3"/>
    <s v="5-8 yrs"/>
    <n v="153302"/>
    <x v="1202"/>
    <s v="None"/>
    <s v="Bachelor's"/>
    <n v="45542"/>
    <n v="2172"/>
    <n v="219"/>
    <s v="No"/>
    <n v="4"/>
    <s v="1001-5000"/>
    <s v="Full-time"/>
    <s v="No"/>
  </r>
  <r>
    <s v="AIJOB01204"/>
    <x v="16"/>
    <x v="28"/>
    <s v="Automotive"/>
    <s v="Amsterdam, Netherlands"/>
    <s v="Netherlands"/>
    <s v="On-site"/>
    <x v="1"/>
    <s v="8+ yrs"/>
    <n v="219558"/>
    <x v="1203"/>
    <s v="Claude"/>
    <s v="PhD"/>
    <n v="45726"/>
    <n v="656"/>
    <n v="2137"/>
    <s v="No"/>
    <n v="6"/>
    <s v="5000+"/>
    <s v="Contract"/>
    <s v="No"/>
  </r>
  <r>
    <s v="AIJOB01205"/>
    <x v="17"/>
    <x v="22"/>
    <s v="Government"/>
    <s v="Bangalore, India"/>
    <s v="India"/>
    <s v="Hybrid"/>
    <x v="2"/>
    <s v="2-5 yrs"/>
    <n v="110967"/>
    <x v="1204"/>
    <s v="None"/>
    <s v="Bachelor's"/>
    <n v="45648"/>
    <n v="2161"/>
    <n v="2671"/>
    <s v="No"/>
    <n v="2"/>
    <s v="5000+"/>
    <s v="Full-time"/>
    <s v="Yes"/>
  </r>
  <r>
    <s v="AIJOB01206"/>
    <x v="7"/>
    <x v="18"/>
    <s v="Automotive"/>
    <s v="Los Angeles, United States"/>
    <s v="United States"/>
    <s v="Hybrid"/>
    <x v="3"/>
    <s v="5-8 yrs"/>
    <n v="151095"/>
    <x v="1205"/>
    <s v="Llama"/>
    <s v="Bootcamp/Self-taught"/>
    <n v="45511"/>
    <n v="2385"/>
    <n v="1016"/>
    <s v="Yes"/>
    <n v="4"/>
    <s v="1001-5000"/>
    <s v="Full-time"/>
    <s v="Yes"/>
  </r>
  <r>
    <s v="AIJOB01207"/>
    <x v="9"/>
    <x v="0"/>
    <s v="Media"/>
    <s v="Chicago, United States"/>
    <s v="United States"/>
    <s v="Hybrid"/>
    <x v="0"/>
    <s v="0-2 yrs"/>
    <n v="61154"/>
    <x v="1206"/>
    <s v="None"/>
    <s v="PhD"/>
    <n v="45697"/>
    <n v="2247"/>
    <n v="3742"/>
    <s v="No"/>
    <n v="0"/>
    <s v="201-1000"/>
    <s v="Contract"/>
    <s v="No"/>
  </r>
  <r>
    <s v="AIJOB01208"/>
    <x v="10"/>
    <x v="4"/>
    <s v="Education"/>
    <s v="Dublin, Ireland"/>
    <s v="Ireland"/>
    <s v="Hybrid"/>
    <x v="1"/>
    <s v="8+ yrs"/>
    <n v="176135"/>
    <x v="1207"/>
    <s v="GPT-4"/>
    <s v="PhD"/>
    <n v="45512"/>
    <n v="1998"/>
    <n v="847"/>
    <s v="No"/>
    <n v="6"/>
    <s v="51-200"/>
    <s v="Full-time"/>
    <s v="No"/>
  </r>
  <r>
    <s v="AIJOB01209"/>
    <x v="10"/>
    <x v="10"/>
    <s v="Automotive"/>
    <s v="Chicago, United States"/>
    <s v="United States"/>
    <s v="Remote"/>
    <x v="1"/>
    <s v="8+ yrs"/>
    <n v="149506"/>
    <x v="1208"/>
    <s v="None"/>
    <s v="Master's"/>
    <n v="45724"/>
    <n v="869"/>
    <n v="3403"/>
    <s v="Yes"/>
    <n v="6"/>
    <s v="1001-5000"/>
    <s v="Full-time"/>
    <s v="No"/>
  </r>
  <r>
    <s v="AIJOB01210"/>
    <x v="1"/>
    <x v="4"/>
    <s v="Healthcare"/>
    <s v="Seattle, United States"/>
    <s v="United States"/>
    <s v="Hybrid"/>
    <x v="1"/>
    <s v="8+ yrs"/>
    <n v="262984"/>
    <x v="1209"/>
    <s v="None"/>
    <s v="Master's"/>
    <n v="45497"/>
    <n v="360"/>
    <n v="1953"/>
    <s v="Yes"/>
    <n v="6"/>
    <s v="5000+"/>
    <s v="Full-time"/>
    <s v="No"/>
  </r>
  <r>
    <s v="AIJOB01211"/>
    <x v="10"/>
    <x v="6"/>
    <s v="Retail"/>
    <s v="Zurich, Switzerland"/>
    <s v="Switzerland"/>
    <s v="On-site"/>
    <x v="0"/>
    <s v="0-2 yrs"/>
    <n v="54327"/>
    <x v="1210"/>
    <s v="None"/>
    <s v="PhD"/>
    <n v="45373"/>
    <n v="1255"/>
    <n v="1909"/>
    <s v="Yes"/>
    <n v="0"/>
    <s v="0-50"/>
    <s v="Full-time"/>
    <s v="No"/>
  </r>
  <r>
    <s v="AIJOB01212"/>
    <x v="5"/>
    <x v="8"/>
    <s v="Finance"/>
    <s v="Toronto, Canada"/>
    <s v="Canada"/>
    <s v="Remote"/>
    <x v="3"/>
    <s v="5-8 yrs"/>
    <n v="131291"/>
    <x v="1211"/>
    <s v="Llama"/>
    <s v="Master's"/>
    <n v="45441"/>
    <n v="1272"/>
    <n v="3932"/>
    <s v="No"/>
    <n v="4"/>
    <s v="5000+"/>
    <s v="Full-time"/>
    <s v="Yes"/>
  </r>
  <r>
    <s v="AIJOB01213"/>
    <x v="16"/>
    <x v="25"/>
    <s v="Energy"/>
    <s v="Bangalore, India"/>
    <s v="India"/>
    <s v="Remote"/>
    <x v="1"/>
    <s v="8+ yrs"/>
    <n v="174137"/>
    <x v="1212"/>
    <s v="Mistral"/>
    <s v="Bachelor's"/>
    <n v="45486"/>
    <n v="1412"/>
    <n v="960"/>
    <s v="No"/>
    <n v="6"/>
    <s v="5000+"/>
    <s v="Contract"/>
    <s v="Yes"/>
  </r>
  <r>
    <s v="AIJOB01214"/>
    <x v="7"/>
    <x v="5"/>
    <s v="Technology"/>
    <s v="Berlin, Germany"/>
    <s v="Germany"/>
    <s v="Hybrid"/>
    <x v="0"/>
    <s v="0-2 yrs"/>
    <n v="81276"/>
    <x v="1213"/>
    <s v="Command R"/>
    <s v="Master's"/>
    <n v="45647"/>
    <n v="1843"/>
    <n v="3916"/>
    <s v="No"/>
    <n v="0"/>
    <s v="51-200"/>
    <s v="Full-time"/>
    <s v="Yes"/>
  </r>
  <r>
    <s v="AIJOB01215"/>
    <x v="10"/>
    <x v="13"/>
    <s v="Government"/>
    <s v="London, United Kingdom"/>
    <s v="United Kingdom"/>
    <s v="Remote"/>
    <x v="0"/>
    <s v="0-2 yrs"/>
    <n v="66283"/>
    <x v="1214"/>
    <s v="Phi"/>
    <s v="Bachelor's"/>
    <n v="45727"/>
    <n v="2138"/>
    <n v="3183"/>
    <s v="Yes"/>
    <n v="0"/>
    <s v="1001-5000"/>
    <s v="Full-time"/>
    <s v="No"/>
  </r>
  <r>
    <s v="AIJOB01216"/>
    <x v="3"/>
    <x v="5"/>
    <s v="Finance"/>
    <s v="Sydney, Australia"/>
    <s v="Australia"/>
    <s v="Remote"/>
    <x v="1"/>
    <s v="8+ yrs"/>
    <n v="244918"/>
    <x v="1215"/>
    <s v="GPT-4"/>
    <s v="Master's"/>
    <n v="45742"/>
    <n v="1947"/>
    <n v="625"/>
    <s v="No"/>
    <n v="6"/>
    <s v="5000+"/>
    <s v="Part-time"/>
    <s v="No"/>
  </r>
  <r>
    <s v="AIJOB01217"/>
    <x v="5"/>
    <x v="1"/>
    <s v="Defense"/>
    <s v="Dublin, Ireland"/>
    <s v="Ireland"/>
    <s v="Remote"/>
    <x v="3"/>
    <s v="5-8 yrs"/>
    <n v="131815"/>
    <x v="112"/>
    <s v="Grok"/>
    <s v="Bachelor's"/>
    <n v="45307"/>
    <n v="2212"/>
    <n v="2595"/>
    <s v="No"/>
    <n v="4"/>
    <s v="0-50"/>
    <s v="Full-time"/>
    <s v="Yes"/>
  </r>
  <r>
    <s v="AIJOB01218"/>
    <x v="12"/>
    <x v="15"/>
    <s v="Energy"/>
    <s v="Tokyo, Japan"/>
    <s v="Japan"/>
    <s v="On-site"/>
    <x v="0"/>
    <s v="0-2 yrs"/>
    <n v="73515"/>
    <x v="1216"/>
    <s v="Gemini"/>
    <s v="Bachelor's"/>
    <n v="45489"/>
    <n v="846"/>
    <n v="3453"/>
    <s v="Yes"/>
    <n v="0"/>
    <s v="5000+"/>
    <s v="Full-time"/>
    <s v="Yes"/>
  </r>
  <r>
    <s v="AIJOB01219"/>
    <x v="15"/>
    <x v="10"/>
    <s v="Automotive"/>
    <s v="Singapore"/>
    <s v="Singapore"/>
    <s v="Hybrid"/>
    <x v="1"/>
    <s v="8+ yrs"/>
    <n v="169927"/>
    <x v="1217"/>
    <s v="Gemini"/>
    <s v="Master's"/>
    <n v="45743"/>
    <n v="2437"/>
    <n v="2797"/>
    <s v="No"/>
    <n v="6"/>
    <s v="1001-5000"/>
    <s v="Contract"/>
    <s v="Yes"/>
  </r>
  <r>
    <s v="AIJOB01220"/>
    <x v="13"/>
    <x v="9"/>
    <s v="Education"/>
    <s v="Berlin, Germany"/>
    <s v="Germany"/>
    <s v="Remote"/>
    <x v="3"/>
    <s v="5-8 yrs"/>
    <n v="207919"/>
    <x v="1218"/>
    <s v="Gemini"/>
    <s v="Master's"/>
    <n v="45628"/>
    <n v="336"/>
    <n v="758"/>
    <s v="No"/>
    <n v="4"/>
    <s v="201-1000"/>
    <s v="Full-time"/>
    <s v="Yes"/>
  </r>
  <r>
    <s v="AIJOB01221"/>
    <x v="17"/>
    <x v="17"/>
    <s v="Government"/>
    <s v="Tokyo, Japan"/>
    <s v="Japan"/>
    <s v="Remote"/>
    <x v="2"/>
    <s v="2-5 yrs"/>
    <n v="86485"/>
    <x v="1219"/>
    <s v="Mistral"/>
    <s v="Master's"/>
    <n v="45681"/>
    <n v="2040"/>
    <n v="1057"/>
    <s v="No"/>
    <n v="2"/>
    <s v="0-50"/>
    <s v="Full-time"/>
    <s v="No"/>
  </r>
  <r>
    <s v="AIJOB01222"/>
    <x v="16"/>
    <x v="18"/>
    <s v="Education"/>
    <s v="San Francisco, United States"/>
    <s v="United States"/>
    <s v="On-site"/>
    <x v="3"/>
    <s v="5-8 yrs"/>
    <n v="158365"/>
    <x v="1220"/>
    <s v="Grok"/>
    <s v="Bachelor's"/>
    <n v="45739"/>
    <n v="1813"/>
    <n v="1142"/>
    <s v="Maybe"/>
    <n v="4"/>
    <s v="1001-5000"/>
    <s v="Full-time"/>
    <s v="No"/>
  </r>
  <r>
    <s v="AIJOB01223"/>
    <x v="3"/>
    <x v="28"/>
    <s v="Defense"/>
    <s v="Los Angeles, United States"/>
    <s v="United States"/>
    <s v="Remote"/>
    <x v="2"/>
    <s v="2-5 yrs"/>
    <n v="122548"/>
    <x v="1221"/>
    <s v="Gemini"/>
    <s v="Master's"/>
    <n v="45498"/>
    <n v="2284"/>
    <n v="3974"/>
    <s v="Maybe"/>
    <n v="2"/>
    <s v="51-200"/>
    <s v="Full-time"/>
    <s v="Yes"/>
  </r>
  <r>
    <s v="AIJOB01224"/>
    <x v="2"/>
    <x v="4"/>
    <s v="Finance"/>
    <s v="Tokyo, Japan"/>
    <s v="Japan"/>
    <s v="Hybrid"/>
    <x v="2"/>
    <s v="2-5 yrs"/>
    <n v="118193"/>
    <x v="1222"/>
    <s v="BLOOM"/>
    <s v="Bootcamp/Self-taught"/>
    <n v="45386"/>
    <n v="1971"/>
    <n v="734"/>
    <s v="Yes"/>
    <n v="2"/>
    <s v="201-1000"/>
    <s v="Full-time"/>
    <s v="No"/>
  </r>
  <r>
    <s v="AIJOB01225"/>
    <x v="6"/>
    <x v="4"/>
    <s v="Energy"/>
    <s v="Zurich, Switzerland"/>
    <s v="Switzerland"/>
    <s v="On-site"/>
    <x v="2"/>
    <s v="2-5 yrs"/>
    <n v="106331"/>
    <x v="1223"/>
    <s v="None"/>
    <s v="Master's"/>
    <n v="45600"/>
    <n v="2329"/>
    <n v="1857"/>
    <s v="No"/>
    <n v="2"/>
    <s v="201-1000"/>
    <s v="Contract"/>
    <s v="Yes"/>
  </r>
  <r>
    <s v="AIJOB01226"/>
    <x v="5"/>
    <x v="14"/>
    <s v="Retail"/>
    <s v="Paris, France"/>
    <s v="France"/>
    <s v="Remote"/>
    <x v="0"/>
    <s v="0-2 yrs"/>
    <n v="68364"/>
    <x v="1224"/>
    <s v="Grok"/>
    <s v="Bachelor's"/>
    <n v="45380"/>
    <n v="1119"/>
    <n v="2480"/>
    <s v="No"/>
    <n v="0"/>
    <s v="51-200"/>
    <s v="Part-time"/>
    <s v="No"/>
  </r>
  <r>
    <s v="AIJOB01227"/>
    <x v="3"/>
    <x v="23"/>
    <s v="Education"/>
    <s v="Chicago, United States"/>
    <s v="United States"/>
    <s v="Remote"/>
    <x v="2"/>
    <s v="2-5 yrs"/>
    <n v="110867"/>
    <x v="1225"/>
    <s v="None"/>
    <s v="Bootcamp/Self-taught"/>
    <n v="45294"/>
    <n v="901"/>
    <n v="3450"/>
    <s v="No"/>
    <n v="2"/>
    <s v="0-50"/>
    <s v="Part-time"/>
    <s v="Yes"/>
  </r>
  <r>
    <s v="AIJOB01228"/>
    <x v="7"/>
    <x v="19"/>
    <s v="Defense"/>
    <s v="Sydney, Australia"/>
    <s v="Australia"/>
    <s v="Hybrid"/>
    <x v="0"/>
    <s v="0-2 yrs"/>
    <n v="68147"/>
    <x v="1226"/>
    <s v="Phi"/>
    <s v="Master's"/>
    <n v="45580"/>
    <n v="923"/>
    <n v="3701"/>
    <s v="No"/>
    <n v="0"/>
    <s v="5000+"/>
    <s v="Full-time"/>
    <s v="Yes"/>
  </r>
  <r>
    <s v="AIJOB01229"/>
    <x v="6"/>
    <x v="1"/>
    <s v="Defense"/>
    <s v="Austin, United States"/>
    <s v="United States"/>
    <s v="On-site"/>
    <x v="1"/>
    <s v="8+ yrs"/>
    <n v="234699"/>
    <x v="1227"/>
    <s v="GPT-4"/>
    <s v="Bootcamp/Self-taught"/>
    <n v="45488"/>
    <n v="919"/>
    <n v="237"/>
    <s v="No"/>
    <n v="6"/>
    <s v="51-200"/>
    <s v="Full-time"/>
    <s v="Yes"/>
  </r>
  <r>
    <s v="AIJOB01230"/>
    <x v="12"/>
    <x v="4"/>
    <s v="Healthcare"/>
    <s v="Los Angeles, United States"/>
    <s v="United States"/>
    <s v="Remote"/>
    <x v="1"/>
    <s v="8+ yrs"/>
    <n v="279578"/>
    <x v="1228"/>
    <s v="None"/>
    <s v="Bootcamp/Self-taught"/>
    <n v="45701"/>
    <n v="439"/>
    <n v="2668"/>
    <s v="Maybe"/>
    <n v="6"/>
    <s v="201-1000"/>
    <s v="Full-time"/>
    <s v="Yes"/>
  </r>
  <r>
    <s v="AIJOB01231"/>
    <x v="13"/>
    <x v="0"/>
    <s v="Defense"/>
    <s v="Tel Aviv, Israel"/>
    <s v="Israel"/>
    <s v="Hybrid"/>
    <x v="0"/>
    <s v="0-2 yrs"/>
    <n v="62975"/>
    <x v="1229"/>
    <s v="Phi"/>
    <s v="Master's"/>
    <n v="45417"/>
    <n v="2267"/>
    <n v="636"/>
    <s v="No"/>
    <n v="0"/>
    <s v="201-1000"/>
    <s v="Contract"/>
    <s v="Yes"/>
  </r>
  <r>
    <s v="AIJOB01232"/>
    <x v="7"/>
    <x v="1"/>
    <s v="Media"/>
    <s v="Tel Aviv, Israel"/>
    <s v="Israel"/>
    <s v="Remote"/>
    <x v="3"/>
    <s v="5-8 yrs"/>
    <n v="113015"/>
    <x v="1230"/>
    <s v="Grok"/>
    <s v="Bachelor's"/>
    <n v="45655"/>
    <n v="512"/>
    <n v="2042"/>
    <s v="No"/>
    <n v="4"/>
    <s v="51-200"/>
    <s v="Full-time"/>
    <s v="Yes"/>
  </r>
  <r>
    <s v="AIJOB01233"/>
    <x v="16"/>
    <x v="12"/>
    <s v="Defense"/>
    <s v="Paris, France"/>
    <s v="France"/>
    <s v="Remote"/>
    <x v="0"/>
    <s v="0-2 yrs"/>
    <n v="68887"/>
    <x v="1231"/>
    <s v="None"/>
    <s v="Master's"/>
    <n v="45679"/>
    <n v="590"/>
    <n v="2429"/>
    <s v="Yes"/>
    <n v="0"/>
    <s v="1001-5000"/>
    <s v="Full-time"/>
    <s v="No"/>
  </r>
  <r>
    <s v="AIJOB01234"/>
    <x v="9"/>
    <x v="24"/>
    <s v="Media"/>
    <s v="Toronto, Canada"/>
    <s v="Canada"/>
    <s v="On-site"/>
    <x v="3"/>
    <s v="5-8 yrs"/>
    <n v="219652"/>
    <x v="1232"/>
    <s v="Mistral"/>
    <s v="Bachelor's"/>
    <n v="45728"/>
    <n v="2489"/>
    <n v="1713"/>
    <s v="Maybe"/>
    <n v="4"/>
    <s v="51-200"/>
    <s v="Full-time"/>
    <s v="Yes"/>
  </r>
  <r>
    <s v="AIJOB01235"/>
    <x v="13"/>
    <x v="28"/>
    <s v="Finance"/>
    <s v="Los Angeles, United States"/>
    <s v="United States"/>
    <s v="Remote"/>
    <x v="1"/>
    <s v="8+ yrs"/>
    <n v="171067"/>
    <x v="1233"/>
    <s v="None"/>
    <s v="Master's"/>
    <n v="45690"/>
    <n v="1278"/>
    <n v="3946"/>
    <s v="No"/>
    <n v="6"/>
    <s v="5000+"/>
    <s v="Full-time"/>
    <s v="Yes"/>
  </r>
  <r>
    <s v="AIJOB01236"/>
    <x v="16"/>
    <x v="12"/>
    <s v="Finance"/>
    <s v="Singapore"/>
    <s v="Singapore"/>
    <s v="On-site"/>
    <x v="1"/>
    <s v="8+ yrs"/>
    <n v="259008"/>
    <x v="1234"/>
    <s v="Phi"/>
    <s v="PhD"/>
    <n v="45310"/>
    <n v="690"/>
    <n v="1324"/>
    <s v="Maybe"/>
    <n v="6"/>
    <s v="1001-5000"/>
    <s v="Full-time"/>
    <s v="No"/>
  </r>
  <r>
    <s v="AIJOB01237"/>
    <x v="6"/>
    <x v="15"/>
    <s v="Technology"/>
    <s v="Boston, United States"/>
    <s v="United States"/>
    <s v="Remote"/>
    <x v="1"/>
    <s v="8+ yrs"/>
    <n v="260397"/>
    <x v="1235"/>
    <s v="Command R"/>
    <s v="Bachelor's"/>
    <n v="45633"/>
    <n v="1306"/>
    <n v="3664"/>
    <s v="No"/>
    <n v="6"/>
    <s v="0-50"/>
    <s v="Contract"/>
    <s v="Yes"/>
  </r>
  <r>
    <s v="AIJOB01238"/>
    <x v="5"/>
    <x v="19"/>
    <s v="Energy"/>
    <s v="Stockholm, Sweden"/>
    <s v="Sweden"/>
    <s v="Remote"/>
    <x v="0"/>
    <s v="0-2 yrs"/>
    <n v="63024"/>
    <x v="1236"/>
    <s v="Claude"/>
    <s v="Bachelor's"/>
    <n v="45301"/>
    <n v="1156"/>
    <n v="2420"/>
    <s v="No"/>
    <n v="0"/>
    <s v="51-200"/>
    <s v="Contract"/>
    <s v="No"/>
  </r>
  <r>
    <s v="AIJOB01239"/>
    <x v="17"/>
    <x v="7"/>
    <s v="Energy"/>
    <s v="Dublin, Ireland"/>
    <s v="Ireland"/>
    <s v="Remote"/>
    <x v="2"/>
    <s v="2-5 yrs"/>
    <n v="121265"/>
    <x v="1237"/>
    <s v="None"/>
    <s v="Bachelor's"/>
    <n v="45712"/>
    <n v="1904"/>
    <n v="1327"/>
    <s v="Yes"/>
    <n v="2"/>
    <s v="201-1000"/>
    <s v="Full-time"/>
    <s v="No"/>
  </r>
  <r>
    <s v="AIJOB01240"/>
    <x v="5"/>
    <x v="25"/>
    <s v="Education"/>
    <s v="Tokyo, Japan"/>
    <s v="Japan"/>
    <s v="Remote"/>
    <x v="1"/>
    <s v="8+ yrs"/>
    <n v="258622"/>
    <x v="1238"/>
    <s v="Llama"/>
    <s v="Bachelor's"/>
    <n v="45396"/>
    <n v="384"/>
    <n v="2070"/>
    <s v="Maybe"/>
    <n v="6"/>
    <s v="0-50"/>
    <s v="Contract"/>
    <s v="No"/>
  </r>
  <r>
    <s v="AIJOB01241"/>
    <x v="8"/>
    <x v="13"/>
    <s v="Energy"/>
    <s v="Dublin, Ireland"/>
    <s v="Ireland"/>
    <s v="Hybrid"/>
    <x v="0"/>
    <s v="0-2 yrs"/>
    <n v="65222"/>
    <x v="1239"/>
    <s v="Grok"/>
    <s v="PhD"/>
    <n v="45601"/>
    <n v="1455"/>
    <n v="3555"/>
    <s v="Yes"/>
    <n v="0"/>
    <s v="0-50"/>
    <s v="Full-time"/>
    <s v="No"/>
  </r>
  <r>
    <s v="AIJOB01242"/>
    <x v="3"/>
    <x v="9"/>
    <s v="Healthcare"/>
    <s v="Chicago, United States"/>
    <s v="United States"/>
    <s v="Remote"/>
    <x v="1"/>
    <s v="8+ yrs"/>
    <n v="192671"/>
    <x v="1240"/>
    <s v="None"/>
    <s v="Master's"/>
    <n v="45463"/>
    <n v="756"/>
    <n v="2443"/>
    <s v="No"/>
    <n v="6"/>
    <s v="0-50"/>
    <s v="Full-time"/>
    <s v="No"/>
  </r>
  <r>
    <s v="AIJOB01243"/>
    <x v="15"/>
    <x v="22"/>
    <s v="Education"/>
    <s v="San Francisco, United States"/>
    <s v="United States"/>
    <s v="Remote"/>
    <x v="2"/>
    <s v="2-5 yrs"/>
    <n v="98482"/>
    <x v="1241"/>
    <s v="None"/>
    <s v="PhD"/>
    <n v="45599"/>
    <n v="532"/>
    <n v="3547"/>
    <s v="No"/>
    <n v="2"/>
    <s v="51-200"/>
    <s v="Contract"/>
    <s v="No"/>
  </r>
  <r>
    <s v="AIJOB01244"/>
    <x v="4"/>
    <x v="2"/>
    <s v="Automotive"/>
    <s v="Seattle, United States"/>
    <s v="United States"/>
    <s v="Remote"/>
    <x v="1"/>
    <s v="8+ yrs"/>
    <n v="163468"/>
    <x v="1242"/>
    <s v="Llama"/>
    <s v="Master's"/>
    <n v="45673"/>
    <n v="2290"/>
    <n v="3302"/>
    <s v="No"/>
    <n v="6"/>
    <s v="1001-5000"/>
    <s v="Full-time"/>
    <s v="Yes"/>
  </r>
  <r>
    <s v="AIJOB01245"/>
    <x v="7"/>
    <x v="22"/>
    <s v="Technology"/>
    <s v="Zurich, Switzerland"/>
    <s v="Switzerland"/>
    <s v="Remote"/>
    <x v="3"/>
    <s v="5-8 yrs"/>
    <n v="132469"/>
    <x v="1243"/>
    <s v="Phi"/>
    <s v="Bachelor's"/>
    <n v="45293"/>
    <n v="2291"/>
    <n v="3339"/>
    <s v="No"/>
    <n v="4"/>
    <s v="1001-5000"/>
    <s v="Full-time"/>
    <s v="No"/>
  </r>
  <r>
    <s v="AIJOB01246"/>
    <x v="10"/>
    <x v="0"/>
    <s v="Technology"/>
    <s v="New York, United States"/>
    <s v="United States"/>
    <s v="Remote"/>
    <x v="1"/>
    <s v="8+ yrs"/>
    <n v="155938"/>
    <x v="1244"/>
    <s v="Llama"/>
    <s v="Master's"/>
    <n v="45708"/>
    <n v="829"/>
    <n v="3003"/>
    <s v="No"/>
    <n v="6"/>
    <s v="0-50"/>
    <s v="Full-time"/>
    <s v="Yes"/>
  </r>
  <r>
    <s v="AIJOB01247"/>
    <x v="13"/>
    <x v="10"/>
    <s v="Technology"/>
    <s v="San Francisco, United States"/>
    <s v="United States"/>
    <s v="On-site"/>
    <x v="0"/>
    <s v="0-2 yrs"/>
    <n v="70429"/>
    <x v="1245"/>
    <s v="Llama"/>
    <s v="Bachelor's"/>
    <n v="45592"/>
    <n v="854"/>
    <n v="105"/>
    <s v="No"/>
    <n v="0"/>
    <s v="201-1000"/>
    <s v="Full-time"/>
    <s v="Yes"/>
  </r>
  <r>
    <s v="AIJOB01248"/>
    <x v="14"/>
    <x v="4"/>
    <s v="Technology"/>
    <s v="Zurich, Switzerland"/>
    <s v="Switzerland"/>
    <s v="Hybrid"/>
    <x v="3"/>
    <s v="5-8 yrs"/>
    <n v="129210"/>
    <x v="1246"/>
    <s v="None"/>
    <s v="Bachelor's"/>
    <n v="45597"/>
    <n v="2484"/>
    <n v="1772"/>
    <s v="Yes"/>
    <n v="4"/>
    <s v="1001-5000"/>
    <s v="Full-time"/>
    <s v="No"/>
  </r>
  <r>
    <s v="AIJOB01249"/>
    <x v="8"/>
    <x v="29"/>
    <s v="Government"/>
    <s v="Austin, United States"/>
    <s v="United States"/>
    <s v="Remote"/>
    <x v="3"/>
    <s v="5-8 yrs"/>
    <n v="156312"/>
    <x v="1247"/>
    <s v="Mistral"/>
    <s v="Bachelor's"/>
    <n v="45431"/>
    <n v="670"/>
    <n v="519"/>
    <s v="No"/>
    <n v="4"/>
    <s v="5000+"/>
    <s v="Full-time"/>
    <s v="No"/>
  </r>
  <r>
    <s v="AIJOB01250"/>
    <x v="11"/>
    <x v="27"/>
    <s v="Finance"/>
    <s v="Boston, United States"/>
    <s v="United States"/>
    <s v="Hybrid"/>
    <x v="3"/>
    <s v="5-8 yrs"/>
    <n v="107990"/>
    <x v="1248"/>
    <s v="Falcon"/>
    <s v="Master's"/>
    <n v="45437"/>
    <n v="2327"/>
    <n v="224"/>
    <s v="No"/>
    <n v="4"/>
    <s v="1001-5000"/>
    <s v="Full-time"/>
    <s v="Yes"/>
  </r>
  <r>
    <s v="AIJOB01251"/>
    <x v="19"/>
    <x v="8"/>
    <s v="Media"/>
    <s v="Los Angeles, United States"/>
    <s v="United States"/>
    <s v="On-site"/>
    <x v="0"/>
    <s v="0-2 yrs"/>
    <n v="74169"/>
    <x v="1249"/>
    <s v="BLOOM"/>
    <s v="Bachelor's"/>
    <n v="45450"/>
    <n v="1105"/>
    <n v="1457"/>
    <s v="No"/>
    <n v="0"/>
    <s v="0-50"/>
    <s v="Full-time"/>
    <s v="Yes"/>
  </r>
  <r>
    <s v="AIJOB01252"/>
    <x v="4"/>
    <x v="1"/>
    <s v="Media"/>
    <s v="Singapore"/>
    <s v="Singapore"/>
    <s v="Hybrid"/>
    <x v="3"/>
    <s v="5-8 yrs"/>
    <n v="172505"/>
    <x v="1250"/>
    <s v="Claude"/>
    <s v="Bachelor's"/>
    <n v="45326"/>
    <n v="2456"/>
    <n v="1812"/>
    <s v="No"/>
    <n v="4"/>
    <s v="201-1000"/>
    <s v="Full-time"/>
    <s v="Yes"/>
  </r>
  <r>
    <s v="AIJOB01253"/>
    <x v="4"/>
    <x v="28"/>
    <s v="Retail"/>
    <s v="Paris, France"/>
    <s v="France"/>
    <s v="Hybrid"/>
    <x v="2"/>
    <s v="2-5 yrs"/>
    <n v="70524"/>
    <x v="1251"/>
    <s v="None"/>
    <s v="Bachelor's"/>
    <n v="45449"/>
    <n v="1610"/>
    <n v="2854"/>
    <s v="Maybe"/>
    <n v="2"/>
    <s v="1001-5000"/>
    <s v="Full-time"/>
    <s v="Yes"/>
  </r>
  <r>
    <s v="AIJOB01254"/>
    <x v="14"/>
    <x v="4"/>
    <s v="Defense"/>
    <s v="Zurich, Switzerland"/>
    <s v="Switzerland"/>
    <s v="On-site"/>
    <x v="0"/>
    <s v="0-2 yrs"/>
    <n v="74713"/>
    <x v="1252"/>
    <s v="None"/>
    <s v="Bachelor's"/>
    <n v="45332"/>
    <n v="1652"/>
    <n v="1600"/>
    <s v="Maybe"/>
    <n v="0"/>
    <s v="5000+"/>
    <s v="Full-time"/>
    <s v="No"/>
  </r>
  <r>
    <s v="AIJOB01255"/>
    <x v="6"/>
    <x v="9"/>
    <s v="Education"/>
    <s v="Amsterdam, Netherlands"/>
    <s v="Netherlands"/>
    <s v="Hybrid"/>
    <x v="1"/>
    <s v="8+ yrs"/>
    <n v="244196"/>
    <x v="1253"/>
    <s v="Gemini"/>
    <s v="PhD"/>
    <n v="45578"/>
    <n v="663"/>
    <n v="2230"/>
    <s v="No"/>
    <n v="6"/>
    <s v="0-50"/>
    <s v="Contract"/>
    <s v="Yes"/>
  </r>
  <r>
    <s v="AIJOB01256"/>
    <x v="15"/>
    <x v="26"/>
    <s v="Healthcare"/>
    <s v="San Francisco, United States"/>
    <s v="United States"/>
    <s v="Hybrid"/>
    <x v="2"/>
    <s v="2-5 yrs"/>
    <n v="86049"/>
    <x v="1254"/>
    <s v="Command R"/>
    <s v="Bachelor's"/>
    <n v="45513"/>
    <n v="1958"/>
    <n v="1194"/>
    <s v="No"/>
    <n v="2"/>
    <s v="51-200"/>
    <s v="Contract"/>
    <s v="No"/>
  </r>
  <r>
    <s v="AIJOB01257"/>
    <x v="18"/>
    <x v="29"/>
    <s v="Retail"/>
    <s v="Toronto, Canada"/>
    <s v="Canada"/>
    <s v="On-site"/>
    <x v="2"/>
    <s v="2-5 yrs"/>
    <n v="143116"/>
    <x v="1255"/>
    <s v="Command R"/>
    <s v="Master's"/>
    <n v="45703"/>
    <n v="953"/>
    <n v="926"/>
    <s v="No"/>
    <n v="2"/>
    <s v="201-1000"/>
    <s v="Full-time"/>
    <s v="Yes"/>
  </r>
  <r>
    <s v="AIJOB01258"/>
    <x v="7"/>
    <x v="5"/>
    <s v="Automotive"/>
    <s v="San Francisco, United States"/>
    <s v="United States"/>
    <s v="Hybrid"/>
    <x v="2"/>
    <s v="2-5 yrs"/>
    <n v="118296"/>
    <x v="1256"/>
    <s v="Gemini"/>
    <s v="Bachelor's"/>
    <n v="45420"/>
    <n v="1170"/>
    <n v="3948"/>
    <s v="No"/>
    <n v="2"/>
    <s v="0-50"/>
    <s v="Full-time"/>
    <s v="No"/>
  </r>
  <r>
    <s v="AIJOB01259"/>
    <x v="6"/>
    <x v="27"/>
    <s v="Media"/>
    <s v="Tel Aviv, Israel"/>
    <s v="Israel"/>
    <s v="Remote"/>
    <x v="0"/>
    <s v="0-2 yrs"/>
    <n v="61116"/>
    <x v="1257"/>
    <s v="None"/>
    <s v="Bachelor's"/>
    <n v="45456"/>
    <n v="2112"/>
    <n v="1335"/>
    <s v="No"/>
    <n v="0"/>
    <s v="5000+"/>
    <s v="Full-time"/>
    <s v="Yes"/>
  </r>
  <r>
    <s v="AIJOB01260"/>
    <x v="7"/>
    <x v="10"/>
    <s v="Healthcare"/>
    <s v="San Francisco, United States"/>
    <s v="United States"/>
    <s v="Remote"/>
    <x v="0"/>
    <s v="0-2 yrs"/>
    <n v="69297"/>
    <x v="1258"/>
    <s v="BLOOM"/>
    <s v="Bootcamp/Self-taught"/>
    <n v="45718"/>
    <n v="2318"/>
    <n v="1850"/>
    <s v="No"/>
    <n v="0"/>
    <s v="51-200"/>
    <s v="Full-time"/>
    <s v="Yes"/>
  </r>
  <r>
    <s v="AIJOB01261"/>
    <x v="10"/>
    <x v="4"/>
    <s v="Technology"/>
    <s v="Chicago, United States"/>
    <s v="United States"/>
    <s v="Remote"/>
    <x v="0"/>
    <s v="0-2 yrs"/>
    <n v="77034"/>
    <x v="1259"/>
    <s v="Llama"/>
    <s v="Master's"/>
    <n v="45444"/>
    <n v="1582"/>
    <n v="704"/>
    <s v="No"/>
    <n v="0"/>
    <s v="201-1000"/>
    <s v="Full-time"/>
    <s v="Yes"/>
  </r>
  <r>
    <s v="AIJOB01262"/>
    <x v="17"/>
    <x v="28"/>
    <s v="Energy"/>
    <s v="Sydney, Australia"/>
    <s v="Australia"/>
    <s v="Hybrid"/>
    <x v="1"/>
    <s v="8+ yrs"/>
    <n v="202736"/>
    <x v="1260"/>
    <s v="None"/>
    <s v="Bachelor's"/>
    <n v="45359"/>
    <n v="2157"/>
    <n v="1731"/>
    <s v="Yes"/>
    <n v="6"/>
    <s v="5000+"/>
    <s v="Part-time"/>
    <s v="No"/>
  </r>
  <r>
    <s v="AIJOB01263"/>
    <x v="19"/>
    <x v="19"/>
    <s v="Media"/>
    <s v="San Francisco, United States"/>
    <s v="United States"/>
    <s v="On-site"/>
    <x v="2"/>
    <s v="2-5 yrs"/>
    <n v="120667"/>
    <x v="1261"/>
    <s v="None"/>
    <s v="PhD"/>
    <n v="45417"/>
    <n v="1374"/>
    <n v="3884"/>
    <s v="No"/>
    <n v="2"/>
    <s v="0-50"/>
    <s v="Full-time"/>
    <s v="Yes"/>
  </r>
  <r>
    <s v="AIJOB01264"/>
    <x v="18"/>
    <x v="14"/>
    <s v="Energy"/>
    <s v="Zurich, Switzerland"/>
    <s v="Switzerland"/>
    <s v="Remote"/>
    <x v="1"/>
    <s v="8+ yrs"/>
    <n v="166855"/>
    <x v="1262"/>
    <s v="Grok"/>
    <s v="PhD"/>
    <n v="45559"/>
    <n v="616"/>
    <n v="1065"/>
    <s v="No"/>
    <n v="6"/>
    <s v="5000+"/>
    <s v="Full-time"/>
    <s v="No"/>
  </r>
  <r>
    <s v="AIJOB01265"/>
    <x v="6"/>
    <x v="27"/>
    <s v="Retail"/>
    <s v="Austin, United States"/>
    <s v="United States"/>
    <s v="Remote"/>
    <x v="3"/>
    <s v="5-8 yrs"/>
    <n v="154572"/>
    <x v="1263"/>
    <s v="Gemini"/>
    <s v="Bootcamp/Self-taught"/>
    <n v="45436"/>
    <n v="1353"/>
    <n v="3668"/>
    <s v="No"/>
    <n v="4"/>
    <s v="51-200"/>
    <s v="Full-time"/>
    <s v="No"/>
  </r>
  <r>
    <s v="AIJOB01266"/>
    <x v="12"/>
    <x v="0"/>
    <s v="Healthcare"/>
    <s v="London, United Kingdom"/>
    <s v="United Kingdom"/>
    <s v="Remote"/>
    <x v="0"/>
    <s v="0-2 yrs"/>
    <n v="52187"/>
    <x v="1264"/>
    <s v="Command R"/>
    <s v="Bachelor's"/>
    <n v="45439"/>
    <n v="1090"/>
    <n v="3354"/>
    <s v="No"/>
    <n v="0"/>
    <s v="5000+"/>
    <s v="Contract"/>
    <s v="Yes"/>
  </r>
  <r>
    <s v="AIJOB01267"/>
    <x v="8"/>
    <x v="23"/>
    <s v="Education"/>
    <s v="Toronto, Canada"/>
    <s v="Canada"/>
    <s v="On-site"/>
    <x v="3"/>
    <s v="5-8 yrs"/>
    <n v="146996"/>
    <x v="1265"/>
    <s v="None"/>
    <s v="Bachelor's"/>
    <n v="45618"/>
    <n v="2402"/>
    <n v="3181"/>
    <s v="No"/>
    <n v="4"/>
    <s v="51-200"/>
    <s v="Contract"/>
    <s v="Yes"/>
  </r>
  <r>
    <s v="AIJOB01268"/>
    <x v="14"/>
    <x v="23"/>
    <s v="Automotive"/>
    <s v="New York, United States"/>
    <s v="United States"/>
    <s v="Remote"/>
    <x v="1"/>
    <s v="8+ yrs"/>
    <n v="167459"/>
    <x v="1266"/>
    <s v="Llama"/>
    <s v="Master's"/>
    <n v="45571"/>
    <n v="1815"/>
    <n v="1651"/>
    <s v="No"/>
    <n v="6"/>
    <s v="5000+"/>
    <s v="Full-time"/>
    <s v="No"/>
  </r>
  <r>
    <s v="AIJOB01269"/>
    <x v="2"/>
    <x v="9"/>
    <s v="Technology"/>
    <s v="San Francisco, United States"/>
    <s v="United States"/>
    <s v="Hybrid"/>
    <x v="1"/>
    <s v="8+ yrs"/>
    <n v="173520"/>
    <x v="1267"/>
    <s v="Phi"/>
    <s v="PhD"/>
    <n v="45458"/>
    <n v="2121"/>
    <n v="641"/>
    <s v="Yes"/>
    <n v="6"/>
    <s v="0-50"/>
    <s v="Full-time"/>
    <s v="No"/>
  </r>
  <r>
    <s v="AIJOB01270"/>
    <x v="12"/>
    <x v="12"/>
    <s v="Education"/>
    <s v="Los Angeles, United States"/>
    <s v="United States"/>
    <s v="Remote"/>
    <x v="2"/>
    <s v="2-5 yrs"/>
    <n v="134474"/>
    <x v="1268"/>
    <s v="Falcon"/>
    <s v="Master's"/>
    <n v="45497"/>
    <n v="1964"/>
    <n v="3905"/>
    <s v="No"/>
    <n v="2"/>
    <s v="1001-5000"/>
    <s v="Full-time"/>
    <s v="No"/>
  </r>
  <r>
    <s v="AIJOB01271"/>
    <x v="11"/>
    <x v="17"/>
    <s v="Media"/>
    <s v="Austin, United States"/>
    <s v="United States"/>
    <s v="Hybrid"/>
    <x v="3"/>
    <s v="5-8 yrs"/>
    <n v="179465"/>
    <x v="1269"/>
    <s v="GPT-4"/>
    <s v="Master's"/>
    <n v="45475"/>
    <n v="1682"/>
    <n v="2144"/>
    <s v="No"/>
    <n v="4"/>
    <s v="1001-5000"/>
    <s v="Contract"/>
    <s v="No"/>
  </r>
  <r>
    <s v="AIJOB01272"/>
    <x v="5"/>
    <x v="16"/>
    <s v="Automotive"/>
    <s v="Boston, United States"/>
    <s v="United States"/>
    <s v="Remote"/>
    <x v="0"/>
    <s v="0-2 yrs"/>
    <n v="77675"/>
    <x v="1270"/>
    <s v="None"/>
    <s v="Bachelor's"/>
    <n v="45487"/>
    <n v="2398"/>
    <n v="2421"/>
    <s v="No"/>
    <n v="0"/>
    <s v="201-1000"/>
    <s v="Full-time"/>
    <s v="No"/>
  </r>
  <r>
    <s v="AIJOB01273"/>
    <x v="9"/>
    <x v="12"/>
    <s v="Finance"/>
    <s v="Dublin, Ireland"/>
    <s v="Ireland"/>
    <s v="Remote"/>
    <x v="2"/>
    <s v="2-5 yrs"/>
    <n v="88372"/>
    <x v="1271"/>
    <s v="None"/>
    <s v="Master's"/>
    <n v="45565"/>
    <n v="1304"/>
    <n v="1682"/>
    <s v="Yes"/>
    <n v="2"/>
    <s v="5000+"/>
    <s v="Full-time"/>
    <s v="No"/>
  </r>
  <r>
    <s v="AIJOB01274"/>
    <x v="3"/>
    <x v="7"/>
    <s v="Defense"/>
    <s v="Dublin, Ireland"/>
    <s v="Ireland"/>
    <s v="Hybrid"/>
    <x v="2"/>
    <s v="2-5 yrs"/>
    <n v="103735"/>
    <x v="1272"/>
    <s v="None"/>
    <s v="PhD"/>
    <n v="45323"/>
    <n v="1214"/>
    <n v="134"/>
    <s v="Maybe"/>
    <n v="2"/>
    <s v="201-1000"/>
    <s v="Contract"/>
    <s v="Yes"/>
  </r>
  <r>
    <s v="AIJOB01275"/>
    <x v="12"/>
    <x v="8"/>
    <s v="Education"/>
    <s v="Zurich, Switzerland"/>
    <s v="Switzerland"/>
    <s v="Hybrid"/>
    <x v="0"/>
    <s v="0-2 yrs"/>
    <n v="85285"/>
    <x v="1273"/>
    <s v="Grok"/>
    <s v="Bachelor's"/>
    <n v="45618"/>
    <n v="1417"/>
    <n v="1388"/>
    <s v="Maybe"/>
    <n v="0"/>
    <s v="5000+"/>
    <s v="Full-time"/>
    <s v="Yes"/>
  </r>
  <r>
    <s v="AIJOB01276"/>
    <x v="11"/>
    <x v="4"/>
    <s v="Education"/>
    <s v="Dublin, Ireland"/>
    <s v="Ireland"/>
    <s v="Remote"/>
    <x v="3"/>
    <s v="5-8 yrs"/>
    <n v="153826"/>
    <x v="1274"/>
    <s v="None"/>
    <s v="Bachelor's"/>
    <n v="45454"/>
    <n v="2386"/>
    <n v="3998"/>
    <s v="Maybe"/>
    <n v="4"/>
    <s v="5000+"/>
    <s v="Full-time"/>
    <s v="No"/>
  </r>
  <r>
    <s v="AIJOB01277"/>
    <x v="7"/>
    <x v="27"/>
    <s v="Technology"/>
    <s v="San Francisco, United States"/>
    <s v="United States"/>
    <s v="On-site"/>
    <x v="3"/>
    <s v="5-8 yrs"/>
    <n v="212621"/>
    <x v="1275"/>
    <s v="Mistral"/>
    <s v="PhD"/>
    <n v="45591"/>
    <n v="668"/>
    <n v="1459"/>
    <s v="Maybe"/>
    <n v="4"/>
    <s v="5000+"/>
    <s v="Part-time"/>
    <s v="Yes"/>
  </r>
  <r>
    <s v="AIJOB01278"/>
    <x v="10"/>
    <x v="3"/>
    <s v="Education"/>
    <s v="Tokyo, Japan"/>
    <s v="Japan"/>
    <s v="On-site"/>
    <x v="3"/>
    <s v="5-8 yrs"/>
    <n v="160619"/>
    <x v="1276"/>
    <s v="Command R"/>
    <s v="Master's"/>
    <n v="45300"/>
    <n v="2481"/>
    <n v="1799"/>
    <s v="No"/>
    <n v="4"/>
    <s v="5000+"/>
    <s v="Full-time"/>
    <s v="No"/>
  </r>
  <r>
    <s v="AIJOB01279"/>
    <x v="5"/>
    <x v="6"/>
    <s v="Healthcare"/>
    <s v="Dublin, Ireland"/>
    <s v="Ireland"/>
    <s v="On-site"/>
    <x v="0"/>
    <s v="0-2 yrs"/>
    <n v="72419"/>
    <x v="1277"/>
    <s v="Phi"/>
    <s v="PhD"/>
    <n v="45669"/>
    <n v="1610"/>
    <n v="3232"/>
    <s v="No"/>
    <n v="0"/>
    <s v="1001-5000"/>
    <s v="Full-time"/>
    <s v="No"/>
  </r>
  <r>
    <s v="AIJOB01280"/>
    <x v="2"/>
    <x v="28"/>
    <s v="Energy"/>
    <s v="Zurich, Switzerland"/>
    <s v="Switzerland"/>
    <s v="Remote"/>
    <x v="0"/>
    <s v="0-2 yrs"/>
    <n v="66105"/>
    <x v="1278"/>
    <s v="None"/>
    <s v="Master's"/>
    <n v="45417"/>
    <n v="1446"/>
    <n v="688"/>
    <s v="No"/>
    <n v="0"/>
    <s v="1001-5000"/>
    <s v="Full-time"/>
    <s v="No"/>
  </r>
  <r>
    <s v="AIJOB01281"/>
    <x v="0"/>
    <x v="13"/>
    <s v="Government"/>
    <s v="Singapore"/>
    <s v="Singapore"/>
    <s v="Hybrid"/>
    <x v="1"/>
    <s v="8+ yrs"/>
    <n v="204807"/>
    <x v="1279"/>
    <s v="None"/>
    <s v="Bachelor's"/>
    <n v="45488"/>
    <n v="2469"/>
    <n v="3791"/>
    <s v="Maybe"/>
    <n v="6"/>
    <s v="0-50"/>
    <s v="Full-time"/>
    <s v="No"/>
  </r>
  <r>
    <s v="AIJOB01282"/>
    <x v="5"/>
    <x v="29"/>
    <s v="Media"/>
    <s v="Chicago, United States"/>
    <s v="United States"/>
    <s v="On-site"/>
    <x v="2"/>
    <s v="2-5 yrs"/>
    <n v="106981"/>
    <x v="1280"/>
    <s v="GPT-4"/>
    <s v="Bootcamp/Self-taught"/>
    <n v="45712"/>
    <n v="1264"/>
    <n v="556"/>
    <s v="No"/>
    <n v="2"/>
    <s v="51-200"/>
    <s v="Full-time"/>
    <s v="No"/>
  </r>
  <r>
    <s v="AIJOB01283"/>
    <x v="14"/>
    <x v="6"/>
    <s v="Media"/>
    <s v="Berlin, Germany"/>
    <s v="Germany"/>
    <s v="On-site"/>
    <x v="0"/>
    <s v="0-2 yrs"/>
    <n v="78922"/>
    <x v="1281"/>
    <s v="None"/>
    <s v="Master's"/>
    <n v="45408"/>
    <n v="1417"/>
    <n v="3585"/>
    <s v="No"/>
    <n v="0"/>
    <s v="5000+"/>
    <s v="Full-time"/>
    <s v="Yes"/>
  </r>
  <r>
    <s v="AIJOB01284"/>
    <x v="1"/>
    <x v="1"/>
    <s v="Government"/>
    <s v="Bangalore, India"/>
    <s v="India"/>
    <s v="On-site"/>
    <x v="3"/>
    <s v="5-8 yrs"/>
    <n v="175830"/>
    <x v="1282"/>
    <s v="Command R"/>
    <s v="Bachelor's"/>
    <n v="45589"/>
    <n v="2449"/>
    <n v="327"/>
    <s v="Maybe"/>
    <n v="4"/>
    <s v="5000+"/>
    <s v="Full-time"/>
    <s v="No"/>
  </r>
  <r>
    <s v="AIJOB01285"/>
    <x v="14"/>
    <x v="25"/>
    <s v="Media"/>
    <s v="Bangalore, India"/>
    <s v="India"/>
    <s v="Hybrid"/>
    <x v="2"/>
    <s v="2-5 yrs"/>
    <n v="94437"/>
    <x v="1283"/>
    <s v="Phi"/>
    <s v="Bachelor's"/>
    <n v="45472"/>
    <n v="1160"/>
    <n v="2080"/>
    <s v="No"/>
    <n v="2"/>
    <s v="5000+"/>
    <s v="Full-time"/>
    <s v="Yes"/>
  </r>
  <r>
    <s v="AIJOB01286"/>
    <x v="13"/>
    <x v="20"/>
    <s v="Finance"/>
    <s v="San Francisco, United States"/>
    <s v="United States"/>
    <s v="Hybrid"/>
    <x v="2"/>
    <s v="2-5 yrs"/>
    <n v="83641"/>
    <x v="1284"/>
    <s v="Claude"/>
    <s v="Bootcamp/Self-taught"/>
    <n v="45496"/>
    <n v="414"/>
    <n v="2598"/>
    <s v="No"/>
    <n v="2"/>
    <s v="0-50"/>
    <s v="Full-time"/>
    <s v="No"/>
  </r>
  <r>
    <s v="AIJOB01287"/>
    <x v="0"/>
    <x v="14"/>
    <s v="Technology"/>
    <s v="Zurich, Switzerland"/>
    <s v="Switzerland"/>
    <s v="Hybrid"/>
    <x v="2"/>
    <s v="2-5 yrs"/>
    <n v="73643"/>
    <x v="1285"/>
    <s v="None"/>
    <s v="Master's"/>
    <n v="45568"/>
    <n v="2300"/>
    <n v="38"/>
    <s v="Maybe"/>
    <n v="2"/>
    <s v="1001-5000"/>
    <s v="Contract"/>
    <s v="No"/>
  </r>
  <r>
    <s v="AIJOB01288"/>
    <x v="6"/>
    <x v="4"/>
    <s v="Energy"/>
    <s v="London, United Kingdom"/>
    <s v="United Kingdom"/>
    <s v="Remote"/>
    <x v="0"/>
    <s v="0-2 yrs"/>
    <n v="76400"/>
    <x v="1286"/>
    <s v="Gemini"/>
    <s v="Master's"/>
    <n v="45592"/>
    <n v="1246"/>
    <n v="927"/>
    <s v="No"/>
    <n v="0"/>
    <s v="5000+"/>
    <s v="Full-time"/>
    <s v="No"/>
  </r>
  <r>
    <s v="AIJOB01289"/>
    <x v="5"/>
    <x v="0"/>
    <s v="Energy"/>
    <s v="New York, United States"/>
    <s v="United States"/>
    <s v="Remote"/>
    <x v="1"/>
    <s v="8+ yrs"/>
    <n v="160278"/>
    <x v="1287"/>
    <s v="Grok"/>
    <s v="PhD"/>
    <n v="45453"/>
    <n v="1222"/>
    <n v="792"/>
    <s v="No"/>
    <n v="6"/>
    <s v="1001-5000"/>
    <s v="Full-time"/>
    <s v="No"/>
  </r>
  <r>
    <s v="AIJOB01290"/>
    <x v="7"/>
    <x v="6"/>
    <s v="Government"/>
    <s v="Toronto, Canada"/>
    <s v="Canada"/>
    <s v="On-site"/>
    <x v="0"/>
    <s v="0-2 yrs"/>
    <n v="50000"/>
    <x v="1288"/>
    <s v="None"/>
    <s v="Master's"/>
    <n v="45628"/>
    <n v="434"/>
    <n v="1474"/>
    <s v="Yes"/>
    <n v="0"/>
    <s v="0-50"/>
    <s v="Full-time"/>
    <s v="No"/>
  </r>
  <r>
    <s v="AIJOB01291"/>
    <x v="7"/>
    <x v="8"/>
    <s v="Education"/>
    <s v="Amsterdam, Netherlands"/>
    <s v="Netherlands"/>
    <s v="Remote"/>
    <x v="3"/>
    <s v="5-8 yrs"/>
    <n v="160491"/>
    <x v="1289"/>
    <s v="Mistral"/>
    <s v="Bootcamp/Self-taught"/>
    <n v="45451"/>
    <n v="719"/>
    <n v="3092"/>
    <s v="Yes"/>
    <n v="4"/>
    <s v="51-200"/>
    <s v="Part-time"/>
    <s v="No"/>
  </r>
  <r>
    <s v="AIJOB01292"/>
    <x v="17"/>
    <x v="25"/>
    <s v="Finance"/>
    <s v="Chicago, United States"/>
    <s v="United States"/>
    <s v="Hybrid"/>
    <x v="2"/>
    <s v="2-5 yrs"/>
    <n v="159361"/>
    <x v="1290"/>
    <s v="Phi"/>
    <s v="PhD"/>
    <n v="45519"/>
    <n v="2093"/>
    <n v="3607"/>
    <s v="Maybe"/>
    <n v="2"/>
    <s v="5000+"/>
    <s v="Full-time"/>
    <s v="Yes"/>
  </r>
  <r>
    <s v="AIJOB01293"/>
    <x v="3"/>
    <x v="2"/>
    <s v="Automotive"/>
    <s v="Sydney, Australia"/>
    <s v="Australia"/>
    <s v="On-site"/>
    <x v="2"/>
    <s v="2-5 yrs"/>
    <n v="109879"/>
    <x v="1291"/>
    <s v="Command R"/>
    <s v="Bachelor's"/>
    <n v="45613"/>
    <n v="1249"/>
    <n v="3366"/>
    <s v="No"/>
    <n v="2"/>
    <s v="1001-5000"/>
    <s v="Part-time"/>
    <s v="No"/>
  </r>
  <r>
    <s v="AIJOB01294"/>
    <x v="4"/>
    <x v="28"/>
    <s v="Defense"/>
    <s v="Singapore"/>
    <s v="Singapore"/>
    <s v="On-site"/>
    <x v="1"/>
    <s v="8+ yrs"/>
    <n v="230185"/>
    <x v="1292"/>
    <s v="Claude"/>
    <s v="Bootcamp/Self-taught"/>
    <n v="45605"/>
    <n v="1799"/>
    <n v="1865"/>
    <s v="No"/>
    <n v="6"/>
    <s v="51-200"/>
    <s v="Full-time"/>
    <s v="No"/>
  </r>
  <r>
    <s v="AIJOB01295"/>
    <x v="3"/>
    <x v="1"/>
    <s v="Energy"/>
    <s v="Paris, France"/>
    <s v="France"/>
    <s v="Remote"/>
    <x v="1"/>
    <s v="8+ yrs"/>
    <n v="202945"/>
    <x v="1293"/>
    <s v="None"/>
    <s v="Master's"/>
    <n v="45493"/>
    <n v="1546"/>
    <n v="2641"/>
    <s v="Yes"/>
    <n v="6"/>
    <s v="51-200"/>
    <s v="Full-time"/>
    <s v="Yes"/>
  </r>
  <r>
    <s v="AIJOB01296"/>
    <x v="11"/>
    <x v="29"/>
    <s v="Retail"/>
    <s v="Seattle, United States"/>
    <s v="United States"/>
    <s v="Hybrid"/>
    <x v="3"/>
    <s v="5-8 yrs"/>
    <n v="147329"/>
    <x v="1294"/>
    <s v="Command R"/>
    <s v="Bachelor's"/>
    <n v="45612"/>
    <n v="1874"/>
    <n v="3477"/>
    <s v="No"/>
    <n v="4"/>
    <s v="201-1000"/>
    <s v="Full-time"/>
    <s v="No"/>
  </r>
  <r>
    <s v="AIJOB01297"/>
    <x v="16"/>
    <x v="15"/>
    <s v="Healthcare"/>
    <s v="Stockholm, Sweden"/>
    <s v="Sweden"/>
    <s v="Remote"/>
    <x v="3"/>
    <s v="5-8 yrs"/>
    <n v="174815"/>
    <x v="1295"/>
    <s v="Falcon"/>
    <s v="PhD"/>
    <n v="45334"/>
    <n v="615"/>
    <n v="2113"/>
    <s v="No"/>
    <n v="4"/>
    <s v="1001-5000"/>
    <s v="Full-time"/>
    <s v="Yes"/>
  </r>
  <r>
    <s v="AIJOB01298"/>
    <x v="5"/>
    <x v="21"/>
    <s v="Energy"/>
    <s v="Paris, France"/>
    <s v="France"/>
    <s v="Hybrid"/>
    <x v="0"/>
    <s v="0-2 yrs"/>
    <n v="66342"/>
    <x v="1296"/>
    <s v="Grok"/>
    <s v="Bachelor's"/>
    <n v="45445"/>
    <n v="2294"/>
    <n v="3331"/>
    <s v="No"/>
    <n v="0"/>
    <s v="0-50"/>
    <s v="Contract"/>
    <s v="Yes"/>
  </r>
  <r>
    <s v="AIJOB01299"/>
    <x v="3"/>
    <x v="29"/>
    <s v="Technology"/>
    <s v="Sydney, Australia"/>
    <s v="Australia"/>
    <s v="Hybrid"/>
    <x v="1"/>
    <s v="8+ yrs"/>
    <n v="209626"/>
    <x v="1297"/>
    <s v="Falcon"/>
    <s v="Master's"/>
    <n v="45415"/>
    <n v="1874"/>
    <n v="2906"/>
    <s v="No"/>
    <n v="6"/>
    <s v="0-50"/>
    <s v="Full-time"/>
    <s v="Yes"/>
  </r>
  <r>
    <s v="AIJOB01300"/>
    <x v="11"/>
    <x v="12"/>
    <s v="Media"/>
    <s v="Bangalore, India"/>
    <s v="India"/>
    <s v="Remote"/>
    <x v="1"/>
    <s v="8+ yrs"/>
    <n v="211581"/>
    <x v="1298"/>
    <s v="None"/>
    <s v="Bootcamp/Self-taught"/>
    <n v="45674"/>
    <n v="1438"/>
    <n v="722"/>
    <s v="No"/>
    <n v="6"/>
    <s v="0-50"/>
    <s v="Full-time"/>
    <s v="No"/>
  </r>
  <r>
    <s v="AIJOB01301"/>
    <x v="3"/>
    <x v="24"/>
    <s v="Government"/>
    <s v="Paris, France"/>
    <s v="France"/>
    <s v="Remote"/>
    <x v="2"/>
    <s v="2-5 yrs"/>
    <n v="96771"/>
    <x v="1299"/>
    <s v="BLOOM"/>
    <s v="Master's"/>
    <n v="45593"/>
    <n v="366"/>
    <n v="394"/>
    <s v="No"/>
    <n v="2"/>
    <s v="1001-5000"/>
    <s v="Full-time"/>
    <s v="Yes"/>
  </r>
  <r>
    <s v="AIJOB01302"/>
    <x v="5"/>
    <x v="13"/>
    <s v="Education"/>
    <s v="Chicago, United States"/>
    <s v="United States"/>
    <s v="Remote"/>
    <x v="3"/>
    <s v="5-8 yrs"/>
    <n v="176785"/>
    <x v="1300"/>
    <s v="Falcon"/>
    <s v="Master's"/>
    <n v="45442"/>
    <n v="1919"/>
    <n v="3729"/>
    <s v="No"/>
    <n v="4"/>
    <s v="201-1000"/>
    <s v="Full-time"/>
    <s v="No"/>
  </r>
  <r>
    <s v="AIJOB01303"/>
    <x v="17"/>
    <x v="12"/>
    <s v="Media"/>
    <s v="Stockholm, Sweden"/>
    <s v="Sweden"/>
    <s v="Remote"/>
    <x v="0"/>
    <s v="0-2 yrs"/>
    <n v="67795"/>
    <x v="1301"/>
    <s v="Falcon"/>
    <s v="PhD"/>
    <n v="45542"/>
    <n v="1671"/>
    <n v="1468"/>
    <s v="No"/>
    <n v="0"/>
    <s v="51-200"/>
    <s v="Full-time"/>
    <s v="No"/>
  </r>
  <r>
    <s v="AIJOB01304"/>
    <x v="14"/>
    <x v="12"/>
    <s v="Government"/>
    <s v="Amsterdam, Netherlands"/>
    <s v="Netherlands"/>
    <s v="On-site"/>
    <x v="1"/>
    <s v="8+ yrs"/>
    <n v="172793"/>
    <x v="1302"/>
    <s v="None"/>
    <s v="Master's"/>
    <n v="45444"/>
    <n v="1153"/>
    <n v="3416"/>
    <s v="Maybe"/>
    <n v="6"/>
    <s v="201-1000"/>
    <s v="Contract"/>
    <s v="No"/>
  </r>
  <r>
    <s v="AIJOB01305"/>
    <x v="2"/>
    <x v="21"/>
    <s v="Media"/>
    <s v="Tel Aviv, Israel"/>
    <s v="Israel"/>
    <s v="Remote"/>
    <x v="1"/>
    <s v="8+ yrs"/>
    <n v="219314"/>
    <x v="1303"/>
    <s v="Falcon"/>
    <s v="PhD"/>
    <n v="45565"/>
    <n v="642"/>
    <n v="1541"/>
    <s v="No"/>
    <n v="6"/>
    <s v="201-1000"/>
    <s v="Full-time"/>
    <s v="Yes"/>
  </r>
  <r>
    <s v="AIJOB01306"/>
    <x v="16"/>
    <x v="22"/>
    <s v="Technology"/>
    <s v="London, United Kingdom"/>
    <s v="United Kingdom"/>
    <s v="Remote"/>
    <x v="0"/>
    <s v="0-2 yrs"/>
    <n v="58679"/>
    <x v="1304"/>
    <s v="GPT-4"/>
    <s v="Master's"/>
    <n v="45692"/>
    <n v="1469"/>
    <n v="1008"/>
    <s v="No"/>
    <n v="0"/>
    <s v="1001-5000"/>
    <s v="Full-time"/>
    <s v="No"/>
  </r>
  <r>
    <s v="AIJOB01307"/>
    <x v="17"/>
    <x v="21"/>
    <s v="Retail"/>
    <s v="Dublin, Ireland"/>
    <s v="Ireland"/>
    <s v="Remote"/>
    <x v="3"/>
    <s v="5-8 yrs"/>
    <n v="150760"/>
    <x v="1305"/>
    <s v="Claude"/>
    <s v="Master's"/>
    <n v="45343"/>
    <n v="2490"/>
    <n v="1699"/>
    <s v="Yes"/>
    <n v="4"/>
    <s v="0-50"/>
    <s v="Part-time"/>
    <s v="Yes"/>
  </r>
  <r>
    <s v="AIJOB01308"/>
    <x v="1"/>
    <x v="14"/>
    <s v="Technology"/>
    <s v="Stockholm, Sweden"/>
    <s v="Sweden"/>
    <s v="Hybrid"/>
    <x v="0"/>
    <s v="0-2 yrs"/>
    <n v="69885"/>
    <x v="1306"/>
    <s v="Command R"/>
    <s v="Master's"/>
    <n v="45315"/>
    <n v="309"/>
    <n v="594"/>
    <s v="Maybe"/>
    <n v="0"/>
    <s v="5000+"/>
    <s v="Full-time"/>
    <s v="Yes"/>
  </r>
  <r>
    <s v="AIJOB01309"/>
    <x v="4"/>
    <x v="5"/>
    <s v="Media"/>
    <s v="Amsterdam, Netherlands"/>
    <s v="Netherlands"/>
    <s v="Remote"/>
    <x v="3"/>
    <s v="5-8 yrs"/>
    <n v="179319"/>
    <x v="1307"/>
    <s v="Gemini"/>
    <s v="PhD"/>
    <n v="45672"/>
    <n v="1672"/>
    <n v="3737"/>
    <s v="No"/>
    <n v="4"/>
    <s v="201-1000"/>
    <s v="Contract"/>
    <s v="Yes"/>
  </r>
  <r>
    <s v="AIJOB01310"/>
    <x v="5"/>
    <x v="13"/>
    <s v="Automotive"/>
    <s v="London, United Kingdom"/>
    <s v="United Kingdom"/>
    <s v="Remote"/>
    <x v="0"/>
    <s v="0-2 yrs"/>
    <n v="75981"/>
    <x v="1308"/>
    <s v="Falcon"/>
    <s v="Master's"/>
    <n v="45370"/>
    <n v="880"/>
    <n v="88"/>
    <s v="Yes"/>
    <n v="0"/>
    <s v="1001-5000"/>
    <s v="Full-time"/>
    <s v="Yes"/>
  </r>
  <r>
    <s v="AIJOB01311"/>
    <x v="10"/>
    <x v="17"/>
    <s v="Government"/>
    <s v="Berlin, Germany"/>
    <s v="Germany"/>
    <s v="Remote"/>
    <x v="2"/>
    <s v="2-5 yrs"/>
    <n v="109504"/>
    <x v="1309"/>
    <s v="Gemini"/>
    <s v="Master's"/>
    <n v="45361"/>
    <n v="412"/>
    <n v="401"/>
    <s v="Maybe"/>
    <n v="2"/>
    <s v="5000+"/>
    <s v="Contract"/>
    <s v="No"/>
  </r>
  <r>
    <s v="AIJOB01312"/>
    <x v="0"/>
    <x v="20"/>
    <s v="Energy"/>
    <s v="Amsterdam, Netherlands"/>
    <s v="Netherlands"/>
    <s v="Hybrid"/>
    <x v="2"/>
    <s v="2-5 yrs"/>
    <n v="126191"/>
    <x v="1310"/>
    <s v="Falcon"/>
    <s v="Master's"/>
    <n v="45399"/>
    <n v="778"/>
    <n v="3272"/>
    <s v="Yes"/>
    <n v="2"/>
    <s v="51-200"/>
    <s v="Contract"/>
    <s v="Yes"/>
  </r>
  <r>
    <s v="AIJOB01313"/>
    <x v="19"/>
    <x v="25"/>
    <s v="Education"/>
    <s v="Austin, United States"/>
    <s v="United States"/>
    <s v="Remote"/>
    <x v="3"/>
    <s v="5-8 yrs"/>
    <n v="187535"/>
    <x v="1311"/>
    <s v="None"/>
    <s v="Master's"/>
    <n v="45447"/>
    <n v="320"/>
    <n v="719"/>
    <s v="No"/>
    <n v="4"/>
    <s v="5000+"/>
    <s v="Full-time"/>
    <s v="Yes"/>
  </r>
  <r>
    <s v="AIJOB01314"/>
    <x v="15"/>
    <x v="14"/>
    <s v="Retail"/>
    <s v="Zurich, Switzerland"/>
    <s v="Switzerland"/>
    <s v="On-site"/>
    <x v="0"/>
    <s v="0-2 yrs"/>
    <n v="77028"/>
    <x v="1312"/>
    <s v="None"/>
    <s v="Bachelor's"/>
    <n v="45418"/>
    <n v="1776"/>
    <n v="736"/>
    <s v="No"/>
    <n v="0"/>
    <s v="51-200"/>
    <s v="Full-time"/>
    <s v="No"/>
  </r>
  <r>
    <s v="AIJOB01315"/>
    <x v="4"/>
    <x v="20"/>
    <s v="Government"/>
    <s v="Toronto, Canada"/>
    <s v="Canada"/>
    <s v="On-site"/>
    <x v="3"/>
    <s v="5-8 yrs"/>
    <n v="150279"/>
    <x v="1313"/>
    <s v="BLOOM"/>
    <s v="PhD"/>
    <n v="45498"/>
    <n v="2392"/>
    <n v="258"/>
    <s v="No"/>
    <n v="4"/>
    <s v="1001-5000"/>
    <s v="Full-time"/>
    <s v="Yes"/>
  </r>
  <r>
    <s v="AIJOB01316"/>
    <x v="8"/>
    <x v="3"/>
    <s v="Retail"/>
    <s v="Paris, France"/>
    <s v="France"/>
    <s v="Remote"/>
    <x v="3"/>
    <s v="5-8 yrs"/>
    <n v="114580"/>
    <x v="1314"/>
    <s v="Falcon"/>
    <s v="Master's"/>
    <n v="45726"/>
    <n v="1970"/>
    <n v="531"/>
    <s v="No"/>
    <n v="4"/>
    <s v="5000+"/>
    <s v="Full-time"/>
    <s v="Yes"/>
  </r>
  <r>
    <s v="AIJOB01317"/>
    <x v="7"/>
    <x v="10"/>
    <s v="Education"/>
    <s v="Sydney, Australia"/>
    <s v="Australia"/>
    <s v="Remote"/>
    <x v="2"/>
    <s v="2-5 yrs"/>
    <n v="88910"/>
    <x v="1315"/>
    <s v="Gemini"/>
    <s v="PhD"/>
    <n v="45654"/>
    <n v="2013"/>
    <n v="3904"/>
    <s v="Yes"/>
    <n v="2"/>
    <s v="5000+"/>
    <s v="Part-time"/>
    <s v="Yes"/>
  </r>
  <r>
    <s v="AIJOB01318"/>
    <x v="9"/>
    <x v="27"/>
    <s v="Automotive"/>
    <s v="Los Angeles, United States"/>
    <s v="United States"/>
    <s v="Hybrid"/>
    <x v="3"/>
    <s v="5-8 yrs"/>
    <n v="141758"/>
    <x v="1316"/>
    <s v="Phi"/>
    <s v="Master's"/>
    <n v="45548"/>
    <n v="1268"/>
    <n v="2532"/>
    <s v="No"/>
    <n v="4"/>
    <s v="5000+"/>
    <s v="Contract"/>
    <s v="Yes"/>
  </r>
  <r>
    <s v="AIJOB01319"/>
    <x v="0"/>
    <x v="10"/>
    <s v="Retail"/>
    <s v="Paris, France"/>
    <s v="France"/>
    <s v="Hybrid"/>
    <x v="3"/>
    <s v="5-8 yrs"/>
    <n v="133543"/>
    <x v="1317"/>
    <s v="None"/>
    <s v="Master's"/>
    <n v="45548"/>
    <n v="662"/>
    <n v="129"/>
    <s v="Yes"/>
    <n v="4"/>
    <s v="1001-5000"/>
    <s v="Contract"/>
    <s v="No"/>
  </r>
  <r>
    <s v="AIJOB01320"/>
    <x v="11"/>
    <x v="7"/>
    <s v="Technology"/>
    <s v="Tel Aviv, Israel"/>
    <s v="Israel"/>
    <s v="Hybrid"/>
    <x v="0"/>
    <s v="0-2 yrs"/>
    <n v="67644"/>
    <x v="1318"/>
    <s v="Command R"/>
    <s v="Master's"/>
    <n v="45688"/>
    <n v="873"/>
    <n v="1593"/>
    <s v="No"/>
    <n v="0"/>
    <s v="5000+"/>
    <s v="Full-time"/>
    <s v="Yes"/>
  </r>
  <r>
    <s v="AIJOB01321"/>
    <x v="0"/>
    <x v="14"/>
    <s v="Healthcare"/>
    <s v="Chicago, United States"/>
    <s v="United States"/>
    <s v="Hybrid"/>
    <x v="3"/>
    <s v="5-8 yrs"/>
    <n v="151529"/>
    <x v="1319"/>
    <s v="Mistral"/>
    <s v="PhD"/>
    <n v="45595"/>
    <n v="973"/>
    <n v="1601"/>
    <s v="No"/>
    <n v="4"/>
    <s v="201-1000"/>
    <s v="Full-time"/>
    <s v="Yes"/>
  </r>
  <r>
    <s v="AIJOB01322"/>
    <x v="9"/>
    <x v="3"/>
    <s v="Finance"/>
    <s v="Bangalore, India"/>
    <s v="India"/>
    <s v="Remote"/>
    <x v="0"/>
    <s v="0-2 yrs"/>
    <n v="76674"/>
    <x v="1320"/>
    <s v="Claude"/>
    <s v="Bachelor's"/>
    <n v="45591"/>
    <n v="1994"/>
    <n v="2887"/>
    <s v="Maybe"/>
    <n v="0"/>
    <s v="201-1000"/>
    <s v="Full-time"/>
    <s v="Yes"/>
  </r>
  <r>
    <s v="AIJOB01323"/>
    <x v="19"/>
    <x v="11"/>
    <s v="Healthcare"/>
    <s v="San Francisco, United States"/>
    <s v="United States"/>
    <s v="Remote"/>
    <x v="1"/>
    <s v="8+ yrs"/>
    <n v="197462"/>
    <x v="1321"/>
    <s v="BLOOM"/>
    <s v="Master's"/>
    <n v="45747"/>
    <n v="412"/>
    <n v="475"/>
    <s v="No"/>
    <n v="6"/>
    <s v="51-200"/>
    <s v="Full-time"/>
    <s v="Yes"/>
  </r>
  <r>
    <s v="AIJOB01324"/>
    <x v="12"/>
    <x v="3"/>
    <s v="Retail"/>
    <s v="Seattle, United States"/>
    <s v="United States"/>
    <s v="Remote"/>
    <x v="0"/>
    <s v="0-2 yrs"/>
    <n v="76129"/>
    <x v="1322"/>
    <s v="None"/>
    <s v="Bootcamp/Self-taught"/>
    <n v="45410"/>
    <n v="1420"/>
    <n v="2195"/>
    <s v="No"/>
    <n v="0"/>
    <s v="201-1000"/>
    <s v="Full-time"/>
    <s v="No"/>
  </r>
  <r>
    <s v="AIJOB01325"/>
    <x v="2"/>
    <x v="13"/>
    <s v="Finance"/>
    <s v="New York, United States"/>
    <s v="United States"/>
    <s v="On-site"/>
    <x v="0"/>
    <s v="0-2 yrs"/>
    <n v="70812"/>
    <x v="1323"/>
    <s v="None"/>
    <s v="Master's"/>
    <n v="45734"/>
    <n v="1458"/>
    <n v="2378"/>
    <s v="No"/>
    <n v="0"/>
    <s v="5000+"/>
    <s v="Full-time"/>
    <s v="Yes"/>
  </r>
  <r>
    <s v="AIJOB01326"/>
    <x v="13"/>
    <x v="0"/>
    <s v="Media"/>
    <s v="Sydney, Australia"/>
    <s v="Australia"/>
    <s v="Hybrid"/>
    <x v="0"/>
    <s v="0-2 yrs"/>
    <n v="50000"/>
    <x v="1324"/>
    <s v="None"/>
    <s v="Bootcamp/Self-taught"/>
    <n v="45374"/>
    <n v="1955"/>
    <n v="3761"/>
    <s v="No"/>
    <n v="0"/>
    <s v="0-50"/>
    <s v="Contract"/>
    <s v="Yes"/>
  </r>
  <r>
    <s v="AIJOB01327"/>
    <x v="6"/>
    <x v="22"/>
    <s v="Energy"/>
    <s v="Paris, France"/>
    <s v="France"/>
    <s v="Remote"/>
    <x v="0"/>
    <s v="0-2 yrs"/>
    <n v="58164"/>
    <x v="1325"/>
    <s v="None"/>
    <s v="Bachelor's"/>
    <n v="45354"/>
    <n v="938"/>
    <n v="255"/>
    <s v="Yes"/>
    <n v="0"/>
    <s v="51-200"/>
    <s v="Full-time"/>
    <s v="Yes"/>
  </r>
  <r>
    <s v="AIJOB01328"/>
    <x v="8"/>
    <x v="19"/>
    <s v="Education"/>
    <s v="Tel Aviv, Israel"/>
    <s v="Israel"/>
    <s v="On-site"/>
    <x v="0"/>
    <s v="0-2 yrs"/>
    <n v="68184"/>
    <x v="1326"/>
    <s v="Falcon"/>
    <s v="Bachelor's"/>
    <n v="45594"/>
    <n v="653"/>
    <n v="3248"/>
    <s v="No"/>
    <n v="0"/>
    <s v="51-200"/>
    <s v="Contract"/>
    <s v="No"/>
  </r>
  <r>
    <s v="AIJOB01329"/>
    <x v="0"/>
    <x v="13"/>
    <s v="Automotive"/>
    <s v="San Francisco, United States"/>
    <s v="United States"/>
    <s v="On-site"/>
    <x v="3"/>
    <s v="5-8 yrs"/>
    <n v="117338"/>
    <x v="1327"/>
    <s v="None"/>
    <s v="Bachelor's"/>
    <n v="45447"/>
    <n v="842"/>
    <n v="3452"/>
    <s v="No"/>
    <n v="4"/>
    <s v="201-1000"/>
    <s v="Full-time"/>
    <s v="No"/>
  </r>
  <r>
    <s v="AIJOB01330"/>
    <x v="4"/>
    <x v="9"/>
    <s v="Energy"/>
    <s v="Los Angeles, United States"/>
    <s v="United States"/>
    <s v="Hybrid"/>
    <x v="2"/>
    <s v="2-5 yrs"/>
    <n v="121878"/>
    <x v="1328"/>
    <s v="Claude"/>
    <s v="PhD"/>
    <n v="45553"/>
    <n v="626"/>
    <n v="163"/>
    <s v="Maybe"/>
    <n v="2"/>
    <s v="1001-5000"/>
    <s v="Full-time"/>
    <s v="No"/>
  </r>
  <r>
    <s v="AIJOB01331"/>
    <x v="11"/>
    <x v="13"/>
    <s v="Retail"/>
    <s v="Zurich, Switzerland"/>
    <s v="Switzerland"/>
    <s v="On-site"/>
    <x v="0"/>
    <s v="0-2 yrs"/>
    <n v="89287"/>
    <x v="1329"/>
    <s v="GPT-4"/>
    <s v="Bachelor's"/>
    <n v="45378"/>
    <n v="1674"/>
    <n v="902"/>
    <s v="No"/>
    <n v="0"/>
    <s v="1001-5000"/>
    <s v="Full-time"/>
    <s v="Yes"/>
  </r>
  <r>
    <s v="AIJOB01332"/>
    <x v="15"/>
    <x v="8"/>
    <s v="Finance"/>
    <s v="Seattle, United States"/>
    <s v="United States"/>
    <s v="Remote"/>
    <x v="1"/>
    <s v="8+ yrs"/>
    <n v="243875"/>
    <x v="1330"/>
    <s v="None"/>
    <s v="Bachelor's"/>
    <n v="45421"/>
    <n v="1788"/>
    <n v="1169"/>
    <s v="No"/>
    <n v="6"/>
    <s v="0-50"/>
    <s v="Part-time"/>
    <s v="No"/>
  </r>
  <r>
    <s v="AIJOB01333"/>
    <x v="1"/>
    <x v="15"/>
    <s v="Government"/>
    <s v="Dublin, Ireland"/>
    <s v="Ireland"/>
    <s v="Hybrid"/>
    <x v="3"/>
    <s v="5-8 yrs"/>
    <n v="144237"/>
    <x v="1331"/>
    <s v="GPT-4"/>
    <s v="Bachelor's"/>
    <n v="45475"/>
    <n v="1695"/>
    <n v="1782"/>
    <s v="No"/>
    <n v="4"/>
    <s v="1001-5000"/>
    <s v="Full-time"/>
    <s v="Yes"/>
  </r>
  <r>
    <s v="AIJOB01334"/>
    <x v="10"/>
    <x v="4"/>
    <s v="Government"/>
    <s v="Berlin, Germany"/>
    <s v="Germany"/>
    <s v="On-site"/>
    <x v="3"/>
    <s v="5-8 yrs"/>
    <n v="190249"/>
    <x v="1332"/>
    <s v="Falcon"/>
    <s v="Bachelor's"/>
    <n v="45386"/>
    <n v="1867"/>
    <n v="3589"/>
    <s v="Yes"/>
    <n v="4"/>
    <s v="0-50"/>
    <s v="Full-time"/>
    <s v="Yes"/>
  </r>
  <r>
    <s v="AIJOB01335"/>
    <x v="2"/>
    <x v="5"/>
    <s v="Education"/>
    <s v="Paris, France"/>
    <s v="France"/>
    <s v="Remote"/>
    <x v="0"/>
    <s v="0-2 yrs"/>
    <n v="71873"/>
    <x v="1333"/>
    <s v="None"/>
    <s v="PhD"/>
    <n v="45711"/>
    <n v="720"/>
    <n v="3601"/>
    <s v="Yes"/>
    <n v="0"/>
    <s v="1001-5000"/>
    <s v="Full-time"/>
    <s v="No"/>
  </r>
  <r>
    <s v="AIJOB01336"/>
    <x v="2"/>
    <x v="11"/>
    <s v="Government"/>
    <s v="Tel Aviv, Israel"/>
    <s v="Israel"/>
    <s v="Remote"/>
    <x v="0"/>
    <s v="0-2 yrs"/>
    <n v="65752"/>
    <x v="1334"/>
    <s v="Claude"/>
    <s v="PhD"/>
    <n v="45364"/>
    <n v="960"/>
    <n v="583"/>
    <s v="Yes"/>
    <n v="0"/>
    <s v="5000+"/>
    <s v="Full-time"/>
    <s v="Yes"/>
  </r>
  <r>
    <s v="AIJOB01337"/>
    <x v="3"/>
    <x v="2"/>
    <s v="Defense"/>
    <s v="San Francisco, United States"/>
    <s v="United States"/>
    <s v="Hybrid"/>
    <x v="3"/>
    <s v="5-8 yrs"/>
    <n v="133438"/>
    <x v="1335"/>
    <s v="None"/>
    <s v="Bachelor's"/>
    <n v="45533"/>
    <n v="305"/>
    <n v="1127"/>
    <s v="Yes"/>
    <n v="4"/>
    <s v="5000+"/>
    <s v="Full-time"/>
    <s v="No"/>
  </r>
  <r>
    <s v="AIJOB01338"/>
    <x v="0"/>
    <x v="26"/>
    <s v="Government"/>
    <s v="Boston, United States"/>
    <s v="United States"/>
    <s v="On-site"/>
    <x v="2"/>
    <s v="2-5 yrs"/>
    <n v="104011"/>
    <x v="1336"/>
    <s v="Falcon"/>
    <s v="Bootcamp/Self-taught"/>
    <n v="45344"/>
    <n v="2114"/>
    <n v="3809"/>
    <s v="Yes"/>
    <n v="2"/>
    <s v="5000+"/>
    <s v="Full-time"/>
    <s v="No"/>
  </r>
  <r>
    <s v="AIJOB01339"/>
    <x v="13"/>
    <x v="15"/>
    <s v="Healthcare"/>
    <s v="Sydney, Australia"/>
    <s v="Australia"/>
    <s v="Remote"/>
    <x v="1"/>
    <s v="8+ yrs"/>
    <n v="186025"/>
    <x v="1337"/>
    <s v="Llama"/>
    <s v="Bootcamp/Self-taught"/>
    <n v="45650"/>
    <n v="370"/>
    <n v="3497"/>
    <s v="Yes"/>
    <n v="6"/>
    <s v="201-1000"/>
    <s v="Full-time"/>
    <s v="Yes"/>
  </r>
  <r>
    <s v="AIJOB01340"/>
    <x v="18"/>
    <x v="21"/>
    <s v="Automotive"/>
    <s v="Sydney, Australia"/>
    <s v="Australia"/>
    <s v="Remote"/>
    <x v="2"/>
    <s v="2-5 yrs"/>
    <n v="113374"/>
    <x v="1338"/>
    <s v="None"/>
    <s v="Master's"/>
    <n v="45462"/>
    <n v="1979"/>
    <n v="3286"/>
    <s v="No"/>
    <n v="2"/>
    <s v="51-200"/>
    <s v="Full-time"/>
    <s v="Yes"/>
  </r>
  <r>
    <s v="AIJOB01341"/>
    <x v="10"/>
    <x v="9"/>
    <s v="Education"/>
    <s v="San Francisco, United States"/>
    <s v="United States"/>
    <s v="Remote"/>
    <x v="2"/>
    <s v="2-5 yrs"/>
    <n v="113179"/>
    <x v="1339"/>
    <s v="None"/>
    <s v="Master's"/>
    <n v="45679"/>
    <n v="772"/>
    <n v="2744"/>
    <s v="Yes"/>
    <n v="2"/>
    <s v="51-200"/>
    <s v="Contract"/>
    <s v="No"/>
  </r>
  <r>
    <s v="AIJOB01342"/>
    <x v="14"/>
    <x v="19"/>
    <s v="Government"/>
    <s v="Paris, France"/>
    <s v="France"/>
    <s v="On-site"/>
    <x v="3"/>
    <s v="5-8 yrs"/>
    <n v="150082"/>
    <x v="1340"/>
    <s v="None"/>
    <s v="Master's"/>
    <n v="45498"/>
    <n v="1553"/>
    <n v="2868"/>
    <s v="No"/>
    <n v="4"/>
    <s v="5000+"/>
    <s v="Contract"/>
    <s v="Yes"/>
  </r>
  <r>
    <s v="AIJOB01343"/>
    <x v="13"/>
    <x v="5"/>
    <s v="Defense"/>
    <s v="Tokyo, Japan"/>
    <s v="Japan"/>
    <s v="On-site"/>
    <x v="1"/>
    <s v="8+ yrs"/>
    <n v="215729"/>
    <x v="1341"/>
    <s v="None"/>
    <s v="PhD"/>
    <n v="45582"/>
    <n v="2057"/>
    <n v="70"/>
    <s v="No"/>
    <n v="6"/>
    <s v="0-50"/>
    <s v="Full-time"/>
    <s v="Yes"/>
  </r>
  <r>
    <s v="AIJOB01344"/>
    <x v="7"/>
    <x v="29"/>
    <s v="Retail"/>
    <s v="Bangalore, India"/>
    <s v="India"/>
    <s v="Hybrid"/>
    <x v="2"/>
    <s v="2-5 yrs"/>
    <n v="133574"/>
    <x v="1342"/>
    <s v="Claude"/>
    <s v="Master's"/>
    <n v="45482"/>
    <n v="583"/>
    <n v="1234"/>
    <s v="No"/>
    <n v="2"/>
    <s v="5000+"/>
    <s v="Full-time"/>
    <s v="Yes"/>
  </r>
  <r>
    <s v="AIJOB01345"/>
    <x v="13"/>
    <x v="16"/>
    <s v="Healthcare"/>
    <s v="Singapore"/>
    <s v="Singapore"/>
    <s v="Hybrid"/>
    <x v="3"/>
    <s v="5-8 yrs"/>
    <n v="175637"/>
    <x v="1343"/>
    <s v="Command R"/>
    <s v="Master's"/>
    <n v="45496"/>
    <n v="337"/>
    <n v="2187"/>
    <s v="No"/>
    <n v="4"/>
    <s v="51-200"/>
    <s v="Full-time"/>
    <s v="Yes"/>
  </r>
  <r>
    <s v="AIJOB01346"/>
    <x v="2"/>
    <x v="22"/>
    <s v="Finance"/>
    <s v="Singapore"/>
    <s v="Singapore"/>
    <s v="Remote"/>
    <x v="2"/>
    <s v="2-5 yrs"/>
    <n v="80599"/>
    <x v="1344"/>
    <s v="None"/>
    <s v="PhD"/>
    <n v="45294"/>
    <n v="1700"/>
    <n v="1020"/>
    <s v="Maybe"/>
    <n v="2"/>
    <s v="1001-5000"/>
    <s v="Full-time"/>
    <s v="Yes"/>
  </r>
  <r>
    <s v="AIJOB01347"/>
    <x v="18"/>
    <x v="15"/>
    <s v="Healthcare"/>
    <s v="Bangalore, India"/>
    <s v="India"/>
    <s v="Remote"/>
    <x v="3"/>
    <s v="5-8 yrs"/>
    <n v="81044"/>
    <x v="1345"/>
    <s v="BLOOM"/>
    <s v="Bachelor's"/>
    <n v="45591"/>
    <n v="1811"/>
    <n v="1862"/>
    <s v="Yes"/>
    <n v="4"/>
    <s v="51-200"/>
    <s v="Full-time"/>
    <s v="Yes"/>
  </r>
  <r>
    <s v="AIJOB01348"/>
    <x v="18"/>
    <x v="27"/>
    <s v="Energy"/>
    <s v="Boston, United States"/>
    <s v="United States"/>
    <s v="Remote"/>
    <x v="3"/>
    <s v="5-8 yrs"/>
    <n v="175226"/>
    <x v="1346"/>
    <s v="None"/>
    <s v="Master's"/>
    <n v="45405"/>
    <n v="488"/>
    <n v="1154"/>
    <s v="Yes"/>
    <n v="4"/>
    <s v="51-200"/>
    <s v="Full-time"/>
    <s v="Yes"/>
  </r>
  <r>
    <s v="AIJOB01349"/>
    <x v="6"/>
    <x v="18"/>
    <s v="Energy"/>
    <s v="Bangalore, India"/>
    <s v="India"/>
    <s v="Remote"/>
    <x v="0"/>
    <s v="0-2 yrs"/>
    <n v="52777"/>
    <x v="1347"/>
    <s v="BLOOM"/>
    <s v="Bootcamp/Self-taught"/>
    <n v="45540"/>
    <n v="1024"/>
    <n v="3717"/>
    <s v="Yes"/>
    <n v="0"/>
    <s v="51-200"/>
    <s v="Full-time"/>
    <s v="No"/>
  </r>
  <r>
    <s v="AIJOB01350"/>
    <x v="11"/>
    <x v="6"/>
    <s v="Technology"/>
    <s v="Tel Aviv, Israel"/>
    <s v="Israel"/>
    <s v="On-site"/>
    <x v="2"/>
    <s v="2-5 yrs"/>
    <n v="105549"/>
    <x v="1348"/>
    <s v="None"/>
    <s v="Bootcamp/Self-taught"/>
    <n v="45719"/>
    <n v="796"/>
    <n v="3446"/>
    <s v="Yes"/>
    <n v="2"/>
    <s v="51-200"/>
    <s v="Full-time"/>
    <s v="Yes"/>
  </r>
  <r>
    <s v="AIJOB01351"/>
    <x v="16"/>
    <x v="10"/>
    <s v="Retail"/>
    <s v="Toronto, Canada"/>
    <s v="Canada"/>
    <s v="Remote"/>
    <x v="0"/>
    <s v="0-2 yrs"/>
    <n v="55256"/>
    <x v="1349"/>
    <s v="Llama"/>
    <s v="Bachelor's"/>
    <n v="45506"/>
    <n v="1224"/>
    <n v="2014"/>
    <s v="No"/>
    <n v="0"/>
    <s v="0-50"/>
    <s v="Full-time"/>
    <s v="Yes"/>
  </r>
  <r>
    <s v="AIJOB01352"/>
    <x v="13"/>
    <x v="4"/>
    <s v="Automotive"/>
    <s v="Zurich, Switzerland"/>
    <s v="Switzerland"/>
    <s v="Hybrid"/>
    <x v="2"/>
    <s v="2-5 yrs"/>
    <n v="74320"/>
    <x v="1350"/>
    <s v="None"/>
    <s v="PhD"/>
    <n v="45512"/>
    <n v="562"/>
    <n v="2115"/>
    <s v="No"/>
    <n v="2"/>
    <s v="201-1000"/>
    <s v="Part-time"/>
    <s v="Yes"/>
  </r>
  <r>
    <s v="AIJOB01353"/>
    <x v="14"/>
    <x v="10"/>
    <s v="Education"/>
    <s v="Paris, France"/>
    <s v="France"/>
    <s v="Remote"/>
    <x v="2"/>
    <s v="2-5 yrs"/>
    <n v="120720"/>
    <x v="1351"/>
    <s v="BLOOM"/>
    <s v="Master's"/>
    <n v="45698"/>
    <n v="2489"/>
    <n v="3157"/>
    <s v="Yes"/>
    <n v="2"/>
    <s v="201-1000"/>
    <s v="Full-time"/>
    <s v="Yes"/>
  </r>
  <r>
    <s v="AIJOB01354"/>
    <x v="5"/>
    <x v="23"/>
    <s v="Finance"/>
    <s v="Bangalore, India"/>
    <s v="India"/>
    <s v="Remote"/>
    <x v="2"/>
    <s v="2-5 yrs"/>
    <n v="125031"/>
    <x v="1352"/>
    <s v="Grok"/>
    <s v="Bootcamp/Self-taught"/>
    <n v="45670"/>
    <n v="2148"/>
    <n v="3999"/>
    <s v="No"/>
    <n v="2"/>
    <s v="1001-5000"/>
    <s v="Contract"/>
    <s v="Yes"/>
  </r>
  <r>
    <s v="AIJOB01355"/>
    <x v="16"/>
    <x v="24"/>
    <s v="Energy"/>
    <s v="Tel Aviv, Israel"/>
    <s v="Israel"/>
    <s v="Hybrid"/>
    <x v="2"/>
    <s v="2-5 yrs"/>
    <n v="98585"/>
    <x v="1353"/>
    <s v="Falcon"/>
    <s v="Bachelor's"/>
    <n v="45680"/>
    <n v="603"/>
    <n v="3275"/>
    <s v="No"/>
    <n v="2"/>
    <s v="0-50"/>
    <s v="Full-time"/>
    <s v="Yes"/>
  </r>
  <r>
    <s v="AIJOB01356"/>
    <x v="0"/>
    <x v="27"/>
    <s v="Healthcare"/>
    <s v="Tel Aviv, Israel"/>
    <s v="Israel"/>
    <s v="Hybrid"/>
    <x v="1"/>
    <s v="8+ yrs"/>
    <n v="106722"/>
    <x v="1354"/>
    <s v="Llama"/>
    <s v="Bachelor's"/>
    <n v="45640"/>
    <n v="2291"/>
    <n v="514"/>
    <s v="No"/>
    <n v="6"/>
    <s v="5000+"/>
    <s v="Full-time"/>
    <s v="No"/>
  </r>
  <r>
    <s v="AIJOB01357"/>
    <x v="11"/>
    <x v="15"/>
    <s v="Retail"/>
    <s v="Dublin, Ireland"/>
    <s v="Ireland"/>
    <s v="Remote"/>
    <x v="3"/>
    <s v="5-8 yrs"/>
    <n v="135251"/>
    <x v="1355"/>
    <s v="GPT-4"/>
    <s v="Master's"/>
    <n v="45404"/>
    <n v="1678"/>
    <n v="3175"/>
    <s v="Maybe"/>
    <n v="4"/>
    <s v="5000+"/>
    <s v="Contract"/>
    <s v="No"/>
  </r>
  <r>
    <s v="AIJOB01358"/>
    <x v="3"/>
    <x v="27"/>
    <s v="Education"/>
    <s v="Seattle, United States"/>
    <s v="United States"/>
    <s v="Remote"/>
    <x v="2"/>
    <s v="2-5 yrs"/>
    <n v="117757"/>
    <x v="1356"/>
    <s v="Llama"/>
    <s v="PhD"/>
    <n v="45424"/>
    <n v="2492"/>
    <n v="2932"/>
    <s v="No"/>
    <n v="2"/>
    <s v="1001-5000"/>
    <s v="Full-time"/>
    <s v="Yes"/>
  </r>
  <r>
    <s v="AIJOB01359"/>
    <x v="8"/>
    <x v="3"/>
    <s v="Technology"/>
    <s v="Austin, United States"/>
    <s v="United States"/>
    <s v="Hybrid"/>
    <x v="1"/>
    <s v="8+ yrs"/>
    <n v="146759"/>
    <x v="1357"/>
    <s v="Mistral"/>
    <s v="PhD"/>
    <n v="45743"/>
    <n v="1746"/>
    <n v="680"/>
    <s v="No"/>
    <n v="6"/>
    <s v="1001-5000"/>
    <s v="Full-time"/>
    <s v="Yes"/>
  </r>
  <r>
    <s v="AIJOB01360"/>
    <x v="7"/>
    <x v="29"/>
    <s v="Retail"/>
    <s v="Seattle, United States"/>
    <s v="United States"/>
    <s v="On-site"/>
    <x v="3"/>
    <s v="5-8 yrs"/>
    <n v="154950"/>
    <x v="1358"/>
    <s v="None"/>
    <s v="Master's"/>
    <n v="45541"/>
    <n v="1796"/>
    <n v="2765"/>
    <s v="No"/>
    <n v="4"/>
    <s v="1001-5000"/>
    <s v="Full-time"/>
    <s v="No"/>
  </r>
  <r>
    <s v="AIJOB01361"/>
    <x v="2"/>
    <x v="14"/>
    <s v="Finance"/>
    <s v="Dublin, Ireland"/>
    <s v="Ireland"/>
    <s v="Remote"/>
    <x v="1"/>
    <s v="8+ yrs"/>
    <n v="199448"/>
    <x v="1359"/>
    <s v="Falcon"/>
    <s v="Bachelor's"/>
    <n v="45510"/>
    <n v="1966"/>
    <n v="2571"/>
    <s v="Yes"/>
    <n v="6"/>
    <s v="0-50"/>
    <s v="Part-time"/>
    <s v="No"/>
  </r>
  <r>
    <s v="AIJOB01362"/>
    <x v="12"/>
    <x v="6"/>
    <s v="Healthcare"/>
    <s v="Austin, United States"/>
    <s v="United States"/>
    <s v="Remote"/>
    <x v="1"/>
    <s v="8+ yrs"/>
    <n v="220854"/>
    <x v="1360"/>
    <s v="BLOOM"/>
    <s v="PhD"/>
    <n v="45462"/>
    <n v="2011"/>
    <n v="2922"/>
    <s v="No"/>
    <n v="6"/>
    <s v="5000+"/>
    <s v="Part-time"/>
    <s v="No"/>
  </r>
  <r>
    <s v="AIJOB01363"/>
    <x v="13"/>
    <x v="8"/>
    <s v="Technology"/>
    <s v="Zurich, Switzerland"/>
    <s v="Switzerland"/>
    <s v="Hybrid"/>
    <x v="1"/>
    <s v="8+ yrs"/>
    <n v="204304"/>
    <x v="1361"/>
    <s v="Falcon"/>
    <s v="Bachelor's"/>
    <n v="45423"/>
    <n v="1102"/>
    <n v="1208"/>
    <s v="Maybe"/>
    <n v="6"/>
    <s v="1001-5000"/>
    <s v="Full-time"/>
    <s v="No"/>
  </r>
  <r>
    <s v="AIJOB01364"/>
    <x v="13"/>
    <x v="17"/>
    <s v="Education"/>
    <s v="Boston, United States"/>
    <s v="United States"/>
    <s v="On-site"/>
    <x v="3"/>
    <s v="5-8 yrs"/>
    <n v="123727"/>
    <x v="1362"/>
    <s v="None"/>
    <s v="Bachelor's"/>
    <n v="45662"/>
    <n v="1242"/>
    <n v="2671"/>
    <s v="No"/>
    <n v="4"/>
    <s v="51-200"/>
    <s v="Full-time"/>
    <s v="No"/>
  </r>
  <r>
    <s v="AIJOB01365"/>
    <x v="3"/>
    <x v="24"/>
    <s v="Media"/>
    <s v="Singapore"/>
    <s v="Singapore"/>
    <s v="Remote"/>
    <x v="2"/>
    <s v="2-5 yrs"/>
    <n v="133692"/>
    <x v="1363"/>
    <s v="BLOOM"/>
    <s v="PhD"/>
    <n v="45666"/>
    <n v="2123"/>
    <n v="58"/>
    <s v="No"/>
    <n v="2"/>
    <s v="1001-5000"/>
    <s v="Full-time"/>
    <s v="No"/>
  </r>
  <r>
    <s v="AIJOB01366"/>
    <x v="10"/>
    <x v="8"/>
    <s v="Energy"/>
    <s v="Singapore"/>
    <s v="Singapore"/>
    <s v="Remote"/>
    <x v="1"/>
    <s v="8+ yrs"/>
    <n v="194292"/>
    <x v="1364"/>
    <s v="GPT-4"/>
    <s v="Bachelor's"/>
    <n v="45326"/>
    <n v="1399"/>
    <n v="528"/>
    <s v="No"/>
    <n v="6"/>
    <s v="201-1000"/>
    <s v="Contract"/>
    <s v="No"/>
  </r>
  <r>
    <s v="AIJOB01367"/>
    <x v="9"/>
    <x v="12"/>
    <s v="Finance"/>
    <s v="Singapore"/>
    <s v="Singapore"/>
    <s v="Remote"/>
    <x v="2"/>
    <s v="2-5 yrs"/>
    <n v="109459"/>
    <x v="1365"/>
    <s v="Command R"/>
    <s v="Master's"/>
    <n v="45523"/>
    <n v="1861"/>
    <n v="45"/>
    <s v="Maybe"/>
    <n v="2"/>
    <s v="201-1000"/>
    <s v="Full-time"/>
    <s v="Yes"/>
  </r>
  <r>
    <s v="AIJOB01368"/>
    <x v="19"/>
    <x v="28"/>
    <s v="Finance"/>
    <s v="San Francisco, United States"/>
    <s v="United States"/>
    <s v="Hybrid"/>
    <x v="2"/>
    <s v="2-5 yrs"/>
    <n v="91521"/>
    <x v="1366"/>
    <s v="Grok"/>
    <s v="Bootcamp/Self-taught"/>
    <n v="45481"/>
    <n v="1181"/>
    <n v="1542"/>
    <s v="Yes"/>
    <n v="2"/>
    <s v="0-50"/>
    <s v="Full-time"/>
    <s v="No"/>
  </r>
  <r>
    <s v="AIJOB01369"/>
    <x v="5"/>
    <x v="12"/>
    <s v="Energy"/>
    <s v="London, United Kingdom"/>
    <s v="United Kingdom"/>
    <s v="Hybrid"/>
    <x v="1"/>
    <s v="8+ yrs"/>
    <n v="184041"/>
    <x v="1367"/>
    <s v="Phi"/>
    <s v="Master's"/>
    <n v="45694"/>
    <n v="446"/>
    <n v="1180"/>
    <s v="No"/>
    <n v="6"/>
    <s v="0-50"/>
    <s v="Full-time"/>
    <s v="Yes"/>
  </r>
  <r>
    <s v="AIJOB01370"/>
    <x v="7"/>
    <x v="21"/>
    <s v="Energy"/>
    <s v="Boston, United States"/>
    <s v="United States"/>
    <s v="Remote"/>
    <x v="0"/>
    <s v="0-2 yrs"/>
    <n v="58851"/>
    <x v="1368"/>
    <s v="Claude"/>
    <s v="Master's"/>
    <n v="45552"/>
    <n v="2255"/>
    <n v="1280"/>
    <s v="No"/>
    <n v="0"/>
    <s v="201-1000"/>
    <s v="Full-time"/>
    <s v="Yes"/>
  </r>
  <r>
    <s v="AIJOB01371"/>
    <x v="6"/>
    <x v="18"/>
    <s v="Energy"/>
    <s v="London, United Kingdom"/>
    <s v="United Kingdom"/>
    <s v="On-site"/>
    <x v="0"/>
    <s v="0-2 yrs"/>
    <n v="67820"/>
    <x v="1369"/>
    <s v="None"/>
    <s v="Bachelor's"/>
    <n v="45556"/>
    <n v="673"/>
    <n v="3950"/>
    <s v="Maybe"/>
    <n v="0"/>
    <s v="0-50"/>
    <s v="Full-time"/>
    <s v="No"/>
  </r>
  <r>
    <s v="AIJOB01372"/>
    <x v="0"/>
    <x v="5"/>
    <s v="Media"/>
    <s v="Tokyo, Japan"/>
    <s v="Japan"/>
    <s v="Hybrid"/>
    <x v="1"/>
    <s v="8+ yrs"/>
    <n v="261621"/>
    <x v="1370"/>
    <s v="Falcon"/>
    <s v="Master's"/>
    <n v="45578"/>
    <n v="2419"/>
    <n v="1740"/>
    <s v="Yes"/>
    <n v="6"/>
    <s v="5000+"/>
    <s v="Full-time"/>
    <s v="No"/>
  </r>
  <r>
    <s v="AIJOB01373"/>
    <x v="11"/>
    <x v="12"/>
    <s v="Government"/>
    <s v="Boston, United States"/>
    <s v="United States"/>
    <s v="Hybrid"/>
    <x v="1"/>
    <s v="8+ yrs"/>
    <n v="150611"/>
    <x v="1371"/>
    <s v="None"/>
    <s v="PhD"/>
    <n v="45656"/>
    <n v="1663"/>
    <n v="3981"/>
    <s v="Maybe"/>
    <n v="6"/>
    <s v="51-200"/>
    <s v="Full-time"/>
    <s v="Yes"/>
  </r>
  <r>
    <s v="AIJOB01374"/>
    <x v="1"/>
    <x v="9"/>
    <s v="Defense"/>
    <s v="Zurich, Switzerland"/>
    <s v="Switzerland"/>
    <s v="Remote"/>
    <x v="0"/>
    <s v="0-2 yrs"/>
    <n v="50000"/>
    <x v="1372"/>
    <s v="None"/>
    <s v="Master's"/>
    <n v="45459"/>
    <n v="2385"/>
    <n v="678"/>
    <s v="No"/>
    <n v="0"/>
    <s v="1001-5000"/>
    <s v="Full-time"/>
    <s v="Yes"/>
  </r>
  <r>
    <s v="AIJOB01375"/>
    <x v="14"/>
    <x v="15"/>
    <s v="Retail"/>
    <s v="Austin, United States"/>
    <s v="United States"/>
    <s v="Hybrid"/>
    <x v="1"/>
    <s v="8+ yrs"/>
    <n v="252962"/>
    <x v="1373"/>
    <s v="Llama"/>
    <s v="Bachelor's"/>
    <n v="45326"/>
    <n v="2411"/>
    <n v="1406"/>
    <s v="Yes"/>
    <n v="6"/>
    <s v="1001-5000"/>
    <s v="Full-time"/>
    <s v="No"/>
  </r>
  <r>
    <s v="AIJOB01376"/>
    <x v="19"/>
    <x v="28"/>
    <s v="Automotive"/>
    <s v="Amsterdam, Netherlands"/>
    <s v="Netherlands"/>
    <s v="Remote"/>
    <x v="2"/>
    <s v="2-5 yrs"/>
    <n v="105855"/>
    <x v="1374"/>
    <s v="Phi"/>
    <s v="Master's"/>
    <n v="45618"/>
    <n v="1277"/>
    <n v="28"/>
    <s v="No"/>
    <n v="2"/>
    <s v="1001-5000"/>
    <s v="Contract"/>
    <s v="No"/>
  </r>
  <r>
    <s v="AIJOB01377"/>
    <x v="13"/>
    <x v="7"/>
    <s v="Healthcare"/>
    <s v="Berlin, Germany"/>
    <s v="Germany"/>
    <s v="On-site"/>
    <x v="1"/>
    <s v="8+ yrs"/>
    <n v="175913"/>
    <x v="1375"/>
    <s v="None"/>
    <s v="Bootcamp/Self-taught"/>
    <n v="45723"/>
    <n v="2246"/>
    <n v="1931"/>
    <s v="No"/>
    <n v="6"/>
    <s v="0-50"/>
    <s v="Full-time"/>
    <s v="No"/>
  </r>
  <r>
    <s v="AIJOB01378"/>
    <x v="5"/>
    <x v="29"/>
    <s v="Finance"/>
    <s v="Austin, United States"/>
    <s v="United States"/>
    <s v="Remote"/>
    <x v="2"/>
    <s v="2-5 yrs"/>
    <n v="130590"/>
    <x v="1376"/>
    <s v="Command R"/>
    <s v="Bachelor's"/>
    <n v="45667"/>
    <n v="496"/>
    <n v="3398"/>
    <s v="Yes"/>
    <n v="2"/>
    <s v="201-1000"/>
    <s v="Full-time"/>
    <s v="Yes"/>
  </r>
  <r>
    <s v="AIJOB01379"/>
    <x v="5"/>
    <x v="18"/>
    <s v="Education"/>
    <s v="Singapore"/>
    <s v="Singapore"/>
    <s v="On-site"/>
    <x v="1"/>
    <s v="8+ yrs"/>
    <n v="178197"/>
    <x v="1377"/>
    <s v="None"/>
    <s v="Bachelor's"/>
    <n v="45318"/>
    <n v="2049"/>
    <n v="3838"/>
    <s v="Yes"/>
    <n v="6"/>
    <s v="5000+"/>
    <s v="Full-time"/>
    <s v="No"/>
  </r>
  <r>
    <s v="AIJOB01380"/>
    <x v="11"/>
    <x v="5"/>
    <s v="Retail"/>
    <s v="Tokyo, Japan"/>
    <s v="Japan"/>
    <s v="Remote"/>
    <x v="3"/>
    <s v="5-8 yrs"/>
    <n v="199302"/>
    <x v="1378"/>
    <s v="BLOOM"/>
    <s v="Bachelor's"/>
    <n v="45687"/>
    <n v="1389"/>
    <n v="75"/>
    <s v="Yes"/>
    <n v="4"/>
    <s v="201-1000"/>
    <s v="Full-time"/>
    <s v="No"/>
  </r>
  <r>
    <s v="AIJOB01381"/>
    <x v="5"/>
    <x v="20"/>
    <s v="Healthcare"/>
    <s v="Chicago, United States"/>
    <s v="United States"/>
    <s v="Hybrid"/>
    <x v="2"/>
    <s v="2-5 yrs"/>
    <n v="123422"/>
    <x v="1379"/>
    <s v="None"/>
    <s v="PhD"/>
    <n v="45478"/>
    <n v="611"/>
    <n v="3123"/>
    <s v="No"/>
    <n v="2"/>
    <s v="5000+"/>
    <s v="Contract"/>
    <s v="No"/>
  </r>
  <r>
    <s v="AIJOB01382"/>
    <x v="16"/>
    <x v="11"/>
    <s v="Finance"/>
    <s v="Tel Aviv, Israel"/>
    <s v="Israel"/>
    <s v="Hybrid"/>
    <x v="3"/>
    <s v="5-8 yrs"/>
    <n v="136826"/>
    <x v="1380"/>
    <s v="Grok"/>
    <s v="Bootcamp/Self-taught"/>
    <n v="45507"/>
    <n v="1646"/>
    <n v="162"/>
    <s v="No"/>
    <n v="4"/>
    <s v="0-50"/>
    <s v="Full-time"/>
    <s v="Yes"/>
  </r>
  <r>
    <s v="AIJOB01383"/>
    <x v="3"/>
    <x v="3"/>
    <s v="Automotive"/>
    <s v="San Francisco, United States"/>
    <s v="United States"/>
    <s v="Remote"/>
    <x v="1"/>
    <s v="8+ yrs"/>
    <n v="277663"/>
    <x v="1381"/>
    <s v="None"/>
    <s v="PhD"/>
    <n v="45308"/>
    <n v="1677"/>
    <n v="2458"/>
    <s v="No"/>
    <n v="6"/>
    <s v="5000+"/>
    <s v="Contract"/>
    <s v="Yes"/>
  </r>
  <r>
    <s v="AIJOB01384"/>
    <x v="18"/>
    <x v="4"/>
    <s v="Education"/>
    <s v="Dublin, Ireland"/>
    <s v="Ireland"/>
    <s v="Hybrid"/>
    <x v="3"/>
    <s v="5-8 yrs"/>
    <n v="133645"/>
    <x v="1382"/>
    <s v="Grok"/>
    <s v="Master's"/>
    <n v="45397"/>
    <n v="1332"/>
    <n v="1584"/>
    <s v="Yes"/>
    <n v="4"/>
    <s v="5000+"/>
    <s v="Part-time"/>
    <s v="No"/>
  </r>
  <r>
    <s v="AIJOB01385"/>
    <x v="11"/>
    <x v="0"/>
    <s v="Media"/>
    <s v="Paris, France"/>
    <s v="France"/>
    <s v="On-site"/>
    <x v="3"/>
    <s v="5-8 yrs"/>
    <n v="170036"/>
    <x v="1383"/>
    <s v="None"/>
    <s v="Master's"/>
    <n v="45303"/>
    <n v="2423"/>
    <n v="591"/>
    <s v="No"/>
    <n v="4"/>
    <s v="5000+"/>
    <s v="Full-time"/>
    <s v="No"/>
  </r>
  <r>
    <s v="AIJOB01386"/>
    <x v="12"/>
    <x v="3"/>
    <s v="Healthcare"/>
    <s v="Tel Aviv, Israel"/>
    <s v="Israel"/>
    <s v="Hybrid"/>
    <x v="2"/>
    <s v="2-5 yrs"/>
    <n v="115925"/>
    <x v="1384"/>
    <s v="None"/>
    <s v="Bachelor's"/>
    <n v="45440"/>
    <n v="1902"/>
    <n v="2730"/>
    <s v="Yes"/>
    <n v="2"/>
    <s v="201-1000"/>
    <s v="Full-time"/>
    <s v="Yes"/>
  </r>
  <r>
    <s v="AIJOB01387"/>
    <x v="13"/>
    <x v="4"/>
    <s v="Retail"/>
    <s v="Seattle, United States"/>
    <s v="United States"/>
    <s v="Hybrid"/>
    <x v="3"/>
    <s v="5-8 yrs"/>
    <n v="185147"/>
    <x v="1385"/>
    <s v="None"/>
    <s v="PhD"/>
    <n v="45578"/>
    <n v="1111"/>
    <n v="970"/>
    <s v="No"/>
    <n v="4"/>
    <s v="1001-5000"/>
    <s v="Contract"/>
    <s v="No"/>
  </r>
  <r>
    <s v="AIJOB01388"/>
    <x v="11"/>
    <x v="2"/>
    <s v="Retail"/>
    <s v="San Francisco, United States"/>
    <s v="United States"/>
    <s v="Remote"/>
    <x v="2"/>
    <s v="2-5 yrs"/>
    <n v="140917"/>
    <x v="1386"/>
    <s v="Grok"/>
    <s v="Bachelor's"/>
    <n v="45321"/>
    <n v="2116"/>
    <n v="2144"/>
    <s v="Yes"/>
    <n v="2"/>
    <s v="0-50"/>
    <s v="Contract"/>
    <s v="Yes"/>
  </r>
  <r>
    <s v="AIJOB01389"/>
    <x v="1"/>
    <x v="25"/>
    <s v="Healthcare"/>
    <s v="Toronto, Canada"/>
    <s v="Canada"/>
    <s v="Hybrid"/>
    <x v="0"/>
    <s v="0-2 yrs"/>
    <n v="70403"/>
    <x v="1387"/>
    <s v="None"/>
    <s v="Master's"/>
    <n v="45410"/>
    <n v="507"/>
    <n v="2556"/>
    <s v="No"/>
    <n v="0"/>
    <s v="0-50"/>
    <s v="Part-time"/>
    <s v="No"/>
  </r>
  <r>
    <s v="AIJOB01390"/>
    <x v="14"/>
    <x v="13"/>
    <s v="Healthcare"/>
    <s v="Los Angeles, United States"/>
    <s v="United States"/>
    <s v="Remote"/>
    <x v="1"/>
    <s v="8+ yrs"/>
    <n v="172876"/>
    <x v="1388"/>
    <s v="None"/>
    <s v="Bootcamp/Self-taught"/>
    <n v="45686"/>
    <n v="2057"/>
    <n v="2139"/>
    <s v="Yes"/>
    <n v="6"/>
    <s v="5000+"/>
    <s v="Full-time"/>
    <s v="No"/>
  </r>
  <r>
    <s v="AIJOB01391"/>
    <x v="2"/>
    <x v="3"/>
    <s v="Energy"/>
    <s v="San Francisco, United States"/>
    <s v="United States"/>
    <s v="On-site"/>
    <x v="1"/>
    <s v="8+ yrs"/>
    <n v="216558"/>
    <x v="1389"/>
    <s v="None"/>
    <s v="Bootcamp/Self-taught"/>
    <n v="45659"/>
    <n v="1301"/>
    <n v="44"/>
    <s v="Maybe"/>
    <n v="6"/>
    <s v="1001-5000"/>
    <s v="Full-time"/>
    <s v="Yes"/>
  </r>
  <r>
    <s v="AIJOB01392"/>
    <x v="14"/>
    <x v="25"/>
    <s v="Retail"/>
    <s v="Berlin, Germany"/>
    <s v="Germany"/>
    <s v="Remote"/>
    <x v="3"/>
    <s v="5-8 yrs"/>
    <n v="131701"/>
    <x v="1390"/>
    <s v="None"/>
    <s v="Master's"/>
    <n v="45591"/>
    <n v="1971"/>
    <n v="3014"/>
    <s v="Maybe"/>
    <n v="4"/>
    <s v="0-50"/>
    <s v="Contract"/>
    <s v="Yes"/>
  </r>
  <r>
    <s v="AIJOB01393"/>
    <x v="8"/>
    <x v="26"/>
    <s v="Media"/>
    <s v="Tel Aviv, Israel"/>
    <s v="Israel"/>
    <s v="Hybrid"/>
    <x v="1"/>
    <s v="8+ yrs"/>
    <n v="272481"/>
    <x v="1391"/>
    <s v="None"/>
    <s v="Bootcamp/Self-taught"/>
    <n v="45342"/>
    <n v="2071"/>
    <n v="2241"/>
    <s v="No"/>
    <n v="6"/>
    <s v="201-1000"/>
    <s v="Full-time"/>
    <s v="No"/>
  </r>
  <r>
    <s v="AIJOB01394"/>
    <x v="11"/>
    <x v="5"/>
    <s v="Technology"/>
    <s v="Bangalore, India"/>
    <s v="India"/>
    <s v="On-site"/>
    <x v="2"/>
    <s v="2-5 yrs"/>
    <n v="112703"/>
    <x v="1392"/>
    <s v="None"/>
    <s v="Master's"/>
    <n v="45380"/>
    <n v="1097"/>
    <n v="1843"/>
    <s v="No"/>
    <n v="2"/>
    <s v="0-50"/>
    <s v="Part-time"/>
    <s v="No"/>
  </r>
  <r>
    <s v="AIJOB01395"/>
    <x v="18"/>
    <x v="19"/>
    <s v="Government"/>
    <s v="Toronto, Canada"/>
    <s v="Canada"/>
    <s v="Hybrid"/>
    <x v="2"/>
    <s v="2-5 yrs"/>
    <n v="102766"/>
    <x v="1393"/>
    <s v="Llama"/>
    <s v="Master's"/>
    <n v="45620"/>
    <n v="734"/>
    <n v="565"/>
    <s v="No"/>
    <n v="2"/>
    <s v="5000+"/>
    <s v="Full-time"/>
    <s v="No"/>
  </r>
  <r>
    <s v="AIJOB01396"/>
    <x v="19"/>
    <x v="7"/>
    <s v="Technology"/>
    <s v="Tokyo, Japan"/>
    <s v="Japan"/>
    <s v="On-site"/>
    <x v="3"/>
    <s v="5-8 yrs"/>
    <n v="154986"/>
    <x v="1394"/>
    <s v="None"/>
    <s v="Master's"/>
    <n v="45486"/>
    <n v="596"/>
    <n v="3771"/>
    <s v="No"/>
    <n v="4"/>
    <s v="201-1000"/>
    <s v="Full-time"/>
    <s v="Yes"/>
  </r>
  <r>
    <s v="AIJOB01397"/>
    <x v="11"/>
    <x v="7"/>
    <s v="Energy"/>
    <s v="Tel Aviv, Israel"/>
    <s v="Israel"/>
    <s v="Hybrid"/>
    <x v="3"/>
    <s v="5-8 yrs"/>
    <n v="113627"/>
    <x v="1395"/>
    <s v="None"/>
    <s v="Master's"/>
    <n v="45388"/>
    <n v="767"/>
    <n v="3456"/>
    <s v="Maybe"/>
    <n v="4"/>
    <s v="5000+"/>
    <s v="Full-time"/>
    <s v="Yes"/>
  </r>
  <r>
    <s v="AIJOB01398"/>
    <x v="16"/>
    <x v="7"/>
    <s v="Education"/>
    <s v="San Francisco, United States"/>
    <s v="United States"/>
    <s v="Hybrid"/>
    <x v="0"/>
    <s v="0-2 yrs"/>
    <n v="57757"/>
    <x v="1396"/>
    <s v="Command R"/>
    <s v="Master's"/>
    <n v="45386"/>
    <n v="2196"/>
    <n v="213"/>
    <s v="No"/>
    <n v="0"/>
    <s v="0-50"/>
    <s v="Contract"/>
    <s v="No"/>
  </r>
  <r>
    <s v="AIJOB01399"/>
    <x v="13"/>
    <x v="17"/>
    <s v="Education"/>
    <s v="London, United Kingdom"/>
    <s v="United Kingdom"/>
    <s v="Hybrid"/>
    <x v="0"/>
    <s v="0-2 yrs"/>
    <n v="85125"/>
    <x v="1397"/>
    <s v="None"/>
    <s v="Bachelor's"/>
    <n v="45368"/>
    <n v="394"/>
    <n v="1654"/>
    <s v="No"/>
    <n v="0"/>
    <s v="5000+"/>
    <s v="Full-time"/>
    <s v="No"/>
  </r>
  <r>
    <s v="AIJOB01400"/>
    <x v="15"/>
    <x v="15"/>
    <s v="Education"/>
    <s v="Singapore"/>
    <s v="Singapore"/>
    <s v="Remote"/>
    <x v="2"/>
    <s v="2-5 yrs"/>
    <n v="96993"/>
    <x v="1398"/>
    <s v="GPT-4"/>
    <s v="Master's"/>
    <n v="45399"/>
    <n v="381"/>
    <n v="3861"/>
    <s v="Yes"/>
    <n v="2"/>
    <s v="201-1000"/>
    <s v="Contract"/>
    <s v="No"/>
  </r>
  <r>
    <s v="AIJOB01401"/>
    <x v="19"/>
    <x v="23"/>
    <s v="Government"/>
    <s v="Amsterdam, Netherlands"/>
    <s v="Netherlands"/>
    <s v="Hybrid"/>
    <x v="2"/>
    <s v="2-5 yrs"/>
    <n v="89271"/>
    <x v="1399"/>
    <s v="GPT-4"/>
    <s v="Master's"/>
    <n v="45585"/>
    <n v="676"/>
    <n v="3314"/>
    <s v="No"/>
    <n v="2"/>
    <s v="201-1000"/>
    <s v="Full-time"/>
    <s v="No"/>
  </r>
  <r>
    <s v="AIJOB01402"/>
    <x v="6"/>
    <x v="28"/>
    <s v="Automotive"/>
    <s v="Los Angeles, United States"/>
    <s v="United States"/>
    <s v="Hybrid"/>
    <x v="3"/>
    <s v="5-8 yrs"/>
    <n v="164489"/>
    <x v="1400"/>
    <s v="Llama"/>
    <s v="Bachelor's"/>
    <n v="45545"/>
    <n v="1826"/>
    <n v="906"/>
    <s v="No"/>
    <n v="4"/>
    <s v="0-50"/>
    <s v="Full-time"/>
    <s v="No"/>
  </r>
  <r>
    <s v="AIJOB01403"/>
    <x v="1"/>
    <x v="7"/>
    <s v="Retail"/>
    <s v="Boston, United States"/>
    <s v="United States"/>
    <s v="On-site"/>
    <x v="1"/>
    <s v="8+ yrs"/>
    <n v="242685"/>
    <x v="1401"/>
    <s v="Mistral"/>
    <s v="Master's"/>
    <n v="45555"/>
    <n v="1746"/>
    <n v="2692"/>
    <s v="No"/>
    <n v="6"/>
    <s v="1001-5000"/>
    <s v="Full-time"/>
    <s v="No"/>
  </r>
  <r>
    <s v="AIJOB01404"/>
    <x v="8"/>
    <x v="19"/>
    <s v="Education"/>
    <s v="Los Angeles, United States"/>
    <s v="United States"/>
    <s v="On-site"/>
    <x v="2"/>
    <s v="2-5 yrs"/>
    <n v="124235"/>
    <x v="1402"/>
    <s v="None"/>
    <s v="Master's"/>
    <n v="45716"/>
    <n v="2448"/>
    <n v="1939"/>
    <s v="Yes"/>
    <n v="2"/>
    <s v="5000+"/>
    <s v="Contract"/>
    <s v="Yes"/>
  </r>
  <r>
    <s v="AIJOB01405"/>
    <x v="15"/>
    <x v="23"/>
    <s v="Government"/>
    <s v="Tokyo, Japan"/>
    <s v="Japan"/>
    <s v="Hybrid"/>
    <x v="1"/>
    <s v="8+ yrs"/>
    <n v="235857"/>
    <x v="1403"/>
    <s v="None"/>
    <s v="PhD"/>
    <n v="45628"/>
    <n v="429"/>
    <n v="1468"/>
    <s v="Yes"/>
    <n v="6"/>
    <s v="201-1000"/>
    <s v="Full-time"/>
    <s v="Yes"/>
  </r>
  <r>
    <s v="AIJOB01406"/>
    <x v="17"/>
    <x v="20"/>
    <s v="Defense"/>
    <s v="Stockholm, Sweden"/>
    <s v="Sweden"/>
    <s v="Remote"/>
    <x v="2"/>
    <s v="2-5 yrs"/>
    <n v="95015"/>
    <x v="1404"/>
    <s v="Mistral"/>
    <s v="PhD"/>
    <n v="45529"/>
    <n v="487"/>
    <n v="2864"/>
    <s v="No"/>
    <n v="2"/>
    <s v="51-200"/>
    <s v="Contract"/>
    <s v="No"/>
  </r>
  <r>
    <s v="AIJOB01407"/>
    <x v="3"/>
    <x v="1"/>
    <s v="Energy"/>
    <s v="Amsterdam, Netherlands"/>
    <s v="Netherlands"/>
    <s v="Hybrid"/>
    <x v="3"/>
    <s v="5-8 yrs"/>
    <n v="111611"/>
    <x v="1405"/>
    <s v="Gemini"/>
    <s v="Bootcamp/Self-taught"/>
    <n v="45468"/>
    <n v="750"/>
    <n v="1461"/>
    <s v="Yes"/>
    <n v="4"/>
    <s v="51-200"/>
    <s v="Full-time"/>
    <s v="No"/>
  </r>
  <r>
    <s v="AIJOB01408"/>
    <x v="5"/>
    <x v="27"/>
    <s v="Education"/>
    <s v="San Francisco, United States"/>
    <s v="United States"/>
    <s v="Hybrid"/>
    <x v="3"/>
    <s v="5-8 yrs"/>
    <n v="190536"/>
    <x v="1406"/>
    <s v="Claude"/>
    <s v="Master's"/>
    <n v="45579"/>
    <n v="1252"/>
    <n v="3386"/>
    <s v="Yes"/>
    <n v="4"/>
    <s v="1001-5000"/>
    <s v="Full-time"/>
    <s v="No"/>
  </r>
  <r>
    <s v="AIJOB01409"/>
    <x v="18"/>
    <x v="2"/>
    <s v="Technology"/>
    <s v="Seattle, United States"/>
    <s v="United States"/>
    <s v="Hybrid"/>
    <x v="2"/>
    <s v="2-5 yrs"/>
    <n v="103610"/>
    <x v="1407"/>
    <s v="None"/>
    <s v="Bachelor's"/>
    <n v="45663"/>
    <n v="983"/>
    <n v="1652"/>
    <s v="No"/>
    <n v="2"/>
    <s v="1001-5000"/>
    <s v="Contract"/>
    <s v="Yes"/>
  </r>
  <r>
    <s v="AIJOB01410"/>
    <x v="19"/>
    <x v="5"/>
    <s v="Retail"/>
    <s v="Toronto, Canada"/>
    <s v="Canada"/>
    <s v="On-site"/>
    <x v="1"/>
    <s v="8+ yrs"/>
    <n v="190970"/>
    <x v="1408"/>
    <s v="Llama"/>
    <s v="Master's"/>
    <n v="45468"/>
    <n v="1733"/>
    <n v="1437"/>
    <s v="No"/>
    <n v="6"/>
    <s v="0-50"/>
    <s v="Full-time"/>
    <s v="No"/>
  </r>
  <r>
    <s v="AIJOB01411"/>
    <x v="17"/>
    <x v="28"/>
    <s v="Government"/>
    <s v="Zurich, Switzerland"/>
    <s v="Switzerland"/>
    <s v="Remote"/>
    <x v="0"/>
    <s v="0-2 yrs"/>
    <n v="86735"/>
    <x v="1409"/>
    <s v="None"/>
    <s v="Master's"/>
    <n v="45340"/>
    <n v="1200"/>
    <n v="2830"/>
    <s v="No"/>
    <n v="0"/>
    <s v="0-50"/>
    <s v="Part-time"/>
    <s v="Yes"/>
  </r>
  <r>
    <s v="AIJOB01412"/>
    <x v="8"/>
    <x v="27"/>
    <s v="Finance"/>
    <s v="Stockholm, Sweden"/>
    <s v="Sweden"/>
    <s v="On-site"/>
    <x v="2"/>
    <s v="2-5 yrs"/>
    <n v="121013"/>
    <x v="1410"/>
    <s v="None"/>
    <s v="Master's"/>
    <n v="45504"/>
    <n v="2248"/>
    <n v="1544"/>
    <s v="Maybe"/>
    <n v="2"/>
    <s v="51-200"/>
    <s v="Contract"/>
    <s v="Yes"/>
  </r>
  <r>
    <s v="AIJOB01413"/>
    <x v="0"/>
    <x v="29"/>
    <s v="Technology"/>
    <s v="Los Angeles, United States"/>
    <s v="United States"/>
    <s v="Remote"/>
    <x v="2"/>
    <s v="2-5 yrs"/>
    <n v="119026"/>
    <x v="1411"/>
    <s v="Grok"/>
    <s v="Master's"/>
    <n v="45423"/>
    <n v="1258"/>
    <n v="353"/>
    <s v="No"/>
    <n v="2"/>
    <s v="1001-5000"/>
    <s v="Full-time"/>
    <s v="No"/>
  </r>
  <r>
    <s v="AIJOB01414"/>
    <x v="7"/>
    <x v="12"/>
    <s v="Defense"/>
    <s v="Seattle, United States"/>
    <s v="United States"/>
    <s v="Remote"/>
    <x v="3"/>
    <s v="5-8 yrs"/>
    <n v="208455"/>
    <x v="1412"/>
    <s v="None"/>
    <s v="PhD"/>
    <n v="45544"/>
    <n v="885"/>
    <n v="3768"/>
    <s v="No"/>
    <n v="4"/>
    <s v="1001-5000"/>
    <s v="Full-time"/>
    <s v="No"/>
  </r>
  <r>
    <s v="AIJOB01415"/>
    <x v="0"/>
    <x v="10"/>
    <s v="Healthcare"/>
    <s v="Singapore"/>
    <s v="Singapore"/>
    <s v="Remote"/>
    <x v="2"/>
    <s v="2-5 yrs"/>
    <n v="97258"/>
    <x v="1413"/>
    <s v="None"/>
    <s v="Bachelor's"/>
    <n v="45409"/>
    <n v="1812"/>
    <n v="2499"/>
    <s v="No"/>
    <n v="2"/>
    <s v="1001-5000"/>
    <s v="Full-time"/>
    <s v="Yes"/>
  </r>
  <r>
    <s v="AIJOB01416"/>
    <x v="3"/>
    <x v="25"/>
    <s v="Defense"/>
    <s v="Paris, France"/>
    <s v="France"/>
    <s v="Remote"/>
    <x v="2"/>
    <s v="2-5 yrs"/>
    <n v="128371"/>
    <x v="1414"/>
    <s v="Gemini"/>
    <s v="Bachelor's"/>
    <n v="45422"/>
    <n v="1656"/>
    <n v="1209"/>
    <s v="No"/>
    <n v="2"/>
    <s v="201-1000"/>
    <s v="Full-time"/>
    <s v="Yes"/>
  </r>
  <r>
    <s v="AIJOB01417"/>
    <x v="4"/>
    <x v="3"/>
    <s v="Defense"/>
    <s v="Sydney, Australia"/>
    <s v="Australia"/>
    <s v="Remote"/>
    <x v="2"/>
    <s v="2-5 yrs"/>
    <n v="111128"/>
    <x v="1415"/>
    <s v="None"/>
    <s v="Master's"/>
    <n v="45744"/>
    <n v="786"/>
    <n v="2787"/>
    <s v="No"/>
    <n v="2"/>
    <s v="201-1000"/>
    <s v="Full-time"/>
    <s v="Yes"/>
  </r>
  <r>
    <s v="AIJOB01418"/>
    <x v="12"/>
    <x v="14"/>
    <s v="Media"/>
    <s v="Bangalore, India"/>
    <s v="India"/>
    <s v="Hybrid"/>
    <x v="0"/>
    <s v="0-2 yrs"/>
    <n v="73384"/>
    <x v="1416"/>
    <s v="Claude"/>
    <s v="Bachelor's"/>
    <n v="45491"/>
    <n v="641"/>
    <n v="3055"/>
    <s v="Yes"/>
    <n v="0"/>
    <s v="5000+"/>
    <s v="Full-time"/>
    <s v="No"/>
  </r>
  <r>
    <s v="AIJOB01419"/>
    <x v="3"/>
    <x v="0"/>
    <s v="Education"/>
    <s v="London, United Kingdom"/>
    <s v="United Kingdom"/>
    <s v="Hybrid"/>
    <x v="2"/>
    <s v="2-5 yrs"/>
    <n v="140263"/>
    <x v="1417"/>
    <s v="None"/>
    <s v="Bachelor's"/>
    <n v="45418"/>
    <n v="410"/>
    <n v="1480"/>
    <s v="Yes"/>
    <n v="2"/>
    <s v="5000+"/>
    <s v="Full-time"/>
    <s v="No"/>
  </r>
  <r>
    <s v="AIJOB01420"/>
    <x v="14"/>
    <x v="15"/>
    <s v="Healthcare"/>
    <s v="Boston, United States"/>
    <s v="United States"/>
    <s v="On-site"/>
    <x v="3"/>
    <s v="5-8 yrs"/>
    <n v="163711"/>
    <x v="1418"/>
    <s v="GPT-4"/>
    <s v="Bachelor's"/>
    <n v="45671"/>
    <n v="1845"/>
    <n v="3050"/>
    <s v="No"/>
    <n v="4"/>
    <s v="51-200"/>
    <s v="Full-time"/>
    <s v="No"/>
  </r>
  <r>
    <s v="AIJOB01421"/>
    <x v="17"/>
    <x v="6"/>
    <s v="Media"/>
    <s v="Sydney, Australia"/>
    <s v="Australia"/>
    <s v="Hybrid"/>
    <x v="2"/>
    <s v="2-5 yrs"/>
    <n v="120658"/>
    <x v="1419"/>
    <s v="Command R"/>
    <s v="Bachelor's"/>
    <n v="45742"/>
    <n v="494"/>
    <n v="1124"/>
    <s v="Yes"/>
    <n v="2"/>
    <s v="51-200"/>
    <s v="Full-time"/>
    <s v="No"/>
  </r>
  <r>
    <s v="AIJOB01422"/>
    <x v="14"/>
    <x v="13"/>
    <s v="Retail"/>
    <s v="Sydney, Australia"/>
    <s v="Australia"/>
    <s v="Hybrid"/>
    <x v="3"/>
    <s v="5-8 yrs"/>
    <n v="178957"/>
    <x v="1420"/>
    <s v="GPT-4"/>
    <s v="PhD"/>
    <n v="45566"/>
    <n v="841"/>
    <n v="1838"/>
    <s v="Yes"/>
    <n v="4"/>
    <s v="0-50"/>
    <s v="Contract"/>
    <s v="Yes"/>
  </r>
  <r>
    <s v="AIJOB01423"/>
    <x v="7"/>
    <x v="20"/>
    <s v="Government"/>
    <s v="Amsterdam, Netherlands"/>
    <s v="Netherlands"/>
    <s v="Remote"/>
    <x v="2"/>
    <s v="2-5 yrs"/>
    <n v="102773"/>
    <x v="1421"/>
    <s v="None"/>
    <s v="PhD"/>
    <n v="45343"/>
    <n v="1011"/>
    <n v="139"/>
    <s v="No"/>
    <n v="2"/>
    <s v="51-200"/>
    <s v="Full-time"/>
    <s v="Yes"/>
  </r>
  <r>
    <s v="AIJOB01424"/>
    <x v="11"/>
    <x v="3"/>
    <s v="Finance"/>
    <s v="Los Angeles, United States"/>
    <s v="United States"/>
    <s v="Remote"/>
    <x v="0"/>
    <s v="0-2 yrs"/>
    <n v="59425"/>
    <x v="1422"/>
    <s v="None"/>
    <s v="Master's"/>
    <n v="45722"/>
    <n v="2261"/>
    <n v="1015"/>
    <s v="No"/>
    <n v="0"/>
    <s v="5000+"/>
    <s v="Full-time"/>
    <s v="No"/>
  </r>
  <r>
    <s v="AIJOB01425"/>
    <x v="12"/>
    <x v="23"/>
    <s v="Finance"/>
    <s v="Tel Aviv, Israel"/>
    <s v="Israel"/>
    <s v="Remote"/>
    <x v="3"/>
    <s v="5-8 yrs"/>
    <n v="121790"/>
    <x v="1423"/>
    <s v="Mistral"/>
    <s v="PhD"/>
    <n v="45386"/>
    <n v="2241"/>
    <n v="3750"/>
    <s v="Yes"/>
    <n v="4"/>
    <s v="0-50"/>
    <s v="Full-time"/>
    <s v="Yes"/>
  </r>
  <r>
    <s v="AIJOB01426"/>
    <x v="16"/>
    <x v="13"/>
    <s v="Finance"/>
    <s v="Stockholm, Sweden"/>
    <s v="Sweden"/>
    <s v="On-site"/>
    <x v="0"/>
    <s v="0-2 yrs"/>
    <n v="50000"/>
    <x v="1424"/>
    <s v="Falcon"/>
    <s v="PhD"/>
    <n v="45456"/>
    <n v="629"/>
    <n v="2558"/>
    <s v="No"/>
    <n v="0"/>
    <s v="201-1000"/>
    <s v="Full-time"/>
    <s v="No"/>
  </r>
  <r>
    <s v="AIJOB01427"/>
    <x v="19"/>
    <x v="13"/>
    <s v="Retail"/>
    <s v="Berlin, Germany"/>
    <s v="Germany"/>
    <s v="Hybrid"/>
    <x v="1"/>
    <s v="8+ yrs"/>
    <n v="274023"/>
    <x v="1425"/>
    <s v="Command R"/>
    <s v="Master's"/>
    <n v="45468"/>
    <n v="776"/>
    <n v="2828"/>
    <s v="No"/>
    <n v="6"/>
    <s v="5000+"/>
    <s v="Full-time"/>
    <s v="No"/>
  </r>
  <r>
    <s v="AIJOB01428"/>
    <x v="19"/>
    <x v="7"/>
    <s v="Retail"/>
    <s v="Zurich, Switzerland"/>
    <s v="Switzerland"/>
    <s v="Remote"/>
    <x v="2"/>
    <s v="2-5 yrs"/>
    <n v="88156"/>
    <x v="1426"/>
    <s v="Command R"/>
    <s v="Bootcamp/Self-taught"/>
    <n v="45346"/>
    <n v="1824"/>
    <n v="1498"/>
    <s v="No"/>
    <n v="2"/>
    <s v="1001-5000"/>
    <s v="Full-time"/>
    <s v="No"/>
  </r>
  <r>
    <s v="AIJOB01429"/>
    <x v="10"/>
    <x v="23"/>
    <s v="Automotive"/>
    <s v="Sydney, Australia"/>
    <s v="Australia"/>
    <s v="On-site"/>
    <x v="1"/>
    <s v="8+ yrs"/>
    <n v="192034"/>
    <x v="1427"/>
    <s v="None"/>
    <s v="Master's"/>
    <n v="45315"/>
    <n v="581"/>
    <n v="1246"/>
    <s v="No"/>
    <n v="6"/>
    <s v="1001-5000"/>
    <s v="Contract"/>
    <s v="Yes"/>
  </r>
  <r>
    <s v="AIJOB01430"/>
    <x v="19"/>
    <x v="3"/>
    <s v="Automotive"/>
    <s v="Singapore"/>
    <s v="Singapore"/>
    <s v="Remote"/>
    <x v="2"/>
    <s v="2-5 yrs"/>
    <n v="104519"/>
    <x v="1428"/>
    <s v="Claude"/>
    <s v="Bachelor's"/>
    <n v="45640"/>
    <n v="718"/>
    <n v="1544"/>
    <s v="Yes"/>
    <n v="2"/>
    <s v="5000+"/>
    <s v="Full-time"/>
    <s v="No"/>
  </r>
  <r>
    <s v="AIJOB01431"/>
    <x v="1"/>
    <x v="2"/>
    <s v="Media"/>
    <s v="Singapore"/>
    <s v="Singapore"/>
    <s v="On-site"/>
    <x v="1"/>
    <s v="8+ yrs"/>
    <n v="211066"/>
    <x v="1429"/>
    <s v="Phi"/>
    <s v="Master's"/>
    <n v="45504"/>
    <n v="2278"/>
    <n v="3806"/>
    <s v="Yes"/>
    <n v="6"/>
    <s v="1001-5000"/>
    <s v="Full-time"/>
    <s v="No"/>
  </r>
  <r>
    <s v="AIJOB01432"/>
    <x v="7"/>
    <x v="6"/>
    <s v="Government"/>
    <s v="San Francisco, United States"/>
    <s v="United States"/>
    <s v="Remote"/>
    <x v="0"/>
    <s v="0-2 yrs"/>
    <n v="80278"/>
    <x v="1430"/>
    <s v="Claude"/>
    <s v="Master's"/>
    <n v="45404"/>
    <n v="1041"/>
    <n v="3068"/>
    <s v="Maybe"/>
    <n v="0"/>
    <s v="5000+"/>
    <s v="Full-time"/>
    <s v="No"/>
  </r>
  <r>
    <s v="AIJOB01433"/>
    <x v="8"/>
    <x v="27"/>
    <s v="Defense"/>
    <s v="Chicago, United States"/>
    <s v="United States"/>
    <s v="Remote"/>
    <x v="0"/>
    <s v="0-2 yrs"/>
    <n v="80841"/>
    <x v="1431"/>
    <s v="None"/>
    <s v="Bachelor's"/>
    <n v="45406"/>
    <n v="2150"/>
    <n v="707"/>
    <s v="Yes"/>
    <n v="0"/>
    <s v="51-200"/>
    <s v="Full-time"/>
    <s v="Yes"/>
  </r>
  <r>
    <s v="AIJOB01434"/>
    <x v="9"/>
    <x v="12"/>
    <s v="Energy"/>
    <s v="Seattle, United States"/>
    <s v="United States"/>
    <s v="Hybrid"/>
    <x v="0"/>
    <s v="0-2 yrs"/>
    <n v="62653"/>
    <x v="1432"/>
    <s v="Grok"/>
    <s v="Master's"/>
    <n v="45520"/>
    <n v="2254"/>
    <n v="3673"/>
    <s v="No"/>
    <n v="0"/>
    <s v="5000+"/>
    <s v="Full-time"/>
    <s v="No"/>
  </r>
  <r>
    <s v="AIJOB01435"/>
    <x v="18"/>
    <x v="0"/>
    <s v="Government"/>
    <s v="Berlin, Germany"/>
    <s v="Germany"/>
    <s v="Remote"/>
    <x v="2"/>
    <s v="2-5 yrs"/>
    <n v="106690"/>
    <x v="1433"/>
    <s v="Falcon"/>
    <s v="Master's"/>
    <n v="45355"/>
    <n v="688"/>
    <n v="2274"/>
    <s v="No"/>
    <n v="2"/>
    <s v="0-50"/>
    <s v="Part-time"/>
    <s v="No"/>
  </r>
  <r>
    <s v="AIJOB01436"/>
    <x v="13"/>
    <x v="20"/>
    <s v="Defense"/>
    <s v="Seattle, United States"/>
    <s v="United States"/>
    <s v="Hybrid"/>
    <x v="1"/>
    <s v="8+ yrs"/>
    <n v="210172"/>
    <x v="1434"/>
    <s v="None"/>
    <s v="Master's"/>
    <n v="45615"/>
    <n v="1801"/>
    <n v="3421"/>
    <s v="No"/>
    <n v="6"/>
    <s v="51-200"/>
    <s v="Contract"/>
    <s v="No"/>
  </r>
  <r>
    <s v="AIJOB01437"/>
    <x v="0"/>
    <x v="5"/>
    <s v="Defense"/>
    <s v="Tokyo, Japan"/>
    <s v="Japan"/>
    <s v="Remote"/>
    <x v="1"/>
    <s v="8+ yrs"/>
    <n v="191047"/>
    <x v="1435"/>
    <s v="Llama"/>
    <s v="Master's"/>
    <n v="45502"/>
    <n v="519"/>
    <n v="1615"/>
    <s v="No"/>
    <n v="6"/>
    <s v="51-200"/>
    <s v="Full-time"/>
    <s v="Yes"/>
  </r>
  <r>
    <s v="AIJOB01438"/>
    <x v="9"/>
    <x v="19"/>
    <s v="Retail"/>
    <s v="Tel Aviv, Israel"/>
    <s v="Israel"/>
    <s v="Remote"/>
    <x v="0"/>
    <s v="0-2 yrs"/>
    <n v="90252"/>
    <x v="1436"/>
    <s v="Llama"/>
    <s v="Master's"/>
    <n v="45544"/>
    <n v="793"/>
    <n v="3296"/>
    <s v="No"/>
    <n v="0"/>
    <s v="0-50"/>
    <s v="Full-time"/>
    <s v="No"/>
  </r>
  <r>
    <s v="AIJOB01439"/>
    <x v="18"/>
    <x v="9"/>
    <s v="Education"/>
    <s v="Zurich, Switzerland"/>
    <s v="Switzerland"/>
    <s v="Remote"/>
    <x v="3"/>
    <s v="5-8 yrs"/>
    <n v="163256"/>
    <x v="1437"/>
    <s v="None"/>
    <s v="Master's"/>
    <n v="45726"/>
    <n v="1763"/>
    <n v="3080"/>
    <s v="No"/>
    <n v="4"/>
    <s v="5000+"/>
    <s v="Contract"/>
    <s v="No"/>
  </r>
  <r>
    <s v="AIJOB01440"/>
    <x v="18"/>
    <x v="27"/>
    <s v="Government"/>
    <s v="Paris, France"/>
    <s v="France"/>
    <s v="Hybrid"/>
    <x v="1"/>
    <s v="8+ yrs"/>
    <n v="226455"/>
    <x v="1438"/>
    <s v="Gemini"/>
    <s v="PhD"/>
    <n v="45592"/>
    <n v="1700"/>
    <n v="443"/>
    <s v="No"/>
    <n v="6"/>
    <s v="201-1000"/>
    <s v="Full-time"/>
    <s v="No"/>
  </r>
  <r>
    <s v="AIJOB01441"/>
    <x v="15"/>
    <x v="14"/>
    <s v="Healthcare"/>
    <s v="Stockholm, Sweden"/>
    <s v="Sweden"/>
    <s v="On-site"/>
    <x v="3"/>
    <s v="5-8 yrs"/>
    <n v="167897"/>
    <x v="1439"/>
    <s v="Claude"/>
    <s v="PhD"/>
    <n v="45326"/>
    <n v="1962"/>
    <n v="3332"/>
    <s v="Yes"/>
    <n v="4"/>
    <s v="5000+"/>
    <s v="Full-time"/>
    <s v="No"/>
  </r>
  <r>
    <s v="AIJOB01442"/>
    <x v="2"/>
    <x v="25"/>
    <s v="Retail"/>
    <s v="Amsterdam, Netherlands"/>
    <s v="Netherlands"/>
    <s v="Remote"/>
    <x v="3"/>
    <s v="5-8 yrs"/>
    <n v="181683"/>
    <x v="1440"/>
    <s v="None"/>
    <s v="Bachelor's"/>
    <n v="45398"/>
    <n v="2226"/>
    <n v="2458"/>
    <s v="No"/>
    <n v="4"/>
    <s v="201-1000"/>
    <s v="Contract"/>
    <s v="No"/>
  </r>
  <r>
    <s v="AIJOB01443"/>
    <x v="12"/>
    <x v="25"/>
    <s v="Healthcare"/>
    <s v="Sydney, Australia"/>
    <s v="Australia"/>
    <s v="Remote"/>
    <x v="1"/>
    <s v="8+ yrs"/>
    <n v="206516"/>
    <x v="1441"/>
    <s v="Grok"/>
    <s v="PhD"/>
    <n v="45695"/>
    <n v="2187"/>
    <n v="1990"/>
    <s v="No"/>
    <n v="6"/>
    <s v="51-200"/>
    <s v="Full-time"/>
    <s v="No"/>
  </r>
  <r>
    <s v="AIJOB01444"/>
    <x v="4"/>
    <x v="23"/>
    <s v="Healthcare"/>
    <s v="Chicago, United States"/>
    <s v="United States"/>
    <s v="Hybrid"/>
    <x v="1"/>
    <s v="8+ yrs"/>
    <n v="153314"/>
    <x v="1442"/>
    <s v="Command R"/>
    <s v="Bachelor's"/>
    <n v="45326"/>
    <n v="1227"/>
    <n v="2904"/>
    <s v="No"/>
    <n v="6"/>
    <s v="0-50"/>
    <s v="Contract"/>
    <s v="Yes"/>
  </r>
  <r>
    <s v="AIJOB01445"/>
    <x v="3"/>
    <x v="14"/>
    <s v="Retail"/>
    <s v="Toronto, Canada"/>
    <s v="Canada"/>
    <s v="Hybrid"/>
    <x v="2"/>
    <s v="2-5 yrs"/>
    <n v="117913"/>
    <x v="1443"/>
    <s v="None"/>
    <s v="PhD"/>
    <n v="45430"/>
    <n v="551"/>
    <n v="1696"/>
    <s v="No"/>
    <n v="2"/>
    <s v="51-200"/>
    <s v="Full-time"/>
    <s v="Yes"/>
  </r>
  <r>
    <s v="AIJOB01446"/>
    <x v="18"/>
    <x v="22"/>
    <s v="Energy"/>
    <s v="San Francisco, United States"/>
    <s v="United States"/>
    <s v="Remote"/>
    <x v="3"/>
    <s v="5-8 yrs"/>
    <n v="132413"/>
    <x v="1444"/>
    <s v="Gemini"/>
    <s v="PhD"/>
    <n v="45570"/>
    <n v="1408"/>
    <n v="646"/>
    <s v="No"/>
    <n v="4"/>
    <s v="0-50"/>
    <s v="Full-time"/>
    <s v="Yes"/>
  </r>
  <r>
    <s v="AIJOB01447"/>
    <x v="16"/>
    <x v="0"/>
    <s v="Finance"/>
    <s v="Tokyo, Japan"/>
    <s v="Japan"/>
    <s v="Remote"/>
    <x v="0"/>
    <s v="0-2 yrs"/>
    <n v="63339"/>
    <x v="1445"/>
    <s v="None"/>
    <s v="Bootcamp/Self-taught"/>
    <n v="45502"/>
    <n v="2006"/>
    <n v="1132"/>
    <s v="Yes"/>
    <n v="0"/>
    <s v="5000+"/>
    <s v="Full-time"/>
    <s v="Yes"/>
  </r>
  <r>
    <s v="AIJOB01448"/>
    <x v="16"/>
    <x v="14"/>
    <s v="Healthcare"/>
    <s v="Tokyo, Japan"/>
    <s v="Japan"/>
    <s v="Hybrid"/>
    <x v="2"/>
    <s v="2-5 yrs"/>
    <n v="121610"/>
    <x v="1446"/>
    <s v="Mistral"/>
    <s v="Master's"/>
    <n v="45653"/>
    <n v="1630"/>
    <n v="392"/>
    <s v="No"/>
    <n v="2"/>
    <s v="5000+"/>
    <s v="Full-time"/>
    <s v="No"/>
  </r>
  <r>
    <s v="AIJOB01449"/>
    <x v="15"/>
    <x v="25"/>
    <s v="Automotive"/>
    <s v="Seattle, United States"/>
    <s v="United States"/>
    <s v="Hybrid"/>
    <x v="1"/>
    <s v="8+ yrs"/>
    <n v="244578"/>
    <x v="1447"/>
    <s v="Falcon"/>
    <s v="Bachelor's"/>
    <n v="45712"/>
    <n v="1018"/>
    <n v="154"/>
    <s v="No"/>
    <n v="6"/>
    <s v="51-200"/>
    <s v="Full-time"/>
    <s v="Yes"/>
  </r>
  <r>
    <s v="AIJOB01450"/>
    <x v="11"/>
    <x v="2"/>
    <s v="Automotive"/>
    <s v="Zurich, Switzerland"/>
    <s v="Switzerland"/>
    <s v="Hybrid"/>
    <x v="1"/>
    <s v="8+ yrs"/>
    <n v="200765"/>
    <x v="1448"/>
    <s v="Claude"/>
    <s v="Bachelor's"/>
    <n v="45508"/>
    <n v="567"/>
    <n v="2570"/>
    <s v="No"/>
    <n v="6"/>
    <s v="51-200"/>
    <s v="Full-time"/>
    <s v="Yes"/>
  </r>
  <r>
    <s v="AIJOB01451"/>
    <x v="6"/>
    <x v="5"/>
    <s v="Retail"/>
    <s v="Sydney, Australia"/>
    <s v="Australia"/>
    <s v="Remote"/>
    <x v="2"/>
    <s v="2-5 yrs"/>
    <n v="116114"/>
    <x v="1449"/>
    <s v="None"/>
    <s v="Bachelor's"/>
    <n v="45626"/>
    <n v="1083"/>
    <n v="835"/>
    <s v="No"/>
    <n v="2"/>
    <s v="5000+"/>
    <s v="Full-time"/>
    <s v="Yes"/>
  </r>
  <r>
    <s v="AIJOB01452"/>
    <x v="7"/>
    <x v="19"/>
    <s v="Automotive"/>
    <s v="Singapore"/>
    <s v="Singapore"/>
    <s v="Hybrid"/>
    <x v="3"/>
    <s v="5-8 yrs"/>
    <n v="195959"/>
    <x v="1450"/>
    <s v="Falcon"/>
    <s v="Bachelor's"/>
    <n v="45344"/>
    <n v="1320"/>
    <n v="2989"/>
    <s v="No"/>
    <n v="4"/>
    <s v="1001-5000"/>
    <s v="Part-time"/>
    <s v="No"/>
  </r>
  <r>
    <s v="AIJOB01453"/>
    <x v="1"/>
    <x v="20"/>
    <s v="Energy"/>
    <s v="Austin, United States"/>
    <s v="United States"/>
    <s v="Remote"/>
    <x v="3"/>
    <s v="5-8 yrs"/>
    <n v="156500"/>
    <x v="1451"/>
    <s v="None"/>
    <s v="Master's"/>
    <n v="45429"/>
    <n v="2442"/>
    <n v="3315"/>
    <s v="No"/>
    <n v="4"/>
    <s v="201-1000"/>
    <s v="Full-time"/>
    <s v="No"/>
  </r>
  <r>
    <s v="AIJOB01454"/>
    <x v="8"/>
    <x v="4"/>
    <s v="Government"/>
    <s v="Paris, France"/>
    <s v="France"/>
    <s v="Hybrid"/>
    <x v="0"/>
    <s v="0-2 yrs"/>
    <n v="102781"/>
    <x v="1452"/>
    <s v="Command R"/>
    <s v="Bachelor's"/>
    <n v="45705"/>
    <n v="2175"/>
    <n v="520"/>
    <s v="No"/>
    <n v="0"/>
    <s v="5000+"/>
    <s v="Full-time"/>
    <s v="Yes"/>
  </r>
  <r>
    <s v="AIJOB01455"/>
    <x v="12"/>
    <x v="5"/>
    <s v="Media"/>
    <s v="Amsterdam, Netherlands"/>
    <s v="Netherlands"/>
    <s v="Remote"/>
    <x v="3"/>
    <s v="5-8 yrs"/>
    <n v="165268"/>
    <x v="1453"/>
    <s v="BLOOM"/>
    <s v="Master's"/>
    <n v="45552"/>
    <n v="1357"/>
    <n v="1881"/>
    <s v="Yes"/>
    <n v="4"/>
    <s v="0-50"/>
    <s v="Full-time"/>
    <s v="No"/>
  </r>
  <r>
    <s v="AIJOB01456"/>
    <x v="13"/>
    <x v="21"/>
    <s v="Education"/>
    <s v="Zurich, Switzerland"/>
    <s v="Switzerland"/>
    <s v="Remote"/>
    <x v="1"/>
    <s v="8+ yrs"/>
    <n v="136612"/>
    <x v="1454"/>
    <s v="Phi"/>
    <s v="Bachelor's"/>
    <n v="45725"/>
    <n v="1906"/>
    <n v="1977"/>
    <s v="No"/>
    <n v="6"/>
    <s v="1001-5000"/>
    <s v="Full-time"/>
    <s v="Yes"/>
  </r>
  <r>
    <s v="AIJOB01457"/>
    <x v="18"/>
    <x v="21"/>
    <s v="Defense"/>
    <s v="Stockholm, Sweden"/>
    <s v="Sweden"/>
    <s v="Hybrid"/>
    <x v="0"/>
    <s v="0-2 yrs"/>
    <n v="79492"/>
    <x v="1455"/>
    <s v="Mistral"/>
    <s v="PhD"/>
    <n v="45508"/>
    <n v="1040"/>
    <n v="847"/>
    <s v="No"/>
    <n v="0"/>
    <s v="51-200"/>
    <s v="Part-time"/>
    <s v="Yes"/>
  </r>
  <r>
    <s v="AIJOB01458"/>
    <x v="19"/>
    <x v="19"/>
    <s v="Retail"/>
    <s v="San Francisco, United States"/>
    <s v="United States"/>
    <s v="On-site"/>
    <x v="3"/>
    <s v="5-8 yrs"/>
    <n v="160291"/>
    <x v="1456"/>
    <s v="Grok"/>
    <s v="Master's"/>
    <n v="45434"/>
    <n v="1573"/>
    <n v="196"/>
    <s v="Yes"/>
    <n v="4"/>
    <s v="201-1000"/>
    <s v="Contract"/>
    <s v="No"/>
  </r>
  <r>
    <s v="AIJOB01459"/>
    <x v="19"/>
    <x v="1"/>
    <s v="Technology"/>
    <s v="Tel Aviv, Israel"/>
    <s v="Israel"/>
    <s v="On-site"/>
    <x v="0"/>
    <s v="0-2 yrs"/>
    <n v="86250"/>
    <x v="1457"/>
    <s v="None"/>
    <s v="Bootcamp/Self-taught"/>
    <n v="45566"/>
    <n v="1285"/>
    <n v="2217"/>
    <s v="No"/>
    <n v="0"/>
    <s v="1001-5000"/>
    <s v="Full-time"/>
    <s v="Yes"/>
  </r>
  <r>
    <s v="AIJOB01460"/>
    <x v="11"/>
    <x v="16"/>
    <s v="Energy"/>
    <s v="Dublin, Ireland"/>
    <s v="Ireland"/>
    <s v="On-site"/>
    <x v="3"/>
    <s v="5-8 yrs"/>
    <n v="168175"/>
    <x v="1458"/>
    <s v="BLOOM"/>
    <s v="PhD"/>
    <n v="45328"/>
    <n v="1878"/>
    <n v="812"/>
    <s v="No"/>
    <n v="4"/>
    <s v="201-1000"/>
    <s v="Full-time"/>
    <s v="No"/>
  </r>
  <r>
    <s v="AIJOB01461"/>
    <x v="4"/>
    <x v="25"/>
    <s v="Retail"/>
    <s v="Seattle, United States"/>
    <s v="United States"/>
    <s v="On-site"/>
    <x v="0"/>
    <s v="0-2 yrs"/>
    <n v="68255"/>
    <x v="1459"/>
    <s v="None"/>
    <s v="Bachelor's"/>
    <n v="45364"/>
    <n v="1504"/>
    <n v="2642"/>
    <s v="Maybe"/>
    <n v="0"/>
    <s v="201-1000"/>
    <s v="Full-time"/>
    <s v="No"/>
  </r>
  <r>
    <s v="AIJOB01462"/>
    <x v="8"/>
    <x v="12"/>
    <s v="Media"/>
    <s v="Boston, United States"/>
    <s v="United States"/>
    <s v="Hybrid"/>
    <x v="1"/>
    <s v="8+ yrs"/>
    <n v="155925"/>
    <x v="1460"/>
    <s v="Llama"/>
    <s v="Bachelor's"/>
    <n v="45680"/>
    <n v="1545"/>
    <n v="2795"/>
    <s v="No"/>
    <n v="6"/>
    <s v="5000+"/>
    <s v="Full-time"/>
    <s v="No"/>
  </r>
  <r>
    <s v="AIJOB01463"/>
    <x v="6"/>
    <x v="3"/>
    <s v="Media"/>
    <s v="Paris, France"/>
    <s v="France"/>
    <s v="Remote"/>
    <x v="1"/>
    <s v="8+ yrs"/>
    <n v="192475"/>
    <x v="1461"/>
    <s v="Command R"/>
    <s v="Bachelor's"/>
    <n v="45567"/>
    <n v="495"/>
    <n v="1847"/>
    <s v="Maybe"/>
    <n v="6"/>
    <s v="0-50"/>
    <s v="Contract"/>
    <s v="Yes"/>
  </r>
  <r>
    <s v="AIJOB01464"/>
    <x v="16"/>
    <x v="5"/>
    <s v="Defense"/>
    <s v="Bangalore, India"/>
    <s v="India"/>
    <s v="On-site"/>
    <x v="1"/>
    <s v="8+ yrs"/>
    <n v="169381"/>
    <x v="1462"/>
    <s v="GPT-4"/>
    <s v="Bootcamp/Self-taught"/>
    <n v="45380"/>
    <n v="2300"/>
    <n v="3342"/>
    <s v="No"/>
    <n v="6"/>
    <s v="1001-5000"/>
    <s v="Part-time"/>
    <s v="No"/>
  </r>
  <r>
    <s v="AIJOB01465"/>
    <x v="6"/>
    <x v="19"/>
    <s v="Automotive"/>
    <s v="Sydney, Australia"/>
    <s v="Australia"/>
    <s v="Hybrid"/>
    <x v="3"/>
    <s v="5-8 yrs"/>
    <n v="134325"/>
    <x v="1463"/>
    <s v="None"/>
    <s v="PhD"/>
    <n v="45438"/>
    <n v="412"/>
    <n v="3951"/>
    <s v="No"/>
    <n v="4"/>
    <s v="51-200"/>
    <s v="Full-time"/>
    <s v="No"/>
  </r>
  <r>
    <s v="AIJOB01466"/>
    <x v="1"/>
    <x v="22"/>
    <s v="Defense"/>
    <s v="Sydney, Australia"/>
    <s v="Australia"/>
    <s v="Remote"/>
    <x v="1"/>
    <s v="8+ yrs"/>
    <n v="221188"/>
    <x v="1464"/>
    <s v="Claude"/>
    <s v="Master's"/>
    <n v="45738"/>
    <n v="1118"/>
    <n v="1230"/>
    <s v="Yes"/>
    <n v="6"/>
    <s v="201-1000"/>
    <s v="Contract"/>
    <s v="No"/>
  </r>
  <r>
    <s v="AIJOB01467"/>
    <x v="9"/>
    <x v="12"/>
    <s v="Technology"/>
    <s v="Tokyo, Japan"/>
    <s v="Japan"/>
    <s v="Hybrid"/>
    <x v="0"/>
    <s v="0-2 yrs"/>
    <n v="91040"/>
    <x v="1465"/>
    <s v="Mistral"/>
    <s v="PhD"/>
    <n v="45695"/>
    <n v="1826"/>
    <n v="1641"/>
    <s v="No"/>
    <n v="0"/>
    <s v="5000+"/>
    <s v="Full-time"/>
    <s v="No"/>
  </r>
  <r>
    <s v="AIJOB01468"/>
    <x v="2"/>
    <x v="29"/>
    <s v="Retail"/>
    <s v="Paris, France"/>
    <s v="France"/>
    <s v="Hybrid"/>
    <x v="3"/>
    <s v="5-8 yrs"/>
    <n v="160656"/>
    <x v="1466"/>
    <s v="Gemini"/>
    <s v="PhD"/>
    <n v="45701"/>
    <n v="833"/>
    <n v="3866"/>
    <s v="No"/>
    <n v="4"/>
    <s v="0-50"/>
    <s v="Full-time"/>
    <s v="No"/>
  </r>
  <r>
    <s v="AIJOB01469"/>
    <x v="13"/>
    <x v="14"/>
    <s v="Media"/>
    <s v="Amsterdam, Netherlands"/>
    <s v="Netherlands"/>
    <s v="Hybrid"/>
    <x v="0"/>
    <s v="0-2 yrs"/>
    <n v="54931"/>
    <x v="1467"/>
    <s v="Falcon"/>
    <s v="Bachelor's"/>
    <n v="45729"/>
    <n v="2355"/>
    <n v="2335"/>
    <s v="No"/>
    <n v="0"/>
    <s v="1001-5000"/>
    <s v="Contract"/>
    <s v="No"/>
  </r>
  <r>
    <s v="AIJOB01470"/>
    <x v="4"/>
    <x v="24"/>
    <s v="Education"/>
    <s v="Austin, United States"/>
    <s v="United States"/>
    <s v="Hybrid"/>
    <x v="0"/>
    <s v="0-2 yrs"/>
    <n v="75601"/>
    <x v="1468"/>
    <s v="None"/>
    <s v="Master's"/>
    <n v="45675"/>
    <n v="680"/>
    <n v="2101"/>
    <s v="No"/>
    <n v="0"/>
    <s v="1001-5000"/>
    <s v="Full-time"/>
    <s v="No"/>
  </r>
  <r>
    <s v="AIJOB01471"/>
    <x v="2"/>
    <x v="28"/>
    <s v="Media"/>
    <s v="Zurich, Switzerland"/>
    <s v="Switzerland"/>
    <s v="Remote"/>
    <x v="1"/>
    <s v="8+ yrs"/>
    <n v="243078"/>
    <x v="1469"/>
    <s v="Gemini"/>
    <s v="Master's"/>
    <n v="45635"/>
    <n v="1835"/>
    <n v="78"/>
    <s v="No"/>
    <n v="6"/>
    <s v="5000+"/>
    <s v="Full-time"/>
    <s v="No"/>
  </r>
  <r>
    <s v="AIJOB01472"/>
    <x v="7"/>
    <x v="14"/>
    <s v="Education"/>
    <s v="San Francisco, United States"/>
    <s v="United States"/>
    <s v="Hybrid"/>
    <x v="2"/>
    <s v="2-5 yrs"/>
    <n v="97926"/>
    <x v="1470"/>
    <s v="Mistral"/>
    <s v="Master's"/>
    <n v="45586"/>
    <n v="2491"/>
    <n v="1739"/>
    <s v="Yes"/>
    <n v="2"/>
    <s v="51-200"/>
    <s v="Full-time"/>
    <s v="Yes"/>
  </r>
  <r>
    <s v="AIJOB01473"/>
    <x v="4"/>
    <x v="26"/>
    <s v="Energy"/>
    <s v="Seattle, United States"/>
    <s v="United States"/>
    <s v="Hybrid"/>
    <x v="2"/>
    <s v="2-5 yrs"/>
    <n v="107346"/>
    <x v="1471"/>
    <s v="None"/>
    <s v="Master's"/>
    <n v="45484"/>
    <n v="669"/>
    <n v="1047"/>
    <s v="No"/>
    <n v="2"/>
    <s v="5000+"/>
    <s v="Full-time"/>
    <s v="Yes"/>
  </r>
  <r>
    <s v="AIJOB01474"/>
    <x v="5"/>
    <x v="9"/>
    <s v="Energy"/>
    <s v="Berlin, Germany"/>
    <s v="Germany"/>
    <s v="Remote"/>
    <x v="3"/>
    <s v="5-8 yrs"/>
    <n v="150396"/>
    <x v="1472"/>
    <s v="None"/>
    <s v="Master's"/>
    <n v="45459"/>
    <n v="1224"/>
    <n v="3443"/>
    <s v="No"/>
    <n v="4"/>
    <s v="0-50"/>
    <s v="Full-time"/>
    <s v="No"/>
  </r>
  <r>
    <s v="AIJOB01475"/>
    <x v="19"/>
    <x v="13"/>
    <s v="Energy"/>
    <s v="Sydney, Australia"/>
    <s v="Australia"/>
    <s v="On-site"/>
    <x v="1"/>
    <s v="8+ yrs"/>
    <n v="171743"/>
    <x v="1473"/>
    <s v="None"/>
    <s v="Master's"/>
    <n v="45734"/>
    <n v="335"/>
    <n v="588"/>
    <s v="No"/>
    <n v="6"/>
    <s v="201-1000"/>
    <s v="Full-time"/>
    <s v="No"/>
  </r>
  <r>
    <s v="AIJOB01476"/>
    <x v="19"/>
    <x v="23"/>
    <s v="Finance"/>
    <s v="Stockholm, Sweden"/>
    <s v="Sweden"/>
    <s v="On-site"/>
    <x v="3"/>
    <s v="5-8 yrs"/>
    <n v="167503"/>
    <x v="1474"/>
    <s v="Gemini"/>
    <s v="Master's"/>
    <n v="45470"/>
    <n v="1642"/>
    <n v="1417"/>
    <s v="Maybe"/>
    <n v="4"/>
    <s v="5000+"/>
    <s v="Full-time"/>
    <s v="No"/>
  </r>
  <r>
    <s v="AIJOB01477"/>
    <x v="5"/>
    <x v="20"/>
    <s v="Retail"/>
    <s v="Toronto, Canada"/>
    <s v="Canada"/>
    <s v="On-site"/>
    <x v="0"/>
    <s v="0-2 yrs"/>
    <n v="68476"/>
    <x v="1475"/>
    <s v="Grok"/>
    <s v="Master's"/>
    <n v="45575"/>
    <n v="697"/>
    <n v="2416"/>
    <s v="Yes"/>
    <n v="0"/>
    <s v="5000+"/>
    <s v="Contract"/>
    <s v="No"/>
  </r>
  <r>
    <s v="AIJOB01478"/>
    <x v="1"/>
    <x v="27"/>
    <s v="Defense"/>
    <s v="New York, United States"/>
    <s v="United States"/>
    <s v="On-site"/>
    <x v="0"/>
    <s v="0-2 yrs"/>
    <n v="75286"/>
    <x v="1476"/>
    <s v="Mistral"/>
    <s v="Bootcamp/Self-taught"/>
    <n v="45564"/>
    <n v="1008"/>
    <n v="1286"/>
    <s v="Maybe"/>
    <n v="0"/>
    <s v="0-50"/>
    <s v="Full-time"/>
    <s v="No"/>
  </r>
  <r>
    <s v="AIJOB01479"/>
    <x v="12"/>
    <x v="20"/>
    <s v="Finance"/>
    <s v="Paris, France"/>
    <s v="France"/>
    <s v="On-site"/>
    <x v="1"/>
    <s v="8+ yrs"/>
    <n v="168050"/>
    <x v="1477"/>
    <s v="None"/>
    <s v="Master's"/>
    <n v="45725"/>
    <n v="933"/>
    <n v="1944"/>
    <s v="Maybe"/>
    <n v="6"/>
    <s v="201-1000"/>
    <s v="Full-time"/>
    <s v="Yes"/>
  </r>
  <r>
    <s v="AIJOB01480"/>
    <x v="11"/>
    <x v="26"/>
    <s v="Technology"/>
    <s v="Singapore"/>
    <s v="Singapore"/>
    <s v="Remote"/>
    <x v="0"/>
    <s v="0-2 yrs"/>
    <n v="64488"/>
    <x v="1478"/>
    <s v="GPT-4"/>
    <s v="PhD"/>
    <n v="45462"/>
    <n v="1515"/>
    <n v="52"/>
    <s v="No"/>
    <n v="0"/>
    <s v="5000+"/>
    <s v="Full-time"/>
    <s v="No"/>
  </r>
  <r>
    <s v="AIJOB01481"/>
    <x v="17"/>
    <x v="9"/>
    <s v="Automotive"/>
    <s v="Boston, United States"/>
    <s v="United States"/>
    <s v="Hybrid"/>
    <x v="1"/>
    <s v="8+ yrs"/>
    <n v="226005"/>
    <x v="1479"/>
    <s v="None"/>
    <s v="Master's"/>
    <n v="45447"/>
    <n v="1543"/>
    <n v="500"/>
    <s v="No"/>
    <n v="6"/>
    <s v="51-200"/>
    <s v="Full-time"/>
    <s v="Yes"/>
  </r>
  <r>
    <s v="AIJOB01482"/>
    <x v="19"/>
    <x v="11"/>
    <s v="Media"/>
    <s v="Austin, United States"/>
    <s v="United States"/>
    <s v="Remote"/>
    <x v="3"/>
    <s v="5-8 yrs"/>
    <n v="139933"/>
    <x v="1480"/>
    <s v="BLOOM"/>
    <s v="Bootcamp/Self-taught"/>
    <n v="45505"/>
    <n v="1858"/>
    <n v="2836"/>
    <s v="No"/>
    <n v="4"/>
    <s v="0-50"/>
    <s v="Full-time"/>
    <s v="No"/>
  </r>
  <r>
    <s v="AIJOB01483"/>
    <x v="10"/>
    <x v="29"/>
    <s v="Healthcare"/>
    <s v="Toronto, Canada"/>
    <s v="Canada"/>
    <s v="Hybrid"/>
    <x v="2"/>
    <s v="2-5 yrs"/>
    <n v="144193"/>
    <x v="1481"/>
    <s v="Phi"/>
    <s v="Bachelor's"/>
    <n v="45360"/>
    <n v="642"/>
    <n v="2602"/>
    <s v="No"/>
    <n v="2"/>
    <s v="201-1000"/>
    <s v="Part-time"/>
    <s v="Yes"/>
  </r>
  <r>
    <s v="AIJOB01484"/>
    <x v="11"/>
    <x v="15"/>
    <s v="Government"/>
    <s v="Berlin, Germany"/>
    <s v="Germany"/>
    <s v="Remote"/>
    <x v="1"/>
    <s v="8+ yrs"/>
    <n v="185613"/>
    <x v="1482"/>
    <s v="None"/>
    <s v="Master's"/>
    <n v="45391"/>
    <n v="869"/>
    <n v="2721"/>
    <s v="No"/>
    <n v="6"/>
    <s v="201-1000"/>
    <s v="Full-time"/>
    <s v="No"/>
  </r>
  <r>
    <s v="AIJOB01485"/>
    <x v="1"/>
    <x v="7"/>
    <s v="Government"/>
    <s v="New York, United States"/>
    <s v="United States"/>
    <s v="Hybrid"/>
    <x v="1"/>
    <s v="8+ yrs"/>
    <n v="208088"/>
    <x v="1483"/>
    <s v="Mistral"/>
    <s v="Master's"/>
    <n v="45372"/>
    <n v="827"/>
    <n v="1050"/>
    <s v="No"/>
    <n v="6"/>
    <s v="5000+"/>
    <s v="Full-time"/>
    <s v="Yes"/>
  </r>
  <r>
    <s v="AIJOB01486"/>
    <x v="6"/>
    <x v="19"/>
    <s v="Technology"/>
    <s v="Seattle, United States"/>
    <s v="United States"/>
    <s v="Remote"/>
    <x v="3"/>
    <s v="5-8 yrs"/>
    <n v="175179"/>
    <x v="1484"/>
    <s v="None"/>
    <s v="PhD"/>
    <n v="45387"/>
    <n v="903"/>
    <n v="3751"/>
    <s v="No"/>
    <n v="4"/>
    <s v="5000+"/>
    <s v="Full-time"/>
    <s v="No"/>
  </r>
  <r>
    <s v="AIJOB01487"/>
    <x v="17"/>
    <x v="8"/>
    <s v="Education"/>
    <s v="Stockholm, Sweden"/>
    <s v="Sweden"/>
    <s v="Remote"/>
    <x v="3"/>
    <s v="5-8 yrs"/>
    <n v="111704"/>
    <x v="1485"/>
    <s v="Mistral"/>
    <s v="Bachelor's"/>
    <n v="45697"/>
    <n v="1934"/>
    <n v="2846"/>
    <s v="Maybe"/>
    <n v="4"/>
    <s v="201-1000"/>
    <s v="Full-time"/>
    <s v="No"/>
  </r>
  <r>
    <s v="AIJOB01488"/>
    <x v="2"/>
    <x v="1"/>
    <s v="Government"/>
    <s v="Dublin, Ireland"/>
    <s v="Ireland"/>
    <s v="On-site"/>
    <x v="0"/>
    <s v="0-2 yrs"/>
    <n v="50000"/>
    <x v="1486"/>
    <s v="BLOOM"/>
    <s v="Master's"/>
    <n v="45591"/>
    <n v="851"/>
    <n v="913"/>
    <s v="No"/>
    <n v="0"/>
    <s v="1001-5000"/>
    <s v="Full-time"/>
    <s v="No"/>
  </r>
  <r>
    <s v="AIJOB01489"/>
    <x v="14"/>
    <x v="8"/>
    <s v="Healthcare"/>
    <s v="Boston, United States"/>
    <s v="United States"/>
    <s v="Remote"/>
    <x v="1"/>
    <s v="8+ yrs"/>
    <n v="145076"/>
    <x v="1487"/>
    <s v="Gemini"/>
    <s v="PhD"/>
    <n v="45606"/>
    <n v="394"/>
    <n v="3633"/>
    <s v="Yes"/>
    <n v="6"/>
    <s v="0-50"/>
    <s v="Contract"/>
    <s v="No"/>
  </r>
  <r>
    <s v="AIJOB01490"/>
    <x v="1"/>
    <x v="15"/>
    <s v="Retail"/>
    <s v="San Francisco, United States"/>
    <s v="United States"/>
    <s v="On-site"/>
    <x v="1"/>
    <s v="8+ yrs"/>
    <n v="245453"/>
    <x v="1488"/>
    <s v="Phi"/>
    <s v="Master's"/>
    <n v="45538"/>
    <n v="1350"/>
    <n v="3519"/>
    <s v="Maybe"/>
    <n v="6"/>
    <s v="5000+"/>
    <s v="Contract"/>
    <s v="No"/>
  </r>
  <r>
    <s v="AIJOB01491"/>
    <x v="7"/>
    <x v="9"/>
    <s v="Automotive"/>
    <s v="Zurich, Switzerland"/>
    <s v="Switzerland"/>
    <s v="Remote"/>
    <x v="2"/>
    <s v="2-5 yrs"/>
    <n v="99073"/>
    <x v="1489"/>
    <s v="None"/>
    <s v="Master's"/>
    <n v="45329"/>
    <n v="1280"/>
    <n v="2420"/>
    <s v="No"/>
    <n v="2"/>
    <s v="0-50"/>
    <s v="Part-time"/>
    <s v="Yes"/>
  </r>
  <r>
    <s v="AIJOB01492"/>
    <x v="9"/>
    <x v="21"/>
    <s v="Energy"/>
    <s v="Zurich, Switzerland"/>
    <s v="Switzerland"/>
    <s v="Remote"/>
    <x v="0"/>
    <s v="0-2 yrs"/>
    <n v="102233"/>
    <x v="1490"/>
    <s v="Phi"/>
    <s v="PhD"/>
    <n v="45405"/>
    <n v="1954"/>
    <n v="3346"/>
    <s v="No"/>
    <n v="0"/>
    <s v="1001-5000"/>
    <s v="Contract"/>
    <s v="Yes"/>
  </r>
  <r>
    <s v="AIJOB01493"/>
    <x v="3"/>
    <x v="6"/>
    <s v="Finance"/>
    <s v="Boston, United States"/>
    <s v="United States"/>
    <s v="Hybrid"/>
    <x v="2"/>
    <s v="2-5 yrs"/>
    <n v="98827"/>
    <x v="1491"/>
    <s v="None"/>
    <s v="Master's"/>
    <n v="45631"/>
    <n v="931"/>
    <n v="1015"/>
    <s v="No"/>
    <n v="2"/>
    <s v="0-50"/>
    <s v="Full-time"/>
    <s v="No"/>
  </r>
  <r>
    <s v="AIJOB01494"/>
    <x v="18"/>
    <x v="21"/>
    <s v="Government"/>
    <s v="Stockholm, Sweden"/>
    <s v="Sweden"/>
    <s v="Hybrid"/>
    <x v="1"/>
    <s v="8+ yrs"/>
    <n v="206643"/>
    <x v="1492"/>
    <s v="BLOOM"/>
    <s v="PhD"/>
    <n v="45640"/>
    <n v="1196"/>
    <n v="1974"/>
    <s v="Maybe"/>
    <n v="6"/>
    <s v="201-1000"/>
    <s v="Full-time"/>
    <s v="No"/>
  </r>
  <r>
    <s v="AIJOB01495"/>
    <x v="8"/>
    <x v="25"/>
    <s v="Healthcare"/>
    <s v="Berlin, Germany"/>
    <s v="Germany"/>
    <s v="Remote"/>
    <x v="3"/>
    <s v="5-8 yrs"/>
    <n v="191636"/>
    <x v="1493"/>
    <s v="Falcon"/>
    <s v="Bootcamp/Self-taught"/>
    <n v="45474"/>
    <n v="2301"/>
    <n v="1134"/>
    <s v="No"/>
    <n v="4"/>
    <s v="1001-5000"/>
    <s v="Part-time"/>
    <s v="Yes"/>
  </r>
  <r>
    <s v="AIJOB01496"/>
    <x v="4"/>
    <x v="19"/>
    <s v="Defense"/>
    <s v="Dublin, Ireland"/>
    <s v="Ireland"/>
    <s v="Remote"/>
    <x v="3"/>
    <s v="5-8 yrs"/>
    <n v="204164"/>
    <x v="1494"/>
    <s v="Claude"/>
    <s v="Master's"/>
    <n v="45746"/>
    <n v="2038"/>
    <n v="1063"/>
    <s v="No"/>
    <n v="4"/>
    <s v="201-1000"/>
    <s v="Full-time"/>
    <s v="Yes"/>
  </r>
  <r>
    <s v="AIJOB01497"/>
    <x v="18"/>
    <x v="9"/>
    <s v="Technology"/>
    <s v="Boston, United States"/>
    <s v="United States"/>
    <s v="Hybrid"/>
    <x v="0"/>
    <s v="0-2 yrs"/>
    <n v="95974"/>
    <x v="1495"/>
    <s v="BLOOM"/>
    <s v="Bootcamp/Self-taught"/>
    <n v="45515"/>
    <n v="504"/>
    <n v="2327"/>
    <s v="Maybe"/>
    <n v="0"/>
    <s v="201-1000"/>
    <s v="Contract"/>
    <s v="No"/>
  </r>
  <r>
    <s v="AIJOB01498"/>
    <x v="17"/>
    <x v="10"/>
    <s v="Healthcare"/>
    <s v="Chicago, United States"/>
    <s v="United States"/>
    <s v="Hybrid"/>
    <x v="0"/>
    <s v="0-2 yrs"/>
    <n v="85225"/>
    <x v="1496"/>
    <s v="Command R"/>
    <s v="Bachelor's"/>
    <n v="45720"/>
    <n v="1450"/>
    <n v="602"/>
    <s v="Yes"/>
    <n v="0"/>
    <s v="201-1000"/>
    <s v="Contract"/>
    <s v="No"/>
  </r>
  <r>
    <s v="AIJOB01499"/>
    <x v="9"/>
    <x v="13"/>
    <s v="Energy"/>
    <s v="Tokyo, Japan"/>
    <s v="Japan"/>
    <s v="Remote"/>
    <x v="3"/>
    <s v="5-8 yrs"/>
    <n v="177649"/>
    <x v="1497"/>
    <s v="GPT-4"/>
    <s v="Bootcamp/Self-taught"/>
    <n v="45487"/>
    <n v="1424"/>
    <n v="43"/>
    <s v="No"/>
    <n v="4"/>
    <s v="51-200"/>
    <s v="Contract"/>
    <s v="No"/>
  </r>
  <r>
    <s v="AIJOB01500"/>
    <x v="4"/>
    <x v="1"/>
    <s v="Automotive"/>
    <s v="Paris, France"/>
    <s v="France"/>
    <s v="Remote"/>
    <x v="3"/>
    <s v="5-8 yrs"/>
    <n v="165998"/>
    <x v="1498"/>
    <s v="Falcon"/>
    <s v="Bachelor's"/>
    <n v="45415"/>
    <n v="364"/>
    <n v="1423"/>
    <s v="Yes"/>
    <n v="4"/>
    <s v="51-200"/>
    <s v="Contract"/>
    <s v="Yes"/>
  </r>
  <r>
    <s v="AIJOB01501"/>
    <x v="19"/>
    <x v="4"/>
    <s v="Automotive"/>
    <s v="Amsterdam, Netherlands"/>
    <s v="Netherlands"/>
    <s v="On-site"/>
    <x v="1"/>
    <s v="8+ yrs"/>
    <n v="228020"/>
    <x v="1499"/>
    <s v="Llama"/>
    <s v="Master's"/>
    <n v="45714"/>
    <n v="557"/>
    <n v="448"/>
    <s v="No"/>
    <n v="6"/>
    <s v="51-200"/>
    <s v="Contract"/>
    <s v="No"/>
  </r>
  <r>
    <s v="AIJOB01502"/>
    <x v="16"/>
    <x v="8"/>
    <s v="Government"/>
    <s v="Bangalore, India"/>
    <s v="India"/>
    <s v="Hybrid"/>
    <x v="1"/>
    <s v="8+ yrs"/>
    <n v="180157"/>
    <x v="1500"/>
    <s v="Claude"/>
    <s v="Bootcamp/Self-taught"/>
    <n v="45641"/>
    <n v="1190"/>
    <n v="2291"/>
    <s v="Yes"/>
    <n v="6"/>
    <s v="0-50"/>
    <s v="Full-time"/>
    <s v="No"/>
  </r>
  <r>
    <s v="AIJOB01503"/>
    <x v="18"/>
    <x v="10"/>
    <s v="Energy"/>
    <s v="Seattle, United States"/>
    <s v="United States"/>
    <s v="On-site"/>
    <x v="2"/>
    <s v="2-5 yrs"/>
    <n v="93799"/>
    <x v="1501"/>
    <s v="Command R"/>
    <s v="Bachelor's"/>
    <n v="45489"/>
    <n v="1919"/>
    <n v="20"/>
    <s v="No"/>
    <n v="2"/>
    <s v="5000+"/>
    <s v="Contract"/>
    <s v="Yes"/>
  </r>
  <r>
    <s v="AIJOB01504"/>
    <x v="8"/>
    <x v="2"/>
    <s v="Automotive"/>
    <s v="Seattle, United States"/>
    <s v="United States"/>
    <s v="Hybrid"/>
    <x v="3"/>
    <s v="5-8 yrs"/>
    <n v="149908"/>
    <x v="1502"/>
    <s v="Gemini"/>
    <s v="Bachelor's"/>
    <n v="45580"/>
    <n v="1556"/>
    <n v="2484"/>
    <s v="No"/>
    <n v="4"/>
    <s v="201-1000"/>
    <s v="Full-time"/>
    <s v="Yes"/>
  </r>
  <r>
    <s v="AIJOB01505"/>
    <x v="2"/>
    <x v="24"/>
    <s v="Automotive"/>
    <s v="Dublin, Ireland"/>
    <s v="Ireland"/>
    <s v="Hybrid"/>
    <x v="2"/>
    <s v="2-5 yrs"/>
    <n v="106630"/>
    <x v="1503"/>
    <s v="None"/>
    <s v="Master's"/>
    <n v="45681"/>
    <n v="2079"/>
    <n v="1445"/>
    <s v="No"/>
    <n v="2"/>
    <s v="201-1000"/>
    <s v="Full-time"/>
    <s v="Yes"/>
  </r>
  <r>
    <s v="AIJOB01506"/>
    <x v="13"/>
    <x v="7"/>
    <s v="Education"/>
    <s v="Austin, United States"/>
    <s v="United States"/>
    <s v="Remote"/>
    <x v="3"/>
    <s v="5-8 yrs"/>
    <n v="137762"/>
    <x v="1504"/>
    <s v="BLOOM"/>
    <s v="Master's"/>
    <n v="45605"/>
    <n v="717"/>
    <n v="1387"/>
    <s v="Maybe"/>
    <n v="4"/>
    <s v="5000+"/>
    <s v="Full-time"/>
    <s v="Yes"/>
  </r>
  <r>
    <s v="AIJOB01507"/>
    <x v="13"/>
    <x v="18"/>
    <s v="Education"/>
    <s v="Tokyo, Japan"/>
    <s v="Japan"/>
    <s v="On-site"/>
    <x v="3"/>
    <s v="5-8 yrs"/>
    <n v="168802"/>
    <x v="1505"/>
    <s v="Grok"/>
    <s v="Bachelor's"/>
    <n v="45319"/>
    <n v="508"/>
    <n v="2729"/>
    <s v="Yes"/>
    <n v="4"/>
    <s v="0-50"/>
    <s v="Part-time"/>
    <s v="No"/>
  </r>
  <r>
    <s v="AIJOB01508"/>
    <x v="14"/>
    <x v="23"/>
    <s v="Energy"/>
    <s v="Paris, France"/>
    <s v="France"/>
    <s v="Hybrid"/>
    <x v="1"/>
    <s v="8+ yrs"/>
    <n v="234390"/>
    <x v="1506"/>
    <s v="None"/>
    <s v="Master's"/>
    <n v="45606"/>
    <n v="1008"/>
    <n v="1453"/>
    <s v="Maybe"/>
    <n v="6"/>
    <s v="1001-5000"/>
    <s v="Part-time"/>
    <s v="Yes"/>
  </r>
  <r>
    <s v="AIJOB01509"/>
    <x v="2"/>
    <x v="25"/>
    <s v="Government"/>
    <s v="Paris, France"/>
    <s v="France"/>
    <s v="Remote"/>
    <x v="0"/>
    <s v="0-2 yrs"/>
    <n v="71113"/>
    <x v="1507"/>
    <s v="Llama"/>
    <s v="Bachelor's"/>
    <n v="45623"/>
    <n v="892"/>
    <n v="2207"/>
    <s v="No"/>
    <n v="0"/>
    <s v="201-1000"/>
    <s v="Full-time"/>
    <s v="Yes"/>
  </r>
  <r>
    <s v="AIJOB01510"/>
    <x v="12"/>
    <x v="6"/>
    <s v="Automotive"/>
    <s v="Tel Aviv, Israel"/>
    <s v="Israel"/>
    <s v="Hybrid"/>
    <x v="3"/>
    <s v="5-8 yrs"/>
    <n v="189893"/>
    <x v="1508"/>
    <s v="Phi"/>
    <s v="Master's"/>
    <n v="45446"/>
    <n v="781"/>
    <n v="3191"/>
    <s v="Yes"/>
    <n v="4"/>
    <s v="51-200"/>
    <s v="Full-time"/>
    <s v="No"/>
  </r>
  <r>
    <s v="AIJOB01511"/>
    <x v="5"/>
    <x v="10"/>
    <s v="Finance"/>
    <s v="San Francisco, United States"/>
    <s v="United States"/>
    <s v="Remote"/>
    <x v="1"/>
    <s v="8+ yrs"/>
    <n v="158899"/>
    <x v="1509"/>
    <s v="Command R"/>
    <s v="Bachelor's"/>
    <n v="45530"/>
    <n v="2318"/>
    <n v="2752"/>
    <s v="No"/>
    <n v="6"/>
    <s v="51-200"/>
    <s v="Part-time"/>
    <s v="Yes"/>
  </r>
  <r>
    <s v="AIJOB01512"/>
    <x v="16"/>
    <x v="15"/>
    <s v="Retail"/>
    <s v="Zurich, Switzerland"/>
    <s v="Switzerland"/>
    <s v="Remote"/>
    <x v="3"/>
    <s v="5-8 yrs"/>
    <n v="144771"/>
    <x v="1510"/>
    <s v="Command R"/>
    <s v="Master's"/>
    <n v="45313"/>
    <n v="1890"/>
    <n v="422"/>
    <s v="Yes"/>
    <n v="4"/>
    <s v="1001-5000"/>
    <s v="Full-time"/>
    <s v="No"/>
  </r>
  <r>
    <s v="AIJOB01513"/>
    <x v="17"/>
    <x v="23"/>
    <s v="Defense"/>
    <s v="Bangalore, India"/>
    <s v="India"/>
    <s v="Hybrid"/>
    <x v="0"/>
    <s v="0-2 yrs"/>
    <n v="60968"/>
    <x v="1511"/>
    <s v="BLOOM"/>
    <s v="Bachelor's"/>
    <n v="45488"/>
    <n v="2466"/>
    <n v="1290"/>
    <s v="No"/>
    <n v="0"/>
    <s v="0-50"/>
    <s v="Full-time"/>
    <s v="No"/>
  </r>
  <r>
    <s v="AIJOB01514"/>
    <x v="0"/>
    <x v="19"/>
    <s v="Media"/>
    <s v="Zurich, Switzerland"/>
    <s v="Switzerland"/>
    <s v="On-site"/>
    <x v="3"/>
    <s v="5-8 yrs"/>
    <n v="99603"/>
    <x v="1512"/>
    <s v="Llama"/>
    <s v="Master's"/>
    <n v="45413"/>
    <n v="1283"/>
    <n v="1517"/>
    <s v="Maybe"/>
    <n v="4"/>
    <s v="201-1000"/>
    <s v="Contract"/>
    <s v="No"/>
  </r>
  <r>
    <s v="AIJOB01515"/>
    <x v="17"/>
    <x v="14"/>
    <s v="Finance"/>
    <s v="New York, United States"/>
    <s v="United States"/>
    <s v="Hybrid"/>
    <x v="1"/>
    <s v="8+ yrs"/>
    <n v="197023"/>
    <x v="1513"/>
    <s v="None"/>
    <s v="PhD"/>
    <n v="45360"/>
    <n v="329"/>
    <n v="314"/>
    <s v="No"/>
    <n v="6"/>
    <s v="0-50"/>
    <s v="Full-time"/>
    <s v="No"/>
  </r>
  <r>
    <s v="AIJOB01516"/>
    <x v="5"/>
    <x v="1"/>
    <s v="Education"/>
    <s v="Tel Aviv, Israel"/>
    <s v="Israel"/>
    <s v="Hybrid"/>
    <x v="2"/>
    <s v="2-5 yrs"/>
    <n v="107589"/>
    <x v="1514"/>
    <s v="None"/>
    <s v="PhD"/>
    <n v="45606"/>
    <n v="1995"/>
    <n v="1818"/>
    <s v="No"/>
    <n v="2"/>
    <s v="0-50"/>
    <s v="Part-time"/>
    <s v="Yes"/>
  </r>
  <r>
    <s v="AIJOB01517"/>
    <x v="13"/>
    <x v="7"/>
    <s v="Healthcare"/>
    <s v="San Francisco, United States"/>
    <s v="United States"/>
    <s v="Hybrid"/>
    <x v="2"/>
    <s v="2-5 yrs"/>
    <n v="139966"/>
    <x v="1515"/>
    <s v="Falcon"/>
    <s v="Master's"/>
    <n v="45525"/>
    <n v="403"/>
    <n v="2113"/>
    <s v="Yes"/>
    <n v="2"/>
    <s v="201-1000"/>
    <s v="Full-time"/>
    <s v="No"/>
  </r>
  <r>
    <s v="AIJOB01518"/>
    <x v="19"/>
    <x v="5"/>
    <s v="Media"/>
    <s v="Tel Aviv, Israel"/>
    <s v="Israel"/>
    <s v="On-site"/>
    <x v="2"/>
    <s v="2-5 yrs"/>
    <n v="122490"/>
    <x v="1516"/>
    <s v="None"/>
    <s v="Master's"/>
    <n v="45427"/>
    <n v="724"/>
    <n v="372"/>
    <s v="No"/>
    <n v="2"/>
    <s v="51-200"/>
    <s v="Part-time"/>
    <s v="No"/>
  </r>
  <r>
    <s v="AIJOB01519"/>
    <x v="15"/>
    <x v="2"/>
    <s v="Education"/>
    <s v="Amsterdam, Netherlands"/>
    <s v="Netherlands"/>
    <s v="Hybrid"/>
    <x v="0"/>
    <s v="0-2 yrs"/>
    <n v="57095"/>
    <x v="1517"/>
    <s v="None"/>
    <s v="PhD"/>
    <n v="45377"/>
    <n v="901"/>
    <n v="3462"/>
    <s v="No"/>
    <n v="0"/>
    <s v="5000+"/>
    <s v="Contract"/>
    <s v="Yes"/>
  </r>
  <r>
    <s v="AIJOB01520"/>
    <x v="18"/>
    <x v="21"/>
    <s v="Automotive"/>
    <s v="Amsterdam, Netherlands"/>
    <s v="Netherlands"/>
    <s v="Hybrid"/>
    <x v="1"/>
    <s v="8+ yrs"/>
    <n v="266747"/>
    <x v="1518"/>
    <s v="None"/>
    <s v="Bootcamp/Self-taught"/>
    <n v="45431"/>
    <n v="748"/>
    <n v="2143"/>
    <s v="Yes"/>
    <n v="6"/>
    <s v="5000+"/>
    <s v="Full-time"/>
    <s v="No"/>
  </r>
  <r>
    <s v="AIJOB01521"/>
    <x v="18"/>
    <x v="7"/>
    <s v="Energy"/>
    <s v="Singapore"/>
    <s v="Singapore"/>
    <s v="Remote"/>
    <x v="0"/>
    <s v="0-2 yrs"/>
    <n v="85385"/>
    <x v="1519"/>
    <s v="Llama"/>
    <s v="Bachelor's"/>
    <n v="45522"/>
    <n v="1186"/>
    <n v="1830"/>
    <s v="No"/>
    <n v="0"/>
    <s v="1001-5000"/>
    <s v="Full-time"/>
    <s v="No"/>
  </r>
  <r>
    <s v="AIJOB01522"/>
    <x v="1"/>
    <x v="9"/>
    <s v="Retail"/>
    <s v="Tel Aviv, Israel"/>
    <s v="Israel"/>
    <s v="On-site"/>
    <x v="3"/>
    <s v="5-8 yrs"/>
    <n v="165716"/>
    <x v="1520"/>
    <s v="None"/>
    <s v="Bachelor's"/>
    <n v="45425"/>
    <n v="1393"/>
    <n v="254"/>
    <s v="Maybe"/>
    <n v="4"/>
    <s v="0-50"/>
    <s v="Full-time"/>
    <s v="Yes"/>
  </r>
  <r>
    <s v="AIJOB01523"/>
    <x v="9"/>
    <x v="15"/>
    <s v="Media"/>
    <s v="San Francisco, United States"/>
    <s v="United States"/>
    <s v="Remote"/>
    <x v="1"/>
    <s v="8+ yrs"/>
    <n v="191846"/>
    <x v="1521"/>
    <s v="Grok"/>
    <s v="Master's"/>
    <n v="45552"/>
    <n v="2279"/>
    <n v="1793"/>
    <s v="Yes"/>
    <n v="6"/>
    <s v="5000+"/>
    <s v="Full-time"/>
    <s v="No"/>
  </r>
  <r>
    <s v="AIJOB01524"/>
    <x v="3"/>
    <x v="24"/>
    <s v="Healthcare"/>
    <s v="San Francisco, United States"/>
    <s v="United States"/>
    <s v="Hybrid"/>
    <x v="3"/>
    <s v="5-8 yrs"/>
    <n v="124095"/>
    <x v="1522"/>
    <s v="None"/>
    <s v="Bachelor's"/>
    <n v="45626"/>
    <n v="2444"/>
    <n v="3473"/>
    <s v="No"/>
    <n v="4"/>
    <s v="5000+"/>
    <s v="Full-time"/>
    <s v="Yes"/>
  </r>
  <r>
    <s v="AIJOB01525"/>
    <x v="10"/>
    <x v="21"/>
    <s v="Defense"/>
    <s v="Zurich, Switzerland"/>
    <s v="Switzerland"/>
    <s v="Remote"/>
    <x v="1"/>
    <s v="8+ yrs"/>
    <n v="186600"/>
    <x v="1523"/>
    <s v="BLOOM"/>
    <s v="Master's"/>
    <n v="45407"/>
    <n v="1522"/>
    <n v="457"/>
    <s v="No"/>
    <n v="6"/>
    <s v="0-50"/>
    <s v="Full-time"/>
    <s v="Yes"/>
  </r>
  <r>
    <s v="AIJOB01526"/>
    <x v="7"/>
    <x v="27"/>
    <s v="Government"/>
    <s v="Chicago, United States"/>
    <s v="United States"/>
    <s v="Hybrid"/>
    <x v="0"/>
    <s v="0-2 yrs"/>
    <n v="83718"/>
    <x v="1524"/>
    <s v="Mistral"/>
    <s v="PhD"/>
    <n v="45420"/>
    <n v="768"/>
    <n v="2898"/>
    <s v="Maybe"/>
    <n v="0"/>
    <s v="1001-5000"/>
    <s v="Full-time"/>
    <s v="Yes"/>
  </r>
  <r>
    <s v="AIJOB01527"/>
    <x v="4"/>
    <x v="11"/>
    <s v="Government"/>
    <s v="Stockholm, Sweden"/>
    <s v="Sweden"/>
    <s v="Hybrid"/>
    <x v="3"/>
    <s v="5-8 yrs"/>
    <n v="200883"/>
    <x v="1525"/>
    <s v="Gemini"/>
    <s v="Bootcamp/Self-taught"/>
    <n v="45388"/>
    <n v="574"/>
    <n v="2460"/>
    <s v="Yes"/>
    <n v="4"/>
    <s v="1001-5000"/>
    <s v="Contract"/>
    <s v="No"/>
  </r>
  <r>
    <s v="AIJOB01528"/>
    <x v="18"/>
    <x v="15"/>
    <s v="Energy"/>
    <s v="Chicago, United States"/>
    <s v="United States"/>
    <s v="Hybrid"/>
    <x v="2"/>
    <s v="2-5 yrs"/>
    <n v="140556"/>
    <x v="1526"/>
    <s v="None"/>
    <s v="PhD"/>
    <n v="45363"/>
    <n v="2165"/>
    <n v="1512"/>
    <s v="No"/>
    <n v="2"/>
    <s v="5000+"/>
    <s v="Full-time"/>
    <s v="No"/>
  </r>
  <r>
    <s v="AIJOB01529"/>
    <x v="6"/>
    <x v="0"/>
    <s v="Government"/>
    <s v="Singapore"/>
    <s v="Singapore"/>
    <s v="Hybrid"/>
    <x v="2"/>
    <s v="2-5 yrs"/>
    <n v="100320"/>
    <x v="1527"/>
    <s v="GPT-4"/>
    <s v="Master's"/>
    <n v="45480"/>
    <n v="1636"/>
    <n v="3496"/>
    <s v="Yes"/>
    <n v="2"/>
    <s v="201-1000"/>
    <s v="Full-time"/>
    <s v="Yes"/>
  </r>
  <r>
    <s v="AIJOB01530"/>
    <x v="12"/>
    <x v="6"/>
    <s v="Finance"/>
    <s v="Boston, United States"/>
    <s v="United States"/>
    <s v="Remote"/>
    <x v="2"/>
    <s v="2-5 yrs"/>
    <n v="87831"/>
    <x v="1528"/>
    <s v="None"/>
    <s v="Bachelor's"/>
    <n v="45740"/>
    <n v="1301"/>
    <n v="785"/>
    <s v="Yes"/>
    <n v="2"/>
    <s v="201-1000"/>
    <s v="Full-time"/>
    <s v="No"/>
  </r>
  <r>
    <s v="AIJOB01531"/>
    <x v="12"/>
    <x v="13"/>
    <s v="Education"/>
    <s v="Zurich, Switzerland"/>
    <s v="Switzerland"/>
    <s v="Hybrid"/>
    <x v="1"/>
    <s v="8+ yrs"/>
    <n v="205071"/>
    <x v="1529"/>
    <s v="Command R"/>
    <s v="Master's"/>
    <n v="45404"/>
    <n v="1087"/>
    <n v="143"/>
    <s v="No"/>
    <n v="6"/>
    <s v="5000+"/>
    <s v="Full-time"/>
    <s v="Yes"/>
  </r>
  <r>
    <s v="AIJOB01532"/>
    <x v="12"/>
    <x v="6"/>
    <s v="Energy"/>
    <s v="Seattle, United States"/>
    <s v="United States"/>
    <s v="Remote"/>
    <x v="3"/>
    <s v="5-8 yrs"/>
    <n v="102252"/>
    <x v="1530"/>
    <s v="None"/>
    <s v="Master's"/>
    <n v="45649"/>
    <n v="1155"/>
    <n v="989"/>
    <s v="No"/>
    <n v="4"/>
    <s v="5000+"/>
    <s v="Full-time"/>
    <s v="No"/>
  </r>
  <r>
    <s v="AIJOB01533"/>
    <x v="14"/>
    <x v="19"/>
    <s v="Education"/>
    <s v="Bangalore, India"/>
    <s v="India"/>
    <s v="Hybrid"/>
    <x v="1"/>
    <s v="8+ yrs"/>
    <n v="211634"/>
    <x v="1531"/>
    <s v="Grok"/>
    <s v="Master's"/>
    <n v="45633"/>
    <n v="1255"/>
    <n v="3461"/>
    <s v="Yes"/>
    <n v="6"/>
    <s v="1001-5000"/>
    <s v="Contract"/>
    <s v="Yes"/>
  </r>
  <r>
    <s v="AIJOB01534"/>
    <x v="7"/>
    <x v="22"/>
    <s v="Energy"/>
    <s v="Amsterdam, Netherlands"/>
    <s v="Netherlands"/>
    <s v="Hybrid"/>
    <x v="2"/>
    <s v="2-5 yrs"/>
    <n v="107077"/>
    <x v="1532"/>
    <s v="None"/>
    <s v="Bachelor's"/>
    <n v="45507"/>
    <n v="2484"/>
    <n v="3527"/>
    <s v="Yes"/>
    <n v="2"/>
    <s v="201-1000"/>
    <s v="Contract"/>
    <s v="No"/>
  </r>
  <r>
    <s v="AIJOB01535"/>
    <x v="9"/>
    <x v="6"/>
    <s v="Defense"/>
    <s v="Stockholm, Sweden"/>
    <s v="Sweden"/>
    <s v="Remote"/>
    <x v="0"/>
    <s v="0-2 yrs"/>
    <n v="64127"/>
    <x v="1533"/>
    <s v="Grok"/>
    <s v="PhD"/>
    <n v="45468"/>
    <n v="1774"/>
    <n v="3359"/>
    <s v="No"/>
    <n v="0"/>
    <s v="201-1000"/>
    <s v="Contract"/>
    <s v="Yes"/>
  </r>
  <r>
    <s v="AIJOB01536"/>
    <x v="0"/>
    <x v="0"/>
    <s v="Government"/>
    <s v="London, United Kingdom"/>
    <s v="United Kingdom"/>
    <s v="Remote"/>
    <x v="0"/>
    <s v="0-2 yrs"/>
    <n v="50000"/>
    <x v="1534"/>
    <s v="None"/>
    <s v="Master's"/>
    <n v="45586"/>
    <n v="2396"/>
    <n v="2325"/>
    <s v="No"/>
    <n v="0"/>
    <s v="51-200"/>
    <s v="Full-time"/>
    <s v="No"/>
  </r>
  <r>
    <s v="AIJOB01537"/>
    <x v="9"/>
    <x v="21"/>
    <s v="Media"/>
    <s v="Dublin, Ireland"/>
    <s v="Ireland"/>
    <s v="Remote"/>
    <x v="3"/>
    <s v="5-8 yrs"/>
    <n v="163867"/>
    <x v="1535"/>
    <s v="Phi"/>
    <s v="Master's"/>
    <n v="45640"/>
    <n v="1728"/>
    <n v="3047"/>
    <s v="No"/>
    <n v="4"/>
    <s v="1001-5000"/>
    <s v="Full-time"/>
    <s v="No"/>
  </r>
  <r>
    <s v="AIJOB01538"/>
    <x v="6"/>
    <x v="8"/>
    <s v="Education"/>
    <s v="Los Angeles, United States"/>
    <s v="United States"/>
    <s v="Remote"/>
    <x v="2"/>
    <s v="2-5 yrs"/>
    <n v="99452"/>
    <x v="1536"/>
    <s v="Command R"/>
    <s v="PhD"/>
    <n v="45557"/>
    <n v="2098"/>
    <n v="2451"/>
    <s v="No"/>
    <n v="2"/>
    <s v="0-50"/>
    <s v="Contract"/>
    <s v="Yes"/>
  </r>
  <r>
    <s v="AIJOB01539"/>
    <x v="12"/>
    <x v="17"/>
    <s v="Education"/>
    <s v="Berlin, Germany"/>
    <s v="Germany"/>
    <s v="Remote"/>
    <x v="1"/>
    <s v="8+ yrs"/>
    <n v="157882"/>
    <x v="1537"/>
    <s v="Claude"/>
    <s v="PhD"/>
    <n v="45546"/>
    <n v="1764"/>
    <n v="514"/>
    <s v="Yes"/>
    <n v="6"/>
    <s v="5000+"/>
    <s v="Full-time"/>
    <s v="Yes"/>
  </r>
  <r>
    <s v="AIJOB01540"/>
    <x v="17"/>
    <x v="17"/>
    <s v="Healthcare"/>
    <s v="Stockholm, Sweden"/>
    <s v="Sweden"/>
    <s v="On-site"/>
    <x v="1"/>
    <s v="8+ yrs"/>
    <n v="96598"/>
    <x v="1538"/>
    <s v="Llama"/>
    <s v="Bachelor's"/>
    <n v="45626"/>
    <n v="1241"/>
    <n v="1043"/>
    <s v="No"/>
    <n v="6"/>
    <s v="0-50"/>
    <s v="Contract"/>
    <s v="No"/>
  </r>
  <r>
    <s v="AIJOB01541"/>
    <x v="13"/>
    <x v="26"/>
    <s v="Government"/>
    <s v="Zurich, Switzerland"/>
    <s v="Switzerland"/>
    <s v="On-site"/>
    <x v="1"/>
    <s v="8+ yrs"/>
    <n v="199009"/>
    <x v="1539"/>
    <s v="Gemini"/>
    <s v="Master's"/>
    <n v="45424"/>
    <n v="1904"/>
    <n v="1333"/>
    <s v="No"/>
    <n v="6"/>
    <s v="5000+"/>
    <s v="Full-time"/>
    <s v="Yes"/>
  </r>
  <r>
    <s v="AIJOB01542"/>
    <x v="18"/>
    <x v="21"/>
    <s v="Energy"/>
    <s v="Tel Aviv, Israel"/>
    <s v="Israel"/>
    <s v="Hybrid"/>
    <x v="2"/>
    <s v="2-5 yrs"/>
    <n v="145090"/>
    <x v="1540"/>
    <s v="None"/>
    <s v="PhD"/>
    <n v="45316"/>
    <n v="1677"/>
    <n v="1186"/>
    <s v="No"/>
    <n v="2"/>
    <s v="201-1000"/>
    <s v="Full-time"/>
    <s v="Yes"/>
  </r>
  <r>
    <s v="AIJOB01543"/>
    <x v="12"/>
    <x v="0"/>
    <s v="Automotive"/>
    <s v="Amsterdam, Netherlands"/>
    <s v="Netherlands"/>
    <s v="Remote"/>
    <x v="0"/>
    <s v="0-2 yrs"/>
    <n v="90931"/>
    <x v="1541"/>
    <s v="Command R"/>
    <s v="Bootcamp/Self-taught"/>
    <n v="45471"/>
    <n v="1795"/>
    <n v="1374"/>
    <s v="No"/>
    <n v="0"/>
    <s v="1001-5000"/>
    <s v="Full-time"/>
    <s v="No"/>
  </r>
  <r>
    <s v="AIJOB01544"/>
    <x v="19"/>
    <x v="20"/>
    <s v="Finance"/>
    <s v="Stockholm, Sweden"/>
    <s v="Sweden"/>
    <s v="Remote"/>
    <x v="1"/>
    <s v="8+ yrs"/>
    <n v="183544"/>
    <x v="1542"/>
    <s v="None"/>
    <s v="Bachelor's"/>
    <n v="45639"/>
    <n v="607"/>
    <n v="3766"/>
    <s v="No"/>
    <n v="6"/>
    <s v="0-50"/>
    <s v="Full-time"/>
    <s v="No"/>
  </r>
  <r>
    <s v="AIJOB01545"/>
    <x v="18"/>
    <x v="20"/>
    <s v="Energy"/>
    <s v="Los Angeles, United States"/>
    <s v="United States"/>
    <s v="On-site"/>
    <x v="1"/>
    <s v="8+ yrs"/>
    <n v="178320"/>
    <x v="1543"/>
    <s v="None"/>
    <s v="Master's"/>
    <n v="45595"/>
    <n v="612"/>
    <n v="1040"/>
    <s v="No"/>
    <n v="6"/>
    <s v="201-1000"/>
    <s v="Full-time"/>
    <s v="No"/>
  </r>
  <r>
    <s v="AIJOB01546"/>
    <x v="15"/>
    <x v="7"/>
    <s v="Energy"/>
    <s v="Tel Aviv, Israel"/>
    <s v="Israel"/>
    <s v="On-site"/>
    <x v="0"/>
    <s v="0-2 yrs"/>
    <n v="75906"/>
    <x v="1544"/>
    <s v="Gemini"/>
    <s v="Master's"/>
    <n v="45587"/>
    <n v="2229"/>
    <n v="28"/>
    <s v="Yes"/>
    <n v="0"/>
    <s v="0-50"/>
    <s v="Contract"/>
    <s v="Yes"/>
  </r>
  <r>
    <s v="AIJOB01547"/>
    <x v="8"/>
    <x v="10"/>
    <s v="Technology"/>
    <s v="Austin, United States"/>
    <s v="United States"/>
    <s v="Hybrid"/>
    <x v="3"/>
    <s v="5-8 yrs"/>
    <n v="123043"/>
    <x v="1545"/>
    <s v="None"/>
    <s v="Bachelor's"/>
    <n v="45368"/>
    <n v="2303"/>
    <n v="1488"/>
    <s v="No"/>
    <n v="4"/>
    <s v="201-1000"/>
    <s v="Full-time"/>
    <s v="Yes"/>
  </r>
  <r>
    <s v="AIJOB01548"/>
    <x v="8"/>
    <x v="6"/>
    <s v="Finance"/>
    <s v="Seattle, United States"/>
    <s v="United States"/>
    <s v="Remote"/>
    <x v="2"/>
    <s v="2-5 yrs"/>
    <n v="115975"/>
    <x v="1546"/>
    <s v="GPT-4"/>
    <s v="Master's"/>
    <n v="45746"/>
    <n v="1961"/>
    <n v="2799"/>
    <s v="No"/>
    <n v="2"/>
    <s v="1001-5000"/>
    <s v="Full-time"/>
    <s v="Yes"/>
  </r>
  <r>
    <s v="AIJOB01549"/>
    <x v="17"/>
    <x v="28"/>
    <s v="Energy"/>
    <s v="Chicago, United States"/>
    <s v="United States"/>
    <s v="Remote"/>
    <x v="2"/>
    <s v="2-5 yrs"/>
    <n v="125168"/>
    <x v="1547"/>
    <s v="Grok"/>
    <s v="Bootcamp/Self-taught"/>
    <n v="45565"/>
    <n v="880"/>
    <n v="3704"/>
    <s v="Yes"/>
    <n v="2"/>
    <s v="5000+"/>
    <s v="Full-time"/>
    <s v="No"/>
  </r>
  <r>
    <s v="AIJOB01550"/>
    <x v="13"/>
    <x v="13"/>
    <s v="Automotive"/>
    <s v="New York, United States"/>
    <s v="United States"/>
    <s v="Hybrid"/>
    <x v="1"/>
    <s v="8+ yrs"/>
    <n v="244169"/>
    <x v="1548"/>
    <s v="Command R"/>
    <s v="PhD"/>
    <n v="45734"/>
    <n v="2477"/>
    <n v="1411"/>
    <s v="No"/>
    <n v="6"/>
    <s v="0-50"/>
    <s v="Full-time"/>
    <s v="No"/>
  </r>
  <r>
    <s v="AIJOB01551"/>
    <x v="0"/>
    <x v="13"/>
    <s v="Defense"/>
    <s v="New York, United States"/>
    <s v="United States"/>
    <s v="Hybrid"/>
    <x v="3"/>
    <s v="5-8 yrs"/>
    <n v="147295"/>
    <x v="1549"/>
    <s v="Falcon"/>
    <s v="Bachelor's"/>
    <n v="45581"/>
    <n v="788"/>
    <n v="3484"/>
    <s v="No"/>
    <n v="4"/>
    <s v="5000+"/>
    <s v="Contract"/>
    <s v="Yes"/>
  </r>
  <r>
    <s v="AIJOB01552"/>
    <x v="7"/>
    <x v="6"/>
    <s v="Education"/>
    <s v="Berlin, Germany"/>
    <s v="Germany"/>
    <s v="On-site"/>
    <x v="2"/>
    <s v="2-5 yrs"/>
    <n v="105967"/>
    <x v="1550"/>
    <s v="Llama"/>
    <s v="Master's"/>
    <n v="45522"/>
    <n v="2370"/>
    <n v="671"/>
    <s v="No"/>
    <n v="2"/>
    <s v="0-50"/>
    <s v="Full-time"/>
    <s v="No"/>
  </r>
  <r>
    <s v="AIJOB01553"/>
    <x v="16"/>
    <x v="20"/>
    <s v="Technology"/>
    <s v="London, United Kingdom"/>
    <s v="United Kingdom"/>
    <s v="Remote"/>
    <x v="3"/>
    <s v="5-8 yrs"/>
    <n v="126294"/>
    <x v="1551"/>
    <s v="Grok"/>
    <s v="Bootcamp/Self-taught"/>
    <n v="45723"/>
    <n v="2211"/>
    <n v="1379"/>
    <s v="No"/>
    <n v="4"/>
    <s v="1001-5000"/>
    <s v="Full-time"/>
    <s v="No"/>
  </r>
  <r>
    <s v="AIJOB01554"/>
    <x v="5"/>
    <x v="13"/>
    <s v="Energy"/>
    <s v="Sydney, Australia"/>
    <s v="Australia"/>
    <s v="Hybrid"/>
    <x v="2"/>
    <s v="2-5 yrs"/>
    <n v="93627"/>
    <x v="1552"/>
    <s v="Grok"/>
    <s v="Bootcamp/Self-taught"/>
    <n v="45531"/>
    <n v="1273"/>
    <n v="2848"/>
    <s v="Yes"/>
    <n v="2"/>
    <s v="201-1000"/>
    <s v="Full-time"/>
    <s v="No"/>
  </r>
  <r>
    <s v="AIJOB01555"/>
    <x v="8"/>
    <x v="26"/>
    <s v="Government"/>
    <s v="Paris, France"/>
    <s v="France"/>
    <s v="Hybrid"/>
    <x v="1"/>
    <s v="8+ yrs"/>
    <n v="191846"/>
    <x v="1553"/>
    <s v="Mistral"/>
    <s v="PhD"/>
    <n v="45622"/>
    <n v="2194"/>
    <n v="2135"/>
    <s v="No"/>
    <n v="6"/>
    <s v="5000+"/>
    <s v="Part-time"/>
    <s v="Yes"/>
  </r>
  <r>
    <s v="AIJOB01556"/>
    <x v="8"/>
    <x v="25"/>
    <s v="Defense"/>
    <s v="Austin, United States"/>
    <s v="United States"/>
    <s v="On-site"/>
    <x v="0"/>
    <s v="0-2 yrs"/>
    <n v="74628"/>
    <x v="1554"/>
    <s v="Gemini"/>
    <s v="Bachelor's"/>
    <n v="45677"/>
    <n v="1227"/>
    <n v="1116"/>
    <s v="Maybe"/>
    <n v="0"/>
    <s v="0-50"/>
    <s v="Full-time"/>
    <s v="Yes"/>
  </r>
  <r>
    <s v="AIJOB01557"/>
    <x v="8"/>
    <x v="23"/>
    <s v="Government"/>
    <s v="New York, United States"/>
    <s v="United States"/>
    <s v="Hybrid"/>
    <x v="1"/>
    <s v="8+ yrs"/>
    <n v="232889"/>
    <x v="1555"/>
    <s v="BLOOM"/>
    <s v="Master's"/>
    <n v="45661"/>
    <n v="2257"/>
    <n v="1710"/>
    <s v="Yes"/>
    <n v="6"/>
    <s v="51-200"/>
    <s v="Full-time"/>
    <s v="No"/>
  </r>
  <r>
    <s v="AIJOB01558"/>
    <x v="3"/>
    <x v="25"/>
    <s v="Finance"/>
    <s v="Boston, United States"/>
    <s v="United States"/>
    <s v="Remote"/>
    <x v="2"/>
    <s v="2-5 yrs"/>
    <n v="94097"/>
    <x v="1556"/>
    <s v="GPT-4"/>
    <s v="PhD"/>
    <n v="45370"/>
    <n v="1399"/>
    <n v="3790"/>
    <s v="No"/>
    <n v="2"/>
    <s v="0-50"/>
    <s v="Contract"/>
    <s v="No"/>
  </r>
  <r>
    <s v="AIJOB01559"/>
    <x v="3"/>
    <x v="4"/>
    <s v="Automotive"/>
    <s v="Paris, France"/>
    <s v="France"/>
    <s v="Remote"/>
    <x v="1"/>
    <s v="8+ yrs"/>
    <n v="253736"/>
    <x v="1557"/>
    <s v="None"/>
    <s v="Bootcamp/Self-taught"/>
    <n v="45655"/>
    <n v="1359"/>
    <n v="2022"/>
    <s v="Maybe"/>
    <n v="6"/>
    <s v="201-1000"/>
    <s v="Full-time"/>
    <s v="No"/>
  </r>
  <r>
    <s v="AIJOB01560"/>
    <x v="13"/>
    <x v="20"/>
    <s v="Healthcare"/>
    <s v="Seattle, United States"/>
    <s v="United States"/>
    <s v="Hybrid"/>
    <x v="0"/>
    <s v="0-2 yrs"/>
    <n v="66583"/>
    <x v="1558"/>
    <s v="Mistral"/>
    <s v="Master's"/>
    <n v="45356"/>
    <n v="1292"/>
    <n v="3426"/>
    <s v="No"/>
    <n v="0"/>
    <s v="201-1000"/>
    <s v="Full-time"/>
    <s v="No"/>
  </r>
  <r>
    <s v="AIJOB01561"/>
    <x v="8"/>
    <x v="4"/>
    <s v="Government"/>
    <s v="Seattle, United States"/>
    <s v="United States"/>
    <s v="On-site"/>
    <x v="1"/>
    <s v="8+ yrs"/>
    <n v="199230"/>
    <x v="1559"/>
    <s v="Llama"/>
    <s v="Bachelor's"/>
    <n v="45419"/>
    <n v="1130"/>
    <n v="596"/>
    <s v="No"/>
    <n v="6"/>
    <s v="0-50"/>
    <s v="Full-time"/>
    <s v="No"/>
  </r>
  <r>
    <s v="AIJOB01562"/>
    <x v="17"/>
    <x v="18"/>
    <s v="Energy"/>
    <s v="Sydney, Australia"/>
    <s v="Australia"/>
    <s v="On-site"/>
    <x v="1"/>
    <s v="8+ yrs"/>
    <n v="173100"/>
    <x v="1560"/>
    <s v="Gemini"/>
    <s v="Master's"/>
    <n v="45500"/>
    <n v="1630"/>
    <n v="1312"/>
    <s v="No"/>
    <n v="6"/>
    <s v="0-50"/>
    <s v="Contract"/>
    <s v="Yes"/>
  </r>
  <r>
    <s v="AIJOB01563"/>
    <x v="7"/>
    <x v="19"/>
    <s v="Automotive"/>
    <s v="Chicago, United States"/>
    <s v="United States"/>
    <s v="Hybrid"/>
    <x v="0"/>
    <s v="0-2 yrs"/>
    <n v="50000"/>
    <x v="1561"/>
    <s v="Falcon"/>
    <s v="Bootcamp/Self-taught"/>
    <n v="45598"/>
    <n v="1220"/>
    <n v="2557"/>
    <s v="Yes"/>
    <n v="0"/>
    <s v="51-200"/>
    <s v="Full-time"/>
    <s v="Yes"/>
  </r>
  <r>
    <s v="AIJOB01564"/>
    <x v="13"/>
    <x v="1"/>
    <s v="Education"/>
    <s v="Austin, United States"/>
    <s v="United States"/>
    <s v="On-site"/>
    <x v="3"/>
    <s v="5-8 yrs"/>
    <n v="173869"/>
    <x v="1562"/>
    <s v="Llama"/>
    <s v="Bachelor's"/>
    <n v="45670"/>
    <n v="2392"/>
    <n v="413"/>
    <s v="Maybe"/>
    <n v="4"/>
    <s v="51-200"/>
    <s v="Full-time"/>
    <s v="No"/>
  </r>
  <r>
    <s v="AIJOB01565"/>
    <x v="2"/>
    <x v="27"/>
    <s v="Automotive"/>
    <s v="Paris, France"/>
    <s v="France"/>
    <s v="Hybrid"/>
    <x v="3"/>
    <s v="5-8 yrs"/>
    <n v="169894"/>
    <x v="1563"/>
    <s v="Gemini"/>
    <s v="PhD"/>
    <n v="45721"/>
    <n v="1338"/>
    <n v="98"/>
    <s v="No"/>
    <n v="4"/>
    <s v="5000+"/>
    <s v="Full-time"/>
    <s v="No"/>
  </r>
  <r>
    <s v="AIJOB01566"/>
    <x v="14"/>
    <x v="14"/>
    <s v="Healthcare"/>
    <s v="New York, United States"/>
    <s v="United States"/>
    <s v="Remote"/>
    <x v="2"/>
    <s v="2-5 yrs"/>
    <n v="104429"/>
    <x v="1564"/>
    <s v="Llama"/>
    <s v="Master's"/>
    <n v="45469"/>
    <n v="416"/>
    <n v="2006"/>
    <s v="No"/>
    <n v="2"/>
    <s v="201-1000"/>
    <s v="Part-time"/>
    <s v="Yes"/>
  </r>
  <r>
    <s v="AIJOB01567"/>
    <x v="8"/>
    <x v="1"/>
    <s v="Media"/>
    <s v="Zurich, Switzerland"/>
    <s v="Switzerland"/>
    <s v="On-site"/>
    <x v="0"/>
    <s v="0-2 yrs"/>
    <n v="70844"/>
    <x v="1565"/>
    <s v="Mistral"/>
    <s v="Master's"/>
    <n v="45428"/>
    <n v="622"/>
    <n v="2441"/>
    <s v="No"/>
    <n v="0"/>
    <s v="201-1000"/>
    <s v="Contract"/>
    <s v="No"/>
  </r>
  <r>
    <s v="AIJOB01568"/>
    <x v="3"/>
    <x v="16"/>
    <s v="Retail"/>
    <s v="Paris, France"/>
    <s v="France"/>
    <s v="Hybrid"/>
    <x v="3"/>
    <s v="5-8 yrs"/>
    <n v="163930"/>
    <x v="1566"/>
    <s v="Claude"/>
    <s v="PhD"/>
    <n v="45708"/>
    <n v="1714"/>
    <n v="3710"/>
    <s v="Yes"/>
    <n v="4"/>
    <s v="51-200"/>
    <s v="Contract"/>
    <s v="Yes"/>
  </r>
  <r>
    <s v="AIJOB01569"/>
    <x v="2"/>
    <x v="1"/>
    <s v="Government"/>
    <s v="Tokyo, Japan"/>
    <s v="Japan"/>
    <s v="Hybrid"/>
    <x v="0"/>
    <s v="0-2 yrs"/>
    <n v="50311"/>
    <x v="1567"/>
    <s v="None"/>
    <s v="Master's"/>
    <n v="45532"/>
    <n v="796"/>
    <n v="3672"/>
    <s v="Maybe"/>
    <n v="0"/>
    <s v="1001-5000"/>
    <s v="Contract"/>
    <s v="Yes"/>
  </r>
  <r>
    <s v="AIJOB01570"/>
    <x v="10"/>
    <x v="7"/>
    <s v="Government"/>
    <s v="Amsterdam, Netherlands"/>
    <s v="Netherlands"/>
    <s v="Remote"/>
    <x v="2"/>
    <s v="2-5 yrs"/>
    <n v="99524"/>
    <x v="1568"/>
    <s v="None"/>
    <s v="PhD"/>
    <n v="45300"/>
    <n v="2071"/>
    <n v="982"/>
    <s v="No"/>
    <n v="2"/>
    <s v="0-50"/>
    <s v="Contract"/>
    <s v="Yes"/>
  </r>
  <r>
    <s v="AIJOB01571"/>
    <x v="19"/>
    <x v="5"/>
    <s v="Government"/>
    <s v="Austin, United States"/>
    <s v="United States"/>
    <s v="Remote"/>
    <x v="0"/>
    <s v="0-2 yrs"/>
    <n v="80007"/>
    <x v="1569"/>
    <s v="None"/>
    <s v="Master's"/>
    <n v="45370"/>
    <n v="2020"/>
    <n v="2449"/>
    <s v="No"/>
    <n v="0"/>
    <s v="0-50"/>
    <s v="Full-time"/>
    <s v="No"/>
  </r>
  <r>
    <s v="AIJOB01572"/>
    <x v="19"/>
    <x v="12"/>
    <s v="Retail"/>
    <s v="Dublin, Ireland"/>
    <s v="Ireland"/>
    <s v="Remote"/>
    <x v="0"/>
    <s v="0-2 yrs"/>
    <n v="54195"/>
    <x v="1570"/>
    <s v="None"/>
    <s v="Master's"/>
    <n v="45683"/>
    <n v="2288"/>
    <n v="3414"/>
    <s v="No"/>
    <n v="0"/>
    <s v="5000+"/>
    <s v="Full-time"/>
    <s v="No"/>
  </r>
  <r>
    <s v="AIJOB01573"/>
    <x v="9"/>
    <x v="5"/>
    <s v="Education"/>
    <s v="Amsterdam, Netherlands"/>
    <s v="Netherlands"/>
    <s v="Hybrid"/>
    <x v="0"/>
    <s v="0-2 yrs"/>
    <n v="73698"/>
    <x v="1571"/>
    <s v="BLOOM"/>
    <s v="PhD"/>
    <n v="45492"/>
    <n v="1743"/>
    <n v="372"/>
    <s v="No"/>
    <n v="0"/>
    <s v="201-1000"/>
    <s v="Part-time"/>
    <s v="No"/>
  </r>
  <r>
    <s v="AIJOB01574"/>
    <x v="17"/>
    <x v="15"/>
    <s v="Education"/>
    <s v="New York, United States"/>
    <s v="United States"/>
    <s v="Hybrid"/>
    <x v="3"/>
    <s v="5-8 yrs"/>
    <n v="113372"/>
    <x v="1572"/>
    <s v="GPT-4"/>
    <s v="Bootcamp/Self-taught"/>
    <n v="45487"/>
    <n v="2299"/>
    <n v="651"/>
    <s v="No"/>
    <n v="4"/>
    <s v="5000+"/>
    <s v="Full-time"/>
    <s v="No"/>
  </r>
  <r>
    <s v="AIJOB01575"/>
    <x v="5"/>
    <x v="12"/>
    <s v="Technology"/>
    <s v="Berlin, Germany"/>
    <s v="Germany"/>
    <s v="Hybrid"/>
    <x v="1"/>
    <s v="8+ yrs"/>
    <n v="216791"/>
    <x v="1573"/>
    <s v="Llama"/>
    <s v="Bootcamp/Self-taught"/>
    <n v="45526"/>
    <n v="1209"/>
    <n v="213"/>
    <s v="No"/>
    <n v="6"/>
    <s v="5000+"/>
    <s v="Full-time"/>
    <s v="No"/>
  </r>
  <r>
    <s v="AIJOB01576"/>
    <x v="6"/>
    <x v="21"/>
    <s v="Media"/>
    <s v="London, United Kingdom"/>
    <s v="United Kingdom"/>
    <s v="Hybrid"/>
    <x v="3"/>
    <s v="5-8 yrs"/>
    <n v="149037"/>
    <x v="1574"/>
    <s v="None"/>
    <s v="Master's"/>
    <n v="45469"/>
    <n v="444"/>
    <n v="3875"/>
    <s v="No"/>
    <n v="4"/>
    <s v="5000+"/>
    <s v="Full-time"/>
    <s v="Yes"/>
  </r>
  <r>
    <s v="AIJOB01577"/>
    <x v="16"/>
    <x v="28"/>
    <s v="Defense"/>
    <s v="Stockholm, Sweden"/>
    <s v="Sweden"/>
    <s v="Remote"/>
    <x v="0"/>
    <s v="0-2 yrs"/>
    <n v="50000"/>
    <x v="1575"/>
    <s v="GPT-4"/>
    <s v="PhD"/>
    <n v="45543"/>
    <n v="1947"/>
    <n v="858"/>
    <s v="Maybe"/>
    <n v="0"/>
    <s v="51-200"/>
    <s v="Part-time"/>
    <s v="Yes"/>
  </r>
  <r>
    <s v="AIJOB01578"/>
    <x v="17"/>
    <x v="0"/>
    <s v="Government"/>
    <s v="Singapore"/>
    <s v="Singapore"/>
    <s v="Hybrid"/>
    <x v="1"/>
    <s v="8+ yrs"/>
    <n v="241930"/>
    <x v="1576"/>
    <s v="Falcon"/>
    <s v="PhD"/>
    <n v="45367"/>
    <n v="1176"/>
    <n v="993"/>
    <s v="No"/>
    <n v="6"/>
    <s v="1001-5000"/>
    <s v="Full-time"/>
    <s v="Yes"/>
  </r>
  <r>
    <s v="AIJOB01579"/>
    <x v="9"/>
    <x v="24"/>
    <s v="Healthcare"/>
    <s v="Chicago, United States"/>
    <s v="United States"/>
    <s v="Hybrid"/>
    <x v="0"/>
    <s v="0-2 yrs"/>
    <n v="60744"/>
    <x v="1577"/>
    <s v="Phi"/>
    <s v="Bachelor's"/>
    <n v="45577"/>
    <n v="723"/>
    <n v="598"/>
    <s v="No"/>
    <n v="0"/>
    <s v="0-50"/>
    <s v="Full-time"/>
    <s v="Yes"/>
  </r>
  <r>
    <s v="AIJOB01580"/>
    <x v="5"/>
    <x v="3"/>
    <s v="Defense"/>
    <s v="Austin, United States"/>
    <s v="United States"/>
    <s v="Remote"/>
    <x v="3"/>
    <s v="5-8 yrs"/>
    <n v="128123"/>
    <x v="1578"/>
    <s v="None"/>
    <s v="Master's"/>
    <n v="45321"/>
    <n v="1155"/>
    <n v="2336"/>
    <s v="No"/>
    <n v="4"/>
    <s v="1001-5000"/>
    <s v="Full-time"/>
    <s v="Yes"/>
  </r>
  <r>
    <s v="AIJOB01581"/>
    <x v="10"/>
    <x v="6"/>
    <s v="Technology"/>
    <s v="Berlin, Germany"/>
    <s v="Germany"/>
    <s v="Remote"/>
    <x v="1"/>
    <s v="8+ yrs"/>
    <n v="207220"/>
    <x v="1579"/>
    <s v="Llama"/>
    <s v="Bachelor's"/>
    <n v="45341"/>
    <n v="625"/>
    <n v="1202"/>
    <s v="Yes"/>
    <n v="6"/>
    <s v="51-200"/>
    <s v="Full-time"/>
    <s v="No"/>
  </r>
  <r>
    <s v="AIJOB01582"/>
    <x v="7"/>
    <x v="0"/>
    <s v="Media"/>
    <s v="Tel Aviv, Israel"/>
    <s v="Israel"/>
    <s v="Hybrid"/>
    <x v="0"/>
    <s v="0-2 yrs"/>
    <n v="84472"/>
    <x v="1580"/>
    <s v="Mistral"/>
    <s v="Bachelor's"/>
    <n v="45657"/>
    <n v="2333"/>
    <n v="2849"/>
    <s v="Yes"/>
    <n v="0"/>
    <s v="0-50"/>
    <s v="Full-time"/>
    <s v="No"/>
  </r>
  <r>
    <s v="AIJOB01583"/>
    <x v="15"/>
    <x v="27"/>
    <s v="Retail"/>
    <s v="Austin, United States"/>
    <s v="United States"/>
    <s v="Remote"/>
    <x v="2"/>
    <s v="2-5 yrs"/>
    <n v="89886"/>
    <x v="1581"/>
    <s v="GPT-4"/>
    <s v="PhD"/>
    <n v="45690"/>
    <n v="1475"/>
    <n v="169"/>
    <s v="No"/>
    <n v="2"/>
    <s v="1001-5000"/>
    <s v="Full-time"/>
    <s v="No"/>
  </r>
  <r>
    <s v="AIJOB01584"/>
    <x v="0"/>
    <x v="8"/>
    <s v="Technology"/>
    <s v="Boston, United States"/>
    <s v="United States"/>
    <s v="Remote"/>
    <x v="2"/>
    <s v="2-5 yrs"/>
    <n v="111221"/>
    <x v="1582"/>
    <s v="Phi"/>
    <s v="Master's"/>
    <n v="45480"/>
    <n v="1990"/>
    <n v="1658"/>
    <s v="No"/>
    <n v="2"/>
    <s v="5000+"/>
    <s v="Contract"/>
    <s v="No"/>
  </r>
  <r>
    <s v="AIJOB01585"/>
    <x v="9"/>
    <x v="0"/>
    <s v="Finance"/>
    <s v="Tel Aviv, Israel"/>
    <s v="Israel"/>
    <s v="Hybrid"/>
    <x v="2"/>
    <s v="2-5 yrs"/>
    <n v="118490"/>
    <x v="1583"/>
    <s v="Llama"/>
    <s v="Master's"/>
    <n v="45442"/>
    <n v="2240"/>
    <n v="1611"/>
    <s v="No"/>
    <n v="2"/>
    <s v="5000+"/>
    <s v="Contract"/>
    <s v="No"/>
  </r>
  <r>
    <s v="AIJOB01586"/>
    <x v="5"/>
    <x v="7"/>
    <s v="Media"/>
    <s v="Sydney, Australia"/>
    <s v="Australia"/>
    <s v="Remote"/>
    <x v="3"/>
    <s v="5-8 yrs"/>
    <n v="168713"/>
    <x v="1584"/>
    <s v="Phi"/>
    <s v="Bachelor's"/>
    <n v="45366"/>
    <n v="588"/>
    <n v="1010"/>
    <s v="Maybe"/>
    <n v="4"/>
    <s v="51-200"/>
    <s v="Full-time"/>
    <s v="Yes"/>
  </r>
  <r>
    <s v="AIJOB01587"/>
    <x v="17"/>
    <x v="10"/>
    <s v="Defense"/>
    <s v="Seattle, United States"/>
    <s v="United States"/>
    <s v="On-site"/>
    <x v="2"/>
    <s v="2-5 yrs"/>
    <n v="113493"/>
    <x v="1585"/>
    <s v="BLOOM"/>
    <s v="PhD"/>
    <n v="45738"/>
    <n v="1379"/>
    <n v="3237"/>
    <s v="Yes"/>
    <n v="2"/>
    <s v="51-200"/>
    <s v="Full-time"/>
    <s v="Yes"/>
  </r>
  <r>
    <s v="AIJOB01588"/>
    <x v="11"/>
    <x v="11"/>
    <s v="Finance"/>
    <s v="San Francisco, United States"/>
    <s v="United States"/>
    <s v="Remote"/>
    <x v="0"/>
    <s v="0-2 yrs"/>
    <n v="65375"/>
    <x v="1586"/>
    <s v="None"/>
    <s v="PhD"/>
    <n v="45692"/>
    <n v="812"/>
    <n v="3014"/>
    <s v="No"/>
    <n v="0"/>
    <s v="1001-5000"/>
    <s v="Part-time"/>
    <s v="No"/>
  </r>
  <r>
    <s v="AIJOB01589"/>
    <x v="3"/>
    <x v="13"/>
    <s v="Retail"/>
    <s v="Tel Aviv, Israel"/>
    <s v="Israel"/>
    <s v="Remote"/>
    <x v="3"/>
    <s v="5-8 yrs"/>
    <n v="127655"/>
    <x v="1587"/>
    <s v="Mistral"/>
    <s v="PhD"/>
    <n v="45574"/>
    <n v="2412"/>
    <n v="434"/>
    <s v="Yes"/>
    <n v="4"/>
    <s v="5000+"/>
    <s v="Full-time"/>
    <s v="Yes"/>
  </r>
  <r>
    <s v="AIJOB01590"/>
    <x v="18"/>
    <x v="22"/>
    <s v="Automotive"/>
    <s v="Paris, France"/>
    <s v="France"/>
    <s v="Remote"/>
    <x v="0"/>
    <s v="0-2 yrs"/>
    <n v="71085"/>
    <x v="1588"/>
    <s v="None"/>
    <s v="Master's"/>
    <n v="45617"/>
    <n v="2357"/>
    <n v="1489"/>
    <s v="No"/>
    <n v="0"/>
    <s v="5000+"/>
    <s v="Contract"/>
    <s v="No"/>
  </r>
  <r>
    <s v="AIJOB01591"/>
    <x v="11"/>
    <x v="6"/>
    <s v="Media"/>
    <s v="London, United Kingdom"/>
    <s v="United Kingdom"/>
    <s v="Remote"/>
    <x v="1"/>
    <s v="8+ yrs"/>
    <n v="161402"/>
    <x v="1589"/>
    <s v="Falcon"/>
    <s v="Bachelor's"/>
    <n v="45710"/>
    <n v="2240"/>
    <n v="522"/>
    <s v="Maybe"/>
    <n v="6"/>
    <s v="51-200"/>
    <s v="Full-time"/>
    <s v="No"/>
  </r>
  <r>
    <s v="AIJOB01592"/>
    <x v="8"/>
    <x v="18"/>
    <s v="Automotive"/>
    <s v="New York, United States"/>
    <s v="United States"/>
    <s v="Hybrid"/>
    <x v="3"/>
    <s v="5-8 yrs"/>
    <n v="71123"/>
    <x v="1590"/>
    <s v="None"/>
    <s v="Bachelor's"/>
    <n v="45429"/>
    <n v="2451"/>
    <n v="1852"/>
    <s v="Yes"/>
    <n v="4"/>
    <s v="51-200"/>
    <s v="Full-time"/>
    <s v="Yes"/>
  </r>
  <r>
    <s v="AIJOB01593"/>
    <x v="7"/>
    <x v="28"/>
    <s v="Retail"/>
    <s v="Tokyo, Japan"/>
    <s v="Japan"/>
    <s v="Remote"/>
    <x v="1"/>
    <s v="8+ yrs"/>
    <n v="215716"/>
    <x v="1591"/>
    <s v="Command R"/>
    <s v="Bootcamp/Self-taught"/>
    <n v="45387"/>
    <n v="486"/>
    <n v="1434"/>
    <s v="No"/>
    <n v="6"/>
    <s v="1001-5000"/>
    <s v="Full-time"/>
    <s v="No"/>
  </r>
  <r>
    <s v="AIJOB01594"/>
    <x v="17"/>
    <x v="17"/>
    <s v="Media"/>
    <s v="San Francisco, United States"/>
    <s v="United States"/>
    <s v="On-site"/>
    <x v="0"/>
    <s v="0-2 yrs"/>
    <n v="81389"/>
    <x v="1592"/>
    <s v="BLOOM"/>
    <s v="Bootcamp/Self-taught"/>
    <n v="45600"/>
    <n v="387"/>
    <n v="261"/>
    <s v="No"/>
    <n v="0"/>
    <s v="201-1000"/>
    <s v="Part-time"/>
    <s v="Yes"/>
  </r>
  <r>
    <s v="AIJOB01595"/>
    <x v="6"/>
    <x v="8"/>
    <s v="Retail"/>
    <s v="Stockholm, Sweden"/>
    <s v="Sweden"/>
    <s v="Remote"/>
    <x v="3"/>
    <s v="5-8 yrs"/>
    <n v="86200"/>
    <x v="1593"/>
    <s v="GPT-4"/>
    <s v="Master's"/>
    <n v="45617"/>
    <n v="736"/>
    <n v="113"/>
    <s v="Maybe"/>
    <n v="4"/>
    <s v="1001-5000"/>
    <s v="Contract"/>
    <s v="Yes"/>
  </r>
  <r>
    <s v="AIJOB01596"/>
    <x v="4"/>
    <x v="25"/>
    <s v="Retail"/>
    <s v="Tel Aviv, Israel"/>
    <s v="Israel"/>
    <s v="On-site"/>
    <x v="1"/>
    <s v="8+ yrs"/>
    <n v="163649"/>
    <x v="1594"/>
    <s v="None"/>
    <s v="PhD"/>
    <n v="45683"/>
    <n v="451"/>
    <n v="1829"/>
    <s v="No"/>
    <n v="6"/>
    <s v="0-50"/>
    <s v="Part-time"/>
    <s v="Yes"/>
  </r>
  <r>
    <s v="AIJOB01597"/>
    <x v="0"/>
    <x v="19"/>
    <s v="Government"/>
    <s v="New York, United States"/>
    <s v="United States"/>
    <s v="On-site"/>
    <x v="1"/>
    <s v="8+ yrs"/>
    <n v="222289"/>
    <x v="1595"/>
    <s v="None"/>
    <s v="Master's"/>
    <n v="45434"/>
    <n v="2032"/>
    <n v="1843"/>
    <s v="No"/>
    <n v="6"/>
    <s v="51-200"/>
    <s v="Full-time"/>
    <s v="No"/>
  </r>
  <r>
    <s v="AIJOB01598"/>
    <x v="5"/>
    <x v="14"/>
    <s v="Retail"/>
    <s v="Austin, United States"/>
    <s v="United States"/>
    <s v="Remote"/>
    <x v="1"/>
    <s v="8+ yrs"/>
    <n v="274069"/>
    <x v="1596"/>
    <s v="None"/>
    <s v="PhD"/>
    <n v="45374"/>
    <n v="1775"/>
    <n v="1008"/>
    <s v="Maybe"/>
    <n v="6"/>
    <s v="0-50"/>
    <s v="Full-time"/>
    <s v="No"/>
  </r>
  <r>
    <s v="AIJOB01599"/>
    <x v="12"/>
    <x v="25"/>
    <s v="Education"/>
    <s v="Chicago, United States"/>
    <s v="United States"/>
    <s v="Hybrid"/>
    <x v="2"/>
    <s v="2-5 yrs"/>
    <n v="110411"/>
    <x v="1597"/>
    <s v="None"/>
    <s v="Master's"/>
    <n v="45470"/>
    <n v="2169"/>
    <n v="974"/>
    <s v="Yes"/>
    <n v="2"/>
    <s v="1001-5000"/>
    <s v="Full-time"/>
    <s v="No"/>
  </r>
  <r>
    <s v="AIJOB01600"/>
    <x v="5"/>
    <x v="16"/>
    <s v="Energy"/>
    <s v="Berlin, Germany"/>
    <s v="Germany"/>
    <s v="Remote"/>
    <x v="1"/>
    <s v="8+ yrs"/>
    <n v="173791"/>
    <x v="1598"/>
    <s v="None"/>
    <s v="Master's"/>
    <n v="45545"/>
    <n v="1649"/>
    <n v="3982"/>
    <s v="No"/>
    <n v="6"/>
    <s v="5000+"/>
    <s v="Full-time"/>
    <s v="No"/>
  </r>
  <r>
    <s v="AIJOB01601"/>
    <x v="11"/>
    <x v="29"/>
    <s v="Defense"/>
    <s v="Seattle, United States"/>
    <s v="United States"/>
    <s v="Remote"/>
    <x v="1"/>
    <s v="8+ yrs"/>
    <n v="193415"/>
    <x v="1599"/>
    <s v="Command R"/>
    <s v="Master's"/>
    <n v="45332"/>
    <n v="436"/>
    <n v="1773"/>
    <s v="Yes"/>
    <n v="6"/>
    <s v="201-1000"/>
    <s v="Full-time"/>
    <s v="Yes"/>
  </r>
  <r>
    <s v="AIJOB01602"/>
    <x v="7"/>
    <x v="7"/>
    <s v="Defense"/>
    <s v="Bangalore, India"/>
    <s v="India"/>
    <s v="Hybrid"/>
    <x v="3"/>
    <s v="5-8 yrs"/>
    <n v="187121"/>
    <x v="1600"/>
    <s v="Grok"/>
    <s v="Bachelor's"/>
    <n v="45352"/>
    <n v="1819"/>
    <n v="3082"/>
    <s v="No"/>
    <n v="4"/>
    <s v="201-1000"/>
    <s v="Full-time"/>
    <s v="No"/>
  </r>
  <r>
    <s v="AIJOB01603"/>
    <x v="1"/>
    <x v="21"/>
    <s v="Healthcare"/>
    <s v="San Francisco, United States"/>
    <s v="United States"/>
    <s v="Remote"/>
    <x v="1"/>
    <s v="8+ yrs"/>
    <n v="176745"/>
    <x v="1601"/>
    <s v="Llama"/>
    <s v="Master's"/>
    <n v="45443"/>
    <n v="705"/>
    <n v="2976"/>
    <s v="No"/>
    <n v="6"/>
    <s v="1001-5000"/>
    <s v="Full-time"/>
    <s v="No"/>
  </r>
  <r>
    <s v="AIJOB01604"/>
    <x v="3"/>
    <x v="4"/>
    <s v="Technology"/>
    <s v="Austin, United States"/>
    <s v="United States"/>
    <s v="Remote"/>
    <x v="3"/>
    <s v="5-8 yrs"/>
    <n v="128421"/>
    <x v="1602"/>
    <s v="None"/>
    <s v="Bachelor's"/>
    <n v="45718"/>
    <n v="628"/>
    <n v="3220"/>
    <s v="Maybe"/>
    <n v="4"/>
    <s v="0-50"/>
    <s v="Full-time"/>
    <s v="No"/>
  </r>
  <r>
    <s v="AIJOB01605"/>
    <x v="4"/>
    <x v="27"/>
    <s v="Finance"/>
    <s v="Los Angeles, United States"/>
    <s v="United States"/>
    <s v="Remote"/>
    <x v="3"/>
    <s v="5-8 yrs"/>
    <n v="136965"/>
    <x v="1603"/>
    <s v="Claude"/>
    <s v="PhD"/>
    <n v="45328"/>
    <n v="304"/>
    <n v="202"/>
    <s v="No"/>
    <n v="4"/>
    <s v="5000+"/>
    <s v="Full-time"/>
    <s v="No"/>
  </r>
  <r>
    <s v="AIJOB01606"/>
    <x v="9"/>
    <x v="14"/>
    <s v="Energy"/>
    <s v="Chicago, United States"/>
    <s v="United States"/>
    <s v="On-site"/>
    <x v="3"/>
    <s v="5-8 yrs"/>
    <n v="124260"/>
    <x v="1604"/>
    <s v="None"/>
    <s v="PhD"/>
    <n v="45611"/>
    <n v="2258"/>
    <n v="533"/>
    <s v="Yes"/>
    <n v="4"/>
    <s v="51-200"/>
    <s v="Full-time"/>
    <s v="Yes"/>
  </r>
  <r>
    <s v="AIJOB01607"/>
    <x v="2"/>
    <x v="1"/>
    <s v="Media"/>
    <s v="Tel Aviv, Israel"/>
    <s v="Israel"/>
    <s v="Hybrid"/>
    <x v="0"/>
    <s v="0-2 yrs"/>
    <n v="71545"/>
    <x v="1605"/>
    <s v="None"/>
    <s v="Bachelor's"/>
    <n v="45530"/>
    <n v="867"/>
    <n v="527"/>
    <s v="Maybe"/>
    <n v="0"/>
    <s v="5000+"/>
    <s v="Full-time"/>
    <s v="No"/>
  </r>
  <r>
    <s v="AIJOB01608"/>
    <x v="13"/>
    <x v="14"/>
    <s v="Technology"/>
    <s v="Singapore"/>
    <s v="Singapore"/>
    <s v="Hybrid"/>
    <x v="1"/>
    <s v="8+ yrs"/>
    <n v="258488"/>
    <x v="1606"/>
    <s v="Llama"/>
    <s v="Bachelor's"/>
    <n v="45561"/>
    <n v="1993"/>
    <n v="1082"/>
    <s v="No"/>
    <n v="6"/>
    <s v="1001-5000"/>
    <s v="Full-time"/>
    <s v="Yes"/>
  </r>
  <r>
    <s v="AIJOB01609"/>
    <x v="9"/>
    <x v="3"/>
    <s v="Finance"/>
    <s v="Tokyo, Japan"/>
    <s v="Japan"/>
    <s v="Hybrid"/>
    <x v="3"/>
    <s v="5-8 yrs"/>
    <n v="158723"/>
    <x v="1607"/>
    <s v="None"/>
    <s v="PhD"/>
    <n v="45503"/>
    <n v="1234"/>
    <n v="2707"/>
    <s v="Yes"/>
    <n v="4"/>
    <s v="201-1000"/>
    <s v="Full-time"/>
    <s v="No"/>
  </r>
  <r>
    <s v="AIJOB01610"/>
    <x v="3"/>
    <x v="2"/>
    <s v="Government"/>
    <s v="Bangalore, India"/>
    <s v="India"/>
    <s v="On-site"/>
    <x v="1"/>
    <s v="8+ yrs"/>
    <n v="190915"/>
    <x v="1608"/>
    <s v="Grok"/>
    <s v="PhD"/>
    <n v="45381"/>
    <n v="977"/>
    <n v="3845"/>
    <s v="Yes"/>
    <n v="6"/>
    <s v="51-200"/>
    <s v="Contract"/>
    <s v="Yes"/>
  </r>
  <r>
    <s v="AIJOB01611"/>
    <x v="2"/>
    <x v="12"/>
    <s v="Energy"/>
    <s v="Sydney, Australia"/>
    <s v="Australia"/>
    <s v="Hybrid"/>
    <x v="3"/>
    <s v="5-8 yrs"/>
    <n v="142121"/>
    <x v="1609"/>
    <s v="None"/>
    <s v="Master's"/>
    <n v="45434"/>
    <n v="762"/>
    <n v="3582"/>
    <s v="Maybe"/>
    <n v="4"/>
    <s v="0-50"/>
    <s v="Full-time"/>
    <s v="No"/>
  </r>
  <r>
    <s v="AIJOB01612"/>
    <x v="7"/>
    <x v="1"/>
    <s v="Government"/>
    <s v="New York, United States"/>
    <s v="United States"/>
    <s v="Remote"/>
    <x v="2"/>
    <s v="2-5 yrs"/>
    <n v="79048"/>
    <x v="1610"/>
    <s v="Falcon"/>
    <s v="Master's"/>
    <n v="45304"/>
    <n v="528"/>
    <n v="3167"/>
    <s v="No"/>
    <n v="2"/>
    <s v="1001-5000"/>
    <s v="Full-time"/>
    <s v="Yes"/>
  </r>
  <r>
    <s v="AIJOB01613"/>
    <x v="8"/>
    <x v="9"/>
    <s v="Education"/>
    <s v="Tokyo, Japan"/>
    <s v="Japan"/>
    <s v="Remote"/>
    <x v="1"/>
    <s v="8+ yrs"/>
    <n v="231791"/>
    <x v="1611"/>
    <s v="None"/>
    <s v="Bachelor's"/>
    <n v="45474"/>
    <n v="1989"/>
    <n v="741"/>
    <s v="Maybe"/>
    <n v="6"/>
    <s v="1001-5000"/>
    <s v="Full-time"/>
    <s v="Yes"/>
  </r>
  <r>
    <s v="AIJOB01614"/>
    <x v="3"/>
    <x v="24"/>
    <s v="Education"/>
    <s v="Austin, United States"/>
    <s v="United States"/>
    <s v="Hybrid"/>
    <x v="2"/>
    <s v="2-5 yrs"/>
    <n v="108458"/>
    <x v="1612"/>
    <s v="Grok"/>
    <s v="PhD"/>
    <n v="45329"/>
    <n v="2165"/>
    <n v="3983"/>
    <s v="Maybe"/>
    <n v="2"/>
    <s v="5000+"/>
    <s v="Full-time"/>
    <s v="No"/>
  </r>
  <r>
    <s v="AIJOB01615"/>
    <x v="8"/>
    <x v="24"/>
    <s v="Retail"/>
    <s v="Boston, United States"/>
    <s v="United States"/>
    <s v="Remote"/>
    <x v="3"/>
    <s v="5-8 yrs"/>
    <n v="145127"/>
    <x v="1613"/>
    <s v="Claude"/>
    <s v="Bootcamp/Self-taught"/>
    <n v="45621"/>
    <n v="2167"/>
    <n v="58"/>
    <s v="Yes"/>
    <n v="4"/>
    <s v="5000+"/>
    <s v="Full-time"/>
    <s v="No"/>
  </r>
  <r>
    <s v="AIJOB01616"/>
    <x v="11"/>
    <x v="19"/>
    <s v="Technology"/>
    <s v="Los Angeles, United States"/>
    <s v="United States"/>
    <s v="Remote"/>
    <x v="1"/>
    <s v="8+ yrs"/>
    <n v="314951"/>
    <x v="1614"/>
    <s v="GPT-4"/>
    <s v="Master's"/>
    <n v="45374"/>
    <n v="1780"/>
    <n v="1639"/>
    <s v="Maybe"/>
    <n v="6"/>
    <s v="0-50"/>
    <s v="Contract"/>
    <s v="No"/>
  </r>
  <r>
    <s v="AIJOB01617"/>
    <x v="3"/>
    <x v="19"/>
    <s v="Finance"/>
    <s v="Amsterdam, Netherlands"/>
    <s v="Netherlands"/>
    <s v="On-site"/>
    <x v="2"/>
    <s v="2-5 yrs"/>
    <n v="115915"/>
    <x v="1615"/>
    <s v="None"/>
    <s v="Bachelor's"/>
    <n v="45578"/>
    <n v="2232"/>
    <n v="2807"/>
    <s v="No"/>
    <n v="2"/>
    <s v="5000+"/>
    <s v="Full-time"/>
    <s v="Yes"/>
  </r>
  <r>
    <s v="AIJOB01618"/>
    <x v="14"/>
    <x v="13"/>
    <s v="Defense"/>
    <s v="Los Angeles, United States"/>
    <s v="United States"/>
    <s v="On-site"/>
    <x v="2"/>
    <s v="2-5 yrs"/>
    <n v="95114"/>
    <x v="1616"/>
    <s v="GPT-4"/>
    <s v="Master's"/>
    <n v="45682"/>
    <n v="392"/>
    <n v="2264"/>
    <s v="No"/>
    <n v="2"/>
    <s v="5000+"/>
    <s v="Full-time"/>
    <s v="No"/>
  </r>
  <r>
    <s v="AIJOB01619"/>
    <x v="4"/>
    <x v="28"/>
    <s v="Government"/>
    <s v="Toronto, Canada"/>
    <s v="Canada"/>
    <s v="Hybrid"/>
    <x v="1"/>
    <s v="8+ yrs"/>
    <n v="184651"/>
    <x v="1617"/>
    <s v="Falcon"/>
    <s v="Bachelor's"/>
    <n v="45649"/>
    <n v="379"/>
    <n v="85"/>
    <s v="Maybe"/>
    <n v="6"/>
    <s v="0-50"/>
    <s v="Full-time"/>
    <s v="Yes"/>
  </r>
  <r>
    <s v="AIJOB01620"/>
    <x v="5"/>
    <x v="18"/>
    <s v="Healthcare"/>
    <s v="Berlin, Germany"/>
    <s v="Germany"/>
    <s v="Remote"/>
    <x v="3"/>
    <s v="5-8 yrs"/>
    <n v="181008"/>
    <x v="1618"/>
    <s v="GPT-4"/>
    <s v="Bachelor's"/>
    <n v="45741"/>
    <n v="1619"/>
    <n v="166"/>
    <s v="Yes"/>
    <n v="4"/>
    <s v="5000+"/>
    <s v="Full-time"/>
    <s v="No"/>
  </r>
  <r>
    <s v="AIJOB01621"/>
    <x v="9"/>
    <x v="6"/>
    <s v="Defense"/>
    <s v="Berlin, Germany"/>
    <s v="Germany"/>
    <s v="On-site"/>
    <x v="3"/>
    <s v="5-8 yrs"/>
    <n v="153058"/>
    <x v="1619"/>
    <s v="BLOOM"/>
    <s v="Bachelor's"/>
    <n v="45619"/>
    <n v="423"/>
    <n v="3550"/>
    <s v="No"/>
    <n v="4"/>
    <s v="1001-5000"/>
    <s v="Contract"/>
    <s v="Yes"/>
  </r>
  <r>
    <s v="AIJOB01622"/>
    <x v="19"/>
    <x v="21"/>
    <s v="Government"/>
    <s v="Tokyo, Japan"/>
    <s v="Japan"/>
    <s v="Remote"/>
    <x v="1"/>
    <s v="8+ yrs"/>
    <n v="148221"/>
    <x v="1620"/>
    <s v="None"/>
    <s v="Bachelor's"/>
    <n v="45577"/>
    <n v="1335"/>
    <n v="273"/>
    <s v="Maybe"/>
    <n v="6"/>
    <s v="1001-5000"/>
    <s v="Full-time"/>
    <s v="Yes"/>
  </r>
  <r>
    <s v="AIJOB01623"/>
    <x v="12"/>
    <x v="12"/>
    <s v="Finance"/>
    <s v="San Francisco, United States"/>
    <s v="United States"/>
    <s v="Remote"/>
    <x v="1"/>
    <s v="8+ yrs"/>
    <n v="233092"/>
    <x v="1621"/>
    <s v="Falcon"/>
    <s v="Master's"/>
    <n v="45571"/>
    <n v="1526"/>
    <n v="594"/>
    <s v="No"/>
    <n v="6"/>
    <s v="1001-5000"/>
    <s v="Contract"/>
    <s v="Yes"/>
  </r>
  <r>
    <s v="AIJOB01624"/>
    <x v="13"/>
    <x v="19"/>
    <s v="Media"/>
    <s v="Sydney, Australia"/>
    <s v="Australia"/>
    <s v="Remote"/>
    <x v="2"/>
    <s v="2-5 yrs"/>
    <n v="96770"/>
    <x v="1622"/>
    <s v="None"/>
    <s v="Master's"/>
    <n v="45475"/>
    <n v="2002"/>
    <n v="414"/>
    <s v="No"/>
    <n v="2"/>
    <s v="51-200"/>
    <s v="Full-time"/>
    <s v="No"/>
  </r>
  <r>
    <s v="AIJOB01625"/>
    <x v="18"/>
    <x v="1"/>
    <s v="Energy"/>
    <s v="Toronto, Canada"/>
    <s v="Canada"/>
    <s v="Hybrid"/>
    <x v="3"/>
    <s v="5-8 yrs"/>
    <n v="200579"/>
    <x v="1623"/>
    <s v="None"/>
    <s v="PhD"/>
    <n v="45648"/>
    <n v="1090"/>
    <n v="1877"/>
    <s v="No"/>
    <n v="4"/>
    <s v="201-1000"/>
    <s v="Full-time"/>
    <s v="No"/>
  </r>
  <r>
    <s v="AIJOB01626"/>
    <x v="17"/>
    <x v="13"/>
    <s v="Finance"/>
    <s v="Tel Aviv, Israel"/>
    <s v="Israel"/>
    <s v="On-site"/>
    <x v="3"/>
    <s v="5-8 yrs"/>
    <n v="179161"/>
    <x v="1624"/>
    <s v="Claude"/>
    <s v="Bootcamp/Self-taught"/>
    <n v="45381"/>
    <n v="951"/>
    <n v="3356"/>
    <s v="No"/>
    <n v="4"/>
    <s v="5000+"/>
    <s v="Full-time"/>
    <s v="No"/>
  </r>
  <r>
    <s v="AIJOB01627"/>
    <x v="14"/>
    <x v="15"/>
    <s v="Automotive"/>
    <s v="Stockholm, Sweden"/>
    <s v="Sweden"/>
    <s v="Hybrid"/>
    <x v="1"/>
    <s v="8+ yrs"/>
    <n v="183896"/>
    <x v="1625"/>
    <s v="Llama"/>
    <s v="Bootcamp/Self-taught"/>
    <n v="45382"/>
    <n v="1769"/>
    <n v="3296"/>
    <s v="Maybe"/>
    <n v="6"/>
    <s v="5000+"/>
    <s v="Full-time"/>
    <s v="No"/>
  </r>
  <r>
    <s v="AIJOB01628"/>
    <x v="8"/>
    <x v="9"/>
    <s v="Government"/>
    <s v="Stockholm, Sweden"/>
    <s v="Sweden"/>
    <s v="Remote"/>
    <x v="0"/>
    <s v="0-2 yrs"/>
    <n v="86140"/>
    <x v="1626"/>
    <s v="None"/>
    <s v="Bootcamp/Self-taught"/>
    <n v="45701"/>
    <n v="1645"/>
    <n v="3940"/>
    <s v="No"/>
    <n v="0"/>
    <s v="201-1000"/>
    <s v="Full-time"/>
    <s v="Yes"/>
  </r>
  <r>
    <s v="AIJOB01629"/>
    <x v="15"/>
    <x v="13"/>
    <s v="Finance"/>
    <s v="Austin, United States"/>
    <s v="United States"/>
    <s v="Hybrid"/>
    <x v="0"/>
    <s v="0-2 yrs"/>
    <n v="70854"/>
    <x v="1627"/>
    <s v="None"/>
    <s v="Master's"/>
    <n v="45472"/>
    <n v="2139"/>
    <n v="2436"/>
    <s v="No"/>
    <n v="0"/>
    <s v="51-200"/>
    <s v="Full-time"/>
    <s v="Yes"/>
  </r>
  <r>
    <s v="AIJOB01630"/>
    <x v="18"/>
    <x v="15"/>
    <s v="Energy"/>
    <s v="Los Angeles, United States"/>
    <s v="United States"/>
    <s v="On-site"/>
    <x v="1"/>
    <s v="8+ yrs"/>
    <n v="230699"/>
    <x v="1628"/>
    <s v="BLOOM"/>
    <s v="Master's"/>
    <n v="45518"/>
    <n v="1760"/>
    <n v="3974"/>
    <s v="No"/>
    <n v="6"/>
    <s v="1001-5000"/>
    <s v="Contract"/>
    <s v="Yes"/>
  </r>
  <r>
    <s v="AIJOB01631"/>
    <x v="0"/>
    <x v="17"/>
    <s v="Technology"/>
    <s v="Toronto, Canada"/>
    <s v="Canada"/>
    <s v="Remote"/>
    <x v="3"/>
    <s v="5-8 yrs"/>
    <n v="163087"/>
    <x v="1629"/>
    <s v="BLOOM"/>
    <s v="Bootcamp/Self-taught"/>
    <n v="45689"/>
    <n v="1101"/>
    <n v="1125"/>
    <s v="No"/>
    <n v="4"/>
    <s v="0-50"/>
    <s v="Full-time"/>
    <s v="No"/>
  </r>
  <r>
    <s v="AIJOB01632"/>
    <x v="12"/>
    <x v="2"/>
    <s v="Defense"/>
    <s v="San Francisco, United States"/>
    <s v="United States"/>
    <s v="Hybrid"/>
    <x v="2"/>
    <s v="2-5 yrs"/>
    <n v="93242"/>
    <x v="1630"/>
    <s v="None"/>
    <s v="PhD"/>
    <n v="45545"/>
    <n v="2262"/>
    <n v="2374"/>
    <s v="Maybe"/>
    <n v="2"/>
    <s v="5000+"/>
    <s v="Full-time"/>
    <s v="Yes"/>
  </r>
  <r>
    <s v="AIJOB01633"/>
    <x v="18"/>
    <x v="8"/>
    <s v="Energy"/>
    <s v="New York, United States"/>
    <s v="United States"/>
    <s v="On-site"/>
    <x v="1"/>
    <s v="8+ yrs"/>
    <n v="176832"/>
    <x v="1631"/>
    <s v="None"/>
    <s v="Master's"/>
    <n v="45730"/>
    <n v="896"/>
    <n v="2112"/>
    <s v="No"/>
    <n v="6"/>
    <s v="5000+"/>
    <s v="Contract"/>
    <s v="No"/>
  </r>
  <r>
    <s v="AIJOB01634"/>
    <x v="10"/>
    <x v="15"/>
    <s v="Technology"/>
    <s v="Stockholm, Sweden"/>
    <s v="Sweden"/>
    <s v="Hybrid"/>
    <x v="0"/>
    <s v="0-2 yrs"/>
    <n v="82977"/>
    <x v="1632"/>
    <s v="Grok"/>
    <s v="Master's"/>
    <n v="45424"/>
    <n v="2333"/>
    <n v="2415"/>
    <s v="No"/>
    <n v="0"/>
    <s v="5000+"/>
    <s v="Part-time"/>
    <s v="No"/>
  </r>
  <r>
    <s v="AIJOB01635"/>
    <x v="5"/>
    <x v="17"/>
    <s v="Education"/>
    <s v="Austin, United States"/>
    <s v="United States"/>
    <s v="Hybrid"/>
    <x v="3"/>
    <s v="5-8 yrs"/>
    <n v="140961"/>
    <x v="1633"/>
    <s v="None"/>
    <s v="Master's"/>
    <n v="45620"/>
    <n v="997"/>
    <n v="3056"/>
    <s v="No"/>
    <n v="4"/>
    <s v="1001-5000"/>
    <s v="Full-time"/>
    <s v="No"/>
  </r>
  <r>
    <s v="AIJOB01636"/>
    <x v="5"/>
    <x v="12"/>
    <s v="Automotive"/>
    <s v="Sydney, Australia"/>
    <s v="Australia"/>
    <s v="Hybrid"/>
    <x v="2"/>
    <s v="2-5 yrs"/>
    <n v="102007"/>
    <x v="1634"/>
    <s v="None"/>
    <s v="Bachelor's"/>
    <n v="45717"/>
    <n v="2411"/>
    <n v="867"/>
    <s v="Maybe"/>
    <n v="2"/>
    <s v="5000+"/>
    <s v="Full-time"/>
    <s v="No"/>
  </r>
  <r>
    <s v="AIJOB01637"/>
    <x v="12"/>
    <x v="24"/>
    <s v="Government"/>
    <s v="Bangalore, India"/>
    <s v="India"/>
    <s v="On-site"/>
    <x v="0"/>
    <s v="0-2 yrs"/>
    <n v="57965"/>
    <x v="1635"/>
    <s v="None"/>
    <s v="Master's"/>
    <n v="45652"/>
    <n v="595"/>
    <n v="1559"/>
    <s v="No"/>
    <n v="0"/>
    <s v="201-1000"/>
    <s v="Part-time"/>
    <s v="Yes"/>
  </r>
  <r>
    <s v="AIJOB01638"/>
    <x v="5"/>
    <x v="18"/>
    <s v="Media"/>
    <s v="Tel Aviv, Israel"/>
    <s v="Israel"/>
    <s v="On-site"/>
    <x v="0"/>
    <s v="0-2 yrs"/>
    <n v="75337"/>
    <x v="1636"/>
    <s v="Command R"/>
    <s v="Bachelor's"/>
    <n v="45647"/>
    <n v="1091"/>
    <n v="1305"/>
    <s v="No"/>
    <n v="0"/>
    <s v="0-50"/>
    <s v="Full-time"/>
    <s v="No"/>
  </r>
  <r>
    <s v="AIJOB01639"/>
    <x v="11"/>
    <x v="27"/>
    <s v="Energy"/>
    <s v="Berlin, Germany"/>
    <s v="Germany"/>
    <s v="Remote"/>
    <x v="2"/>
    <s v="2-5 yrs"/>
    <n v="150837"/>
    <x v="1637"/>
    <s v="Falcon"/>
    <s v="Master's"/>
    <n v="45658"/>
    <n v="477"/>
    <n v="2992"/>
    <s v="Yes"/>
    <n v="2"/>
    <s v="0-50"/>
    <s v="Contract"/>
    <s v="No"/>
  </r>
  <r>
    <s v="AIJOB01640"/>
    <x v="11"/>
    <x v="27"/>
    <s v="Automotive"/>
    <s v="Singapore"/>
    <s v="Singapore"/>
    <s v="Remote"/>
    <x v="3"/>
    <s v="5-8 yrs"/>
    <n v="121176"/>
    <x v="1638"/>
    <s v="Command R"/>
    <s v="Master's"/>
    <n v="45413"/>
    <n v="519"/>
    <n v="781"/>
    <s v="Yes"/>
    <n v="4"/>
    <s v="51-200"/>
    <s v="Full-time"/>
    <s v="No"/>
  </r>
  <r>
    <s v="AIJOB01641"/>
    <x v="4"/>
    <x v="28"/>
    <s v="Education"/>
    <s v="Los Angeles, United States"/>
    <s v="United States"/>
    <s v="Hybrid"/>
    <x v="3"/>
    <s v="5-8 yrs"/>
    <n v="150653"/>
    <x v="1639"/>
    <s v="Falcon"/>
    <s v="Bootcamp/Self-taught"/>
    <n v="45460"/>
    <n v="471"/>
    <n v="3750"/>
    <s v="Maybe"/>
    <n v="4"/>
    <s v="0-50"/>
    <s v="Full-time"/>
    <s v="Yes"/>
  </r>
  <r>
    <s v="AIJOB01642"/>
    <x v="2"/>
    <x v="11"/>
    <s v="Healthcare"/>
    <s v="Singapore"/>
    <s v="Singapore"/>
    <s v="Remote"/>
    <x v="0"/>
    <s v="0-2 yrs"/>
    <n v="87793"/>
    <x v="1640"/>
    <s v="None"/>
    <s v="Bachelor's"/>
    <n v="45450"/>
    <n v="1321"/>
    <n v="3807"/>
    <s v="No"/>
    <n v="0"/>
    <s v="0-50"/>
    <s v="Part-time"/>
    <s v="Yes"/>
  </r>
  <r>
    <s v="AIJOB01643"/>
    <x v="13"/>
    <x v="28"/>
    <s v="Media"/>
    <s v="Austin, United States"/>
    <s v="United States"/>
    <s v="Remote"/>
    <x v="1"/>
    <s v="8+ yrs"/>
    <n v="197132"/>
    <x v="1641"/>
    <s v="GPT-4"/>
    <s v="Bachelor's"/>
    <n v="45668"/>
    <n v="2017"/>
    <n v="2293"/>
    <s v="No"/>
    <n v="6"/>
    <s v="51-200"/>
    <s v="Full-time"/>
    <s v="No"/>
  </r>
  <r>
    <s v="AIJOB01644"/>
    <x v="16"/>
    <x v="24"/>
    <s v="Education"/>
    <s v="Austin, United States"/>
    <s v="United States"/>
    <s v="On-site"/>
    <x v="3"/>
    <s v="5-8 yrs"/>
    <n v="162214"/>
    <x v="1642"/>
    <s v="Command R"/>
    <s v="PhD"/>
    <n v="45466"/>
    <n v="1576"/>
    <n v="3790"/>
    <s v="No"/>
    <n v="4"/>
    <s v="51-200"/>
    <s v="Full-time"/>
    <s v="No"/>
  </r>
  <r>
    <s v="AIJOB01645"/>
    <x v="9"/>
    <x v="14"/>
    <s v="Retail"/>
    <s v="Amsterdam, Netherlands"/>
    <s v="Netherlands"/>
    <s v="Hybrid"/>
    <x v="0"/>
    <s v="0-2 yrs"/>
    <n v="56613"/>
    <x v="1643"/>
    <s v="None"/>
    <s v="Master's"/>
    <n v="45502"/>
    <n v="1844"/>
    <n v="2962"/>
    <s v="No"/>
    <n v="0"/>
    <s v="51-200"/>
    <s v="Part-time"/>
    <s v="Yes"/>
  </r>
  <r>
    <s v="AIJOB01646"/>
    <x v="12"/>
    <x v="3"/>
    <s v="Technology"/>
    <s v="Toronto, Canada"/>
    <s v="Canada"/>
    <s v="On-site"/>
    <x v="0"/>
    <s v="0-2 yrs"/>
    <n v="75396"/>
    <x v="1644"/>
    <s v="None"/>
    <s v="Master's"/>
    <n v="45386"/>
    <n v="2175"/>
    <n v="3177"/>
    <s v="No"/>
    <n v="0"/>
    <s v="1001-5000"/>
    <s v="Full-time"/>
    <s v="No"/>
  </r>
  <r>
    <s v="AIJOB01647"/>
    <x v="13"/>
    <x v="21"/>
    <s v="Automotive"/>
    <s v="Austin, United States"/>
    <s v="United States"/>
    <s v="Hybrid"/>
    <x v="0"/>
    <s v="0-2 yrs"/>
    <n v="67641"/>
    <x v="1645"/>
    <s v="None"/>
    <s v="Master's"/>
    <n v="45380"/>
    <n v="2172"/>
    <n v="1797"/>
    <s v="No"/>
    <n v="0"/>
    <s v="51-200"/>
    <s v="Contract"/>
    <s v="Yes"/>
  </r>
  <r>
    <s v="AIJOB01648"/>
    <x v="4"/>
    <x v="12"/>
    <s v="Defense"/>
    <s v="Paris, France"/>
    <s v="France"/>
    <s v="Hybrid"/>
    <x v="2"/>
    <s v="2-5 yrs"/>
    <n v="129517"/>
    <x v="1646"/>
    <s v="None"/>
    <s v="Bachelor's"/>
    <n v="45710"/>
    <n v="1847"/>
    <n v="3217"/>
    <s v="No"/>
    <n v="2"/>
    <s v="51-200"/>
    <s v="Full-time"/>
    <s v="No"/>
  </r>
  <r>
    <s v="AIJOB01649"/>
    <x v="7"/>
    <x v="18"/>
    <s v="Automotive"/>
    <s v="Tel Aviv, Israel"/>
    <s v="Israel"/>
    <s v="Remote"/>
    <x v="0"/>
    <s v="0-2 yrs"/>
    <n v="84961"/>
    <x v="1647"/>
    <s v="Command R"/>
    <s v="Bachelor's"/>
    <n v="45380"/>
    <n v="521"/>
    <n v="1302"/>
    <s v="No"/>
    <n v="0"/>
    <s v="5000+"/>
    <s v="Full-time"/>
    <s v="No"/>
  </r>
  <r>
    <s v="AIJOB01650"/>
    <x v="1"/>
    <x v="14"/>
    <s v="Technology"/>
    <s v="Toronto, Canada"/>
    <s v="Canada"/>
    <s v="On-site"/>
    <x v="1"/>
    <s v="8+ yrs"/>
    <n v="293224"/>
    <x v="1648"/>
    <s v="Phi"/>
    <s v="Bootcamp/Self-taught"/>
    <n v="45366"/>
    <n v="985"/>
    <n v="1736"/>
    <s v="Maybe"/>
    <n v="6"/>
    <s v="5000+"/>
    <s v="Full-time"/>
    <s v="Yes"/>
  </r>
  <r>
    <s v="AIJOB01651"/>
    <x v="19"/>
    <x v="0"/>
    <s v="Technology"/>
    <s v="Boston, United States"/>
    <s v="United States"/>
    <s v="Hybrid"/>
    <x v="1"/>
    <s v="8+ yrs"/>
    <n v="220866"/>
    <x v="1649"/>
    <s v="Grok"/>
    <s v="Master's"/>
    <n v="45457"/>
    <n v="1386"/>
    <n v="1812"/>
    <s v="Yes"/>
    <n v="6"/>
    <s v="201-1000"/>
    <s v="Contract"/>
    <s v="No"/>
  </r>
  <r>
    <s v="AIJOB01652"/>
    <x v="15"/>
    <x v="15"/>
    <s v="Defense"/>
    <s v="Bangalore, India"/>
    <s v="India"/>
    <s v="Remote"/>
    <x v="3"/>
    <s v="5-8 yrs"/>
    <n v="158796"/>
    <x v="1650"/>
    <s v="Command R"/>
    <s v="Bachelor's"/>
    <n v="45573"/>
    <n v="1602"/>
    <n v="1970"/>
    <s v="No"/>
    <n v="4"/>
    <s v="0-50"/>
    <s v="Part-time"/>
    <s v="Yes"/>
  </r>
  <r>
    <s v="AIJOB01653"/>
    <x v="6"/>
    <x v="27"/>
    <s v="Media"/>
    <s v="Berlin, Germany"/>
    <s v="Germany"/>
    <s v="Hybrid"/>
    <x v="1"/>
    <s v="8+ yrs"/>
    <n v="206997"/>
    <x v="1651"/>
    <s v="None"/>
    <s v="Master's"/>
    <n v="45371"/>
    <n v="591"/>
    <n v="2907"/>
    <s v="No"/>
    <n v="6"/>
    <s v="1001-5000"/>
    <s v="Full-time"/>
    <s v="Yes"/>
  </r>
  <r>
    <s v="AIJOB01654"/>
    <x v="13"/>
    <x v="19"/>
    <s v="Retail"/>
    <s v="Singapore"/>
    <s v="Singapore"/>
    <s v="On-site"/>
    <x v="3"/>
    <s v="5-8 yrs"/>
    <n v="140464"/>
    <x v="1652"/>
    <s v="GPT-4"/>
    <s v="Bachelor's"/>
    <n v="45330"/>
    <n v="1944"/>
    <n v="1558"/>
    <s v="No"/>
    <n v="4"/>
    <s v="1001-5000"/>
    <s v="Part-time"/>
    <s v="No"/>
  </r>
  <r>
    <s v="AIJOB01655"/>
    <x v="16"/>
    <x v="21"/>
    <s v="Healthcare"/>
    <s v="Berlin, Germany"/>
    <s v="Germany"/>
    <s v="Hybrid"/>
    <x v="0"/>
    <s v="0-2 yrs"/>
    <n v="74264"/>
    <x v="1653"/>
    <s v="None"/>
    <s v="Master's"/>
    <n v="45560"/>
    <n v="1778"/>
    <n v="985"/>
    <s v="Maybe"/>
    <n v="0"/>
    <s v="201-1000"/>
    <s v="Full-time"/>
    <s v="Yes"/>
  </r>
  <r>
    <s v="AIJOB01656"/>
    <x v="13"/>
    <x v="11"/>
    <s v="Education"/>
    <s v="Zurich, Switzerland"/>
    <s v="Switzerland"/>
    <s v="Hybrid"/>
    <x v="0"/>
    <s v="0-2 yrs"/>
    <n v="66277"/>
    <x v="1654"/>
    <s v="None"/>
    <s v="Bachelor's"/>
    <n v="45607"/>
    <n v="2407"/>
    <n v="3202"/>
    <s v="No"/>
    <n v="0"/>
    <s v="1001-5000"/>
    <s v="Full-time"/>
    <s v="No"/>
  </r>
  <r>
    <s v="AIJOB01657"/>
    <x v="16"/>
    <x v="17"/>
    <s v="Automotive"/>
    <s v="New York, United States"/>
    <s v="United States"/>
    <s v="Hybrid"/>
    <x v="2"/>
    <s v="2-5 yrs"/>
    <n v="113335"/>
    <x v="1655"/>
    <s v="None"/>
    <s v="Bachelor's"/>
    <n v="45624"/>
    <n v="2039"/>
    <n v="2254"/>
    <s v="No"/>
    <n v="2"/>
    <s v="1001-5000"/>
    <s v="Full-time"/>
    <s v="No"/>
  </r>
  <r>
    <s v="AIJOB01658"/>
    <x v="3"/>
    <x v="17"/>
    <s v="Finance"/>
    <s v="Los Angeles, United States"/>
    <s v="United States"/>
    <s v="Remote"/>
    <x v="3"/>
    <s v="5-8 yrs"/>
    <n v="185575"/>
    <x v="1656"/>
    <s v="Command R"/>
    <s v="Master's"/>
    <n v="45319"/>
    <n v="1783"/>
    <n v="125"/>
    <s v="No"/>
    <n v="4"/>
    <s v="0-50"/>
    <s v="Full-time"/>
    <s v="Yes"/>
  </r>
  <r>
    <s v="AIJOB01659"/>
    <x v="5"/>
    <x v="3"/>
    <s v="Healthcare"/>
    <s v="Toronto, Canada"/>
    <s v="Canada"/>
    <s v="Hybrid"/>
    <x v="1"/>
    <s v="8+ yrs"/>
    <n v="163764"/>
    <x v="1657"/>
    <s v="GPT-4"/>
    <s v="Master's"/>
    <n v="45612"/>
    <n v="2227"/>
    <n v="1502"/>
    <s v="Maybe"/>
    <n v="6"/>
    <s v="5000+"/>
    <s v="Full-time"/>
    <s v="No"/>
  </r>
  <r>
    <s v="AIJOB01660"/>
    <x v="18"/>
    <x v="6"/>
    <s v="Automotive"/>
    <s v="Tokyo, Japan"/>
    <s v="Japan"/>
    <s v="Remote"/>
    <x v="2"/>
    <s v="2-5 yrs"/>
    <n v="132569"/>
    <x v="1658"/>
    <s v="Grok"/>
    <s v="Master's"/>
    <n v="45596"/>
    <n v="978"/>
    <n v="240"/>
    <s v="No"/>
    <n v="2"/>
    <s v="1001-5000"/>
    <s v="Full-time"/>
    <s v="Yes"/>
  </r>
  <r>
    <s v="AIJOB01661"/>
    <x v="9"/>
    <x v="25"/>
    <s v="Retail"/>
    <s v="Sydney, Australia"/>
    <s v="Australia"/>
    <s v="Remote"/>
    <x v="1"/>
    <s v="8+ yrs"/>
    <n v="247416"/>
    <x v="1659"/>
    <s v="None"/>
    <s v="PhD"/>
    <n v="45698"/>
    <n v="2035"/>
    <n v="3271"/>
    <s v="No"/>
    <n v="6"/>
    <s v="5000+"/>
    <s v="Contract"/>
    <s v="No"/>
  </r>
  <r>
    <s v="AIJOB01662"/>
    <x v="14"/>
    <x v="19"/>
    <s v="Education"/>
    <s v="Stockholm, Sweden"/>
    <s v="Sweden"/>
    <s v="Remote"/>
    <x v="1"/>
    <s v="8+ yrs"/>
    <n v="195749"/>
    <x v="1660"/>
    <s v="Claude"/>
    <s v="Master's"/>
    <n v="45638"/>
    <n v="490"/>
    <n v="3286"/>
    <s v="No"/>
    <n v="6"/>
    <s v="201-1000"/>
    <s v="Full-time"/>
    <s v="Yes"/>
  </r>
  <r>
    <s v="AIJOB01663"/>
    <x v="10"/>
    <x v="19"/>
    <s v="Government"/>
    <s v="Amsterdam, Netherlands"/>
    <s v="Netherlands"/>
    <s v="Remote"/>
    <x v="0"/>
    <s v="0-2 yrs"/>
    <n v="50000"/>
    <x v="1661"/>
    <s v="None"/>
    <s v="Master's"/>
    <n v="45605"/>
    <n v="1000"/>
    <n v="1170"/>
    <s v="No"/>
    <n v="0"/>
    <s v="201-1000"/>
    <s v="Full-time"/>
    <s v="Yes"/>
  </r>
  <r>
    <s v="AIJOB01664"/>
    <x v="13"/>
    <x v="8"/>
    <s v="Finance"/>
    <s v="Singapore"/>
    <s v="Singapore"/>
    <s v="Remote"/>
    <x v="1"/>
    <s v="8+ yrs"/>
    <n v="178118"/>
    <x v="1662"/>
    <s v="Claude"/>
    <s v="Bachelor's"/>
    <n v="45483"/>
    <n v="532"/>
    <n v="3741"/>
    <s v="No"/>
    <n v="6"/>
    <s v="201-1000"/>
    <s v="Contract"/>
    <s v="No"/>
  </r>
  <r>
    <s v="AIJOB01665"/>
    <x v="1"/>
    <x v="14"/>
    <s v="Defense"/>
    <s v="Los Angeles, United States"/>
    <s v="United States"/>
    <s v="Hybrid"/>
    <x v="3"/>
    <s v="5-8 yrs"/>
    <n v="185018"/>
    <x v="1663"/>
    <s v="Falcon"/>
    <s v="Master's"/>
    <n v="45553"/>
    <n v="2348"/>
    <n v="2737"/>
    <s v="Yes"/>
    <n v="4"/>
    <s v="1001-5000"/>
    <s v="Contract"/>
    <s v="Yes"/>
  </r>
  <r>
    <s v="AIJOB01666"/>
    <x v="2"/>
    <x v="15"/>
    <s v="Government"/>
    <s v="New York, United States"/>
    <s v="United States"/>
    <s v="On-site"/>
    <x v="0"/>
    <s v="0-2 yrs"/>
    <n v="69711"/>
    <x v="1664"/>
    <s v="None"/>
    <s v="PhD"/>
    <n v="45367"/>
    <n v="1514"/>
    <n v="2249"/>
    <s v="No"/>
    <n v="0"/>
    <s v="5000+"/>
    <s v="Full-time"/>
    <s v="No"/>
  </r>
  <r>
    <s v="AIJOB01667"/>
    <x v="8"/>
    <x v="22"/>
    <s v="Media"/>
    <s v="Tokyo, Japan"/>
    <s v="Japan"/>
    <s v="Remote"/>
    <x v="0"/>
    <s v="0-2 yrs"/>
    <n v="57408"/>
    <x v="1665"/>
    <s v="Command R"/>
    <s v="Bachelor's"/>
    <n v="45324"/>
    <n v="1014"/>
    <n v="2401"/>
    <s v="Yes"/>
    <n v="0"/>
    <s v="1001-5000"/>
    <s v="Part-time"/>
    <s v="No"/>
  </r>
  <r>
    <s v="AIJOB01668"/>
    <x v="1"/>
    <x v="7"/>
    <s v="Technology"/>
    <s v="Tel Aviv, Israel"/>
    <s v="Israel"/>
    <s v="On-site"/>
    <x v="3"/>
    <s v="5-8 yrs"/>
    <n v="136371"/>
    <x v="1666"/>
    <s v="Falcon"/>
    <s v="PhD"/>
    <n v="45742"/>
    <n v="1709"/>
    <n v="3289"/>
    <s v="Yes"/>
    <n v="4"/>
    <s v="51-200"/>
    <s v="Full-time"/>
    <s v="No"/>
  </r>
  <r>
    <s v="AIJOB01669"/>
    <x v="19"/>
    <x v="6"/>
    <s v="Automotive"/>
    <s v="Zurich, Switzerland"/>
    <s v="Switzerland"/>
    <s v="On-site"/>
    <x v="1"/>
    <s v="8+ yrs"/>
    <n v="230262"/>
    <x v="1667"/>
    <s v="Command R"/>
    <s v="Bootcamp/Self-taught"/>
    <n v="45560"/>
    <n v="1265"/>
    <n v="1147"/>
    <s v="Yes"/>
    <n v="6"/>
    <s v="5000+"/>
    <s v="Part-time"/>
    <s v="Yes"/>
  </r>
  <r>
    <s v="AIJOB01670"/>
    <x v="12"/>
    <x v="23"/>
    <s v="Defense"/>
    <s v="Los Angeles, United States"/>
    <s v="United States"/>
    <s v="On-site"/>
    <x v="2"/>
    <s v="2-5 yrs"/>
    <n v="120825"/>
    <x v="1668"/>
    <s v="Claude"/>
    <s v="Bachelor's"/>
    <n v="45293"/>
    <n v="1843"/>
    <n v="3679"/>
    <s v="Yes"/>
    <n v="2"/>
    <s v="5000+"/>
    <s v="Full-time"/>
    <s v="Yes"/>
  </r>
  <r>
    <s v="AIJOB01671"/>
    <x v="2"/>
    <x v="13"/>
    <s v="Government"/>
    <s v="Sydney, Australia"/>
    <s v="Australia"/>
    <s v="Hybrid"/>
    <x v="3"/>
    <s v="5-8 yrs"/>
    <n v="143548"/>
    <x v="1669"/>
    <s v="None"/>
    <s v="Master's"/>
    <n v="45416"/>
    <n v="1946"/>
    <n v="567"/>
    <s v="No"/>
    <n v="4"/>
    <s v="51-200"/>
    <s v="Contract"/>
    <s v="Yes"/>
  </r>
  <r>
    <s v="AIJOB01672"/>
    <x v="14"/>
    <x v="18"/>
    <s v="Automotive"/>
    <s v="Los Angeles, United States"/>
    <s v="United States"/>
    <s v="Remote"/>
    <x v="0"/>
    <s v="0-2 yrs"/>
    <n v="65378"/>
    <x v="1670"/>
    <s v="Gemini"/>
    <s v="Bachelor's"/>
    <n v="45421"/>
    <n v="516"/>
    <n v="883"/>
    <s v="No"/>
    <n v="0"/>
    <s v="51-200"/>
    <s v="Contract"/>
    <s v="No"/>
  </r>
  <r>
    <s v="AIJOB01673"/>
    <x v="8"/>
    <x v="19"/>
    <s v="Finance"/>
    <s v="Stockholm, Sweden"/>
    <s v="Sweden"/>
    <s v="Remote"/>
    <x v="0"/>
    <s v="0-2 yrs"/>
    <n v="65063"/>
    <x v="1671"/>
    <s v="Claude"/>
    <s v="Bachelor's"/>
    <n v="45624"/>
    <n v="613"/>
    <n v="868"/>
    <s v="No"/>
    <n v="0"/>
    <s v="0-50"/>
    <s v="Full-time"/>
    <s v="No"/>
  </r>
  <r>
    <s v="AIJOB01674"/>
    <x v="1"/>
    <x v="1"/>
    <s v="Energy"/>
    <s v="Stockholm, Sweden"/>
    <s v="Sweden"/>
    <s v="Hybrid"/>
    <x v="1"/>
    <s v="8+ yrs"/>
    <n v="166793"/>
    <x v="1672"/>
    <s v="Phi"/>
    <s v="Master's"/>
    <n v="45316"/>
    <n v="1248"/>
    <n v="1458"/>
    <s v="No"/>
    <n v="6"/>
    <s v="201-1000"/>
    <s v="Full-time"/>
    <s v="No"/>
  </r>
  <r>
    <s v="AIJOB01675"/>
    <x v="15"/>
    <x v="25"/>
    <s v="Automotive"/>
    <s v="Austin, United States"/>
    <s v="United States"/>
    <s v="Remote"/>
    <x v="2"/>
    <s v="2-5 yrs"/>
    <n v="141984"/>
    <x v="1673"/>
    <s v="None"/>
    <s v="Master's"/>
    <n v="45379"/>
    <n v="2454"/>
    <n v="3127"/>
    <s v="No"/>
    <n v="2"/>
    <s v="5000+"/>
    <s v="Full-time"/>
    <s v="Yes"/>
  </r>
  <r>
    <s v="AIJOB01676"/>
    <x v="1"/>
    <x v="14"/>
    <s v="Defense"/>
    <s v="Bangalore, India"/>
    <s v="India"/>
    <s v="On-site"/>
    <x v="3"/>
    <s v="5-8 yrs"/>
    <n v="141297"/>
    <x v="1674"/>
    <s v="Gemini"/>
    <s v="Master's"/>
    <n v="45460"/>
    <n v="2185"/>
    <n v="383"/>
    <s v="No"/>
    <n v="4"/>
    <s v="51-200"/>
    <s v="Full-time"/>
    <s v="Yes"/>
  </r>
  <r>
    <s v="AIJOB01677"/>
    <x v="13"/>
    <x v="0"/>
    <s v="Energy"/>
    <s v="Los Angeles, United States"/>
    <s v="United States"/>
    <s v="On-site"/>
    <x v="2"/>
    <s v="2-5 yrs"/>
    <n v="134099"/>
    <x v="1675"/>
    <s v="Gemini"/>
    <s v="PhD"/>
    <n v="45559"/>
    <n v="1684"/>
    <n v="772"/>
    <s v="No"/>
    <n v="2"/>
    <s v="5000+"/>
    <s v="Full-time"/>
    <s v="Yes"/>
  </r>
  <r>
    <s v="AIJOB01678"/>
    <x v="13"/>
    <x v="15"/>
    <s v="Media"/>
    <s v="Berlin, Germany"/>
    <s v="Germany"/>
    <s v="Remote"/>
    <x v="2"/>
    <s v="2-5 yrs"/>
    <n v="140122"/>
    <x v="1676"/>
    <s v="None"/>
    <s v="Bachelor's"/>
    <n v="45539"/>
    <n v="2499"/>
    <n v="942"/>
    <s v="No"/>
    <n v="2"/>
    <s v="201-1000"/>
    <s v="Full-time"/>
    <s v="Yes"/>
  </r>
  <r>
    <s v="AIJOB01679"/>
    <x v="16"/>
    <x v="14"/>
    <s v="Education"/>
    <s v="Paris, France"/>
    <s v="France"/>
    <s v="Remote"/>
    <x v="1"/>
    <s v="8+ yrs"/>
    <n v="235939"/>
    <x v="1677"/>
    <s v="None"/>
    <s v="Master's"/>
    <n v="45509"/>
    <n v="449"/>
    <n v="239"/>
    <s v="No"/>
    <n v="6"/>
    <s v="51-200"/>
    <s v="Full-time"/>
    <s v="Yes"/>
  </r>
  <r>
    <s v="AIJOB01680"/>
    <x v="12"/>
    <x v="29"/>
    <s v="Technology"/>
    <s v="Singapore"/>
    <s v="Singapore"/>
    <s v="Remote"/>
    <x v="1"/>
    <s v="8+ yrs"/>
    <n v="184461"/>
    <x v="1678"/>
    <s v="Command R"/>
    <s v="Master's"/>
    <n v="45356"/>
    <n v="968"/>
    <n v="3240"/>
    <s v="No"/>
    <n v="6"/>
    <s v="51-200"/>
    <s v="Full-time"/>
    <s v="Yes"/>
  </r>
  <r>
    <s v="AIJOB01681"/>
    <x v="19"/>
    <x v="7"/>
    <s v="Finance"/>
    <s v="Zurich, Switzerland"/>
    <s v="Switzerland"/>
    <s v="Hybrid"/>
    <x v="2"/>
    <s v="2-5 yrs"/>
    <n v="117993"/>
    <x v="1679"/>
    <s v="Phi"/>
    <s v="Master's"/>
    <n v="45526"/>
    <n v="2025"/>
    <n v="2621"/>
    <s v="No"/>
    <n v="2"/>
    <s v="201-1000"/>
    <s v="Full-time"/>
    <s v="No"/>
  </r>
  <r>
    <s v="AIJOB01682"/>
    <x v="7"/>
    <x v="24"/>
    <s v="Retail"/>
    <s v="Austin, United States"/>
    <s v="United States"/>
    <s v="Remote"/>
    <x v="1"/>
    <s v="8+ yrs"/>
    <n v="199128"/>
    <x v="1680"/>
    <s v="None"/>
    <s v="Bachelor's"/>
    <n v="45297"/>
    <n v="1030"/>
    <n v="2564"/>
    <s v="No"/>
    <n v="6"/>
    <s v="51-200"/>
    <s v="Full-time"/>
    <s v="No"/>
  </r>
  <r>
    <s v="AIJOB01683"/>
    <x v="16"/>
    <x v="2"/>
    <s v="Defense"/>
    <s v="Bangalore, India"/>
    <s v="India"/>
    <s v="Remote"/>
    <x v="1"/>
    <s v="8+ yrs"/>
    <n v="167466"/>
    <x v="1681"/>
    <s v="None"/>
    <s v="Master's"/>
    <n v="45629"/>
    <n v="1442"/>
    <n v="3937"/>
    <s v="Yes"/>
    <n v="6"/>
    <s v="201-1000"/>
    <s v="Full-time"/>
    <s v="Yes"/>
  </r>
  <r>
    <s v="AIJOB01684"/>
    <x v="1"/>
    <x v="9"/>
    <s v="Energy"/>
    <s v="Singapore"/>
    <s v="Singapore"/>
    <s v="Remote"/>
    <x v="3"/>
    <s v="5-8 yrs"/>
    <n v="158757"/>
    <x v="1682"/>
    <s v="Claude"/>
    <s v="Master's"/>
    <n v="45357"/>
    <n v="1839"/>
    <n v="598"/>
    <s v="No"/>
    <n v="4"/>
    <s v="51-200"/>
    <s v="Full-time"/>
    <s v="No"/>
  </r>
  <r>
    <s v="AIJOB01685"/>
    <x v="17"/>
    <x v="28"/>
    <s v="Retail"/>
    <s v="Stockholm, Sweden"/>
    <s v="Sweden"/>
    <s v="Hybrid"/>
    <x v="3"/>
    <s v="5-8 yrs"/>
    <n v="118165"/>
    <x v="1683"/>
    <s v="None"/>
    <s v="Bachelor's"/>
    <n v="45330"/>
    <n v="1447"/>
    <n v="3441"/>
    <s v="No"/>
    <n v="4"/>
    <s v="201-1000"/>
    <s v="Full-time"/>
    <s v="Yes"/>
  </r>
  <r>
    <s v="AIJOB01686"/>
    <x v="14"/>
    <x v="28"/>
    <s v="Education"/>
    <s v="Toronto, Canada"/>
    <s v="Canada"/>
    <s v="Hybrid"/>
    <x v="1"/>
    <s v="8+ yrs"/>
    <n v="242756"/>
    <x v="1684"/>
    <s v="Grok"/>
    <s v="Master's"/>
    <n v="45527"/>
    <n v="1511"/>
    <n v="1457"/>
    <s v="Maybe"/>
    <n v="6"/>
    <s v="201-1000"/>
    <s v="Full-time"/>
    <s v="No"/>
  </r>
  <r>
    <s v="AIJOB01687"/>
    <x v="16"/>
    <x v="18"/>
    <s v="Finance"/>
    <s v="San Francisco, United States"/>
    <s v="United States"/>
    <s v="On-site"/>
    <x v="3"/>
    <s v="5-8 yrs"/>
    <n v="137455"/>
    <x v="1685"/>
    <s v="Claude"/>
    <s v="Master's"/>
    <n v="45457"/>
    <n v="1793"/>
    <n v="3595"/>
    <s v="Maybe"/>
    <n v="4"/>
    <s v="201-1000"/>
    <s v="Contract"/>
    <s v="No"/>
  </r>
  <r>
    <s v="AIJOB01688"/>
    <x v="6"/>
    <x v="5"/>
    <s v="Energy"/>
    <s v="Toronto, Canada"/>
    <s v="Canada"/>
    <s v="Hybrid"/>
    <x v="3"/>
    <s v="5-8 yrs"/>
    <n v="155431"/>
    <x v="1686"/>
    <s v="None"/>
    <s v="Bachelor's"/>
    <n v="45359"/>
    <n v="604"/>
    <n v="1625"/>
    <s v="No"/>
    <n v="4"/>
    <s v="0-50"/>
    <s v="Contract"/>
    <s v="No"/>
  </r>
  <r>
    <s v="AIJOB01689"/>
    <x v="15"/>
    <x v="17"/>
    <s v="Healthcare"/>
    <s v="Sydney, Australia"/>
    <s v="Australia"/>
    <s v="On-site"/>
    <x v="0"/>
    <s v="0-2 yrs"/>
    <n v="73569"/>
    <x v="1687"/>
    <s v="None"/>
    <s v="Master's"/>
    <n v="45483"/>
    <n v="1879"/>
    <n v="3143"/>
    <s v="No"/>
    <n v="0"/>
    <s v="201-1000"/>
    <s v="Full-time"/>
    <s v="Yes"/>
  </r>
  <r>
    <s v="AIJOB01690"/>
    <x v="1"/>
    <x v="19"/>
    <s v="Healthcare"/>
    <s v="Sydney, Australia"/>
    <s v="Australia"/>
    <s v="On-site"/>
    <x v="2"/>
    <s v="2-5 yrs"/>
    <n v="104873"/>
    <x v="1688"/>
    <s v="None"/>
    <s v="PhD"/>
    <n v="45388"/>
    <n v="1465"/>
    <n v="3606"/>
    <s v="Maybe"/>
    <n v="2"/>
    <s v="0-50"/>
    <s v="Contract"/>
    <s v="Yes"/>
  </r>
  <r>
    <s v="AIJOB01691"/>
    <x v="9"/>
    <x v="14"/>
    <s v="Energy"/>
    <s v="Paris, France"/>
    <s v="France"/>
    <s v="Remote"/>
    <x v="1"/>
    <s v="8+ yrs"/>
    <n v="221120"/>
    <x v="1689"/>
    <s v="Claude"/>
    <s v="Bootcamp/Self-taught"/>
    <n v="45719"/>
    <n v="1781"/>
    <n v="2952"/>
    <s v="No"/>
    <n v="6"/>
    <s v="51-200"/>
    <s v="Full-time"/>
    <s v="No"/>
  </r>
  <r>
    <s v="AIJOB01692"/>
    <x v="12"/>
    <x v="1"/>
    <s v="Automotive"/>
    <s v="San Francisco, United States"/>
    <s v="United States"/>
    <s v="Remote"/>
    <x v="0"/>
    <s v="0-2 yrs"/>
    <n v="64016"/>
    <x v="1690"/>
    <s v="None"/>
    <s v="Master's"/>
    <n v="45710"/>
    <n v="653"/>
    <n v="2277"/>
    <s v="Maybe"/>
    <n v="0"/>
    <s v="0-50"/>
    <s v="Part-time"/>
    <s v="No"/>
  </r>
  <r>
    <s v="AIJOB01693"/>
    <x v="9"/>
    <x v="0"/>
    <s v="Healthcare"/>
    <s v="Paris, France"/>
    <s v="France"/>
    <s v="Remote"/>
    <x v="3"/>
    <s v="5-8 yrs"/>
    <n v="173525"/>
    <x v="1691"/>
    <s v="None"/>
    <s v="PhD"/>
    <n v="45549"/>
    <n v="2051"/>
    <n v="2249"/>
    <s v="No"/>
    <n v="4"/>
    <s v="51-200"/>
    <s v="Full-time"/>
    <s v="Yes"/>
  </r>
  <r>
    <s v="AIJOB01694"/>
    <x v="3"/>
    <x v="5"/>
    <s v="Finance"/>
    <s v="London, United Kingdom"/>
    <s v="United Kingdom"/>
    <s v="Remote"/>
    <x v="0"/>
    <s v="0-2 yrs"/>
    <n v="53040"/>
    <x v="1692"/>
    <s v="None"/>
    <s v="Bootcamp/Self-taught"/>
    <n v="45687"/>
    <n v="461"/>
    <n v="387"/>
    <s v="No"/>
    <n v="0"/>
    <s v="201-1000"/>
    <s v="Full-time"/>
    <s v="Yes"/>
  </r>
  <r>
    <s v="AIJOB01695"/>
    <x v="10"/>
    <x v="20"/>
    <s v="Retail"/>
    <s v="Stockholm, Sweden"/>
    <s v="Sweden"/>
    <s v="Hybrid"/>
    <x v="0"/>
    <s v="0-2 yrs"/>
    <n v="71592"/>
    <x v="1693"/>
    <s v="Falcon"/>
    <s v="Bachelor's"/>
    <n v="45562"/>
    <n v="741"/>
    <n v="2779"/>
    <s v="No"/>
    <n v="0"/>
    <s v="5000+"/>
    <s v="Full-time"/>
    <s v="Yes"/>
  </r>
  <r>
    <s v="AIJOB01696"/>
    <x v="9"/>
    <x v="8"/>
    <s v="Media"/>
    <s v="Austin, United States"/>
    <s v="United States"/>
    <s v="Remote"/>
    <x v="2"/>
    <s v="2-5 yrs"/>
    <n v="148390"/>
    <x v="1694"/>
    <s v="None"/>
    <s v="Master's"/>
    <n v="45579"/>
    <n v="1530"/>
    <n v="3998"/>
    <s v="Maybe"/>
    <n v="2"/>
    <s v="0-50"/>
    <s v="Contract"/>
    <s v="Yes"/>
  </r>
  <r>
    <s v="AIJOB01697"/>
    <x v="9"/>
    <x v="19"/>
    <s v="Healthcare"/>
    <s v="Tokyo, Japan"/>
    <s v="Japan"/>
    <s v="Remote"/>
    <x v="0"/>
    <s v="0-2 yrs"/>
    <n v="57395"/>
    <x v="1695"/>
    <s v="None"/>
    <s v="Bachelor's"/>
    <n v="45551"/>
    <n v="1319"/>
    <n v="1125"/>
    <s v="Maybe"/>
    <n v="0"/>
    <s v="201-1000"/>
    <s v="Full-time"/>
    <s v="Yes"/>
  </r>
  <r>
    <s v="AIJOB01698"/>
    <x v="8"/>
    <x v="28"/>
    <s v="Education"/>
    <s v="Amsterdam, Netherlands"/>
    <s v="Netherlands"/>
    <s v="On-site"/>
    <x v="0"/>
    <s v="0-2 yrs"/>
    <n v="61460"/>
    <x v="1696"/>
    <s v="Gemini"/>
    <s v="Bachelor's"/>
    <n v="45535"/>
    <n v="608"/>
    <n v="3391"/>
    <s v="No"/>
    <n v="0"/>
    <s v="51-200"/>
    <s v="Full-time"/>
    <s v="Yes"/>
  </r>
  <r>
    <s v="AIJOB01699"/>
    <x v="9"/>
    <x v="18"/>
    <s v="Technology"/>
    <s v="Dublin, Ireland"/>
    <s v="Ireland"/>
    <s v="Hybrid"/>
    <x v="1"/>
    <s v="8+ yrs"/>
    <n v="218500"/>
    <x v="1697"/>
    <s v="None"/>
    <s v="Bootcamp/Self-taught"/>
    <n v="45339"/>
    <n v="1852"/>
    <n v="3531"/>
    <s v="No"/>
    <n v="6"/>
    <s v="0-50"/>
    <s v="Full-time"/>
    <s v="No"/>
  </r>
  <r>
    <s v="AIJOB01700"/>
    <x v="13"/>
    <x v="6"/>
    <s v="Retail"/>
    <s v="Boston, United States"/>
    <s v="United States"/>
    <s v="Hybrid"/>
    <x v="0"/>
    <s v="0-2 yrs"/>
    <n v="72262"/>
    <x v="1698"/>
    <s v="Gemini"/>
    <s v="Bachelor's"/>
    <n v="45435"/>
    <n v="2189"/>
    <n v="252"/>
    <s v="Yes"/>
    <n v="0"/>
    <s v="0-50"/>
    <s v="Contract"/>
    <s v="Yes"/>
  </r>
  <r>
    <s v="AIJOB01701"/>
    <x v="13"/>
    <x v="22"/>
    <s v="Retail"/>
    <s v="Zurich, Switzerland"/>
    <s v="Switzerland"/>
    <s v="Hybrid"/>
    <x v="0"/>
    <s v="0-2 yrs"/>
    <n v="74417"/>
    <x v="1699"/>
    <s v="Llama"/>
    <s v="PhD"/>
    <n v="45325"/>
    <n v="1963"/>
    <n v="1392"/>
    <s v="Maybe"/>
    <n v="0"/>
    <s v="1001-5000"/>
    <s v="Full-time"/>
    <s v="No"/>
  </r>
  <r>
    <s v="AIJOB01702"/>
    <x v="1"/>
    <x v="24"/>
    <s v="Healthcare"/>
    <s v="Tokyo, Japan"/>
    <s v="Japan"/>
    <s v="On-site"/>
    <x v="2"/>
    <s v="2-5 yrs"/>
    <n v="119685"/>
    <x v="1700"/>
    <s v="Grok"/>
    <s v="Bachelor's"/>
    <n v="45379"/>
    <n v="1631"/>
    <n v="3751"/>
    <s v="No"/>
    <n v="2"/>
    <s v="51-200"/>
    <s v="Full-time"/>
    <s v="No"/>
  </r>
  <r>
    <s v="AIJOB01703"/>
    <x v="18"/>
    <x v="0"/>
    <s v="Technology"/>
    <s v="Boston, United States"/>
    <s v="United States"/>
    <s v="Remote"/>
    <x v="3"/>
    <s v="5-8 yrs"/>
    <n v="167137"/>
    <x v="1701"/>
    <s v="Grok"/>
    <s v="Bootcamp/Self-taught"/>
    <n v="45737"/>
    <n v="1573"/>
    <n v="2137"/>
    <s v="Maybe"/>
    <n v="4"/>
    <s v="51-200"/>
    <s v="Full-time"/>
    <s v="No"/>
  </r>
  <r>
    <s v="AIJOB01704"/>
    <x v="9"/>
    <x v="0"/>
    <s v="Automotive"/>
    <s v="Singapore"/>
    <s v="Singapore"/>
    <s v="Remote"/>
    <x v="1"/>
    <s v="8+ yrs"/>
    <n v="239949"/>
    <x v="1702"/>
    <s v="Llama"/>
    <s v="Master's"/>
    <n v="45580"/>
    <n v="2425"/>
    <n v="1284"/>
    <s v="No"/>
    <n v="6"/>
    <s v="201-1000"/>
    <s v="Full-time"/>
    <s v="No"/>
  </r>
  <r>
    <s v="AIJOB01705"/>
    <x v="2"/>
    <x v="1"/>
    <s v="Government"/>
    <s v="Chicago, United States"/>
    <s v="United States"/>
    <s v="Remote"/>
    <x v="0"/>
    <s v="0-2 yrs"/>
    <n v="75163"/>
    <x v="1703"/>
    <s v="Command R"/>
    <s v="PhD"/>
    <n v="45684"/>
    <n v="2111"/>
    <n v="1979"/>
    <s v="No"/>
    <n v="0"/>
    <s v="0-50"/>
    <s v="Full-time"/>
    <s v="No"/>
  </r>
  <r>
    <s v="AIJOB01706"/>
    <x v="13"/>
    <x v="23"/>
    <s v="Retail"/>
    <s v="London, United Kingdom"/>
    <s v="United Kingdom"/>
    <s v="Hybrid"/>
    <x v="0"/>
    <s v="0-2 yrs"/>
    <n v="66960"/>
    <x v="1704"/>
    <s v="Mistral"/>
    <s v="PhD"/>
    <n v="45429"/>
    <n v="580"/>
    <n v="307"/>
    <s v="No"/>
    <n v="0"/>
    <s v="1001-5000"/>
    <s v="Full-time"/>
    <s v="Yes"/>
  </r>
  <r>
    <s v="AIJOB01707"/>
    <x v="13"/>
    <x v="4"/>
    <s v="Government"/>
    <s v="Chicago, United States"/>
    <s v="United States"/>
    <s v="Remote"/>
    <x v="2"/>
    <s v="2-5 yrs"/>
    <n v="123316"/>
    <x v="1705"/>
    <s v="Mistral"/>
    <s v="Bootcamp/Self-taught"/>
    <n v="45556"/>
    <n v="1018"/>
    <n v="3047"/>
    <s v="No"/>
    <n v="2"/>
    <s v="51-200"/>
    <s v="Full-time"/>
    <s v="No"/>
  </r>
  <r>
    <s v="AIJOB01708"/>
    <x v="7"/>
    <x v="21"/>
    <s v="Government"/>
    <s v="Bangalore, India"/>
    <s v="India"/>
    <s v="Remote"/>
    <x v="1"/>
    <s v="8+ yrs"/>
    <n v="268395"/>
    <x v="1706"/>
    <s v="None"/>
    <s v="Bachelor's"/>
    <n v="45428"/>
    <n v="1684"/>
    <n v="3481"/>
    <s v="No"/>
    <n v="6"/>
    <s v="1001-5000"/>
    <s v="Contract"/>
    <s v="Yes"/>
  </r>
  <r>
    <s v="AIJOB01709"/>
    <x v="7"/>
    <x v="4"/>
    <s v="Defense"/>
    <s v="Seattle, United States"/>
    <s v="United States"/>
    <s v="Remote"/>
    <x v="0"/>
    <s v="0-2 yrs"/>
    <n v="68328"/>
    <x v="1707"/>
    <s v="None"/>
    <s v="Master's"/>
    <n v="45503"/>
    <n v="1393"/>
    <n v="2823"/>
    <s v="Yes"/>
    <n v="0"/>
    <s v="0-50"/>
    <s v="Full-time"/>
    <s v="No"/>
  </r>
  <r>
    <s v="AIJOB01710"/>
    <x v="14"/>
    <x v="19"/>
    <s v="Defense"/>
    <s v="Chicago, United States"/>
    <s v="United States"/>
    <s v="Hybrid"/>
    <x v="2"/>
    <s v="2-5 yrs"/>
    <n v="90704"/>
    <x v="1708"/>
    <s v="GPT-4"/>
    <s v="Bachelor's"/>
    <n v="45410"/>
    <n v="420"/>
    <n v="3208"/>
    <s v="No"/>
    <n v="2"/>
    <s v="5000+"/>
    <s v="Full-time"/>
    <s v="No"/>
  </r>
  <r>
    <s v="AIJOB01711"/>
    <x v="16"/>
    <x v="10"/>
    <s v="Automotive"/>
    <s v="Stockholm, Sweden"/>
    <s v="Sweden"/>
    <s v="Remote"/>
    <x v="0"/>
    <s v="0-2 yrs"/>
    <n v="83949"/>
    <x v="1709"/>
    <s v="Phi"/>
    <s v="Master's"/>
    <n v="45388"/>
    <n v="1073"/>
    <n v="3580"/>
    <s v="No"/>
    <n v="0"/>
    <s v="1001-5000"/>
    <s v="Contract"/>
    <s v="Yes"/>
  </r>
  <r>
    <s v="AIJOB01712"/>
    <x v="19"/>
    <x v="12"/>
    <s v="Media"/>
    <s v="Tel Aviv, Israel"/>
    <s v="Israel"/>
    <s v="On-site"/>
    <x v="2"/>
    <s v="2-5 yrs"/>
    <n v="107616"/>
    <x v="1710"/>
    <s v="Grok"/>
    <s v="Master's"/>
    <n v="45461"/>
    <n v="1648"/>
    <n v="1212"/>
    <s v="Yes"/>
    <n v="2"/>
    <s v="0-50"/>
    <s v="Part-time"/>
    <s v="No"/>
  </r>
  <r>
    <s v="AIJOB01713"/>
    <x v="8"/>
    <x v="12"/>
    <s v="Finance"/>
    <s v="Los Angeles, United States"/>
    <s v="United States"/>
    <s v="Remote"/>
    <x v="3"/>
    <s v="5-8 yrs"/>
    <n v="91337"/>
    <x v="1711"/>
    <s v="None"/>
    <s v="Master's"/>
    <n v="45467"/>
    <n v="2130"/>
    <n v="848"/>
    <s v="No"/>
    <n v="4"/>
    <s v="1001-5000"/>
    <s v="Full-time"/>
    <s v="No"/>
  </r>
  <r>
    <s v="AIJOB01714"/>
    <x v="18"/>
    <x v="25"/>
    <s v="Education"/>
    <s v="Paris, France"/>
    <s v="France"/>
    <s v="Remote"/>
    <x v="2"/>
    <s v="2-5 yrs"/>
    <n v="126778"/>
    <x v="1712"/>
    <s v="Phi"/>
    <s v="PhD"/>
    <n v="45352"/>
    <n v="489"/>
    <n v="227"/>
    <s v="Yes"/>
    <n v="2"/>
    <s v="0-50"/>
    <s v="Full-time"/>
    <s v="No"/>
  </r>
  <r>
    <s v="AIJOB01715"/>
    <x v="0"/>
    <x v="16"/>
    <s v="Defense"/>
    <s v="Tokyo, Japan"/>
    <s v="Japan"/>
    <s v="Remote"/>
    <x v="2"/>
    <s v="2-5 yrs"/>
    <n v="99400"/>
    <x v="1713"/>
    <s v="Mistral"/>
    <s v="Master's"/>
    <n v="45627"/>
    <n v="1454"/>
    <n v="378"/>
    <s v="No"/>
    <n v="2"/>
    <s v="201-1000"/>
    <s v="Full-time"/>
    <s v="No"/>
  </r>
  <r>
    <s v="AIJOB01716"/>
    <x v="7"/>
    <x v="23"/>
    <s v="Government"/>
    <s v="Boston, United States"/>
    <s v="United States"/>
    <s v="Hybrid"/>
    <x v="3"/>
    <s v="5-8 yrs"/>
    <n v="147555"/>
    <x v="1714"/>
    <s v="None"/>
    <s v="PhD"/>
    <n v="45695"/>
    <n v="2314"/>
    <n v="2360"/>
    <s v="Maybe"/>
    <n v="4"/>
    <s v="0-50"/>
    <s v="Full-time"/>
    <s v="Yes"/>
  </r>
  <r>
    <s v="AIJOB01717"/>
    <x v="3"/>
    <x v="14"/>
    <s v="Energy"/>
    <s v="Austin, United States"/>
    <s v="United States"/>
    <s v="Remote"/>
    <x v="1"/>
    <s v="8+ yrs"/>
    <n v="211951"/>
    <x v="1715"/>
    <s v="Claude"/>
    <s v="PhD"/>
    <n v="45618"/>
    <n v="2219"/>
    <n v="3941"/>
    <s v="Yes"/>
    <n v="6"/>
    <s v="5000+"/>
    <s v="Contract"/>
    <s v="Yes"/>
  </r>
  <r>
    <s v="AIJOB01718"/>
    <x v="13"/>
    <x v="23"/>
    <s v="Finance"/>
    <s v="Zurich, Switzerland"/>
    <s v="Switzerland"/>
    <s v="Remote"/>
    <x v="1"/>
    <s v="8+ yrs"/>
    <n v="206857"/>
    <x v="1716"/>
    <s v="BLOOM"/>
    <s v="Bootcamp/Self-taught"/>
    <n v="45505"/>
    <n v="2367"/>
    <n v="997"/>
    <s v="Yes"/>
    <n v="6"/>
    <s v="5000+"/>
    <s v="Full-time"/>
    <s v="No"/>
  </r>
  <r>
    <s v="AIJOB01719"/>
    <x v="15"/>
    <x v="22"/>
    <s v="Energy"/>
    <s v="Tel Aviv, Israel"/>
    <s v="Israel"/>
    <s v="Remote"/>
    <x v="3"/>
    <s v="5-8 yrs"/>
    <n v="169155"/>
    <x v="1717"/>
    <s v="Command R"/>
    <s v="Master's"/>
    <n v="45666"/>
    <n v="2329"/>
    <n v="1887"/>
    <s v="Yes"/>
    <n v="4"/>
    <s v="1001-5000"/>
    <s v="Full-time"/>
    <s v="No"/>
  </r>
  <r>
    <s v="AIJOB01720"/>
    <x v="3"/>
    <x v="14"/>
    <s v="Technology"/>
    <s v="Paris, France"/>
    <s v="France"/>
    <s v="Remote"/>
    <x v="3"/>
    <s v="5-8 yrs"/>
    <n v="138241"/>
    <x v="1718"/>
    <s v="None"/>
    <s v="Master's"/>
    <n v="45340"/>
    <n v="969"/>
    <n v="3102"/>
    <s v="Yes"/>
    <n v="4"/>
    <s v="1001-5000"/>
    <s v="Full-time"/>
    <s v="No"/>
  </r>
  <r>
    <s v="AIJOB01721"/>
    <x v="6"/>
    <x v="7"/>
    <s v="Retail"/>
    <s v="Chicago, United States"/>
    <s v="United States"/>
    <s v="Remote"/>
    <x v="1"/>
    <s v="8+ yrs"/>
    <n v="218471"/>
    <x v="1719"/>
    <s v="None"/>
    <s v="PhD"/>
    <n v="45301"/>
    <n v="1778"/>
    <n v="1891"/>
    <s v="Yes"/>
    <n v="6"/>
    <s v="201-1000"/>
    <s v="Full-time"/>
    <s v="No"/>
  </r>
  <r>
    <s v="AIJOB01722"/>
    <x v="10"/>
    <x v="14"/>
    <s v="Technology"/>
    <s v="London, United Kingdom"/>
    <s v="United Kingdom"/>
    <s v="Hybrid"/>
    <x v="2"/>
    <s v="2-5 yrs"/>
    <n v="104860"/>
    <x v="1720"/>
    <s v="Grok"/>
    <s v="Master's"/>
    <n v="45292"/>
    <n v="1307"/>
    <n v="2006"/>
    <s v="No"/>
    <n v="2"/>
    <s v="0-50"/>
    <s v="Full-time"/>
    <s v="No"/>
  </r>
  <r>
    <s v="AIJOB01723"/>
    <x v="19"/>
    <x v="9"/>
    <s v="Automotive"/>
    <s v="Zurich, Switzerland"/>
    <s v="Switzerland"/>
    <s v="Remote"/>
    <x v="1"/>
    <s v="8+ yrs"/>
    <n v="226597"/>
    <x v="1721"/>
    <s v="Phi"/>
    <s v="Master's"/>
    <n v="45310"/>
    <n v="933"/>
    <n v="2764"/>
    <s v="No"/>
    <n v="6"/>
    <s v="1001-5000"/>
    <s v="Full-time"/>
    <s v="Yes"/>
  </r>
  <r>
    <s v="AIJOB01724"/>
    <x v="14"/>
    <x v="19"/>
    <s v="Government"/>
    <s v="Toronto, Canada"/>
    <s v="Canada"/>
    <s v="Hybrid"/>
    <x v="1"/>
    <s v="8+ yrs"/>
    <n v="222153"/>
    <x v="1722"/>
    <s v="Mistral"/>
    <s v="Master's"/>
    <n v="45469"/>
    <n v="2108"/>
    <n v="555"/>
    <s v="No"/>
    <n v="6"/>
    <s v="1001-5000"/>
    <s v="Full-time"/>
    <s v="Yes"/>
  </r>
  <r>
    <s v="AIJOB01725"/>
    <x v="6"/>
    <x v="17"/>
    <s v="Retail"/>
    <s v="Dublin, Ireland"/>
    <s v="Ireland"/>
    <s v="Remote"/>
    <x v="2"/>
    <s v="2-5 yrs"/>
    <n v="91478"/>
    <x v="1723"/>
    <s v="None"/>
    <s v="Master's"/>
    <n v="45592"/>
    <n v="842"/>
    <n v="3101"/>
    <s v="Yes"/>
    <n v="2"/>
    <s v="51-200"/>
    <s v="Full-time"/>
    <s v="Yes"/>
  </r>
  <r>
    <s v="AIJOB01726"/>
    <x v="6"/>
    <x v="25"/>
    <s v="Technology"/>
    <s v="New York, United States"/>
    <s v="United States"/>
    <s v="Remote"/>
    <x v="2"/>
    <s v="2-5 yrs"/>
    <n v="131502"/>
    <x v="1724"/>
    <s v="GPT-4"/>
    <s v="Bootcamp/Self-taught"/>
    <n v="45724"/>
    <n v="2190"/>
    <n v="3096"/>
    <s v="No"/>
    <n v="2"/>
    <s v="201-1000"/>
    <s v="Contract"/>
    <s v="Yes"/>
  </r>
  <r>
    <s v="AIJOB01727"/>
    <x v="11"/>
    <x v="28"/>
    <s v="Finance"/>
    <s v="Austin, United States"/>
    <s v="United States"/>
    <s v="Remote"/>
    <x v="2"/>
    <s v="2-5 yrs"/>
    <n v="99387"/>
    <x v="1725"/>
    <s v="None"/>
    <s v="Bachelor's"/>
    <n v="45555"/>
    <n v="1119"/>
    <n v="1985"/>
    <s v="No"/>
    <n v="2"/>
    <s v="5000+"/>
    <s v="Full-time"/>
    <s v="Yes"/>
  </r>
  <r>
    <s v="AIJOB01728"/>
    <x v="16"/>
    <x v="27"/>
    <s v="Healthcare"/>
    <s v="Chicago, United States"/>
    <s v="United States"/>
    <s v="Hybrid"/>
    <x v="2"/>
    <s v="2-5 yrs"/>
    <n v="125999"/>
    <x v="1726"/>
    <s v="Mistral"/>
    <s v="Master's"/>
    <n v="45684"/>
    <n v="1753"/>
    <n v="2865"/>
    <s v="No"/>
    <n v="2"/>
    <s v="5000+"/>
    <s v="Full-time"/>
    <s v="Yes"/>
  </r>
  <r>
    <s v="AIJOB01729"/>
    <x v="7"/>
    <x v="12"/>
    <s v="Technology"/>
    <s v="Toronto, Canada"/>
    <s v="Canada"/>
    <s v="Remote"/>
    <x v="1"/>
    <s v="8+ yrs"/>
    <n v="213222"/>
    <x v="1727"/>
    <s v="None"/>
    <s v="Bachelor's"/>
    <n v="45676"/>
    <n v="1578"/>
    <n v="593"/>
    <s v="No"/>
    <n v="6"/>
    <s v="201-1000"/>
    <s v="Part-time"/>
    <s v="Yes"/>
  </r>
  <r>
    <s v="AIJOB01730"/>
    <x v="14"/>
    <x v="5"/>
    <s v="Retail"/>
    <s v="Amsterdam, Netherlands"/>
    <s v="Netherlands"/>
    <s v="Remote"/>
    <x v="0"/>
    <s v="0-2 yrs"/>
    <n v="93161"/>
    <x v="1728"/>
    <s v="None"/>
    <s v="Master's"/>
    <n v="45411"/>
    <n v="1803"/>
    <n v="1642"/>
    <s v="No"/>
    <n v="0"/>
    <s v="0-50"/>
    <s v="Full-time"/>
    <s v="No"/>
  </r>
  <r>
    <s v="AIJOB01731"/>
    <x v="1"/>
    <x v="10"/>
    <s v="Government"/>
    <s v="Amsterdam, Netherlands"/>
    <s v="Netherlands"/>
    <s v="Hybrid"/>
    <x v="0"/>
    <s v="0-2 yrs"/>
    <n v="67184"/>
    <x v="1729"/>
    <s v="None"/>
    <s v="PhD"/>
    <n v="45517"/>
    <n v="765"/>
    <n v="1965"/>
    <s v="Maybe"/>
    <n v="0"/>
    <s v="5000+"/>
    <s v="Full-time"/>
    <s v="No"/>
  </r>
  <r>
    <s v="AIJOB01732"/>
    <x v="11"/>
    <x v="3"/>
    <s v="Energy"/>
    <s v="Boston, United States"/>
    <s v="United States"/>
    <s v="On-site"/>
    <x v="3"/>
    <s v="5-8 yrs"/>
    <n v="140568"/>
    <x v="1730"/>
    <s v="Command R"/>
    <s v="PhD"/>
    <n v="45474"/>
    <n v="2198"/>
    <n v="2552"/>
    <s v="No"/>
    <n v="4"/>
    <s v="1001-5000"/>
    <s v="Full-time"/>
    <s v="Yes"/>
  </r>
  <r>
    <s v="AIJOB01733"/>
    <x v="3"/>
    <x v="27"/>
    <s v="Energy"/>
    <s v="Singapore"/>
    <s v="Singapore"/>
    <s v="Hybrid"/>
    <x v="1"/>
    <s v="8+ yrs"/>
    <n v="199300"/>
    <x v="1731"/>
    <s v="None"/>
    <s v="Bootcamp/Self-taught"/>
    <n v="45600"/>
    <n v="1174"/>
    <n v="2613"/>
    <s v="No"/>
    <n v="6"/>
    <s v="0-50"/>
    <s v="Full-time"/>
    <s v="No"/>
  </r>
  <r>
    <s v="AIJOB01734"/>
    <x v="6"/>
    <x v="25"/>
    <s v="Energy"/>
    <s v="Dublin, Ireland"/>
    <s v="Ireland"/>
    <s v="On-site"/>
    <x v="1"/>
    <s v="8+ yrs"/>
    <n v="189085"/>
    <x v="1732"/>
    <s v="Claude"/>
    <s v="Master's"/>
    <n v="45638"/>
    <n v="2022"/>
    <n v="3958"/>
    <s v="No"/>
    <n v="6"/>
    <s v="201-1000"/>
    <s v="Contract"/>
    <s v="No"/>
  </r>
  <r>
    <s v="AIJOB01735"/>
    <x v="13"/>
    <x v="17"/>
    <s v="Media"/>
    <s v="Austin, United States"/>
    <s v="United States"/>
    <s v="Remote"/>
    <x v="2"/>
    <s v="2-5 yrs"/>
    <n v="125838"/>
    <x v="1733"/>
    <s v="None"/>
    <s v="Master's"/>
    <n v="45515"/>
    <n v="1214"/>
    <n v="1229"/>
    <s v="No"/>
    <n v="2"/>
    <s v="1001-5000"/>
    <s v="Full-time"/>
    <s v="Yes"/>
  </r>
  <r>
    <s v="AIJOB01736"/>
    <x v="12"/>
    <x v="20"/>
    <s v="Automotive"/>
    <s v="Paris, France"/>
    <s v="France"/>
    <s v="Remote"/>
    <x v="1"/>
    <s v="8+ yrs"/>
    <n v="141812"/>
    <x v="1734"/>
    <s v="Falcon"/>
    <s v="Bachelor's"/>
    <n v="45590"/>
    <n v="2223"/>
    <n v="1571"/>
    <s v="Yes"/>
    <n v="6"/>
    <s v="0-50"/>
    <s v="Full-time"/>
    <s v="No"/>
  </r>
  <r>
    <s v="AIJOB01737"/>
    <x v="11"/>
    <x v="22"/>
    <s v="Technology"/>
    <s v="Bangalore, India"/>
    <s v="India"/>
    <s v="Remote"/>
    <x v="2"/>
    <s v="2-5 yrs"/>
    <n v="89137"/>
    <x v="1735"/>
    <s v="None"/>
    <s v="Bachelor's"/>
    <n v="45585"/>
    <n v="1724"/>
    <n v="1322"/>
    <s v="No"/>
    <n v="2"/>
    <s v="201-1000"/>
    <s v="Full-time"/>
    <s v="Yes"/>
  </r>
  <r>
    <s v="AIJOB01738"/>
    <x v="16"/>
    <x v="12"/>
    <s v="Education"/>
    <s v="Seattle, United States"/>
    <s v="United States"/>
    <s v="Hybrid"/>
    <x v="2"/>
    <s v="2-5 yrs"/>
    <n v="88857"/>
    <x v="1736"/>
    <s v="Gemini"/>
    <s v="Bootcamp/Self-taught"/>
    <n v="45554"/>
    <n v="1857"/>
    <n v="2760"/>
    <s v="No"/>
    <n v="2"/>
    <s v="51-200"/>
    <s v="Full-time"/>
    <s v="Yes"/>
  </r>
  <r>
    <s v="AIJOB01739"/>
    <x v="14"/>
    <x v="13"/>
    <s v="Media"/>
    <s v="Toronto, Canada"/>
    <s v="Canada"/>
    <s v="Remote"/>
    <x v="2"/>
    <s v="2-5 yrs"/>
    <n v="128816"/>
    <x v="1737"/>
    <s v="Grok"/>
    <s v="Master's"/>
    <n v="45665"/>
    <n v="320"/>
    <n v="3274"/>
    <s v="Yes"/>
    <n v="2"/>
    <s v="0-50"/>
    <s v="Full-time"/>
    <s v="Yes"/>
  </r>
  <r>
    <s v="AIJOB01740"/>
    <x v="1"/>
    <x v="12"/>
    <s v="Healthcare"/>
    <s v="Chicago, United States"/>
    <s v="United States"/>
    <s v="Hybrid"/>
    <x v="1"/>
    <s v="8+ yrs"/>
    <n v="261582"/>
    <x v="1738"/>
    <s v="None"/>
    <s v="Master's"/>
    <n v="45664"/>
    <n v="1546"/>
    <n v="3794"/>
    <s v="No"/>
    <n v="6"/>
    <s v="5000+"/>
    <s v="Contract"/>
    <s v="No"/>
  </r>
  <r>
    <s v="AIJOB01741"/>
    <x v="9"/>
    <x v="25"/>
    <s v="Technology"/>
    <s v="Dublin, Ireland"/>
    <s v="Ireland"/>
    <s v="Remote"/>
    <x v="1"/>
    <s v="8+ yrs"/>
    <n v="196239"/>
    <x v="1739"/>
    <s v="None"/>
    <s v="Master's"/>
    <n v="45477"/>
    <n v="2330"/>
    <n v="406"/>
    <s v="Maybe"/>
    <n v="6"/>
    <s v="201-1000"/>
    <s v="Contract"/>
    <s v="No"/>
  </r>
  <r>
    <s v="AIJOB01742"/>
    <x v="16"/>
    <x v="14"/>
    <s v="Automotive"/>
    <s v="San Francisco, United States"/>
    <s v="United States"/>
    <s v="Remote"/>
    <x v="0"/>
    <s v="0-2 yrs"/>
    <n v="67872"/>
    <x v="1740"/>
    <s v="None"/>
    <s v="Bachelor's"/>
    <n v="45676"/>
    <n v="2322"/>
    <n v="3257"/>
    <s v="Yes"/>
    <n v="0"/>
    <s v="51-200"/>
    <s v="Full-time"/>
    <s v="No"/>
  </r>
  <r>
    <s v="AIJOB01743"/>
    <x v="17"/>
    <x v="7"/>
    <s v="Retail"/>
    <s v="Berlin, Germany"/>
    <s v="Germany"/>
    <s v="Hybrid"/>
    <x v="3"/>
    <s v="5-8 yrs"/>
    <n v="151891"/>
    <x v="1741"/>
    <s v="Claude"/>
    <s v="Master's"/>
    <n v="45585"/>
    <n v="1540"/>
    <n v="3041"/>
    <s v="No"/>
    <n v="4"/>
    <s v="0-50"/>
    <s v="Full-time"/>
    <s v="No"/>
  </r>
  <r>
    <s v="AIJOB01744"/>
    <x v="1"/>
    <x v="26"/>
    <s v="Energy"/>
    <s v="Bangalore, India"/>
    <s v="India"/>
    <s v="Remote"/>
    <x v="2"/>
    <s v="2-5 yrs"/>
    <n v="133005"/>
    <x v="1742"/>
    <s v="Grok"/>
    <s v="Bachelor's"/>
    <n v="45709"/>
    <n v="946"/>
    <n v="3069"/>
    <s v="No"/>
    <n v="2"/>
    <s v="51-200"/>
    <s v="Full-time"/>
    <s v="No"/>
  </r>
  <r>
    <s v="AIJOB01745"/>
    <x v="12"/>
    <x v="28"/>
    <s v="Automotive"/>
    <s v="Amsterdam, Netherlands"/>
    <s v="Netherlands"/>
    <s v="Remote"/>
    <x v="1"/>
    <s v="8+ yrs"/>
    <n v="166615"/>
    <x v="1743"/>
    <s v="None"/>
    <s v="Master's"/>
    <n v="45603"/>
    <n v="1651"/>
    <n v="734"/>
    <s v="Maybe"/>
    <n v="6"/>
    <s v="51-200"/>
    <s v="Contract"/>
    <s v="No"/>
  </r>
  <r>
    <s v="AIJOB01746"/>
    <x v="11"/>
    <x v="0"/>
    <s v="Defense"/>
    <s v="Paris, France"/>
    <s v="France"/>
    <s v="Hybrid"/>
    <x v="0"/>
    <s v="0-2 yrs"/>
    <n v="73003"/>
    <x v="770"/>
    <s v="Mistral"/>
    <s v="Bachelor's"/>
    <n v="45324"/>
    <n v="2049"/>
    <n v="12"/>
    <s v="Maybe"/>
    <n v="0"/>
    <s v="5000+"/>
    <s v="Contract"/>
    <s v="Yes"/>
  </r>
  <r>
    <s v="AIJOB01747"/>
    <x v="11"/>
    <x v="17"/>
    <s v="Retail"/>
    <s v="Bangalore, India"/>
    <s v="India"/>
    <s v="Remote"/>
    <x v="3"/>
    <s v="5-8 yrs"/>
    <n v="176330"/>
    <x v="1744"/>
    <s v="Falcon"/>
    <s v="PhD"/>
    <n v="45512"/>
    <n v="1959"/>
    <n v="2872"/>
    <s v="No"/>
    <n v="4"/>
    <s v="201-1000"/>
    <s v="Full-time"/>
    <s v="Yes"/>
  </r>
  <r>
    <s v="AIJOB01748"/>
    <x v="10"/>
    <x v="25"/>
    <s v="Retail"/>
    <s v="Zurich, Switzerland"/>
    <s v="Switzerland"/>
    <s v="On-site"/>
    <x v="0"/>
    <s v="0-2 yrs"/>
    <n v="76313"/>
    <x v="1745"/>
    <s v="Phi"/>
    <s v="Bachelor's"/>
    <n v="45314"/>
    <n v="1827"/>
    <n v="546"/>
    <s v="No"/>
    <n v="0"/>
    <s v="1001-5000"/>
    <s v="Contract"/>
    <s v="No"/>
  </r>
  <r>
    <s v="AIJOB01749"/>
    <x v="13"/>
    <x v="19"/>
    <s v="Education"/>
    <s v="Paris, France"/>
    <s v="France"/>
    <s v="Hybrid"/>
    <x v="0"/>
    <s v="0-2 yrs"/>
    <n v="72388"/>
    <x v="1746"/>
    <s v="Falcon"/>
    <s v="Bachelor's"/>
    <n v="45453"/>
    <n v="2424"/>
    <n v="57"/>
    <s v="Yes"/>
    <n v="0"/>
    <s v="0-50"/>
    <s v="Full-time"/>
    <s v="No"/>
  </r>
  <r>
    <s v="AIJOB01750"/>
    <x v="16"/>
    <x v="25"/>
    <s v="Automotive"/>
    <s v="London, United Kingdom"/>
    <s v="United Kingdom"/>
    <s v="On-site"/>
    <x v="1"/>
    <s v="8+ yrs"/>
    <n v="236037"/>
    <x v="1747"/>
    <s v="None"/>
    <s v="Master's"/>
    <n v="45339"/>
    <n v="774"/>
    <n v="786"/>
    <s v="Maybe"/>
    <n v="6"/>
    <s v="201-1000"/>
    <s v="Full-time"/>
    <s v="Yes"/>
  </r>
  <r>
    <s v="AIJOB01751"/>
    <x v="0"/>
    <x v="15"/>
    <s v="Energy"/>
    <s v="Zurich, Switzerland"/>
    <s v="Switzerland"/>
    <s v="Remote"/>
    <x v="0"/>
    <s v="0-2 yrs"/>
    <n v="50000"/>
    <x v="1748"/>
    <s v="Command R"/>
    <s v="Bachelor's"/>
    <n v="45587"/>
    <n v="1574"/>
    <n v="2509"/>
    <s v="Maybe"/>
    <n v="0"/>
    <s v="5000+"/>
    <s v="Contract"/>
    <s v="No"/>
  </r>
  <r>
    <s v="AIJOB01752"/>
    <x v="1"/>
    <x v="9"/>
    <s v="Retail"/>
    <s v="San Francisco, United States"/>
    <s v="United States"/>
    <s v="Hybrid"/>
    <x v="3"/>
    <s v="5-8 yrs"/>
    <n v="168302"/>
    <x v="1749"/>
    <s v="Grok"/>
    <s v="PhD"/>
    <n v="45651"/>
    <n v="604"/>
    <n v="3132"/>
    <s v="Yes"/>
    <n v="4"/>
    <s v="5000+"/>
    <s v="Full-time"/>
    <s v="No"/>
  </r>
  <r>
    <s v="AIJOB01753"/>
    <x v="17"/>
    <x v="24"/>
    <s v="Education"/>
    <s v="New York, United States"/>
    <s v="United States"/>
    <s v="Hybrid"/>
    <x v="3"/>
    <s v="5-8 yrs"/>
    <n v="132339"/>
    <x v="1750"/>
    <s v="None"/>
    <s v="Master's"/>
    <n v="45715"/>
    <n v="1728"/>
    <n v="1588"/>
    <s v="Yes"/>
    <n v="4"/>
    <s v="1001-5000"/>
    <s v="Full-time"/>
    <s v="Yes"/>
  </r>
  <r>
    <s v="AIJOB01754"/>
    <x v="11"/>
    <x v="4"/>
    <s v="Defense"/>
    <s v="Seattle, United States"/>
    <s v="United States"/>
    <s v="Hybrid"/>
    <x v="0"/>
    <s v="0-2 yrs"/>
    <n v="50000"/>
    <x v="1751"/>
    <s v="GPT-4"/>
    <s v="Bootcamp/Self-taught"/>
    <n v="45384"/>
    <n v="1817"/>
    <n v="3873"/>
    <s v="Yes"/>
    <n v="0"/>
    <s v="201-1000"/>
    <s v="Full-time"/>
    <s v="Yes"/>
  </r>
  <r>
    <s v="AIJOB01755"/>
    <x v="0"/>
    <x v="16"/>
    <s v="Retail"/>
    <s v="Stockholm, Sweden"/>
    <s v="Sweden"/>
    <s v="Remote"/>
    <x v="0"/>
    <s v="0-2 yrs"/>
    <n v="76441"/>
    <x v="1752"/>
    <s v="Gemini"/>
    <s v="PhD"/>
    <n v="45717"/>
    <n v="1207"/>
    <n v="811"/>
    <s v="Yes"/>
    <n v="0"/>
    <s v="201-1000"/>
    <s v="Full-time"/>
    <s v="No"/>
  </r>
  <r>
    <s v="AIJOB01756"/>
    <x v="10"/>
    <x v="14"/>
    <s v="Government"/>
    <s v="Zurich, Switzerland"/>
    <s v="Switzerland"/>
    <s v="Hybrid"/>
    <x v="1"/>
    <s v="8+ yrs"/>
    <n v="249451"/>
    <x v="1753"/>
    <s v="Mistral"/>
    <s v="Master's"/>
    <n v="45361"/>
    <n v="2368"/>
    <n v="2881"/>
    <s v="No"/>
    <n v="6"/>
    <s v="0-50"/>
    <s v="Contract"/>
    <s v="No"/>
  </r>
  <r>
    <s v="AIJOB01757"/>
    <x v="11"/>
    <x v="14"/>
    <s v="Retail"/>
    <s v="Zurich, Switzerland"/>
    <s v="Switzerland"/>
    <s v="Hybrid"/>
    <x v="0"/>
    <s v="0-2 yrs"/>
    <n v="68268"/>
    <x v="1754"/>
    <s v="GPT-4"/>
    <s v="PhD"/>
    <n v="45732"/>
    <n v="324"/>
    <n v="2135"/>
    <s v="Yes"/>
    <n v="0"/>
    <s v="201-1000"/>
    <s v="Contract"/>
    <s v="No"/>
  </r>
  <r>
    <s v="AIJOB01758"/>
    <x v="1"/>
    <x v="21"/>
    <s v="Technology"/>
    <s v="Amsterdam, Netherlands"/>
    <s v="Netherlands"/>
    <s v="Remote"/>
    <x v="0"/>
    <s v="0-2 yrs"/>
    <n v="82006"/>
    <x v="1755"/>
    <s v="Claude"/>
    <s v="PhD"/>
    <n v="45699"/>
    <n v="1267"/>
    <n v="1128"/>
    <s v="No"/>
    <n v="0"/>
    <s v="201-1000"/>
    <s v="Full-time"/>
    <s v="No"/>
  </r>
  <r>
    <s v="AIJOB01759"/>
    <x v="16"/>
    <x v="18"/>
    <s v="Automotive"/>
    <s v="Chicago, United States"/>
    <s v="United States"/>
    <s v="Remote"/>
    <x v="0"/>
    <s v="0-2 yrs"/>
    <n v="90314"/>
    <x v="1756"/>
    <s v="None"/>
    <s v="Master's"/>
    <n v="45640"/>
    <n v="2070"/>
    <n v="2443"/>
    <s v="No"/>
    <n v="0"/>
    <s v="5000+"/>
    <s v="Full-time"/>
    <s v="No"/>
  </r>
  <r>
    <s v="AIJOB01760"/>
    <x v="16"/>
    <x v="22"/>
    <s v="Defense"/>
    <s v="Tel Aviv, Israel"/>
    <s v="Israel"/>
    <s v="Remote"/>
    <x v="0"/>
    <s v="0-2 yrs"/>
    <n v="86567"/>
    <x v="1757"/>
    <s v="None"/>
    <s v="Master's"/>
    <n v="45603"/>
    <n v="2114"/>
    <n v="3727"/>
    <s v="No"/>
    <n v="0"/>
    <s v="201-1000"/>
    <s v="Contract"/>
    <s v="No"/>
  </r>
  <r>
    <s v="AIJOB01761"/>
    <x v="1"/>
    <x v="24"/>
    <s v="Healthcare"/>
    <s v="Bangalore, India"/>
    <s v="India"/>
    <s v="Remote"/>
    <x v="3"/>
    <s v="5-8 yrs"/>
    <n v="194279"/>
    <x v="1758"/>
    <s v="Mistral"/>
    <s v="Master's"/>
    <n v="45491"/>
    <n v="1941"/>
    <n v="515"/>
    <s v="No"/>
    <n v="4"/>
    <s v="201-1000"/>
    <s v="Full-time"/>
    <s v="Yes"/>
  </r>
  <r>
    <s v="AIJOB01762"/>
    <x v="10"/>
    <x v="4"/>
    <s v="Healthcare"/>
    <s v="Zurich, Switzerland"/>
    <s v="Switzerland"/>
    <s v="On-site"/>
    <x v="3"/>
    <s v="5-8 yrs"/>
    <n v="170037"/>
    <x v="1759"/>
    <s v="BLOOM"/>
    <s v="PhD"/>
    <n v="45360"/>
    <n v="1934"/>
    <n v="1793"/>
    <s v="Yes"/>
    <n v="4"/>
    <s v="51-200"/>
    <s v="Full-time"/>
    <s v="No"/>
  </r>
  <r>
    <s v="AIJOB01763"/>
    <x v="2"/>
    <x v="12"/>
    <s v="Education"/>
    <s v="Stockholm, Sweden"/>
    <s v="Sweden"/>
    <s v="Hybrid"/>
    <x v="1"/>
    <s v="8+ yrs"/>
    <n v="202715"/>
    <x v="1760"/>
    <s v="Command R"/>
    <s v="PhD"/>
    <n v="45615"/>
    <n v="1509"/>
    <n v="193"/>
    <s v="Yes"/>
    <n v="6"/>
    <s v="201-1000"/>
    <s v="Contract"/>
    <s v="No"/>
  </r>
  <r>
    <s v="AIJOB01764"/>
    <x v="3"/>
    <x v="14"/>
    <s v="Technology"/>
    <s v="Seattle, United States"/>
    <s v="United States"/>
    <s v="Hybrid"/>
    <x v="2"/>
    <s v="2-5 yrs"/>
    <n v="78281"/>
    <x v="1761"/>
    <s v="BLOOM"/>
    <s v="Bachelor's"/>
    <n v="45367"/>
    <n v="1614"/>
    <n v="3062"/>
    <s v="No"/>
    <n v="2"/>
    <s v="5000+"/>
    <s v="Full-time"/>
    <s v="Yes"/>
  </r>
  <r>
    <s v="AIJOB01765"/>
    <x v="4"/>
    <x v="29"/>
    <s v="Retail"/>
    <s v="Toronto, Canada"/>
    <s v="Canada"/>
    <s v="Remote"/>
    <x v="1"/>
    <s v="8+ yrs"/>
    <n v="191141"/>
    <x v="1762"/>
    <s v="Falcon"/>
    <s v="Master's"/>
    <n v="45726"/>
    <n v="659"/>
    <n v="781"/>
    <s v="No"/>
    <n v="6"/>
    <s v="5000+"/>
    <s v="Full-time"/>
    <s v="No"/>
  </r>
  <r>
    <s v="AIJOB01766"/>
    <x v="13"/>
    <x v="15"/>
    <s v="Defense"/>
    <s v="Tokyo, Japan"/>
    <s v="Japan"/>
    <s v="On-site"/>
    <x v="3"/>
    <s v="5-8 yrs"/>
    <n v="127232"/>
    <x v="1763"/>
    <s v="Claude"/>
    <s v="Bachelor's"/>
    <n v="45611"/>
    <n v="901"/>
    <n v="3783"/>
    <s v="Maybe"/>
    <n v="4"/>
    <s v="201-1000"/>
    <s v="Contract"/>
    <s v="No"/>
  </r>
  <r>
    <s v="AIJOB01767"/>
    <x v="7"/>
    <x v="7"/>
    <s v="Education"/>
    <s v="Amsterdam, Netherlands"/>
    <s v="Netherlands"/>
    <s v="On-site"/>
    <x v="0"/>
    <s v="0-2 yrs"/>
    <n v="97353"/>
    <x v="1764"/>
    <s v="None"/>
    <s v="Master's"/>
    <n v="45620"/>
    <n v="1386"/>
    <n v="2855"/>
    <s v="Maybe"/>
    <n v="0"/>
    <s v="51-200"/>
    <s v="Full-time"/>
    <s v="No"/>
  </r>
  <r>
    <s v="AIJOB01768"/>
    <x v="8"/>
    <x v="26"/>
    <s v="Education"/>
    <s v="Sydney, Australia"/>
    <s v="Australia"/>
    <s v="Remote"/>
    <x v="2"/>
    <s v="2-5 yrs"/>
    <n v="106517"/>
    <x v="1765"/>
    <s v="Claude"/>
    <s v="Master's"/>
    <n v="45368"/>
    <n v="2417"/>
    <n v="340"/>
    <s v="No"/>
    <n v="2"/>
    <s v="0-50"/>
    <s v="Part-time"/>
    <s v="No"/>
  </r>
  <r>
    <s v="AIJOB01769"/>
    <x v="12"/>
    <x v="3"/>
    <s v="Government"/>
    <s v="Berlin, Germany"/>
    <s v="Germany"/>
    <s v="On-site"/>
    <x v="1"/>
    <s v="8+ yrs"/>
    <n v="204435"/>
    <x v="1766"/>
    <s v="None"/>
    <s v="Master's"/>
    <n v="45375"/>
    <n v="2239"/>
    <n v="1859"/>
    <s v="Maybe"/>
    <n v="6"/>
    <s v="201-1000"/>
    <s v="Contract"/>
    <s v="Yes"/>
  </r>
  <r>
    <s v="AIJOB01770"/>
    <x v="5"/>
    <x v="26"/>
    <s v="Government"/>
    <s v="Singapore"/>
    <s v="Singapore"/>
    <s v="Hybrid"/>
    <x v="2"/>
    <s v="2-5 yrs"/>
    <n v="120919"/>
    <x v="1767"/>
    <s v="Falcon"/>
    <s v="Bachelor's"/>
    <n v="45544"/>
    <n v="2208"/>
    <n v="3983"/>
    <s v="No"/>
    <n v="2"/>
    <s v="5000+"/>
    <s v="Contract"/>
    <s v="No"/>
  </r>
  <r>
    <s v="AIJOB01771"/>
    <x v="18"/>
    <x v="20"/>
    <s v="Technology"/>
    <s v="Paris, France"/>
    <s v="France"/>
    <s v="Remote"/>
    <x v="0"/>
    <s v="0-2 yrs"/>
    <n v="70549"/>
    <x v="1768"/>
    <s v="Command R"/>
    <s v="Bootcamp/Self-taught"/>
    <n v="45479"/>
    <n v="2107"/>
    <n v="1634"/>
    <s v="No"/>
    <n v="0"/>
    <s v="1001-5000"/>
    <s v="Contract"/>
    <s v="No"/>
  </r>
  <r>
    <s v="AIJOB01772"/>
    <x v="1"/>
    <x v="17"/>
    <s v="Education"/>
    <s v="Stockholm, Sweden"/>
    <s v="Sweden"/>
    <s v="Hybrid"/>
    <x v="2"/>
    <s v="2-5 yrs"/>
    <n v="143562"/>
    <x v="1769"/>
    <s v="Gemini"/>
    <s v="Master's"/>
    <n v="45545"/>
    <n v="595"/>
    <n v="2811"/>
    <s v="No"/>
    <n v="2"/>
    <s v="51-200"/>
    <s v="Contract"/>
    <s v="Yes"/>
  </r>
  <r>
    <s v="AIJOB01773"/>
    <x v="16"/>
    <x v="24"/>
    <s v="Automotive"/>
    <s v="London, United Kingdom"/>
    <s v="United Kingdom"/>
    <s v="Remote"/>
    <x v="2"/>
    <s v="2-5 yrs"/>
    <n v="97671"/>
    <x v="1770"/>
    <s v="None"/>
    <s v="PhD"/>
    <n v="45676"/>
    <n v="636"/>
    <n v="1062"/>
    <s v="No"/>
    <n v="2"/>
    <s v="201-1000"/>
    <s v="Full-time"/>
    <s v="No"/>
  </r>
  <r>
    <s v="AIJOB01774"/>
    <x v="0"/>
    <x v="28"/>
    <s v="Education"/>
    <s v="Chicago, United States"/>
    <s v="United States"/>
    <s v="Remote"/>
    <x v="0"/>
    <s v="0-2 yrs"/>
    <n v="72452"/>
    <x v="1771"/>
    <s v="Mistral"/>
    <s v="Master's"/>
    <n v="45438"/>
    <n v="1138"/>
    <n v="884"/>
    <s v="Yes"/>
    <n v="0"/>
    <s v="5000+"/>
    <s v="Contract"/>
    <s v="Yes"/>
  </r>
  <r>
    <s v="AIJOB01775"/>
    <x v="0"/>
    <x v="18"/>
    <s v="Technology"/>
    <s v="Paris, France"/>
    <s v="France"/>
    <s v="Remote"/>
    <x v="3"/>
    <s v="5-8 yrs"/>
    <n v="129953"/>
    <x v="1772"/>
    <s v="Grok"/>
    <s v="Bachelor's"/>
    <n v="45416"/>
    <n v="487"/>
    <n v="3066"/>
    <s v="Yes"/>
    <n v="4"/>
    <s v="201-1000"/>
    <s v="Full-time"/>
    <s v="Yes"/>
  </r>
  <r>
    <s v="AIJOB01776"/>
    <x v="6"/>
    <x v="5"/>
    <s v="Energy"/>
    <s v="Boston, United States"/>
    <s v="United States"/>
    <s v="Hybrid"/>
    <x v="1"/>
    <s v="8+ yrs"/>
    <n v="152479"/>
    <x v="1773"/>
    <s v="Phi"/>
    <s v="Bachelor's"/>
    <n v="45569"/>
    <n v="2250"/>
    <n v="2106"/>
    <s v="No"/>
    <n v="6"/>
    <s v="51-200"/>
    <s v="Full-time"/>
    <s v="No"/>
  </r>
  <r>
    <s v="AIJOB01777"/>
    <x v="3"/>
    <x v="29"/>
    <s v="Retail"/>
    <s v="Tokyo, Japan"/>
    <s v="Japan"/>
    <s v="Remote"/>
    <x v="1"/>
    <s v="8+ yrs"/>
    <n v="177976"/>
    <x v="1774"/>
    <s v="None"/>
    <s v="Bachelor's"/>
    <n v="45525"/>
    <n v="956"/>
    <n v="695"/>
    <s v="Yes"/>
    <n v="6"/>
    <s v="5000+"/>
    <s v="Full-time"/>
    <s v="No"/>
  </r>
  <r>
    <s v="AIJOB01778"/>
    <x v="14"/>
    <x v="8"/>
    <s v="Energy"/>
    <s v="Sydney, Australia"/>
    <s v="Australia"/>
    <s v="Hybrid"/>
    <x v="0"/>
    <s v="0-2 yrs"/>
    <n v="69533"/>
    <x v="1775"/>
    <s v="None"/>
    <s v="Bachelor's"/>
    <n v="45643"/>
    <n v="1923"/>
    <n v="2285"/>
    <s v="No"/>
    <n v="0"/>
    <s v="1001-5000"/>
    <s v="Full-time"/>
    <s v="No"/>
  </r>
  <r>
    <s v="AIJOB01779"/>
    <x v="2"/>
    <x v="4"/>
    <s v="Healthcare"/>
    <s v="Bangalore, India"/>
    <s v="India"/>
    <s v="Remote"/>
    <x v="0"/>
    <s v="0-2 yrs"/>
    <n v="64590"/>
    <x v="1776"/>
    <s v="Command R"/>
    <s v="Bachelor's"/>
    <n v="45498"/>
    <n v="933"/>
    <n v="502"/>
    <s v="Maybe"/>
    <n v="0"/>
    <s v="51-200"/>
    <s v="Contract"/>
    <s v="No"/>
  </r>
  <r>
    <s v="AIJOB01780"/>
    <x v="3"/>
    <x v="27"/>
    <s v="Media"/>
    <s v="Zurich, Switzerland"/>
    <s v="Switzerland"/>
    <s v="On-site"/>
    <x v="0"/>
    <s v="0-2 yrs"/>
    <n v="61275"/>
    <x v="1777"/>
    <s v="None"/>
    <s v="Bachelor's"/>
    <n v="45400"/>
    <n v="1182"/>
    <n v="2462"/>
    <s v="Yes"/>
    <n v="0"/>
    <s v="0-50"/>
    <s v="Contract"/>
    <s v="No"/>
  </r>
  <r>
    <s v="AIJOB01781"/>
    <x v="16"/>
    <x v="17"/>
    <s v="Automotive"/>
    <s v="Zurich, Switzerland"/>
    <s v="Switzerland"/>
    <s v="Remote"/>
    <x v="1"/>
    <s v="8+ yrs"/>
    <n v="149372"/>
    <x v="1778"/>
    <s v="None"/>
    <s v="Master's"/>
    <n v="45681"/>
    <n v="1248"/>
    <n v="397"/>
    <s v="Yes"/>
    <n v="6"/>
    <s v="201-1000"/>
    <s v="Full-time"/>
    <s v="Yes"/>
  </r>
  <r>
    <s v="AIJOB01782"/>
    <x v="18"/>
    <x v="28"/>
    <s v="Finance"/>
    <s v="Zurich, Switzerland"/>
    <s v="Switzerland"/>
    <s v="On-site"/>
    <x v="3"/>
    <s v="5-8 yrs"/>
    <n v="147756"/>
    <x v="1779"/>
    <s v="BLOOM"/>
    <s v="Bachelor's"/>
    <n v="45579"/>
    <n v="1370"/>
    <n v="752"/>
    <s v="Yes"/>
    <n v="4"/>
    <s v="1001-5000"/>
    <s v="Contract"/>
    <s v="No"/>
  </r>
  <r>
    <s v="AIJOB01783"/>
    <x v="4"/>
    <x v="11"/>
    <s v="Finance"/>
    <s v="San Francisco, United States"/>
    <s v="United States"/>
    <s v="Remote"/>
    <x v="1"/>
    <s v="8+ yrs"/>
    <n v="145830"/>
    <x v="1780"/>
    <s v="None"/>
    <s v="Master's"/>
    <n v="45655"/>
    <n v="1684"/>
    <n v="2383"/>
    <s v="No"/>
    <n v="6"/>
    <s v="201-1000"/>
    <s v="Contract"/>
    <s v="No"/>
  </r>
  <r>
    <s v="AIJOB01784"/>
    <x v="16"/>
    <x v="1"/>
    <s v="Defense"/>
    <s v="Toronto, Canada"/>
    <s v="Canada"/>
    <s v="Remote"/>
    <x v="3"/>
    <s v="5-8 yrs"/>
    <n v="170521"/>
    <x v="1781"/>
    <s v="BLOOM"/>
    <s v="Master's"/>
    <n v="45418"/>
    <n v="2302"/>
    <n v="1647"/>
    <s v="No"/>
    <n v="4"/>
    <s v="5000+"/>
    <s v="Full-time"/>
    <s v="No"/>
  </r>
  <r>
    <s v="AIJOB01785"/>
    <x v="12"/>
    <x v="21"/>
    <s v="Defense"/>
    <s v="Boston, United States"/>
    <s v="United States"/>
    <s v="Hybrid"/>
    <x v="2"/>
    <s v="2-5 yrs"/>
    <n v="111632"/>
    <x v="1782"/>
    <s v="Command R"/>
    <s v="Bachelor's"/>
    <n v="45509"/>
    <n v="1717"/>
    <n v="911"/>
    <s v="No"/>
    <n v="2"/>
    <s v="5000+"/>
    <s v="Full-time"/>
    <s v="No"/>
  </r>
  <r>
    <s v="AIJOB01786"/>
    <x v="1"/>
    <x v="16"/>
    <s v="Media"/>
    <s v="Toronto, Canada"/>
    <s v="Canada"/>
    <s v="Remote"/>
    <x v="3"/>
    <s v="5-8 yrs"/>
    <n v="110646"/>
    <x v="1783"/>
    <s v="None"/>
    <s v="Bachelor's"/>
    <n v="45543"/>
    <n v="412"/>
    <n v="145"/>
    <s v="Yes"/>
    <n v="4"/>
    <s v="0-50"/>
    <s v="Full-time"/>
    <s v="Yes"/>
  </r>
  <r>
    <s v="AIJOB01787"/>
    <x v="5"/>
    <x v="21"/>
    <s v="Defense"/>
    <s v="Sydney, Australia"/>
    <s v="Australia"/>
    <s v="Remote"/>
    <x v="0"/>
    <s v="0-2 yrs"/>
    <n v="66103"/>
    <x v="1784"/>
    <s v="Claude"/>
    <s v="Master's"/>
    <n v="45675"/>
    <n v="656"/>
    <n v="20"/>
    <s v="Maybe"/>
    <n v="0"/>
    <s v="5000+"/>
    <s v="Part-time"/>
    <s v="Yes"/>
  </r>
  <r>
    <s v="AIJOB01788"/>
    <x v="11"/>
    <x v="1"/>
    <s v="Education"/>
    <s v="Bangalore, India"/>
    <s v="India"/>
    <s v="Hybrid"/>
    <x v="3"/>
    <s v="5-8 yrs"/>
    <n v="129691"/>
    <x v="1785"/>
    <s v="Claude"/>
    <s v="Bachelor's"/>
    <n v="45301"/>
    <n v="409"/>
    <n v="1572"/>
    <s v="No"/>
    <n v="4"/>
    <s v="5000+"/>
    <s v="Full-time"/>
    <s v="No"/>
  </r>
  <r>
    <s v="AIJOB01789"/>
    <x v="11"/>
    <x v="22"/>
    <s v="Retail"/>
    <s v="Toronto, Canada"/>
    <s v="Canada"/>
    <s v="On-site"/>
    <x v="1"/>
    <s v="8+ yrs"/>
    <n v="211490"/>
    <x v="1786"/>
    <s v="BLOOM"/>
    <s v="Master's"/>
    <n v="45591"/>
    <n v="534"/>
    <n v="1500"/>
    <s v="No"/>
    <n v="6"/>
    <s v="1001-5000"/>
    <s v="Full-time"/>
    <s v="Yes"/>
  </r>
  <r>
    <s v="AIJOB01790"/>
    <x v="15"/>
    <x v="29"/>
    <s v="Education"/>
    <s v="Boston, United States"/>
    <s v="United States"/>
    <s v="Hybrid"/>
    <x v="3"/>
    <s v="5-8 yrs"/>
    <n v="186192"/>
    <x v="1787"/>
    <s v="Falcon"/>
    <s v="Master's"/>
    <n v="45532"/>
    <n v="942"/>
    <n v="3156"/>
    <s v="Maybe"/>
    <n v="4"/>
    <s v="1001-5000"/>
    <s v="Full-time"/>
    <s v="Yes"/>
  </r>
  <r>
    <s v="AIJOB01791"/>
    <x v="18"/>
    <x v="0"/>
    <s v="Energy"/>
    <s v="Tokyo, Japan"/>
    <s v="Japan"/>
    <s v="Remote"/>
    <x v="3"/>
    <s v="5-8 yrs"/>
    <n v="99370"/>
    <x v="1788"/>
    <s v="Grok"/>
    <s v="Master's"/>
    <n v="45530"/>
    <n v="2382"/>
    <n v="2270"/>
    <s v="No"/>
    <n v="4"/>
    <s v="5000+"/>
    <s v="Full-time"/>
    <s v="Yes"/>
  </r>
  <r>
    <s v="AIJOB01792"/>
    <x v="10"/>
    <x v="16"/>
    <s v="Media"/>
    <s v="Tokyo, Japan"/>
    <s v="Japan"/>
    <s v="Hybrid"/>
    <x v="3"/>
    <s v="5-8 yrs"/>
    <n v="153105"/>
    <x v="1789"/>
    <s v="None"/>
    <s v="Bachelor's"/>
    <n v="45469"/>
    <n v="2332"/>
    <n v="219"/>
    <s v="Yes"/>
    <n v="4"/>
    <s v="51-200"/>
    <s v="Full-time"/>
    <s v="Yes"/>
  </r>
  <r>
    <s v="AIJOB01793"/>
    <x v="8"/>
    <x v="4"/>
    <s v="Defense"/>
    <s v="Boston, United States"/>
    <s v="United States"/>
    <s v="Hybrid"/>
    <x v="1"/>
    <s v="8+ yrs"/>
    <n v="194235"/>
    <x v="1790"/>
    <s v="None"/>
    <s v="Bachelor's"/>
    <n v="45705"/>
    <n v="1385"/>
    <n v="3993"/>
    <s v="No"/>
    <n v="6"/>
    <s v="0-50"/>
    <s v="Full-time"/>
    <s v="No"/>
  </r>
  <r>
    <s v="AIJOB01794"/>
    <x v="7"/>
    <x v="9"/>
    <s v="Education"/>
    <s v="Bangalore, India"/>
    <s v="India"/>
    <s v="On-site"/>
    <x v="3"/>
    <s v="5-8 yrs"/>
    <n v="168126"/>
    <x v="1791"/>
    <s v="Falcon"/>
    <s v="Master's"/>
    <n v="45734"/>
    <n v="322"/>
    <n v="2300"/>
    <s v="No"/>
    <n v="4"/>
    <s v="5000+"/>
    <s v="Full-time"/>
    <s v="Yes"/>
  </r>
  <r>
    <s v="AIJOB01795"/>
    <x v="7"/>
    <x v="24"/>
    <s v="Energy"/>
    <s v="Austin, United States"/>
    <s v="United States"/>
    <s v="On-site"/>
    <x v="3"/>
    <s v="5-8 yrs"/>
    <n v="155756"/>
    <x v="1792"/>
    <s v="None"/>
    <s v="Bachelor's"/>
    <n v="45413"/>
    <n v="1240"/>
    <n v="2189"/>
    <s v="Yes"/>
    <n v="4"/>
    <s v="5000+"/>
    <s v="Full-time"/>
    <s v="Yes"/>
  </r>
  <r>
    <s v="AIJOB01796"/>
    <x v="9"/>
    <x v="15"/>
    <s v="Education"/>
    <s v="Tokyo, Japan"/>
    <s v="Japan"/>
    <s v="Remote"/>
    <x v="2"/>
    <s v="2-5 yrs"/>
    <n v="95111"/>
    <x v="1793"/>
    <s v="None"/>
    <s v="Bachelor's"/>
    <n v="45500"/>
    <n v="1156"/>
    <n v="236"/>
    <s v="Maybe"/>
    <n v="2"/>
    <s v="201-1000"/>
    <s v="Full-time"/>
    <s v="Yes"/>
  </r>
  <r>
    <s v="AIJOB01797"/>
    <x v="11"/>
    <x v="8"/>
    <s v="Healthcare"/>
    <s v="Toronto, Canada"/>
    <s v="Canada"/>
    <s v="On-site"/>
    <x v="2"/>
    <s v="2-5 yrs"/>
    <n v="103682"/>
    <x v="1794"/>
    <s v="None"/>
    <s v="Master's"/>
    <n v="45653"/>
    <n v="2415"/>
    <n v="953"/>
    <s v="Maybe"/>
    <n v="2"/>
    <s v="1001-5000"/>
    <s v="Full-time"/>
    <s v="Yes"/>
  </r>
  <r>
    <s v="AIJOB01798"/>
    <x v="9"/>
    <x v="16"/>
    <s v="Healthcare"/>
    <s v="Chicago, United States"/>
    <s v="United States"/>
    <s v="Hybrid"/>
    <x v="3"/>
    <s v="5-8 yrs"/>
    <n v="128507"/>
    <x v="1795"/>
    <s v="Llama"/>
    <s v="Bootcamp/Self-taught"/>
    <n v="45623"/>
    <n v="1105"/>
    <n v="3377"/>
    <s v="No"/>
    <n v="4"/>
    <s v="5000+"/>
    <s v="Full-time"/>
    <s v="Yes"/>
  </r>
  <r>
    <s v="AIJOB01799"/>
    <x v="6"/>
    <x v="0"/>
    <s v="Technology"/>
    <s v="New York, United States"/>
    <s v="United States"/>
    <s v="Hybrid"/>
    <x v="2"/>
    <s v="2-5 yrs"/>
    <n v="131304"/>
    <x v="1796"/>
    <s v="Command R"/>
    <s v="Master's"/>
    <n v="45680"/>
    <n v="2484"/>
    <n v="461"/>
    <s v="No"/>
    <n v="2"/>
    <s v="5000+"/>
    <s v="Full-time"/>
    <s v="Yes"/>
  </r>
  <r>
    <s v="AIJOB01800"/>
    <x v="10"/>
    <x v="21"/>
    <s v="Retail"/>
    <s v="Zurich, Switzerland"/>
    <s v="Switzerland"/>
    <s v="On-site"/>
    <x v="3"/>
    <s v="5-8 yrs"/>
    <n v="150575"/>
    <x v="1797"/>
    <s v="Mistral"/>
    <s v="PhD"/>
    <n v="45535"/>
    <n v="2131"/>
    <n v="3541"/>
    <s v="No"/>
    <n v="4"/>
    <s v="201-1000"/>
    <s v="Contract"/>
    <s v="No"/>
  </r>
  <r>
    <s v="AIJOB01801"/>
    <x v="12"/>
    <x v="15"/>
    <s v="Media"/>
    <s v="Austin, United States"/>
    <s v="United States"/>
    <s v="Remote"/>
    <x v="2"/>
    <s v="2-5 yrs"/>
    <n v="147643"/>
    <x v="1798"/>
    <s v="Command R"/>
    <s v="PhD"/>
    <n v="45705"/>
    <n v="2226"/>
    <n v="1378"/>
    <s v="No"/>
    <n v="2"/>
    <s v="1001-5000"/>
    <s v="Full-time"/>
    <s v="Yes"/>
  </r>
  <r>
    <s v="AIJOB01802"/>
    <x v="1"/>
    <x v="21"/>
    <s v="Government"/>
    <s v="Toronto, Canada"/>
    <s v="Canada"/>
    <s v="Hybrid"/>
    <x v="0"/>
    <s v="0-2 yrs"/>
    <n v="69235"/>
    <x v="1799"/>
    <s v="Command R"/>
    <s v="Master's"/>
    <n v="45414"/>
    <n v="2433"/>
    <n v="3964"/>
    <s v="No"/>
    <n v="0"/>
    <s v="0-50"/>
    <s v="Full-time"/>
    <s v="No"/>
  </r>
  <r>
    <s v="AIJOB01803"/>
    <x v="7"/>
    <x v="15"/>
    <s v="Education"/>
    <s v="Los Angeles, United States"/>
    <s v="United States"/>
    <s v="On-site"/>
    <x v="1"/>
    <s v="8+ yrs"/>
    <n v="174497"/>
    <x v="1800"/>
    <s v="None"/>
    <s v="Master's"/>
    <n v="45520"/>
    <n v="483"/>
    <n v="2582"/>
    <s v="No"/>
    <n v="6"/>
    <s v="1001-5000"/>
    <s v="Contract"/>
    <s v="Yes"/>
  </r>
  <r>
    <s v="AIJOB01804"/>
    <x v="13"/>
    <x v="12"/>
    <s v="Automotive"/>
    <s v="Amsterdam, Netherlands"/>
    <s v="Netherlands"/>
    <s v="Remote"/>
    <x v="1"/>
    <s v="8+ yrs"/>
    <n v="145506"/>
    <x v="1801"/>
    <s v="Phi"/>
    <s v="Master's"/>
    <n v="45310"/>
    <n v="1103"/>
    <n v="3309"/>
    <s v="Yes"/>
    <n v="6"/>
    <s v="201-1000"/>
    <s v="Full-time"/>
    <s v="No"/>
  </r>
  <r>
    <s v="AIJOB01805"/>
    <x v="14"/>
    <x v="25"/>
    <s v="Healthcare"/>
    <s v="Los Angeles, United States"/>
    <s v="United States"/>
    <s v="On-site"/>
    <x v="2"/>
    <s v="2-5 yrs"/>
    <n v="74297"/>
    <x v="1802"/>
    <s v="None"/>
    <s v="Master's"/>
    <n v="45460"/>
    <n v="2405"/>
    <n v="246"/>
    <s v="No"/>
    <n v="2"/>
    <s v="51-200"/>
    <s v="Full-time"/>
    <s v="No"/>
  </r>
  <r>
    <s v="AIJOB01806"/>
    <x v="10"/>
    <x v="1"/>
    <s v="Defense"/>
    <s v="Chicago, United States"/>
    <s v="United States"/>
    <s v="On-site"/>
    <x v="2"/>
    <s v="2-5 yrs"/>
    <n v="78634"/>
    <x v="1803"/>
    <s v="None"/>
    <s v="Master's"/>
    <n v="45423"/>
    <n v="1393"/>
    <n v="3893"/>
    <s v="No"/>
    <n v="2"/>
    <s v="201-1000"/>
    <s v="Contract"/>
    <s v="No"/>
  </r>
  <r>
    <s v="AIJOB01807"/>
    <x v="12"/>
    <x v="16"/>
    <s v="Government"/>
    <s v="Zurich, Switzerland"/>
    <s v="Switzerland"/>
    <s v="Remote"/>
    <x v="3"/>
    <s v="5-8 yrs"/>
    <n v="157212"/>
    <x v="1804"/>
    <s v="GPT-4"/>
    <s v="Bachelor's"/>
    <n v="45394"/>
    <n v="521"/>
    <n v="518"/>
    <s v="No"/>
    <n v="4"/>
    <s v="51-200"/>
    <s v="Full-time"/>
    <s v="No"/>
  </r>
  <r>
    <s v="AIJOB01808"/>
    <x v="17"/>
    <x v="28"/>
    <s v="Media"/>
    <s v="Tokyo, Japan"/>
    <s v="Japan"/>
    <s v="On-site"/>
    <x v="2"/>
    <s v="2-5 yrs"/>
    <n v="120072"/>
    <x v="1805"/>
    <s v="None"/>
    <s v="Master's"/>
    <n v="45629"/>
    <n v="313"/>
    <n v="1012"/>
    <s v="Yes"/>
    <n v="2"/>
    <s v="5000+"/>
    <s v="Full-time"/>
    <s v="Yes"/>
  </r>
  <r>
    <s v="AIJOB01809"/>
    <x v="16"/>
    <x v="13"/>
    <s v="Energy"/>
    <s v="New York, United States"/>
    <s v="United States"/>
    <s v="On-site"/>
    <x v="3"/>
    <s v="5-8 yrs"/>
    <n v="107307"/>
    <x v="1806"/>
    <s v="Llama"/>
    <s v="Bootcamp/Self-taught"/>
    <n v="45641"/>
    <n v="1636"/>
    <n v="27"/>
    <s v="Yes"/>
    <n v="4"/>
    <s v="51-200"/>
    <s v="Full-time"/>
    <s v="No"/>
  </r>
  <r>
    <s v="AIJOB01810"/>
    <x v="1"/>
    <x v="19"/>
    <s v="Technology"/>
    <s v="New York, United States"/>
    <s v="United States"/>
    <s v="Hybrid"/>
    <x v="2"/>
    <s v="2-5 yrs"/>
    <n v="127721"/>
    <x v="1807"/>
    <s v="None"/>
    <s v="Master's"/>
    <n v="45646"/>
    <n v="529"/>
    <n v="3735"/>
    <s v="Maybe"/>
    <n v="2"/>
    <s v="201-1000"/>
    <s v="Full-time"/>
    <s v="No"/>
  </r>
  <r>
    <s v="AIJOB01811"/>
    <x v="9"/>
    <x v="10"/>
    <s v="Government"/>
    <s v="Bangalore, India"/>
    <s v="India"/>
    <s v="Hybrid"/>
    <x v="3"/>
    <s v="5-8 yrs"/>
    <n v="136957"/>
    <x v="1808"/>
    <s v="Falcon"/>
    <s v="Bachelor's"/>
    <n v="45540"/>
    <n v="729"/>
    <n v="1544"/>
    <s v="Maybe"/>
    <n v="4"/>
    <s v="5000+"/>
    <s v="Full-time"/>
    <s v="Yes"/>
  </r>
  <r>
    <s v="AIJOB01812"/>
    <x v="9"/>
    <x v="16"/>
    <s v="Government"/>
    <s v="Los Angeles, United States"/>
    <s v="United States"/>
    <s v="On-site"/>
    <x v="2"/>
    <s v="2-5 yrs"/>
    <n v="112906"/>
    <x v="1809"/>
    <s v="Gemini"/>
    <s v="Master's"/>
    <n v="45728"/>
    <n v="2212"/>
    <n v="2818"/>
    <s v="No"/>
    <n v="2"/>
    <s v="5000+"/>
    <s v="Contract"/>
    <s v="No"/>
  </r>
  <r>
    <s v="AIJOB01813"/>
    <x v="4"/>
    <x v="1"/>
    <s v="Automotive"/>
    <s v="Austin, United States"/>
    <s v="United States"/>
    <s v="Hybrid"/>
    <x v="3"/>
    <s v="5-8 yrs"/>
    <n v="193529"/>
    <x v="1810"/>
    <s v="Grok"/>
    <s v="Bachelor's"/>
    <n v="45416"/>
    <n v="2355"/>
    <n v="1867"/>
    <s v="No"/>
    <n v="4"/>
    <s v="201-1000"/>
    <s v="Full-time"/>
    <s v="No"/>
  </r>
  <r>
    <s v="AIJOB01814"/>
    <x v="5"/>
    <x v="22"/>
    <s v="Media"/>
    <s v="Zurich, Switzerland"/>
    <s v="Switzerland"/>
    <s v="Hybrid"/>
    <x v="3"/>
    <s v="5-8 yrs"/>
    <n v="174214"/>
    <x v="1811"/>
    <s v="None"/>
    <s v="PhD"/>
    <n v="45745"/>
    <n v="468"/>
    <n v="982"/>
    <s v="Maybe"/>
    <n v="4"/>
    <s v="0-50"/>
    <s v="Full-time"/>
    <s v="No"/>
  </r>
  <r>
    <s v="AIJOB01815"/>
    <x v="6"/>
    <x v="5"/>
    <s v="Healthcare"/>
    <s v="Boston, United States"/>
    <s v="United States"/>
    <s v="Hybrid"/>
    <x v="3"/>
    <s v="5-8 yrs"/>
    <n v="142749"/>
    <x v="1812"/>
    <s v="GPT-4"/>
    <s v="Master's"/>
    <n v="45599"/>
    <n v="2129"/>
    <n v="1806"/>
    <s v="No"/>
    <n v="4"/>
    <s v="201-1000"/>
    <s v="Full-time"/>
    <s v="No"/>
  </r>
  <r>
    <s v="AIJOB01816"/>
    <x v="8"/>
    <x v="5"/>
    <s v="Education"/>
    <s v="Amsterdam, Netherlands"/>
    <s v="Netherlands"/>
    <s v="Remote"/>
    <x v="1"/>
    <s v="8+ yrs"/>
    <n v="167917"/>
    <x v="1813"/>
    <s v="Llama"/>
    <s v="Bachelor's"/>
    <n v="45739"/>
    <n v="1481"/>
    <n v="3027"/>
    <s v="No"/>
    <n v="6"/>
    <s v="51-200"/>
    <s v="Full-time"/>
    <s v="No"/>
  </r>
  <r>
    <s v="AIJOB01817"/>
    <x v="17"/>
    <x v="2"/>
    <s v="Media"/>
    <s v="Tel Aviv, Israel"/>
    <s v="Israel"/>
    <s v="Remote"/>
    <x v="0"/>
    <s v="0-2 yrs"/>
    <n v="50000"/>
    <x v="1814"/>
    <s v="None"/>
    <s v="Master's"/>
    <n v="45437"/>
    <n v="1386"/>
    <n v="3786"/>
    <s v="No"/>
    <n v="0"/>
    <s v="0-50"/>
    <s v="Full-time"/>
    <s v="Yes"/>
  </r>
  <r>
    <s v="AIJOB01818"/>
    <x v="12"/>
    <x v="8"/>
    <s v="Technology"/>
    <s v="Los Angeles, United States"/>
    <s v="United States"/>
    <s v="Hybrid"/>
    <x v="3"/>
    <s v="5-8 yrs"/>
    <n v="130582"/>
    <x v="1815"/>
    <s v="Falcon"/>
    <s v="Bootcamp/Self-taught"/>
    <n v="45542"/>
    <n v="2144"/>
    <n v="1775"/>
    <s v="No"/>
    <n v="4"/>
    <s v="5000+"/>
    <s v="Contract"/>
    <s v="Yes"/>
  </r>
  <r>
    <s v="AIJOB01819"/>
    <x v="5"/>
    <x v="22"/>
    <s v="Government"/>
    <s v="Berlin, Germany"/>
    <s v="Germany"/>
    <s v="On-site"/>
    <x v="0"/>
    <s v="0-2 yrs"/>
    <n v="67339"/>
    <x v="1816"/>
    <s v="None"/>
    <s v="Bootcamp/Self-taught"/>
    <n v="45370"/>
    <n v="1127"/>
    <n v="1141"/>
    <s v="Yes"/>
    <n v="0"/>
    <s v="0-50"/>
    <s v="Full-time"/>
    <s v="Yes"/>
  </r>
  <r>
    <s v="AIJOB01820"/>
    <x v="16"/>
    <x v="19"/>
    <s v="Healthcare"/>
    <s v="Stockholm, Sweden"/>
    <s v="Sweden"/>
    <s v="Remote"/>
    <x v="3"/>
    <s v="5-8 yrs"/>
    <n v="123346"/>
    <x v="1817"/>
    <s v="BLOOM"/>
    <s v="Bootcamp/Self-taught"/>
    <n v="45440"/>
    <n v="2036"/>
    <n v="2296"/>
    <s v="Maybe"/>
    <n v="4"/>
    <s v="51-200"/>
    <s v="Full-time"/>
    <s v="No"/>
  </r>
  <r>
    <s v="AIJOB01821"/>
    <x v="8"/>
    <x v="6"/>
    <s v="Technology"/>
    <s v="Los Angeles, United States"/>
    <s v="United States"/>
    <s v="Hybrid"/>
    <x v="1"/>
    <s v="8+ yrs"/>
    <n v="195274"/>
    <x v="1818"/>
    <s v="BLOOM"/>
    <s v="Bachelor's"/>
    <n v="45578"/>
    <n v="625"/>
    <n v="1950"/>
    <s v="Yes"/>
    <n v="6"/>
    <s v="201-1000"/>
    <s v="Full-time"/>
    <s v="No"/>
  </r>
  <r>
    <s v="AIJOB01822"/>
    <x v="15"/>
    <x v="25"/>
    <s v="Retail"/>
    <s v="Zurich, Switzerland"/>
    <s v="Switzerland"/>
    <s v="Hybrid"/>
    <x v="0"/>
    <s v="0-2 yrs"/>
    <n v="70968"/>
    <x v="1819"/>
    <s v="None"/>
    <s v="PhD"/>
    <n v="45410"/>
    <n v="2021"/>
    <n v="157"/>
    <s v="No"/>
    <n v="0"/>
    <s v="5000+"/>
    <s v="Part-time"/>
    <s v="No"/>
  </r>
  <r>
    <s v="AIJOB01823"/>
    <x v="13"/>
    <x v="4"/>
    <s v="Automotive"/>
    <s v="New York, United States"/>
    <s v="United States"/>
    <s v="Remote"/>
    <x v="0"/>
    <s v="0-2 yrs"/>
    <n v="67166"/>
    <x v="1820"/>
    <s v="Gemini"/>
    <s v="Bachelor's"/>
    <n v="45696"/>
    <n v="1077"/>
    <n v="2819"/>
    <s v="No"/>
    <n v="0"/>
    <s v="51-200"/>
    <s v="Contract"/>
    <s v="No"/>
  </r>
  <r>
    <s v="AIJOB01824"/>
    <x v="19"/>
    <x v="5"/>
    <s v="Healthcare"/>
    <s v="Tel Aviv, Israel"/>
    <s v="Israel"/>
    <s v="Hybrid"/>
    <x v="2"/>
    <s v="2-5 yrs"/>
    <n v="97129"/>
    <x v="1821"/>
    <s v="Command R"/>
    <s v="Bootcamp/Self-taught"/>
    <n v="45386"/>
    <n v="557"/>
    <n v="2302"/>
    <s v="No"/>
    <n v="2"/>
    <s v="51-200"/>
    <s v="Full-time"/>
    <s v="Yes"/>
  </r>
  <r>
    <s v="AIJOB01825"/>
    <x v="14"/>
    <x v="22"/>
    <s v="Energy"/>
    <s v="Los Angeles, United States"/>
    <s v="United States"/>
    <s v="Hybrid"/>
    <x v="0"/>
    <s v="0-2 yrs"/>
    <n v="72125"/>
    <x v="1822"/>
    <s v="Llama"/>
    <s v="Master's"/>
    <n v="45513"/>
    <n v="1060"/>
    <n v="1214"/>
    <s v="Yes"/>
    <n v="0"/>
    <s v="1001-5000"/>
    <s v="Full-time"/>
    <s v="No"/>
  </r>
  <r>
    <s v="AIJOB01826"/>
    <x v="3"/>
    <x v="20"/>
    <s v="Education"/>
    <s v="Sydney, Australia"/>
    <s v="Australia"/>
    <s v="Remote"/>
    <x v="1"/>
    <s v="8+ yrs"/>
    <n v="215909"/>
    <x v="1823"/>
    <s v="None"/>
    <s v="Master's"/>
    <n v="45307"/>
    <n v="2078"/>
    <n v="1674"/>
    <s v="Yes"/>
    <n v="6"/>
    <s v="5000+"/>
    <s v="Contract"/>
    <s v="Yes"/>
  </r>
  <r>
    <s v="AIJOB01827"/>
    <x v="4"/>
    <x v="22"/>
    <s v="Automotive"/>
    <s v="Bangalore, India"/>
    <s v="India"/>
    <s v="On-site"/>
    <x v="1"/>
    <s v="8+ yrs"/>
    <n v="160745"/>
    <x v="1824"/>
    <s v="Claude"/>
    <s v="Master's"/>
    <n v="45446"/>
    <n v="1189"/>
    <n v="3258"/>
    <s v="No"/>
    <n v="6"/>
    <s v="201-1000"/>
    <s v="Full-time"/>
    <s v="No"/>
  </r>
  <r>
    <s v="AIJOB01828"/>
    <x v="18"/>
    <x v="6"/>
    <s v="Technology"/>
    <s v="Chicago, United States"/>
    <s v="United States"/>
    <s v="Remote"/>
    <x v="1"/>
    <s v="8+ yrs"/>
    <n v="250793"/>
    <x v="1825"/>
    <s v="Grok"/>
    <s v="PhD"/>
    <n v="45365"/>
    <n v="1836"/>
    <n v="1108"/>
    <s v="No"/>
    <n v="6"/>
    <s v="5000+"/>
    <s v="Full-time"/>
    <s v="Yes"/>
  </r>
  <r>
    <s v="AIJOB01829"/>
    <x v="10"/>
    <x v="9"/>
    <s v="Healthcare"/>
    <s v="London, United Kingdom"/>
    <s v="United Kingdom"/>
    <s v="Hybrid"/>
    <x v="0"/>
    <s v="0-2 yrs"/>
    <n v="68757"/>
    <x v="1826"/>
    <s v="None"/>
    <s v="Bachelor's"/>
    <n v="45567"/>
    <n v="2309"/>
    <n v="572"/>
    <s v="Yes"/>
    <n v="0"/>
    <s v="0-50"/>
    <s v="Full-time"/>
    <s v="Yes"/>
  </r>
  <r>
    <s v="AIJOB01830"/>
    <x v="8"/>
    <x v="23"/>
    <s v="Energy"/>
    <s v="New York, United States"/>
    <s v="United States"/>
    <s v="On-site"/>
    <x v="3"/>
    <s v="5-8 yrs"/>
    <n v="150508"/>
    <x v="1827"/>
    <s v="Mistral"/>
    <s v="Bootcamp/Self-taught"/>
    <n v="45637"/>
    <n v="2330"/>
    <n v="2063"/>
    <s v="Yes"/>
    <n v="4"/>
    <s v="201-1000"/>
    <s v="Contract"/>
    <s v="Yes"/>
  </r>
  <r>
    <s v="AIJOB01831"/>
    <x v="11"/>
    <x v="17"/>
    <s v="Government"/>
    <s v="Bangalore, India"/>
    <s v="India"/>
    <s v="Hybrid"/>
    <x v="3"/>
    <s v="5-8 yrs"/>
    <n v="169121"/>
    <x v="1828"/>
    <s v="GPT-4"/>
    <s v="Master's"/>
    <n v="45625"/>
    <n v="839"/>
    <n v="3764"/>
    <s v="No"/>
    <n v="4"/>
    <s v="1001-5000"/>
    <s v="Full-time"/>
    <s v="Yes"/>
  </r>
  <r>
    <s v="AIJOB01832"/>
    <x v="2"/>
    <x v="28"/>
    <s v="Retail"/>
    <s v="Singapore"/>
    <s v="Singapore"/>
    <s v="On-site"/>
    <x v="3"/>
    <s v="5-8 yrs"/>
    <n v="156296"/>
    <x v="1829"/>
    <s v="BLOOM"/>
    <s v="PhD"/>
    <n v="45406"/>
    <n v="1337"/>
    <n v="737"/>
    <s v="Yes"/>
    <n v="4"/>
    <s v="201-1000"/>
    <s v="Full-time"/>
    <s v="No"/>
  </r>
  <r>
    <s v="AIJOB01833"/>
    <x v="10"/>
    <x v="13"/>
    <s v="Defense"/>
    <s v="Bangalore, India"/>
    <s v="India"/>
    <s v="Remote"/>
    <x v="1"/>
    <s v="8+ yrs"/>
    <n v="234312"/>
    <x v="1830"/>
    <s v="Falcon"/>
    <s v="Bachelor's"/>
    <n v="45658"/>
    <n v="2461"/>
    <n v="1433"/>
    <s v="No"/>
    <n v="6"/>
    <s v="0-50"/>
    <s v="Contract"/>
    <s v="Yes"/>
  </r>
  <r>
    <s v="AIJOB01834"/>
    <x v="0"/>
    <x v="14"/>
    <s v="Healthcare"/>
    <s v="Paris, France"/>
    <s v="France"/>
    <s v="Remote"/>
    <x v="2"/>
    <s v="2-5 yrs"/>
    <n v="115685"/>
    <x v="1831"/>
    <s v="None"/>
    <s v="PhD"/>
    <n v="45728"/>
    <n v="2350"/>
    <n v="3565"/>
    <s v="Maybe"/>
    <n v="2"/>
    <s v="1001-5000"/>
    <s v="Full-time"/>
    <s v="No"/>
  </r>
  <r>
    <s v="AIJOB01835"/>
    <x v="15"/>
    <x v="25"/>
    <s v="Finance"/>
    <s v="Zurich, Switzerland"/>
    <s v="Switzerland"/>
    <s v="Hybrid"/>
    <x v="1"/>
    <s v="8+ yrs"/>
    <n v="177952"/>
    <x v="1832"/>
    <s v="Phi"/>
    <s v="PhD"/>
    <n v="45316"/>
    <n v="2311"/>
    <n v="187"/>
    <s v="Yes"/>
    <n v="6"/>
    <s v="51-200"/>
    <s v="Full-time"/>
    <s v="Yes"/>
  </r>
  <r>
    <s v="AIJOB01836"/>
    <x v="2"/>
    <x v="1"/>
    <s v="Healthcare"/>
    <s v="Bangalore, India"/>
    <s v="India"/>
    <s v="On-site"/>
    <x v="3"/>
    <s v="5-8 yrs"/>
    <n v="159760"/>
    <x v="1833"/>
    <s v="GPT-4"/>
    <s v="Master's"/>
    <n v="45627"/>
    <n v="1038"/>
    <n v="1449"/>
    <s v="No"/>
    <n v="4"/>
    <s v="1001-5000"/>
    <s v="Full-time"/>
    <s v="Yes"/>
  </r>
  <r>
    <s v="AIJOB01837"/>
    <x v="5"/>
    <x v="12"/>
    <s v="Government"/>
    <s v="Austin, United States"/>
    <s v="United States"/>
    <s v="On-site"/>
    <x v="2"/>
    <s v="2-5 yrs"/>
    <n v="87354"/>
    <x v="1834"/>
    <s v="Command R"/>
    <s v="Bachelor's"/>
    <n v="45549"/>
    <n v="464"/>
    <n v="1763"/>
    <s v="Yes"/>
    <n v="2"/>
    <s v="5000+"/>
    <s v="Contract"/>
    <s v="No"/>
  </r>
  <r>
    <s v="AIJOB01838"/>
    <x v="3"/>
    <x v="9"/>
    <s v="Healthcare"/>
    <s v="Chicago, United States"/>
    <s v="United States"/>
    <s v="Hybrid"/>
    <x v="0"/>
    <s v="0-2 yrs"/>
    <n v="71367"/>
    <x v="1835"/>
    <s v="Command R"/>
    <s v="Bachelor's"/>
    <n v="45525"/>
    <n v="1306"/>
    <n v="348"/>
    <s v="No"/>
    <n v="0"/>
    <s v="1001-5000"/>
    <s v="Full-time"/>
    <s v="No"/>
  </r>
  <r>
    <s v="AIJOB01839"/>
    <x v="15"/>
    <x v="28"/>
    <s v="Government"/>
    <s v="Los Angeles, United States"/>
    <s v="United States"/>
    <s v="Remote"/>
    <x v="1"/>
    <s v="8+ yrs"/>
    <n v="198803"/>
    <x v="1836"/>
    <s v="BLOOM"/>
    <s v="Master's"/>
    <n v="45495"/>
    <n v="2014"/>
    <n v="3134"/>
    <s v="Yes"/>
    <n v="6"/>
    <s v="1001-5000"/>
    <s v="Full-time"/>
    <s v="Yes"/>
  </r>
  <r>
    <s v="AIJOB01840"/>
    <x v="19"/>
    <x v="27"/>
    <s v="Education"/>
    <s v="Berlin, Germany"/>
    <s v="Germany"/>
    <s v="On-site"/>
    <x v="1"/>
    <s v="8+ yrs"/>
    <n v="192507"/>
    <x v="1837"/>
    <s v="None"/>
    <s v="PhD"/>
    <n v="45637"/>
    <n v="761"/>
    <n v="41"/>
    <s v="Yes"/>
    <n v="6"/>
    <s v="201-1000"/>
    <s v="Contract"/>
    <s v="No"/>
  </r>
  <r>
    <s v="AIJOB01841"/>
    <x v="19"/>
    <x v="18"/>
    <s v="Defense"/>
    <s v="New York, United States"/>
    <s v="United States"/>
    <s v="Remote"/>
    <x v="1"/>
    <s v="8+ yrs"/>
    <n v="195372"/>
    <x v="1838"/>
    <s v="BLOOM"/>
    <s v="Bachelor's"/>
    <n v="45293"/>
    <n v="1038"/>
    <n v="3990"/>
    <s v="Yes"/>
    <n v="6"/>
    <s v="51-200"/>
    <s v="Full-time"/>
    <s v="Yes"/>
  </r>
  <r>
    <s v="AIJOB01842"/>
    <x v="7"/>
    <x v="2"/>
    <s v="Automotive"/>
    <s v="Boston, United States"/>
    <s v="United States"/>
    <s v="Remote"/>
    <x v="0"/>
    <s v="0-2 yrs"/>
    <n v="50000"/>
    <x v="1839"/>
    <s v="None"/>
    <s v="Bachelor's"/>
    <n v="45436"/>
    <n v="743"/>
    <n v="2902"/>
    <s v="No"/>
    <n v="0"/>
    <s v="0-50"/>
    <s v="Full-time"/>
    <s v="Yes"/>
  </r>
  <r>
    <s v="AIJOB01843"/>
    <x v="2"/>
    <x v="22"/>
    <s v="Finance"/>
    <s v="Dublin, Ireland"/>
    <s v="Ireland"/>
    <s v="Hybrid"/>
    <x v="1"/>
    <s v="8+ yrs"/>
    <n v="180245"/>
    <x v="1840"/>
    <s v="None"/>
    <s v="PhD"/>
    <n v="45613"/>
    <n v="565"/>
    <n v="1332"/>
    <s v="No"/>
    <n v="6"/>
    <s v="5000+"/>
    <s v="Full-time"/>
    <s v="No"/>
  </r>
  <r>
    <s v="AIJOB01844"/>
    <x v="0"/>
    <x v="15"/>
    <s v="Government"/>
    <s v="Tokyo, Japan"/>
    <s v="Japan"/>
    <s v="Remote"/>
    <x v="0"/>
    <s v="0-2 yrs"/>
    <n v="71169"/>
    <x v="1841"/>
    <s v="Llama"/>
    <s v="Master's"/>
    <n v="45437"/>
    <n v="1808"/>
    <n v="2876"/>
    <s v="No"/>
    <n v="0"/>
    <s v="1001-5000"/>
    <s v="Contract"/>
    <s v="Yes"/>
  </r>
  <r>
    <s v="AIJOB01845"/>
    <x v="12"/>
    <x v="15"/>
    <s v="Automotive"/>
    <s v="London, United Kingdom"/>
    <s v="United Kingdom"/>
    <s v="Remote"/>
    <x v="3"/>
    <s v="5-8 yrs"/>
    <n v="154316"/>
    <x v="1842"/>
    <s v="Command R"/>
    <s v="Master's"/>
    <n v="45426"/>
    <n v="755"/>
    <n v="3364"/>
    <s v="Yes"/>
    <n v="4"/>
    <s v="5000+"/>
    <s v="Full-time"/>
    <s v="No"/>
  </r>
  <r>
    <s v="AIJOB01846"/>
    <x v="7"/>
    <x v="25"/>
    <s v="Education"/>
    <s v="Zurich, Switzerland"/>
    <s v="Switzerland"/>
    <s v="Hybrid"/>
    <x v="2"/>
    <s v="2-5 yrs"/>
    <n v="89652"/>
    <x v="1843"/>
    <s v="BLOOM"/>
    <s v="Master's"/>
    <n v="45339"/>
    <n v="1752"/>
    <n v="2485"/>
    <s v="Yes"/>
    <n v="2"/>
    <s v="51-200"/>
    <s v="Part-time"/>
    <s v="No"/>
  </r>
  <r>
    <s v="AIJOB01847"/>
    <x v="7"/>
    <x v="25"/>
    <s v="Energy"/>
    <s v="Seattle, United States"/>
    <s v="United States"/>
    <s v="On-site"/>
    <x v="0"/>
    <s v="0-2 yrs"/>
    <n v="85947"/>
    <x v="1844"/>
    <s v="BLOOM"/>
    <s v="Bachelor's"/>
    <n v="45643"/>
    <n v="601"/>
    <n v="2009"/>
    <s v="No"/>
    <n v="0"/>
    <s v="1001-5000"/>
    <s v="Full-time"/>
    <s v="No"/>
  </r>
  <r>
    <s v="AIJOB01848"/>
    <x v="10"/>
    <x v="29"/>
    <s v="Government"/>
    <s v="Sydney, Australia"/>
    <s v="Australia"/>
    <s v="Remote"/>
    <x v="3"/>
    <s v="5-8 yrs"/>
    <n v="126613"/>
    <x v="1845"/>
    <s v="Llama"/>
    <s v="Master's"/>
    <n v="45471"/>
    <n v="2337"/>
    <n v="3501"/>
    <s v="Maybe"/>
    <n v="4"/>
    <s v="1001-5000"/>
    <s v="Contract"/>
    <s v="Yes"/>
  </r>
  <r>
    <s v="AIJOB01849"/>
    <x v="2"/>
    <x v="3"/>
    <s v="Healthcare"/>
    <s v="Toronto, Canada"/>
    <s v="Canada"/>
    <s v="On-site"/>
    <x v="1"/>
    <s v="8+ yrs"/>
    <n v="234900"/>
    <x v="1846"/>
    <s v="Grok"/>
    <s v="Master's"/>
    <n v="45532"/>
    <n v="827"/>
    <n v="3828"/>
    <s v="No"/>
    <n v="6"/>
    <s v="1001-5000"/>
    <s v="Contract"/>
    <s v="No"/>
  </r>
  <r>
    <s v="AIJOB01850"/>
    <x v="4"/>
    <x v="8"/>
    <s v="Retail"/>
    <s v="Stockholm, Sweden"/>
    <s v="Sweden"/>
    <s v="Remote"/>
    <x v="0"/>
    <s v="0-2 yrs"/>
    <n v="75382"/>
    <x v="1847"/>
    <s v="None"/>
    <s v="Master's"/>
    <n v="45732"/>
    <n v="313"/>
    <n v="2416"/>
    <s v="No"/>
    <n v="0"/>
    <s v="5000+"/>
    <s v="Full-time"/>
    <s v="No"/>
  </r>
  <r>
    <s v="AIJOB01851"/>
    <x v="1"/>
    <x v="5"/>
    <s v="Technology"/>
    <s v="Bangalore, India"/>
    <s v="India"/>
    <s v="Remote"/>
    <x v="0"/>
    <s v="0-2 yrs"/>
    <n v="61857"/>
    <x v="1848"/>
    <s v="None"/>
    <s v="Master's"/>
    <n v="45738"/>
    <n v="2445"/>
    <n v="1901"/>
    <s v="No"/>
    <n v="0"/>
    <s v="1001-5000"/>
    <s v="Contract"/>
    <s v="No"/>
  </r>
  <r>
    <s v="AIJOB01852"/>
    <x v="4"/>
    <x v="29"/>
    <s v="Media"/>
    <s v="Zurich, Switzerland"/>
    <s v="Switzerland"/>
    <s v="Hybrid"/>
    <x v="3"/>
    <s v="5-8 yrs"/>
    <n v="197933"/>
    <x v="1849"/>
    <s v="Grok"/>
    <s v="Master's"/>
    <n v="45649"/>
    <n v="415"/>
    <n v="3959"/>
    <s v="No"/>
    <n v="4"/>
    <s v="51-200"/>
    <s v="Full-time"/>
    <s v="No"/>
  </r>
  <r>
    <s v="AIJOB01853"/>
    <x v="16"/>
    <x v="16"/>
    <s v="Finance"/>
    <s v="Zurich, Switzerland"/>
    <s v="Switzerland"/>
    <s v="Hybrid"/>
    <x v="1"/>
    <s v="8+ yrs"/>
    <n v="157029"/>
    <x v="1850"/>
    <s v="None"/>
    <s v="Bootcamp/Self-taught"/>
    <n v="45595"/>
    <n v="1808"/>
    <n v="1653"/>
    <s v="Yes"/>
    <n v="6"/>
    <s v="5000+"/>
    <s v="Part-time"/>
    <s v="No"/>
  </r>
  <r>
    <s v="AIJOB01854"/>
    <x v="5"/>
    <x v="12"/>
    <s v="Energy"/>
    <s v="Boston, United States"/>
    <s v="United States"/>
    <s v="Remote"/>
    <x v="2"/>
    <s v="2-5 yrs"/>
    <n v="128199"/>
    <x v="1851"/>
    <s v="None"/>
    <s v="Master's"/>
    <n v="45545"/>
    <n v="2236"/>
    <n v="784"/>
    <s v="No"/>
    <n v="2"/>
    <s v="0-50"/>
    <s v="Full-time"/>
    <s v="No"/>
  </r>
  <r>
    <s v="AIJOB01855"/>
    <x v="8"/>
    <x v="1"/>
    <s v="Energy"/>
    <s v="Amsterdam, Netherlands"/>
    <s v="Netherlands"/>
    <s v="Hybrid"/>
    <x v="1"/>
    <s v="8+ yrs"/>
    <n v="236020"/>
    <x v="1852"/>
    <s v="None"/>
    <s v="Master's"/>
    <n v="45436"/>
    <n v="2499"/>
    <n v="973"/>
    <s v="No"/>
    <n v="6"/>
    <s v="5000+"/>
    <s v="Full-time"/>
    <s v="No"/>
  </r>
  <r>
    <s v="AIJOB01856"/>
    <x v="0"/>
    <x v="8"/>
    <s v="Automotive"/>
    <s v="Boston, United States"/>
    <s v="United States"/>
    <s v="Remote"/>
    <x v="2"/>
    <s v="2-5 yrs"/>
    <n v="96721"/>
    <x v="1853"/>
    <s v="None"/>
    <s v="Master's"/>
    <n v="45310"/>
    <n v="804"/>
    <n v="619"/>
    <s v="No"/>
    <n v="2"/>
    <s v="1001-5000"/>
    <s v="Full-time"/>
    <s v="Yes"/>
  </r>
  <r>
    <s v="AIJOB01857"/>
    <x v="19"/>
    <x v="24"/>
    <s v="Energy"/>
    <s v="Singapore"/>
    <s v="Singapore"/>
    <s v="Remote"/>
    <x v="2"/>
    <s v="2-5 yrs"/>
    <n v="137570"/>
    <x v="1854"/>
    <s v="Phi"/>
    <s v="Bachelor's"/>
    <n v="45639"/>
    <n v="1614"/>
    <n v="2637"/>
    <s v="No"/>
    <n v="2"/>
    <s v="51-200"/>
    <s v="Full-time"/>
    <s v="No"/>
  </r>
  <r>
    <s v="AIJOB01858"/>
    <x v="8"/>
    <x v="6"/>
    <s v="Energy"/>
    <s v="Paris, France"/>
    <s v="France"/>
    <s v="Remote"/>
    <x v="3"/>
    <s v="5-8 yrs"/>
    <n v="143248"/>
    <x v="1855"/>
    <s v="Mistral"/>
    <s v="Bootcamp/Self-taught"/>
    <n v="45723"/>
    <n v="1338"/>
    <n v="1976"/>
    <s v="No"/>
    <n v="4"/>
    <s v="0-50"/>
    <s v="Full-time"/>
    <s v="Yes"/>
  </r>
  <r>
    <s v="AIJOB01859"/>
    <x v="12"/>
    <x v="18"/>
    <s v="Education"/>
    <s v="Sydney, Australia"/>
    <s v="Australia"/>
    <s v="Hybrid"/>
    <x v="2"/>
    <s v="2-5 yrs"/>
    <n v="115716"/>
    <x v="1856"/>
    <s v="Claude"/>
    <s v="Master's"/>
    <n v="45354"/>
    <n v="1674"/>
    <n v="3719"/>
    <s v="Maybe"/>
    <n v="2"/>
    <s v="51-200"/>
    <s v="Full-time"/>
    <s v="Yes"/>
  </r>
  <r>
    <s v="AIJOB01860"/>
    <x v="14"/>
    <x v="29"/>
    <s v="Healthcare"/>
    <s v="New York, United States"/>
    <s v="United States"/>
    <s v="Remote"/>
    <x v="3"/>
    <s v="5-8 yrs"/>
    <n v="157028"/>
    <x v="1857"/>
    <s v="Claude"/>
    <s v="Master's"/>
    <n v="45538"/>
    <n v="1167"/>
    <n v="1246"/>
    <s v="No"/>
    <n v="4"/>
    <s v="51-200"/>
    <s v="Full-time"/>
    <s v="No"/>
  </r>
  <r>
    <s v="AIJOB01861"/>
    <x v="4"/>
    <x v="4"/>
    <s v="Defense"/>
    <s v="Austin, United States"/>
    <s v="United States"/>
    <s v="Hybrid"/>
    <x v="0"/>
    <s v="0-2 yrs"/>
    <n v="68307"/>
    <x v="1858"/>
    <s v="Llama"/>
    <s v="PhD"/>
    <n v="45308"/>
    <n v="1828"/>
    <n v="1856"/>
    <s v="No"/>
    <n v="0"/>
    <s v="1001-5000"/>
    <s v="Full-time"/>
    <s v="No"/>
  </r>
  <r>
    <s v="AIJOB01862"/>
    <x v="9"/>
    <x v="15"/>
    <s v="Media"/>
    <s v="Zurich, Switzerland"/>
    <s v="Switzerland"/>
    <s v="Remote"/>
    <x v="2"/>
    <s v="2-5 yrs"/>
    <n v="126054"/>
    <x v="1859"/>
    <s v="Falcon"/>
    <s v="Master's"/>
    <n v="45566"/>
    <n v="1415"/>
    <n v="943"/>
    <s v="No"/>
    <n v="2"/>
    <s v="5000+"/>
    <s v="Full-time"/>
    <s v="Yes"/>
  </r>
  <r>
    <s v="AIJOB01863"/>
    <x v="0"/>
    <x v="14"/>
    <s v="Defense"/>
    <s v="Seattle, United States"/>
    <s v="United States"/>
    <s v="Remote"/>
    <x v="0"/>
    <s v="0-2 yrs"/>
    <n v="79997"/>
    <x v="1860"/>
    <s v="Mistral"/>
    <s v="Bachelor's"/>
    <n v="45366"/>
    <n v="305"/>
    <n v="447"/>
    <s v="Maybe"/>
    <n v="0"/>
    <s v="0-50"/>
    <s v="Full-time"/>
    <s v="No"/>
  </r>
  <r>
    <s v="AIJOB01864"/>
    <x v="6"/>
    <x v="10"/>
    <s v="Defense"/>
    <s v="Tokyo, Japan"/>
    <s v="Japan"/>
    <s v="On-site"/>
    <x v="1"/>
    <s v="8+ yrs"/>
    <n v="137052"/>
    <x v="1861"/>
    <s v="None"/>
    <s v="Bachelor's"/>
    <n v="45610"/>
    <n v="2136"/>
    <n v="3987"/>
    <s v="Maybe"/>
    <n v="6"/>
    <s v="51-200"/>
    <s v="Full-time"/>
    <s v="No"/>
  </r>
  <r>
    <s v="AIJOB01865"/>
    <x v="4"/>
    <x v="17"/>
    <s v="Finance"/>
    <s v="Seattle, United States"/>
    <s v="United States"/>
    <s v="Remote"/>
    <x v="0"/>
    <s v="0-2 yrs"/>
    <n v="86434"/>
    <x v="1862"/>
    <s v="BLOOM"/>
    <s v="PhD"/>
    <n v="45547"/>
    <n v="1987"/>
    <n v="1182"/>
    <s v="No"/>
    <n v="0"/>
    <s v="51-200"/>
    <s v="Full-time"/>
    <s v="Yes"/>
  </r>
  <r>
    <s v="AIJOB01866"/>
    <x v="18"/>
    <x v="19"/>
    <s v="Media"/>
    <s v="Sydney, Australia"/>
    <s v="Australia"/>
    <s v="Remote"/>
    <x v="3"/>
    <s v="5-8 yrs"/>
    <n v="105112"/>
    <x v="1863"/>
    <s v="Mistral"/>
    <s v="Master's"/>
    <n v="45375"/>
    <n v="994"/>
    <n v="600"/>
    <s v="No"/>
    <n v="4"/>
    <s v="5000+"/>
    <s v="Full-time"/>
    <s v="No"/>
  </r>
  <r>
    <s v="AIJOB01867"/>
    <x v="4"/>
    <x v="21"/>
    <s v="Education"/>
    <s v="Paris, France"/>
    <s v="France"/>
    <s v="Hybrid"/>
    <x v="1"/>
    <s v="8+ yrs"/>
    <n v="237171"/>
    <x v="1864"/>
    <s v="None"/>
    <s v="Master's"/>
    <n v="45409"/>
    <n v="507"/>
    <n v="1718"/>
    <s v="Yes"/>
    <n v="6"/>
    <s v="51-200"/>
    <s v="Part-time"/>
    <s v="No"/>
  </r>
  <r>
    <s v="AIJOB01868"/>
    <x v="4"/>
    <x v="12"/>
    <s v="Healthcare"/>
    <s v="Bangalore, India"/>
    <s v="India"/>
    <s v="Hybrid"/>
    <x v="0"/>
    <s v="0-2 yrs"/>
    <n v="84196"/>
    <x v="1865"/>
    <s v="Claude"/>
    <s v="Bachelor's"/>
    <n v="45688"/>
    <n v="998"/>
    <n v="687"/>
    <s v="No"/>
    <n v="0"/>
    <s v="0-50"/>
    <s v="Full-time"/>
    <s v="Yes"/>
  </r>
  <r>
    <s v="AIJOB01869"/>
    <x v="11"/>
    <x v="26"/>
    <s v="Retail"/>
    <s v="Tokyo, Japan"/>
    <s v="Japan"/>
    <s v="Remote"/>
    <x v="0"/>
    <s v="0-2 yrs"/>
    <n v="56253"/>
    <x v="1866"/>
    <s v="Llama"/>
    <s v="Master's"/>
    <n v="45421"/>
    <n v="1773"/>
    <n v="3003"/>
    <s v="No"/>
    <n v="0"/>
    <s v="51-200"/>
    <s v="Full-time"/>
    <s v="No"/>
  </r>
  <r>
    <s v="AIJOB01870"/>
    <x v="6"/>
    <x v="12"/>
    <s v="Education"/>
    <s v="Austin, United States"/>
    <s v="United States"/>
    <s v="On-site"/>
    <x v="0"/>
    <s v="0-2 yrs"/>
    <n v="64823"/>
    <x v="1867"/>
    <s v="Falcon"/>
    <s v="Master's"/>
    <n v="45648"/>
    <n v="543"/>
    <n v="2893"/>
    <s v="No"/>
    <n v="0"/>
    <s v="201-1000"/>
    <s v="Full-time"/>
    <s v="Yes"/>
  </r>
  <r>
    <s v="AIJOB01871"/>
    <x v="12"/>
    <x v="26"/>
    <s v="Energy"/>
    <s v="London, United Kingdom"/>
    <s v="United Kingdom"/>
    <s v="Hybrid"/>
    <x v="0"/>
    <s v="0-2 yrs"/>
    <n v="56068"/>
    <x v="1868"/>
    <s v="Claude"/>
    <s v="Bootcamp/Self-taught"/>
    <n v="45373"/>
    <n v="1925"/>
    <n v="3701"/>
    <s v="No"/>
    <n v="0"/>
    <s v="51-200"/>
    <s v="Full-time"/>
    <s v="Yes"/>
  </r>
  <r>
    <s v="AIJOB01872"/>
    <x v="15"/>
    <x v="27"/>
    <s v="Technology"/>
    <s v="Austin, United States"/>
    <s v="United States"/>
    <s v="Remote"/>
    <x v="1"/>
    <s v="8+ yrs"/>
    <n v="192262"/>
    <x v="1869"/>
    <s v="GPT-4"/>
    <s v="Master's"/>
    <n v="45353"/>
    <n v="2372"/>
    <n v="2658"/>
    <s v="No"/>
    <n v="6"/>
    <s v="201-1000"/>
    <s v="Full-time"/>
    <s v="No"/>
  </r>
  <r>
    <s v="AIJOB01873"/>
    <x v="10"/>
    <x v="18"/>
    <s v="Government"/>
    <s v="Chicago, United States"/>
    <s v="United States"/>
    <s v="Remote"/>
    <x v="1"/>
    <s v="8+ yrs"/>
    <n v="188910"/>
    <x v="1870"/>
    <s v="BLOOM"/>
    <s v="Bootcamp/Self-taught"/>
    <n v="45444"/>
    <n v="716"/>
    <n v="3750"/>
    <s v="No"/>
    <n v="6"/>
    <s v="201-1000"/>
    <s v="Full-time"/>
    <s v="No"/>
  </r>
  <r>
    <s v="AIJOB01874"/>
    <x v="18"/>
    <x v="8"/>
    <s v="Healthcare"/>
    <s v="Berlin, Germany"/>
    <s v="Germany"/>
    <s v="Hybrid"/>
    <x v="2"/>
    <s v="2-5 yrs"/>
    <n v="125437"/>
    <x v="1871"/>
    <s v="Falcon"/>
    <s v="Bachelor's"/>
    <n v="45578"/>
    <n v="1771"/>
    <n v="1659"/>
    <s v="No"/>
    <n v="2"/>
    <s v="5000+"/>
    <s v="Contract"/>
    <s v="No"/>
  </r>
  <r>
    <s v="AIJOB01875"/>
    <x v="7"/>
    <x v="12"/>
    <s v="Automotive"/>
    <s v="Toronto, Canada"/>
    <s v="Canada"/>
    <s v="Hybrid"/>
    <x v="3"/>
    <s v="5-8 yrs"/>
    <n v="185378"/>
    <x v="1872"/>
    <s v="None"/>
    <s v="Master's"/>
    <n v="45658"/>
    <n v="1909"/>
    <n v="1962"/>
    <s v="No"/>
    <n v="4"/>
    <s v="51-200"/>
    <s v="Part-time"/>
    <s v="Yes"/>
  </r>
  <r>
    <s v="AIJOB01876"/>
    <x v="3"/>
    <x v="14"/>
    <s v="Education"/>
    <s v="Paris, France"/>
    <s v="France"/>
    <s v="On-site"/>
    <x v="3"/>
    <s v="5-8 yrs"/>
    <n v="187683"/>
    <x v="1873"/>
    <s v="None"/>
    <s v="Master's"/>
    <n v="45679"/>
    <n v="421"/>
    <n v="1283"/>
    <s v="No"/>
    <n v="4"/>
    <s v="5000+"/>
    <s v="Contract"/>
    <s v="Yes"/>
  </r>
  <r>
    <s v="AIJOB01877"/>
    <x v="12"/>
    <x v="13"/>
    <s v="Technology"/>
    <s v="Los Angeles, United States"/>
    <s v="United States"/>
    <s v="Hybrid"/>
    <x v="1"/>
    <s v="8+ yrs"/>
    <n v="179761"/>
    <x v="1874"/>
    <s v="Gemini"/>
    <s v="Master's"/>
    <n v="45532"/>
    <n v="1684"/>
    <n v="741"/>
    <s v="No"/>
    <n v="6"/>
    <s v="0-50"/>
    <s v="Full-time"/>
    <s v="No"/>
  </r>
  <r>
    <s v="AIJOB01878"/>
    <x v="17"/>
    <x v="0"/>
    <s v="Government"/>
    <s v="Seattle, United States"/>
    <s v="United States"/>
    <s v="Remote"/>
    <x v="3"/>
    <s v="5-8 yrs"/>
    <n v="144351"/>
    <x v="1875"/>
    <s v="Gemini"/>
    <s v="Bachelor's"/>
    <n v="45636"/>
    <n v="565"/>
    <n v="1799"/>
    <s v="No"/>
    <n v="4"/>
    <s v="5000+"/>
    <s v="Full-time"/>
    <s v="Yes"/>
  </r>
  <r>
    <s v="AIJOB01879"/>
    <x v="15"/>
    <x v="3"/>
    <s v="Finance"/>
    <s v="Los Angeles, United States"/>
    <s v="United States"/>
    <s v="Hybrid"/>
    <x v="1"/>
    <s v="8+ yrs"/>
    <n v="139396"/>
    <x v="1876"/>
    <s v="Phi"/>
    <s v="PhD"/>
    <n v="45677"/>
    <n v="993"/>
    <n v="3266"/>
    <s v="Maybe"/>
    <n v="6"/>
    <s v="5000+"/>
    <s v="Full-time"/>
    <s v="Yes"/>
  </r>
  <r>
    <s v="AIJOB01880"/>
    <x v="9"/>
    <x v="28"/>
    <s v="Education"/>
    <s v="Bangalore, India"/>
    <s v="India"/>
    <s v="Hybrid"/>
    <x v="2"/>
    <s v="2-5 yrs"/>
    <n v="94043"/>
    <x v="1877"/>
    <s v="None"/>
    <s v="PhD"/>
    <n v="45510"/>
    <n v="1246"/>
    <n v="333"/>
    <s v="No"/>
    <n v="2"/>
    <s v="5000+"/>
    <s v="Full-time"/>
    <s v="Yes"/>
  </r>
  <r>
    <s v="AIJOB01881"/>
    <x v="4"/>
    <x v="12"/>
    <s v="Technology"/>
    <s v="Zurich, Switzerland"/>
    <s v="Switzerland"/>
    <s v="Hybrid"/>
    <x v="1"/>
    <s v="8+ yrs"/>
    <n v="234734"/>
    <x v="1878"/>
    <s v="Command R"/>
    <s v="Master's"/>
    <n v="45637"/>
    <n v="2222"/>
    <n v="3510"/>
    <s v="Maybe"/>
    <n v="6"/>
    <s v="0-50"/>
    <s v="Full-time"/>
    <s v="Yes"/>
  </r>
  <r>
    <s v="AIJOB01882"/>
    <x v="1"/>
    <x v="27"/>
    <s v="Finance"/>
    <s v="Zurich, Switzerland"/>
    <s v="Switzerland"/>
    <s v="Remote"/>
    <x v="3"/>
    <s v="5-8 yrs"/>
    <n v="193620"/>
    <x v="1879"/>
    <s v="BLOOM"/>
    <s v="Bachelor's"/>
    <n v="45587"/>
    <n v="347"/>
    <n v="3335"/>
    <s v="No"/>
    <n v="4"/>
    <s v="5000+"/>
    <s v="Full-time"/>
    <s v="No"/>
  </r>
  <r>
    <s v="AIJOB01883"/>
    <x v="2"/>
    <x v="14"/>
    <s v="Retail"/>
    <s v="Boston, United States"/>
    <s v="United States"/>
    <s v="Remote"/>
    <x v="3"/>
    <s v="5-8 yrs"/>
    <n v="116672"/>
    <x v="1880"/>
    <s v="Llama"/>
    <s v="PhD"/>
    <n v="45379"/>
    <n v="1641"/>
    <n v="2518"/>
    <s v="Yes"/>
    <n v="4"/>
    <s v="201-1000"/>
    <s v="Full-time"/>
    <s v="Yes"/>
  </r>
  <r>
    <s v="AIJOB01884"/>
    <x v="16"/>
    <x v="12"/>
    <s v="Defense"/>
    <s v="London, United Kingdom"/>
    <s v="United Kingdom"/>
    <s v="Remote"/>
    <x v="0"/>
    <s v="0-2 yrs"/>
    <n v="62534"/>
    <x v="1881"/>
    <s v="Falcon"/>
    <s v="Bachelor's"/>
    <n v="45502"/>
    <n v="1672"/>
    <n v="3016"/>
    <s v="Yes"/>
    <n v="0"/>
    <s v="0-50"/>
    <s v="Full-time"/>
    <s v="No"/>
  </r>
  <r>
    <s v="AIJOB01885"/>
    <x v="3"/>
    <x v="26"/>
    <s v="Healthcare"/>
    <s v="Paris, France"/>
    <s v="France"/>
    <s v="Remote"/>
    <x v="2"/>
    <s v="2-5 yrs"/>
    <n v="109477"/>
    <x v="1882"/>
    <s v="None"/>
    <s v="Bachelor's"/>
    <n v="45506"/>
    <n v="758"/>
    <n v="583"/>
    <s v="No"/>
    <n v="2"/>
    <s v="1001-5000"/>
    <s v="Full-time"/>
    <s v="No"/>
  </r>
  <r>
    <s v="AIJOB01886"/>
    <x v="10"/>
    <x v="18"/>
    <s v="Government"/>
    <s v="Boston, United States"/>
    <s v="United States"/>
    <s v="On-site"/>
    <x v="2"/>
    <s v="2-5 yrs"/>
    <n v="115547"/>
    <x v="1883"/>
    <s v="Gemini"/>
    <s v="Bootcamp/Self-taught"/>
    <n v="45449"/>
    <n v="2033"/>
    <n v="1010"/>
    <s v="No"/>
    <n v="2"/>
    <s v="1001-5000"/>
    <s v="Contract"/>
    <s v="Yes"/>
  </r>
  <r>
    <s v="AIJOB01887"/>
    <x v="4"/>
    <x v="9"/>
    <s v="Technology"/>
    <s v="Tokyo, Japan"/>
    <s v="Japan"/>
    <s v="On-site"/>
    <x v="3"/>
    <s v="5-8 yrs"/>
    <n v="128140"/>
    <x v="1884"/>
    <s v="Gemini"/>
    <s v="PhD"/>
    <n v="45397"/>
    <n v="1669"/>
    <n v="3210"/>
    <s v="Maybe"/>
    <n v="4"/>
    <s v="201-1000"/>
    <s v="Full-time"/>
    <s v="Yes"/>
  </r>
  <r>
    <s v="AIJOB01888"/>
    <x v="7"/>
    <x v="27"/>
    <s v="Finance"/>
    <s v="Dublin, Ireland"/>
    <s v="Ireland"/>
    <s v="On-site"/>
    <x v="0"/>
    <s v="0-2 yrs"/>
    <n v="75343"/>
    <x v="1885"/>
    <s v="GPT-4"/>
    <s v="Master's"/>
    <n v="45416"/>
    <n v="1547"/>
    <n v="320"/>
    <s v="No"/>
    <n v="0"/>
    <s v="0-50"/>
    <s v="Full-time"/>
    <s v="Yes"/>
  </r>
  <r>
    <s v="AIJOB01889"/>
    <x v="3"/>
    <x v="22"/>
    <s v="Defense"/>
    <s v="Los Angeles, United States"/>
    <s v="United States"/>
    <s v="Remote"/>
    <x v="3"/>
    <s v="5-8 yrs"/>
    <n v="137206"/>
    <x v="1886"/>
    <s v="None"/>
    <s v="Master's"/>
    <n v="45616"/>
    <n v="2258"/>
    <n v="3540"/>
    <s v="Maybe"/>
    <n v="4"/>
    <s v="0-50"/>
    <s v="Full-time"/>
    <s v="Yes"/>
  </r>
  <r>
    <s v="AIJOB01890"/>
    <x v="13"/>
    <x v="0"/>
    <s v="Government"/>
    <s v="Singapore"/>
    <s v="Singapore"/>
    <s v="Hybrid"/>
    <x v="3"/>
    <s v="5-8 yrs"/>
    <n v="149609"/>
    <x v="1887"/>
    <s v="GPT-4"/>
    <s v="Bachelor's"/>
    <n v="45632"/>
    <n v="484"/>
    <n v="3306"/>
    <s v="Yes"/>
    <n v="4"/>
    <s v="1001-5000"/>
    <s v="Full-time"/>
    <s v="Yes"/>
  </r>
  <r>
    <s v="AIJOB01891"/>
    <x v="5"/>
    <x v="6"/>
    <s v="Healthcare"/>
    <s v="Singapore"/>
    <s v="Singapore"/>
    <s v="Remote"/>
    <x v="0"/>
    <s v="0-2 yrs"/>
    <n v="76883"/>
    <x v="1888"/>
    <s v="Command R"/>
    <s v="Master's"/>
    <n v="45464"/>
    <n v="823"/>
    <n v="2791"/>
    <s v="Yes"/>
    <n v="0"/>
    <s v="201-1000"/>
    <s v="Full-time"/>
    <s v="No"/>
  </r>
  <r>
    <s v="AIJOB01892"/>
    <x v="14"/>
    <x v="8"/>
    <s v="Energy"/>
    <s v="Seattle, United States"/>
    <s v="United States"/>
    <s v="Hybrid"/>
    <x v="2"/>
    <s v="2-5 yrs"/>
    <n v="110127"/>
    <x v="1889"/>
    <s v="None"/>
    <s v="Bootcamp/Self-taught"/>
    <n v="45698"/>
    <n v="2334"/>
    <n v="2939"/>
    <s v="No"/>
    <n v="2"/>
    <s v="1001-5000"/>
    <s v="Full-time"/>
    <s v="No"/>
  </r>
  <r>
    <s v="AIJOB01893"/>
    <x v="14"/>
    <x v="2"/>
    <s v="Retail"/>
    <s v="Seattle, United States"/>
    <s v="United States"/>
    <s v="Remote"/>
    <x v="3"/>
    <s v="5-8 yrs"/>
    <n v="138217"/>
    <x v="1890"/>
    <s v="Phi"/>
    <s v="Master's"/>
    <n v="45537"/>
    <n v="958"/>
    <n v="180"/>
    <s v="No"/>
    <n v="4"/>
    <s v="1001-5000"/>
    <s v="Full-time"/>
    <s v="Yes"/>
  </r>
  <r>
    <s v="AIJOB01894"/>
    <x v="0"/>
    <x v="14"/>
    <s v="Retail"/>
    <s v="Austin, United States"/>
    <s v="United States"/>
    <s v="Remote"/>
    <x v="3"/>
    <s v="5-8 yrs"/>
    <n v="147040"/>
    <x v="1891"/>
    <s v="None"/>
    <s v="Bachelor's"/>
    <n v="45548"/>
    <n v="425"/>
    <n v="2052"/>
    <s v="Maybe"/>
    <n v="4"/>
    <s v="5000+"/>
    <s v="Full-time"/>
    <s v="No"/>
  </r>
  <r>
    <s v="AIJOB01895"/>
    <x v="17"/>
    <x v="10"/>
    <s v="Government"/>
    <s v="London, United Kingdom"/>
    <s v="United Kingdom"/>
    <s v="Remote"/>
    <x v="2"/>
    <s v="2-5 yrs"/>
    <n v="108250"/>
    <x v="1892"/>
    <s v="Phi"/>
    <s v="Bachelor's"/>
    <n v="45540"/>
    <n v="1902"/>
    <n v="2960"/>
    <s v="Yes"/>
    <n v="2"/>
    <s v="201-1000"/>
    <s v="Contract"/>
    <s v="No"/>
  </r>
  <r>
    <s v="AIJOB01896"/>
    <x v="6"/>
    <x v="9"/>
    <s v="Energy"/>
    <s v="Paris, France"/>
    <s v="France"/>
    <s v="Hybrid"/>
    <x v="2"/>
    <s v="2-5 yrs"/>
    <n v="102673"/>
    <x v="1893"/>
    <s v="BLOOM"/>
    <s v="Master's"/>
    <n v="45521"/>
    <n v="2022"/>
    <n v="3681"/>
    <s v="No"/>
    <n v="2"/>
    <s v="51-200"/>
    <s v="Part-time"/>
    <s v="No"/>
  </r>
  <r>
    <s v="AIJOB01897"/>
    <x v="4"/>
    <x v="12"/>
    <s v="Government"/>
    <s v="Singapore"/>
    <s v="Singapore"/>
    <s v="Hybrid"/>
    <x v="3"/>
    <s v="5-8 yrs"/>
    <n v="143012"/>
    <x v="1894"/>
    <s v="Falcon"/>
    <s v="PhD"/>
    <n v="45628"/>
    <n v="1609"/>
    <n v="1103"/>
    <s v="No"/>
    <n v="4"/>
    <s v="0-50"/>
    <s v="Full-time"/>
    <s v="No"/>
  </r>
  <r>
    <s v="AIJOB01898"/>
    <x v="10"/>
    <x v="19"/>
    <s v="Finance"/>
    <s v="Bangalore, India"/>
    <s v="India"/>
    <s v="Hybrid"/>
    <x v="1"/>
    <s v="8+ yrs"/>
    <n v="257551"/>
    <x v="1895"/>
    <s v="None"/>
    <s v="PhD"/>
    <n v="45549"/>
    <n v="428"/>
    <n v="3042"/>
    <s v="Yes"/>
    <n v="6"/>
    <s v="51-200"/>
    <s v="Full-time"/>
    <s v="Yes"/>
  </r>
  <r>
    <s v="AIJOB01899"/>
    <x v="2"/>
    <x v="23"/>
    <s v="Education"/>
    <s v="Tokyo, Japan"/>
    <s v="Japan"/>
    <s v="Remote"/>
    <x v="0"/>
    <s v="0-2 yrs"/>
    <n v="77067"/>
    <x v="1896"/>
    <s v="Claude"/>
    <s v="Master's"/>
    <n v="45681"/>
    <n v="2314"/>
    <n v="2211"/>
    <s v="No"/>
    <n v="0"/>
    <s v="201-1000"/>
    <s v="Full-time"/>
    <s v="No"/>
  </r>
  <r>
    <s v="AIJOB01900"/>
    <x v="5"/>
    <x v="17"/>
    <s v="Automotive"/>
    <s v="Los Angeles, United States"/>
    <s v="United States"/>
    <s v="Hybrid"/>
    <x v="1"/>
    <s v="8+ yrs"/>
    <n v="189362"/>
    <x v="1897"/>
    <s v="Command R"/>
    <s v="Master's"/>
    <n v="45559"/>
    <n v="1997"/>
    <n v="1935"/>
    <s v="Yes"/>
    <n v="6"/>
    <s v="0-50"/>
    <s v="Part-time"/>
    <s v="No"/>
  </r>
  <r>
    <s v="AIJOB01901"/>
    <x v="14"/>
    <x v="18"/>
    <s v="Retail"/>
    <s v="Paris, France"/>
    <s v="France"/>
    <s v="Remote"/>
    <x v="0"/>
    <s v="0-2 yrs"/>
    <n v="78781"/>
    <x v="1898"/>
    <s v="GPT-4"/>
    <s v="Bachelor's"/>
    <n v="45459"/>
    <n v="1840"/>
    <n v="2710"/>
    <s v="No"/>
    <n v="0"/>
    <s v="5000+"/>
    <s v="Full-time"/>
    <s v="No"/>
  </r>
  <r>
    <s v="AIJOB01902"/>
    <x v="8"/>
    <x v="21"/>
    <s v="Retail"/>
    <s v="Tokyo, Japan"/>
    <s v="Japan"/>
    <s v="On-site"/>
    <x v="3"/>
    <s v="5-8 yrs"/>
    <n v="140986"/>
    <x v="1899"/>
    <s v="None"/>
    <s v="Master's"/>
    <n v="45639"/>
    <n v="714"/>
    <n v="3298"/>
    <s v="No"/>
    <n v="4"/>
    <s v="5000+"/>
    <s v="Full-time"/>
    <s v="No"/>
  </r>
  <r>
    <s v="AIJOB01903"/>
    <x v="12"/>
    <x v="29"/>
    <s v="Retail"/>
    <s v="Amsterdam, Netherlands"/>
    <s v="Netherlands"/>
    <s v="Remote"/>
    <x v="2"/>
    <s v="2-5 yrs"/>
    <n v="133227"/>
    <x v="1900"/>
    <s v="Claude"/>
    <s v="Bachelor's"/>
    <n v="45585"/>
    <n v="2395"/>
    <n v="1754"/>
    <s v="No"/>
    <n v="2"/>
    <s v="201-1000"/>
    <s v="Full-time"/>
    <s v="Yes"/>
  </r>
  <r>
    <s v="AIJOB01904"/>
    <x v="2"/>
    <x v="24"/>
    <s v="Technology"/>
    <s v="Chicago, United States"/>
    <s v="United States"/>
    <s v="On-site"/>
    <x v="3"/>
    <s v="5-8 yrs"/>
    <n v="159980"/>
    <x v="1901"/>
    <s v="None"/>
    <s v="Bachelor's"/>
    <n v="45341"/>
    <n v="1410"/>
    <n v="1001"/>
    <s v="Maybe"/>
    <n v="4"/>
    <s v="1001-5000"/>
    <s v="Full-time"/>
    <s v="No"/>
  </r>
  <r>
    <s v="AIJOB01905"/>
    <x v="3"/>
    <x v="1"/>
    <s v="Finance"/>
    <s v="Chicago, United States"/>
    <s v="United States"/>
    <s v="On-site"/>
    <x v="3"/>
    <s v="5-8 yrs"/>
    <n v="147102"/>
    <x v="1902"/>
    <s v="Gemini"/>
    <s v="PhD"/>
    <n v="45532"/>
    <n v="934"/>
    <n v="851"/>
    <s v="Yes"/>
    <n v="4"/>
    <s v="201-1000"/>
    <s v="Full-time"/>
    <s v="No"/>
  </r>
  <r>
    <s v="AIJOB01906"/>
    <x v="0"/>
    <x v="28"/>
    <s v="Healthcare"/>
    <s v="Berlin, Germany"/>
    <s v="Germany"/>
    <s v="Remote"/>
    <x v="0"/>
    <s v="0-2 yrs"/>
    <n v="75641"/>
    <x v="1903"/>
    <s v="GPT-4"/>
    <s v="Bachelor's"/>
    <n v="45297"/>
    <n v="1566"/>
    <n v="1094"/>
    <s v="Yes"/>
    <n v="0"/>
    <s v="1001-5000"/>
    <s v="Contract"/>
    <s v="Yes"/>
  </r>
  <r>
    <s v="AIJOB01907"/>
    <x v="7"/>
    <x v="11"/>
    <s v="Government"/>
    <s v="Singapore"/>
    <s v="Singapore"/>
    <s v="Hybrid"/>
    <x v="3"/>
    <s v="5-8 yrs"/>
    <n v="107586"/>
    <x v="1904"/>
    <s v="BLOOM"/>
    <s v="Master's"/>
    <n v="45634"/>
    <n v="1574"/>
    <n v="1116"/>
    <s v="No"/>
    <n v="4"/>
    <s v="1001-5000"/>
    <s v="Contract"/>
    <s v="Yes"/>
  </r>
  <r>
    <s v="AIJOB01908"/>
    <x v="2"/>
    <x v="17"/>
    <s v="Energy"/>
    <s v="Austin, United States"/>
    <s v="United States"/>
    <s v="Remote"/>
    <x v="3"/>
    <s v="5-8 yrs"/>
    <n v="119577"/>
    <x v="1905"/>
    <s v="Falcon"/>
    <s v="Bachelor's"/>
    <n v="45682"/>
    <n v="1573"/>
    <n v="3972"/>
    <s v="Yes"/>
    <n v="4"/>
    <s v="51-200"/>
    <s v="Full-time"/>
    <s v="Yes"/>
  </r>
  <r>
    <s v="AIJOB01909"/>
    <x v="16"/>
    <x v="20"/>
    <s v="Energy"/>
    <s v="Boston, United States"/>
    <s v="United States"/>
    <s v="Hybrid"/>
    <x v="2"/>
    <s v="2-5 yrs"/>
    <n v="86360"/>
    <x v="1906"/>
    <s v="None"/>
    <s v="Master's"/>
    <n v="45647"/>
    <n v="1676"/>
    <n v="124"/>
    <s v="Maybe"/>
    <n v="2"/>
    <s v="1001-5000"/>
    <s v="Full-time"/>
    <s v="No"/>
  </r>
  <r>
    <s v="AIJOB01910"/>
    <x v="10"/>
    <x v="23"/>
    <s v="Education"/>
    <s v="Zurich, Switzerland"/>
    <s v="Switzerland"/>
    <s v="Hybrid"/>
    <x v="0"/>
    <s v="0-2 yrs"/>
    <n v="71801"/>
    <x v="1907"/>
    <s v="Mistral"/>
    <s v="Master's"/>
    <n v="45614"/>
    <n v="2276"/>
    <n v="1046"/>
    <s v="No"/>
    <n v="0"/>
    <s v="201-1000"/>
    <s v="Full-time"/>
    <s v="Yes"/>
  </r>
  <r>
    <s v="AIJOB01911"/>
    <x v="12"/>
    <x v="16"/>
    <s v="Energy"/>
    <s v="New York, United States"/>
    <s v="United States"/>
    <s v="Remote"/>
    <x v="2"/>
    <s v="2-5 yrs"/>
    <n v="144303"/>
    <x v="1908"/>
    <s v="Phi"/>
    <s v="Bootcamp/Self-taught"/>
    <n v="45436"/>
    <n v="1898"/>
    <n v="1229"/>
    <s v="No"/>
    <n v="2"/>
    <s v="51-200"/>
    <s v="Part-time"/>
    <s v="No"/>
  </r>
  <r>
    <s v="AIJOB01912"/>
    <x v="16"/>
    <x v="10"/>
    <s v="Media"/>
    <s v="Singapore"/>
    <s v="Singapore"/>
    <s v="Hybrid"/>
    <x v="3"/>
    <s v="5-8 yrs"/>
    <n v="210245"/>
    <x v="1909"/>
    <s v="Mistral"/>
    <s v="Bachelor's"/>
    <n v="45595"/>
    <n v="712"/>
    <n v="582"/>
    <s v="Yes"/>
    <n v="4"/>
    <s v="201-1000"/>
    <s v="Full-time"/>
    <s v="Yes"/>
  </r>
  <r>
    <s v="AIJOB01913"/>
    <x v="16"/>
    <x v="25"/>
    <s v="Retail"/>
    <s v="Boston, United States"/>
    <s v="United States"/>
    <s v="Hybrid"/>
    <x v="3"/>
    <s v="5-8 yrs"/>
    <n v="167227"/>
    <x v="1910"/>
    <s v="None"/>
    <s v="Bachelor's"/>
    <n v="45600"/>
    <n v="1335"/>
    <n v="1929"/>
    <s v="Yes"/>
    <n v="4"/>
    <s v="5000+"/>
    <s v="Full-time"/>
    <s v="No"/>
  </r>
  <r>
    <s v="AIJOB01914"/>
    <x v="16"/>
    <x v="12"/>
    <s v="Defense"/>
    <s v="Tel Aviv, Israel"/>
    <s v="Israel"/>
    <s v="Remote"/>
    <x v="0"/>
    <s v="0-2 yrs"/>
    <n v="76310"/>
    <x v="1911"/>
    <s v="Llama"/>
    <s v="Bachelor's"/>
    <n v="45355"/>
    <n v="2382"/>
    <n v="3837"/>
    <s v="No"/>
    <n v="0"/>
    <s v="201-1000"/>
    <s v="Part-time"/>
    <s v="No"/>
  </r>
  <r>
    <s v="AIJOB01915"/>
    <x v="12"/>
    <x v="1"/>
    <s v="Automotive"/>
    <s v="Berlin, Germany"/>
    <s v="Germany"/>
    <s v="Hybrid"/>
    <x v="3"/>
    <s v="5-8 yrs"/>
    <n v="101371"/>
    <x v="1912"/>
    <s v="Mistral"/>
    <s v="Master's"/>
    <n v="45416"/>
    <n v="1751"/>
    <n v="2923"/>
    <s v="No"/>
    <n v="4"/>
    <s v="1001-5000"/>
    <s v="Contract"/>
    <s v="No"/>
  </r>
  <r>
    <s v="AIJOB01916"/>
    <x v="15"/>
    <x v="5"/>
    <s v="Retail"/>
    <s v="Singapore"/>
    <s v="Singapore"/>
    <s v="Hybrid"/>
    <x v="1"/>
    <s v="8+ yrs"/>
    <n v="180463"/>
    <x v="1913"/>
    <s v="Claude"/>
    <s v="Bachelor's"/>
    <n v="45544"/>
    <n v="894"/>
    <n v="3826"/>
    <s v="No"/>
    <n v="6"/>
    <s v="0-50"/>
    <s v="Full-time"/>
    <s v="No"/>
  </r>
  <r>
    <s v="AIJOB01917"/>
    <x v="9"/>
    <x v="21"/>
    <s v="Media"/>
    <s v="Berlin, Germany"/>
    <s v="Germany"/>
    <s v="Hybrid"/>
    <x v="1"/>
    <s v="8+ yrs"/>
    <n v="171639"/>
    <x v="1914"/>
    <s v="GPT-4"/>
    <s v="Master's"/>
    <n v="45344"/>
    <n v="1801"/>
    <n v="416"/>
    <s v="Yes"/>
    <n v="6"/>
    <s v="5000+"/>
    <s v="Full-time"/>
    <s v="No"/>
  </r>
  <r>
    <s v="AIJOB01918"/>
    <x v="0"/>
    <x v="3"/>
    <s v="Government"/>
    <s v="Boston, United States"/>
    <s v="United States"/>
    <s v="Remote"/>
    <x v="0"/>
    <s v="0-2 yrs"/>
    <n v="62177"/>
    <x v="1915"/>
    <s v="Mistral"/>
    <s v="Master's"/>
    <n v="45361"/>
    <n v="995"/>
    <n v="3258"/>
    <s v="Maybe"/>
    <n v="0"/>
    <s v="5000+"/>
    <s v="Part-time"/>
    <s v="No"/>
  </r>
  <r>
    <s v="AIJOB01919"/>
    <x v="14"/>
    <x v="14"/>
    <s v="Education"/>
    <s v="Tel Aviv, Israel"/>
    <s v="Israel"/>
    <s v="Hybrid"/>
    <x v="1"/>
    <s v="8+ yrs"/>
    <n v="193946"/>
    <x v="1916"/>
    <s v="Llama"/>
    <s v="Bachelor's"/>
    <n v="45431"/>
    <n v="845"/>
    <n v="2940"/>
    <s v="No"/>
    <n v="6"/>
    <s v="51-200"/>
    <s v="Full-time"/>
    <s v="No"/>
  </r>
  <r>
    <s v="AIJOB01920"/>
    <x v="12"/>
    <x v="18"/>
    <s v="Healthcare"/>
    <s v="Seattle, United States"/>
    <s v="United States"/>
    <s v="On-site"/>
    <x v="2"/>
    <s v="2-5 yrs"/>
    <n v="100652"/>
    <x v="1917"/>
    <s v="Command R"/>
    <s v="Bachelor's"/>
    <n v="45468"/>
    <n v="1093"/>
    <n v="3671"/>
    <s v="No"/>
    <n v="2"/>
    <s v="201-1000"/>
    <s v="Part-time"/>
    <s v="No"/>
  </r>
  <r>
    <s v="AIJOB01921"/>
    <x v="11"/>
    <x v="28"/>
    <s v="Healthcare"/>
    <s v="Austin, United States"/>
    <s v="United States"/>
    <s v="Remote"/>
    <x v="1"/>
    <s v="8+ yrs"/>
    <n v="128745"/>
    <x v="1918"/>
    <s v="GPT-4"/>
    <s v="Bachelor's"/>
    <n v="45546"/>
    <n v="1096"/>
    <n v="278"/>
    <s v="No"/>
    <n v="6"/>
    <s v="51-200"/>
    <s v="Full-time"/>
    <s v="No"/>
  </r>
  <r>
    <s v="AIJOB01922"/>
    <x v="16"/>
    <x v="25"/>
    <s v="Education"/>
    <s v="Tel Aviv, Israel"/>
    <s v="Israel"/>
    <s v="Hybrid"/>
    <x v="0"/>
    <s v="0-2 yrs"/>
    <n v="79423"/>
    <x v="1919"/>
    <s v="Gemini"/>
    <s v="Bootcamp/Self-taught"/>
    <n v="45722"/>
    <n v="1427"/>
    <n v="3865"/>
    <s v="Yes"/>
    <n v="0"/>
    <s v="201-1000"/>
    <s v="Full-time"/>
    <s v="Yes"/>
  </r>
  <r>
    <s v="AIJOB01923"/>
    <x v="15"/>
    <x v="15"/>
    <s v="Defense"/>
    <s v="Boston, United States"/>
    <s v="United States"/>
    <s v="Hybrid"/>
    <x v="1"/>
    <s v="8+ yrs"/>
    <n v="161381"/>
    <x v="1920"/>
    <s v="GPT-4"/>
    <s v="Bachelor's"/>
    <n v="45716"/>
    <n v="917"/>
    <n v="717"/>
    <s v="Yes"/>
    <n v="6"/>
    <s v="1001-5000"/>
    <s v="Full-time"/>
    <s v="Yes"/>
  </r>
  <r>
    <s v="AIJOB01924"/>
    <x v="0"/>
    <x v="14"/>
    <s v="Government"/>
    <s v="Boston, United States"/>
    <s v="United States"/>
    <s v="Remote"/>
    <x v="3"/>
    <s v="5-8 yrs"/>
    <n v="156459"/>
    <x v="1921"/>
    <s v="Claude"/>
    <s v="PhD"/>
    <n v="45597"/>
    <n v="2413"/>
    <n v="2965"/>
    <s v="No"/>
    <n v="4"/>
    <s v="201-1000"/>
    <s v="Full-time"/>
    <s v="Yes"/>
  </r>
  <r>
    <s v="AIJOB01925"/>
    <x v="6"/>
    <x v="18"/>
    <s v="Government"/>
    <s v="Singapore"/>
    <s v="Singapore"/>
    <s v="Remote"/>
    <x v="0"/>
    <s v="0-2 yrs"/>
    <n v="96133"/>
    <x v="1922"/>
    <s v="Claude"/>
    <s v="Bachelor's"/>
    <n v="45299"/>
    <n v="1445"/>
    <n v="508"/>
    <s v="Maybe"/>
    <n v="0"/>
    <s v="0-50"/>
    <s v="Full-time"/>
    <s v="No"/>
  </r>
  <r>
    <s v="AIJOB01926"/>
    <x v="1"/>
    <x v="6"/>
    <s v="Finance"/>
    <s v="Tel Aviv, Israel"/>
    <s v="Israel"/>
    <s v="Hybrid"/>
    <x v="1"/>
    <s v="8+ yrs"/>
    <n v="166902"/>
    <x v="1923"/>
    <s v="Grok"/>
    <s v="Master's"/>
    <n v="45556"/>
    <n v="476"/>
    <n v="1225"/>
    <s v="No"/>
    <n v="6"/>
    <s v="1001-5000"/>
    <s v="Full-time"/>
    <s v="Yes"/>
  </r>
  <r>
    <s v="AIJOB01927"/>
    <x v="19"/>
    <x v="19"/>
    <s v="Retail"/>
    <s v="Chicago, United States"/>
    <s v="United States"/>
    <s v="Remote"/>
    <x v="3"/>
    <s v="5-8 yrs"/>
    <n v="81682"/>
    <x v="1924"/>
    <s v="Mistral"/>
    <s v="Master's"/>
    <n v="45383"/>
    <n v="1407"/>
    <n v="3145"/>
    <s v="No"/>
    <n v="4"/>
    <s v="0-50"/>
    <s v="Full-time"/>
    <s v="No"/>
  </r>
  <r>
    <s v="AIJOB01928"/>
    <x v="11"/>
    <x v="8"/>
    <s v="Automotive"/>
    <s v="London, United Kingdom"/>
    <s v="United Kingdom"/>
    <s v="Hybrid"/>
    <x v="2"/>
    <s v="2-5 yrs"/>
    <n v="104337"/>
    <x v="1925"/>
    <s v="Grok"/>
    <s v="Bachelor's"/>
    <n v="45489"/>
    <n v="1846"/>
    <n v="1849"/>
    <s v="No"/>
    <n v="2"/>
    <s v="0-50"/>
    <s v="Full-time"/>
    <s v="No"/>
  </r>
  <r>
    <s v="AIJOB01929"/>
    <x v="1"/>
    <x v="17"/>
    <s v="Media"/>
    <s v="Zurich, Switzerland"/>
    <s v="Switzerland"/>
    <s v="Hybrid"/>
    <x v="1"/>
    <s v="8+ yrs"/>
    <n v="239634"/>
    <x v="1926"/>
    <s v="Claude"/>
    <s v="Master's"/>
    <n v="45718"/>
    <n v="2088"/>
    <n v="1884"/>
    <s v="No"/>
    <n v="6"/>
    <s v="1001-5000"/>
    <s v="Full-time"/>
    <s v="Yes"/>
  </r>
  <r>
    <s v="AIJOB01930"/>
    <x v="14"/>
    <x v="21"/>
    <s v="Defense"/>
    <s v="Zurich, Switzerland"/>
    <s v="Switzerland"/>
    <s v="Hybrid"/>
    <x v="2"/>
    <s v="2-5 yrs"/>
    <n v="148775"/>
    <x v="1927"/>
    <s v="None"/>
    <s v="Bachelor's"/>
    <n v="45604"/>
    <n v="748"/>
    <n v="1776"/>
    <s v="No"/>
    <n v="2"/>
    <s v="201-1000"/>
    <s v="Full-time"/>
    <s v="No"/>
  </r>
  <r>
    <s v="AIJOB01931"/>
    <x v="3"/>
    <x v="4"/>
    <s v="Government"/>
    <s v="Paris, France"/>
    <s v="France"/>
    <s v="On-site"/>
    <x v="3"/>
    <s v="5-8 yrs"/>
    <n v="116802"/>
    <x v="1928"/>
    <s v="Llama"/>
    <s v="Bachelor's"/>
    <n v="45516"/>
    <n v="2384"/>
    <n v="3442"/>
    <s v="No"/>
    <n v="4"/>
    <s v="1001-5000"/>
    <s v="Contract"/>
    <s v="Yes"/>
  </r>
  <r>
    <s v="AIJOB01932"/>
    <x v="19"/>
    <x v="1"/>
    <s v="Education"/>
    <s v="New York, United States"/>
    <s v="United States"/>
    <s v="On-site"/>
    <x v="2"/>
    <s v="2-5 yrs"/>
    <n v="119834"/>
    <x v="1929"/>
    <s v="None"/>
    <s v="Bachelor's"/>
    <n v="45688"/>
    <n v="1791"/>
    <n v="1604"/>
    <s v="Maybe"/>
    <n v="2"/>
    <s v="51-200"/>
    <s v="Part-time"/>
    <s v="Yes"/>
  </r>
  <r>
    <s v="AIJOB01933"/>
    <x v="7"/>
    <x v="23"/>
    <s v="Automotive"/>
    <s v="San Francisco, United States"/>
    <s v="United States"/>
    <s v="Hybrid"/>
    <x v="0"/>
    <s v="0-2 yrs"/>
    <n v="64137"/>
    <x v="1930"/>
    <s v="Gemini"/>
    <s v="Bachelor's"/>
    <n v="45466"/>
    <n v="1890"/>
    <n v="1569"/>
    <s v="Yes"/>
    <n v="0"/>
    <s v="5000+"/>
    <s v="Full-time"/>
    <s v="No"/>
  </r>
  <r>
    <s v="AIJOB01934"/>
    <x v="13"/>
    <x v="13"/>
    <s v="Retail"/>
    <s v="Tel Aviv, Israel"/>
    <s v="Israel"/>
    <s v="On-site"/>
    <x v="3"/>
    <s v="5-8 yrs"/>
    <n v="147139"/>
    <x v="1931"/>
    <s v="Mistral"/>
    <s v="PhD"/>
    <n v="45400"/>
    <n v="1961"/>
    <n v="1395"/>
    <s v="No"/>
    <n v="4"/>
    <s v="51-200"/>
    <s v="Full-time"/>
    <s v="Yes"/>
  </r>
  <r>
    <s v="AIJOB01935"/>
    <x v="1"/>
    <x v="0"/>
    <s v="Technology"/>
    <s v="Tokyo, Japan"/>
    <s v="Japan"/>
    <s v="On-site"/>
    <x v="3"/>
    <s v="5-8 yrs"/>
    <n v="221397"/>
    <x v="1932"/>
    <s v="GPT-4"/>
    <s v="Bachelor's"/>
    <n v="45600"/>
    <n v="1415"/>
    <n v="3854"/>
    <s v="No"/>
    <n v="4"/>
    <s v="201-1000"/>
    <s v="Contract"/>
    <s v="Yes"/>
  </r>
  <r>
    <s v="AIJOB01936"/>
    <x v="14"/>
    <x v="13"/>
    <s v="Media"/>
    <s v="New York, United States"/>
    <s v="United States"/>
    <s v="Hybrid"/>
    <x v="0"/>
    <s v="0-2 yrs"/>
    <n v="51062"/>
    <x v="1933"/>
    <s v="Command R"/>
    <s v="Bachelor's"/>
    <n v="45667"/>
    <n v="2177"/>
    <n v="1798"/>
    <s v="Yes"/>
    <n v="0"/>
    <s v="0-50"/>
    <s v="Contract"/>
    <s v="No"/>
  </r>
  <r>
    <s v="AIJOB01937"/>
    <x v="8"/>
    <x v="12"/>
    <s v="Education"/>
    <s v="San Francisco, United States"/>
    <s v="United States"/>
    <s v="Hybrid"/>
    <x v="3"/>
    <s v="5-8 yrs"/>
    <n v="156850"/>
    <x v="1934"/>
    <s v="Phi"/>
    <s v="Master's"/>
    <n v="45422"/>
    <n v="1422"/>
    <n v="707"/>
    <s v="No"/>
    <n v="4"/>
    <s v="201-1000"/>
    <s v="Contract"/>
    <s v="No"/>
  </r>
  <r>
    <s v="AIJOB01938"/>
    <x v="2"/>
    <x v="20"/>
    <s v="Finance"/>
    <s v="Tokyo, Japan"/>
    <s v="Japan"/>
    <s v="Hybrid"/>
    <x v="0"/>
    <s v="0-2 yrs"/>
    <n v="75892"/>
    <x v="1935"/>
    <s v="None"/>
    <s v="Master's"/>
    <n v="45532"/>
    <n v="858"/>
    <n v="849"/>
    <s v="No"/>
    <n v="0"/>
    <s v="5000+"/>
    <s v="Contract"/>
    <s v="No"/>
  </r>
  <r>
    <s v="AIJOB01939"/>
    <x v="10"/>
    <x v="26"/>
    <s v="Healthcare"/>
    <s v="London, United Kingdom"/>
    <s v="United Kingdom"/>
    <s v="Remote"/>
    <x v="2"/>
    <s v="2-5 yrs"/>
    <n v="131498"/>
    <x v="1936"/>
    <s v="None"/>
    <s v="Master's"/>
    <n v="45694"/>
    <n v="327"/>
    <n v="1195"/>
    <s v="No"/>
    <n v="2"/>
    <s v="5000+"/>
    <s v="Full-time"/>
    <s v="No"/>
  </r>
  <r>
    <s v="AIJOB01940"/>
    <x v="19"/>
    <x v="22"/>
    <s v="Government"/>
    <s v="Tel Aviv, Israel"/>
    <s v="Israel"/>
    <s v="Remote"/>
    <x v="1"/>
    <s v="8+ yrs"/>
    <n v="203527"/>
    <x v="1937"/>
    <s v="GPT-4"/>
    <s v="Master's"/>
    <n v="45716"/>
    <n v="1244"/>
    <n v="2372"/>
    <s v="Yes"/>
    <n v="6"/>
    <s v="0-50"/>
    <s v="Full-time"/>
    <s v="No"/>
  </r>
  <r>
    <s v="AIJOB01941"/>
    <x v="5"/>
    <x v="16"/>
    <s v="Automotive"/>
    <s v="Bangalore, India"/>
    <s v="India"/>
    <s v="Hybrid"/>
    <x v="3"/>
    <s v="5-8 yrs"/>
    <n v="158317"/>
    <x v="1938"/>
    <s v="BLOOM"/>
    <s v="Master's"/>
    <n v="45543"/>
    <n v="1914"/>
    <n v="201"/>
    <s v="No"/>
    <n v="4"/>
    <s v="51-200"/>
    <s v="Full-time"/>
    <s v="No"/>
  </r>
  <r>
    <s v="AIJOB01942"/>
    <x v="18"/>
    <x v="7"/>
    <s v="Energy"/>
    <s v="Zurich, Switzerland"/>
    <s v="Switzerland"/>
    <s v="Remote"/>
    <x v="2"/>
    <s v="2-5 yrs"/>
    <n v="102245"/>
    <x v="1939"/>
    <s v="Grok"/>
    <s v="Master's"/>
    <n v="45460"/>
    <n v="850"/>
    <n v="2440"/>
    <s v="No"/>
    <n v="2"/>
    <s v="1001-5000"/>
    <s v="Part-time"/>
    <s v="No"/>
  </r>
  <r>
    <s v="AIJOB01943"/>
    <x v="5"/>
    <x v="0"/>
    <s v="Defense"/>
    <s v="Berlin, Germany"/>
    <s v="Germany"/>
    <s v="Remote"/>
    <x v="3"/>
    <s v="5-8 yrs"/>
    <n v="157266"/>
    <x v="1940"/>
    <s v="GPT-4"/>
    <s v="Bachelor's"/>
    <n v="45512"/>
    <n v="2496"/>
    <n v="1924"/>
    <s v="No"/>
    <n v="4"/>
    <s v="51-200"/>
    <s v="Full-time"/>
    <s v="Yes"/>
  </r>
  <r>
    <s v="AIJOB01944"/>
    <x v="2"/>
    <x v="20"/>
    <s v="Finance"/>
    <s v="New York, United States"/>
    <s v="United States"/>
    <s v="Remote"/>
    <x v="0"/>
    <s v="0-2 yrs"/>
    <n v="65675"/>
    <x v="1941"/>
    <s v="Llama"/>
    <s v="Bachelor's"/>
    <n v="45537"/>
    <n v="527"/>
    <n v="804"/>
    <s v="Yes"/>
    <n v="0"/>
    <s v="51-200"/>
    <s v="Part-time"/>
    <s v="No"/>
  </r>
  <r>
    <s v="AIJOB01945"/>
    <x v="7"/>
    <x v="4"/>
    <s v="Government"/>
    <s v="San Francisco, United States"/>
    <s v="United States"/>
    <s v="On-site"/>
    <x v="2"/>
    <s v="2-5 yrs"/>
    <n v="122307"/>
    <x v="1942"/>
    <s v="GPT-4"/>
    <s v="Bachelor's"/>
    <n v="45347"/>
    <n v="2478"/>
    <n v="1334"/>
    <s v="No"/>
    <n v="2"/>
    <s v="1001-5000"/>
    <s v="Full-time"/>
    <s v="Yes"/>
  </r>
  <r>
    <s v="AIJOB01946"/>
    <x v="5"/>
    <x v="28"/>
    <s v="Education"/>
    <s v="Berlin, Germany"/>
    <s v="Germany"/>
    <s v="Hybrid"/>
    <x v="3"/>
    <s v="5-8 yrs"/>
    <n v="140020"/>
    <x v="1943"/>
    <s v="Mistral"/>
    <s v="PhD"/>
    <n v="45345"/>
    <n v="2443"/>
    <n v="874"/>
    <s v="No"/>
    <n v="4"/>
    <s v="1001-5000"/>
    <s v="Part-time"/>
    <s v="No"/>
  </r>
  <r>
    <s v="AIJOB01947"/>
    <x v="9"/>
    <x v="26"/>
    <s v="Energy"/>
    <s v="Seattle, United States"/>
    <s v="United States"/>
    <s v="Hybrid"/>
    <x v="1"/>
    <s v="8+ yrs"/>
    <n v="213575"/>
    <x v="1944"/>
    <s v="None"/>
    <s v="PhD"/>
    <n v="45460"/>
    <n v="1755"/>
    <n v="2920"/>
    <s v="Maybe"/>
    <n v="6"/>
    <s v="5000+"/>
    <s v="Full-time"/>
    <s v="Yes"/>
  </r>
  <r>
    <s v="AIJOB01948"/>
    <x v="14"/>
    <x v="11"/>
    <s v="Media"/>
    <s v="Austin, United States"/>
    <s v="United States"/>
    <s v="On-site"/>
    <x v="2"/>
    <s v="2-5 yrs"/>
    <n v="109420"/>
    <x v="1945"/>
    <s v="Grok"/>
    <s v="Bachelor's"/>
    <n v="45490"/>
    <n v="2039"/>
    <n v="3836"/>
    <s v="No"/>
    <n v="2"/>
    <s v="1001-5000"/>
    <s v="Full-time"/>
    <s v="No"/>
  </r>
  <r>
    <s v="AIJOB01949"/>
    <x v="12"/>
    <x v="18"/>
    <s v="Retail"/>
    <s v="Chicago, United States"/>
    <s v="United States"/>
    <s v="On-site"/>
    <x v="2"/>
    <s v="2-5 yrs"/>
    <n v="132295"/>
    <x v="1946"/>
    <s v="None"/>
    <s v="Master's"/>
    <n v="45642"/>
    <n v="499"/>
    <n v="380"/>
    <s v="No"/>
    <n v="2"/>
    <s v="0-50"/>
    <s v="Full-time"/>
    <s v="No"/>
  </r>
  <r>
    <s v="AIJOB01950"/>
    <x v="8"/>
    <x v="20"/>
    <s v="Finance"/>
    <s v="Tokyo, Japan"/>
    <s v="Japan"/>
    <s v="Hybrid"/>
    <x v="0"/>
    <s v="0-2 yrs"/>
    <n v="69352"/>
    <x v="1947"/>
    <s v="Command R"/>
    <s v="Bootcamp/Self-taught"/>
    <n v="45639"/>
    <n v="808"/>
    <n v="3187"/>
    <s v="Maybe"/>
    <n v="0"/>
    <s v="201-1000"/>
    <s v="Full-time"/>
    <s v="No"/>
  </r>
  <r>
    <s v="AIJOB01951"/>
    <x v="2"/>
    <x v="0"/>
    <s v="Media"/>
    <s v="Chicago, United States"/>
    <s v="United States"/>
    <s v="Remote"/>
    <x v="3"/>
    <s v="5-8 yrs"/>
    <n v="102128"/>
    <x v="1948"/>
    <s v="Falcon"/>
    <s v="Bachelor's"/>
    <n v="45448"/>
    <n v="1265"/>
    <n v="2474"/>
    <s v="Yes"/>
    <n v="4"/>
    <s v="201-1000"/>
    <s v="Full-time"/>
    <s v="Yes"/>
  </r>
  <r>
    <s v="AIJOB01952"/>
    <x v="9"/>
    <x v="6"/>
    <s v="Energy"/>
    <s v="Chicago, United States"/>
    <s v="United States"/>
    <s v="Remote"/>
    <x v="2"/>
    <s v="2-5 yrs"/>
    <n v="134986"/>
    <x v="1949"/>
    <s v="Grok"/>
    <s v="PhD"/>
    <n v="45415"/>
    <n v="568"/>
    <n v="2764"/>
    <s v="No"/>
    <n v="2"/>
    <s v="51-200"/>
    <s v="Full-time"/>
    <s v="No"/>
  </r>
  <r>
    <s v="AIJOB01953"/>
    <x v="10"/>
    <x v="26"/>
    <s v="Retail"/>
    <s v="Singapore"/>
    <s v="Singapore"/>
    <s v="Hybrid"/>
    <x v="3"/>
    <s v="5-8 yrs"/>
    <n v="125545"/>
    <x v="1950"/>
    <s v="Grok"/>
    <s v="Bootcamp/Self-taught"/>
    <n v="45469"/>
    <n v="2411"/>
    <n v="231"/>
    <s v="Maybe"/>
    <n v="4"/>
    <s v="5000+"/>
    <s v="Full-time"/>
    <s v="No"/>
  </r>
  <r>
    <s v="AIJOB01954"/>
    <x v="3"/>
    <x v="20"/>
    <s v="Retail"/>
    <s v="Amsterdam, Netherlands"/>
    <s v="Netherlands"/>
    <s v="Remote"/>
    <x v="3"/>
    <s v="5-8 yrs"/>
    <n v="132348"/>
    <x v="1951"/>
    <s v="Phi"/>
    <s v="Master's"/>
    <n v="45695"/>
    <n v="1289"/>
    <n v="3854"/>
    <s v="Maybe"/>
    <n v="4"/>
    <s v="1001-5000"/>
    <s v="Full-time"/>
    <s v="No"/>
  </r>
  <r>
    <s v="AIJOB01955"/>
    <x v="8"/>
    <x v="1"/>
    <s v="Government"/>
    <s v="Boston, United States"/>
    <s v="United States"/>
    <s v="Remote"/>
    <x v="1"/>
    <s v="8+ yrs"/>
    <n v="178556"/>
    <x v="1952"/>
    <s v="None"/>
    <s v="Master's"/>
    <n v="45517"/>
    <n v="737"/>
    <n v="1190"/>
    <s v="No"/>
    <n v="6"/>
    <s v="0-50"/>
    <s v="Full-time"/>
    <s v="Yes"/>
  </r>
  <r>
    <s v="AIJOB01956"/>
    <x v="19"/>
    <x v="23"/>
    <s v="Technology"/>
    <s v="Austin, United States"/>
    <s v="United States"/>
    <s v="On-site"/>
    <x v="0"/>
    <s v="0-2 yrs"/>
    <n v="87317"/>
    <x v="1953"/>
    <s v="Command R"/>
    <s v="PhD"/>
    <n v="45418"/>
    <n v="582"/>
    <n v="1426"/>
    <s v="Yes"/>
    <n v="0"/>
    <s v="0-50"/>
    <s v="Full-time"/>
    <s v="Yes"/>
  </r>
  <r>
    <s v="AIJOB01957"/>
    <x v="7"/>
    <x v="5"/>
    <s v="Healthcare"/>
    <s v="Zurich, Switzerland"/>
    <s v="Switzerland"/>
    <s v="Remote"/>
    <x v="2"/>
    <s v="2-5 yrs"/>
    <n v="67713"/>
    <x v="1954"/>
    <s v="None"/>
    <s v="PhD"/>
    <n v="45372"/>
    <n v="2128"/>
    <n v="1948"/>
    <s v="Yes"/>
    <n v="2"/>
    <s v="5000+"/>
    <s v="Full-time"/>
    <s v="Yes"/>
  </r>
  <r>
    <s v="AIJOB01958"/>
    <x v="6"/>
    <x v="28"/>
    <s v="Government"/>
    <s v="Paris, France"/>
    <s v="France"/>
    <s v="Remote"/>
    <x v="0"/>
    <s v="0-2 yrs"/>
    <n v="109535"/>
    <x v="1955"/>
    <s v="None"/>
    <s v="Master's"/>
    <n v="45349"/>
    <n v="658"/>
    <n v="3896"/>
    <s v="No"/>
    <n v="0"/>
    <s v="51-200"/>
    <s v="Full-time"/>
    <s v="No"/>
  </r>
  <r>
    <s v="AIJOB01959"/>
    <x v="19"/>
    <x v="23"/>
    <s v="Automotive"/>
    <s v="Toronto, Canada"/>
    <s v="Canada"/>
    <s v="Remote"/>
    <x v="2"/>
    <s v="2-5 yrs"/>
    <n v="130909"/>
    <x v="1956"/>
    <s v="GPT-4"/>
    <s v="PhD"/>
    <n v="45653"/>
    <n v="1076"/>
    <n v="1623"/>
    <s v="No"/>
    <n v="2"/>
    <s v="51-200"/>
    <s v="Full-time"/>
    <s v="Yes"/>
  </r>
  <r>
    <s v="AIJOB01960"/>
    <x v="9"/>
    <x v="10"/>
    <s v="Healthcare"/>
    <s v="Zurich, Switzerland"/>
    <s v="Switzerland"/>
    <s v="On-site"/>
    <x v="2"/>
    <s v="2-5 yrs"/>
    <n v="114420"/>
    <x v="1957"/>
    <s v="Command R"/>
    <s v="Bachelor's"/>
    <n v="45506"/>
    <n v="2108"/>
    <n v="1640"/>
    <s v="No"/>
    <n v="2"/>
    <s v="51-200"/>
    <s v="Full-time"/>
    <s v="No"/>
  </r>
  <r>
    <s v="AIJOB01961"/>
    <x v="17"/>
    <x v="26"/>
    <s v="Technology"/>
    <s v="Stockholm, Sweden"/>
    <s v="Sweden"/>
    <s v="Remote"/>
    <x v="1"/>
    <s v="8+ yrs"/>
    <n v="198023"/>
    <x v="1958"/>
    <s v="Falcon"/>
    <s v="Bachelor's"/>
    <n v="45538"/>
    <n v="477"/>
    <n v="3694"/>
    <s v="Yes"/>
    <n v="6"/>
    <s v="1001-5000"/>
    <s v="Full-time"/>
    <s v="No"/>
  </r>
  <r>
    <s v="AIJOB01962"/>
    <x v="18"/>
    <x v="7"/>
    <s v="Automotive"/>
    <s v="Tel Aviv, Israel"/>
    <s v="Israel"/>
    <s v="On-site"/>
    <x v="1"/>
    <s v="8+ yrs"/>
    <n v="210279"/>
    <x v="1959"/>
    <s v="Gemini"/>
    <s v="Bootcamp/Self-taught"/>
    <n v="45744"/>
    <n v="413"/>
    <n v="998"/>
    <s v="No"/>
    <n v="6"/>
    <s v="1001-5000"/>
    <s v="Full-time"/>
    <s v="Yes"/>
  </r>
  <r>
    <s v="AIJOB01963"/>
    <x v="5"/>
    <x v="12"/>
    <s v="Retail"/>
    <s v="Boston, United States"/>
    <s v="United States"/>
    <s v="Hybrid"/>
    <x v="1"/>
    <s v="8+ yrs"/>
    <n v="218760"/>
    <x v="1960"/>
    <s v="BLOOM"/>
    <s v="Master's"/>
    <n v="45681"/>
    <n v="2206"/>
    <n v="1290"/>
    <s v="No"/>
    <n v="6"/>
    <s v="201-1000"/>
    <s v="Part-time"/>
    <s v="No"/>
  </r>
  <r>
    <s v="AIJOB01964"/>
    <x v="10"/>
    <x v="28"/>
    <s v="Defense"/>
    <s v="London, United Kingdom"/>
    <s v="United Kingdom"/>
    <s v="Hybrid"/>
    <x v="3"/>
    <s v="5-8 yrs"/>
    <n v="167420"/>
    <x v="1961"/>
    <s v="None"/>
    <s v="Master's"/>
    <n v="45723"/>
    <n v="1986"/>
    <n v="61"/>
    <s v="Yes"/>
    <n v="4"/>
    <s v="51-200"/>
    <s v="Contract"/>
    <s v="Yes"/>
  </r>
  <r>
    <s v="AIJOB01965"/>
    <x v="18"/>
    <x v="20"/>
    <s v="Healthcare"/>
    <s v="Toronto, Canada"/>
    <s v="Canada"/>
    <s v="Hybrid"/>
    <x v="2"/>
    <s v="2-5 yrs"/>
    <n v="121000"/>
    <x v="1962"/>
    <s v="Gemini"/>
    <s v="Master's"/>
    <n v="45494"/>
    <n v="1387"/>
    <n v="1396"/>
    <s v="No"/>
    <n v="2"/>
    <s v="5000+"/>
    <s v="Full-time"/>
    <s v="No"/>
  </r>
  <r>
    <s v="AIJOB01966"/>
    <x v="9"/>
    <x v="20"/>
    <s v="Defense"/>
    <s v="Berlin, Germany"/>
    <s v="Germany"/>
    <s v="Remote"/>
    <x v="1"/>
    <s v="8+ yrs"/>
    <n v="203224"/>
    <x v="1963"/>
    <s v="GPT-4"/>
    <s v="PhD"/>
    <n v="45495"/>
    <n v="489"/>
    <n v="2242"/>
    <s v="Yes"/>
    <n v="6"/>
    <s v="1001-5000"/>
    <s v="Full-time"/>
    <s v="No"/>
  </r>
  <r>
    <s v="AIJOB01967"/>
    <x v="3"/>
    <x v="26"/>
    <s v="Defense"/>
    <s v="San Francisco, United States"/>
    <s v="United States"/>
    <s v="Hybrid"/>
    <x v="0"/>
    <s v="0-2 yrs"/>
    <n v="67513"/>
    <x v="1964"/>
    <s v="None"/>
    <s v="Bachelor's"/>
    <n v="45394"/>
    <n v="1812"/>
    <n v="144"/>
    <s v="Yes"/>
    <n v="0"/>
    <s v="201-1000"/>
    <s v="Full-time"/>
    <s v="No"/>
  </r>
  <r>
    <s v="AIJOB01968"/>
    <x v="1"/>
    <x v="3"/>
    <s v="Automotive"/>
    <s v="San Francisco, United States"/>
    <s v="United States"/>
    <s v="Hybrid"/>
    <x v="3"/>
    <s v="5-8 yrs"/>
    <n v="145915"/>
    <x v="1965"/>
    <s v="Llama"/>
    <s v="PhD"/>
    <n v="45513"/>
    <n v="1950"/>
    <n v="1885"/>
    <s v="No"/>
    <n v="4"/>
    <s v="0-50"/>
    <s v="Full-time"/>
    <s v="No"/>
  </r>
  <r>
    <s v="AIJOB01969"/>
    <x v="10"/>
    <x v="3"/>
    <s v="Defense"/>
    <s v="Sydney, Australia"/>
    <s v="Australia"/>
    <s v="Remote"/>
    <x v="2"/>
    <s v="2-5 yrs"/>
    <n v="106140"/>
    <x v="1966"/>
    <s v="GPT-4"/>
    <s v="Master's"/>
    <n v="45512"/>
    <n v="1161"/>
    <n v="2131"/>
    <s v="No"/>
    <n v="2"/>
    <s v="51-200"/>
    <s v="Contract"/>
    <s v="No"/>
  </r>
  <r>
    <s v="AIJOB01970"/>
    <x v="13"/>
    <x v="26"/>
    <s v="Healthcare"/>
    <s v="Austin, United States"/>
    <s v="United States"/>
    <s v="Hybrid"/>
    <x v="3"/>
    <s v="5-8 yrs"/>
    <n v="180611"/>
    <x v="1967"/>
    <s v="Gemini"/>
    <s v="Master's"/>
    <n v="45463"/>
    <n v="950"/>
    <n v="2008"/>
    <s v="Yes"/>
    <n v="4"/>
    <s v="201-1000"/>
    <s v="Contract"/>
    <s v="No"/>
  </r>
  <r>
    <s v="AIJOB01971"/>
    <x v="1"/>
    <x v="21"/>
    <s v="Automotive"/>
    <s v="Tel Aviv, Israel"/>
    <s v="Israel"/>
    <s v="On-site"/>
    <x v="2"/>
    <s v="2-5 yrs"/>
    <n v="121752"/>
    <x v="1968"/>
    <s v="None"/>
    <s v="PhD"/>
    <n v="45664"/>
    <n v="2063"/>
    <n v="1714"/>
    <s v="No"/>
    <n v="2"/>
    <s v="0-50"/>
    <s v="Full-time"/>
    <s v="No"/>
  </r>
  <r>
    <s v="AIJOB01972"/>
    <x v="5"/>
    <x v="24"/>
    <s v="Defense"/>
    <s v="Seattle, United States"/>
    <s v="United States"/>
    <s v="Hybrid"/>
    <x v="1"/>
    <s v="8+ yrs"/>
    <n v="94146"/>
    <x v="1969"/>
    <s v="None"/>
    <s v="Bootcamp/Self-taught"/>
    <n v="45485"/>
    <n v="1413"/>
    <n v="3990"/>
    <s v="No"/>
    <n v="6"/>
    <s v="201-1000"/>
    <s v="Contract"/>
    <s v="No"/>
  </r>
  <r>
    <s v="AIJOB01973"/>
    <x v="6"/>
    <x v="16"/>
    <s v="Energy"/>
    <s v="Seattle, United States"/>
    <s v="United States"/>
    <s v="Hybrid"/>
    <x v="3"/>
    <s v="5-8 yrs"/>
    <n v="167709"/>
    <x v="1970"/>
    <s v="GPT-4"/>
    <s v="Bootcamp/Self-taught"/>
    <n v="45510"/>
    <n v="1233"/>
    <n v="2858"/>
    <s v="No"/>
    <n v="4"/>
    <s v="0-50"/>
    <s v="Full-time"/>
    <s v="No"/>
  </r>
  <r>
    <s v="AIJOB01974"/>
    <x v="0"/>
    <x v="29"/>
    <s v="Retail"/>
    <s v="Zurich, Switzerland"/>
    <s v="Switzerland"/>
    <s v="Hybrid"/>
    <x v="1"/>
    <s v="8+ yrs"/>
    <n v="207010"/>
    <x v="1971"/>
    <s v="None"/>
    <s v="Master's"/>
    <n v="45429"/>
    <n v="2322"/>
    <n v="2477"/>
    <s v="Maybe"/>
    <n v="6"/>
    <s v="51-200"/>
    <s v="Full-time"/>
    <s v="No"/>
  </r>
  <r>
    <s v="AIJOB01975"/>
    <x v="13"/>
    <x v="20"/>
    <s v="Technology"/>
    <s v="Toronto, Canada"/>
    <s v="Canada"/>
    <s v="Remote"/>
    <x v="0"/>
    <s v="0-2 yrs"/>
    <n v="69764"/>
    <x v="1972"/>
    <s v="Falcon"/>
    <s v="Bachelor's"/>
    <n v="45701"/>
    <n v="927"/>
    <n v="994"/>
    <s v="No"/>
    <n v="0"/>
    <s v="201-1000"/>
    <s v="Full-time"/>
    <s v="Yes"/>
  </r>
  <r>
    <s v="AIJOB01976"/>
    <x v="9"/>
    <x v="20"/>
    <s v="Finance"/>
    <s v="Chicago, United States"/>
    <s v="United States"/>
    <s v="Hybrid"/>
    <x v="2"/>
    <s v="2-5 yrs"/>
    <n v="102307"/>
    <x v="1973"/>
    <s v="Phi"/>
    <s v="Bachelor's"/>
    <n v="45643"/>
    <n v="486"/>
    <n v="761"/>
    <s v="Yes"/>
    <n v="2"/>
    <s v="5000+"/>
    <s v="Full-time"/>
    <s v="Yes"/>
  </r>
  <r>
    <s v="AIJOB01977"/>
    <x v="15"/>
    <x v="8"/>
    <s v="Defense"/>
    <s v="London, United Kingdom"/>
    <s v="United Kingdom"/>
    <s v="Remote"/>
    <x v="0"/>
    <s v="0-2 yrs"/>
    <n v="84163"/>
    <x v="1974"/>
    <s v="BLOOM"/>
    <s v="Master's"/>
    <n v="45470"/>
    <n v="356"/>
    <n v="41"/>
    <s v="No"/>
    <n v="0"/>
    <s v="0-50"/>
    <s v="Full-time"/>
    <s v="No"/>
  </r>
  <r>
    <s v="AIJOB01978"/>
    <x v="4"/>
    <x v="5"/>
    <s v="Retail"/>
    <s v="Chicago, United States"/>
    <s v="United States"/>
    <s v="On-site"/>
    <x v="1"/>
    <s v="8+ yrs"/>
    <n v="234110"/>
    <x v="1975"/>
    <s v="None"/>
    <s v="Bachelor's"/>
    <n v="45723"/>
    <n v="1195"/>
    <n v="3221"/>
    <s v="Maybe"/>
    <n v="6"/>
    <s v="1001-5000"/>
    <s v="Full-time"/>
    <s v="No"/>
  </r>
  <r>
    <s v="AIJOB01979"/>
    <x v="18"/>
    <x v="18"/>
    <s v="Technology"/>
    <s v="Tel Aviv, Israel"/>
    <s v="Israel"/>
    <s v="Remote"/>
    <x v="3"/>
    <s v="5-8 yrs"/>
    <n v="129132"/>
    <x v="1976"/>
    <s v="Phi"/>
    <s v="Bachelor's"/>
    <n v="45608"/>
    <n v="876"/>
    <n v="2193"/>
    <s v="Maybe"/>
    <n v="4"/>
    <s v="0-50"/>
    <s v="Contract"/>
    <s v="Yes"/>
  </r>
  <r>
    <s v="AIJOB01980"/>
    <x v="6"/>
    <x v="20"/>
    <s v="Finance"/>
    <s v="Dublin, Ireland"/>
    <s v="Ireland"/>
    <s v="Remote"/>
    <x v="2"/>
    <s v="2-5 yrs"/>
    <n v="118059"/>
    <x v="1977"/>
    <s v="Llama"/>
    <s v="Master's"/>
    <n v="45737"/>
    <n v="351"/>
    <n v="112"/>
    <s v="No"/>
    <n v="2"/>
    <s v="5000+"/>
    <s v="Contract"/>
    <s v="Yes"/>
  </r>
  <r>
    <s v="AIJOB01981"/>
    <x v="2"/>
    <x v="8"/>
    <s v="Healthcare"/>
    <s v="Stockholm, Sweden"/>
    <s v="Sweden"/>
    <s v="Remote"/>
    <x v="0"/>
    <s v="0-2 yrs"/>
    <n v="57757"/>
    <x v="1978"/>
    <s v="GPT-4"/>
    <s v="Bachelor's"/>
    <n v="45641"/>
    <n v="757"/>
    <n v="414"/>
    <s v="No"/>
    <n v="0"/>
    <s v="5000+"/>
    <s v="Full-time"/>
    <s v="Yes"/>
  </r>
  <r>
    <s v="AIJOB01982"/>
    <x v="10"/>
    <x v="5"/>
    <s v="Finance"/>
    <s v="Toronto, Canada"/>
    <s v="Canada"/>
    <s v="On-site"/>
    <x v="2"/>
    <s v="2-5 yrs"/>
    <n v="82683"/>
    <x v="1979"/>
    <s v="Command R"/>
    <s v="Bachelor's"/>
    <n v="45544"/>
    <n v="2073"/>
    <n v="3790"/>
    <s v="No"/>
    <n v="2"/>
    <s v="5000+"/>
    <s v="Full-time"/>
    <s v="Yes"/>
  </r>
  <r>
    <s v="AIJOB01983"/>
    <x v="6"/>
    <x v="0"/>
    <s v="Education"/>
    <s v="Toronto, Canada"/>
    <s v="Canada"/>
    <s v="Remote"/>
    <x v="0"/>
    <s v="0-2 yrs"/>
    <n v="62103"/>
    <x v="1980"/>
    <s v="None"/>
    <s v="Bachelor's"/>
    <n v="45462"/>
    <n v="364"/>
    <n v="708"/>
    <s v="Yes"/>
    <n v="0"/>
    <s v="5000+"/>
    <s v="Full-time"/>
    <s v="Yes"/>
  </r>
  <r>
    <s v="AIJOB01984"/>
    <x v="18"/>
    <x v="21"/>
    <s v="Finance"/>
    <s v="San Francisco, United States"/>
    <s v="United States"/>
    <s v="Remote"/>
    <x v="2"/>
    <s v="2-5 yrs"/>
    <n v="127075"/>
    <x v="1981"/>
    <s v="Phi"/>
    <s v="Bachelor's"/>
    <n v="45636"/>
    <n v="1703"/>
    <n v="122"/>
    <s v="No"/>
    <n v="2"/>
    <s v="201-1000"/>
    <s v="Full-time"/>
    <s v="Yes"/>
  </r>
  <r>
    <s v="AIJOB01985"/>
    <x v="18"/>
    <x v="24"/>
    <s v="Technology"/>
    <s v="Stockholm, Sweden"/>
    <s v="Sweden"/>
    <s v="Remote"/>
    <x v="2"/>
    <s v="2-5 yrs"/>
    <n v="128871"/>
    <x v="1982"/>
    <s v="Grok"/>
    <s v="PhD"/>
    <n v="45542"/>
    <n v="1230"/>
    <n v="107"/>
    <s v="No"/>
    <n v="2"/>
    <s v="1001-5000"/>
    <s v="Full-time"/>
    <s v="Yes"/>
  </r>
  <r>
    <s v="AIJOB01986"/>
    <x v="17"/>
    <x v="18"/>
    <s v="Defense"/>
    <s v="Dublin, Ireland"/>
    <s v="Ireland"/>
    <s v="Remote"/>
    <x v="3"/>
    <s v="5-8 yrs"/>
    <n v="163853"/>
    <x v="1983"/>
    <s v="Gemini"/>
    <s v="Bootcamp/Self-taught"/>
    <n v="45459"/>
    <n v="1292"/>
    <n v="3818"/>
    <s v="No"/>
    <n v="4"/>
    <s v="5000+"/>
    <s v="Full-time"/>
    <s v="Yes"/>
  </r>
  <r>
    <s v="AIJOB01987"/>
    <x v="1"/>
    <x v="21"/>
    <s v="Technology"/>
    <s v="Berlin, Germany"/>
    <s v="Germany"/>
    <s v="Remote"/>
    <x v="2"/>
    <s v="2-5 yrs"/>
    <n v="124356"/>
    <x v="1984"/>
    <s v="None"/>
    <s v="Master's"/>
    <n v="45347"/>
    <n v="1100"/>
    <n v="3490"/>
    <s v="No"/>
    <n v="2"/>
    <s v="0-50"/>
    <s v="Full-time"/>
    <s v="No"/>
  </r>
  <r>
    <s v="AIJOB01988"/>
    <x v="17"/>
    <x v="21"/>
    <s v="Education"/>
    <s v="San Francisco, United States"/>
    <s v="United States"/>
    <s v="Remote"/>
    <x v="3"/>
    <s v="5-8 yrs"/>
    <n v="163936"/>
    <x v="1985"/>
    <s v="None"/>
    <s v="PhD"/>
    <n v="45313"/>
    <n v="663"/>
    <n v="1897"/>
    <s v="Yes"/>
    <n v="4"/>
    <s v="1001-5000"/>
    <s v="Full-time"/>
    <s v="Yes"/>
  </r>
  <r>
    <s v="AIJOB01989"/>
    <x v="14"/>
    <x v="14"/>
    <s v="Technology"/>
    <s v="Dublin, Ireland"/>
    <s v="Ireland"/>
    <s v="Hybrid"/>
    <x v="1"/>
    <s v="8+ yrs"/>
    <n v="176906"/>
    <x v="1986"/>
    <s v="None"/>
    <s v="Master's"/>
    <n v="45391"/>
    <n v="403"/>
    <n v="1271"/>
    <s v="No"/>
    <n v="6"/>
    <s v="5000+"/>
    <s v="Full-time"/>
    <s v="No"/>
  </r>
  <r>
    <s v="AIJOB01990"/>
    <x v="1"/>
    <x v="1"/>
    <s v="Media"/>
    <s v="Zurich, Switzerland"/>
    <s v="Switzerland"/>
    <s v="Remote"/>
    <x v="0"/>
    <s v="0-2 yrs"/>
    <n v="75442"/>
    <x v="1987"/>
    <s v="None"/>
    <s v="Master's"/>
    <n v="45355"/>
    <n v="1947"/>
    <n v="1913"/>
    <s v="No"/>
    <n v="0"/>
    <s v="0-50"/>
    <s v="Full-time"/>
    <s v="Yes"/>
  </r>
  <r>
    <s v="AIJOB01991"/>
    <x v="2"/>
    <x v="16"/>
    <s v="Education"/>
    <s v="San Francisco, United States"/>
    <s v="United States"/>
    <s v="Remote"/>
    <x v="1"/>
    <s v="8+ yrs"/>
    <n v="228814"/>
    <x v="1988"/>
    <s v="Command R"/>
    <s v="PhD"/>
    <n v="45311"/>
    <n v="464"/>
    <n v="538"/>
    <s v="Maybe"/>
    <n v="6"/>
    <s v="51-200"/>
    <s v="Full-time"/>
    <s v="Yes"/>
  </r>
  <r>
    <s v="AIJOB01992"/>
    <x v="16"/>
    <x v="12"/>
    <s v="Healthcare"/>
    <s v="Sydney, Australia"/>
    <s v="Australia"/>
    <s v="Hybrid"/>
    <x v="2"/>
    <s v="2-5 yrs"/>
    <n v="124934"/>
    <x v="1989"/>
    <s v="None"/>
    <s v="Bachelor's"/>
    <n v="45739"/>
    <n v="1747"/>
    <n v="2615"/>
    <s v="No"/>
    <n v="2"/>
    <s v="51-200"/>
    <s v="Full-time"/>
    <s v="No"/>
  </r>
  <r>
    <s v="AIJOB01993"/>
    <x v="1"/>
    <x v="23"/>
    <s v="Education"/>
    <s v="Paris, France"/>
    <s v="France"/>
    <s v="Remote"/>
    <x v="1"/>
    <s v="8+ yrs"/>
    <n v="242800"/>
    <x v="1990"/>
    <s v="Falcon"/>
    <s v="PhD"/>
    <n v="45549"/>
    <n v="365"/>
    <n v="679"/>
    <s v="No"/>
    <n v="6"/>
    <s v="201-1000"/>
    <s v="Full-time"/>
    <s v="No"/>
  </r>
  <r>
    <s v="AIJOB01994"/>
    <x v="7"/>
    <x v="9"/>
    <s v="Defense"/>
    <s v="Los Angeles, United States"/>
    <s v="United States"/>
    <s v="Remote"/>
    <x v="1"/>
    <s v="8+ yrs"/>
    <n v="225498"/>
    <x v="1991"/>
    <s v="Command R"/>
    <s v="Master's"/>
    <n v="45602"/>
    <n v="1607"/>
    <n v="2970"/>
    <s v="No"/>
    <n v="6"/>
    <s v="201-1000"/>
    <s v="Full-time"/>
    <s v="Yes"/>
  </r>
  <r>
    <s v="AIJOB01995"/>
    <x v="4"/>
    <x v="16"/>
    <s v="Automotive"/>
    <s v="Bangalore, India"/>
    <s v="India"/>
    <s v="Remote"/>
    <x v="1"/>
    <s v="8+ yrs"/>
    <n v="212652"/>
    <x v="1992"/>
    <s v="Llama"/>
    <s v="PhD"/>
    <n v="45695"/>
    <n v="1899"/>
    <n v="2593"/>
    <s v="Yes"/>
    <n v="6"/>
    <s v="0-50"/>
    <s v="Full-time"/>
    <s v="Yes"/>
  </r>
  <r>
    <s v="AIJOB01996"/>
    <x v="2"/>
    <x v="20"/>
    <s v="Media"/>
    <s v="London, United Kingdom"/>
    <s v="United Kingdom"/>
    <s v="Remote"/>
    <x v="0"/>
    <s v="0-2 yrs"/>
    <n v="83483"/>
    <x v="1993"/>
    <s v="Falcon"/>
    <s v="Bachelor's"/>
    <n v="45741"/>
    <n v="1001"/>
    <n v="3285"/>
    <s v="Maybe"/>
    <n v="0"/>
    <s v="5000+"/>
    <s v="Full-time"/>
    <s v="No"/>
  </r>
  <r>
    <s v="AIJOB01997"/>
    <x v="9"/>
    <x v="10"/>
    <s v="Automotive"/>
    <s v="Bangalore, India"/>
    <s v="India"/>
    <s v="Remote"/>
    <x v="3"/>
    <s v="5-8 yrs"/>
    <n v="149283"/>
    <x v="1994"/>
    <s v="None"/>
    <s v="Bachelor's"/>
    <n v="45433"/>
    <n v="1489"/>
    <n v="3835"/>
    <s v="Yes"/>
    <n v="4"/>
    <s v="0-50"/>
    <s v="Full-time"/>
    <s v="Yes"/>
  </r>
  <r>
    <s v="AIJOB01998"/>
    <x v="12"/>
    <x v="20"/>
    <s v="Automotive"/>
    <s v="Sydney, Australia"/>
    <s v="Australia"/>
    <s v="On-site"/>
    <x v="3"/>
    <s v="5-8 yrs"/>
    <n v="126189"/>
    <x v="1995"/>
    <s v="Mistral"/>
    <s v="Master's"/>
    <n v="45462"/>
    <n v="2371"/>
    <n v="459"/>
    <s v="Maybe"/>
    <n v="4"/>
    <s v="0-50"/>
    <s v="Full-time"/>
    <s v="Yes"/>
  </r>
  <r>
    <s v="AIJOB01999"/>
    <x v="19"/>
    <x v="18"/>
    <s v="Healthcare"/>
    <s v="Tel Aviv, Israel"/>
    <s v="Israel"/>
    <s v="Hybrid"/>
    <x v="3"/>
    <s v="5-8 yrs"/>
    <n v="145597"/>
    <x v="1996"/>
    <s v="Phi"/>
    <s v="Bachelor's"/>
    <n v="45380"/>
    <n v="1136"/>
    <n v="1333"/>
    <s v="Yes"/>
    <n v="4"/>
    <s v="5000+"/>
    <s v="Full-time"/>
    <s v="No"/>
  </r>
  <r>
    <s v="AIJOB02000"/>
    <x v="16"/>
    <x v="10"/>
    <s v="Finance"/>
    <s v="Boston, United States"/>
    <s v="United States"/>
    <s v="Remote"/>
    <x v="0"/>
    <s v="0-2 yrs"/>
    <n v="60614"/>
    <x v="1997"/>
    <s v="Falcon"/>
    <s v="PhD"/>
    <n v="45293"/>
    <n v="1202"/>
    <n v="3518"/>
    <s v="No"/>
    <n v="0"/>
    <s v="5000+"/>
    <s v="Full-time"/>
    <s v="No"/>
  </r>
  <r>
    <s v="AIJOB02001"/>
    <x v="7"/>
    <x v="13"/>
    <s v="Healthcare"/>
    <s v="Austin, United States"/>
    <s v="United States"/>
    <s v="On-site"/>
    <x v="0"/>
    <s v="0-2 yrs"/>
    <n v="61492"/>
    <x v="1998"/>
    <s v="None"/>
    <s v="Bachelor's"/>
    <n v="45708"/>
    <n v="1528"/>
    <n v="3713"/>
    <s v="Maybe"/>
    <n v="0"/>
    <s v="1001-5000"/>
    <s v="Full-time"/>
    <s v="No"/>
  </r>
  <r>
    <s v="AIJOB02002"/>
    <x v="11"/>
    <x v="12"/>
    <s v="Defense"/>
    <s v="Sydney, Australia"/>
    <s v="Australia"/>
    <s v="Remote"/>
    <x v="2"/>
    <s v="2-5 yrs"/>
    <n v="107138"/>
    <x v="1999"/>
    <s v="BLOOM"/>
    <s v="Master's"/>
    <n v="45316"/>
    <n v="408"/>
    <n v="1556"/>
    <s v="No"/>
    <n v="2"/>
    <s v="5000+"/>
    <s v="Full-time"/>
    <s v="Yes"/>
  </r>
  <r>
    <s v="AIJOB02003"/>
    <x v="14"/>
    <x v="25"/>
    <s v="Technology"/>
    <s v="Tokyo, Japan"/>
    <s v="Japan"/>
    <s v="Remote"/>
    <x v="3"/>
    <s v="5-8 yrs"/>
    <n v="128604"/>
    <x v="2000"/>
    <s v="None"/>
    <s v="Master's"/>
    <n v="45707"/>
    <n v="336"/>
    <n v="1749"/>
    <s v="Yes"/>
    <n v="4"/>
    <s v="201-1000"/>
    <s v="Full-time"/>
    <s v="Yes"/>
  </r>
  <r>
    <s v="AIJOB02004"/>
    <x v="13"/>
    <x v="15"/>
    <s v="Automotive"/>
    <s v="London, United Kingdom"/>
    <s v="United Kingdom"/>
    <s v="On-site"/>
    <x v="0"/>
    <s v="0-2 yrs"/>
    <n v="66119"/>
    <x v="2001"/>
    <s v="GPT-4"/>
    <s v="PhD"/>
    <n v="45455"/>
    <n v="1066"/>
    <n v="3738"/>
    <s v="Maybe"/>
    <n v="0"/>
    <s v="51-200"/>
    <s v="Full-time"/>
    <s v="No"/>
  </r>
  <r>
    <s v="AIJOB02005"/>
    <x v="1"/>
    <x v="21"/>
    <s v="Defense"/>
    <s v="Dublin, Ireland"/>
    <s v="Ireland"/>
    <s v="On-site"/>
    <x v="1"/>
    <s v="8+ yrs"/>
    <n v="131829"/>
    <x v="2002"/>
    <s v="Claude"/>
    <s v="Master's"/>
    <n v="45619"/>
    <n v="877"/>
    <n v="1533"/>
    <s v="Yes"/>
    <n v="6"/>
    <s v="1001-5000"/>
    <s v="Full-time"/>
    <s v="No"/>
  </r>
  <r>
    <s v="AIJOB02006"/>
    <x v="6"/>
    <x v="14"/>
    <s v="Automotive"/>
    <s v="Dublin, Ireland"/>
    <s v="Ireland"/>
    <s v="On-site"/>
    <x v="1"/>
    <s v="8+ yrs"/>
    <n v="207678"/>
    <x v="2003"/>
    <s v="Mistral"/>
    <s v="Bachelor's"/>
    <n v="45375"/>
    <n v="1906"/>
    <n v="66"/>
    <s v="No"/>
    <n v="6"/>
    <s v="51-200"/>
    <s v="Contract"/>
    <s v="Yes"/>
  </r>
  <r>
    <s v="AIJOB02007"/>
    <x v="1"/>
    <x v="25"/>
    <s v="Automotive"/>
    <s v="Seattle, United States"/>
    <s v="United States"/>
    <s v="Hybrid"/>
    <x v="1"/>
    <s v="8+ yrs"/>
    <n v="200043"/>
    <x v="2004"/>
    <s v="None"/>
    <s v="Master's"/>
    <n v="45473"/>
    <n v="1625"/>
    <n v="2712"/>
    <s v="No"/>
    <n v="6"/>
    <s v="1001-5000"/>
    <s v="Full-time"/>
    <s v="No"/>
  </r>
  <r>
    <s v="AIJOB02008"/>
    <x v="8"/>
    <x v="4"/>
    <s v="Education"/>
    <s v="Zurich, Switzerland"/>
    <s v="Switzerland"/>
    <s v="Remote"/>
    <x v="2"/>
    <s v="2-5 yrs"/>
    <n v="93821"/>
    <x v="2005"/>
    <s v="Llama"/>
    <s v="Master's"/>
    <n v="45466"/>
    <n v="2221"/>
    <n v="1287"/>
    <s v="No"/>
    <n v="2"/>
    <s v="0-50"/>
    <s v="Full-time"/>
    <s v="No"/>
  </r>
  <r>
    <s v="AIJOB02009"/>
    <x v="6"/>
    <x v="1"/>
    <s v="Media"/>
    <s v="Stockholm, Sweden"/>
    <s v="Sweden"/>
    <s v="Remote"/>
    <x v="3"/>
    <s v="5-8 yrs"/>
    <n v="167799"/>
    <x v="2006"/>
    <s v="None"/>
    <s v="PhD"/>
    <n v="45294"/>
    <n v="846"/>
    <n v="2183"/>
    <s v="No"/>
    <n v="4"/>
    <s v="5000+"/>
    <s v="Full-time"/>
    <s v="No"/>
  </r>
  <r>
    <s v="AIJOB02010"/>
    <x v="11"/>
    <x v="4"/>
    <s v="Technology"/>
    <s v="San Francisco, United States"/>
    <s v="United States"/>
    <s v="On-site"/>
    <x v="1"/>
    <s v="8+ yrs"/>
    <n v="233752"/>
    <x v="2007"/>
    <s v="None"/>
    <s v="Bootcamp/Self-taught"/>
    <n v="45506"/>
    <n v="1637"/>
    <n v="3472"/>
    <s v="Yes"/>
    <n v="6"/>
    <s v="51-200"/>
    <s v="Full-time"/>
    <s v="Yes"/>
  </r>
  <r>
    <s v="AIJOB02011"/>
    <x v="5"/>
    <x v="16"/>
    <s v="Automotive"/>
    <s v="Chicago, United States"/>
    <s v="United States"/>
    <s v="Remote"/>
    <x v="2"/>
    <s v="2-5 yrs"/>
    <n v="78170"/>
    <x v="2008"/>
    <s v="Gemini"/>
    <s v="Master's"/>
    <n v="45362"/>
    <n v="1501"/>
    <n v="259"/>
    <s v="No"/>
    <n v="2"/>
    <s v="5000+"/>
    <s v="Full-time"/>
    <s v="Yes"/>
  </r>
  <r>
    <s v="AIJOB02012"/>
    <x v="16"/>
    <x v="1"/>
    <s v="Technology"/>
    <s v="Austin, United States"/>
    <s v="United States"/>
    <s v="Remote"/>
    <x v="2"/>
    <s v="2-5 yrs"/>
    <n v="94898"/>
    <x v="2009"/>
    <s v="None"/>
    <s v="PhD"/>
    <n v="45433"/>
    <n v="2009"/>
    <n v="3783"/>
    <s v="No"/>
    <n v="2"/>
    <s v="201-1000"/>
    <s v="Contract"/>
    <s v="Yes"/>
  </r>
  <r>
    <s v="AIJOB02013"/>
    <x v="7"/>
    <x v="14"/>
    <s v="Energy"/>
    <s v="Amsterdam, Netherlands"/>
    <s v="Netherlands"/>
    <s v="Hybrid"/>
    <x v="1"/>
    <s v="8+ yrs"/>
    <n v="172310"/>
    <x v="2010"/>
    <s v="Falcon"/>
    <s v="PhD"/>
    <n v="45675"/>
    <n v="2017"/>
    <n v="1885"/>
    <s v="No"/>
    <n v="6"/>
    <s v="0-50"/>
    <s v="Full-time"/>
    <s v="No"/>
  </r>
  <r>
    <s v="AIJOB02014"/>
    <x v="18"/>
    <x v="0"/>
    <s v="Government"/>
    <s v="Toronto, Canada"/>
    <s v="Canada"/>
    <s v="On-site"/>
    <x v="2"/>
    <s v="2-5 yrs"/>
    <n v="91389"/>
    <x v="2011"/>
    <s v="None"/>
    <s v="PhD"/>
    <n v="45593"/>
    <n v="1156"/>
    <n v="3231"/>
    <s v="No"/>
    <n v="2"/>
    <s v="1001-5000"/>
    <s v="Full-time"/>
    <s v="No"/>
  </r>
  <r>
    <s v="AIJOB02015"/>
    <x v="12"/>
    <x v="1"/>
    <s v="Defense"/>
    <s v="Berlin, Germany"/>
    <s v="Germany"/>
    <s v="Remote"/>
    <x v="0"/>
    <s v="0-2 yrs"/>
    <n v="80451"/>
    <x v="2012"/>
    <s v="Claude"/>
    <s v="PhD"/>
    <n v="45406"/>
    <n v="827"/>
    <n v="1168"/>
    <s v="Yes"/>
    <n v="0"/>
    <s v="5000+"/>
    <s v="Contract"/>
    <s v="No"/>
  </r>
  <r>
    <s v="AIJOB02016"/>
    <x v="18"/>
    <x v="1"/>
    <s v="Healthcare"/>
    <s v="Stockholm, Sweden"/>
    <s v="Sweden"/>
    <s v="Remote"/>
    <x v="2"/>
    <s v="2-5 yrs"/>
    <n v="106162"/>
    <x v="2013"/>
    <s v="Llama"/>
    <s v="Master's"/>
    <n v="45654"/>
    <n v="2008"/>
    <n v="298"/>
    <s v="No"/>
    <n v="2"/>
    <s v="1001-5000"/>
    <s v="Contract"/>
    <s v="Yes"/>
  </r>
  <r>
    <s v="AIJOB02017"/>
    <x v="17"/>
    <x v="25"/>
    <s v="Education"/>
    <s v="Berlin, Germany"/>
    <s v="Germany"/>
    <s v="Remote"/>
    <x v="3"/>
    <s v="5-8 yrs"/>
    <n v="142858"/>
    <x v="2014"/>
    <s v="Phi"/>
    <s v="Master's"/>
    <n v="45696"/>
    <n v="1073"/>
    <n v="1848"/>
    <s v="Yes"/>
    <n v="4"/>
    <s v="51-200"/>
    <s v="Full-time"/>
    <s v="No"/>
  </r>
  <r>
    <s v="AIJOB02018"/>
    <x v="6"/>
    <x v="17"/>
    <s v="Retail"/>
    <s v="Singapore"/>
    <s v="Singapore"/>
    <s v="Hybrid"/>
    <x v="2"/>
    <s v="2-5 yrs"/>
    <n v="70323"/>
    <x v="2015"/>
    <s v="BLOOM"/>
    <s v="Bachelor's"/>
    <n v="45313"/>
    <n v="1247"/>
    <n v="260"/>
    <s v="No"/>
    <n v="2"/>
    <s v="201-1000"/>
    <s v="Full-time"/>
    <s v="Yes"/>
  </r>
  <r>
    <s v="AIJOB02019"/>
    <x v="5"/>
    <x v="13"/>
    <s v="Retail"/>
    <s v="Los Angeles, United States"/>
    <s v="United States"/>
    <s v="Hybrid"/>
    <x v="2"/>
    <s v="2-5 yrs"/>
    <n v="122581"/>
    <x v="2016"/>
    <s v="Llama"/>
    <s v="Master's"/>
    <n v="45734"/>
    <n v="497"/>
    <n v="3004"/>
    <s v="Yes"/>
    <n v="2"/>
    <s v="0-50"/>
    <s v="Full-time"/>
    <s v="Yes"/>
  </r>
  <r>
    <s v="AIJOB02020"/>
    <x v="19"/>
    <x v="28"/>
    <s v="Automotive"/>
    <s v="Los Angeles, United States"/>
    <s v="United States"/>
    <s v="Hybrid"/>
    <x v="1"/>
    <s v="8+ yrs"/>
    <n v="155386"/>
    <x v="2017"/>
    <s v="Falcon"/>
    <s v="Master's"/>
    <n v="45526"/>
    <n v="538"/>
    <n v="862"/>
    <s v="No"/>
    <n v="6"/>
    <s v="5000+"/>
    <s v="Full-time"/>
    <s v="Yes"/>
  </r>
  <r>
    <s v="AIJOB02021"/>
    <x v="2"/>
    <x v="26"/>
    <s v="Defense"/>
    <s v="Boston, United States"/>
    <s v="United States"/>
    <s v="Hybrid"/>
    <x v="2"/>
    <s v="2-5 yrs"/>
    <n v="111186"/>
    <x v="2018"/>
    <s v="Grok"/>
    <s v="Master's"/>
    <n v="45661"/>
    <n v="1141"/>
    <n v="972"/>
    <s v="No"/>
    <n v="2"/>
    <s v="5000+"/>
    <s v="Full-time"/>
    <s v="No"/>
  </r>
  <r>
    <s v="AIJOB02022"/>
    <x v="9"/>
    <x v="13"/>
    <s v="Automotive"/>
    <s v="Singapore"/>
    <s v="Singapore"/>
    <s v="Hybrid"/>
    <x v="2"/>
    <s v="2-5 yrs"/>
    <n v="115492"/>
    <x v="2019"/>
    <s v="None"/>
    <s v="Bootcamp/Self-taught"/>
    <n v="45741"/>
    <n v="2430"/>
    <n v="1299"/>
    <s v="No"/>
    <n v="2"/>
    <s v="0-50"/>
    <s v="Full-time"/>
    <s v="Yes"/>
  </r>
  <r>
    <s v="AIJOB02023"/>
    <x v="2"/>
    <x v="12"/>
    <s v="Automotive"/>
    <s v="Los Angeles, United States"/>
    <s v="United States"/>
    <s v="Remote"/>
    <x v="0"/>
    <s v="0-2 yrs"/>
    <n v="87144"/>
    <x v="2020"/>
    <s v="Claude"/>
    <s v="Master's"/>
    <n v="45699"/>
    <n v="2376"/>
    <n v="1965"/>
    <s v="No"/>
    <n v="0"/>
    <s v="0-50"/>
    <s v="Part-time"/>
    <s v="No"/>
  </r>
  <r>
    <s v="AIJOB02024"/>
    <x v="19"/>
    <x v="2"/>
    <s v="Education"/>
    <s v="Stockholm, Sweden"/>
    <s v="Sweden"/>
    <s v="On-site"/>
    <x v="3"/>
    <s v="5-8 yrs"/>
    <n v="114661"/>
    <x v="2021"/>
    <s v="None"/>
    <s v="Bachelor's"/>
    <n v="45668"/>
    <n v="1013"/>
    <n v="2398"/>
    <s v="No"/>
    <n v="4"/>
    <s v="1001-5000"/>
    <s v="Full-time"/>
    <s v="No"/>
  </r>
  <r>
    <s v="AIJOB02025"/>
    <x v="15"/>
    <x v="18"/>
    <s v="Education"/>
    <s v="Toronto, Canada"/>
    <s v="Canada"/>
    <s v="Hybrid"/>
    <x v="3"/>
    <s v="5-8 yrs"/>
    <n v="68473"/>
    <x v="2022"/>
    <s v="Llama"/>
    <s v="PhD"/>
    <n v="45372"/>
    <n v="958"/>
    <n v="1542"/>
    <s v="No"/>
    <n v="4"/>
    <s v="5000+"/>
    <s v="Full-time"/>
    <s v="No"/>
  </r>
  <r>
    <s v="AIJOB02026"/>
    <x v="1"/>
    <x v="25"/>
    <s v="Defense"/>
    <s v="Zurich, Switzerland"/>
    <s v="Switzerland"/>
    <s v="Hybrid"/>
    <x v="0"/>
    <s v="0-2 yrs"/>
    <n v="72316"/>
    <x v="2023"/>
    <s v="None"/>
    <s v="Bachelor's"/>
    <n v="45715"/>
    <n v="1431"/>
    <n v="1294"/>
    <s v="No"/>
    <n v="0"/>
    <s v="1001-5000"/>
    <s v="Full-time"/>
    <s v="Yes"/>
  </r>
  <r>
    <s v="AIJOB02027"/>
    <x v="5"/>
    <x v="20"/>
    <s v="Automotive"/>
    <s v="Amsterdam, Netherlands"/>
    <s v="Netherlands"/>
    <s v="Hybrid"/>
    <x v="1"/>
    <s v="8+ yrs"/>
    <n v="264818"/>
    <x v="2024"/>
    <s v="Falcon"/>
    <s v="PhD"/>
    <n v="45365"/>
    <n v="2455"/>
    <n v="1548"/>
    <s v="No"/>
    <n v="6"/>
    <s v="201-1000"/>
    <s v="Full-time"/>
    <s v="No"/>
  </r>
  <r>
    <s v="AIJOB02028"/>
    <x v="13"/>
    <x v="22"/>
    <s v="Media"/>
    <s v="Dublin, Ireland"/>
    <s v="Ireland"/>
    <s v="Hybrid"/>
    <x v="0"/>
    <s v="0-2 yrs"/>
    <n v="85610"/>
    <x v="2025"/>
    <s v="None"/>
    <s v="Master's"/>
    <n v="45682"/>
    <n v="478"/>
    <n v="3076"/>
    <s v="Maybe"/>
    <n v="0"/>
    <s v="51-200"/>
    <s v="Full-time"/>
    <s v="Yes"/>
  </r>
  <r>
    <s v="AIJOB02029"/>
    <x v="18"/>
    <x v="18"/>
    <s v="Education"/>
    <s v="Berlin, Germany"/>
    <s v="Germany"/>
    <s v="On-site"/>
    <x v="0"/>
    <s v="0-2 yrs"/>
    <n v="72641"/>
    <x v="1384"/>
    <s v="Claude"/>
    <s v="Bootcamp/Self-taught"/>
    <n v="45649"/>
    <n v="432"/>
    <n v="3404"/>
    <s v="No"/>
    <n v="0"/>
    <s v="51-200"/>
    <s v="Full-time"/>
    <s v="No"/>
  </r>
  <r>
    <s v="AIJOB02030"/>
    <x v="17"/>
    <x v="4"/>
    <s v="Automotive"/>
    <s v="London, United Kingdom"/>
    <s v="United Kingdom"/>
    <s v="Remote"/>
    <x v="2"/>
    <s v="2-5 yrs"/>
    <n v="100265"/>
    <x v="2026"/>
    <s v="Claude"/>
    <s v="Master's"/>
    <n v="45405"/>
    <n v="1625"/>
    <n v="3463"/>
    <s v="Yes"/>
    <n v="2"/>
    <s v="201-1000"/>
    <s v="Full-time"/>
    <s v="Yes"/>
  </r>
  <r>
    <s v="AIJOB02031"/>
    <x v="10"/>
    <x v="0"/>
    <s v="Media"/>
    <s v="Berlin, Germany"/>
    <s v="Germany"/>
    <s v="Hybrid"/>
    <x v="2"/>
    <s v="2-5 yrs"/>
    <n v="125981"/>
    <x v="2027"/>
    <s v="None"/>
    <s v="Master's"/>
    <n v="45678"/>
    <n v="2381"/>
    <n v="297"/>
    <s v="No"/>
    <n v="2"/>
    <s v="1001-5000"/>
    <s v="Full-time"/>
    <s v="Yes"/>
  </r>
  <r>
    <s v="AIJOB02032"/>
    <x v="19"/>
    <x v="10"/>
    <s v="Technology"/>
    <s v="Seattle, United States"/>
    <s v="United States"/>
    <s v="On-site"/>
    <x v="1"/>
    <s v="8+ yrs"/>
    <n v="164952"/>
    <x v="2028"/>
    <s v="BLOOM"/>
    <s v="Master's"/>
    <n v="45504"/>
    <n v="1817"/>
    <n v="1294"/>
    <s v="Yes"/>
    <n v="6"/>
    <s v="1001-5000"/>
    <s v="Full-time"/>
    <s v="No"/>
  </r>
  <r>
    <s v="AIJOB02033"/>
    <x v="7"/>
    <x v="4"/>
    <s v="Defense"/>
    <s v="Zurich, Switzerland"/>
    <s v="Switzerland"/>
    <s v="Remote"/>
    <x v="2"/>
    <s v="2-5 yrs"/>
    <n v="119431"/>
    <x v="2029"/>
    <s v="Falcon"/>
    <s v="Master's"/>
    <n v="45388"/>
    <n v="826"/>
    <n v="343"/>
    <s v="Maybe"/>
    <n v="2"/>
    <s v="1001-5000"/>
    <s v="Contract"/>
    <s v="No"/>
  </r>
  <r>
    <s v="AIJOB02034"/>
    <x v="5"/>
    <x v="13"/>
    <s v="Defense"/>
    <s v="Zurich, Switzerland"/>
    <s v="Switzerland"/>
    <s v="Hybrid"/>
    <x v="1"/>
    <s v="8+ yrs"/>
    <n v="218196"/>
    <x v="2030"/>
    <s v="None"/>
    <s v="Master's"/>
    <n v="45447"/>
    <n v="1219"/>
    <n v="249"/>
    <s v="No"/>
    <n v="6"/>
    <s v="1001-5000"/>
    <s v="Full-time"/>
    <s v="Yes"/>
  </r>
  <r>
    <s v="AIJOB02035"/>
    <x v="9"/>
    <x v="0"/>
    <s v="Automotive"/>
    <s v="Zurich, Switzerland"/>
    <s v="Switzerland"/>
    <s v="On-site"/>
    <x v="1"/>
    <s v="8+ yrs"/>
    <n v="238167"/>
    <x v="2031"/>
    <s v="None"/>
    <s v="Bachelor's"/>
    <n v="45385"/>
    <n v="317"/>
    <n v="3865"/>
    <s v="Yes"/>
    <n v="6"/>
    <s v="1001-5000"/>
    <s v="Full-time"/>
    <s v="No"/>
  </r>
  <r>
    <s v="AIJOB02036"/>
    <x v="13"/>
    <x v="10"/>
    <s v="Technology"/>
    <s v="Tel Aviv, Israel"/>
    <s v="Israel"/>
    <s v="Remote"/>
    <x v="0"/>
    <s v="0-2 yrs"/>
    <n v="104771"/>
    <x v="2032"/>
    <s v="None"/>
    <s v="PhD"/>
    <n v="45347"/>
    <n v="1786"/>
    <n v="2743"/>
    <s v="No"/>
    <n v="0"/>
    <s v="1001-5000"/>
    <s v="Full-time"/>
    <s v="No"/>
  </r>
  <r>
    <s v="AIJOB02037"/>
    <x v="15"/>
    <x v="25"/>
    <s v="Automotive"/>
    <s v="San Francisco, United States"/>
    <s v="United States"/>
    <s v="Remote"/>
    <x v="2"/>
    <s v="2-5 yrs"/>
    <n v="117769"/>
    <x v="2033"/>
    <s v="BLOOM"/>
    <s v="Bachelor's"/>
    <n v="45470"/>
    <n v="2433"/>
    <n v="1277"/>
    <s v="No"/>
    <n v="2"/>
    <s v="0-50"/>
    <s v="Contract"/>
    <s v="No"/>
  </r>
  <r>
    <s v="AIJOB02038"/>
    <x v="17"/>
    <x v="22"/>
    <s v="Media"/>
    <s v="Toronto, Canada"/>
    <s v="Canada"/>
    <s v="Hybrid"/>
    <x v="2"/>
    <s v="2-5 yrs"/>
    <n v="99922"/>
    <x v="2034"/>
    <s v="Command R"/>
    <s v="Bachelor's"/>
    <n v="45301"/>
    <n v="1630"/>
    <n v="531"/>
    <s v="No"/>
    <n v="2"/>
    <s v="51-200"/>
    <s v="Contract"/>
    <s v="No"/>
  </r>
  <r>
    <s v="AIJOB02039"/>
    <x v="4"/>
    <x v="16"/>
    <s v="Defense"/>
    <s v="Stockholm, Sweden"/>
    <s v="Sweden"/>
    <s v="Hybrid"/>
    <x v="0"/>
    <s v="0-2 yrs"/>
    <n v="69677"/>
    <x v="2035"/>
    <s v="BLOOM"/>
    <s v="Master's"/>
    <n v="45677"/>
    <n v="1991"/>
    <n v="3969"/>
    <s v="Yes"/>
    <n v="0"/>
    <s v="0-50"/>
    <s v="Full-time"/>
    <s v="Yes"/>
  </r>
  <r>
    <s v="AIJOB02040"/>
    <x v="4"/>
    <x v="4"/>
    <s v="Media"/>
    <s v="London, United Kingdom"/>
    <s v="United Kingdom"/>
    <s v="Hybrid"/>
    <x v="0"/>
    <s v="0-2 yrs"/>
    <n v="50000"/>
    <x v="2036"/>
    <s v="BLOOM"/>
    <s v="Bachelor's"/>
    <n v="45375"/>
    <n v="1544"/>
    <n v="1976"/>
    <s v="Yes"/>
    <n v="0"/>
    <s v="0-50"/>
    <s v="Full-time"/>
    <s v="Yes"/>
  </r>
  <r>
    <s v="AIJOB02041"/>
    <x v="18"/>
    <x v="14"/>
    <s v="Retail"/>
    <s v="Austin, United States"/>
    <s v="United States"/>
    <s v="Remote"/>
    <x v="3"/>
    <s v="5-8 yrs"/>
    <n v="131242"/>
    <x v="2037"/>
    <s v="GPT-4"/>
    <s v="Master's"/>
    <n v="45394"/>
    <n v="1195"/>
    <n v="1423"/>
    <s v="No"/>
    <n v="4"/>
    <s v="51-200"/>
    <s v="Full-time"/>
    <s v="Yes"/>
  </r>
  <r>
    <s v="AIJOB02042"/>
    <x v="9"/>
    <x v="14"/>
    <s v="Retail"/>
    <s v="Amsterdam, Netherlands"/>
    <s v="Netherlands"/>
    <s v="Hybrid"/>
    <x v="2"/>
    <s v="2-5 yrs"/>
    <n v="101896"/>
    <x v="2038"/>
    <s v="GPT-4"/>
    <s v="Bachelor's"/>
    <n v="45356"/>
    <n v="1949"/>
    <n v="2063"/>
    <s v="No"/>
    <n v="2"/>
    <s v="0-50"/>
    <s v="Full-time"/>
    <s v="Yes"/>
  </r>
  <r>
    <s v="AIJOB02043"/>
    <x v="11"/>
    <x v="5"/>
    <s v="Retail"/>
    <s v="Berlin, Germany"/>
    <s v="Germany"/>
    <s v="Remote"/>
    <x v="3"/>
    <s v="5-8 yrs"/>
    <n v="135849"/>
    <x v="2039"/>
    <s v="Grok"/>
    <s v="Master's"/>
    <n v="45729"/>
    <n v="993"/>
    <n v="3734"/>
    <s v="Yes"/>
    <n v="4"/>
    <s v="0-50"/>
    <s v="Full-time"/>
    <s v="Yes"/>
  </r>
  <r>
    <s v="AIJOB02044"/>
    <x v="14"/>
    <x v="18"/>
    <s v="Media"/>
    <s v="Tel Aviv, Israel"/>
    <s v="Israel"/>
    <s v="Remote"/>
    <x v="1"/>
    <s v="8+ yrs"/>
    <n v="205484"/>
    <x v="2040"/>
    <s v="Falcon"/>
    <s v="PhD"/>
    <n v="45586"/>
    <n v="863"/>
    <n v="2091"/>
    <s v="Maybe"/>
    <n v="6"/>
    <s v="51-200"/>
    <s v="Part-time"/>
    <s v="No"/>
  </r>
  <r>
    <s v="AIJOB02045"/>
    <x v="11"/>
    <x v="27"/>
    <s v="Defense"/>
    <s v="Zurich, Switzerland"/>
    <s v="Switzerland"/>
    <s v="Hybrid"/>
    <x v="0"/>
    <s v="0-2 yrs"/>
    <n v="59637"/>
    <x v="2041"/>
    <s v="None"/>
    <s v="Master's"/>
    <n v="45628"/>
    <n v="1379"/>
    <n v="2387"/>
    <s v="No"/>
    <n v="0"/>
    <s v="51-200"/>
    <s v="Full-time"/>
    <s v="No"/>
  </r>
  <r>
    <s v="AIJOB02046"/>
    <x v="2"/>
    <x v="1"/>
    <s v="Government"/>
    <s v="Bangalore, India"/>
    <s v="India"/>
    <s v="Hybrid"/>
    <x v="3"/>
    <s v="5-8 yrs"/>
    <n v="180267"/>
    <x v="2042"/>
    <s v="BLOOM"/>
    <s v="Bachelor's"/>
    <n v="45706"/>
    <n v="439"/>
    <n v="2906"/>
    <s v="Maybe"/>
    <n v="4"/>
    <s v="0-50"/>
    <s v="Full-time"/>
    <s v="No"/>
  </r>
  <r>
    <s v="AIJOB02047"/>
    <x v="11"/>
    <x v="4"/>
    <s v="Technology"/>
    <s v="Dublin, Ireland"/>
    <s v="Ireland"/>
    <s v="Remote"/>
    <x v="1"/>
    <s v="8+ yrs"/>
    <n v="200007"/>
    <x v="2043"/>
    <s v="None"/>
    <s v="Bootcamp/Self-taught"/>
    <n v="45398"/>
    <n v="1466"/>
    <n v="366"/>
    <s v="Yes"/>
    <n v="6"/>
    <s v="1001-5000"/>
    <s v="Full-time"/>
    <s v="Yes"/>
  </r>
  <r>
    <s v="AIJOB02048"/>
    <x v="1"/>
    <x v="29"/>
    <s v="Retail"/>
    <s v="Paris, France"/>
    <s v="France"/>
    <s v="Remote"/>
    <x v="3"/>
    <s v="5-8 yrs"/>
    <n v="149748"/>
    <x v="2044"/>
    <s v="Llama"/>
    <s v="Master's"/>
    <n v="45653"/>
    <n v="710"/>
    <n v="3874"/>
    <s v="Yes"/>
    <n v="4"/>
    <s v="0-50"/>
    <s v="Contract"/>
    <s v="No"/>
  </r>
  <r>
    <s v="AIJOB02049"/>
    <x v="19"/>
    <x v="5"/>
    <s v="Retail"/>
    <s v="Tel Aviv, Israel"/>
    <s v="Israel"/>
    <s v="Remote"/>
    <x v="1"/>
    <s v="8+ yrs"/>
    <n v="188195"/>
    <x v="2045"/>
    <s v="Mistral"/>
    <s v="Bootcamp/Self-taught"/>
    <n v="45404"/>
    <n v="1837"/>
    <n v="1491"/>
    <s v="No"/>
    <n v="6"/>
    <s v="0-50"/>
    <s v="Full-time"/>
    <s v="Yes"/>
  </r>
  <r>
    <s v="AIJOB02050"/>
    <x v="13"/>
    <x v="1"/>
    <s v="Automotive"/>
    <s v="Chicago, United States"/>
    <s v="United States"/>
    <s v="Hybrid"/>
    <x v="3"/>
    <s v="5-8 yrs"/>
    <n v="154190"/>
    <x v="2046"/>
    <s v="GPT-4"/>
    <s v="Master's"/>
    <n v="45458"/>
    <n v="2145"/>
    <n v="834"/>
    <s v="No"/>
    <n v="4"/>
    <s v="0-50"/>
    <s v="Full-time"/>
    <s v="No"/>
  </r>
  <r>
    <s v="AIJOB02051"/>
    <x v="13"/>
    <x v="0"/>
    <s v="Energy"/>
    <s v="Amsterdam, Netherlands"/>
    <s v="Netherlands"/>
    <s v="On-site"/>
    <x v="3"/>
    <s v="5-8 yrs"/>
    <n v="172277"/>
    <x v="2047"/>
    <s v="Phi"/>
    <s v="Bachelor's"/>
    <n v="45573"/>
    <n v="958"/>
    <n v="1363"/>
    <s v="Yes"/>
    <n v="4"/>
    <s v="0-50"/>
    <s v="Full-time"/>
    <s v="No"/>
  </r>
  <r>
    <s v="AIJOB02052"/>
    <x v="15"/>
    <x v="22"/>
    <s v="Technology"/>
    <s v="Los Angeles, United States"/>
    <s v="United States"/>
    <s v="Remote"/>
    <x v="1"/>
    <s v="8+ yrs"/>
    <n v="168783"/>
    <x v="2048"/>
    <s v="GPT-4"/>
    <s v="PhD"/>
    <n v="45431"/>
    <n v="1503"/>
    <n v="1591"/>
    <s v="Yes"/>
    <n v="6"/>
    <s v="201-1000"/>
    <s v="Full-time"/>
    <s v="No"/>
  </r>
  <r>
    <s v="AIJOB02053"/>
    <x v="13"/>
    <x v="1"/>
    <s v="Automotive"/>
    <s v="San Francisco, United States"/>
    <s v="United States"/>
    <s v="Remote"/>
    <x v="0"/>
    <s v="0-2 yrs"/>
    <n v="61707"/>
    <x v="2049"/>
    <s v="Phi"/>
    <s v="Master's"/>
    <n v="45588"/>
    <n v="1249"/>
    <n v="2593"/>
    <s v="No"/>
    <n v="0"/>
    <s v="1001-5000"/>
    <s v="Full-time"/>
    <s v="No"/>
  </r>
  <r>
    <s v="AIJOB02054"/>
    <x v="12"/>
    <x v="4"/>
    <s v="Education"/>
    <s v="Zurich, Switzerland"/>
    <s v="Switzerland"/>
    <s v="Hybrid"/>
    <x v="2"/>
    <s v="2-5 yrs"/>
    <n v="103986"/>
    <x v="2050"/>
    <s v="Grok"/>
    <s v="Bachelor's"/>
    <n v="45308"/>
    <n v="1197"/>
    <n v="597"/>
    <s v="Yes"/>
    <n v="2"/>
    <s v="0-50"/>
    <s v="Full-time"/>
    <s v="Yes"/>
  </r>
  <r>
    <s v="AIJOB02055"/>
    <x v="1"/>
    <x v="26"/>
    <s v="Government"/>
    <s v="Toronto, Canada"/>
    <s v="Canada"/>
    <s v="Remote"/>
    <x v="3"/>
    <s v="5-8 yrs"/>
    <n v="113661"/>
    <x v="2051"/>
    <s v="None"/>
    <s v="Master's"/>
    <n v="45326"/>
    <n v="358"/>
    <n v="2376"/>
    <s v="No"/>
    <n v="4"/>
    <s v="5000+"/>
    <s v="Full-time"/>
    <s v="No"/>
  </r>
  <r>
    <s v="AIJOB02056"/>
    <x v="18"/>
    <x v="3"/>
    <s v="Media"/>
    <s v="Tokyo, Japan"/>
    <s v="Japan"/>
    <s v="Hybrid"/>
    <x v="1"/>
    <s v="8+ yrs"/>
    <n v="170506"/>
    <x v="2052"/>
    <s v="Command R"/>
    <s v="Bootcamp/Self-taught"/>
    <n v="45712"/>
    <n v="1894"/>
    <n v="3502"/>
    <s v="No"/>
    <n v="6"/>
    <s v="1001-5000"/>
    <s v="Contract"/>
    <s v="No"/>
  </r>
  <r>
    <s v="AIJOB02057"/>
    <x v="10"/>
    <x v="24"/>
    <s v="Energy"/>
    <s v="Seattle, United States"/>
    <s v="United States"/>
    <s v="On-site"/>
    <x v="3"/>
    <s v="5-8 yrs"/>
    <n v="137142"/>
    <x v="2053"/>
    <s v="None"/>
    <s v="Bachelor's"/>
    <n v="45691"/>
    <n v="2188"/>
    <n v="1184"/>
    <s v="No"/>
    <n v="4"/>
    <s v="51-200"/>
    <s v="Full-time"/>
    <s v="Yes"/>
  </r>
  <r>
    <s v="AIJOB02058"/>
    <x v="9"/>
    <x v="6"/>
    <s v="Media"/>
    <s v="Paris, France"/>
    <s v="France"/>
    <s v="Remote"/>
    <x v="1"/>
    <s v="8+ yrs"/>
    <n v="231478"/>
    <x v="2054"/>
    <s v="BLOOM"/>
    <s v="Bachelor's"/>
    <n v="45679"/>
    <n v="983"/>
    <n v="3604"/>
    <s v="Yes"/>
    <n v="6"/>
    <s v="0-50"/>
    <s v="Full-time"/>
    <s v="Yes"/>
  </r>
  <r>
    <s v="AIJOB02059"/>
    <x v="4"/>
    <x v="1"/>
    <s v="Education"/>
    <s v="London, United Kingdom"/>
    <s v="United Kingdom"/>
    <s v="Remote"/>
    <x v="3"/>
    <s v="5-8 yrs"/>
    <n v="157089"/>
    <x v="2055"/>
    <s v="GPT-4"/>
    <s v="PhD"/>
    <n v="45714"/>
    <n v="1962"/>
    <n v="3459"/>
    <s v="No"/>
    <n v="4"/>
    <s v="0-50"/>
    <s v="Full-time"/>
    <s v="No"/>
  </r>
  <r>
    <s v="AIJOB02060"/>
    <x v="1"/>
    <x v="28"/>
    <s v="Energy"/>
    <s v="New York, United States"/>
    <s v="United States"/>
    <s v="On-site"/>
    <x v="2"/>
    <s v="2-5 yrs"/>
    <n v="113833"/>
    <x v="2056"/>
    <s v="GPT-4"/>
    <s v="Master's"/>
    <n v="45322"/>
    <n v="1060"/>
    <n v="985"/>
    <s v="No"/>
    <n v="2"/>
    <s v="0-50"/>
    <s v="Full-time"/>
    <s v="Yes"/>
  </r>
  <r>
    <s v="AIJOB02061"/>
    <x v="14"/>
    <x v="20"/>
    <s v="Media"/>
    <s v="Dublin, Ireland"/>
    <s v="Ireland"/>
    <s v="Hybrid"/>
    <x v="1"/>
    <s v="8+ yrs"/>
    <n v="230632"/>
    <x v="2057"/>
    <s v="None"/>
    <s v="Master's"/>
    <n v="45596"/>
    <n v="2206"/>
    <n v="272"/>
    <s v="Yes"/>
    <n v="6"/>
    <s v="1001-5000"/>
    <s v="Full-time"/>
    <s v="No"/>
  </r>
  <r>
    <s v="AIJOB02062"/>
    <x v="8"/>
    <x v="12"/>
    <s v="Automotive"/>
    <s v="Boston, United States"/>
    <s v="United States"/>
    <s v="Remote"/>
    <x v="3"/>
    <s v="5-8 yrs"/>
    <n v="146290"/>
    <x v="2058"/>
    <s v="Command R"/>
    <s v="Bootcamp/Self-taught"/>
    <n v="45673"/>
    <n v="1517"/>
    <n v="2786"/>
    <s v="No"/>
    <n v="4"/>
    <s v="5000+"/>
    <s v="Full-time"/>
    <s v="No"/>
  </r>
  <r>
    <s v="AIJOB02063"/>
    <x v="18"/>
    <x v="1"/>
    <s v="Media"/>
    <s v="Los Angeles, United States"/>
    <s v="United States"/>
    <s v="Hybrid"/>
    <x v="2"/>
    <s v="2-5 yrs"/>
    <n v="117731"/>
    <x v="2059"/>
    <s v="None"/>
    <s v="Master's"/>
    <n v="45601"/>
    <n v="1322"/>
    <n v="3234"/>
    <s v="Yes"/>
    <n v="2"/>
    <s v="201-1000"/>
    <s v="Full-time"/>
    <s v="No"/>
  </r>
  <r>
    <s v="AIJOB02064"/>
    <x v="5"/>
    <x v="7"/>
    <s v="Technology"/>
    <s v="Tel Aviv, Israel"/>
    <s v="Israel"/>
    <s v="On-site"/>
    <x v="1"/>
    <s v="8+ yrs"/>
    <n v="196284"/>
    <x v="2060"/>
    <s v="None"/>
    <s v="Bootcamp/Self-taught"/>
    <n v="45624"/>
    <n v="1128"/>
    <n v="2074"/>
    <s v="No"/>
    <n v="6"/>
    <s v="0-50"/>
    <s v="Contract"/>
    <s v="Yes"/>
  </r>
  <r>
    <s v="AIJOB02065"/>
    <x v="19"/>
    <x v="4"/>
    <s v="Retail"/>
    <s v="New York, United States"/>
    <s v="United States"/>
    <s v="Remote"/>
    <x v="3"/>
    <s v="5-8 yrs"/>
    <n v="157164"/>
    <x v="2061"/>
    <s v="Falcon"/>
    <s v="Master's"/>
    <n v="45540"/>
    <n v="1146"/>
    <n v="3194"/>
    <s v="No"/>
    <n v="4"/>
    <s v="51-200"/>
    <s v="Full-time"/>
    <s v="No"/>
  </r>
  <r>
    <s v="AIJOB02066"/>
    <x v="16"/>
    <x v="1"/>
    <s v="Education"/>
    <s v="Amsterdam, Netherlands"/>
    <s v="Netherlands"/>
    <s v="Hybrid"/>
    <x v="2"/>
    <s v="2-5 yrs"/>
    <n v="98461"/>
    <x v="2062"/>
    <s v="None"/>
    <s v="PhD"/>
    <n v="45523"/>
    <n v="846"/>
    <n v="1658"/>
    <s v="Yes"/>
    <n v="2"/>
    <s v="5000+"/>
    <s v="Full-time"/>
    <s v="No"/>
  </r>
  <r>
    <s v="AIJOB02067"/>
    <x v="15"/>
    <x v="6"/>
    <s v="Healthcare"/>
    <s v="Berlin, Germany"/>
    <s v="Germany"/>
    <s v="Hybrid"/>
    <x v="3"/>
    <s v="5-8 yrs"/>
    <n v="84151"/>
    <x v="2063"/>
    <s v="None"/>
    <s v="PhD"/>
    <n v="45485"/>
    <n v="2394"/>
    <n v="3734"/>
    <s v="No"/>
    <n v="4"/>
    <s v="5000+"/>
    <s v="Part-time"/>
    <s v="No"/>
  </r>
  <r>
    <s v="AIJOB02068"/>
    <x v="2"/>
    <x v="28"/>
    <s v="Automotive"/>
    <s v="Los Angeles, United States"/>
    <s v="United States"/>
    <s v="Hybrid"/>
    <x v="1"/>
    <s v="8+ yrs"/>
    <n v="195165"/>
    <x v="2064"/>
    <s v="None"/>
    <s v="Master's"/>
    <n v="45384"/>
    <n v="2118"/>
    <n v="3090"/>
    <s v="Maybe"/>
    <n v="6"/>
    <s v="51-200"/>
    <s v="Full-time"/>
    <s v="Yes"/>
  </r>
  <r>
    <s v="AIJOB02069"/>
    <x v="9"/>
    <x v="6"/>
    <s v="Technology"/>
    <s v="Tokyo, Japan"/>
    <s v="Japan"/>
    <s v="Remote"/>
    <x v="0"/>
    <s v="0-2 yrs"/>
    <n v="87926"/>
    <x v="2065"/>
    <s v="Phi"/>
    <s v="PhD"/>
    <n v="45662"/>
    <n v="1904"/>
    <n v="769"/>
    <s v="No"/>
    <n v="0"/>
    <s v="5000+"/>
    <s v="Full-time"/>
    <s v="No"/>
  </r>
  <r>
    <s v="AIJOB02070"/>
    <x v="10"/>
    <x v="8"/>
    <s v="Energy"/>
    <s v="Amsterdam, Netherlands"/>
    <s v="Netherlands"/>
    <s v="Remote"/>
    <x v="3"/>
    <s v="5-8 yrs"/>
    <n v="175007"/>
    <x v="2066"/>
    <s v="Phi"/>
    <s v="PhD"/>
    <n v="45434"/>
    <n v="1279"/>
    <n v="360"/>
    <s v="No"/>
    <n v="4"/>
    <s v="0-50"/>
    <s v="Full-time"/>
    <s v="Yes"/>
  </r>
  <r>
    <s v="AIJOB02071"/>
    <x v="11"/>
    <x v="15"/>
    <s v="Automotive"/>
    <s v="San Francisco, United States"/>
    <s v="United States"/>
    <s v="Remote"/>
    <x v="2"/>
    <s v="2-5 yrs"/>
    <n v="129114"/>
    <x v="2067"/>
    <s v="None"/>
    <s v="Bootcamp/Self-taught"/>
    <n v="45373"/>
    <n v="1857"/>
    <n v="1485"/>
    <s v="No"/>
    <n v="2"/>
    <s v="1001-5000"/>
    <s v="Contract"/>
    <s v="No"/>
  </r>
  <r>
    <s v="AIJOB02072"/>
    <x v="19"/>
    <x v="1"/>
    <s v="Media"/>
    <s v="Seattle, United States"/>
    <s v="United States"/>
    <s v="Remote"/>
    <x v="2"/>
    <s v="2-5 yrs"/>
    <n v="134475"/>
    <x v="2068"/>
    <s v="Phi"/>
    <s v="Bachelor's"/>
    <n v="45691"/>
    <n v="1161"/>
    <n v="1230"/>
    <s v="No"/>
    <n v="2"/>
    <s v="0-50"/>
    <s v="Full-time"/>
    <s v="No"/>
  </r>
  <r>
    <s v="AIJOB02073"/>
    <x v="1"/>
    <x v="10"/>
    <s v="Automotive"/>
    <s v="Singapore"/>
    <s v="Singapore"/>
    <s v="Remote"/>
    <x v="2"/>
    <s v="2-5 yrs"/>
    <n v="111755"/>
    <x v="2069"/>
    <s v="None"/>
    <s v="Master's"/>
    <n v="45379"/>
    <n v="1174"/>
    <n v="1619"/>
    <s v="Yes"/>
    <n v="2"/>
    <s v="1001-5000"/>
    <s v="Full-time"/>
    <s v="Yes"/>
  </r>
  <r>
    <s v="AIJOB02074"/>
    <x v="1"/>
    <x v="9"/>
    <s v="Retail"/>
    <s v="Chicago, United States"/>
    <s v="United States"/>
    <s v="Remote"/>
    <x v="3"/>
    <s v="5-8 yrs"/>
    <n v="155327"/>
    <x v="2070"/>
    <s v="GPT-4"/>
    <s v="PhD"/>
    <n v="45532"/>
    <n v="1959"/>
    <n v="1286"/>
    <s v="No"/>
    <n v="4"/>
    <s v="5000+"/>
    <s v="Contract"/>
    <s v="Yes"/>
  </r>
  <r>
    <s v="AIJOB02075"/>
    <x v="8"/>
    <x v="3"/>
    <s v="Technology"/>
    <s v="Zurich, Switzerland"/>
    <s v="Switzerland"/>
    <s v="Remote"/>
    <x v="3"/>
    <s v="5-8 yrs"/>
    <n v="133323"/>
    <x v="2071"/>
    <s v="None"/>
    <s v="Bachelor's"/>
    <n v="45338"/>
    <n v="689"/>
    <n v="260"/>
    <s v="No"/>
    <n v="4"/>
    <s v="0-50"/>
    <s v="Full-time"/>
    <s v="Yes"/>
  </r>
  <r>
    <s v="AIJOB02076"/>
    <x v="11"/>
    <x v="7"/>
    <s v="Government"/>
    <s v="Toronto, Canada"/>
    <s v="Canada"/>
    <s v="On-site"/>
    <x v="1"/>
    <s v="8+ yrs"/>
    <n v="188621"/>
    <x v="2072"/>
    <s v="None"/>
    <s v="Master's"/>
    <n v="45365"/>
    <n v="1849"/>
    <n v="633"/>
    <s v="Yes"/>
    <n v="6"/>
    <s v="5000+"/>
    <s v="Full-time"/>
    <s v="No"/>
  </r>
  <r>
    <s v="AIJOB02077"/>
    <x v="0"/>
    <x v="0"/>
    <s v="Technology"/>
    <s v="Dublin, Ireland"/>
    <s v="Ireland"/>
    <s v="Remote"/>
    <x v="0"/>
    <s v="0-2 yrs"/>
    <n v="77758"/>
    <x v="2073"/>
    <s v="None"/>
    <s v="PhD"/>
    <n v="45510"/>
    <n v="546"/>
    <n v="758"/>
    <s v="Maybe"/>
    <n v="0"/>
    <s v="0-50"/>
    <s v="Full-time"/>
    <s v="No"/>
  </r>
  <r>
    <s v="AIJOB02078"/>
    <x v="0"/>
    <x v="8"/>
    <s v="Healthcare"/>
    <s v="Amsterdam, Netherlands"/>
    <s v="Netherlands"/>
    <s v="Hybrid"/>
    <x v="1"/>
    <s v="8+ yrs"/>
    <n v="243339"/>
    <x v="2074"/>
    <s v="BLOOM"/>
    <s v="Bootcamp/Self-taught"/>
    <n v="45463"/>
    <n v="1436"/>
    <n v="307"/>
    <s v="Maybe"/>
    <n v="6"/>
    <s v="1001-5000"/>
    <s v="Full-time"/>
    <s v="No"/>
  </r>
  <r>
    <s v="AIJOB02079"/>
    <x v="1"/>
    <x v="16"/>
    <s v="Healthcare"/>
    <s v="Austin, United States"/>
    <s v="United States"/>
    <s v="On-site"/>
    <x v="3"/>
    <s v="5-8 yrs"/>
    <n v="146234"/>
    <x v="2075"/>
    <s v="GPT-4"/>
    <s v="Bootcamp/Self-taught"/>
    <n v="45739"/>
    <n v="1421"/>
    <n v="636"/>
    <s v="Maybe"/>
    <n v="4"/>
    <s v="5000+"/>
    <s v="Full-time"/>
    <s v="Yes"/>
  </r>
  <r>
    <s v="AIJOB02080"/>
    <x v="2"/>
    <x v="28"/>
    <s v="Technology"/>
    <s v="Bangalore, India"/>
    <s v="India"/>
    <s v="Remote"/>
    <x v="0"/>
    <s v="0-2 yrs"/>
    <n v="64327"/>
    <x v="2076"/>
    <s v="Phi"/>
    <s v="Bachelor's"/>
    <n v="45326"/>
    <n v="404"/>
    <n v="1427"/>
    <s v="No"/>
    <n v="0"/>
    <s v="0-50"/>
    <s v="Contract"/>
    <s v="Yes"/>
  </r>
  <r>
    <s v="AIJOB02081"/>
    <x v="0"/>
    <x v="6"/>
    <s v="Government"/>
    <s v="Stockholm, Sweden"/>
    <s v="Sweden"/>
    <s v="Remote"/>
    <x v="3"/>
    <s v="5-8 yrs"/>
    <n v="150014"/>
    <x v="2077"/>
    <s v="Grok"/>
    <s v="Master's"/>
    <n v="45405"/>
    <n v="570"/>
    <n v="709"/>
    <s v="No"/>
    <n v="4"/>
    <s v="5000+"/>
    <s v="Full-time"/>
    <s v="Yes"/>
  </r>
  <r>
    <s v="AIJOB02082"/>
    <x v="12"/>
    <x v="17"/>
    <s v="Energy"/>
    <s v="Toronto, Canada"/>
    <s v="Canada"/>
    <s v="Remote"/>
    <x v="2"/>
    <s v="2-5 yrs"/>
    <n v="121903"/>
    <x v="2078"/>
    <s v="Gemini"/>
    <s v="Master's"/>
    <n v="45692"/>
    <n v="1750"/>
    <n v="578"/>
    <s v="Yes"/>
    <n v="2"/>
    <s v="1001-5000"/>
    <s v="Contract"/>
    <s v="No"/>
  </r>
  <r>
    <s v="AIJOB02083"/>
    <x v="0"/>
    <x v="23"/>
    <s v="Healthcare"/>
    <s v="Los Angeles, United States"/>
    <s v="United States"/>
    <s v="Hybrid"/>
    <x v="2"/>
    <s v="2-5 yrs"/>
    <n v="81411"/>
    <x v="2079"/>
    <s v="None"/>
    <s v="Bachelor's"/>
    <n v="45377"/>
    <n v="559"/>
    <n v="958"/>
    <s v="Maybe"/>
    <n v="2"/>
    <s v="201-1000"/>
    <s v="Full-time"/>
    <s v="Yes"/>
  </r>
  <r>
    <s v="AIJOB02084"/>
    <x v="15"/>
    <x v="22"/>
    <s v="Technology"/>
    <s v="New York, United States"/>
    <s v="United States"/>
    <s v="Hybrid"/>
    <x v="3"/>
    <s v="5-8 yrs"/>
    <n v="88003"/>
    <x v="2080"/>
    <s v="Mistral"/>
    <s v="PhD"/>
    <n v="45378"/>
    <n v="1250"/>
    <n v="1983"/>
    <s v="No"/>
    <n v="4"/>
    <s v="201-1000"/>
    <s v="Full-time"/>
    <s v="No"/>
  </r>
  <r>
    <s v="AIJOB02085"/>
    <x v="12"/>
    <x v="5"/>
    <s v="Media"/>
    <s v="Berlin, Germany"/>
    <s v="Germany"/>
    <s v="On-site"/>
    <x v="3"/>
    <s v="5-8 yrs"/>
    <n v="135135"/>
    <x v="2081"/>
    <s v="None"/>
    <s v="Master's"/>
    <n v="45579"/>
    <n v="693"/>
    <n v="1187"/>
    <s v="No"/>
    <n v="4"/>
    <s v="51-200"/>
    <s v="Contract"/>
    <s v="No"/>
  </r>
  <r>
    <s v="AIJOB02086"/>
    <x v="17"/>
    <x v="14"/>
    <s v="Government"/>
    <s v="San Francisco, United States"/>
    <s v="United States"/>
    <s v="Remote"/>
    <x v="3"/>
    <s v="5-8 yrs"/>
    <n v="117040"/>
    <x v="2082"/>
    <s v="GPT-4"/>
    <s v="Bachelor's"/>
    <n v="45321"/>
    <n v="813"/>
    <n v="3742"/>
    <s v="Yes"/>
    <n v="4"/>
    <s v="1001-5000"/>
    <s v="Full-time"/>
    <s v="Yes"/>
  </r>
  <r>
    <s v="AIJOB02087"/>
    <x v="17"/>
    <x v="16"/>
    <s v="Technology"/>
    <s v="Amsterdam, Netherlands"/>
    <s v="Netherlands"/>
    <s v="Remote"/>
    <x v="1"/>
    <s v="8+ yrs"/>
    <n v="181706"/>
    <x v="2083"/>
    <s v="Mistral"/>
    <s v="Bachelor's"/>
    <n v="45532"/>
    <n v="1349"/>
    <n v="1470"/>
    <s v="No"/>
    <n v="6"/>
    <s v="5000+"/>
    <s v="Full-time"/>
    <s v="No"/>
  </r>
  <r>
    <s v="AIJOB02088"/>
    <x v="10"/>
    <x v="4"/>
    <s v="Technology"/>
    <s v="Austin, United States"/>
    <s v="United States"/>
    <s v="Hybrid"/>
    <x v="1"/>
    <s v="8+ yrs"/>
    <n v="194679"/>
    <x v="2084"/>
    <s v="BLOOM"/>
    <s v="Master's"/>
    <n v="45541"/>
    <n v="1197"/>
    <n v="1622"/>
    <s v="No"/>
    <n v="6"/>
    <s v="0-50"/>
    <s v="Contract"/>
    <s v="No"/>
  </r>
  <r>
    <s v="AIJOB02089"/>
    <x v="8"/>
    <x v="26"/>
    <s v="Energy"/>
    <s v="London, United Kingdom"/>
    <s v="United Kingdom"/>
    <s v="Remote"/>
    <x v="3"/>
    <s v="5-8 yrs"/>
    <n v="137762"/>
    <x v="2085"/>
    <s v="Grok"/>
    <s v="Master's"/>
    <n v="45577"/>
    <n v="1756"/>
    <n v="3451"/>
    <s v="Maybe"/>
    <n v="4"/>
    <s v="5000+"/>
    <s v="Full-time"/>
    <s v="No"/>
  </r>
  <r>
    <s v="AIJOB02090"/>
    <x v="5"/>
    <x v="1"/>
    <s v="Education"/>
    <s v="Sydney, Australia"/>
    <s v="Australia"/>
    <s v="Remote"/>
    <x v="0"/>
    <s v="0-2 yrs"/>
    <n v="88301"/>
    <x v="2086"/>
    <s v="None"/>
    <s v="Bootcamp/Self-taught"/>
    <n v="45418"/>
    <n v="1829"/>
    <n v="552"/>
    <s v="No"/>
    <n v="0"/>
    <s v="1001-5000"/>
    <s v="Full-time"/>
    <s v="Yes"/>
  </r>
  <r>
    <s v="AIJOB02091"/>
    <x v="1"/>
    <x v="14"/>
    <s v="Energy"/>
    <s v="Singapore"/>
    <s v="Singapore"/>
    <s v="Hybrid"/>
    <x v="0"/>
    <s v="0-2 yrs"/>
    <n v="74116"/>
    <x v="2087"/>
    <s v="Mistral"/>
    <s v="Bachelor's"/>
    <n v="45342"/>
    <n v="1685"/>
    <n v="1009"/>
    <s v="No"/>
    <n v="0"/>
    <s v="201-1000"/>
    <s v="Full-time"/>
    <s v="No"/>
  </r>
  <r>
    <s v="AIJOB02092"/>
    <x v="10"/>
    <x v="4"/>
    <s v="Technology"/>
    <s v="Tokyo, Japan"/>
    <s v="Japan"/>
    <s v="Remote"/>
    <x v="2"/>
    <s v="2-5 yrs"/>
    <n v="115949"/>
    <x v="2088"/>
    <s v="None"/>
    <s v="Master's"/>
    <n v="45399"/>
    <n v="2500"/>
    <n v="1426"/>
    <s v="Yes"/>
    <n v="2"/>
    <s v="5000+"/>
    <s v="Contract"/>
    <s v="No"/>
  </r>
  <r>
    <s v="AIJOB02093"/>
    <x v="7"/>
    <x v="26"/>
    <s v="Education"/>
    <s v="San Francisco, United States"/>
    <s v="United States"/>
    <s v="Remote"/>
    <x v="3"/>
    <s v="5-8 yrs"/>
    <n v="166799"/>
    <x v="2089"/>
    <s v="Command R"/>
    <s v="PhD"/>
    <n v="45422"/>
    <n v="451"/>
    <n v="1138"/>
    <s v="No"/>
    <n v="4"/>
    <s v="5000+"/>
    <s v="Full-time"/>
    <s v="No"/>
  </r>
  <r>
    <s v="AIJOB02094"/>
    <x v="14"/>
    <x v="6"/>
    <s v="Technology"/>
    <s v="Tokyo, Japan"/>
    <s v="Japan"/>
    <s v="Remote"/>
    <x v="0"/>
    <s v="0-2 yrs"/>
    <n v="55650"/>
    <x v="2090"/>
    <s v="Claude"/>
    <s v="Master's"/>
    <n v="45713"/>
    <n v="1327"/>
    <n v="96"/>
    <s v="No"/>
    <n v="0"/>
    <s v="51-200"/>
    <s v="Contract"/>
    <s v="Yes"/>
  </r>
  <r>
    <s v="AIJOB02095"/>
    <x v="12"/>
    <x v="24"/>
    <s v="Government"/>
    <s v="New York, United States"/>
    <s v="United States"/>
    <s v="Hybrid"/>
    <x v="0"/>
    <s v="0-2 yrs"/>
    <n v="83092"/>
    <x v="2091"/>
    <s v="None"/>
    <s v="Master's"/>
    <n v="45673"/>
    <n v="1438"/>
    <n v="3657"/>
    <s v="Yes"/>
    <n v="0"/>
    <s v="1001-5000"/>
    <s v="Contract"/>
    <s v="No"/>
  </r>
  <r>
    <s v="AIJOB02096"/>
    <x v="0"/>
    <x v="0"/>
    <s v="Retail"/>
    <s v="Bangalore, India"/>
    <s v="India"/>
    <s v="On-site"/>
    <x v="1"/>
    <s v="8+ yrs"/>
    <n v="197272"/>
    <x v="2092"/>
    <s v="Llama"/>
    <s v="Master's"/>
    <n v="45638"/>
    <n v="587"/>
    <n v="496"/>
    <s v="Yes"/>
    <n v="6"/>
    <s v="5000+"/>
    <s v="Contract"/>
    <s v="Yes"/>
  </r>
  <r>
    <s v="AIJOB02097"/>
    <x v="1"/>
    <x v="7"/>
    <s v="Finance"/>
    <s v="Bangalore, India"/>
    <s v="India"/>
    <s v="On-site"/>
    <x v="1"/>
    <s v="8+ yrs"/>
    <n v="224137"/>
    <x v="2093"/>
    <s v="None"/>
    <s v="Master's"/>
    <n v="45348"/>
    <n v="888"/>
    <n v="3454"/>
    <s v="No"/>
    <n v="6"/>
    <s v="0-50"/>
    <s v="Full-time"/>
    <s v="No"/>
  </r>
  <r>
    <s v="AIJOB02098"/>
    <x v="1"/>
    <x v="3"/>
    <s v="Energy"/>
    <s v="Toronto, Canada"/>
    <s v="Canada"/>
    <s v="Remote"/>
    <x v="3"/>
    <s v="5-8 yrs"/>
    <n v="121059"/>
    <x v="2094"/>
    <s v="Falcon"/>
    <s v="PhD"/>
    <n v="45636"/>
    <n v="1806"/>
    <n v="801"/>
    <s v="No"/>
    <n v="4"/>
    <s v="51-200"/>
    <s v="Full-time"/>
    <s v="No"/>
  </r>
  <r>
    <s v="AIJOB02099"/>
    <x v="9"/>
    <x v="0"/>
    <s v="Defense"/>
    <s v="Los Angeles, United States"/>
    <s v="United States"/>
    <s v="Remote"/>
    <x v="1"/>
    <s v="8+ yrs"/>
    <n v="144064"/>
    <x v="2095"/>
    <s v="Claude"/>
    <s v="PhD"/>
    <n v="45563"/>
    <n v="1345"/>
    <n v="2252"/>
    <s v="No"/>
    <n v="6"/>
    <s v="0-50"/>
    <s v="Full-time"/>
    <s v="Yes"/>
  </r>
  <r>
    <s v="AIJOB02100"/>
    <x v="13"/>
    <x v="11"/>
    <s v="Technology"/>
    <s v="Amsterdam, Netherlands"/>
    <s v="Netherlands"/>
    <s v="Remote"/>
    <x v="0"/>
    <s v="0-2 yrs"/>
    <n v="80305"/>
    <x v="2096"/>
    <s v="None"/>
    <s v="PhD"/>
    <n v="45519"/>
    <n v="1579"/>
    <n v="3978"/>
    <s v="No"/>
    <n v="0"/>
    <s v="1001-5000"/>
    <s v="Contract"/>
    <s v="No"/>
  </r>
  <r>
    <s v="AIJOB02101"/>
    <x v="15"/>
    <x v="12"/>
    <s v="Automotive"/>
    <s v="Dublin, Ireland"/>
    <s v="Ireland"/>
    <s v="Hybrid"/>
    <x v="1"/>
    <s v="8+ yrs"/>
    <n v="213550"/>
    <x v="2097"/>
    <s v="None"/>
    <s v="Bachelor's"/>
    <n v="45382"/>
    <n v="2288"/>
    <n v="2368"/>
    <s v="No"/>
    <n v="6"/>
    <s v="5000+"/>
    <s v="Full-time"/>
    <s v="No"/>
  </r>
  <r>
    <s v="AIJOB02102"/>
    <x v="0"/>
    <x v="18"/>
    <s v="Energy"/>
    <s v="Singapore"/>
    <s v="Singapore"/>
    <s v="On-site"/>
    <x v="1"/>
    <s v="8+ yrs"/>
    <n v="167526"/>
    <x v="2098"/>
    <s v="None"/>
    <s v="PhD"/>
    <n v="45500"/>
    <n v="1296"/>
    <n v="3920"/>
    <s v="No"/>
    <n v="6"/>
    <s v="0-50"/>
    <s v="Contract"/>
    <s v="No"/>
  </r>
  <r>
    <s v="AIJOB02103"/>
    <x v="18"/>
    <x v="18"/>
    <s v="Finance"/>
    <s v="Zurich, Switzerland"/>
    <s v="Switzerland"/>
    <s v="Hybrid"/>
    <x v="2"/>
    <s v="2-5 yrs"/>
    <n v="92780"/>
    <x v="2099"/>
    <s v="Command R"/>
    <s v="Master's"/>
    <n v="45365"/>
    <n v="1098"/>
    <n v="2937"/>
    <s v="No"/>
    <n v="2"/>
    <s v="0-50"/>
    <s v="Full-time"/>
    <s v="No"/>
  </r>
  <r>
    <s v="AIJOB02104"/>
    <x v="13"/>
    <x v="0"/>
    <s v="Media"/>
    <s v="New York, United States"/>
    <s v="United States"/>
    <s v="On-site"/>
    <x v="3"/>
    <s v="5-8 yrs"/>
    <n v="180386"/>
    <x v="2100"/>
    <s v="Claude"/>
    <s v="PhD"/>
    <n v="45372"/>
    <n v="2204"/>
    <n v="1452"/>
    <s v="Yes"/>
    <n v="4"/>
    <s v="0-50"/>
    <s v="Full-time"/>
    <s v="No"/>
  </r>
  <r>
    <s v="AIJOB02105"/>
    <x v="14"/>
    <x v="20"/>
    <s v="Defense"/>
    <s v="London, United Kingdom"/>
    <s v="United Kingdom"/>
    <s v="Remote"/>
    <x v="1"/>
    <s v="8+ yrs"/>
    <n v="157181"/>
    <x v="2101"/>
    <s v="Command R"/>
    <s v="PhD"/>
    <n v="45401"/>
    <n v="396"/>
    <n v="2826"/>
    <s v="No"/>
    <n v="6"/>
    <s v="5000+"/>
    <s v="Full-time"/>
    <s v="Yes"/>
  </r>
  <r>
    <s v="AIJOB02106"/>
    <x v="19"/>
    <x v="22"/>
    <s v="Retail"/>
    <s v="Chicago, United States"/>
    <s v="United States"/>
    <s v="Remote"/>
    <x v="1"/>
    <s v="8+ yrs"/>
    <n v="259136"/>
    <x v="2102"/>
    <s v="Falcon"/>
    <s v="Bootcamp/Self-taught"/>
    <n v="45734"/>
    <n v="1923"/>
    <n v="2632"/>
    <s v="Maybe"/>
    <n v="6"/>
    <s v="51-200"/>
    <s v="Full-time"/>
    <s v="Yes"/>
  </r>
  <r>
    <s v="AIJOB02107"/>
    <x v="5"/>
    <x v="8"/>
    <s v="Energy"/>
    <s v="Amsterdam, Netherlands"/>
    <s v="Netherlands"/>
    <s v="On-site"/>
    <x v="1"/>
    <s v="8+ yrs"/>
    <n v="167577"/>
    <x v="2103"/>
    <s v="None"/>
    <s v="Bachelor's"/>
    <n v="45356"/>
    <n v="483"/>
    <n v="2803"/>
    <s v="Yes"/>
    <n v="6"/>
    <s v="5000+"/>
    <s v="Full-time"/>
    <s v="No"/>
  </r>
  <r>
    <s v="AIJOB02108"/>
    <x v="0"/>
    <x v="16"/>
    <s v="Education"/>
    <s v="Boston, United States"/>
    <s v="United States"/>
    <s v="Remote"/>
    <x v="3"/>
    <s v="5-8 yrs"/>
    <n v="167236"/>
    <x v="2104"/>
    <s v="Grok"/>
    <s v="Bachelor's"/>
    <n v="45708"/>
    <n v="853"/>
    <n v="643"/>
    <s v="No"/>
    <n v="4"/>
    <s v="0-50"/>
    <s v="Contract"/>
    <s v="No"/>
  </r>
  <r>
    <s v="AIJOB02109"/>
    <x v="11"/>
    <x v="20"/>
    <s v="Finance"/>
    <s v="Los Angeles, United States"/>
    <s v="United States"/>
    <s v="Remote"/>
    <x v="1"/>
    <s v="8+ yrs"/>
    <n v="188169"/>
    <x v="2105"/>
    <s v="Mistral"/>
    <s v="Master's"/>
    <n v="45457"/>
    <n v="1987"/>
    <n v="2325"/>
    <s v="No"/>
    <n v="6"/>
    <s v="201-1000"/>
    <s v="Full-time"/>
    <s v="Yes"/>
  </r>
  <r>
    <s v="AIJOB02110"/>
    <x v="10"/>
    <x v="17"/>
    <s v="Government"/>
    <s v="Seattle, United States"/>
    <s v="United States"/>
    <s v="Hybrid"/>
    <x v="1"/>
    <s v="8+ yrs"/>
    <n v="221714"/>
    <x v="2106"/>
    <s v="Phi"/>
    <s v="Master's"/>
    <n v="45632"/>
    <n v="1065"/>
    <n v="484"/>
    <s v="Yes"/>
    <n v="6"/>
    <s v="1001-5000"/>
    <s v="Contract"/>
    <s v="No"/>
  </r>
  <r>
    <s v="AIJOB02111"/>
    <x v="1"/>
    <x v="3"/>
    <s v="Government"/>
    <s v="Sydney, Australia"/>
    <s v="Australia"/>
    <s v="Remote"/>
    <x v="1"/>
    <s v="8+ yrs"/>
    <n v="180411"/>
    <x v="2107"/>
    <s v="Falcon"/>
    <s v="Bootcamp/Self-taught"/>
    <n v="45718"/>
    <n v="334"/>
    <n v="1501"/>
    <s v="Maybe"/>
    <n v="6"/>
    <s v="51-200"/>
    <s v="Full-time"/>
    <s v="Yes"/>
  </r>
  <r>
    <s v="AIJOB02112"/>
    <x v="1"/>
    <x v="2"/>
    <s v="Energy"/>
    <s v="Stockholm, Sweden"/>
    <s v="Sweden"/>
    <s v="Hybrid"/>
    <x v="1"/>
    <s v="8+ yrs"/>
    <n v="194139"/>
    <x v="2108"/>
    <s v="Grok"/>
    <s v="Master's"/>
    <n v="45700"/>
    <n v="1009"/>
    <n v="3830"/>
    <s v="Maybe"/>
    <n v="6"/>
    <s v="5000+"/>
    <s v="Full-time"/>
    <s v="Yes"/>
  </r>
  <r>
    <s v="AIJOB02113"/>
    <x v="11"/>
    <x v="19"/>
    <s v="Defense"/>
    <s v="Austin, United States"/>
    <s v="United States"/>
    <s v="Remote"/>
    <x v="2"/>
    <s v="2-5 yrs"/>
    <n v="110810"/>
    <x v="2109"/>
    <s v="Command R"/>
    <s v="PhD"/>
    <n v="45309"/>
    <n v="2129"/>
    <n v="2855"/>
    <s v="Maybe"/>
    <n v="2"/>
    <s v="0-50"/>
    <s v="Contract"/>
    <s v="Yes"/>
  </r>
  <r>
    <s v="AIJOB02114"/>
    <x v="10"/>
    <x v="21"/>
    <s v="Government"/>
    <s v="Zurich, Switzerland"/>
    <s v="Switzerland"/>
    <s v="Remote"/>
    <x v="3"/>
    <s v="5-8 yrs"/>
    <n v="122940"/>
    <x v="2110"/>
    <s v="None"/>
    <s v="Master's"/>
    <n v="45326"/>
    <n v="381"/>
    <n v="2750"/>
    <s v="Yes"/>
    <n v="4"/>
    <s v="1001-5000"/>
    <s v="Full-time"/>
    <s v="Yes"/>
  </r>
  <r>
    <s v="AIJOB02115"/>
    <x v="9"/>
    <x v="19"/>
    <s v="Media"/>
    <s v="Los Angeles, United States"/>
    <s v="United States"/>
    <s v="Hybrid"/>
    <x v="3"/>
    <s v="5-8 yrs"/>
    <n v="170002"/>
    <x v="2111"/>
    <s v="None"/>
    <s v="PhD"/>
    <n v="45495"/>
    <n v="1316"/>
    <n v="629"/>
    <s v="No"/>
    <n v="4"/>
    <s v="51-200"/>
    <s v="Contract"/>
    <s v="No"/>
  </r>
  <r>
    <s v="AIJOB02116"/>
    <x v="14"/>
    <x v="12"/>
    <s v="Education"/>
    <s v="Dublin, Ireland"/>
    <s v="Ireland"/>
    <s v="Remote"/>
    <x v="0"/>
    <s v="0-2 yrs"/>
    <n v="63533"/>
    <x v="2112"/>
    <s v="Grok"/>
    <s v="Bachelor's"/>
    <n v="45293"/>
    <n v="2492"/>
    <n v="1126"/>
    <s v="Yes"/>
    <n v="0"/>
    <s v="5000+"/>
    <s v="Full-time"/>
    <s v="No"/>
  </r>
  <r>
    <s v="AIJOB02117"/>
    <x v="2"/>
    <x v="5"/>
    <s v="Finance"/>
    <s v="Bangalore, India"/>
    <s v="India"/>
    <s v="Hybrid"/>
    <x v="2"/>
    <s v="2-5 yrs"/>
    <n v="105473"/>
    <x v="2113"/>
    <s v="None"/>
    <s v="Master's"/>
    <n v="45446"/>
    <n v="1322"/>
    <n v="43"/>
    <s v="No"/>
    <n v="2"/>
    <s v="5000+"/>
    <s v="Contract"/>
    <s v="Yes"/>
  </r>
  <r>
    <s v="AIJOB02118"/>
    <x v="1"/>
    <x v="22"/>
    <s v="Technology"/>
    <s v="Austin, United States"/>
    <s v="United States"/>
    <s v="On-site"/>
    <x v="0"/>
    <s v="0-2 yrs"/>
    <n v="57471"/>
    <x v="2114"/>
    <s v="Llama"/>
    <s v="Master's"/>
    <n v="45552"/>
    <n v="436"/>
    <n v="2274"/>
    <s v="No"/>
    <n v="0"/>
    <s v="0-50"/>
    <s v="Full-time"/>
    <s v="No"/>
  </r>
  <r>
    <s v="AIJOB02119"/>
    <x v="18"/>
    <x v="6"/>
    <s v="Retail"/>
    <s v="Paris, France"/>
    <s v="France"/>
    <s v="Remote"/>
    <x v="1"/>
    <s v="8+ yrs"/>
    <n v="107755"/>
    <x v="2115"/>
    <s v="Claude"/>
    <s v="Bootcamp/Self-taught"/>
    <n v="45620"/>
    <n v="698"/>
    <n v="1693"/>
    <s v="No"/>
    <n v="6"/>
    <s v="5000+"/>
    <s v="Full-time"/>
    <s v="Yes"/>
  </r>
  <r>
    <s v="AIJOB02120"/>
    <x v="3"/>
    <x v="11"/>
    <s v="Healthcare"/>
    <s v="Toronto, Canada"/>
    <s v="Canada"/>
    <s v="On-site"/>
    <x v="0"/>
    <s v="0-2 yrs"/>
    <n v="67593"/>
    <x v="2116"/>
    <s v="Phi"/>
    <s v="PhD"/>
    <n v="45742"/>
    <n v="1720"/>
    <n v="2328"/>
    <s v="No"/>
    <n v="0"/>
    <s v="51-200"/>
    <s v="Full-time"/>
    <s v="Yes"/>
  </r>
  <r>
    <s v="AIJOB02121"/>
    <x v="14"/>
    <x v="4"/>
    <s v="Technology"/>
    <s v="Tokyo, Japan"/>
    <s v="Japan"/>
    <s v="Hybrid"/>
    <x v="3"/>
    <s v="5-8 yrs"/>
    <n v="215140"/>
    <x v="2117"/>
    <s v="Gemini"/>
    <s v="PhD"/>
    <n v="45578"/>
    <n v="908"/>
    <n v="11"/>
    <s v="Yes"/>
    <n v="4"/>
    <s v="0-50"/>
    <s v="Contract"/>
    <s v="Yes"/>
  </r>
  <r>
    <s v="AIJOB02122"/>
    <x v="19"/>
    <x v="10"/>
    <s v="Finance"/>
    <s v="Los Angeles, United States"/>
    <s v="United States"/>
    <s v="On-site"/>
    <x v="3"/>
    <s v="5-8 yrs"/>
    <n v="171184"/>
    <x v="2118"/>
    <s v="Phi"/>
    <s v="Bachelor's"/>
    <n v="45473"/>
    <n v="1469"/>
    <n v="2363"/>
    <s v="No"/>
    <n v="4"/>
    <s v="0-50"/>
    <s v="Full-time"/>
    <s v="No"/>
  </r>
  <r>
    <s v="AIJOB02123"/>
    <x v="12"/>
    <x v="23"/>
    <s v="Defense"/>
    <s v="Sydney, Australia"/>
    <s v="Australia"/>
    <s v="Hybrid"/>
    <x v="1"/>
    <s v="8+ yrs"/>
    <n v="199306"/>
    <x v="2119"/>
    <s v="None"/>
    <s v="PhD"/>
    <n v="45495"/>
    <n v="1078"/>
    <n v="3263"/>
    <s v="Maybe"/>
    <n v="6"/>
    <s v="51-200"/>
    <s v="Contract"/>
    <s v="Yes"/>
  </r>
  <r>
    <s v="AIJOB02124"/>
    <x v="3"/>
    <x v="2"/>
    <s v="Government"/>
    <s v="Stockholm, Sweden"/>
    <s v="Sweden"/>
    <s v="On-site"/>
    <x v="3"/>
    <s v="5-8 yrs"/>
    <n v="142901"/>
    <x v="2120"/>
    <s v="None"/>
    <s v="PhD"/>
    <n v="45489"/>
    <n v="1787"/>
    <n v="2017"/>
    <s v="No"/>
    <n v="4"/>
    <s v="5000+"/>
    <s v="Full-time"/>
    <s v="No"/>
  </r>
  <r>
    <s v="AIJOB02125"/>
    <x v="13"/>
    <x v="14"/>
    <s v="Healthcare"/>
    <s v="Dublin, Ireland"/>
    <s v="Ireland"/>
    <s v="Remote"/>
    <x v="3"/>
    <s v="5-8 yrs"/>
    <n v="150606"/>
    <x v="2121"/>
    <s v="Mistral"/>
    <s v="Master's"/>
    <n v="45417"/>
    <n v="2240"/>
    <n v="2119"/>
    <s v="No"/>
    <n v="4"/>
    <s v="5000+"/>
    <s v="Full-time"/>
    <s v="No"/>
  </r>
  <r>
    <s v="AIJOB02126"/>
    <x v="12"/>
    <x v="25"/>
    <s v="Media"/>
    <s v="San Francisco, United States"/>
    <s v="United States"/>
    <s v="Remote"/>
    <x v="2"/>
    <s v="2-5 yrs"/>
    <n v="120832"/>
    <x v="2122"/>
    <s v="None"/>
    <s v="PhD"/>
    <n v="45488"/>
    <n v="2177"/>
    <n v="1794"/>
    <s v="No"/>
    <n v="2"/>
    <s v="51-200"/>
    <s v="Full-time"/>
    <s v="No"/>
  </r>
  <r>
    <s v="AIJOB02127"/>
    <x v="4"/>
    <x v="23"/>
    <s v="Government"/>
    <s v="Tel Aviv, Israel"/>
    <s v="Israel"/>
    <s v="Remote"/>
    <x v="2"/>
    <s v="2-5 yrs"/>
    <n v="86619"/>
    <x v="2123"/>
    <s v="None"/>
    <s v="Bootcamp/Self-taught"/>
    <n v="45422"/>
    <n v="2226"/>
    <n v="3430"/>
    <s v="No"/>
    <n v="2"/>
    <s v="0-50"/>
    <s v="Full-time"/>
    <s v="No"/>
  </r>
  <r>
    <s v="AIJOB02128"/>
    <x v="3"/>
    <x v="28"/>
    <s v="Technology"/>
    <s v="Seattle, United States"/>
    <s v="United States"/>
    <s v="On-site"/>
    <x v="0"/>
    <s v="0-2 yrs"/>
    <n v="84040"/>
    <x v="2124"/>
    <s v="Mistral"/>
    <s v="Bachelor's"/>
    <n v="45546"/>
    <n v="1883"/>
    <n v="2715"/>
    <s v="No"/>
    <n v="0"/>
    <s v="201-1000"/>
    <s v="Full-time"/>
    <s v="Yes"/>
  </r>
  <r>
    <s v="AIJOB02129"/>
    <x v="16"/>
    <x v="20"/>
    <s v="Retail"/>
    <s v="Amsterdam, Netherlands"/>
    <s v="Netherlands"/>
    <s v="Remote"/>
    <x v="2"/>
    <s v="2-5 yrs"/>
    <n v="124164"/>
    <x v="2125"/>
    <s v="None"/>
    <s v="PhD"/>
    <n v="45742"/>
    <n v="806"/>
    <n v="3397"/>
    <s v="No"/>
    <n v="2"/>
    <s v="1001-5000"/>
    <s v="Part-time"/>
    <s v="No"/>
  </r>
  <r>
    <s v="AIJOB02130"/>
    <x v="17"/>
    <x v="11"/>
    <s v="Finance"/>
    <s v="Los Angeles, United States"/>
    <s v="United States"/>
    <s v="Hybrid"/>
    <x v="1"/>
    <s v="8+ yrs"/>
    <n v="225854"/>
    <x v="2126"/>
    <s v="None"/>
    <s v="Master's"/>
    <n v="45673"/>
    <n v="551"/>
    <n v="1219"/>
    <s v="Yes"/>
    <n v="6"/>
    <s v="51-200"/>
    <s v="Full-time"/>
    <s v="Yes"/>
  </r>
  <r>
    <s v="AIJOB02131"/>
    <x v="14"/>
    <x v="27"/>
    <s v="Healthcare"/>
    <s v="Chicago, United States"/>
    <s v="United States"/>
    <s v="Remote"/>
    <x v="2"/>
    <s v="2-5 yrs"/>
    <n v="118681"/>
    <x v="2127"/>
    <s v="Mistral"/>
    <s v="Master's"/>
    <n v="45335"/>
    <n v="1225"/>
    <n v="3865"/>
    <s v="No"/>
    <n v="2"/>
    <s v="51-200"/>
    <s v="Full-time"/>
    <s v="Yes"/>
  </r>
  <r>
    <s v="AIJOB02132"/>
    <x v="8"/>
    <x v="3"/>
    <s v="Energy"/>
    <s v="Bangalore, India"/>
    <s v="India"/>
    <s v="Hybrid"/>
    <x v="1"/>
    <s v="8+ yrs"/>
    <n v="200706"/>
    <x v="2128"/>
    <s v="Claude"/>
    <s v="Master's"/>
    <n v="45525"/>
    <n v="1710"/>
    <n v="774"/>
    <s v="Yes"/>
    <n v="6"/>
    <s v="201-1000"/>
    <s v="Full-time"/>
    <s v="Yes"/>
  </r>
  <r>
    <s v="AIJOB02133"/>
    <x v="17"/>
    <x v="16"/>
    <s v="Automotive"/>
    <s v="Chicago, United States"/>
    <s v="United States"/>
    <s v="Remote"/>
    <x v="2"/>
    <s v="2-5 yrs"/>
    <n v="123322"/>
    <x v="2129"/>
    <s v="None"/>
    <s v="Bachelor's"/>
    <n v="45409"/>
    <n v="364"/>
    <n v="3115"/>
    <s v="No"/>
    <n v="2"/>
    <s v="201-1000"/>
    <s v="Full-time"/>
    <s v="No"/>
  </r>
  <r>
    <s v="AIJOB02134"/>
    <x v="12"/>
    <x v="12"/>
    <s v="Retail"/>
    <s v="Boston, United States"/>
    <s v="United States"/>
    <s v="Hybrid"/>
    <x v="2"/>
    <s v="2-5 yrs"/>
    <n v="121717"/>
    <x v="2130"/>
    <s v="None"/>
    <s v="Master's"/>
    <n v="45697"/>
    <n v="1027"/>
    <n v="2165"/>
    <s v="No"/>
    <n v="2"/>
    <s v="51-200"/>
    <s v="Full-time"/>
    <s v="Yes"/>
  </r>
  <r>
    <s v="AIJOB02135"/>
    <x v="18"/>
    <x v="5"/>
    <s v="Defense"/>
    <s v="Los Angeles, United States"/>
    <s v="United States"/>
    <s v="Remote"/>
    <x v="3"/>
    <s v="5-8 yrs"/>
    <n v="140440"/>
    <x v="2131"/>
    <s v="Claude"/>
    <s v="Master's"/>
    <n v="45506"/>
    <n v="2079"/>
    <n v="891"/>
    <s v="No"/>
    <n v="4"/>
    <s v="0-50"/>
    <s v="Contract"/>
    <s v="No"/>
  </r>
  <r>
    <s v="AIJOB02136"/>
    <x v="18"/>
    <x v="20"/>
    <s v="Retail"/>
    <s v="Austin, United States"/>
    <s v="United States"/>
    <s v="On-site"/>
    <x v="3"/>
    <s v="5-8 yrs"/>
    <n v="134512"/>
    <x v="2132"/>
    <s v="Command R"/>
    <s v="Bootcamp/Self-taught"/>
    <n v="45591"/>
    <n v="1660"/>
    <n v="3947"/>
    <s v="No"/>
    <n v="4"/>
    <s v="0-50"/>
    <s v="Full-time"/>
    <s v="No"/>
  </r>
  <r>
    <s v="AIJOB02137"/>
    <x v="8"/>
    <x v="28"/>
    <s v="Automotive"/>
    <s v="Zurich, Switzerland"/>
    <s v="Switzerland"/>
    <s v="Remote"/>
    <x v="1"/>
    <s v="8+ yrs"/>
    <n v="203666"/>
    <x v="2133"/>
    <s v="None"/>
    <s v="PhD"/>
    <n v="45497"/>
    <n v="2321"/>
    <n v="2791"/>
    <s v="No"/>
    <n v="6"/>
    <s v="0-50"/>
    <s v="Contract"/>
    <s v="No"/>
  </r>
  <r>
    <s v="AIJOB02138"/>
    <x v="3"/>
    <x v="20"/>
    <s v="Energy"/>
    <s v="San Francisco, United States"/>
    <s v="United States"/>
    <s v="Remote"/>
    <x v="2"/>
    <s v="2-5 yrs"/>
    <n v="140670"/>
    <x v="2134"/>
    <s v="None"/>
    <s v="PhD"/>
    <n v="45659"/>
    <n v="2004"/>
    <n v="2451"/>
    <s v="Yes"/>
    <n v="2"/>
    <s v="51-200"/>
    <s v="Full-time"/>
    <s v="Yes"/>
  </r>
  <r>
    <s v="AIJOB02139"/>
    <x v="18"/>
    <x v="3"/>
    <s v="Energy"/>
    <s v="London, United Kingdom"/>
    <s v="United Kingdom"/>
    <s v="Remote"/>
    <x v="3"/>
    <s v="5-8 yrs"/>
    <n v="116544"/>
    <x v="2135"/>
    <s v="GPT-4"/>
    <s v="Bachelor's"/>
    <n v="45590"/>
    <n v="1386"/>
    <n v="2595"/>
    <s v="Maybe"/>
    <n v="4"/>
    <s v="5000+"/>
    <s v="Full-time"/>
    <s v="No"/>
  </r>
  <r>
    <s v="AIJOB02140"/>
    <x v="2"/>
    <x v="25"/>
    <s v="Automotive"/>
    <s v="Toronto, Canada"/>
    <s v="Canada"/>
    <s v="Hybrid"/>
    <x v="2"/>
    <s v="2-5 yrs"/>
    <n v="80942"/>
    <x v="2136"/>
    <s v="Gemini"/>
    <s v="PhD"/>
    <n v="45636"/>
    <n v="1112"/>
    <n v="3505"/>
    <s v="Yes"/>
    <n v="2"/>
    <s v="201-1000"/>
    <s v="Full-time"/>
    <s v="Yes"/>
  </r>
  <r>
    <s v="AIJOB02141"/>
    <x v="14"/>
    <x v="1"/>
    <s v="Retail"/>
    <s v="Austin, United States"/>
    <s v="United States"/>
    <s v="Remote"/>
    <x v="2"/>
    <s v="2-5 yrs"/>
    <n v="113262"/>
    <x v="2137"/>
    <s v="None"/>
    <s v="Bootcamp/Self-taught"/>
    <n v="45626"/>
    <n v="2197"/>
    <n v="1538"/>
    <s v="No"/>
    <n v="2"/>
    <s v="1001-5000"/>
    <s v="Full-time"/>
    <s v="Yes"/>
  </r>
  <r>
    <s v="AIJOB02142"/>
    <x v="3"/>
    <x v="18"/>
    <s v="Defense"/>
    <s v="Austin, United States"/>
    <s v="United States"/>
    <s v="Hybrid"/>
    <x v="1"/>
    <s v="8+ yrs"/>
    <n v="201831"/>
    <x v="2138"/>
    <s v="Grok"/>
    <s v="Bachelor's"/>
    <n v="45538"/>
    <n v="304"/>
    <n v="1936"/>
    <s v="Maybe"/>
    <n v="6"/>
    <s v="0-50"/>
    <s v="Full-time"/>
    <s v="No"/>
  </r>
  <r>
    <s v="AIJOB02143"/>
    <x v="15"/>
    <x v="25"/>
    <s v="Education"/>
    <s v="Los Angeles, United States"/>
    <s v="United States"/>
    <s v="Remote"/>
    <x v="0"/>
    <s v="0-2 yrs"/>
    <n v="72184"/>
    <x v="2139"/>
    <s v="None"/>
    <s v="PhD"/>
    <n v="45630"/>
    <n v="1418"/>
    <n v="1953"/>
    <s v="Yes"/>
    <n v="0"/>
    <s v="0-50"/>
    <s v="Full-time"/>
    <s v="No"/>
  </r>
  <r>
    <s v="AIJOB02144"/>
    <x v="15"/>
    <x v="4"/>
    <s v="Defense"/>
    <s v="Paris, France"/>
    <s v="France"/>
    <s v="Remote"/>
    <x v="3"/>
    <s v="5-8 yrs"/>
    <n v="156586"/>
    <x v="2140"/>
    <s v="Llama"/>
    <s v="Master's"/>
    <n v="45508"/>
    <n v="891"/>
    <n v="3629"/>
    <s v="No"/>
    <n v="4"/>
    <s v="5000+"/>
    <s v="Full-time"/>
    <s v="No"/>
  </r>
  <r>
    <s v="AIJOB02145"/>
    <x v="11"/>
    <x v="23"/>
    <s v="Retail"/>
    <s v="Singapore"/>
    <s v="Singapore"/>
    <s v="Remote"/>
    <x v="1"/>
    <s v="8+ yrs"/>
    <n v="191964"/>
    <x v="2141"/>
    <s v="Phi"/>
    <s v="Master's"/>
    <n v="45297"/>
    <n v="1518"/>
    <n v="3334"/>
    <s v="No"/>
    <n v="6"/>
    <s v="1001-5000"/>
    <s v="Full-time"/>
    <s v="No"/>
  </r>
  <r>
    <s v="AIJOB02146"/>
    <x v="4"/>
    <x v="1"/>
    <s v="Media"/>
    <s v="Chicago, United States"/>
    <s v="United States"/>
    <s v="Remote"/>
    <x v="2"/>
    <s v="2-5 yrs"/>
    <n v="139499"/>
    <x v="2142"/>
    <s v="Command R"/>
    <s v="Master's"/>
    <n v="45604"/>
    <n v="1347"/>
    <n v="923"/>
    <s v="No"/>
    <n v="2"/>
    <s v="0-50"/>
    <s v="Full-time"/>
    <s v="Yes"/>
  </r>
  <r>
    <s v="AIJOB02147"/>
    <x v="6"/>
    <x v="23"/>
    <s v="Finance"/>
    <s v="Chicago, United States"/>
    <s v="United States"/>
    <s v="On-site"/>
    <x v="3"/>
    <s v="5-8 yrs"/>
    <n v="106775"/>
    <x v="2143"/>
    <s v="Gemini"/>
    <s v="PhD"/>
    <n v="45497"/>
    <n v="520"/>
    <n v="1479"/>
    <s v="No"/>
    <n v="4"/>
    <s v="1001-5000"/>
    <s v="Full-time"/>
    <s v="Yes"/>
  </r>
  <r>
    <s v="AIJOB02148"/>
    <x v="14"/>
    <x v="6"/>
    <s v="Retail"/>
    <s v="Sydney, Australia"/>
    <s v="Australia"/>
    <s v="On-site"/>
    <x v="0"/>
    <s v="0-2 yrs"/>
    <n v="59560"/>
    <x v="2144"/>
    <s v="None"/>
    <s v="PhD"/>
    <n v="45548"/>
    <n v="2251"/>
    <n v="3076"/>
    <s v="No"/>
    <n v="0"/>
    <s v="51-200"/>
    <s v="Full-time"/>
    <s v="Yes"/>
  </r>
  <r>
    <s v="AIJOB02149"/>
    <x v="15"/>
    <x v="1"/>
    <s v="Government"/>
    <s v="Toronto, Canada"/>
    <s v="Canada"/>
    <s v="Hybrid"/>
    <x v="1"/>
    <s v="8+ yrs"/>
    <n v="196282"/>
    <x v="2145"/>
    <s v="GPT-4"/>
    <s v="Bachelor's"/>
    <n v="45596"/>
    <n v="451"/>
    <n v="1952"/>
    <s v="Yes"/>
    <n v="6"/>
    <s v="51-200"/>
    <s v="Full-time"/>
    <s v="No"/>
  </r>
  <r>
    <s v="AIJOB02150"/>
    <x v="11"/>
    <x v="2"/>
    <s v="Retail"/>
    <s v="Austin, United States"/>
    <s v="United States"/>
    <s v="Remote"/>
    <x v="0"/>
    <s v="0-2 yrs"/>
    <n v="50000"/>
    <x v="2146"/>
    <s v="None"/>
    <s v="Bachelor's"/>
    <n v="45573"/>
    <n v="729"/>
    <n v="878"/>
    <s v="Maybe"/>
    <n v="0"/>
    <s v="1001-5000"/>
    <s v="Full-time"/>
    <s v="Yes"/>
  </r>
  <r>
    <s v="AIJOB02151"/>
    <x v="2"/>
    <x v="23"/>
    <s v="Healthcare"/>
    <s v="San Francisco, United States"/>
    <s v="United States"/>
    <s v="Remote"/>
    <x v="1"/>
    <s v="8+ yrs"/>
    <n v="193669"/>
    <x v="2147"/>
    <s v="Claude"/>
    <s v="PhD"/>
    <n v="45419"/>
    <n v="576"/>
    <n v="2165"/>
    <s v="No"/>
    <n v="6"/>
    <s v="201-1000"/>
    <s v="Full-time"/>
    <s v="No"/>
  </r>
  <r>
    <s v="AIJOB02152"/>
    <x v="19"/>
    <x v="28"/>
    <s v="Healthcare"/>
    <s v="Tel Aviv, Israel"/>
    <s v="Israel"/>
    <s v="Remote"/>
    <x v="0"/>
    <s v="0-2 yrs"/>
    <n v="90934"/>
    <x v="2148"/>
    <s v="None"/>
    <s v="Master's"/>
    <n v="45478"/>
    <n v="1623"/>
    <n v="2288"/>
    <s v="No"/>
    <n v="0"/>
    <s v="0-50"/>
    <s v="Contract"/>
    <s v="No"/>
  </r>
  <r>
    <s v="AIJOB02153"/>
    <x v="9"/>
    <x v="7"/>
    <s v="Education"/>
    <s v="Berlin, Germany"/>
    <s v="Germany"/>
    <s v="Hybrid"/>
    <x v="0"/>
    <s v="0-2 yrs"/>
    <n v="70263"/>
    <x v="2149"/>
    <s v="None"/>
    <s v="Master's"/>
    <n v="45572"/>
    <n v="2339"/>
    <n v="435"/>
    <s v="No"/>
    <n v="0"/>
    <s v="51-200"/>
    <s v="Full-time"/>
    <s v="No"/>
  </r>
  <r>
    <s v="AIJOB02154"/>
    <x v="19"/>
    <x v="1"/>
    <s v="Technology"/>
    <s v="Tel Aviv, Israel"/>
    <s v="Israel"/>
    <s v="On-site"/>
    <x v="3"/>
    <s v="5-8 yrs"/>
    <n v="156228"/>
    <x v="2150"/>
    <s v="None"/>
    <s v="Master's"/>
    <n v="45502"/>
    <n v="918"/>
    <n v="3683"/>
    <s v="No"/>
    <n v="4"/>
    <s v="0-50"/>
    <s v="Contract"/>
    <s v="No"/>
  </r>
  <r>
    <s v="AIJOB02155"/>
    <x v="0"/>
    <x v="1"/>
    <s v="Energy"/>
    <s v="New York, United States"/>
    <s v="United States"/>
    <s v="Hybrid"/>
    <x v="3"/>
    <s v="5-8 yrs"/>
    <n v="115975"/>
    <x v="2151"/>
    <s v="None"/>
    <s v="Bachelor's"/>
    <n v="45317"/>
    <n v="349"/>
    <n v="1320"/>
    <s v="No"/>
    <n v="4"/>
    <s v="0-50"/>
    <s v="Full-time"/>
    <s v="No"/>
  </r>
  <r>
    <s v="AIJOB02156"/>
    <x v="1"/>
    <x v="19"/>
    <s v="Energy"/>
    <s v="Tel Aviv, Israel"/>
    <s v="Israel"/>
    <s v="Hybrid"/>
    <x v="1"/>
    <s v="8+ yrs"/>
    <n v="177810"/>
    <x v="2152"/>
    <s v="Phi"/>
    <s v="Bootcamp/Self-taught"/>
    <n v="45703"/>
    <n v="1843"/>
    <n v="804"/>
    <s v="No"/>
    <n v="6"/>
    <s v="201-1000"/>
    <s v="Full-time"/>
    <s v="Yes"/>
  </r>
  <r>
    <s v="AIJOB02157"/>
    <x v="7"/>
    <x v="2"/>
    <s v="Healthcare"/>
    <s v="Sydney, Australia"/>
    <s v="Australia"/>
    <s v="On-site"/>
    <x v="2"/>
    <s v="2-5 yrs"/>
    <n v="102571"/>
    <x v="2153"/>
    <s v="None"/>
    <s v="Bachelor's"/>
    <n v="45518"/>
    <n v="2062"/>
    <n v="3777"/>
    <s v="Maybe"/>
    <n v="2"/>
    <s v="5000+"/>
    <s v="Full-time"/>
    <s v="No"/>
  </r>
  <r>
    <s v="AIJOB02158"/>
    <x v="16"/>
    <x v="17"/>
    <s v="Government"/>
    <s v="Toronto, Canada"/>
    <s v="Canada"/>
    <s v="Remote"/>
    <x v="0"/>
    <s v="0-2 yrs"/>
    <n v="65996"/>
    <x v="2154"/>
    <s v="Falcon"/>
    <s v="Bootcamp/Self-taught"/>
    <n v="45440"/>
    <n v="772"/>
    <n v="2468"/>
    <s v="No"/>
    <n v="0"/>
    <s v="201-1000"/>
    <s v="Contract"/>
    <s v="Yes"/>
  </r>
  <r>
    <s v="AIJOB02159"/>
    <x v="8"/>
    <x v="0"/>
    <s v="Media"/>
    <s v="Los Angeles, United States"/>
    <s v="United States"/>
    <s v="Remote"/>
    <x v="2"/>
    <s v="2-5 yrs"/>
    <n v="135376"/>
    <x v="2155"/>
    <s v="Llama"/>
    <s v="Bachelor's"/>
    <n v="45536"/>
    <n v="2481"/>
    <n v="3086"/>
    <s v="No"/>
    <n v="2"/>
    <s v="201-1000"/>
    <s v="Full-time"/>
    <s v="No"/>
  </r>
  <r>
    <s v="AIJOB02160"/>
    <x v="4"/>
    <x v="5"/>
    <s v="Government"/>
    <s v="Sydney, Australia"/>
    <s v="Australia"/>
    <s v="Hybrid"/>
    <x v="1"/>
    <s v="8+ yrs"/>
    <n v="220076"/>
    <x v="2156"/>
    <s v="Phi"/>
    <s v="Master's"/>
    <n v="45660"/>
    <n v="1526"/>
    <n v="2082"/>
    <s v="No"/>
    <n v="6"/>
    <s v="201-1000"/>
    <s v="Contract"/>
    <s v="No"/>
  </r>
  <r>
    <s v="AIJOB02161"/>
    <x v="14"/>
    <x v="9"/>
    <s v="Defense"/>
    <s v="Paris, France"/>
    <s v="France"/>
    <s v="Remote"/>
    <x v="0"/>
    <s v="0-2 yrs"/>
    <n v="55995"/>
    <x v="2157"/>
    <s v="BLOOM"/>
    <s v="Master's"/>
    <n v="45615"/>
    <n v="1688"/>
    <n v="1971"/>
    <s v="No"/>
    <n v="0"/>
    <s v="1001-5000"/>
    <s v="Full-time"/>
    <s v="Yes"/>
  </r>
  <r>
    <s v="AIJOB02162"/>
    <x v="15"/>
    <x v="6"/>
    <s v="Defense"/>
    <s v="Berlin, Germany"/>
    <s v="Germany"/>
    <s v="Remote"/>
    <x v="0"/>
    <s v="0-2 yrs"/>
    <n v="73105"/>
    <x v="2158"/>
    <s v="None"/>
    <s v="PhD"/>
    <n v="45432"/>
    <n v="2221"/>
    <n v="1370"/>
    <s v="No"/>
    <n v="0"/>
    <s v="5000+"/>
    <s v="Contract"/>
    <s v="No"/>
  </r>
  <r>
    <s v="AIJOB02163"/>
    <x v="7"/>
    <x v="28"/>
    <s v="Finance"/>
    <s v="Toronto, Canada"/>
    <s v="Canada"/>
    <s v="On-site"/>
    <x v="2"/>
    <s v="2-5 yrs"/>
    <n v="119864"/>
    <x v="2159"/>
    <s v="Mistral"/>
    <s v="Master's"/>
    <n v="45312"/>
    <n v="1855"/>
    <n v="1329"/>
    <s v="No"/>
    <n v="2"/>
    <s v="201-1000"/>
    <s v="Full-time"/>
    <s v="No"/>
  </r>
  <r>
    <s v="AIJOB02164"/>
    <x v="4"/>
    <x v="11"/>
    <s v="Healthcare"/>
    <s v="Amsterdam, Netherlands"/>
    <s v="Netherlands"/>
    <s v="Remote"/>
    <x v="2"/>
    <s v="2-5 yrs"/>
    <n v="132574"/>
    <x v="2160"/>
    <s v="None"/>
    <s v="Bachelor's"/>
    <n v="45386"/>
    <n v="1259"/>
    <n v="1021"/>
    <s v="Maybe"/>
    <n v="2"/>
    <s v="0-50"/>
    <s v="Contract"/>
    <s v="No"/>
  </r>
  <r>
    <s v="AIJOB02165"/>
    <x v="18"/>
    <x v="1"/>
    <s v="Defense"/>
    <s v="Singapore"/>
    <s v="Singapore"/>
    <s v="Remote"/>
    <x v="2"/>
    <s v="2-5 yrs"/>
    <n v="141294"/>
    <x v="2161"/>
    <s v="None"/>
    <s v="Master's"/>
    <n v="45697"/>
    <n v="382"/>
    <n v="2346"/>
    <s v="No"/>
    <n v="2"/>
    <s v="51-200"/>
    <s v="Full-time"/>
    <s v="No"/>
  </r>
  <r>
    <s v="AIJOB02166"/>
    <x v="0"/>
    <x v="7"/>
    <s v="Healthcare"/>
    <s v="San Francisco, United States"/>
    <s v="United States"/>
    <s v="Hybrid"/>
    <x v="1"/>
    <s v="8+ yrs"/>
    <n v="163456"/>
    <x v="2162"/>
    <s v="None"/>
    <s v="PhD"/>
    <n v="45578"/>
    <n v="2250"/>
    <n v="789"/>
    <s v="No"/>
    <n v="6"/>
    <s v="1001-5000"/>
    <s v="Full-time"/>
    <s v="No"/>
  </r>
  <r>
    <s v="AIJOB02167"/>
    <x v="8"/>
    <x v="24"/>
    <s v="Energy"/>
    <s v="Paris, France"/>
    <s v="France"/>
    <s v="Hybrid"/>
    <x v="1"/>
    <s v="8+ yrs"/>
    <n v="170809"/>
    <x v="2163"/>
    <s v="Grok"/>
    <s v="PhD"/>
    <n v="45708"/>
    <n v="1672"/>
    <n v="55"/>
    <s v="No"/>
    <n v="6"/>
    <s v="0-50"/>
    <s v="Full-time"/>
    <s v="Yes"/>
  </r>
  <r>
    <s v="AIJOB02168"/>
    <x v="16"/>
    <x v="15"/>
    <s v="Education"/>
    <s v="Bangalore, India"/>
    <s v="India"/>
    <s v="Hybrid"/>
    <x v="0"/>
    <s v="0-2 yrs"/>
    <n v="54154"/>
    <x v="2164"/>
    <s v="None"/>
    <s v="Master's"/>
    <n v="45599"/>
    <n v="1045"/>
    <n v="2835"/>
    <s v="Maybe"/>
    <n v="0"/>
    <s v="1001-5000"/>
    <s v="Full-time"/>
    <s v="Yes"/>
  </r>
  <r>
    <s v="AIJOB02169"/>
    <x v="15"/>
    <x v="11"/>
    <s v="Finance"/>
    <s v="Sydney, Australia"/>
    <s v="Australia"/>
    <s v="Remote"/>
    <x v="3"/>
    <s v="5-8 yrs"/>
    <n v="143681"/>
    <x v="2165"/>
    <s v="Command R"/>
    <s v="Master's"/>
    <n v="45300"/>
    <n v="1608"/>
    <n v="842"/>
    <s v="No"/>
    <n v="4"/>
    <s v="1001-5000"/>
    <s v="Full-time"/>
    <s v="No"/>
  </r>
  <r>
    <s v="AIJOB02170"/>
    <x v="18"/>
    <x v="23"/>
    <s v="Government"/>
    <s v="Zurich, Switzerland"/>
    <s v="Switzerland"/>
    <s v="Hybrid"/>
    <x v="0"/>
    <s v="0-2 yrs"/>
    <n v="75876"/>
    <x v="2166"/>
    <s v="Falcon"/>
    <s v="PhD"/>
    <n v="45725"/>
    <n v="309"/>
    <n v="1503"/>
    <s v="Yes"/>
    <n v="0"/>
    <s v="1001-5000"/>
    <s v="Full-time"/>
    <s v="No"/>
  </r>
  <r>
    <s v="AIJOB02171"/>
    <x v="3"/>
    <x v="28"/>
    <s v="Finance"/>
    <s v="Dublin, Ireland"/>
    <s v="Ireland"/>
    <s v="Remote"/>
    <x v="1"/>
    <s v="8+ yrs"/>
    <n v="235544"/>
    <x v="2167"/>
    <s v="None"/>
    <s v="PhD"/>
    <n v="45609"/>
    <n v="486"/>
    <n v="1684"/>
    <s v="No"/>
    <n v="6"/>
    <s v="1001-5000"/>
    <s v="Full-time"/>
    <s v="No"/>
  </r>
  <r>
    <s v="AIJOB02172"/>
    <x v="1"/>
    <x v="8"/>
    <s v="Energy"/>
    <s v="Austin, United States"/>
    <s v="United States"/>
    <s v="Remote"/>
    <x v="0"/>
    <s v="0-2 yrs"/>
    <n v="69043"/>
    <x v="2168"/>
    <s v="Grok"/>
    <s v="PhD"/>
    <n v="45416"/>
    <n v="757"/>
    <n v="1192"/>
    <s v="Maybe"/>
    <n v="0"/>
    <s v="5000+"/>
    <s v="Full-time"/>
    <s v="Yes"/>
  </r>
  <r>
    <s v="AIJOB02173"/>
    <x v="8"/>
    <x v="0"/>
    <s v="Energy"/>
    <s v="Tel Aviv, Israel"/>
    <s v="Israel"/>
    <s v="Remote"/>
    <x v="0"/>
    <s v="0-2 yrs"/>
    <n v="65969"/>
    <x v="2169"/>
    <s v="GPT-4"/>
    <s v="Bachelor's"/>
    <n v="45737"/>
    <n v="2355"/>
    <n v="846"/>
    <s v="Maybe"/>
    <n v="0"/>
    <s v="1001-5000"/>
    <s v="Contract"/>
    <s v="No"/>
  </r>
  <r>
    <s v="AIJOB02174"/>
    <x v="0"/>
    <x v="29"/>
    <s v="Government"/>
    <s v="Bangalore, India"/>
    <s v="India"/>
    <s v="Remote"/>
    <x v="1"/>
    <s v="8+ yrs"/>
    <n v="205463"/>
    <x v="2170"/>
    <s v="Falcon"/>
    <s v="Master's"/>
    <n v="45566"/>
    <n v="2138"/>
    <n v="3223"/>
    <s v="Yes"/>
    <n v="6"/>
    <s v="201-1000"/>
    <s v="Full-time"/>
    <s v="No"/>
  </r>
  <r>
    <s v="AIJOB02175"/>
    <x v="18"/>
    <x v="19"/>
    <s v="Energy"/>
    <s v="Tel Aviv, Israel"/>
    <s v="Israel"/>
    <s v="On-site"/>
    <x v="1"/>
    <s v="8+ yrs"/>
    <n v="169934"/>
    <x v="2171"/>
    <s v="None"/>
    <s v="Master's"/>
    <n v="45358"/>
    <n v="2356"/>
    <n v="2255"/>
    <s v="Yes"/>
    <n v="6"/>
    <s v="5000+"/>
    <s v="Contract"/>
    <s v="No"/>
  </r>
  <r>
    <s v="AIJOB02176"/>
    <x v="10"/>
    <x v="27"/>
    <s v="Automotive"/>
    <s v="Berlin, Germany"/>
    <s v="Germany"/>
    <s v="Remote"/>
    <x v="1"/>
    <s v="8+ yrs"/>
    <n v="275223"/>
    <x v="2172"/>
    <s v="GPT-4"/>
    <s v="Bootcamp/Self-taught"/>
    <n v="45540"/>
    <n v="367"/>
    <n v="3258"/>
    <s v="No"/>
    <n v="6"/>
    <s v="201-1000"/>
    <s v="Full-time"/>
    <s v="No"/>
  </r>
  <r>
    <s v="AIJOB02177"/>
    <x v="5"/>
    <x v="10"/>
    <s v="Media"/>
    <s v="London, United Kingdom"/>
    <s v="United Kingdom"/>
    <s v="Remote"/>
    <x v="2"/>
    <s v="2-5 yrs"/>
    <n v="78168"/>
    <x v="2173"/>
    <s v="Falcon"/>
    <s v="Bootcamp/Self-taught"/>
    <n v="45299"/>
    <n v="665"/>
    <n v="956"/>
    <s v="No"/>
    <n v="2"/>
    <s v="0-50"/>
    <s v="Contract"/>
    <s v="Yes"/>
  </r>
  <r>
    <s v="AIJOB02178"/>
    <x v="16"/>
    <x v="27"/>
    <s v="Education"/>
    <s v="New York, United States"/>
    <s v="United States"/>
    <s v="Remote"/>
    <x v="0"/>
    <s v="0-2 yrs"/>
    <n v="72327"/>
    <x v="2174"/>
    <s v="Gemini"/>
    <s v="Bachelor's"/>
    <n v="45716"/>
    <n v="452"/>
    <n v="3806"/>
    <s v="No"/>
    <n v="0"/>
    <s v="201-1000"/>
    <s v="Full-time"/>
    <s v="Yes"/>
  </r>
  <r>
    <s v="AIJOB02179"/>
    <x v="7"/>
    <x v="22"/>
    <s v="Education"/>
    <s v="Los Angeles, United States"/>
    <s v="United States"/>
    <s v="Hybrid"/>
    <x v="3"/>
    <s v="5-8 yrs"/>
    <n v="204637"/>
    <x v="2175"/>
    <s v="BLOOM"/>
    <s v="Bachelor's"/>
    <n v="45670"/>
    <n v="974"/>
    <n v="1256"/>
    <s v="No"/>
    <n v="4"/>
    <s v="5000+"/>
    <s v="Contract"/>
    <s v="Yes"/>
  </r>
  <r>
    <s v="AIJOB02180"/>
    <x v="17"/>
    <x v="10"/>
    <s v="Media"/>
    <s v="Paris, France"/>
    <s v="France"/>
    <s v="Remote"/>
    <x v="2"/>
    <s v="2-5 yrs"/>
    <n v="110134"/>
    <x v="2176"/>
    <s v="Grok"/>
    <s v="Master's"/>
    <n v="45692"/>
    <n v="1314"/>
    <n v="2759"/>
    <s v="No"/>
    <n v="2"/>
    <s v="0-50"/>
    <s v="Contract"/>
    <s v="Yes"/>
  </r>
  <r>
    <s v="AIJOB02181"/>
    <x v="9"/>
    <x v="11"/>
    <s v="Automotive"/>
    <s v="Amsterdam, Netherlands"/>
    <s v="Netherlands"/>
    <s v="Hybrid"/>
    <x v="0"/>
    <s v="0-2 yrs"/>
    <n v="67605"/>
    <x v="2177"/>
    <s v="Falcon"/>
    <s v="Bachelor's"/>
    <n v="45738"/>
    <n v="1842"/>
    <n v="458"/>
    <s v="No"/>
    <n v="0"/>
    <s v="0-50"/>
    <s v="Full-time"/>
    <s v="No"/>
  </r>
  <r>
    <s v="AIJOB02182"/>
    <x v="14"/>
    <x v="9"/>
    <s v="Energy"/>
    <s v="Seattle, United States"/>
    <s v="United States"/>
    <s v="Hybrid"/>
    <x v="2"/>
    <s v="2-5 yrs"/>
    <n v="102922"/>
    <x v="2178"/>
    <s v="GPT-4"/>
    <s v="Bachelor's"/>
    <n v="45299"/>
    <n v="744"/>
    <n v="2792"/>
    <s v="Yes"/>
    <n v="2"/>
    <s v="0-50"/>
    <s v="Full-time"/>
    <s v="Yes"/>
  </r>
  <r>
    <s v="AIJOB02183"/>
    <x v="2"/>
    <x v="9"/>
    <s v="Media"/>
    <s v="Amsterdam, Netherlands"/>
    <s v="Netherlands"/>
    <s v="On-site"/>
    <x v="3"/>
    <s v="5-8 yrs"/>
    <n v="145129"/>
    <x v="2179"/>
    <s v="Falcon"/>
    <s v="Bachelor's"/>
    <n v="45489"/>
    <n v="2107"/>
    <n v="1658"/>
    <s v="No"/>
    <n v="4"/>
    <s v="1001-5000"/>
    <s v="Full-time"/>
    <s v="No"/>
  </r>
  <r>
    <s v="AIJOB02184"/>
    <x v="15"/>
    <x v="25"/>
    <s v="Education"/>
    <s v="Tel Aviv, Israel"/>
    <s v="Israel"/>
    <s v="Hybrid"/>
    <x v="3"/>
    <s v="5-8 yrs"/>
    <n v="187066"/>
    <x v="2180"/>
    <s v="Phi"/>
    <s v="Bachelor's"/>
    <n v="45619"/>
    <n v="1248"/>
    <n v="2680"/>
    <s v="Yes"/>
    <n v="4"/>
    <s v="201-1000"/>
    <s v="Contract"/>
    <s v="Yes"/>
  </r>
  <r>
    <s v="AIJOB02185"/>
    <x v="19"/>
    <x v="8"/>
    <s v="Media"/>
    <s v="Amsterdam, Netherlands"/>
    <s v="Netherlands"/>
    <s v="Remote"/>
    <x v="0"/>
    <s v="0-2 yrs"/>
    <n v="50000"/>
    <x v="2181"/>
    <s v="Claude"/>
    <s v="Master's"/>
    <n v="45715"/>
    <n v="1385"/>
    <n v="1085"/>
    <s v="No"/>
    <n v="0"/>
    <s v="201-1000"/>
    <s v="Full-time"/>
    <s v="Yes"/>
  </r>
  <r>
    <s v="AIJOB02186"/>
    <x v="16"/>
    <x v="19"/>
    <s v="Finance"/>
    <s v="Tokyo, Japan"/>
    <s v="Japan"/>
    <s v="On-site"/>
    <x v="2"/>
    <s v="2-5 yrs"/>
    <n v="140361"/>
    <x v="2182"/>
    <s v="None"/>
    <s v="PhD"/>
    <n v="45504"/>
    <n v="2196"/>
    <n v="2294"/>
    <s v="Yes"/>
    <n v="2"/>
    <s v="5000+"/>
    <s v="Full-time"/>
    <s v="No"/>
  </r>
  <r>
    <s v="AIJOB02187"/>
    <x v="3"/>
    <x v="12"/>
    <s v="Healthcare"/>
    <s v="Tokyo, Japan"/>
    <s v="Japan"/>
    <s v="Remote"/>
    <x v="0"/>
    <s v="0-2 yrs"/>
    <n v="52058"/>
    <x v="2183"/>
    <s v="None"/>
    <s v="Master's"/>
    <n v="45572"/>
    <n v="1011"/>
    <n v="3355"/>
    <s v="No"/>
    <n v="0"/>
    <s v="1001-5000"/>
    <s v="Full-time"/>
    <s v="No"/>
  </r>
  <r>
    <s v="AIJOB02188"/>
    <x v="5"/>
    <x v="26"/>
    <s v="Automotive"/>
    <s v="Sydney, Australia"/>
    <s v="Australia"/>
    <s v="Remote"/>
    <x v="0"/>
    <s v="0-2 yrs"/>
    <n v="66640"/>
    <x v="2184"/>
    <s v="Falcon"/>
    <s v="Bachelor's"/>
    <n v="45724"/>
    <n v="1746"/>
    <n v="1408"/>
    <s v="No"/>
    <n v="0"/>
    <s v="5000+"/>
    <s v="Full-time"/>
    <s v="No"/>
  </r>
  <r>
    <s v="AIJOB02189"/>
    <x v="19"/>
    <x v="2"/>
    <s v="Government"/>
    <s v="Seattle, United States"/>
    <s v="United States"/>
    <s v="Remote"/>
    <x v="2"/>
    <s v="2-5 yrs"/>
    <n v="101500"/>
    <x v="2185"/>
    <s v="GPT-4"/>
    <s v="Bachelor's"/>
    <n v="45422"/>
    <n v="842"/>
    <n v="3576"/>
    <s v="Maybe"/>
    <n v="2"/>
    <s v="201-1000"/>
    <s v="Contract"/>
    <s v="No"/>
  </r>
  <r>
    <s v="AIJOB02190"/>
    <x v="18"/>
    <x v="18"/>
    <s v="Healthcare"/>
    <s v="Boston, United States"/>
    <s v="United States"/>
    <s v="Remote"/>
    <x v="0"/>
    <s v="0-2 yrs"/>
    <n v="77415"/>
    <x v="2186"/>
    <s v="None"/>
    <s v="Master's"/>
    <n v="45569"/>
    <n v="919"/>
    <n v="1612"/>
    <s v="Yes"/>
    <n v="0"/>
    <s v="201-1000"/>
    <s v="Full-time"/>
    <s v="No"/>
  </r>
  <r>
    <s v="AIJOB02191"/>
    <x v="6"/>
    <x v="27"/>
    <s v="Media"/>
    <s v="Tel Aviv, Israel"/>
    <s v="Israel"/>
    <s v="Hybrid"/>
    <x v="2"/>
    <s v="2-5 yrs"/>
    <n v="78357"/>
    <x v="2187"/>
    <s v="Llama"/>
    <s v="Bachelor's"/>
    <n v="45345"/>
    <n v="2131"/>
    <n v="3761"/>
    <s v="No"/>
    <n v="2"/>
    <s v="1001-5000"/>
    <s v="Full-time"/>
    <s v="No"/>
  </r>
  <r>
    <s v="AIJOB02192"/>
    <x v="18"/>
    <x v="2"/>
    <s v="Automotive"/>
    <s v="Zurich, Switzerland"/>
    <s v="Switzerland"/>
    <s v="Hybrid"/>
    <x v="0"/>
    <s v="0-2 yrs"/>
    <n v="75823"/>
    <x v="2188"/>
    <s v="Gemini"/>
    <s v="Bachelor's"/>
    <n v="45441"/>
    <n v="1094"/>
    <n v="3235"/>
    <s v="Yes"/>
    <n v="0"/>
    <s v="1001-5000"/>
    <s v="Full-time"/>
    <s v="No"/>
  </r>
  <r>
    <s v="AIJOB02193"/>
    <x v="8"/>
    <x v="10"/>
    <s v="Energy"/>
    <s v="Chicago, United States"/>
    <s v="United States"/>
    <s v="Remote"/>
    <x v="2"/>
    <s v="2-5 yrs"/>
    <n v="150081"/>
    <x v="2189"/>
    <s v="Command R"/>
    <s v="Bachelor's"/>
    <n v="45425"/>
    <n v="1064"/>
    <n v="140"/>
    <s v="Yes"/>
    <n v="2"/>
    <s v="1001-5000"/>
    <s v="Full-time"/>
    <s v="No"/>
  </r>
  <r>
    <s v="AIJOB02194"/>
    <x v="9"/>
    <x v="9"/>
    <s v="Retail"/>
    <s v="Tel Aviv, Israel"/>
    <s v="Israel"/>
    <s v="Hybrid"/>
    <x v="0"/>
    <s v="0-2 yrs"/>
    <n v="52824"/>
    <x v="2190"/>
    <s v="None"/>
    <s v="Bachelor's"/>
    <n v="45299"/>
    <n v="1606"/>
    <n v="3268"/>
    <s v="Maybe"/>
    <n v="0"/>
    <s v="0-50"/>
    <s v="Full-time"/>
    <s v="Yes"/>
  </r>
  <r>
    <s v="AIJOB02195"/>
    <x v="11"/>
    <x v="16"/>
    <s v="Defense"/>
    <s v="Stockholm, Sweden"/>
    <s v="Sweden"/>
    <s v="On-site"/>
    <x v="3"/>
    <s v="5-8 yrs"/>
    <n v="155122"/>
    <x v="2191"/>
    <s v="None"/>
    <s v="Bachelor's"/>
    <n v="45372"/>
    <n v="2464"/>
    <n v="3436"/>
    <s v="No"/>
    <n v="4"/>
    <s v="5000+"/>
    <s v="Full-time"/>
    <s v="Yes"/>
  </r>
  <r>
    <s v="AIJOB02196"/>
    <x v="9"/>
    <x v="21"/>
    <s v="Finance"/>
    <s v="London, United Kingdom"/>
    <s v="United Kingdom"/>
    <s v="Remote"/>
    <x v="0"/>
    <s v="0-2 yrs"/>
    <n v="61659"/>
    <x v="2192"/>
    <s v="Llama"/>
    <s v="PhD"/>
    <n v="45688"/>
    <n v="645"/>
    <n v="98"/>
    <s v="No"/>
    <n v="0"/>
    <s v="1001-5000"/>
    <s v="Full-time"/>
    <s v="Yes"/>
  </r>
  <r>
    <s v="AIJOB02197"/>
    <x v="15"/>
    <x v="7"/>
    <s v="Defense"/>
    <s v="Chicago, United States"/>
    <s v="United States"/>
    <s v="Remote"/>
    <x v="2"/>
    <s v="2-5 yrs"/>
    <n v="118432"/>
    <x v="2193"/>
    <s v="Command R"/>
    <s v="Bachelor's"/>
    <n v="45440"/>
    <n v="1679"/>
    <n v="439"/>
    <s v="No"/>
    <n v="2"/>
    <s v="5000+"/>
    <s v="Part-time"/>
    <s v="Yes"/>
  </r>
  <r>
    <s v="AIJOB02198"/>
    <x v="19"/>
    <x v="16"/>
    <s v="Education"/>
    <s v="Paris, France"/>
    <s v="France"/>
    <s v="Remote"/>
    <x v="0"/>
    <s v="0-2 yrs"/>
    <n v="70241"/>
    <x v="2194"/>
    <s v="Falcon"/>
    <s v="PhD"/>
    <n v="45504"/>
    <n v="2333"/>
    <n v="3791"/>
    <s v="No"/>
    <n v="0"/>
    <s v="1001-5000"/>
    <s v="Full-time"/>
    <s v="No"/>
  </r>
  <r>
    <s v="AIJOB02199"/>
    <x v="10"/>
    <x v="17"/>
    <s v="Energy"/>
    <s v="New York, United States"/>
    <s v="United States"/>
    <s v="Hybrid"/>
    <x v="0"/>
    <s v="0-2 yrs"/>
    <n v="61917"/>
    <x v="2195"/>
    <s v="Falcon"/>
    <s v="Bachelor's"/>
    <n v="45605"/>
    <n v="680"/>
    <n v="3134"/>
    <s v="No"/>
    <n v="0"/>
    <s v="51-200"/>
    <s v="Full-time"/>
    <s v="Yes"/>
  </r>
  <r>
    <s v="AIJOB02200"/>
    <x v="7"/>
    <x v="25"/>
    <s v="Healthcare"/>
    <s v="Singapore"/>
    <s v="Singapore"/>
    <s v="Remote"/>
    <x v="1"/>
    <s v="8+ yrs"/>
    <n v="217563"/>
    <x v="2196"/>
    <s v="GPT-4"/>
    <s v="Bachelor's"/>
    <n v="45643"/>
    <n v="513"/>
    <n v="1407"/>
    <s v="No"/>
    <n v="6"/>
    <s v="1001-5000"/>
    <s v="Full-time"/>
    <s v="No"/>
  </r>
  <r>
    <s v="AIJOB02201"/>
    <x v="8"/>
    <x v="14"/>
    <s v="Energy"/>
    <s v="Toronto, Canada"/>
    <s v="Canada"/>
    <s v="On-site"/>
    <x v="0"/>
    <s v="0-2 yrs"/>
    <n v="92734"/>
    <x v="2197"/>
    <s v="Phi"/>
    <s v="Master's"/>
    <n v="45437"/>
    <n v="558"/>
    <n v="956"/>
    <s v="Yes"/>
    <n v="0"/>
    <s v="51-200"/>
    <s v="Full-time"/>
    <s v="No"/>
  </r>
  <r>
    <s v="AIJOB02202"/>
    <x v="15"/>
    <x v="6"/>
    <s v="Government"/>
    <s v="Tokyo, Japan"/>
    <s v="Japan"/>
    <s v="Hybrid"/>
    <x v="2"/>
    <s v="2-5 yrs"/>
    <n v="106220"/>
    <x v="2198"/>
    <s v="None"/>
    <s v="Bachelor's"/>
    <n v="45398"/>
    <n v="759"/>
    <n v="1225"/>
    <s v="No"/>
    <n v="2"/>
    <s v="51-200"/>
    <s v="Full-time"/>
    <s v="No"/>
  </r>
  <r>
    <s v="AIJOB02203"/>
    <x v="5"/>
    <x v="28"/>
    <s v="Defense"/>
    <s v="Boston, United States"/>
    <s v="United States"/>
    <s v="Remote"/>
    <x v="1"/>
    <s v="8+ yrs"/>
    <n v="225911"/>
    <x v="2199"/>
    <s v="None"/>
    <s v="Bachelor's"/>
    <n v="45620"/>
    <n v="513"/>
    <n v="245"/>
    <s v="No"/>
    <n v="6"/>
    <s v="5000+"/>
    <s v="Full-time"/>
    <s v="No"/>
  </r>
  <r>
    <s v="AIJOB02204"/>
    <x v="19"/>
    <x v="21"/>
    <s v="Government"/>
    <s v="Chicago, United States"/>
    <s v="United States"/>
    <s v="Remote"/>
    <x v="2"/>
    <s v="2-5 yrs"/>
    <n v="84393"/>
    <x v="2200"/>
    <s v="GPT-4"/>
    <s v="Master's"/>
    <n v="45598"/>
    <n v="2318"/>
    <n v="1488"/>
    <s v="Yes"/>
    <n v="2"/>
    <s v="1001-5000"/>
    <s v="Contract"/>
    <s v="No"/>
  </r>
  <r>
    <s v="AIJOB02205"/>
    <x v="6"/>
    <x v="6"/>
    <s v="Government"/>
    <s v="Singapore"/>
    <s v="Singapore"/>
    <s v="Remote"/>
    <x v="0"/>
    <s v="0-2 yrs"/>
    <n v="57948"/>
    <x v="2201"/>
    <s v="None"/>
    <s v="Bootcamp/Self-taught"/>
    <n v="45696"/>
    <n v="2349"/>
    <n v="19"/>
    <s v="No"/>
    <n v="0"/>
    <s v="51-200"/>
    <s v="Full-time"/>
    <s v="No"/>
  </r>
  <r>
    <s v="AIJOB02206"/>
    <x v="16"/>
    <x v="8"/>
    <s v="Defense"/>
    <s v="Zurich, Switzerland"/>
    <s v="Switzerland"/>
    <s v="Remote"/>
    <x v="1"/>
    <s v="8+ yrs"/>
    <n v="217006"/>
    <x v="2202"/>
    <s v="Claude"/>
    <s v="Master's"/>
    <n v="45301"/>
    <n v="1155"/>
    <n v="1348"/>
    <s v="Yes"/>
    <n v="6"/>
    <s v="1001-5000"/>
    <s v="Full-time"/>
    <s v="Yes"/>
  </r>
  <r>
    <s v="AIJOB02207"/>
    <x v="11"/>
    <x v="11"/>
    <s v="Automotive"/>
    <s v="Zurich, Switzerland"/>
    <s v="Switzerland"/>
    <s v="Remote"/>
    <x v="0"/>
    <s v="0-2 yrs"/>
    <n v="88699"/>
    <x v="2203"/>
    <s v="BLOOM"/>
    <s v="Bachelor's"/>
    <n v="45490"/>
    <n v="939"/>
    <n v="789"/>
    <s v="Yes"/>
    <n v="0"/>
    <s v="0-50"/>
    <s v="Full-time"/>
    <s v="No"/>
  </r>
  <r>
    <s v="AIJOB02208"/>
    <x v="0"/>
    <x v="2"/>
    <s v="Government"/>
    <s v="Austin, United States"/>
    <s v="United States"/>
    <s v="Hybrid"/>
    <x v="3"/>
    <s v="5-8 yrs"/>
    <n v="159601"/>
    <x v="2204"/>
    <s v="None"/>
    <s v="Bachelor's"/>
    <n v="45670"/>
    <n v="601"/>
    <n v="2459"/>
    <s v="Maybe"/>
    <n v="4"/>
    <s v="0-50"/>
    <s v="Full-time"/>
    <s v="No"/>
  </r>
  <r>
    <s v="AIJOB02209"/>
    <x v="18"/>
    <x v="24"/>
    <s v="Media"/>
    <s v="Bangalore, India"/>
    <s v="India"/>
    <s v="Hybrid"/>
    <x v="1"/>
    <s v="8+ yrs"/>
    <n v="188729"/>
    <x v="2205"/>
    <s v="Claude"/>
    <s v="Bachelor's"/>
    <n v="45411"/>
    <n v="1045"/>
    <n v="1090"/>
    <s v="Yes"/>
    <n v="6"/>
    <s v="0-50"/>
    <s v="Full-time"/>
    <s v="Yes"/>
  </r>
  <r>
    <s v="AIJOB02210"/>
    <x v="10"/>
    <x v="26"/>
    <s v="Government"/>
    <s v="Tel Aviv, Israel"/>
    <s v="Israel"/>
    <s v="On-site"/>
    <x v="1"/>
    <s v="8+ yrs"/>
    <n v="199974"/>
    <x v="2206"/>
    <s v="Gemini"/>
    <s v="PhD"/>
    <n v="45319"/>
    <n v="2103"/>
    <n v="1827"/>
    <s v="No"/>
    <n v="6"/>
    <s v="201-1000"/>
    <s v="Full-time"/>
    <s v="Yes"/>
  </r>
  <r>
    <s v="AIJOB02211"/>
    <x v="4"/>
    <x v="6"/>
    <s v="Government"/>
    <s v="Austin, United States"/>
    <s v="United States"/>
    <s v="Remote"/>
    <x v="1"/>
    <s v="8+ yrs"/>
    <n v="154985"/>
    <x v="2207"/>
    <s v="None"/>
    <s v="Bachelor's"/>
    <n v="45357"/>
    <n v="799"/>
    <n v="1303"/>
    <s v="No"/>
    <n v="6"/>
    <s v="5000+"/>
    <s v="Full-time"/>
    <s v="No"/>
  </r>
  <r>
    <s v="AIJOB02212"/>
    <x v="10"/>
    <x v="13"/>
    <s v="Finance"/>
    <s v="Chicago, United States"/>
    <s v="United States"/>
    <s v="On-site"/>
    <x v="0"/>
    <s v="0-2 yrs"/>
    <n v="77616"/>
    <x v="2208"/>
    <s v="None"/>
    <s v="Bachelor's"/>
    <n v="45575"/>
    <n v="1377"/>
    <n v="485"/>
    <s v="Yes"/>
    <n v="0"/>
    <s v="5000+"/>
    <s v="Full-time"/>
    <s v="Yes"/>
  </r>
  <r>
    <s v="AIJOB02213"/>
    <x v="5"/>
    <x v="8"/>
    <s v="Automotive"/>
    <s v="Bangalore, India"/>
    <s v="India"/>
    <s v="Remote"/>
    <x v="1"/>
    <s v="8+ yrs"/>
    <n v="231763"/>
    <x v="2209"/>
    <s v="None"/>
    <s v="Bachelor's"/>
    <n v="45636"/>
    <n v="302"/>
    <n v="2805"/>
    <s v="No"/>
    <n v="6"/>
    <s v="5000+"/>
    <s v="Full-time"/>
    <s v="No"/>
  </r>
  <r>
    <s v="AIJOB02214"/>
    <x v="18"/>
    <x v="10"/>
    <s v="Finance"/>
    <s v="Stockholm, Sweden"/>
    <s v="Sweden"/>
    <s v="Remote"/>
    <x v="0"/>
    <s v="0-2 yrs"/>
    <n v="64303"/>
    <x v="2210"/>
    <s v="None"/>
    <s v="Bootcamp/Self-taught"/>
    <n v="45671"/>
    <n v="1951"/>
    <n v="3626"/>
    <s v="Maybe"/>
    <n v="0"/>
    <s v="1001-5000"/>
    <s v="Full-time"/>
    <s v="Yes"/>
  </r>
  <r>
    <s v="AIJOB02215"/>
    <x v="17"/>
    <x v="5"/>
    <s v="Finance"/>
    <s v="London, United Kingdom"/>
    <s v="United Kingdom"/>
    <s v="Hybrid"/>
    <x v="0"/>
    <s v="0-2 yrs"/>
    <n v="64077"/>
    <x v="2211"/>
    <s v="None"/>
    <s v="Master's"/>
    <n v="45523"/>
    <n v="421"/>
    <n v="3850"/>
    <s v="Yes"/>
    <n v="0"/>
    <s v="201-1000"/>
    <s v="Full-time"/>
    <s v="Yes"/>
  </r>
  <r>
    <s v="AIJOB02216"/>
    <x v="19"/>
    <x v="22"/>
    <s v="Healthcare"/>
    <s v="San Francisco, United States"/>
    <s v="United States"/>
    <s v="Remote"/>
    <x v="3"/>
    <s v="5-8 yrs"/>
    <n v="157178"/>
    <x v="2212"/>
    <s v="Falcon"/>
    <s v="PhD"/>
    <n v="45583"/>
    <n v="534"/>
    <n v="2916"/>
    <s v="Maybe"/>
    <n v="4"/>
    <s v="1001-5000"/>
    <s v="Full-time"/>
    <s v="No"/>
  </r>
  <r>
    <s v="AIJOB02217"/>
    <x v="5"/>
    <x v="14"/>
    <s v="Finance"/>
    <s v="London, United Kingdom"/>
    <s v="United Kingdom"/>
    <s v="Remote"/>
    <x v="0"/>
    <s v="0-2 yrs"/>
    <n v="64497"/>
    <x v="2213"/>
    <s v="Claude"/>
    <s v="Bachelor's"/>
    <n v="45435"/>
    <n v="2237"/>
    <n v="1308"/>
    <s v="Maybe"/>
    <n v="0"/>
    <s v="1001-5000"/>
    <s v="Part-time"/>
    <s v="Yes"/>
  </r>
  <r>
    <s v="AIJOB02218"/>
    <x v="10"/>
    <x v="22"/>
    <s v="Healthcare"/>
    <s v="Berlin, Germany"/>
    <s v="Germany"/>
    <s v="Remote"/>
    <x v="2"/>
    <s v="2-5 yrs"/>
    <n v="108690"/>
    <x v="2214"/>
    <s v="None"/>
    <s v="PhD"/>
    <n v="45723"/>
    <n v="624"/>
    <n v="1741"/>
    <s v="Maybe"/>
    <n v="2"/>
    <s v="201-1000"/>
    <s v="Full-time"/>
    <s v="Yes"/>
  </r>
  <r>
    <s v="AIJOB02219"/>
    <x v="6"/>
    <x v="22"/>
    <s v="Media"/>
    <s v="London, United Kingdom"/>
    <s v="United Kingdom"/>
    <s v="Hybrid"/>
    <x v="3"/>
    <s v="5-8 yrs"/>
    <n v="206692"/>
    <x v="2215"/>
    <s v="Command R"/>
    <s v="Bachelor's"/>
    <n v="45465"/>
    <n v="1071"/>
    <n v="3128"/>
    <s v="Maybe"/>
    <n v="4"/>
    <s v="0-50"/>
    <s v="Part-time"/>
    <s v="No"/>
  </r>
  <r>
    <s v="AIJOB02220"/>
    <x v="2"/>
    <x v="24"/>
    <s v="Finance"/>
    <s v="San Francisco, United States"/>
    <s v="United States"/>
    <s v="Remote"/>
    <x v="3"/>
    <s v="5-8 yrs"/>
    <n v="143330"/>
    <x v="2216"/>
    <s v="None"/>
    <s v="Bootcamp/Self-taught"/>
    <n v="45690"/>
    <n v="1490"/>
    <n v="2634"/>
    <s v="No"/>
    <n v="4"/>
    <s v="51-200"/>
    <s v="Full-time"/>
    <s v="No"/>
  </r>
  <r>
    <s v="AIJOB02221"/>
    <x v="13"/>
    <x v="18"/>
    <s v="Media"/>
    <s v="Stockholm, Sweden"/>
    <s v="Sweden"/>
    <s v="Hybrid"/>
    <x v="1"/>
    <s v="8+ yrs"/>
    <n v="187099"/>
    <x v="2217"/>
    <s v="Falcon"/>
    <s v="Bachelor's"/>
    <n v="45642"/>
    <n v="2458"/>
    <n v="941"/>
    <s v="Maybe"/>
    <n v="6"/>
    <s v="201-1000"/>
    <s v="Full-time"/>
    <s v="No"/>
  </r>
  <r>
    <s v="AIJOB02222"/>
    <x v="2"/>
    <x v="14"/>
    <s v="Defense"/>
    <s v="Tel Aviv, Israel"/>
    <s v="Israel"/>
    <s v="Remote"/>
    <x v="3"/>
    <s v="5-8 yrs"/>
    <n v="132516"/>
    <x v="2218"/>
    <s v="None"/>
    <s v="Master's"/>
    <n v="45547"/>
    <n v="2069"/>
    <n v="3119"/>
    <s v="No"/>
    <n v="4"/>
    <s v="0-50"/>
    <s v="Full-time"/>
    <s v="Yes"/>
  </r>
  <r>
    <s v="AIJOB02223"/>
    <x v="16"/>
    <x v="26"/>
    <s v="Education"/>
    <s v="Boston, United States"/>
    <s v="United States"/>
    <s v="On-site"/>
    <x v="2"/>
    <s v="2-5 yrs"/>
    <n v="124735"/>
    <x v="2219"/>
    <s v="None"/>
    <s v="Bachelor's"/>
    <n v="45331"/>
    <n v="773"/>
    <n v="2133"/>
    <s v="No"/>
    <n v="2"/>
    <s v="1001-5000"/>
    <s v="Full-time"/>
    <s v="No"/>
  </r>
  <r>
    <s v="AIJOB02224"/>
    <x v="2"/>
    <x v="28"/>
    <s v="Technology"/>
    <s v="Tokyo, Japan"/>
    <s v="Japan"/>
    <s v="Remote"/>
    <x v="0"/>
    <s v="0-2 yrs"/>
    <n v="67716"/>
    <x v="2220"/>
    <s v="None"/>
    <s v="Master's"/>
    <n v="45581"/>
    <n v="2278"/>
    <n v="3785"/>
    <s v="No"/>
    <n v="0"/>
    <s v="5000+"/>
    <s v="Full-time"/>
    <s v="Yes"/>
  </r>
  <r>
    <s v="AIJOB02225"/>
    <x v="3"/>
    <x v="22"/>
    <s v="Finance"/>
    <s v="Chicago, United States"/>
    <s v="United States"/>
    <s v="Hybrid"/>
    <x v="1"/>
    <s v="8+ yrs"/>
    <n v="176622"/>
    <x v="2221"/>
    <s v="None"/>
    <s v="Master's"/>
    <n v="45495"/>
    <n v="688"/>
    <n v="380"/>
    <s v="No"/>
    <n v="6"/>
    <s v="201-1000"/>
    <s v="Full-time"/>
    <s v="No"/>
  </r>
  <r>
    <s v="AIJOB02226"/>
    <x v="11"/>
    <x v="17"/>
    <s v="Media"/>
    <s v="Tel Aviv, Israel"/>
    <s v="Israel"/>
    <s v="Hybrid"/>
    <x v="2"/>
    <s v="2-5 yrs"/>
    <n v="136161"/>
    <x v="2222"/>
    <s v="None"/>
    <s v="Master's"/>
    <n v="45605"/>
    <n v="1124"/>
    <n v="374"/>
    <s v="No"/>
    <n v="2"/>
    <s v="51-200"/>
    <s v="Part-time"/>
    <s v="No"/>
  </r>
  <r>
    <s v="AIJOB02227"/>
    <x v="14"/>
    <x v="20"/>
    <s v="Government"/>
    <s v="Tokyo, Japan"/>
    <s v="Japan"/>
    <s v="Remote"/>
    <x v="3"/>
    <s v="5-8 yrs"/>
    <n v="188329"/>
    <x v="2223"/>
    <s v="Claude"/>
    <s v="Master's"/>
    <n v="45575"/>
    <n v="2341"/>
    <n v="571"/>
    <s v="No"/>
    <n v="4"/>
    <s v="51-200"/>
    <s v="Full-time"/>
    <s v="Yes"/>
  </r>
  <r>
    <s v="AIJOB02228"/>
    <x v="19"/>
    <x v="24"/>
    <s v="Education"/>
    <s v="Los Angeles, United States"/>
    <s v="United States"/>
    <s v="Remote"/>
    <x v="0"/>
    <s v="0-2 yrs"/>
    <n v="62434"/>
    <x v="2224"/>
    <s v="Gemini"/>
    <s v="Bachelor's"/>
    <n v="45527"/>
    <n v="1125"/>
    <n v="1302"/>
    <s v="No"/>
    <n v="0"/>
    <s v="51-200"/>
    <s v="Full-time"/>
    <s v="No"/>
  </r>
  <r>
    <s v="AIJOB02229"/>
    <x v="15"/>
    <x v="10"/>
    <s v="Energy"/>
    <s v="Sydney, Australia"/>
    <s v="Australia"/>
    <s v="Hybrid"/>
    <x v="0"/>
    <s v="0-2 yrs"/>
    <n v="50000"/>
    <x v="2225"/>
    <s v="Falcon"/>
    <s v="Master's"/>
    <n v="45298"/>
    <n v="1477"/>
    <n v="597"/>
    <s v="No"/>
    <n v="0"/>
    <s v="201-1000"/>
    <s v="Part-time"/>
    <s v="Yes"/>
  </r>
  <r>
    <s v="AIJOB02230"/>
    <x v="18"/>
    <x v="25"/>
    <s v="Defense"/>
    <s v="San Francisco, United States"/>
    <s v="United States"/>
    <s v="On-site"/>
    <x v="2"/>
    <s v="2-5 yrs"/>
    <n v="129948"/>
    <x v="2226"/>
    <s v="Command R"/>
    <s v="Bachelor's"/>
    <n v="45586"/>
    <n v="1509"/>
    <n v="2760"/>
    <s v="No"/>
    <n v="2"/>
    <s v="1001-5000"/>
    <s v="Full-time"/>
    <s v="No"/>
  </r>
  <r>
    <s v="AIJOB02231"/>
    <x v="14"/>
    <x v="27"/>
    <s v="Defense"/>
    <s v="Paris, France"/>
    <s v="France"/>
    <s v="Hybrid"/>
    <x v="2"/>
    <s v="2-5 yrs"/>
    <n v="96444"/>
    <x v="2227"/>
    <s v="None"/>
    <s v="Bachelor's"/>
    <n v="45612"/>
    <n v="1280"/>
    <n v="1323"/>
    <s v="Yes"/>
    <n v="2"/>
    <s v="0-50"/>
    <s v="Full-time"/>
    <s v="Yes"/>
  </r>
  <r>
    <s v="AIJOB02232"/>
    <x v="0"/>
    <x v="21"/>
    <s v="Energy"/>
    <s v="Tel Aviv, Israel"/>
    <s v="Israel"/>
    <s v="Remote"/>
    <x v="0"/>
    <s v="0-2 yrs"/>
    <n v="79961"/>
    <x v="2228"/>
    <s v="Grok"/>
    <s v="PhD"/>
    <n v="45482"/>
    <n v="1481"/>
    <n v="2924"/>
    <s v="No"/>
    <n v="0"/>
    <s v="0-50"/>
    <s v="Full-time"/>
    <s v="Yes"/>
  </r>
  <r>
    <s v="AIJOB02233"/>
    <x v="3"/>
    <x v="24"/>
    <s v="Technology"/>
    <s v="Paris, France"/>
    <s v="France"/>
    <s v="On-site"/>
    <x v="2"/>
    <s v="2-5 yrs"/>
    <n v="70991"/>
    <x v="2229"/>
    <s v="None"/>
    <s v="Bootcamp/Self-taught"/>
    <n v="45309"/>
    <n v="1546"/>
    <n v="858"/>
    <s v="No"/>
    <n v="2"/>
    <s v="0-50"/>
    <s v="Full-time"/>
    <s v="Yes"/>
  </r>
  <r>
    <s v="AIJOB02234"/>
    <x v="10"/>
    <x v="0"/>
    <s v="Energy"/>
    <s v="Stockholm, Sweden"/>
    <s v="Sweden"/>
    <s v="On-site"/>
    <x v="3"/>
    <s v="5-8 yrs"/>
    <n v="174100"/>
    <x v="2230"/>
    <s v="Claude"/>
    <s v="Bachelor's"/>
    <n v="45557"/>
    <n v="1839"/>
    <n v="2670"/>
    <s v="Yes"/>
    <n v="4"/>
    <s v="0-50"/>
    <s v="Full-time"/>
    <s v="No"/>
  </r>
  <r>
    <s v="AIJOB02235"/>
    <x v="9"/>
    <x v="7"/>
    <s v="Energy"/>
    <s v="Seattle, United States"/>
    <s v="United States"/>
    <s v="Remote"/>
    <x v="1"/>
    <s v="8+ yrs"/>
    <n v="156397"/>
    <x v="2231"/>
    <s v="Grok"/>
    <s v="PhD"/>
    <n v="45611"/>
    <n v="1309"/>
    <n v="2223"/>
    <s v="Yes"/>
    <n v="6"/>
    <s v="1001-5000"/>
    <s v="Full-time"/>
    <s v="No"/>
  </r>
  <r>
    <s v="AIJOB02236"/>
    <x v="14"/>
    <x v="20"/>
    <s v="Automotive"/>
    <s v="Stockholm, Sweden"/>
    <s v="Sweden"/>
    <s v="Remote"/>
    <x v="2"/>
    <s v="2-5 yrs"/>
    <n v="124469"/>
    <x v="2232"/>
    <s v="BLOOM"/>
    <s v="PhD"/>
    <n v="45406"/>
    <n v="1582"/>
    <n v="1273"/>
    <s v="Yes"/>
    <n v="2"/>
    <s v="1001-5000"/>
    <s v="Contract"/>
    <s v="Yes"/>
  </r>
  <r>
    <s v="AIJOB02237"/>
    <x v="18"/>
    <x v="6"/>
    <s v="Energy"/>
    <s v="Boston, United States"/>
    <s v="United States"/>
    <s v="Remote"/>
    <x v="2"/>
    <s v="2-5 yrs"/>
    <n v="110282"/>
    <x v="2233"/>
    <s v="None"/>
    <s v="Bachelor's"/>
    <n v="45551"/>
    <n v="1033"/>
    <n v="2322"/>
    <s v="No"/>
    <n v="2"/>
    <s v="51-200"/>
    <s v="Full-time"/>
    <s v="Yes"/>
  </r>
  <r>
    <s v="AIJOB02238"/>
    <x v="3"/>
    <x v="13"/>
    <s v="Government"/>
    <s v="Tel Aviv, Israel"/>
    <s v="Israel"/>
    <s v="Hybrid"/>
    <x v="3"/>
    <s v="5-8 yrs"/>
    <n v="124243"/>
    <x v="2234"/>
    <s v="Command R"/>
    <s v="Master's"/>
    <n v="45575"/>
    <n v="1507"/>
    <n v="420"/>
    <s v="No"/>
    <n v="4"/>
    <s v="51-200"/>
    <s v="Full-time"/>
    <s v="Yes"/>
  </r>
  <r>
    <s v="AIJOB02239"/>
    <x v="13"/>
    <x v="26"/>
    <s v="Retail"/>
    <s v="Los Angeles, United States"/>
    <s v="United States"/>
    <s v="Remote"/>
    <x v="1"/>
    <s v="8+ yrs"/>
    <n v="185346"/>
    <x v="2235"/>
    <s v="None"/>
    <s v="Bachelor's"/>
    <n v="45544"/>
    <n v="582"/>
    <n v="2953"/>
    <s v="No"/>
    <n v="6"/>
    <s v="0-50"/>
    <s v="Part-time"/>
    <s v="No"/>
  </r>
  <r>
    <s v="AIJOB02240"/>
    <x v="12"/>
    <x v="9"/>
    <s v="Education"/>
    <s v="Austin, United States"/>
    <s v="United States"/>
    <s v="Hybrid"/>
    <x v="3"/>
    <s v="5-8 yrs"/>
    <n v="168530"/>
    <x v="2236"/>
    <s v="None"/>
    <s v="Master's"/>
    <n v="45305"/>
    <n v="616"/>
    <n v="3993"/>
    <s v="No"/>
    <n v="4"/>
    <s v="51-200"/>
    <s v="Full-time"/>
    <s v="No"/>
  </r>
  <r>
    <s v="AIJOB02241"/>
    <x v="9"/>
    <x v="19"/>
    <s v="Finance"/>
    <s v="Los Angeles, United States"/>
    <s v="United States"/>
    <s v="Remote"/>
    <x v="0"/>
    <s v="0-2 yrs"/>
    <n v="71334"/>
    <x v="2237"/>
    <s v="Gemini"/>
    <s v="Master's"/>
    <n v="45567"/>
    <n v="1407"/>
    <n v="1848"/>
    <s v="Maybe"/>
    <n v="0"/>
    <s v="201-1000"/>
    <s v="Full-time"/>
    <s v="Yes"/>
  </r>
  <r>
    <s v="AIJOB02242"/>
    <x v="2"/>
    <x v="15"/>
    <s v="Government"/>
    <s v="Paris, France"/>
    <s v="France"/>
    <s v="Remote"/>
    <x v="1"/>
    <s v="8+ yrs"/>
    <n v="221038"/>
    <x v="2238"/>
    <s v="Grok"/>
    <s v="PhD"/>
    <n v="45742"/>
    <n v="1196"/>
    <n v="1585"/>
    <s v="No"/>
    <n v="6"/>
    <s v="1001-5000"/>
    <s v="Full-time"/>
    <s v="Yes"/>
  </r>
  <r>
    <s v="AIJOB02243"/>
    <x v="13"/>
    <x v="15"/>
    <s v="Retail"/>
    <s v="Toronto, Canada"/>
    <s v="Canada"/>
    <s v="On-site"/>
    <x v="1"/>
    <s v="8+ yrs"/>
    <n v="271151"/>
    <x v="2239"/>
    <s v="Grok"/>
    <s v="Master's"/>
    <n v="45674"/>
    <n v="1614"/>
    <n v="55"/>
    <s v="Maybe"/>
    <n v="6"/>
    <s v="5000+"/>
    <s v="Full-time"/>
    <s v="No"/>
  </r>
  <r>
    <s v="AIJOB02244"/>
    <x v="19"/>
    <x v="18"/>
    <s v="Automotive"/>
    <s v="Amsterdam, Netherlands"/>
    <s v="Netherlands"/>
    <s v="Remote"/>
    <x v="3"/>
    <s v="5-8 yrs"/>
    <n v="107765"/>
    <x v="2240"/>
    <s v="None"/>
    <s v="Bachelor's"/>
    <n v="45459"/>
    <n v="1059"/>
    <n v="147"/>
    <s v="Maybe"/>
    <n v="4"/>
    <s v="201-1000"/>
    <s v="Full-time"/>
    <s v="No"/>
  </r>
  <r>
    <s v="AIJOB02245"/>
    <x v="16"/>
    <x v="17"/>
    <s v="Finance"/>
    <s v="Boston, United States"/>
    <s v="United States"/>
    <s v="On-site"/>
    <x v="0"/>
    <s v="0-2 yrs"/>
    <n v="90376"/>
    <x v="2241"/>
    <s v="Gemini"/>
    <s v="PhD"/>
    <n v="45632"/>
    <n v="2341"/>
    <n v="3282"/>
    <s v="No"/>
    <n v="0"/>
    <s v="5000+"/>
    <s v="Full-time"/>
    <s v="Yes"/>
  </r>
  <r>
    <s v="AIJOB02246"/>
    <x v="13"/>
    <x v="17"/>
    <s v="Media"/>
    <s v="Paris, France"/>
    <s v="France"/>
    <s v="On-site"/>
    <x v="0"/>
    <s v="0-2 yrs"/>
    <n v="71314"/>
    <x v="2242"/>
    <s v="Phi"/>
    <s v="Master's"/>
    <n v="45734"/>
    <n v="378"/>
    <n v="2348"/>
    <s v="Yes"/>
    <n v="0"/>
    <s v="201-1000"/>
    <s v="Contract"/>
    <s v="Yes"/>
  </r>
  <r>
    <s v="AIJOB02247"/>
    <x v="19"/>
    <x v="22"/>
    <s v="Media"/>
    <s v="Sydney, Australia"/>
    <s v="Australia"/>
    <s v="Hybrid"/>
    <x v="3"/>
    <s v="5-8 yrs"/>
    <n v="125732"/>
    <x v="2243"/>
    <s v="GPT-4"/>
    <s v="Bachelor's"/>
    <n v="45294"/>
    <n v="1769"/>
    <n v="1041"/>
    <s v="No"/>
    <n v="4"/>
    <s v="1001-5000"/>
    <s v="Full-time"/>
    <s v="Yes"/>
  </r>
  <r>
    <s v="AIJOB02248"/>
    <x v="1"/>
    <x v="16"/>
    <s v="Automotive"/>
    <s v="Boston, United States"/>
    <s v="United States"/>
    <s v="Remote"/>
    <x v="1"/>
    <s v="8+ yrs"/>
    <n v="152108"/>
    <x v="2244"/>
    <s v="Gemini"/>
    <s v="Master's"/>
    <n v="45500"/>
    <n v="851"/>
    <n v="1305"/>
    <s v="No"/>
    <n v="6"/>
    <s v="0-50"/>
    <s v="Full-time"/>
    <s v="Yes"/>
  </r>
  <r>
    <s v="AIJOB02249"/>
    <x v="17"/>
    <x v="11"/>
    <s v="Media"/>
    <s v="Tokyo, Japan"/>
    <s v="Japan"/>
    <s v="Remote"/>
    <x v="1"/>
    <s v="8+ yrs"/>
    <n v="193191"/>
    <x v="2245"/>
    <s v="None"/>
    <s v="Master's"/>
    <n v="45332"/>
    <n v="1827"/>
    <n v="255"/>
    <s v="No"/>
    <n v="6"/>
    <s v="0-50"/>
    <s v="Full-time"/>
    <s v="Yes"/>
  </r>
  <r>
    <s v="AIJOB02250"/>
    <x v="13"/>
    <x v="3"/>
    <s v="Automotive"/>
    <s v="Paris, France"/>
    <s v="France"/>
    <s v="Remote"/>
    <x v="3"/>
    <s v="5-8 yrs"/>
    <n v="174884"/>
    <x v="2246"/>
    <s v="BLOOM"/>
    <s v="Master's"/>
    <n v="45303"/>
    <n v="2283"/>
    <n v="3519"/>
    <s v="No"/>
    <n v="4"/>
    <s v="1001-5000"/>
    <s v="Contract"/>
    <s v="No"/>
  </r>
  <r>
    <s v="AIJOB02251"/>
    <x v="0"/>
    <x v="28"/>
    <s v="Automotive"/>
    <s v="Paris, France"/>
    <s v="France"/>
    <s v="Hybrid"/>
    <x v="0"/>
    <s v="0-2 yrs"/>
    <n v="68392"/>
    <x v="2247"/>
    <s v="Gemini"/>
    <s v="Bootcamp/Self-taught"/>
    <n v="45372"/>
    <n v="708"/>
    <n v="1702"/>
    <s v="No"/>
    <n v="0"/>
    <s v="201-1000"/>
    <s v="Full-time"/>
    <s v="No"/>
  </r>
  <r>
    <s v="AIJOB02252"/>
    <x v="5"/>
    <x v="7"/>
    <s v="Retail"/>
    <s v="Dublin, Ireland"/>
    <s v="Ireland"/>
    <s v="Hybrid"/>
    <x v="3"/>
    <s v="5-8 yrs"/>
    <n v="190801"/>
    <x v="2248"/>
    <s v="None"/>
    <s v="Bachelor's"/>
    <n v="45680"/>
    <n v="575"/>
    <n v="3560"/>
    <s v="Yes"/>
    <n v="4"/>
    <s v="51-200"/>
    <s v="Contract"/>
    <s v="No"/>
  </r>
  <r>
    <s v="AIJOB02253"/>
    <x v="2"/>
    <x v="2"/>
    <s v="Finance"/>
    <s v="Tel Aviv, Israel"/>
    <s v="Israel"/>
    <s v="On-site"/>
    <x v="3"/>
    <s v="5-8 yrs"/>
    <n v="110818"/>
    <x v="2249"/>
    <s v="None"/>
    <s v="PhD"/>
    <n v="45596"/>
    <n v="1390"/>
    <n v="3759"/>
    <s v="No"/>
    <n v="4"/>
    <s v="5000+"/>
    <s v="Contract"/>
    <s v="No"/>
  </r>
  <r>
    <s v="AIJOB02254"/>
    <x v="5"/>
    <x v="27"/>
    <s v="Automotive"/>
    <s v="San Francisco, United States"/>
    <s v="United States"/>
    <s v="Hybrid"/>
    <x v="0"/>
    <s v="0-2 yrs"/>
    <n v="69847"/>
    <x v="2250"/>
    <s v="Grok"/>
    <s v="Master's"/>
    <n v="45450"/>
    <n v="2360"/>
    <n v="2034"/>
    <s v="No"/>
    <n v="0"/>
    <s v="1001-5000"/>
    <s v="Contract"/>
    <s v="No"/>
  </r>
  <r>
    <s v="AIJOB02255"/>
    <x v="8"/>
    <x v="28"/>
    <s v="Finance"/>
    <s v="Amsterdam, Netherlands"/>
    <s v="Netherlands"/>
    <s v="On-site"/>
    <x v="1"/>
    <s v="8+ yrs"/>
    <n v="154913"/>
    <x v="2251"/>
    <s v="Gemini"/>
    <s v="Master's"/>
    <n v="45532"/>
    <n v="2161"/>
    <n v="512"/>
    <s v="No"/>
    <n v="6"/>
    <s v="5000+"/>
    <s v="Full-time"/>
    <s v="Yes"/>
  </r>
  <r>
    <s v="AIJOB02256"/>
    <x v="19"/>
    <x v="26"/>
    <s v="Government"/>
    <s v="Los Angeles, United States"/>
    <s v="United States"/>
    <s v="Remote"/>
    <x v="1"/>
    <s v="8+ yrs"/>
    <n v="213090"/>
    <x v="2252"/>
    <s v="Grok"/>
    <s v="Bachelor's"/>
    <n v="45496"/>
    <n v="1336"/>
    <n v="526"/>
    <s v="No"/>
    <n v="6"/>
    <s v="5000+"/>
    <s v="Full-time"/>
    <s v="Yes"/>
  </r>
  <r>
    <s v="AIJOB02257"/>
    <x v="12"/>
    <x v="16"/>
    <s v="Media"/>
    <s v="San Francisco, United States"/>
    <s v="United States"/>
    <s v="Hybrid"/>
    <x v="1"/>
    <s v="8+ yrs"/>
    <n v="231927"/>
    <x v="2253"/>
    <s v="Falcon"/>
    <s v="PhD"/>
    <n v="45473"/>
    <n v="1170"/>
    <n v="3272"/>
    <s v="Maybe"/>
    <n v="6"/>
    <s v="5000+"/>
    <s v="Full-time"/>
    <s v="No"/>
  </r>
  <r>
    <s v="AIJOB02258"/>
    <x v="19"/>
    <x v="19"/>
    <s v="Education"/>
    <s v="New York, United States"/>
    <s v="United States"/>
    <s v="Hybrid"/>
    <x v="1"/>
    <s v="8+ yrs"/>
    <n v="184852"/>
    <x v="2254"/>
    <s v="Falcon"/>
    <s v="PhD"/>
    <n v="45730"/>
    <n v="2217"/>
    <n v="3879"/>
    <s v="Maybe"/>
    <n v="6"/>
    <s v="51-200"/>
    <s v="Part-time"/>
    <s v="No"/>
  </r>
  <r>
    <s v="AIJOB02259"/>
    <x v="13"/>
    <x v="23"/>
    <s v="Defense"/>
    <s v="Boston, United States"/>
    <s v="United States"/>
    <s v="Remote"/>
    <x v="0"/>
    <s v="0-2 yrs"/>
    <n v="50000"/>
    <x v="2255"/>
    <s v="None"/>
    <s v="PhD"/>
    <n v="45436"/>
    <n v="1613"/>
    <n v="1887"/>
    <s v="No"/>
    <n v="0"/>
    <s v="51-200"/>
    <s v="Full-time"/>
    <s v="No"/>
  </r>
  <r>
    <s v="AIJOB02260"/>
    <x v="9"/>
    <x v="4"/>
    <s v="Media"/>
    <s v="Amsterdam, Netherlands"/>
    <s v="Netherlands"/>
    <s v="On-site"/>
    <x v="1"/>
    <s v="8+ yrs"/>
    <n v="207162"/>
    <x v="2256"/>
    <s v="None"/>
    <s v="Bachelor's"/>
    <n v="45428"/>
    <n v="1685"/>
    <n v="2835"/>
    <s v="No"/>
    <n v="6"/>
    <s v="51-200"/>
    <s v="Full-time"/>
    <s v="No"/>
  </r>
  <r>
    <s v="AIJOB02261"/>
    <x v="18"/>
    <x v="27"/>
    <s v="Energy"/>
    <s v="Zurich, Switzerland"/>
    <s v="Switzerland"/>
    <s v="On-site"/>
    <x v="0"/>
    <s v="0-2 yrs"/>
    <n v="75502"/>
    <x v="2257"/>
    <s v="Command R"/>
    <s v="Master's"/>
    <n v="45402"/>
    <n v="885"/>
    <n v="1954"/>
    <s v="No"/>
    <n v="0"/>
    <s v="201-1000"/>
    <s v="Full-time"/>
    <s v="No"/>
  </r>
  <r>
    <s v="AIJOB02262"/>
    <x v="8"/>
    <x v="15"/>
    <s v="Retail"/>
    <s v="Stockholm, Sweden"/>
    <s v="Sweden"/>
    <s v="Hybrid"/>
    <x v="0"/>
    <s v="0-2 yrs"/>
    <n v="75094"/>
    <x v="2258"/>
    <s v="None"/>
    <s v="Master's"/>
    <n v="45431"/>
    <n v="2035"/>
    <n v="3331"/>
    <s v="No"/>
    <n v="0"/>
    <s v="0-50"/>
    <s v="Contract"/>
    <s v="Yes"/>
  </r>
  <r>
    <s v="AIJOB02263"/>
    <x v="14"/>
    <x v="25"/>
    <s v="Media"/>
    <s v="Sydney, Australia"/>
    <s v="Australia"/>
    <s v="Remote"/>
    <x v="1"/>
    <s v="8+ yrs"/>
    <n v="244488"/>
    <x v="2259"/>
    <s v="Command R"/>
    <s v="PhD"/>
    <n v="45380"/>
    <n v="2070"/>
    <n v="1463"/>
    <s v="Yes"/>
    <n v="6"/>
    <s v="1001-5000"/>
    <s v="Contract"/>
    <s v="No"/>
  </r>
  <r>
    <s v="AIJOB02264"/>
    <x v="10"/>
    <x v="2"/>
    <s v="Government"/>
    <s v="Berlin, Germany"/>
    <s v="Germany"/>
    <s v="Remote"/>
    <x v="3"/>
    <s v="5-8 yrs"/>
    <n v="121081"/>
    <x v="2260"/>
    <s v="BLOOM"/>
    <s v="Bachelor's"/>
    <n v="45346"/>
    <n v="2228"/>
    <n v="3298"/>
    <s v="Yes"/>
    <n v="4"/>
    <s v="5000+"/>
    <s v="Full-time"/>
    <s v="Yes"/>
  </r>
  <r>
    <s v="AIJOB02265"/>
    <x v="11"/>
    <x v="15"/>
    <s v="Energy"/>
    <s v="Boston, United States"/>
    <s v="United States"/>
    <s v="Remote"/>
    <x v="0"/>
    <s v="0-2 yrs"/>
    <n v="78570"/>
    <x v="2261"/>
    <s v="GPT-4"/>
    <s v="Bachelor's"/>
    <n v="45535"/>
    <n v="1183"/>
    <n v="3099"/>
    <s v="No"/>
    <n v="0"/>
    <s v="201-1000"/>
    <s v="Contract"/>
    <s v="No"/>
  </r>
  <r>
    <s v="AIJOB02266"/>
    <x v="3"/>
    <x v="7"/>
    <s v="Technology"/>
    <s v="Tel Aviv, Israel"/>
    <s v="Israel"/>
    <s v="Remote"/>
    <x v="2"/>
    <s v="2-5 yrs"/>
    <n v="133611"/>
    <x v="2262"/>
    <s v="Claude"/>
    <s v="Bachelor's"/>
    <n v="45383"/>
    <n v="1853"/>
    <n v="2765"/>
    <s v="No"/>
    <n v="2"/>
    <s v="201-1000"/>
    <s v="Contract"/>
    <s v="No"/>
  </r>
  <r>
    <s v="AIJOB02267"/>
    <x v="0"/>
    <x v="25"/>
    <s v="Finance"/>
    <s v="Zurich, Switzerland"/>
    <s v="Switzerland"/>
    <s v="On-site"/>
    <x v="2"/>
    <s v="2-5 yrs"/>
    <n v="74783"/>
    <x v="2263"/>
    <s v="Command R"/>
    <s v="Bachelor's"/>
    <n v="45507"/>
    <n v="1763"/>
    <n v="2427"/>
    <s v="No"/>
    <n v="2"/>
    <s v="0-50"/>
    <s v="Full-time"/>
    <s v="Yes"/>
  </r>
  <r>
    <s v="AIJOB02268"/>
    <x v="9"/>
    <x v="3"/>
    <s v="Media"/>
    <s v="Zurich, Switzerland"/>
    <s v="Switzerland"/>
    <s v="On-site"/>
    <x v="2"/>
    <s v="2-5 yrs"/>
    <n v="116329"/>
    <x v="2264"/>
    <s v="None"/>
    <s v="Master's"/>
    <n v="45675"/>
    <n v="1339"/>
    <n v="641"/>
    <s v="Yes"/>
    <n v="2"/>
    <s v="201-1000"/>
    <s v="Contract"/>
    <s v="No"/>
  </r>
  <r>
    <s v="AIJOB02269"/>
    <x v="9"/>
    <x v="9"/>
    <s v="Automotive"/>
    <s v="Boston, United States"/>
    <s v="United States"/>
    <s v="On-site"/>
    <x v="1"/>
    <s v="8+ yrs"/>
    <n v="181849"/>
    <x v="2265"/>
    <s v="Command R"/>
    <s v="Master's"/>
    <n v="45638"/>
    <n v="1629"/>
    <n v="229"/>
    <s v="No"/>
    <n v="6"/>
    <s v="0-50"/>
    <s v="Contract"/>
    <s v="No"/>
  </r>
  <r>
    <s v="AIJOB02270"/>
    <x v="14"/>
    <x v="28"/>
    <s v="Retail"/>
    <s v="Berlin, Germany"/>
    <s v="Germany"/>
    <s v="Hybrid"/>
    <x v="1"/>
    <s v="8+ yrs"/>
    <n v="197065"/>
    <x v="2266"/>
    <s v="Falcon"/>
    <s v="Bachelor's"/>
    <n v="45332"/>
    <n v="2116"/>
    <n v="2538"/>
    <s v="No"/>
    <n v="6"/>
    <s v="201-1000"/>
    <s v="Contract"/>
    <s v="No"/>
  </r>
  <r>
    <s v="AIJOB02271"/>
    <x v="5"/>
    <x v="2"/>
    <s v="Automotive"/>
    <s v="Bangalore, India"/>
    <s v="India"/>
    <s v="Remote"/>
    <x v="2"/>
    <s v="2-5 yrs"/>
    <n v="116883"/>
    <x v="2267"/>
    <s v="Phi"/>
    <s v="PhD"/>
    <n v="45577"/>
    <n v="624"/>
    <n v="3292"/>
    <s v="Yes"/>
    <n v="2"/>
    <s v="5000+"/>
    <s v="Part-time"/>
    <s v="Yes"/>
  </r>
  <r>
    <s v="AIJOB02272"/>
    <x v="10"/>
    <x v="25"/>
    <s v="Media"/>
    <s v="Tel Aviv, Israel"/>
    <s v="Israel"/>
    <s v="Remote"/>
    <x v="1"/>
    <s v="8+ yrs"/>
    <n v="182459"/>
    <x v="2268"/>
    <s v="Gemini"/>
    <s v="PhD"/>
    <n v="45695"/>
    <n v="1860"/>
    <n v="1294"/>
    <s v="Yes"/>
    <n v="6"/>
    <s v="201-1000"/>
    <s v="Full-time"/>
    <s v="Yes"/>
  </r>
  <r>
    <s v="AIJOB02273"/>
    <x v="7"/>
    <x v="2"/>
    <s v="Finance"/>
    <s v="Dublin, Ireland"/>
    <s v="Ireland"/>
    <s v="Remote"/>
    <x v="0"/>
    <s v="0-2 yrs"/>
    <n v="61486"/>
    <x v="2269"/>
    <s v="Claude"/>
    <s v="Bachelor's"/>
    <n v="45301"/>
    <n v="1446"/>
    <n v="1031"/>
    <s v="No"/>
    <n v="0"/>
    <s v="51-200"/>
    <s v="Full-time"/>
    <s v="No"/>
  </r>
  <r>
    <s v="AIJOB02274"/>
    <x v="15"/>
    <x v="2"/>
    <s v="Retail"/>
    <s v="Boston, United States"/>
    <s v="United States"/>
    <s v="Remote"/>
    <x v="1"/>
    <s v="8+ yrs"/>
    <n v="201229"/>
    <x v="2270"/>
    <s v="Claude"/>
    <s v="Master's"/>
    <n v="45343"/>
    <n v="558"/>
    <n v="2720"/>
    <s v="Yes"/>
    <n v="6"/>
    <s v="0-50"/>
    <s v="Contract"/>
    <s v="No"/>
  </r>
  <r>
    <s v="AIJOB02275"/>
    <x v="16"/>
    <x v="12"/>
    <s v="Finance"/>
    <s v="Bangalore, India"/>
    <s v="India"/>
    <s v="On-site"/>
    <x v="1"/>
    <s v="8+ yrs"/>
    <n v="160859"/>
    <x v="2271"/>
    <s v="GPT-4"/>
    <s v="Bootcamp/Self-taught"/>
    <n v="45740"/>
    <n v="2188"/>
    <n v="1137"/>
    <s v="No"/>
    <n v="6"/>
    <s v="0-50"/>
    <s v="Contract"/>
    <s v="No"/>
  </r>
  <r>
    <s v="AIJOB02276"/>
    <x v="19"/>
    <x v="9"/>
    <s v="Defense"/>
    <s v="Tel Aviv, Israel"/>
    <s v="Israel"/>
    <s v="On-site"/>
    <x v="0"/>
    <s v="0-2 yrs"/>
    <n v="56318"/>
    <x v="2272"/>
    <s v="Llama"/>
    <s v="Master's"/>
    <n v="45295"/>
    <n v="481"/>
    <n v="351"/>
    <s v="No"/>
    <n v="0"/>
    <s v="0-50"/>
    <s v="Full-time"/>
    <s v="No"/>
  </r>
  <r>
    <s v="AIJOB02277"/>
    <x v="5"/>
    <x v="0"/>
    <s v="Finance"/>
    <s v="Los Angeles, United States"/>
    <s v="United States"/>
    <s v="Remote"/>
    <x v="2"/>
    <s v="2-5 yrs"/>
    <n v="123451"/>
    <x v="2273"/>
    <s v="GPT-4"/>
    <s v="Bachelor's"/>
    <n v="45715"/>
    <n v="1861"/>
    <n v="1380"/>
    <s v="No"/>
    <n v="2"/>
    <s v="5000+"/>
    <s v="Full-time"/>
    <s v="Yes"/>
  </r>
  <r>
    <s v="AIJOB02278"/>
    <x v="15"/>
    <x v="14"/>
    <s v="Education"/>
    <s v="Seattle, United States"/>
    <s v="United States"/>
    <s v="On-site"/>
    <x v="3"/>
    <s v="5-8 yrs"/>
    <n v="118982"/>
    <x v="2274"/>
    <s v="None"/>
    <s v="Bachelor's"/>
    <n v="45430"/>
    <n v="426"/>
    <n v="3230"/>
    <s v="Yes"/>
    <n v="4"/>
    <s v="201-1000"/>
    <s v="Full-time"/>
    <s v="Yes"/>
  </r>
  <r>
    <s v="AIJOB02279"/>
    <x v="18"/>
    <x v="24"/>
    <s v="Media"/>
    <s v="Seattle, United States"/>
    <s v="United States"/>
    <s v="Hybrid"/>
    <x v="2"/>
    <s v="2-5 yrs"/>
    <n v="123192"/>
    <x v="2275"/>
    <s v="Gemini"/>
    <s v="Master's"/>
    <n v="45584"/>
    <n v="1080"/>
    <n v="3282"/>
    <s v="Maybe"/>
    <n v="2"/>
    <s v="201-1000"/>
    <s v="Contract"/>
    <s v="No"/>
  </r>
  <r>
    <s v="AIJOB02280"/>
    <x v="8"/>
    <x v="24"/>
    <s v="Government"/>
    <s v="Tokyo, Japan"/>
    <s v="Japan"/>
    <s v="Remote"/>
    <x v="1"/>
    <s v="8+ yrs"/>
    <n v="216653"/>
    <x v="2276"/>
    <s v="Falcon"/>
    <s v="Bachelor's"/>
    <n v="45317"/>
    <n v="1419"/>
    <n v="702"/>
    <s v="Yes"/>
    <n v="6"/>
    <s v="1001-5000"/>
    <s v="Contract"/>
    <s v="No"/>
  </r>
  <r>
    <s v="AIJOB02281"/>
    <x v="11"/>
    <x v="11"/>
    <s v="Finance"/>
    <s v="Dublin, Ireland"/>
    <s v="Ireland"/>
    <s v="Remote"/>
    <x v="3"/>
    <s v="5-8 yrs"/>
    <n v="103403"/>
    <x v="2277"/>
    <s v="Command R"/>
    <s v="Master's"/>
    <n v="45348"/>
    <n v="697"/>
    <n v="1577"/>
    <s v="Yes"/>
    <n v="4"/>
    <s v="5000+"/>
    <s v="Full-time"/>
    <s v="Yes"/>
  </r>
  <r>
    <s v="AIJOB02282"/>
    <x v="8"/>
    <x v="21"/>
    <s v="Automotive"/>
    <s v="Boston, United States"/>
    <s v="United States"/>
    <s v="On-site"/>
    <x v="3"/>
    <s v="5-8 yrs"/>
    <n v="131705"/>
    <x v="2278"/>
    <s v="None"/>
    <s v="PhD"/>
    <n v="45313"/>
    <n v="674"/>
    <n v="3705"/>
    <s v="No"/>
    <n v="4"/>
    <s v="201-1000"/>
    <s v="Contract"/>
    <s v="No"/>
  </r>
  <r>
    <s v="AIJOB02283"/>
    <x v="2"/>
    <x v="16"/>
    <s v="Technology"/>
    <s v="Chicago, United States"/>
    <s v="United States"/>
    <s v="Hybrid"/>
    <x v="2"/>
    <s v="2-5 yrs"/>
    <n v="133643"/>
    <x v="770"/>
    <s v="None"/>
    <s v="Bachelor's"/>
    <n v="45614"/>
    <n v="807"/>
    <n v="941"/>
    <s v="No"/>
    <n v="2"/>
    <s v="5000+"/>
    <s v="Full-time"/>
    <s v="No"/>
  </r>
  <r>
    <s v="AIJOB02284"/>
    <x v="15"/>
    <x v="3"/>
    <s v="Energy"/>
    <s v="Dublin, Ireland"/>
    <s v="Ireland"/>
    <s v="Remote"/>
    <x v="1"/>
    <s v="8+ yrs"/>
    <n v="164678"/>
    <x v="2279"/>
    <s v="None"/>
    <s v="Bachelor's"/>
    <n v="45608"/>
    <n v="913"/>
    <n v="3590"/>
    <s v="Maybe"/>
    <n v="6"/>
    <s v="0-50"/>
    <s v="Full-time"/>
    <s v="Yes"/>
  </r>
  <r>
    <s v="AIJOB02285"/>
    <x v="1"/>
    <x v="3"/>
    <s v="Retail"/>
    <s v="Bangalore, India"/>
    <s v="India"/>
    <s v="Hybrid"/>
    <x v="0"/>
    <s v="0-2 yrs"/>
    <n v="64148"/>
    <x v="2280"/>
    <s v="Gemini"/>
    <s v="Master's"/>
    <n v="45314"/>
    <n v="2214"/>
    <n v="1613"/>
    <s v="No"/>
    <n v="0"/>
    <s v="0-50"/>
    <s v="Full-time"/>
    <s v="Yes"/>
  </r>
  <r>
    <s v="AIJOB02286"/>
    <x v="0"/>
    <x v="11"/>
    <s v="Energy"/>
    <s v="Seattle, United States"/>
    <s v="United States"/>
    <s v="Remote"/>
    <x v="1"/>
    <s v="8+ yrs"/>
    <n v="216634"/>
    <x v="2281"/>
    <s v="None"/>
    <s v="PhD"/>
    <n v="45306"/>
    <n v="322"/>
    <n v="3692"/>
    <s v="No"/>
    <n v="6"/>
    <s v="1001-5000"/>
    <s v="Full-time"/>
    <s v="Yes"/>
  </r>
  <r>
    <s v="AIJOB02287"/>
    <x v="5"/>
    <x v="25"/>
    <s v="Healthcare"/>
    <s v="Boston, United States"/>
    <s v="United States"/>
    <s v="Hybrid"/>
    <x v="3"/>
    <s v="5-8 yrs"/>
    <n v="171151"/>
    <x v="2282"/>
    <s v="Claude"/>
    <s v="PhD"/>
    <n v="45344"/>
    <n v="1024"/>
    <n v="2276"/>
    <s v="No"/>
    <n v="4"/>
    <s v="201-1000"/>
    <s v="Full-time"/>
    <s v="Yes"/>
  </r>
  <r>
    <s v="AIJOB02288"/>
    <x v="9"/>
    <x v="26"/>
    <s v="Media"/>
    <s v="Zurich, Switzerland"/>
    <s v="Switzerland"/>
    <s v="Hybrid"/>
    <x v="0"/>
    <s v="0-2 yrs"/>
    <n v="66830"/>
    <x v="2283"/>
    <s v="Llama"/>
    <s v="Bootcamp/Self-taught"/>
    <n v="45348"/>
    <n v="2199"/>
    <n v="3743"/>
    <s v="Maybe"/>
    <n v="0"/>
    <s v="0-50"/>
    <s v="Contract"/>
    <s v="No"/>
  </r>
  <r>
    <s v="AIJOB02289"/>
    <x v="0"/>
    <x v="4"/>
    <s v="Defense"/>
    <s v="New York, United States"/>
    <s v="United States"/>
    <s v="Remote"/>
    <x v="2"/>
    <s v="2-5 yrs"/>
    <n v="98169"/>
    <x v="2284"/>
    <s v="None"/>
    <s v="PhD"/>
    <n v="45591"/>
    <n v="2484"/>
    <n v="3534"/>
    <s v="No"/>
    <n v="2"/>
    <s v="0-50"/>
    <s v="Full-time"/>
    <s v="No"/>
  </r>
  <r>
    <s v="AIJOB02290"/>
    <x v="18"/>
    <x v="14"/>
    <s v="Technology"/>
    <s v="Berlin, Germany"/>
    <s v="Germany"/>
    <s v="Remote"/>
    <x v="1"/>
    <s v="8+ yrs"/>
    <n v="251205"/>
    <x v="2285"/>
    <s v="Command R"/>
    <s v="PhD"/>
    <n v="45402"/>
    <n v="1952"/>
    <n v="3593"/>
    <s v="No"/>
    <n v="6"/>
    <s v="0-50"/>
    <s v="Contract"/>
    <s v="Yes"/>
  </r>
  <r>
    <s v="AIJOB02291"/>
    <x v="7"/>
    <x v="8"/>
    <s v="Media"/>
    <s v="New York, United States"/>
    <s v="United States"/>
    <s v="Remote"/>
    <x v="1"/>
    <s v="8+ yrs"/>
    <n v="262600"/>
    <x v="2286"/>
    <s v="Command R"/>
    <s v="PhD"/>
    <n v="45482"/>
    <n v="2084"/>
    <n v="2898"/>
    <s v="No"/>
    <n v="6"/>
    <s v="5000+"/>
    <s v="Full-time"/>
    <s v="No"/>
  </r>
  <r>
    <s v="AIJOB02292"/>
    <x v="16"/>
    <x v="26"/>
    <s v="Healthcare"/>
    <s v="Singapore"/>
    <s v="Singapore"/>
    <s v="Remote"/>
    <x v="1"/>
    <s v="8+ yrs"/>
    <n v="235238"/>
    <x v="2287"/>
    <s v="Command R"/>
    <s v="PhD"/>
    <n v="45319"/>
    <n v="906"/>
    <n v="738"/>
    <s v="No"/>
    <n v="6"/>
    <s v="201-1000"/>
    <s v="Full-time"/>
    <s v="No"/>
  </r>
  <r>
    <s v="AIJOB02293"/>
    <x v="13"/>
    <x v="14"/>
    <s v="Energy"/>
    <s v="Tokyo, Japan"/>
    <s v="Japan"/>
    <s v="Remote"/>
    <x v="1"/>
    <s v="8+ yrs"/>
    <n v="203071"/>
    <x v="2288"/>
    <s v="Claude"/>
    <s v="Bootcamp/Self-taught"/>
    <n v="45605"/>
    <n v="1477"/>
    <n v="3663"/>
    <s v="Yes"/>
    <n v="6"/>
    <s v="0-50"/>
    <s v="Part-time"/>
    <s v="No"/>
  </r>
  <r>
    <s v="AIJOB02294"/>
    <x v="19"/>
    <x v="9"/>
    <s v="Technology"/>
    <s v="Austin, United States"/>
    <s v="United States"/>
    <s v="Hybrid"/>
    <x v="1"/>
    <s v="8+ yrs"/>
    <n v="170902"/>
    <x v="2289"/>
    <s v="None"/>
    <s v="PhD"/>
    <n v="45555"/>
    <n v="1433"/>
    <n v="1773"/>
    <s v="Yes"/>
    <n v="6"/>
    <s v="201-1000"/>
    <s v="Contract"/>
    <s v="No"/>
  </r>
  <r>
    <s v="AIJOB02295"/>
    <x v="13"/>
    <x v="18"/>
    <s v="Defense"/>
    <s v="New York, United States"/>
    <s v="United States"/>
    <s v="Remote"/>
    <x v="1"/>
    <s v="8+ yrs"/>
    <n v="170104"/>
    <x v="2290"/>
    <s v="Mistral"/>
    <s v="Bootcamp/Self-taught"/>
    <n v="45581"/>
    <n v="1589"/>
    <n v="3072"/>
    <s v="No"/>
    <n v="6"/>
    <s v="51-200"/>
    <s v="Full-time"/>
    <s v="No"/>
  </r>
  <r>
    <s v="AIJOB02296"/>
    <x v="3"/>
    <x v="6"/>
    <s v="Technology"/>
    <s v="Dublin, Ireland"/>
    <s v="Ireland"/>
    <s v="Hybrid"/>
    <x v="1"/>
    <s v="8+ yrs"/>
    <n v="218810"/>
    <x v="2291"/>
    <s v="None"/>
    <s v="Master's"/>
    <n v="45373"/>
    <n v="504"/>
    <n v="3684"/>
    <s v="Maybe"/>
    <n v="6"/>
    <s v="5000+"/>
    <s v="Full-time"/>
    <s v="No"/>
  </r>
  <r>
    <s v="AIJOB02297"/>
    <x v="8"/>
    <x v="5"/>
    <s v="Healthcare"/>
    <s v="Sydney, Australia"/>
    <s v="Australia"/>
    <s v="Hybrid"/>
    <x v="3"/>
    <s v="5-8 yrs"/>
    <n v="161296"/>
    <x v="2292"/>
    <s v="Gemini"/>
    <s v="Master's"/>
    <n v="45569"/>
    <n v="310"/>
    <n v="1830"/>
    <s v="Yes"/>
    <n v="4"/>
    <s v="201-1000"/>
    <s v="Full-time"/>
    <s v="Yes"/>
  </r>
  <r>
    <s v="AIJOB02298"/>
    <x v="3"/>
    <x v="13"/>
    <s v="Finance"/>
    <s v="Seattle, United States"/>
    <s v="United States"/>
    <s v="Remote"/>
    <x v="3"/>
    <s v="5-8 yrs"/>
    <n v="187843"/>
    <x v="2293"/>
    <s v="Command R"/>
    <s v="PhD"/>
    <n v="45481"/>
    <n v="2389"/>
    <n v="1951"/>
    <s v="No"/>
    <n v="4"/>
    <s v="201-1000"/>
    <s v="Full-time"/>
    <s v="Yes"/>
  </r>
  <r>
    <s v="AIJOB02299"/>
    <x v="9"/>
    <x v="24"/>
    <s v="Automotive"/>
    <s v="Dublin, Ireland"/>
    <s v="Ireland"/>
    <s v="Hybrid"/>
    <x v="0"/>
    <s v="0-2 yrs"/>
    <n v="78195"/>
    <x v="2294"/>
    <s v="GPT-4"/>
    <s v="Master's"/>
    <n v="45336"/>
    <n v="470"/>
    <n v="1135"/>
    <s v="No"/>
    <n v="0"/>
    <s v="201-1000"/>
    <s v="Full-time"/>
    <s v="Yes"/>
  </r>
  <r>
    <s v="AIJOB02300"/>
    <x v="6"/>
    <x v="21"/>
    <s v="Education"/>
    <s v="Singapore"/>
    <s v="Singapore"/>
    <s v="On-site"/>
    <x v="2"/>
    <s v="2-5 yrs"/>
    <n v="80239"/>
    <x v="2295"/>
    <s v="Grok"/>
    <s v="Bachelor's"/>
    <n v="45370"/>
    <n v="2206"/>
    <n v="3439"/>
    <s v="No"/>
    <n v="2"/>
    <s v="0-50"/>
    <s v="Full-time"/>
    <s v="Yes"/>
  </r>
  <r>
    <s v="AIJOB02301"/>
    <x v="16"/>
    <x v="18"/>
    <s v="Finance"/>
    <s v="Singapore"/>
    <s v="Singapore"/>
    <s v="Hybrid"/>
    <x v="2"/>
    <s v="2-5 yrs"/>
    <n v="130828"/>
    <x v="2296"/>
    <s v="GPT-4"/>
    <s v="Bachelor's"/>
    <n v="45484"/>
    <n v="804"/>
    <n v="843"/>
    <s v="No"/>
    <n v="2"/>
    <s v="5000+"/>
    <s v="Contract"/>
    <s v="No"/>
  </r>
  <r>
    <s v="AIJOB02302"/>
    <x v="3"/>
    <x v="28"/>
    <s v="Retail"/>
    <s v="Stockholm, Sweden"/>
    <s v="Sweden"/>
    <s v="On-site"/>
    <x v="3"/>
    <s v="5-8 yrs"/>
    <n v="123052"/>
    <x v="2297"/>
    <s v="BLOOM"/>
    <s v="Bachelor's"/>
    <n v="45327"/>
    <n v="1554"/>
    <n v="3701"/>
    <s v="No"/>
    <n v="4"/>
    <s v="201-1000"/>
    <s v="Full-time"/>
    <s v="No"/>
  </r>
  <r>
    <s v="AIJOB02303"/>
    <x v="2"/>
    <x v="29"/>
    <s v="Automotive"/>
    <s v="Los Angeles, United States"/>
    <s v="United States"/>
    <s v="Hybrid"/>
    <x v="3"/>
    <s v="5-8 yrs"/>
    <n v="139632"/>
    <x v="2298"/>
    <s v="None"/>
    <s v="Master's"/>
    <n v="45352"/>
    <n v="1253"/>
    <n v="3244"/>
    <s v="No"/>
    <n v="4"/>
    <s v="0-50"/>
    <s v="Full-time"/>
    <s v="No"/>
  </r>
  <r>
    <s v="AIJOB02304"/>
    <x v="12"/>
    <x v="9"/>
    <s v="Retail"/>
    <s v="Los Angeles, United States"/>
    <s v="United States"/>
    <s v="Hybrid"/>
    <x v="1"/>
    <s v="8+ yrs"/>
    <n v="209007"/>
    <x v="2299"/>
    <s v="Llama"/>
    <s v="Master's"/>
    <n v="45414"/>
    <n v="2451"/>
    <n v="2596"/>
    <s v="No"/>
    <n v="6"/>
    <s v="0-50"/>
    <s v="Full-time"/>
    <s v="Yes"/>
  </r>
  <r>
    <s v="AIJOB02305"/>
    <x v="3"/>
    <x v="29"/>
    <s v="Media"/>
    <s v="San Francisco, United States"/>
    <s v="United States"/>
    <s v="Hybrid"/>
    <x v="3"/>
    <s v="5-8 yrs"/>
    <n v="203883"/>
    <x v="2300"/>
    <s v="Phi"/>
    <s v="Bootcamp/Self-taught"/>
    <n v="45657"/>
    <n v="2056"/>
    <n v="2119"/>
    <s v="No"/>
    <n v="4"/>
    <s v="0-50"/>
    <s v="Contract"/>
    <s v="No"/>
  </r>
  <r>
    <s v="AIJOB02306"/>
    <x v="11"/>
    <x v="26"/>
    <s v="Energy"/>
    <s v="Toronto, Canada"/>
    <s v="Canada"/>
    <s v="Hybrid"/>
    <x v="0"/>
    <s v="0-2 yrs"/>
    <n v="109184"/>
    <x v="2301"/>
    <s v="Command R"/>
    <s v="Bachelor's"/>
    <n v="45536"/>
    <n v="2453"/>
    <n v="3946"/>
    <s v="Yes"/>
    <n v="0"/>
    <s v="51-200"/>
    <s v="Contract"/>
    <s v="Yes"/>
  </r>
  <r>
    <s v="AIJOB02307"/>
    <x v="14"/>
    <x v="5"/>
    <s v="Media"/>
    <s v="Seattle, United States"/>
    <s v="United States"/>
    <s v="Hybrid"/>
    <x v="0"/>
    <s v="0-2 yrs"/>
    <n v="77644"/>
    <x v="2302"/>
    <s v="Claude"/>
    <s v="Bachelor's"/>
    <n v="45589"/>
    <n v="313"/>
    <n v="2317"/>
    <s v="No"/>
    <n v="0"/>
    <s v="1001-5000"/>
    <s v="Contract"/>
    <s v="Yes"/>
  </r>
  <r>
    <s v="AIJOB02308"/>
    <x v="10"/>
    <x v="8"/>
    <s v="Media"/>
    <s v="Dublin, Ireland"/>
    <s v="Ireland"/>
    <s v="Hybrid"/>
    <x v="2"/>
    <s v="2-5 yrs"/>
    <n v="106372"/>
    <x v="2303"/>
    <s v="None"/>
    <s v="PhD"/>
    <n v="45326"/>
    <n v="2365"/>
    <n v="2799"/>
    <s v="Maybe"/>
    <n v="2"/>
    <s v="0-50"/>
    <s v="Contract"/>
    <s v="Yes"/>
  </r>
  <r>
    <s v="AIJOB02309"/>
    <x v="12"/>
    <x v="0"/>
    <s v="Energy"/>
    <s v="Sydney, Australia"/>
    <s v="Australia"/>
    <s v="Hybrid"/>
    <x v="0"/>
    <s v="0-2 yrs"/>
    <n v="76734"/>
    <x v="2304"/>
    <s v="GPT-4"/>
    <s v="PhD"/>
    <n v="45375"/>
    <n v="2141"/>
    <n v="2454"/>
    <s v="Yes"/>
    <n v="0"/>
    <s v="201-1000"/>
    <s v="Full-time"/>
    <s v="No"/>
  </r>
  <r>
    <s v="AIJOB02310"/>
    <x v="14"/>
    <x v="8"/>
    <s v="Automotive"/>
    <s v="San Francisco, United States"/>
    <s v="United States"/>
    <s v="Remote"/>
    <x v="1"/>
    <s v="8+ yrs"/>
    <n v="231955"/>
    <x v="2305"/>
    <s v="Falcon"/>
    <s v="Bachelor's"/>
    <n v="45313"/>
    <n v="2473"/>
    <n v="1877"/>
    <s v="No"/>
    <n v="6"/>
    <s v="0-50"/>
    <s v="Part-time"/>
    <s v="No"/>
  </r>
  <r>
    <s v="AIJOB02311"/>
    <x v="2"/>
    <x v="17"/>
    <s v="Healthcare"/>
    <s v="Singapore"/>
    <s v="Singapore"/>
    <s v="Remote"/>
    <x v="2"/>
    <s v="2-5 yrs"/>
    <n v="103650"/>
    <x v="2306"/>
    <s v="BLOOM"/>
    <s v="Bachelor's"/>
    <n v="45699"/>
    <n v="587"/>
    <n v="2754"/>
    <s v="Maybe"/>
    <n v="2"/>
    <s v="0-50"/>
    <s v="Full-time"/>
    <s v="Yes"/>
  </r>
  <r>
    <s v="AIJOB02312"/>
    <x v="19"/>
    <x v="24"/>
    <s v="Energy"/>
    <s v="New York, United States"/>
    <s v="United States"/>
    <s v="Remote"/>
    <x v="3"/>
    <s v="5-8 yrs"/>
    <n v="198470"/>
    <x v="2307"/>
    <s v="Phi"/>
    <s v="Bachelor's"/>
    <n v="45619"/>
    <n v="1166"/>
    <n v="1833"/>
    <s v="No"/>
    <n v="4"/>
    <s v="201-1000"/>
    <s v="Contract"/>
    <s v="No"/>
  </r>
  <r>
    <s v="AIJOB02313"/>
    <x v="14"/>
    <x v="9"/>
    <s v="Education"/>
    <s v="Berlin, Germany"/>
    <s v="Germany"/>
    <s v="Remote"/>
    <x v="0"/>
    <s v="0-2 yrs"/>
    <n v="72898"/>
    <x v="2308"/>
    <s v="Claude"/>
    <s v="Bachelor's"/>
    <n v="45740"/>
    <n v="618"/>
    <n v="1172"/>
    <s v="No"/>
    <n v="0"/>
    <s v="0-50"/>
    <s v="Contract"/>
    <s v="No"/>
  </r>
  <r>
    <s v="AIJOB02314"/>
    <x v="11"/>
    <x v="20"/>
    <s v="Education"/>
    <s v="Amsterdam, Netherlands"/>
    <s v="Netherlands"/>
    <s v="Hybrid"/>
    <x v="2"/>
    <s v="2-5 yrs"/>
    <n v="119855"/>
    <x v="2309"/>
    <s v="Phi"/>
    <s v="Bachelor's"/>
    <n v="45600"/>
    <n v="459"/>
    <n v="1451"/>
    <s v="No"/>
    <n v="2"/>
    <s v="5000+"/>
    <s v="Full-time"/>
    <s v="Yes"/>
  </r>
  <r>
    <s v="AIJOB02315"/>
    <x v="17"/>
    <x v="0"/>
    <s v="Media"/>
    <s v="San Francisco, United States"/>
    <s v="United States"/>
    <s v="On-site"/>
    <x v="3"/>
    <s v="5-8 yrs"/>
    <n v="167979"/>
    <x v="2310"/>
    <s v="Mistral"/>
    <s v="Bachelor's"/>
    <n v="45517"/>
    <n v="2289"/>
    <n v="2103"/>
    <s v="No"/>
    <n v="4"/>
    <s v="1001-5000"/>
    <s v="Full-time"/>
    <s v="Yes"/>
  </r>
  <r>
    <s v="AIJOB02316"/>
    <x v="18"/>
    <x v="20"/>
    <s v="Healthcare"/>
    <s v="Berlin, Germany"/>
    <s v="Germany"/>
    <s v="Remote"/>
    <x v="3"/>
    <s v="5-8 yrs"/>
    <n v="161382"/>
    <x v="2311"/>
    <s v="Command R"/>
    <s v="Bootcamp/Self-taught"/>
    <n v="45579"/>
    <n v="2020"/>
    <n v="1944"/>
    <s v="No"/>
    <n v="4"/>
    <s v="0-50"/>
    <s v="Full-time"/>
    <s v="Yes"/>
  </r>
  <r>
    <s v="AIJOB02317"/>
    <x v="18"/>
    <x v="25"/>
    <s v="Healthcare"/>
    <s v="London, United Kingdom"/>
    <s v="United Kingdom"/>
    <s v="Remote"/>
    <x v="3"/>
    <s v="5-8 yrs"/>
    <n v="172651"/>
    <x v="2312"/>
    <s v="Llama"/>
    <s v="PhD"/>
    <n v="45375"/>
    <n v="2497"/>
    <n v="2739"/>
    <s v="No"/>
    <n v="4"/>
    <s v="5000+"/>
    <s v="Full-time"/>
    <s v="Yes"/>
  </r>
  <r>
    <s v="AIJOB02318"/>
    <x v="2"/>
    <x v="10"/>
    <s v="Energy"/>
    <s v="Dublin, Ireland"/>
    <s v="Ireland"/>
    <s v="Hybrid"/>
    <x v="1"/>
    <s v="8+ yrs"/>
    <n v="177778"/>
    <x v="2313"/>
    <s v="Mistral"/>
    <s v="Bachelor's"/>
    <n v="45387"/>
    <n v="1578"/>
    <n v="832"/>
    <s v="No"/>
    <n v="6"/>
    <s v="0-50"/>
    <s v="Contract"/>
    <s v="No"/>
  </r>
  <r>
    <s v="AIJOB02319"/>
    <x v="12"/>
    <x v="0"/>
    <s v="Automotive"/>
    <s v="Los Angeles, United States"/>
    <s v="United States"/>
    <s v="Remote"/>
    <x v="2"/>
    <s v="2-5 yrs"/>
    <n v="98945"/>
    <x v="2314"/>
    <s v="BLOOM"/>
    <s v="PhD"/>
    <n v="45410"/>
    <n v="448"/>
    <n v="2408"/>
    <s v="No"/>
    <n v="2"/>
    <s v="0-50"/>
    <s v="Full-time"/>
    <s v="No"/>
  </r>
  <r>
    <s v="AIJOB02320"/>
    <x v="12"/>
    <x v="29"/>
    <s v="Retail"/>
    <s v="San Francisco, United States"/>
    <s v="United States"/>
    <s v="Remote"/>
    <x v="0"/>
    <s v="0-2 yrs"/>
    <n v="56138"/>
    <x v="2315"/>
    <s v="Mistral"/>
    <s v="Bachelor's"/>
    <n v="45346"/>
    <n v="693"/>
    <n v="1953"/>
    <s v="Maybe"/>
    <n v="0"/>
    <s v="201-1000"/>
    <s v="Contract"/>
    <s v="Yes"/>
  </r>
  <r>
    <s v="AIJOB02321"/>
    <x v="8"/>
    <x v="7"/>
    <s v="Defense"/>
    <s v="Toronto, Canada"/>
    <s v="Canada"/>
    <s v="On-site"/>
    <x v="3"/>
    <s v="5-8 yrs"/>
    <n v="161866"/>
    <x v="2316"/>
    <s v="None"/>
    <s v="Master's"/>
    <n v="45294"/>
    <n v="2174"/>
    <n v="2821"/>
    <s v="Maybe"/>
    <n v="4"/>
    <s v="51-200"/>
    <s v="Full-time"/>
    <s v="No"/>
  </r>
  <r>
    <s v="AIJOB02322"/>
    <x v="9"/>
    <x v="17"/>
    <s v="Education"/>
    <s v="London, United Kingdom"/>
    <s v="United Kingdom"/>
    <s v="Remote"/>
    <x v="2"/>
    <s v="2-5 yrs"/>
    <n v="125422"/>
    <x v="2317"/>
    <s v="None"/>
    <s v="Bachelor's"/>
    <n v="45495"/>
    <n v="2479"/>
    <n v="2790"/>
    <s v="No"/>
    <n v="2"/>
    <s v="0-50"/>
    <s v="Contract"/>
    <s v="No"/>
  </r>
  <r>
    <s v="AIJOB02323"/>
    <x v="4"/>
    <x v="0"/>
    <s v="Automotive"/>
    <s v="Amsterdam, Netherlands"/>
    <s v="Netherlands"/>
    <s v="Remote"/>
    <x v="2"/>
    <s v="2-5 yrs"/>
    <n v="119063"/>
    <x v="2318"/>
    <s v="Command R"/>
    <s v="Bachelor's"/>
    <n v="45367"/>
    <n v="1555"/>
    <n v="3134"/>
    <s v="No"/>
    <n v="2"/>
    <s v="201-1000"/>
    <s v="Full-time"/>
    <s v="Yes"/>
  </r>
  <r>
    <s v="AIJOB02324"/>
    <x v="16"/>
    <x v="15"/>
    <s v="Healthcare"/>
    <s v="Austin, United States"/>
    <s v="United States"/>
    <s v="On-site"/>
    <x v="0"/>
    <s v="0-2 yrs"/>
    <n v="91098"/>
    <x v="2319"/>
    <s v="None"/>
    <s v="Master's"/>
    <n v="45437"/>
    <n v="1743"/>
    <n v="797"/>
    <s v="No"/>
    <n v="0"/>
    <s v="5000+"/>
    <s v="Full-time"/>
    <s v="No"/>
  </r>
  <r>
    <s v="AIJOB02325"/>
    <x v="16"/>
    <x v="8"/>
    <s v="Government"/>
    <s v="Austin, United States"/>
    <s v="United States"/>
    <s v="Hybrid"/>
    <x v="1"/>
    <s v="8+ yrs"/>
    <n v="199798"/>
    <x v="2320"/>
    <s v="None"/>
    <s v="Bachelor's"/>
    <n v="45670"/>
    <n v="2468"/>
    <n v="3031"/>
    <s v="No"/>
    <n v="6"/>
    <s v="51-200"/>
    <s v="Contract"/>
    <s v="Yes"/>
  </r>
  <r>
    <s v="AIJOB02326"/>
    <x v="0"/>
    <x v="22"/>
    <s v="Automotive"/>
    <s v="Amsterdam, Netherlands"/>
    <s v="Netherlands"/>
    <s v="Hybrid"/>
    <x v="1"/>
    <s v="8+ yrs"/>
    <n v="224074"/>
    <x v="2321"/>
    <s v="Mistral"/>
    <s v="Bachelor's"/>
    <n v="45302"/>
    <n v="895"/>
    <n v="2439"/>
    <s v="No"/>
    <n v="6"/>
    <s v="201-1000"/>
    <s v="Full-time"/>
    <s v="No"/>
  </r>
  <r>
    <s v="AIJOB02327"/>
    <x v="8"/>
    <x v="29"/>
    <s v="Defense"/>
    <s v="New York, United States"/>
    <s v="United States"/>
    <s v="Remote"/>
    <x v="3"/>
    <s v="5-8 yrs"/>
    <n v="120524"/>
    <x v="2322"/>
    <s v="None"/>
    <s v="Master's"/>
    <n v="45730"/>
    <n v="2388"/>
    <n v="874"/>
    <s v="No"/>
    <n v="4"/>
    <s v="201-1000"/>
    <s v="Full-time"/>
    <s v="No"/>
  </r>
  <r>
    <s v="AIJOB02328"/>
    <x v="19"/>
    <x v="9"/>
    <s v="Finance"/>
    <s v="Seattle, United States"/>
    <s v="United States"/>
    <s v="Remote"/>
    <x v="1"/>
    <s v="8+ yrs"/>
    <n v="186064"/>
    <x v="2323"/>
    <s v="Grok"/>
    <s v="Master's"/>
    <n v="45597"/>
    <n v="1363"/>
    <n v="547"/>
    <s v="Yes"/>
    <n v="6"/>
    <s v="5000+"/>
    <s v="Full-time"/>
    <s v="Yes"/>
  </r>
  <r>
    <s v="AIJOB02329"/>
    <x v="16"/>
    <x v="24"/>
    <s v="Defense"/>
    <s v="New York, United States"/>
    <s v="United States"/>
    <s v="On-site"/>
    <x v="1"/>
    <s v="8+ yrs"/>
    <n v="225039"/>
    <x v="2324"/>
    <s v="Falcon"/>
    <s v="Master's"/>
    <n v="45735"/>
    <n v="662"/>
    <n v="1491"/>
    <s v="No"/>
    <n v="6"/>
    <s v="5000+"/>
    <s v="Contract"/>
    <s v="Yes"/>
  </r>
  <r>
    <s v="AIJOB02330"/>
    <x v="16"/>
    <x v="21"/>
    <s v="Technology"/>
    <s v="Boston, United States"/>
    <s v="United States"/>
    <s v="On-site"/>
    <x v="1"/>
    <s v="8+ yrs"/>
    <n v="230567"/>
    <x v="2325"/>
    <s v="None"/>
    <s v="PhD"/>
    <n v="45625"/>
    <n v="2214"/>
    <n v="2843"/>
    <s v="Yes"/>
    <n v="6"/>
    <s v="0-50"/>
    <s v="Full-time"/>
    <s v="No"/>
  </r>
  <r>
    <s v="AIJOB02331"/>
    <x v="4"/>
    <x v="29"/>
    <s v="Automotive"/>
    <s v="Zurich, Switzerland"/>
    <s v="Switzerland"/>
    <s v="Remote"/>
    <x v="2"/>
    <s v="2-5 yrs"/>
    <n v="104179"/>
    <x v="2326"/>
    <s v="None"/>
    <s v="PhD"/>
    <n v="45624"/>
    <n v="384"/>
    <n v="3050"/>
    <s v="No"/>
    <n v="2"/>
    <s v="0-50"/>
    <s v="Full-time"/>
    <s v="Yes"/>
  </r>
  <r>
    <s v="AIJOB02332"/>
    <x v="0"/>
    <x v="6"/>
    <s v="Education"/>
    <s v="Toronto, Canada"/>
    <s v="Canada"/>
    <s v="Remote"/>
    <x v="0"/>
    <s v="0-2 yrs"/>
    <n v="69097"/>
    <x v="2327"/>
    <s v="Mistral"/>
    <s v="Bootcamp/Self-taught"/>
    <n v="45618"/>
    <n v="2369"/>
    <n v="2400"/>
    <s v="Yes"/>
    <n v="0"/>
    <s v="1001-5000"/>
    <s v="Full-time"/>
    <s v="No"/>
  </r>
  <r>
    <s v="AIJOB02333"/>
    <x v="8"/>
    <x v="10"/>
    <s v="Media"/>
    <s v="Boston, United States"/>
    <s v="United States"/>
    <s v="On-site"/>
    <x v="0"/>
    <s v="0-2 yrs"/>
    <n v="50874"/>
    <x v="2328"/>
    <s v="None"/>
    <s v="Bootcamp/Self-taught"/>
    <n v="45519"/>
    <n v="1876"/>
    <n v="2749"/>
    <s v="Yes"/>
    <n v="0"/>
    <s v="1001-5000"/>
    <s v="Full-time"/>
    <s v="No"/>
  </r>
  <r>
    <s v="AIJOB02334"/>
    <x v="9"/>
    <x v="12"/>
    <s v="Education"/>
    <s v="Los Angeles, United States"/>
    <s v="United States"/>
    <s v="Remote"/>
    <x v="2"/>
    <s v="2-5 yrs"/>
    <n v="102930"/>
    <x v="2329"/>
    <s v="Mistral"/>
    <s v="Bachelor's"/>
    <n v="45370"/>
    <n v="2402"/>
    <n v="2555"/>
    <s v="Maybe"/>
    <n v="2"/>
    <s v="51-200"/>
    <s v="Full-time"/>
    <s v="No"/>
  </r>
  <r>
    <s v="AIJOB02335"/>
    <x v="8"/>
    <x v="4"/>
    <s v="Defense"/>
    <s v="Austin, United States"/>
    <s v="United States"/>
    <s v="Remote"/>
    <x v="1"/>
    <s v="8+ yrs"/>
    <n v="232053"/>
    <x v="2330"/>
    <s v="None"/>
    <s v="PhD"/>
    <n v="45625"/>
    <n v="2426"/>
    <n v="1241"/>
    <s v="No"/>
    <n v="6"/>
    <s v="201-1000"/>
    <s v="Full-time"/>
    <s v="No"/>
  </r>
  <r>
    <s v="AIJOB02336"/>
    <x v="12"/>
    <x v="19"/>
    <s v="Government"/>
    <s v="Dublin, Ireland"/>
    <s v="Ireland"/>
    <s v="On-site"/>
    <x v="2"/>
    <s v="2-5 yrs"/>
    <n v="121389"/>
    <x v="2331"/>
    <s v="BLOOM"/>
    <s v="Bachelor's"/>
    <n v="45523"/>
    <n v="1584"/>
    <n v="689"/>
    <s v="No"/>
    <n v="2"/>
    <s v="201-1000"/>
    <s v="Full-time"/>
    <s v="No"/>
  </r>
  <r>
    <s v="AIJOB02337"/>
    <x v="8"/>
    <x v="13"/>
    <s v="Retail"/>
    <s v="Boston, United States"/>
    <s v="United States"/>
    <s v="Hybrid"/>
    <x v="0"/>
    <s v="0-2 yrs"/>
    <n v="76308"/>
    <x v="2332"/>
    <s v="Llama"/>
    <s v="Master's"/>
    <n v="45668"/>
    <n v="2327"/>
    <n v="1359"/>
    <s v="Maybe"/>
    <n v="0"/>
    <s v="0-50"/>
    <s v="Full-time"/>
    <s v="Yes"/>
  </r>
  <r>
    <s v="AIJOB02338"/>
    <x v="0"/>
    <x v="0"/>
    <s v="Automotive"/>
    <s v="Chicago, United States"/>
    <s v="United States"/>
    <s v="Remote"/>
    <x v="1"/>
    <s v="8+ yrs"/>
    <n v="201791"/>
    <x v="2333"/>
    <s v="Phi"/>
    <s v="Master's"/>
    <n v="45317"/>
    <n v="1761"/>
    <n v="3646"/>
    <s v="No"/>
    <n v="6"/>
    <s v="5000+"/>
    <s v="Full-time"/>
    <s v="No"/>
  </r>
  <r>
    <s v="AIJOB02339"/>
    <x v="14"/>
    <x v="16"/>
    <s v="Media"/>
    <s v="San Francisco, United States"/>
    <s v="United States"/>
    <s v="Remote"/>
    <x v="0"/>
    <s v="0-2 yrs"/>
    <n v="70088"/>
    <x v="2334"/>
    <s v="None"/>
    <s v="Bachelor's"/>
    <n v="45617"/>
    <n v="311"/>
    <n v="1365"/>
    <s v="Maybe"/>
    <n v="0"/>
    <s v="1001-5000"/>
    <s v="Contract"/>
    <s v="Yes"/>
  </r>
  <r>
    <s v="AIJOB02340"/>
    <x v="6"/>
    <x v="4"/>
    <s v="Healthcare"/>
    <s v="Toronto, Canada"/>
    <s v="Canada"/>
    <s v="Hybrid"/>
    <x v="2"/>
    <s v="2-5 yrs"/>
    <n v="96925"/>
    <x v="2335"/>
    <s v="None"/>
    <s v="Bachelor's"/>
    <n v="45531"/>
    <n v="2411"/>
    <n v="2780"/>
    <s v="No"/>
    <n v="2"/>
    <s v="201-1000"/>
    <s v="Full-time"/>
    <s v="Yes"/>
  </r>
  <r>
    <s v="AIJOB02341"/>
    <x v="16"/>
    <x v="22"/>
    <s v="Automotive"/>
    <s v="Amsterdam, Netherlands"/>
    <s v="Netherlands"/>
    <s v="Hybrid"/>
    <x v="2"/>
    <s v="2-5 yrs"/>
    <n v="123836"/>
    <x v="2336"/>
    <s v="Claude"/>
    <s v="Bachelor's"/>
    <n v="45397"/>
    <n v="1396"/>
    <n v="3324"/>
    <s v="No"/>
    <n v="2"/>
    <s v="0-50"/>
    <s v="Full-time"/>
    <s v="No"/>
  </r>
  <r>
    <s v="AIJOB02342"/>
    <x v="2"/>
    <x v="29"/>
    <s v="Healthcare"/>
    <s v="Zurich, Switzerland"/>
    <s v="Switzerland"/>
    <s v="On-site"/>
    <x v="3"/>
    <s v="5-8 yrs"/>
    <n v="161366"/>
    <x v="2337"/>
    <s v="Grok"/>
    <s v="PhD"/>
    <n v="45680"/>
    <n v="2129"/>
    <n v="3865"/>
    <s v="No"/>
    <n v="4"/>
    <s v="201-1000"/>
    <s v="Full-time"/>
    <s v="No"/>
  </r>
  <r>
    <s v="AIJOB02343"/>
    <x v="19"/>
    <x v="19"/>
    <s v="Technology"/>
    <s v="San Francisco, United States"/>
    <s v="United States"/>
    <s v="Hybrid"/>
    <x v="3"/>
    <s v="5-8 yrs"/>
    <n v="163284"/>
    <x v="2338"/>
    <s v="Claude"/>
    <s v="Bootcamp/Self-taught"/>
    <n v="45322"/>
    <n v="667"/>
    <n v="2684"/>
    <s v="No"/>
    <n v="4"/>
    <s v="1001-5000"/>
    <s v="Full-time"/>
    <s v="Yes"/>
  </r>
  <r>
    <s v="AIJOB02344"/>
    <x v="16"/>
    <x v="3"/>
    <s v="Media"/>
    <s v="Amsterdam, Netherlands"/>
    <s v="Netherlands"/>
    <s v="Remote"/>
    <x v="0"/>
    <s v="0-2 yrs"/>
    <n v="63371"/>
    <x v="2339"/>
    <s v="None"/>
    <s v="PhD"/>
    <n v="45671"/>
    <n v="677"/>
    <n v="2958"/>
    <s v="No"/>
    <n v="0"/>
    <s v="201-1000"/>
    <s v="Full-time"/>
    <s v="No"/>
  </r>
  <r>
    <s v="AIJOB02345"/>
    <x v="4"/>
    <x v="28"/>
    <s v="Education"/>
    <s v="Toronto, Canada"/>
    <s v="Canada"/>
    <s v="Remote"/>
    <x v="0"/>
    <s v="0-2 yrs"/>
    <n v="50000"/>
    <x v="2340"/>
    <s v="BLOOM"/>
    <s v="PhD"/>
    <n v="45482"/>
    <n v="870"/>
    <n v="2418"/>
    <s v="No"/>
    <n v="0"/>
    <s v="1001-5000"/>
    <s v="Part-time"/>
    <s v="Yes"/>
  </r>
  <r>
    <s v="AIJOB02346"/>
    <x v="17"/>
    <x v="19"/>
    <s v="Automotive"/>
    <s v="San Francisco, United States"/>
    <s v="United States"/>
    <s v="Remote"/>
    <x v="3"/>
    <s v="5-8 yrs"/>
    <n v="179623"/>
    <x v="2341"/>
    <s v="Grok"/>
    <s v="PhD"/>
    <n v="45458"/>
    <n v="2045"/>
    <n v="3126"/>
    <s v="No"/>
    <n v="4"/>
    <s v="0-50"/>
    <s v="Full-time"/>
    <s v="No"/>
  </r>
  <r>
    <s v="AIJOB02347"/>
    <x v="13"/>
    <x v="1"/>
    <s v="Retail"/>
    <s v="London, United Kingdom"/>
    <s v="United Kingdom"/>
    <s v="On-site"/>
    <x v="1"/>
    <s v="8+ yrs"/>
    <n v="182761"/>
    <x v="2342"/>
    <s v="GPT-4"/>
    <s v="PhD"/>
    <n v="45718"/>
    <n v="1513"/>
    <n v="685"/>
    <s v="No"/>
    <n v="6"/>
    <s v="0-50"/>
    <s v="Part-time"/>
    <s v="No"/>
  </r>
  <r>
    <s v="AIJOB02348"/>
    <x v="4"/>
    <x v="0"/>
    <s v="Media"/>
    <s v="Berlin, Germany"/>
    <s v="Germany"/>
    <s v="Hybrid"/>
    <x v="1"/>
    <s v="8+ yrs"/>
    <n v="168940"/>
    <x v="2343"/>
    <s v="GPT-4"/>
    <s v="Bachelor's"/>
    <n v="45323"/>
    <n v="523"/>
    <n v="912"/>
    <s v="No"/>
    <n v="6"/>
    <s v="1001-5000"/>
    <s v="Full-time"/>
    <s v="No"/>
  </r>
  <r>
    <s v="AIJOB02349"/>
    <x v="2"/>
    <x v="11"/>
    <s v="Defense"/>
    <s v="London, United Kingdom"/>
    <s v="United Kingdom"/>
    <s v="Hybrid"/>
    <x v="0"/>
    <s v="0-2 yrs"/>
    <n v="78737"/>
    <x v="2344"/>
    <s v="None"/>
    <s v="Master's"/>
    <n v="45722"/>
    <n v="1467"/>
    <n v="1699"/>
    <s v="No"/>
    <n v="0"/>
    <s v="5000+"/>
    <s v="Part-time"/>
    <s v="Yes"/>
  </r>
  <r>
    <s v="AIJOB02350"/>
    <x v="17"/>
    <x v="5"/>
    <s v="Retail"/>
    <s v="Amsterdam, Netherlands"/>
    <s v="Netherlands"/>
    <s v="Hybrid"/>
    <x v="1"/>
    <s v="8+ yrs"/>
    <n v="185887"/>
    <x v="2345"/>
    <s v="None"/>
    <s v="Bachelor's"/>
    <n v="45715"/>
    <n v="2307"/>
    <n v="2226"/>
    <s v="No"/>
    <n v="6"/>
    <s v="1001-5000"/>
    <s v="Full-time"/>
    <s v="No"/>
  </r>
  <r>
    <s v="AIJOB02351"/>
    <x v="10"/>
    <x v="20"/>
    <s v="Education"/>
    <s v="Amsterdam, Netherlands"/>
    <s v="Netherlands"/>
    <s v="Hybrid"/>
    <x v="2"/>
    <s v="2-5 yrs"/>
    <n v="130986"/>
    <x v="2346"/>
    <s v="None"/>
    <s v="Bootcamp/Self-taught"/>
    <n v="45525"/>
    <n v="2357"/>
    <n v="777"/>
    <s v="Maybe"/>
    <n v="2"/>
    <s v="51-200"/>
    <s v="Full-time"/>
    <s v="No"/>
  </r>
  <r>
    <s v="AIJOB02352"/>
    <x v="17"/>
    <x v="26"/>
    <s v="Retail"/>
    <s v="Seattle, United States"/>
    <s v="United States"/>
    <s v="On-site"/>
    <x v="1"/>
    <s v="8+ yrs"/>
    <n v="222212"/>
    <x v="2347"/>
    <s v="None"/>
    <s v="Master's"/>
    <n v="45423"/>
    <n v="920"/>
    <n v="2987"/>
    <s v="No"/>
    <n v="6"/>
    <s v="0-50"/>
    <s v="Contract"/>
    <s v="Yes"/>
  </r>
  <r>
    <s v="AIJOB02353"/>
    <x v="10"/>
    <x v="19"/>
    <s v="Finance"/>
    <s v="Amsterdam, Netherlands"/>
    <s v="Netherlands"/>
    <s v="Remote"/>
    <x v="0"/>
    <s v="0-2 yrs"/>
    <n v="78612"/>
    <x v="2348"/>
    <s v="None"/>
    <s v="Master's"/>
    <n v="45373"/>
    <n v="2140"/>
    <n v="336"/>
    <s v="No"/>
    <n v="0"/>
    <s v="201-1000"/>
    <s v="Full-time"/>
    <s v="Yes"/>
  </r>
  <r>
    <s v="AIJOB02354"/>
    <x v="15"/>
    <x v="13"/>
    <s v="Government"/>
    <s v="London, United Kingdom"/>
    <s v="United Kingdom"/>
    <s v="Remote"/>
    <x v="2"/>
    <s v="2-5 yrs"/>
    <n v="82954"/>
    <x v="2349"/>
    <s v="Grok"/>
    <s v="Bachelor's"/>
    <n v="45583"/>
    <n v="605"/>
    <n v="2914"/>
    <s v="Yes"/>
    <n v="2"/>
    <s v="5000+"/>
    <s v="Contract"/>
    <s v="Yes"/>
  </r>
  <r>
    <s v="AIJOB02355"/>
    <x v="14"/>
    <x v="7"/>
    <s v="Finance"/>
    <s v="Sydney, Australia"/>
    <s v="Australia"/>
    <s v="Remote"/>
    <x v="0"/>
    <s v="0-2 yrs"/>
    <n v="85270"/>
    <x v="2350"/>
    <s v="None"/>
    <s v="Master's"/>
    <n v="45448"/>
    <n v="1212"/>
    <n v="2534"/>
    <s v="No"/>
    <n v="0"/>
    <s v="51-200"/>
    <s v="Full-time"/>
    <s v="No"/>
  </r>
  <r>
    <s v="AIJOB02356"/>
    <x v="4"/>
    <x v="3"/>
    <s v="Technology"/>
    <s v="Tokyo, Japan"/>
    <s v="Japan"/>
    <s v="On-site"/>
    <x v="0"/>
    <s v="0-2 yrs"/>
    <n v="73291"/>
    <x v="2351"/>
    <s v="BLOOM"/>
    <s v="Master's"/>
    <n v="45374"/>
    <n v="2440"/>
    <n v="307"/>
    <s v="Maybe"/>
    <n v="0"/>
    <s v="201-1000"/>
    <s v="Full-time"/>
    <s v="Yes"/>
  </r>
  <r>
    <s v="AIJOB02357"/>
    <x v="19"/>
    <x v="0"/>
    <s v="Education"/>
    <s v="London, United Kingdom"/>
    <s v="United Kingdom"/>
    <s v="Remote"/>
    <x v="1"/>
    <s v="8+ yrs"/>
    <n v="186706"/>
    <x v="2352"/>
    <s v="None"/>
    <s v="Bachelor's"/>
    <n v="45680"/>
    <n v="422"/>
    <n v="1412"/>
    <s v="No"/>
    <n v="6"/>
    <s v="201-1000"/>
    <s v="Full-time"/>
    <s v="Yes"/>
  </r>
  <r>
    <s v="AIJOB02358"/>
    <x v="13"/>
    <x v="26"/>
    <s v="Finance"/>
    <s v="Tokyo, Japan"/>
    <s v="Japan"/>
    <s v="Hybrid"/>
    <x v="3"/>
    <s v="5-8 yrs"/>
    <n v="153871"/>
    <x v="2353"/>
    <s v="GPT-4"/>
    <s v="Master's"/>
    <n v="45540"/>
    <n v="2429"/>
    <n v="3552"/>
    <s v="No"/>
    <n v="4"/>
    <s v="1001-5000"/>
    <s v="Full-time"/>
    <s v="No"/>
  </r>
  <r>
    <s v="AIJOB02359"/>
    <x v="19"/>
    <x v="14"/>
    <s v="Government"/>
    <s v="Berlin, Germany"/>
    <s v="Germany"/>
    <s v="Hybrid"/>
    <x v="2"/>
    <s v="2-5 yrs"/>
    <n v="74830"/>
    <x v="2354"/>
    <s v="Grok"/>
    <s v="PhD"/>
    <n v="45604"/>
    <n v="1167"/>
    <n v="751"/>
    <s v="Maybe"/>
    <n v="2"/>
    <s v="0-50"/>
    <s v="Full-time"/>
    <s v="Yes"/>
  </r>
  <r>
    <s v="AIJOB02360"/>
    <x v="13"/>
    <x v="17"/>
    <s v="Energy"/>
    <s v="Chicago, United States"/>
    <s v="United States"/>
    <s v="Remote"/>
    <x v="2"/>
    <s v="2-5 yrs"/>
    <n v="118091"/>
    <x v="2355"/>
    <s v="None"/>
    <s v="Master's"/>
    <n v="45426"/>
    <n v="1553"/>
    <n v="3492"/>
    <s v="No"/>
    <n v="2"/>
    <s v="1001-5000"/>
    <s v="Full-time"/>
    <s v="Yes"/>
  </r>
  <r>
    <s v="AIJOB02361"/>
    <x v="16"/>
    <x v="11"/>
    <s v="Finance"/>
    <s v="Amsterdam, Netherlands"/>
    <s v="Netherlands"/>
    <s v="Remote"/>
    <x v="3"/>
    <s v="5-8 yrs"/>
    <n v="122206"/>
    <x v="2356"/>
    <s v="GPT-4"/>
    <s v="Master's"/>
    <n v="45434"/>
    <n v="1688"/>
    <n v="1964"/>
    <s v="No"/>
    <n v="4"/>
    <s v="201-1000"/>
    <s v="Contract"/>
    <s v="No"/>
  </r>
  <r>
    <s v="AIJOB02362"/>
    <x v="16"/>
    <x v="24"/>
    <s v="Government"/>
    <s v="Singapore"/>
    <s v="Singapore"/>
    <s v="Hybrid"/>
    <x v="0"/>
    <s v="0-2 yrs"/>
    <n v="52956"/>
    <x v="2357"/>
    <s v="None"/>
    <s v="Bachelor's"/>
    <n v="45682"/>
    <n v="1183"/>
    <n v="2507"/>
    <s v="No"/>
    <n v="0"/>
    <s v="0-50"/>
    <s v="Full-time"/>
    <s v="No"/>
  </r>
  <r>
    <s v="AIJOB02363"/>
    <x v="18"/>
    <x v="19"/>
    <s v="Defense"/>
    <s v="Paris, France"/>
    <s v="France"/>
    <s v="Remote"/>
    <x v="2"/>
    <s v="2-5 yrs"/>
    <n v="79857"/>
    <x v="2358"/>
    <s v="Command R"/>
    <s v="PhD"/>
    <n v="45412"/>
    <n v="1634"/>
    <n v="3873"/>
    <s v="No"/>
    <n v="2"/>
    <s v="5000+"/>
    <s v="Full-time"/>
    <s v="Yes"/>
  </r>
  <r>
    <s v="AIJOB02364"/>
    <x v="7"/>
    <x v="19"/>
    <s v="Energy"/>
    <s v="San Francisco, United States"/>
    <s v="United States"/>
    <s v="Remote"/>
    <x v="3"/>
    <s v="5-8 yrs"/>
    <n v="180042"/>
    <x v="2359"/>
    <s v="Mistral"/>
    <s v="Bachelor's"/>
    <n v="45655"/>
    <n v="1498"/>
    <n v="180"/>
    <s v="No"/>
    <n v="4"/>
    <s v="5000+"/>
    <s v="Full-time"/>
    <s v="Yes"/>
  </r>
  <r>
    <s v="AIJOB02365"/>
    <x v="16"/>
    <x v="20"/>
    <s v="Government"/>
    <s v="Dublin, Ireland"/>
    <s v="Ireland"/>
    <s v="Remote"/>
    <x v="3"/>
    <s v="5-8 yrs"/>
    <n v="133009"/>
    <x v="2360"/>
    <s v="None"/>
    <s v="PhD"/>
    <n v="45384"/>
    <n v="2196"/>
    <n v="2975"/>
    <s v="Yes"/>
    <n v="4"/>
    <s v="0-50"/>
    <s v="Full-time"/>
    <s v="Yes"/>
  </r>
  <r>
    <s v="AIJOB02366"/>
    <x v="1"/>
    <x v="28"/>
    <s v="Technology"/>
    <s v="Berlin, Germany"/>
    <s v="Germany"/>
    <s v="Remote"/>
    <x v="2"/>
    <s v="2-5 yrs"/>
    <n v="140367"/>
    <x v="2361"/>
    <s v="None"/>
    <s v="Bachelor's"/>
    <n v="45678"/>
    <n v="1815"/>
    <n v="820"/>
    <s v="Maybe"/>
    <n v="2"/>
    <s v="1001-5000"/>
    <s v="Contract"/>
    <s v="No"/>
  </r>
  <r>
    <s v="AIJOB02367"/>
    <x v="9"/>
    <x v="7"/>
    <s v="Energy"/>
    <s v="London, United Kingdom"/>
    <s v="United Kingdom"/>
    <s v="On-site"/>
    <x v="3"/>
    <s v="5-8 yrs"/>
    <n v="135533"/>
    <x v="2362"/>
    <s v="None"/>
    <s v="Master's"/>
    <n v="45739"/>
    <n v="2026"/>
    <n v="876"/>
    <s v="No"/>
    <n v="4"/>
    <s v="0-50"/>
    <s v="Full-time"/>
    <s v="Yes"/>
  </r>
  <r>
    <s v="AIJOB02368"/>
    <x v="12"/>
    <x v="19"/>
    <s v="Healthcare"/>
    <s v="San Francisco, United States"/>
    <s v="United States"/>
    <s v="Hybrid"/>
    <x v="1"/>
    <s v="8+ yrs"/>
    <n v="138535"/>
    <x v="2363"/>
    <s v="Claude"/>
    <s v="PhD"/>
    <n v="45733"/>
    <n v="1213"/>
    <n v="2709"/>
    <s v="Maybe"/>
    <n v="6"/>
    <s v="1001-5000"/>
    <s v="Contract"/>
    <s v="Yes"/>
  </r>
  <r>
    <s v="AIJOB02369"/>
    <x v="16"/>
    <x v="27"/>
    <s v="Healthcare"/>
    <s v="Tel Aviv, Israel"/>
    <s v="Israel"/>
    <s v="Hybrid"/>
    <x v="2"/>
    <s v="2-5 yrs"/>
    <n v="87892"/>
    <x v="2364"/>
    <s v="BLOOM"/>
    <s v="Bachelor's"/>
    <n v="45491"/>
    <n v="1141"/>
    <n v="3225"/>
    <s v="No"/>
    <n v="2"/>
    <s v="1001-5000"/>
    <s v="Contract"/>
    <s v="No"/>
  </r>
  <r>
    <s v="AIJOB02370"/>
    <x v="3"/>
    <x v="19"/>
    <s v="Retail"/>
    <s v="London, United Kingdom"/>
    <s v="United Kingdom"/>
    <s v="Remote"/>
    <x v="1"/>
    <s v="8+ yrs"/>
    <n v="244489"/>
    <x v="2365"/>
    <s v="Grok"/>
    <s v="Master's"/>
    <n v="45321"/>
    <n v="1377"/>
    <n v="1402"/>
    <s v="Yes"/>
    <n v="6"/>
    <s v="1001-5000"/>
    <s v="Full-time"/>
    <s v="No"/>
  </r>
  <r>
    <s v="AIJOB02371"/>
    <x v="10"/>
    <x v="24"/>
    <s v="Energy"/>
    <s v="Tokyo, Japan"/>
    <s v="Japan"/>
    <s v="Remote"/>
    <x v="2"/>
    <s v="2-5 yrs"/>
    <n v="106913"/>
    <x v="2366"/>
    <s v="Gemini"/>
    <s v="Master's"/>
    <n v="45487"/>
    <n v="2329"/>
    <n v="3266"/>
    <s v="No"/>
    <n v="2"/>
    <s v="0-50"/>
    <s v="Full-time"/>
    <s v="No"/>
  </r>
  <r>
    <s v="AIJOB02372"/>
    <x v="13"/>
    <x v="13"/>
    <s v="Healthcare"/>
    <s v="Chicago, United States"/>
    <s v="United States"/>
    <s v="Hybrid"/>
    <x v="3"/>
    <s v="5-8 yrs"/>
    <n v="135196"/>
    <x v="2367"/>
    <s v="Mistral"/>
    <s v="Bachelor's"/>
    <n v="45625"/>
    <n v="988"/>
    <n v="2250"/>
    <s v="No"/>
    <n v="4"/>
    <s v="5000+"/>
    <s v="Full-time"/>
    <s v="No"/>
  </r>
  <r>
    <s v="AIJOB02373"/>
    <x v="13"/>
    <x v="29"/>
    <s v="Retail"/>
    <s v="San Francisco, United States"/>
    <s v="United States"/>
    <s v="Hybrid"/>
    <x v="1"/>
    <s v="8+ yrs"/>
    <n v="205760"/>
    <x v="2368"/>
    <s v="Gemini"/>
    <s v="PhD"/>
    <n v="45338"/>
    <n v="405"/>
    <n v="1011"/>
    <s v="No"/>
    <n v="6"/>
    <s v="1001-5000"/>
    <s v="Full-time"/>
    <s v="No"/>
  </r>
  <r>
    <s v="AIJOB02374"/>
    <x v="18"/>
    <x v="14"/>
    <s v="Retail"/>
    <s v="Amsterdam, Netherlands"/>
    <s v="Netherlands"/>
    <s v="Hybrid"/>
    <x v="3"/>
    <s v="5-8 yrs"/>
    <n v="163548"/>
    <x v="2369"/>
    <s v="None"/>
    <s v="Bachelor's"/>
    <n v="45431"/>
    <n v="2324"/>
    <n v="2040"/>
    <s v="Maybe"/>
    <n v="4"/>
    <s v="51-200"/>
    <s v="Contract"/>
    <s v="No"/>
  </r>
  <r>
    <s v="AIJOB02375"/>
    <x v="7"/>
    <x v="23"/>
    <s v="Retail"/>
    <s v="Zurich, Switzerland"/>
    <s v="Switzerland"/>
    <s v="Remote"/>
    <x v="0"/>
    <s v="0-2 yrs"/>
    <n v="84079"/>
    <x v="2370"/>
    <s v="Mistral"/>
    <s v="Bachelor's"/>
    <n v="45550"/>
    <n v="2220"/>
    <n v="2344"/>
    <s v="Maybe"/>
    <n v="0"/>
    <s v="201-1000"/>
    <s v="Part-time"/>
    <s v="Yes"/>
  </r>
  <r>
    <s v="AIJOB02376"/>
    <x v="2"/>
    <x v="24"/>
    <s v="Automotive"/>
    <s v="London, United Kingdom"/>
    <s v="United Kingdom"/>
    <s v="Hybrid"/>
    <x v="2"/>
    <s v="2-5 yrs"/>
    <n v="138680"/>
    <x v="2371"/>
    <s v="None"/>
    <s v="Master's"/>
    <n v="45576"/>
    <n v="674"/>
    <n v="2932"/>
    <s v="Maybe"/>
    <n v="2"/>
    <s v="51-200"/>
    <s v="Full-time"/>
    <s v="Yes"/>
  </r>
  <r>
    <s v="AIJOB02377"/>
    <x v="11"/>
    <x v="24"/>
    <s v="Energy"/>
    <s v="Tokyo, Japan"/>
    <s v="Japan"/>
    <s v="Hybrid"/>
    <x v="3"/>
    <s v="5-8 yrs"/>
    <n v="140286"/>
    <x v="2372"/>
    <s v="Claude"/>
    <s v="Bachelor's"/>
    <n v="45450"/>
    <n v="369"/>
    <n v="1273"/>
    <s v="Yes"/>
    <n v="4"/>
    <s v="51-200"/>
    <s v="Contract"/>
    <s v="No"/>
  </r>
  <r>
    <s v="AIJOB02378"/>
    <x v="18"/>
    <x v="28"/>
    <s v="Healthcare"/>
    <s v="Seattle, United States"/>
    <s v="United States"/>
    <s v="Hybrid"/>
    <x v="0"/>
    <s v="0-2 yrs"/>
    <n v="53291"/>
    <x v="2373"/>
    <s v="BLOOM"/>
    <s v="PhD"/>
    <n v="45604"/>
    <n v="985"/>
    <n v="3601"/>
    <s v="No"/>
    <n v="0"/>
    <s v="5000+"/>
    <s v="Contract"/>
    <s v="Yes"/>
  </r>
  <r>
    <s v="AIJOB02379"/>
    <x v="12"/>
    <x v="6"/>
    <s v="Government"/>
    <s v="Paris, France"/>
    <s v="France"/>
    <s v="Remote"/>
    <x v="3"/>
    <s v="5-8 yrs"/>
    <n v="138836"/>
    <x v="2374"/>
    <s v="Gemini"/>
    <s v="Bachelor's"/>
    <n v="45313"/>
    <n v="1925"/>
    <n v="3563"/>
    <s v="No"/>
    <n v="4"/>
    <s v="51-200"/>
    <s v="Full-time"/>
    <s v="No"/>
  </r>
  <r>
    <s v="AIJOB02380"/>
    <x v="4"/>
    <x v="8"/>
    <s v="Finance"/>
    <s v="Bangalore, India"/>
    <s v="India"/>
    <s v="On-site"/>
    <x v="2"/>
    <s v="2-5 yrs"/>
    <n v="115153"/>
    <x v="2375"/>
    <s v="None"/>
    <s v="PhD"/>
    <n v="45382"/>
    <n v="1576"/>
    <n v="30"/>
    <s v="Yes"/>
    <n v="2"/>
    <s v="201-1000"/>
    <s v="Full-time"/>
    <s v="Yes"/>
  </r>
  <r>
    <s v="AIJOB02381"/>
    <x v="7"/>
    <x v="28"/>
    <s v="Technology"/>
    <s v="New York, United States"/>
    <s v="United States"/>
    <s v="On-site"/>
    <x v="1"/>
    <s v="8+ yrs"/>
    <n v="165304"/>
    <x v="2376"/>
    <s v="Mistral"/>
    <s v="Master's"/>
    <n v="45545"/>
    <n v="329"/>
    <n v="1787"/>
    <s v="No"/>
    <n v="6"/>
    <s v="51-200"/>
    <s v="Full-time"/>
    <s v="No"/>
  </r>
  <r>
    <s v="AIJOB02382"/>
    <x v="16"/>
    <x v="1"/>
    <s v="Finance"/>
    <s v="Paris, France"/>
    <s v="France"/>
    <s v="On-site"/>
    <x v="2"/>
    <s v="2-5 yrs"/>
    <n v="91048"/>
    <x v="2377"/>
    <s v="Gemini"/>
    <s v="Bachelor's"/>
    <n v="45477"/>
    <n v="1414"/>
    <n v="1557"/>
    <s v="Maybe"/>
    <n v="2"/>
    <s v="1001-5000"/>
    <s v="Full-time"/>
    <s v="No"/>
  </r>
  <r>
    <s v="AIJOB02383"/>
    <x v="16"/>
    <x v="14"/>
    <s v="Healthcare"/>
    <s v="Austin, United States"/>
    <s v="United States"/>
    <s v="Remote"/>
    <x v="0"/>
    <s v="0-2 yrs"/>
    <n v="74331"/>
    <x v="2378"/>
    <s v="Grok"/>
    <s v="Bachelor's"/>
    <n v="45405"/>
    <n v="300"/>
    <n v="1966"/>
    <s v="No"/>
    <n v="0"/>
    <s v="51-200"/>
    <s v="Full-time"/>
    <s v="No"/>
  </r>
  <r>
    <s v="AIJOB02384"/>
    <x v="19"/>
    <x v="28"/>
    <s v="Education"/>
    <s v="Austin, United States"/>
    <s v="United States"/>
    <s v="Remote"/>
    <x v="1"/>
    <s v="8+ yrs"/>
    <n v="198248"/>
    <x v="2379"/>
    <s v="Phi"/>
    <s v="Bachelor's"/>
    <n v="45580"/>
    <n v="1206"/>
    <n v="2488"/>
    <s v="Yes"/>
    <n v="6"/>
    <s v="201-1000"/>
    <s v="Contract"/>
    <s v="Yes"/>
  </r>
  <r>
    <s v="AIJOB02385"/>
    <x v="13"/>
    <x v="0"/>
    <s v="Energy"/>
    <s v="Stockholm, Sweden"/>
    <s v="Sweden"/>
    <s v="Remote"/>
    <x v="0"/>
    <s v="0-2 yrs"/>
    <n v="70413"/>
    <x v="2380"/>
    <s v="Mistral"/>
    <s v="Bachelor's"/>
    <n v="45492"/>
    <n v="796"/>
    <n v="1107"/>
    <s v="No"/>
    <n v="0"/>
    <s v="0-50"/>
    <s v="Part-time"/>
    <s v="No"/>
  </r>
  <r>
    <s v="AIJOB02386"/>
    <x v="7"/>
    <x v="11"/>
    <s v="Energy"/>
    <s v="Boston, United States"/>
    <s v="United States"/>
    <s v="On-site"/>
    <x v="3"/>
    <s v="5-8 yrs"/>
    <n v="129520"/>
    <x v="2381"/>
    <s v="GPT-4"/>
    <s v="Bachelor's"/>
    <n v="45476"/>
    <n v="387"/>
    <n v="585"/>
    <s v="Yes"/>
    <n v="4"/>
    <s v="0-50"/>
    <s v="Full-time"/>
    <s v="No"/>
  </r>
  <r>
    <s v="AIJOB02387"/>
    <x v="0"/>
    <x v="11"/>
    <s v="Defense"/>
    <s v="Chicago, United States"/>
    <s v="United States"/>
    <s v="Hybrid"/>
    <x v="0"/>
    <s v="0-2 yrs"/>
    <n v="67096"/>
    <x v="2382"/>
    <s v="None"/>
    <s v="Bootcamp/Self-taught"/>
    <n v="45723"/>
    <n v="1896"/>
    <n v="3347"/>
    <s v="Maybe"/>
    <n v="0"/>
    <s v="1001-5000"/>
    <s v="Full-time"/>
    <s v="No"/>
  </r>
  <r>
    <s v="AIJOB02388"/>
    <x v="2"/>
    <x v="26"/>
    <s v="Defense"/>
    <s v="London, United Kingdom"/>
    <s v="United Kingdom"/>
    <s v="On-site"/>
    <x v="1"/>
    <s v="8+ yrs"/>
    <n v="166727"/>
    <x v="2383"/>
    <s v="Mistral"/>
    <s v="Master's"/>
    <n v="45623"/>
    <n v="1716"/>
    <n v="1750"/>
    <s v="No"/>
    <n v="6"/>
    <s v="5000+"/>
    <s v="Contract"/>
    <s v="No"/>
  </r>
  <r>
    <s v="AIJOB02389"/>
    <x v="15"/>
    <x v="4"/>
    <s v="Automotive"/>
    <s v="Berlin, Germany"/>
    <s v="Germany"/>
    <s v="On-site"/>
    <x v="0"/>
    <s v="0-2 yrs"/>
    <n v="81216"/>
    <x v="2384"/>
    <s v="Command R"/>
    <s v="Bachelor's"/>
    <n v="45423"/>
    <n v="1493"/>
    <n v="3226"/>
    <s v="Yes"/>
    <n v="0"/>
    <s v="1001-5000"/>
    <s v="Full-time"/>
    <s v="No"/>
  </r>
  <r>
    <s v="AIJOB02390"/>
    <x v="14"/>
    <x v="8"/>
    <s v="Technology"/>
    <s v="Austin, United States"/>
    <s v="United States"/>
    <s v="Remote"/>
    <x v="3"/>
    <s v="5-8 yrs"/>
    <n v="177951"/>
    <x v="2385"/>
    <s v="Grok"/>
    <s v="Bootcamp/Self-taught"/>
    <n v="45734"/>
    <n v="1733"/>
    <n v="1259"/>
    <s v="No"/>
    <n v="4"/>
    <s v="201-1000"/>
    <s v="Full-time"/>
    <s v="No"/>
  </r>
  <r>
    <s v="AIJOB02391"/>
    <x v="3"/>
    <x v="21"/>
    <s v="Government"/>
    <s v="Berlin, Germany"/>
    <s v="Germany"/>
    <s v="Hybrid"/>
    <x v="1"/>
    <s v="8+ yrs"/>
    <n v="133537"/>
    <x v="2386"/>
    <s v="Gemini"/>
    <s v="Bachelor's"/>
    <n v="45396"/>
    <n v="2436"/>
    <n v="486"/>
    <s v="No"/>
    <n v="6"/>
    <s v="1001-5000"/>
    <s v="Full-time"/>
    <s v="Yes"/>
  </r>
  <r>
    <s v="AIJOB02392"/>
    <x v="3"/>
    <x v="20"/>
    <s v="Government"/>
    <s v="Los Angeles, United States"/>
    <s v="United States"/>
    <s v="Remote"/>
    <x v="2"/>
    <s v="2-5 yrs"/>
    <n v="91595"/>
    <x v="2387"/>
    <s v="Gemini"/>
    <s v="Bachelor's"/>
    <n v="45443"/>
    <n v="1623"/>
    <n v="3729"/>
    <s v="Maybe"/>
    <n v="2"/>
    <s v="0-50"/>
    <s v="Full-time"/>
    <s v="No"/>
  </r>
  <r>
    <s v="AIJOB02393"/>
    <x v="14"/>
    <x v="24"/>
    <s v="Government"/>
    <s v="Toronto, Canada"/>
    <s v="Canada"/>
    <s v="On-site"/>
    <x v="1"/>
    <s v="8+ yrs"/>
    <n v="146124"/>
    <x v="2388"/>
    <s v="None"/>
    <s v="Bachelor's"/>
    <n v="45571"/>
    <n v="429"/>
    <n v="404"/>
    <s v="No"/>
    <n v="6"/>
    <s v="1001-5000"/>
    <s v="Full-time"/>
    <s v="Yes"/>
  </r>
  <r>
    <s v="AIJOB02394"/>
    <x v="1"/>
    <x v="25"/>
    <s v="Finance"/>
    <s v="Stockholm, Sweden"/>
    <s v="Sweden"/>
    <s v="Remote"/>
    <x v="3"/>
    <s v="5-8 yrs"/>
    <n v="132449"/>
    <x v="2389"/>
    <s v="None"/>
    <s v="Bachelor's"/>
    <n v="45350"/>
    <n v="970"/>
    <n v="3292"/>
    <s v="No"/>
    <n v="4"/>
    <s v="201-1000"/>
    <s v="Full-time"/>
    <s v="Yes"/>
  </r>
  <r>
    <s v="AIJOB02395"/>
    <x v="17"/>
    <x v="4"/>
    <s v="Healthcare"/>
    <s v="Sydney, Australia"/>
    <s v="Australia"/>
    <s v="Remote"/>
    <x v="1"/>
    <s v="8+ yrs"/>
    <n v="196996"/>
    <x v="2390"/>
    <s v="None"/>
    <s v="Master's"/>
    <n v="45661"/>
    <n v="495"/>
    <n v="2283"/>
    <s v="No"/>
    <n v="6"/>
    <s v="201-1000"/>
    <s v="Full-time"/>
    <s v="No"/>
  </r>
  <r>
    <s v="AIJOB02396"/>
    <x v="5"/>
    <x v="15"/>
    <s v="Healthcare"/>
    <s v="Zurich, Switzerland"/>
    <s v="Switzerland"/>
    <s v="Hybrid"/>
    <x v="2"/>
    <s v="2-5 yrs"/>
    <n v="81297"/>
    <x v="2391"/>
    <s v="Claude"/>
    <s v="Master's"/>
    <n v="45371"/>
    <n v="1671"/>
    <n v="3142"/>
    <s v="No"/>
    <n v="2"/>
    <s v="201-1000"/>
    <s v="Full-time"/>
    <s v="No"/>
  </r>
  <r>
    <s v="AIJOB02397"/>
    <x v="3"/>
    <x v="1"/>
    <s v="Defense"/>
    <s v="Austin, United States"/>
    <s v="United States"/>
    <s v="Remote"/>
    <x v="3"/>
    <s v="5-8 yrs"/>
    <n v="125109"/>
    <x v="2392"/>
    <s v="None"/>
    <s v="Bachelor's"/>
    <n v="45418"/>
    <n v="800"/>
    <n v="3537"/>
    <s v="No"/>
    <n v="4"/>
    <s v="5000+"/>
    <s v="Full-time"/>
    <s v="Yes"/>
  </r>
  <r>
    <s v="AIJOB02398"/>
    <x v="10"/>
    <x v="24"/>
    <s v="Retail"/>
    <s v="Tokyo, Japan"/>
    <s v="Japan"/>
    <s v="Hybrid"/>
    <x v="2"/>
    <s v="2-5 yrs"/>
    <n v="90121"/>
    <x v="2393"/>
    <s v="BLOOM"/>
    <s v="PhD"/>
    <n v="45743"/>
    <n v="1221"/>
    <n v="3335"/>
    <s v="Yes"/>
    <n v="2"/>
    <s v="5000+"/>
    <s v="Contract"/>
    <s v="Yes"/>
  </r>
  <r>
    <s v="AIJOB02399"/>
    <x v="0"/>
    <x v="1"/>
    <s v="Technology"/>
    <s v="Tel Aviv, Israel"/>
    <s v="Israel"/>
    <s v="Hybrid"/>
    <x v="1"/>
    <s v="8+ yrs"/>
    <n v="207461"/>
    <x v="2394"/>
    <s v="None"/>
    <s v="PhD"/>
    <n v="45497"/>
    <n v="715"/>
    <n v="2380"/>
    <s v="No"/>
    <n v="6"/>
    <s v="5000+"/>
    <s v="Full-time"/>
    <s v="No"/>
  </r>
  <r>
    <s v="AIJOB02400"/>
    <x v="5"/>
    <x v="9"/>
    <s v="Finance"/>
    <s v="Amsterdam, Netherlands"/>
    <s v="Netherlands"/>
    <s v="Remote"/>
    <x v="3"/>
    <s v="5-8 yrs"/>
    <n v="151872"/>
    <x v="2395"/>
    <s v="Mistral"/>
    <s v="PhD"/>
    <n v="45515"/>
    <n v="1600"/>
    <n v="3061"/>
    <s v="No"/>
    <n v="4"/>
    <s v="1001-5000"/>
    <s v="Full-time"/>
    <s v="No"/>
  </r>
  <r>
    <s v="AIJOB02401"/>
    <x v="6"/>
    <x v="26"/>
    <s v="Healthcare"/>
    <s v="Tokyo, Japan"/>
    <s v="Japan"/>
    <s v="Remote"/>
    <x v="1"/>
    <s v="8+ yrs"/>
    <n v="174017"/>
    <x v="2396"/>
    <s v="None"/>
    <s v="Bootcamp/Self-taught"/>
    <n v="45485"/>
    <n v="1235"/>
    <n v="2013"/>
    <s v="No"/>
    <n v="6"/>
    <s v="51-200"/>
    <s v="Full-time"/>
    <s v="No"/>
  </r>
  <r>
    <s v="AIJOB02402"/>
    <x v="4"/>
    <x v="22"/>
    <s v="Retail"/>
    <s v="Austin, United States"/>
    <s v="United States"/>
    <s v="Remote"/>
    <x v="0"/>
    <s v="0-2 yrs"/>
    <n v="72227"/>
    <x v="2397"/>
    <s v="None"/>
    <s v="Bachelor's"/>
    <n v="45683"/>
    <n v="2136"/>
    <n v="1636"/>
    <s v="No"/>
    <n v="0"/>
    <s v="51-200"/>
    <s v="Full-time"/>
    <s v="No"/>
  </r>
  <r>
    <s v="AIJOB02403"/>
    <x v="10"/>
    <x v="19"/>
    <s v="Finance"/>
    <s v="Chicago, United States"/>
    <s v="United States"/>
    <s v="On-site"/>
    <x v="1"/>
    <s v="8+ yrs"/>
    <n v="180319"/>
    <x v="2398"/>
    <s v="Falcon"/>
    <s v="Master's"/>
    <n v="45572"/>
    <n v="2228"/>
    <n v="3255"/>
    <s v="Yes"/>
    <n v="6"/>
    <s v="201-1000"/>
    <s v="Full-time"/>
    <s v="Yes"/>
  </r>
  <r>
    <s v="AIJOB02404"/>
    <x v="7"/>
    <x v="26"/>
    <s v="Automotive"/>
    <s v="Amsterdam, Netherlands"/>
    <s v="Netherlands"/>
    <s v="Hybrid"/>
    <x v="1"/>
    <s v="8+ yrs"/>
    <n v="190220"/>
    <x v="2399"/>
    <s v="Mistral"/>
    <s v="Bachelor's"/>
    <n v="45402"/>
    <n v="1710"/>
    <n v="3530"/>
    <s v="No"/>
    <n v="6"/>
    <s v="0-50"/>
    <s v="Contract"/>
    <s v="No"/>
  </r>
  <r>
    <s v="AIJOB02405"/>
    <x v="3"/>
    <x v="18"/>
    <s v="Energy"/>
    <s v="London, United Kingdom"/>
    <s v="United Kingdom"/>
    <s v="Remote"/>
    <x v="1"/>
    <s v="8+ yrs"/>
    <n v="260244"/>
    <x v="2400"/>
    <s v="Mistral"/>
    <s v="Master's"/>
    <n v="45671"/>
    <n v="1237"/>
    <n v="3012"/>
    <s v="No"/>
    <n v="6"/>
    <s v="0-50"/>
    <s v="Full-time"/>
    <s v="No"/>
  </r>
  <r>
    <s v="AIJOB02406"/>
    <x v="16"/>
    <x v="1"/>
    <s v="Defense"/>
    <s v="Sydney, Australia"/>
    <s v="Australia"/>
    <s v="Hybrid"/>
    <x v="1"/>
    <s v="8+ yrs"/>
    <n v="248256"/>
    <x v="2401"/>
    <s v="Phi"/>
    <s v="Bachelor's"/>
    <n v="45391"/>
    <n v="1948"/>
    <n v="957"/>
    <s v="No"/>
    <n v="6"/>
    <s v="0-50"/>
    <s v="Full-time"/>
    <s v="No"/>
  </r>
  <r>
    <s v="AIJOB02407"/>
    <x v="10"/>
    <x v="12"/>
    <s v="Finance"/>
    <s v="Paris, France"/>
    <s v="France"/>
    <s v="Hybrid"/>
    <x v="3"/>
    <s v="5-8 yrs"/>
    <n v="114911"/>
    <x v="2402"/>
    <s v="Phi"/>
    <s v="Master's"/>
    <n v="45315"/>
    <n v="2075"/>
    <n v="50"/>
    <s v="No"/>
    <n v="4"/>
    <s v="0-50"/>
    <s v="Contract"/>
    <s v="No"/>
  </r>
  <r>
    <s v="AIJOB02408"/>
    <x v="2"/>
    <x v="19"/>
    <s v="Healthcare"/>
    <s v="Dublin, Ireland"/>
    <s v="Ireland"/>
    <s v="Hybrid"/>
    <x v="0"/>
    <s v="0-2 yrs"/>
    <n v="80454"/>
    <x v="2403"/>
    <s v="Phi"/>
    <s v="Master's"/>
    <n v="45311"/>
    <n v="2214"/>
    <n v="850"/>
    <s v="No"/>
    <n v="0"/>
    <s v="1001-5000"/>
    <s v="Full-time"/>
    <s v="No"/>
  </r>
  <r>
    <s v="AIJOB02409"/>
    <x v="1"/>
    <x v="5"/>
    <s v="Finance"/>
    <s v="Singapore"/>
    <s v="Singapore"/>
    <s v="Hybrid"/>
    <x v="1"/>
    <s v="8+ yrs"/>
    <n v="229210"/>
    <x v="2404"/>
    <s v="None"/>
    <s v="Bachelor's"/>
    <n v="45514"/>
    <n v="847"/>
    <n v="3135"/>
    <s v="Yes"/>
    <n v="6"/>
    <s v="51-200"/>
    <s v="Full-time"/>
    <s v="No"/>
  </r>
  <r>
    <s v="AIJOB02410"/>
    <x v="5"/>
    <x v="24"/>
    <s v="Media"/>
    <s v="San Francisco, United States"/>
    <s v="United States"/>
    <s v="Hybrid"/>
    <x v="3"/>
    <s v="5-8 yrs"/>
    <n v="118996"/>
    <x v="2405"/>
    <s v="Mistral"/>
    <s v="Bachelor's"/>
    <n v="45293"/>
    <n v="1057"/>
    <n v="2981"/>
    <s v="No"/>
    <n v="4"/>
    <s v="5000+"/>
    <s v="Full-time"/>
    <s v="Yes"/>
  </r>
  <r>
    <s v="AIJOB02411"/>
    <x v="0"/>
    <x v="11"/>
    <s v="Energy"/>
    <s v="Paris, France"/>
    <s v="France"/>
    <s v="On-site"/>
    <x v="2"/>
    <s v="2-5 yrs"/>
    <n v="126211"/>
    <x v="2406"/>
    <s v="Phi"/>
    <s v="Bachelor's"/>
    <n v="45535"/>
    <n v="1714"/>
    <n v="3688"/>
    <s v="Yes"/>
    <n v="2"/>
    <s v="5000+"/>
    <s v="Full-time"/>
    <s v="No"/>
  </r>
  <r>
    <s v="AIJOB02412"/>
    <x v="1"/>
    <x v="9"/>
    <s v="Energy"/>
    <s v="New York, United States"/>
    <s v="United States"/>
    <s v="On-site"/>
    <x v="2"/>
    <s v="2-5 yrs"/>
    <n v="140451"/>
    <x v="2407"/>
    <s v="Llama"/>
    <s v="Master's"/>
    <n v="45337"/>
    <n v="2239"/>
    <n v="3119"/>
    <s v="No"/>
    <n v="2"/>
    <s v="1001-5000"/>
    <s v="Full-time"/>
    <s v="No"/>
  </r>
  <r>
    <s v="AIJOB02413"/>
    <x v="5"/>
    <x v="13"/>
    <s v="Media"/>
    <s v="Tel Aviv, Israel"/>
    <s v="Israel"/>
    <s v="Remote"/>
    <x v="0"/>
    <s v="0-2 yrs"/>
    <n v="55855"/>
    <x v="2408"/>
    <s v="Grok"/>
    <s v="Master's"/>
    <n v="45645"/>
    <n v="605"/>
    <n v="721"/>
    <s v="No"/>
    <n v="0"/>
    <s v="51-200"/>
    <s v="Full-time"/>
    <s v="No"/>
  </r>
  <r>
    <s v="AIJOB02414"/>
    <x v="6"/>
    <x v="19"/>
    <s v="Education"/>
    <s v="Zurich, Switzerland"/>
    <s v="Switzerland"/>
    <s v="Remote"/>
    <x v="3"/>
    <s v="5-8 yrs"/>
    <n v="125227"/>
    <x v="2409"/>
    <s v="Gemini"/>
    <s v="Master's"/>
    <n v="45679"/>
    <n v="2417"/>
    <n v="404"/>
    <s v="No"/>
    <n v="4"/>
    <s v="5000+"/>
    <s v="Full-time"/>
    <s v="No"/>
  </r>
  <r>
    <s v="AIJOB02415"/>
    <x v="7"/>
    <x v="14"/>
    <s v="Energy"/>
    <s v="Zurich, Switzerland"/>
    <s v="Switzerland"/>
    <s v="Hybrid"/>
    <x v="1"/>
    <s v="8+ yrs"/>
    <n v="236635"/>
    <x v="2410"/>
    <s v="Mistral"/>
    <s v="Master's"/>
    <n v="45368"/>
    <n v="650"/>
    <n v="1405"/>
    <s v="No"/>
    <n v="6"/>
    <s v="51-200"/>
    <s v="Full-time"/>
    <s v="Yes"/>
  </r>
  <r>
    <s v="AIJOB02416"/>
    <x v="11"/>
    <x v="16"/>
    <s v="Healthcare"/>
    <s v="Stockholm, Sweden"/>
    <s v="Sweden"/>
    <s v="Remote"/>
    <x v="1"/>
    <s v="8+ yrs"/>
    <n v="209773"/>
    <x v="2411"/>
    <s v="None"/>
    <s v="Master's"/>
    <n v="45639"/>
    <n v="303"/>
    <n v="1055"/>
    <s v="No"/>
    <n v="6"/>
    <s v="0-50"/>
    <s v="Part-time"/>
    <s v="No"/>
  </r>
  <r>
    <s v="AIJOB02417"/>
    <x v="15"/>
    <x v="26"/>
    <s v="Education"/>
    <s v="Stockholm, Sweden"/>
    <s v="Sweden"/>
    <s v="Remote"/>
    <x v="0"/>
    <s v="0-2 yrs"/>
    <n v="76948"/>
    <x v="2412"/>
    <s v="Gemini"/>
    <s v="Master's"/>
    <n v="45506"/>
    <n v="2043"/>
    <n v="2887"/>
    <s v="Yes"/>
    <n v="0"/>
    <s v="51-200"/>
    <s v="Contract"/>
    <s v="Yes"/>
  </r>
  <r>
    <s v="AIJOB02418"/>
    <x v="14"/>
    <x v="23"/>
    <s v="Retail"/>
    <s v="Los Angeles, United States"/>
    <s v="United States"/>
    <s v="Remote"/>
    <x v="1"/>
    <s v="8+ yrs"/>
    <n v="212261"/>
    <x v="2413"/>
    <s v="Claude"/>
    <s v="Master's"/>
    <n v="45504"/>
    <n v="501"/>
    <n v="1757"/>
    <s v="No"/>
    <n v="6"/>
    <s v="1001-5000"/>
    <s v="Full-time"/>
    <s v="No"/>
  </r>
  <r>
    <s v="AIJOB02419"/>
    <x v="12"/>
    <x v="28"/>
    <s v="Media"/>
    <s v="Paris, France"/>
    <s v="France"/>
    <s v="On-site"/>
    <x v="3"/>
    <s v="5-8 yrs"/>
    <n v="160548"/>
    <x v="2414"/>
    <s v="None"/>
    <s v="PhD"/>
    <n v="45504"/>
    <n v="2377"/>
    <n v="1125"/>
    <s v="No"/>
    <n v="4"/>
    <s v="201-1000"/>
    <s v="Full-time"/>
    <s v="No"/>
  </r>
  <r>
    <s v="AIJOB02420"/>
    <x v="8"/>
    <x v="29"/>
    <s v="Retail"/>
    <s v="Zurich, Switzerland"/>
    <s v="Switzerland"/>
    <s v="Remote"/>
    <x v="3"/>
    <s v="5-8 yrs"/>
    <n v="114185"/>
    <x v="2415"/>
    <s v="Phi"/>
    <s v="Master's"/>
    <n v="45604"/>
    <n v="1578"/>
    <n v="2227"/>
    <s v="Maybe"/>
    <n v="4"/>
    <s v="51-200"/>
    <s v="Full-time"/>
    <s v="No"/>
  </r>
  <r>
    <s v="AIJOB02421"/>
    <x v="11"/>
    <x v="27"/>
    <s v="Finance"/>
    <s v="Sydney, Australia"/>
    <s v="Australia"/>
    <s v="Remote"/>
    <x v="0"/>
    <s v="0-2 yrs"/>
    <n v="83196"/>
    <x v="2416"/>
    <s v="GPT-4"/>
    <s v="Bootcamp/Self-taught"/>
    <n v="45428"/>
    <n v="2417"/>
    <n v="718"/>
    <s v="No"/>
    <n v="0"/>
    <s v="5000+"/>
    <s v="Full-time"/>
    <s v="No"/>
  </r>
  <r>
    <s v="AIJOB02422"/>
    <x v="11"/>
    <x v="14"/>
    <s v="Technology"/>
    <s v="San Francisco, United States"/>
    <s v="United States"/>
    <s v="On-site"/>
    <x v="0"/>
    <s v="0-2 yrs"/>
    <n v="84736"/>
    <x v="2417"/>
    <s v="Phi"/>
    <s v="Master's"/>
    <n v="45516"/>
    <n v="2310"/>
    <n v="1056"/>
    <s v="Yes"/>
    <n v="0"/>
    <s v="51-200"/>
    <s v="Full-time"/>
    <s v="No"/>
  </r>
  <r>
    <s v="AIJOB02423"/>
    <x v="1"/>
    <x v="11"/>
    <s v="Defense"/>
    <s v="Dublin, Ireland"/>
    <s v="Ireland"/>
    <s v="Hybrid"/>
    <x v="0"/>
    <s v="0-2 yrs"/>
    <n v="67109"/>
    <x v="2418"/>
    <s v="None"/>
    <s v="PhD"/>
    <n v="45455"/>
    <n v="2194"/>
    <n v="3769"/>
    <s v="Maybe"/>
    <n v="0"/>
    <s v="1001-5000"/>
    <s v="Contract"/>
    <s v="No"/>
  </r>
  <r>
    <s v="AIJOB02424"/>
    <x v="9"/>
    <x v="20"/>
    <s v="Government"/>
    <s v="Seattle, United States"/>
    <s v="United States"/>
    <s v="Remote"/>
    <x v="2"/>
    <s v="2-5 yrs"/>
    <n v="109139"/>
    <x v="2419"/>
    <s v="Mistral"/>
    <s v="Bootcamp/Self-taught"/>
    <n v="45610"/>
    <n v="570"/>
    <n v="3644"/>
    <s v="Maybe"/>
    <n v="2"/>
    <s v="201-1000"/>
    <s v="Full-time"/>
    <s v="Yes"/>
  </r>
  <r>
    <s v="AIJOB02425"/>
    <x v="8"/>
    <x v="24"/>
    <s v="Technology"/>
    <s v="Dublin, Ireland"/>
    <s v="Ireland"/>
    <s v="Remote"/>
    <x v="3"/>
    <s v="5-8 yrs"/>
    <n v="108660"/>
    <x v="2420"/>
    <s v="None"/>
    <s v="PhD"/>
    <n v="45616"/>
    <n v="1915"/>
    <n v="252"/>
    <s v="Maybe"/>
    <n v="4"/>
    <s v="201-1000"/>
    <s v="Part-time"/>
    <s v="No"/>
  </r>
  <r>
    <s v="AIJOB02426"/>
    <x v="10"/>
    <x v="14"/>
    <s v="Finance"/>
    <s v="London, United Kingdom"/>
    <s v="United Kingdom"/>
    <s v="Remote"/>
    <x v="3"/>
    <s v="5-8 yrs"/>
    <n v="163884"/>
    <x v="2421"/>
    <s v="BLOOM"/>
    <s v="Master's"/>
    <n v="45499"/>
    <n v="573"/>
    <n v="2713"/>
    <s v="No"/>
    <n v="4"/>
    <s v="0-50"/>
    <s v="Full-time"/>
    <s v="Yes"/>
  </r>
  <r>
    <s v="AIJOB02427"/>
    <x v="15"/>
    <x v="16"/>
    <s v="Defense"/>
    <s v="Sydney, Australia"/>
    <s v="Australia"/>
    <s v="Hybrid"/>
    <x v="3"/>
    <s v="5-8 yrs"/>
    <n v="165445"/>
    <x v="2422"/>
    <s v="BLOOM"/>
    <s v="Bootcamp/Self-taught"/>
    <n v="45484"/>
    <n v="1644"/>
    <n v="1886"/>
    <s v="No"/>
    <n v="4"/>
    <s v="201-1000"/>
    <s v="Full-time"/>
    <s v="No"/>
  </r>
  <r>
    <s v="AIJOB02428"/>
    <x v="11"/>
    <x v="25"/>
    <s v="Defense"/>
    <s v="Amsterdam, Netherlands"/>
    <s v="Netherlands"/>
    <s v="Hybrid"/>
    <x v="2"/>
    <s v="2-5 yrs"/>
    <n v="108768"/>
    <x v="2423"/>
    <s v="Mistral"/>
    <s v="Bootcamp/Self-taught"/>
    <n v="45384"/>
    <n v="1939"/>
    <n v="1554"/>
    <s v="No"/>
    <n v="2"/>
    <s v="5000+"/>
    <s v="Contract"/>
    <s v="No"/>
  </r>
  <r>
    <s v="AIJOB02429"/>
    <x v="0"/>
    <x v="22"/>
    <s v="Energy"/>
    <s v="Austin, United States"/>
    <s v="United States"/>
    <s v="Hybrid"/>
    <x v="1"/>
    <s v="8+ yrs"/>
    <n v="240476"/>
    <x v="2424"/>
    <s v="Llama"/>
    <s v="Master's"/>
    <n v="45310"/>
    <n v="1666"/>
    <n v="441"/>
    <s v="Yes"/>
    <n v="6"/>
    <s v="1001-5000"/>
    <s v="Full-time"/>
    <s v="No"/>
  </r>
  <r>
    <s v="AIJOB02430"/>
    <x v="7"/>
    <x v="25"/>
    <s v="Automotive"/>
    <s v="Tokyo, Japan"/>
    <s v="Japan"/>
    <s v="Remote"/>
    <x v="1"/>
    <s v="8+ yrs"/>
    <n v="187973"/>
    <x v="2425"/>
    <s v="GPT-4"/>
    <s v="Bachelor's"/>
    <n v="45376"/>
    <n v="587"/>
    <n v="2821"/>
    <s v="Yes"/>
    <n v="6"/>
    <s v="51-200"/>
    <s v="Full-time"/>
    <s v="No"/>
  </r>
  <r>
    <s v="AIJOB02431"/>
    <x v="18"/>
    <x v="19"/>
    <s v="Energy"/>
    <s v="Bangalore, India"/>
    <s v="India"/>
    <s v="Hybrid"/>
    <x v="3"/>
    <s v="5-8 yrs"/>
    <n v="165244"/>
    <x v="2426"/>
    <s v="BLOOM"/>
    <s v="Master's"/>
    <n v="45597"/>
    <n v="1322"/>
    <n v="245"/>
    <s v="No"/>
    <n v="4"/>
    <s v="51-200"/>
    <s v="Part-time"/>
    <s v="Yes"/>
  </r>
  <r>
    <s v="AIJOB02432"/>
    <x v="10"/>
    <x v="24"/>
    <s v="Media"/>
    <s v="Bangalore, India"/>
    <s v="India"/>
    <s v="Hybrid"/>
    <x v="2"/>
    <s v="2-5 yrs"/>
    <n v="89810"/>
    <x v="2427"/>
    <s v="Command R"/>
    <s v="Bootcamp/Self-taught"/>
    <n v="45623"/>
    <n v="1779"/>
    <n v="3305"/>
    <s v="No"/>
    <n v="2"/>
    <s v="51-200"/>
    <s v="Contract"/>
    <s v="No"/>
  </r>
  <r>
    <s v="AIJOB02433"/>
    <x v="3"/>
    <x v="2"/>
    <s v="Finance"/>
    <s v="Tokyo, Japan"/>
    <s v="Japan"/>
    <s v="Remote"/>
    <x v="3"/>
    <s v="5-8 yrs"/>
    <n v="149364"/>
    <x v="2428"/>
    <s v="None"/>
    <s v="PhD"/>
    <n v="45403"/>
    <n v="423"/>
    <n v="3440"/>
    <s v="No"/>
    <n v="4"/>
    <s v="201-1000"/>
    <s v="Full-time"/>
    <s v="Yes"/>
  </r>
  <r>
    <s v="AIJOB02434"/>
    <x v="15"/>
    <x v="9"/>
    <s v="Media"/>
    <s v="Sydney, Australia"/>
    <s v="Australia"/>
    <s v="Remote"/>
    <x v="3"/>
    <s v="5-8 yrs"/>
    <n v="145292"/>
    <x v="2429"/>
    <s v="Claude"/>
    <s v="Master's"/>
    <n v="45669"/>
    <n v="1404"/>
    <n v="3149"/>
    <s v="No"/>
    <n v="4"/>
    <s v="1001-5000"/>
    <s v="Contract"/>
    <s v="No"/>
  </r>
  <r>
    <s v="AIJOB02435"/>
    <x v="12"/>
    <x v="1"/>
    <s v="Defense"/>
    <s v="Tokyo, Japan"/>
    <s v="Japan"/>
    <s v="On-site"/>
    <x v="1"/>
    <s v="8+ yrs"/>
    <n v="208111"/>
    <x v="2430"/>
    <s v="Llama"/>
    <s v="Bachelor's"/>
    <n v="45557"/>
    <n v="1468"/>
    <n v="2508"/>
    <s v="Yes"/>
    <n v="6"/>
    <s v="201-1000"/>
    <s v="Contract"/>
    <s v="Yes"/>
  </r>
  <r>
    <s v="AIJOB02436"/>
    <x v="2"/>
    <x v="13"/>
    <s v="Technology"/>
    <s v="Bangalore, India"/>
    <s v="India"/>
    <s v="Remote"/>
    <x v="2"/>
    <s v="2-5 yrs"/>
    <n v="102683"/>
    <x v="2431"/>
    <s v="BLOOM"/>
    <s v="Master's"/>
    <n v="45362"/>
    <n v="1334"/>
    <n v="1894"/>
    <s v="No"/>
    <n v="2"/>
    <s v="51-200"/>
    <s v="Full-time"/>
    <s v="Yes"/>
  </r>
  <r>
    <s v="AIJOB02437"/>
    <x v="17"/>
    <x v="7"/>
    <s v="Technology"/>
    <s v="Austin, United States"/>
    <s v="United States"/>
    <s v="On-site"/>
    <x v="1"/>
    <s v="8+ yrs"/>
    <n v="195266"/>
    <x v="2432"/>
    <s v="Gemini"/>
    <s v="Bachelor's"/>
    <n v="45738"/>
    <n v="1995"/>
    <n v="2153"/>
    <s v="Maybe"/>
    <n v="6"/>
    <s v="5000+"/>
    <s v="Full-time"/>
    <s v="No"/>
  </r>
  <r>
    <s v="AIJOB02438"/>
    <x v="13"/>
    <x v="26"/>
    <s v="Defense"/>
    <s v="Stockholm, Sweden"/>
    <s v="Sweden"/>
    <s v="Hybrid"/>
    <x v="3"/>
    <s v="5-8 yrs"/>
    <n v="172303"/>
    <x v="2433"/>
    <s v="Claude"/>
    <s v="Master's"/>
    <n v="45527"/>
    <n v="1182"/>
    <n v="3442"/>
    <s v="No"/>
    <n v="4"/>
    <s v="51-200"/>
    <s v="Part-time"/>
    <s v="Yes"/>
  </r>
  <r>
    <s v="AIJOB02439"/>
    <x v="14"/>
    <x v="20"/>
    <s v="Media"/>
    <s v="Sydney, Australia"/>
    <s v="Australia"/>
    <s v="Hybrid"/>
    <x v="1"/>
    <s v="8+ yrs"/>
    <n v="184276"/>
    <x v="2434"/>
    <s v="BLOOM"/>
    <s v="Master's"/>
    <n v="45706"/>
    <n v="2100"/>
    <n v="3019"/>
    <s v="No"/>
    <n v="6"/>
    <s v="5000+"/>
    <s v="Full-time"/>
    <s v="Yes"/>
  </r>
  <r>
    <s v="AIJOB02440"/>
    <x v="7"/>
    <x v="5"/>
    <s v="Media"/>
    <s v="Stockholm, Sweden"/>
    <s v="Sweden"/>
    <s v="Remote"/>
    <x v="2"/>
    <s v="2-5 yrs"/>
    <n v="78189"/>
    <x v="2435"/>
    <s v="Grok"/>
    <s v="Master's"/>
    <n v="45697"/>
    <n v="1335"/>
    <n v="1658"/>
    <s v="No"/>
    <n v="2"/>
    <s v="201-1000"/>
    <s v="Full-time"/>
    <s v="No"/>
  </r>
  <r>
    <s v="AIJOB02441"/>
    <x v="18"/>
    <x v="27"/>
    <s v="Finance"/>
    <s v="Chicago, United States"/>
    <s v="United States"/>
    <s v="Remote"/>
    <x v="2"/>
    <s v="2-5 yrs"/>
    <n v="144641"/>
    <x v="2436"/>
    <s v="Claude"/>
    <s v="Master's"/>
    <n v="45703"/>
    <n v="1857"/>
    <n v="707"/>
    <s v="Yes"/>
    <n v="2"/>
    <s v="5000+"/>
    <s v="Full-time"/>
    <s v="No"/>
  </r>
  <r>
    <s v="AIJOB02442"/>
    <x v="15"/>
    <x v="1"/>
    <s v="Technology"/>
    <s v="Amsterdam, Netherlands"/>
    <s v="Netherlands"/>
    <s v="On-site"/>
    <x v="2"/>
    <s v="2-5 yrs"/>
    <n v="137352"/>
    <x v="2437"/>
    <s v="BLOOM"/>
    <s v="Bachelor's"/>
    <n v="45375"/>
    <n v="1753"/>
    <n v="1645"/>
    <s v="No"/>
    <n v="2"/>
    <s v="5000+"/>
    <s v="Full-time"/>
    <s v="Yes"/>
  </r>
  <r>
    <s v="AIJOB02443"/>
    <x v="4"/>
    <x v="11"/>
    <s v="Government"/>
    <s v="Singapore"/>
    <s v="Singapore"/>
    <s v="Remote"/>
    <x v="2"/>
    <s v="2-5 yrs"/>
    <n v="84413"/>
    <x v="2438"/>
    <s v="None"/>
    <s v="Master's"/>
    <n v="45694"/>
    <n v="1639"/>
    <n v="2115"/>
    <s v="No"/>
    <n v="2"/>
    <s v="51-200"/>
    <s v="Full-time"/>
    <s v="No"/>
  </r>
  <r>
    <s v="AIJOB02444"/>
    <x v="4"/>
    <x v="0"/>
    <s v="Defense"/>
    <s v="Tel Aviv, Israel"/>
    <s v="Israel"/>
    <s v="Remote"/>
    <x v="2"/>
    <s v="2-5 yrs"/>
    <n v="123656"/>
    <x v="2439"/>
    <s v="None"/>
    <s v="Master's"/>
    <n v="45664"/>
    <n v="933"/>
    <n v="91"/>
    <s v="Yes"/>
    <n v="2"/>
    <s v="201-1000"/>
    <s v="Full-time"/>
    <s v="Yes"/>
  </r>
  <r>
    <s v="AIJOB02445"/>
    <x v="11"/>
    <x v="17"/>
    <s v="Media"/>
    <s v="Seattle, United States"/>
    <s v="United States"/>
    <s v="Remote"/>
    <x v="1"/>
    <s v="8+ yrs"/>
    <n v="181892"/>
    <x v="2440"/>
    <s v="None"/>
    <s v="Bachelor's"/>
    <n v="45715"/>
    <n v="356"/>
    <n v="885"/>
    <s v="Yes"/>
    <n v="6"/>
    <s v="201-1000"/>
    <s v="Full-time"/>
    <s v="No"/>
  </r>
  <r>
    <s v="AIJOB02446"/>
    <x v="8"/>
    <x v="22"/>
    <s v="Media"/>
    <s v="Toronto, Canada"/>
    <s v="Canada"/>
    <s v="Hybrid"/>
    <x v="2"/>
    <s v="2-5 yrs"/>
    <n v="115217"/>
    <x v="2441"/>
    <s v="Falcon"/>
    <s v="PhD"/>
    <n v="45480"/>
    <n v="822"/>
    <n v="3361"/>
    <s v="No"/>
    <n v="2"/>
    <s v="0-50"/>
    <s v="Full-time"/>
    <s v="No"/>
  </r>
  <r>
    <s v="AIJOB02447"/>
    <x v="2"/>
    <x v="25"/>
    <s v="Healthcare"/>
    <s v="Bangalore, India"/>
    <s v="India"/>
    <s v="Hybrid"/>
    <x v="1"/>
    <s v="8+ yrs"/>
    <n v="210592"/>
    <x v="2442"/>
    <s v="Phi"/>
    <s v="PhD"/>
    <n v="45515"/>
    <n v="2389"/>
    <n v="3688"/>
    <s v="No"/>
    <n v="6"/>
    <s v="201-1000"/>
    <s v="Full-time"/>
    <s v="No"/>
  </r>
  <r>
    <s v="AIJOB02448"/>
    <x v="9"/>
    <x v="23"/>
    <s v="Energy"/>
    <s v="Amsterdam, Netherlands"/>
    <s v="Netherlands"/>
    <s v="On-site"/>
    <x v="3"/>
    <s v="5-8 yrs"/>
    <n v="143670"/>
    <x v="2443"/>
    <s v="Command R"/>
    <s v="Bachelor's"/>
    <n v="45467"/>
    <n v="1316"/>
    <n v="3213"/>
    <s v="Maybe"/>
    <n v="4"/>
    <s v="5000+"/>
    <s v="Full-time"/>
    <s v="No"/>
  </r>
  <r>
    <s v="AIJOB02449"/>
    <x v="18"/>
    <x v="16"/>
    <s v="Government"/>
    <s v="Paris, France"/>
    <s v="France"/>
    <s v="Hybrid"/>
    <x v="0"/>
    <s v="0-2 yrs"/>
    <n v="60124"/>
    <x v="2444"/>
    <s v="Phi"/>
    <s v="Bachelor's"/>
    <n v="45423"/>
    <n v="2494"/>
    <n v="3633"/>
    <s v="Maybe"/>
    <n v="0"/>
    <s v="201-1000"/>
    <s v="Full-time"/>
    <s v="Yes"/>
  </r>
  <r>
    <s v="AIJOB02450"/>
    <x v="18"/>
    <x v="10"/>
    <s v="Media"/>
    <s v="Los Angeles, United States"/>
    <s v="United States"/>
    <s v="Hybrid"/>
    <x v="3"/>
    <s v="5-8 yrs"/>
    <n v="131355"/>
    <x v="2445"/>
    <s v="None"/>
    <s v="Bachelor's"/>
    <n v="45331"/>
    <n v="1728"/>
    <n v="3169"/>
    <s v="No"/>
    <n v="4"/>
    <s v="51-200"/>
    <s v="Full-time"/>
    <s v="Yes"/>
  </r>
  <r>
    <s v="AIJOB02451"/>
    <x v="7"/>
    <x v="21"/>
    <s v="Healthcare"/>
    <s v="Paris, France"/>
    <s v="France"/>
    <s v="Remote"/>
    <x v="0"/>
    <s v="0-2 yrs"/>
    <n v="58455"/>
    <x v="2446"/>
    <s v="None"/>
    <s v="Master's"/>
    <n v="45565"/>
    <n v="1612"/>
    <n v="1051"/>
    <s v="No"/>
    <n v="0"/>
    <s v="0-50"/>
    <s v="Full-time"/>
    <s v="Yes"/>
  </r>
  <r>
    <s v="AIJOB02452"/>
    <x v="9"/>
    <x v="16"/>
    <s v="Technology"/>
    <s v="Zurich, Switzerland"/>
    <s v="Switzerland"/>
    <s v="Remote"/>
    <x v="0"/>
    <s v="0-2 yrs"/>
    <n v="59519"/>
    <x v="2447"/>
    <s v="GPT-4"/>
    <s v="Bachelor's"/>
    <n v="45316"/>
    <n v="1412"/>
    <n v="2606"/>
    <s v="No"/>
    <n v="0"/>
    <s v="51-200"/>
    <s v="Part-time"/>
    <s v="No"/>
  </r>
  <r>
    <s v="AIJOB02453"/>
    <x v="15"/>
    <x v="8"/>
    <s v="Energy"/>
    <s v="Berlin, Germany"/>
    <s v="Germany"/>
    <s v="Remote"/>
    <x v="1"/>
    <s v="8+ yrs"/>
    <n v="197581"/>
    <x v="2448"/>
    <s v="None"/>
    <s v="Master's"/>
    <n v="45461"/>
    <n v="2339"/>
    <n v="1531"/>
    <s v="No"/>
    <n v="6"/>
    <s v="201-1000"/>
    <s v="Contract"/>
    <s v="Yes"/>
  </r>
  <r>
    <s v="AIJOB02454"/>
    <x v="7"/>
    <x v="5"/>
    <s v="Energy"/>
    <s v="Tokyo, Japan"/>
    <s v="Japan"/>
    <s v="Remote"/>
    <x v="2"/>
    <s v="2-5 yrs"/>
    <n v="95827"/>
    <x v="2449"/>
    <s v="Phi"/>
    <s v="Master's"/>
    <n v="45589"/>
    <n v="2122"/>
    <n v="2250"/>
    <s v="No"/>
    <n v="2"/>
    <s v="51-200"/>
    <s v="Contract"/>
    <s v="No"/>
  </r>
  <r>
    <s v="AIJOB02455"/>
    <x v="13"/>
    <x v="7"/>
    <s v="Defense"/>
    <s v="Tel Aviv, Israel"/>
    <s v="Israel"/>
    <s v="Remote"/>
    <x v="3"/>
    <s v="5-8 yrs"/>
    <n v="168415"/>
    <x v="2450"/>
    <s v="None"/>
    <s v="Master's"/>
    <n v="45736"/>
    <n v="1780"/>
    <n v="2595"/>
    <s v="No"/>
    <n v="4"/>
    <s v="5000+"/>
    <s v="Full-time"/>
    <s v="No"/>
  </r>
  <r>
    <s v="AIJOB02456"/>
    <x v="13"/>
    <x v="8"/>
    <s v="Retail"/>
    <s v="Sydney, Australia"/>
    <s v="Australia"/>
    <s v="Remote"/>
    <x v="1"/>
    <s v="8+ yrs"/>
    <n v="253540"/>
    <x v="2451"/>
    <s v="GPT-4"/>
    <s v="Bootcamp/Self-taught"/>
    <n v="45506"/>
    <n v="2132"/>
    <n v="417"/>
    <s v="Maybe"/>
    <n v="6"/>
    <s v="5000+"/>
    <s v="Full-time"/>
    <s v="No"/>
  </r>
  <r>
    <s v="AIJOB02457"/>
    <x v="18"/>
    <x v="29"/>
    <s v="Healthcare"/>
    <s v="Zurich, Switzerland"/>
    <s v="Switzerland"/>
    <s v="Hybrid"/>
    <x v="0"/>
    <s v="0-2 yrs"/>
    <n v="62691"/>
    <x v="2452"/>
    <s v="None"/>
    <s v="Bachelor's"/>
    <n v="45308"/>
    <n v="1939"/>
    <n v="3258"/>
    <s v="Maybe"/>
    <n v="0"/>
    <s v="0-50"/>
    <s v="Contract"/>
    <s v="No"/>
  </r>
  <r>
    <s v="AIJOB02458"/>
    <x v="9"/>
    <x v="14"/>
    <s v="Automotive"/>
    <s v="Chicago, United States"/>
    <s v="United States"/>
    <s v="On-site"/>
    <x v="0"/>
    <s v="0-2 yrs"/>
    <n v="73016"/>
    <x v="2453"/>
    <s v="Mistral"/>
    <s v="Bachelor's"/>
    <n v="45564"/>
    <n v="2256"/>
    <n v="974"/>
    <s v="No"/>
    <n v="0"/>
    <s v="5000+"/>
    <s v="Full-time"/>
    <s v="No"/>
  </r>
  <r>
    <s v="AIJOB02459"/>
    <x v="6"/>
    <x v="12"/>
    <s v="Media"/>
    <s v="London, United Kingdom"/>
    <s v="United Kingdom"/>
    <s v="Remote"/>
    <x v="0"/>
    <s v="0-2 yrs"/>
    <n v="76296"/>
    <x v="2454"/>
    <s v="Claude"/>
    <s v="Master's"/>
    <n v="45321"/>
    <n v="1334"/>
    <n v="3810"/>
    <s v="Yes"/>
    <n v="0"/>
    <s v="1001-5000"/>
    <s v="Full-time"/>
    <s v="No"/>
  </r>
  <r>
    <s v="AIJOB02460"/>
    <x v="11"/>
    <x v="18"/>
    <s v="Government"/>
    <s v="Los Angeles, United States"/>
    <s v="United States"/>
    <s v="Remote"/>
    <x v="1"/>
    <s v="8+ yrs"/>
    <n v="216992"/>
    <x v="2455"/>
    <s v="Gemini"/>
    <s v="Master's"/>
    <n v="45325"/>
    <n v="853"/>
    <n v="2881"/>
    <s v="No"/>
    <n v="6"/>
    <s v="5000+"/>
    <s v="Full-time"/>
    <s v="No"/>
  </r>
  <r>
    <s v="AIJOB02461"/>
    <x v="9"/>
    <x v="1"/>
    <s v="Healthcare"/>
    <s v="San Francisco, United States"/>
    <s v="United States"/>
    <s v="Remote"/>
    <x v="0"/>
    <s v="0-2 yrs"/>
    <n v="70957"/>
    <x v="2456"/>
    <s v="Claude"/>
    <s v="Bootcamp/Self-taught"/>
    <n v="45489"/>
    <n v="491"/>
    <n v="253"/>
    <s v="No"/>
    <n v="0"/>
    <s v="1001-5000"/>
    <s v="Full-time"/>
    <s v="No"/>
  </r>
  <r>
    <s v="AIJOB02462"/>
    <x v="11"/>
    <x v="24"/>
    <s v="Healthcare"/>
    <s v="Amsterdam, Netherlands"/>
    <s v="Netherlands"/>
    <s v="Remote"/>
    <x v="1"/>
    <s v="8+ yrs"/>
    <n v="226736"/>
    <x v="2457"/>
    <s v="BLOOM"/>
    <s v="Bachelor's"/>
    <n v="45311"/>
    <n v="1531"/>
    <n v="1574"/>
    <s v="No"/>
    <n v="6"/>
    <s v="201-1000"/>
    <s v="Part-time"/>
    <s v="No"/>
  </r>
  <r>
    <s v="AIJOB02463"/>
    <x v="17"/>
    <x v="20"/>
    <s v="Finance"/>
    <s v="New York, United States"/>
    <s v="United States"/>
    <s v="Hybrid"/>
    <x v="1"/>
    <s v="8+ yrs"/>
    <n v="217360"/>
    <x v="2458"/>
    <s v="Grok"/>
    <s v="Bachelor's"/>
    <n v="45323"/>
    <n v="782"/>
    <n v="171"/>
    <s v="Yes"/>
    <n v="6"/>
    <s v="51-200"/>
    <s v="Contract"/>
    <s v="Yes"/>
  </r>
  <r>
    <s v="AIJOB02464"/>
    <x v="2"/>
    <x v="6"/>
    <s v="Media"/>
    <s v="Tokyo, Japan"/>
    <s v="Japan"/>
    <s v="On-site"/>
    <x v="1"/>
    <s v="8+ yrs"/>
    <n v="155444"/>
    <x v="2459"/>
    <s v="Falcon"/>
    <s v="Bachelor's"/>
    <n v="45717"/>
    <n v="2055"/>
    <n v="3041"/>
    <s v="No"/>
    <n v="6"/>
    <s v="201-1000"/>
    <s v="Full-time"/>
    <s v="Yes"/>
  </r>
  <r>
    <s v="AIJOB02465"/>
    <x v="12"/>
    <x v="29"/>
    <s v="Automotive"/>
    <s v="Paris, France"/>
    <s v="France"/>
    <s v="On-site"/>
    <x v="0"/>
    <s v="0-2 yrs"/>
    <n v="80951"/>
    <x v="2460"/>
    <s v="None"/>
    <s v="PhD"/>
    <n v="45407"/>
    <n v="640"/>
    <n v="3423"/>
    <s v="Maybe"/>
    <n v="0"/>
    <s v="5000+"/>
    <s v="Contract"/>
    <s v="No"/>
  </r>
  <r>
    <s v="AIJOB02466"/>
    <x v="12"/>
    <x v="14"/>
    <s v="Retail"/>
    <s v="Tel Aviv, Israel"/>
    <s v="Israel"/>
    <s v="Hybrid"/>
    <x v="2"/>
    <s v="2-5 yrs"/>
    <n v="127568"/>
    <x v="2461"/>
    <s v="Falcon"/>
    <s v="Bachelor's"/>
    <n v="45568"/>
    <n v="1168"/>
    <n v="111"/>
    <s v="No"/>
    <n v="2"/>
    <s v="5000+"/>
    <s v="Full-time"/>
    <s v="No"/>
  </r>
  <r>
    <s v="AIJOB02467"/>
    <x v="17"/>
    <x v="6"/>
    <s v="Defense"/>
    <s v="San Francisco, United States"/>
    <s v="United States"/>
    <s v="Remote"/>
    <x v="0"/>
    <s v="0-2 yrs"/>
    <n v="60382"/>
    <x v="2462"/>
    <s v="None"/>
    <s v="Master's"/>
    <n v="45685"/>
    <n v="1490"/>
    <n v="3245"/>
    <s v="No"/>
    <n v="0"/>
    <s v="1001-5000"/>
    <s v="Full-time"/>
    <s v="Yes"/>
  </r>
  <r>
    <s v="AIJOB02468"/>
    <x v="4"/>
    <x v="13"/>
    <s v="Education"/>
    <s v="Tel Aviv, Israel"/>
    <s v="Israel"/>
    <s v="On-site"/>
    <x v="0"/>
    <s v="0-2 yrs"/>
    <n v="70478"/>
    <x v="2463"/>
    <s v="Gemini"/>
    <s v="PhD"/>
    <n v="45364"/>
    <n v="1017"/>
    <n v="1600"/>
    <s v="Maybe"/>
    <n v="0"/>
    <s v="51-200"/>
    <s v="Contract"/>
    <s v="No"/>
  </r>
  <r>
    <s v="AIJOB02469"/>
    <x v="17"/>
    <x v="8"/>
    <s v="Finance"/>
    <s v="Stockholm, Sweden"/>
    <s v="Sweden"/>
    <s v="On-site"/>
    <x v="3"/>
    <s v="5-8 yrs"/>
    <n v="168449"/>
    <x v="2464"/>
    <s v="BLOOM"/>
    <s v="Bachelor's"/>
    <n v="45723"/>
    <n v="1804"/>
    <n v="2066"/>
    <s v="Yes"/>
    <n v="4"/>
    <s v="201-1000"/>
    <s v="Contract"/>
    <s v="Yes"/>
  </r>
  <r>
    <s v="AIJOB02470"/>
    <x v="11"/>
    <x v="5"/>
    <s v="Finance"/>
    <s v="Bangalore, India"/>
    <s v="India"/>
    <s v="On-site"/>
    <x v="3"/>
    <s v="5-8 yrs"/>
    <n v="144348"/>
    <x v="2465"/>
    <s v="BLOOM"/>
    <s v="Bachelor's"/>
    <n v="45356"/>
    <n v="2474"/>
    <n v="3696"/>
    <s v="Yes"/>
    <n v="4"/>
    <s v="1001-5000"/>
    <s v="Part-time"/>
    <s v="No"/>
  </r>
  <r>
    <s v="AIJOB02471"/>
    <x v="7"/>
    <x v="6"/>
    <s v="Technology"/>
    <s v="Berlin, Germany"/>
    <s v="Germany"/>
    <s v="Remote"/>
    <x v="3"/>
    <s v="5-8 yrs"/>
    <n v="178970"/>
    <x v="2466"/>
    <s v="Command R"/>
    <s v="Bootcamp/Self-taught"/>
    <n v="45369"/>
    <n v="2487"/>
    <n v="1691"/>
    <s v="No"/>
    <n v="4"/>
    <s v="1001-5000"/>
    <s v="Full-time"/>
    <s v="No"/>
  </r>
  <r>
    <s v="AIJOB02472"/>
    <x v="5"/>
    <x v="26"/>
    <s v="Education"/>
    <s v="Sydney, Australia"/>
    <s v="Australia"/>
    <s v="Hybrid"/>
    <x v="0"/>
    <s v="0-2 yrs"/>
    <n v="99784"/>
    <x v="2467"/>
    <s v="Falcon"/>
    <s v="Bachelor's"/>
    <n v="45412"/>
    <n v="1060"/>
    <n v="1414"/>
    <s v="Yes"/>
    <n v="0"/>
    <s v="1001-5000"/>
    <s v="Full-time"/>
    <s v="Yes"/>
  </r>
  <r>
    <s v="AIJOB02473"/>
    <x v="12"/>
    <x v="3"/>
    <s v="Retail"/>
    <s v="Tel Aviv, Israel"/>
    <s v="Israel"/>
    <s v="On-site"/>
    <x v="1"/>
    <s v="8+ yrs"/>
    <n v="171704"/>
    <x v="2468"/>
    <s v="None"/>
    <s v="Master's"/>
    <n v="45405"/>
    <n v="423"/>
    <n v="418"/>
    <s v="No"/>
    <n v="6"/>
    <s v="0-50"/>
    <s v="Contract"/>
    <s v="Yes"/>
  </r>
  <r>
    <s v="AIJOB02474"/>
    <x v="17"/>
    <x v="12"/>
    <s v="Retail"/>
    <s v="Seattle, United States"/>
    <s v="United States"/>
    <s v="Remote"/>
    <x v="1"/>
    <s v="8+ yrs"/>
    <n v="150282"/>
    <x v="2469"/>
    <s v="None"/>
    <s v="Bachelor's"/>
    <n v="45685"/>
    <n v="537"/>
    <n v="2674"/>
    <s v="No"/>
    <n v="6"/>
    <s v="1001-5000"/>
    <s v="Full-time"/>
    <s v="No"/>
  </r>
  <r>
    <s v="AIJOB02475"/>
    <x v="19"/>
    <x v="5"/>
    <s v="Automotive"/>
    <s v="Seattle, United States"/>
    <s v="United States"/>
    <s v="Remote"/>
    <x v="0"/>
    <s v="0-2 yrs"/>
    <n v="73828"/>
    <x v="2470"/>
    <s v="None"/>
    <s v="Bachelor's"/>
    <n v="45620"/>
    <n v="814"/>
    <n v="3794"/>
    <s v="No"/>
    <n v="0"/>
    <s v="5000+"/>
    <s v="Full-time"/>
    <s v="No"/>
  </r>
  <r>
    <s v="AIJOB02476"/>
    <x v="13"/>
    <x v="15"/>
    <s v="Defense"/>
    <s v="Toronto, Canada"/>
    <s v="Canada"/>
    <s v="Hybrid"/>
    <x v="1"/>
    <s v="8+ yrs"/>
    <n v="225976"/>
    <x v="2471"/>
    <s v="Llama"/>
    <s v="Master's"/>
    <n v="45683"/>
    <n v="1739"/>
    <n v="3866"/>
    <s v="Yes"/>
    <n v="6"/>
    <s v="5000+"/>
    <s v="Full-time"/>
    <s v="No"/>
  </r>
  <r>
    <s v="AIJOB02477"/>
    <x v="2"/>
    <x v="29"/>
    <s v="Retail"/>
    <s v="Los Angeles, United States"/>
    <s v="United States"/>
    <s v="Remote"/>
    <x v="2"/>
    <s v="2-5 yrs"/>
    <n v="105428"/>
    <x v="2472"/>
    <s v="None"/>
    <s v="Bachelor's"/>
    <n v="45514"/>
    <n v="893"/>
    <n v="1217"/>
    <s v="Maybe"/>
    <n v="2"/>
    <s v="201-1000"/>
    <s v="Full-time"/>
    <s v="Yes"/>
  </r>
  <r>
    <s v="AIJOB02478"/>
    <x v="11"/>
    <x v="25"/>
    <s v="Retail"/>
    <s v="London, United Kingdom"/>
    <s v="United Kingdom"/>
    <s v="On-site"/>
    <x v="2"/>
    <s v="2-5 yrs"/>
    <n v="138774"/>
    <x v="2473"/>
    <s v="Gemini"/>
    <s v="Bachelor's"/>
    <n v="45543"/>
    <n v="2463"/>
    <n v="977"/>
    <s v="No"/>
    <n v="2"/>
    <s v="5000+"/>
    <s v="Full-time"/>
    <s v="No"/>
  </r>
  <r>
    <s v="AIJOB02479"/>
    <x v="15"/>
    <x v="4"/>
    <s v="Healthcare"/>
    <s v="London, United Kingdom"/>
    <s v="United Kingdom"/>
    <s v="Remote"/>
    <x v="3"/>
    <s v="5-8 yrs"/>
    <n v="113857"/>
    <x v="2474"/>
    <s v="Gemini"/>
    <s v="Master's"/>
    <n v="45378"/>
    <n v="1142"/>
    <n v="924"/>
    <s v="Yes"/>
    <n v="4"/>
    <s v="51-200"/>
    <s v="Full-time"/>
    <s v="Yes"/>
  </r>
  <r>
    <s v="AIJOB02480"/>
    <x v="1"/>
    <x v="21"/>
    <s v="Education"/>
    <s v="Chicago, United States"/>
    <s v="United States"/>
    <s v="On-site"/>
    <x v="1"/>
    <s v="8+ yrs"/>
    <n v="224945"/>
    <x v="2475"/>
    <s v="Mistral"/>
    <s v="Master's"/>
    <n v="45406"/>
    <n v="1045"/>
    <n v="3490"/>
    <s v="No"/>
    <n v="6"/>
    <s v="201-1000"/>
    <s v="Full-time"/>
    <s v="No"/>
  </r>
  <r>
    <s v="AIJOB02481"/>
    <x v="10"/>
    <x v="28"/>
    <s v="Healthcare"/>
    <s v="London, United Kingdom"/>
    <s v="United Kingdom"/>
    <s v="Remote"/>
    <x v="3"/>
    <s v="5-8 yrs"/>
    <n v="133641"/>
    <x v="2476"/>
    <s v="Llama"/>
    <s v="Master's"/>
    <n v="45383"/>
    <n v="1516"/>
    <n v="1352"/>
    <s v="No"/>
    <n v="4"/>
    <s v="1001-5000"/>
    <s v="Full-time"/>
    <s v="No"/>
  </r>
  <r>
    <s v="AIJOB02482"/>
    <x v="18"/>
    <x v="22"/>
    <s v="Energy"/>
    <s v="San Francisco, United States"/>
    <s v="United States"/>
    <s v="Remote"/>
    <x v="0"/>
    <s v="0-2 yrs"/>
    <n v="91664"/>
    <x v="2477"/>
    <s v="BLOOM"/>
    <s v="Master's"/>
    <n v="45744"/>
    <n v="1521"/>
    <n v="481"/>
    <s v="Yes"/>
    <n v="0"/>
    <s v="51-200"/>
    <s v="Full-time"/>
    <s v="No"/>
  </r>
  <r>
    <s v="AIJOB02483"/>
    <x v="17"/>
    <x v="19"/>
    <s v="Healthcare"/>
    <s v="Stockholm, Sweden"/>
    <s v="Sweden"/>
    <s v="Hybrid"/>
    <x v="1"/>
    <s v="8+ yrs"/>
    <n v="271730"/>
    <x v="2478"/>
    <s v="None"/>
    <s v="Bootcamp/Self-taught"/>
    <n v="45392"/>
    <n v="1784"/>
    <n v="529"/>
    <s v="No"/>
    <n v="6"/>
    <s v="5000+"/>
    <s v="Full-time"/>
    <s v="Yes"/>
  </r>
  <r>
    <s v="AIJOB02484"/>
    <x v="13"/>
    <x v="22"/>
    <s v="Media"/>
    <s v="Boston, United States"/>
    <s v="United States"/>
    <s v="On-site"/>
    <x v="2"/>
    <s v="2-5 yrs"/>
    <n v="94820"/>
    <x v="2479"/>
    <s v="None"/>
    <s v="Bachelor's"/>
    <n v="45450"/>
    <n v="1373"/>
    <n v="414"/>
    <s v="Yes"/>
    <n v="2"/>
    <s v="5000+"/>
    <s v="Full-time"/>
    <s v="Yes"/>
  </r>
  <r>
    <s v="AIJOB02485"/>
    <x v="0"/>
    <x v="19"/>
    <s v="Government"/>
    <s v="Bangalore, India"/>
    <s v="India"/>
    <s v="On-site"/>
    <x v="3"/>
    <s v="5-8 yrs"/>
    <n v="135161"/>
    <x v="2480"/>
    <s v="Llama"/>
    <s v="Master's"/>
    <n v="45582"/>
    <n v="1453"/>
    <n v="2303"/>
    <s v="Maybe"/>
    <n v="4"/>
    <s v="0-50"/>
    <s v="Full-time"/>
    <s v="Yes"/>
  </r>
  <r>
    <s v="AIJOB02486"/>
    <x v="8"/>
    <x v="26"/>
    <s v="Defense"/>
    <s v="Berlin, Germany"/>
    <s v="Germany"/>
    <s v="On-site"/>
    <x v="0"/>
    <s v="0-2 yrs"/>
    <n v="80830"/>
    <x v="2481"/>
    <s v="Falcon"/>
    <s v="Bachelor's"/>
    <n v="45542"/>
    <n v="693"/>
    <n v="2799"/>
    <s v="No"/>
    <n v="0"/>
    <s v="201-1000"/>
    <s v="Full-time"/>
    <s v="No"/>
  </r>
  <r>
    <s v="AIJOB02487"/>
    <x v="2"/>
    <x v="20"/>
    <s v="Defense"/>
    <s v="Dublin, Ireland"/>
    <s v="Ireland"/>
    <s v="Remote"/>
    <x v="0"/>
    <s v="0-2 yrs"/>
    <n v="65122"/>
    <x v="2482"/>
    <s v="Gemini"/>
    <s v="Master's"/>
    <n v="45390"/>
    <n v="1948"/>
    <n v="1080"/>
    <s v="No"/>
    <n v="0"/>
    <s v="5000+"/>
    <s v="Full-time"/>
    <s v="Yes"/>
  </r>
  <r>
    <s v="AIJOB02488"/>
    <x v="1"/>
    <x v="10"/>
    <s v="Government"/>
    <s v="New York, United States"/>
    <s v="United States"/>
    <s v="Remote"/>
    <x v="3"/>
    <s v="5-8 yrs"/>
    <n v="148773"/>
    <x v="2483"/>
    <s v="BLOOM"/>
    <s v="Master's"/>
    <n v="45581"/>
    <n v="830"/>
    <n v="2159"/>
    <s v="Yes"/>
    <n v="4"/>
    <s v="51-200"/>
    <s v="Full-time"/>
    <s v="No"/>
  </r>
  <r>
    <s v="AIJOB02489"/>
    <x v="18"/>
    <x v="3"/>
    <s v="Finance"/>
    <s v="Toronto, Canada"/>
    <s v="Canada"/>
    <s v="On-site"/>
    <x v="1"/>
    <s v="8+ yrs"/>
    <n v="200913"/>
    <x v="2484"/>
    <s v="GPT-4"/>
    <s v="PhD"/>
    <n v="45314"/>
    <n v="2394"/>
    <n v="65"/>
    <s v="Yes"/>
    <n v="6"/>
    <s v="51-200"/>
    <s v="Full-time"/>
    <s v="Yes"/>
  </r>
  <r>
    <s v="AIJOB02490"/>
    <x v="9"/>
    <x v="15"/>
    <s v="Education"/>
    <s v="Stockholm, Sweden"/>
    <s v="Sweden"/>
    <s v="Remote"/>
    <x v="1"/>
    <s v="8+ yrs"/>
    <n v="130891"/>
    <x v="2485"/>
    <s v="Llama"/>
    <s v="Bachelor's"/>
    <n v="45495"/>
    <n v="556"/>
    <n v="3694"/>
    <s v="No"/>
    <n v="6"/>
    <s v="5000+"/>
    <s v="Contract"/>
    <s v="No"/>
  </r>
  <r>
    <s v="AIJOB02491"/>
    <x v="9"/>
    <x v="2"/>
    <s v="Energy"/>
    <s v="Chicago, United States"/>
    <s v="United States"/>
    <s v="On-site"/>
    <x v="1"/>
    <s v="8+ yrs"/>
    <n v="199501"/>
    <x v="2486"/>
    <s v="Claude"/>
    <s v="Bachelor's"/>
    <n v="45492"/>
    <n v="310"/>
    <n v="3444"/>
    <s v="No"/>
    <n v="6"/>
    <s v="51-200"/>
    <s v="Full-time"/>
    <s v="Yes"/>
  </r>
  <r>
    <s v="AIJOB02492"/>
    <x v="15"/>
    <x v="20"/>
    <s v="Media"/>
    <s v="Berlin, Germany"/>
    <s v="Germany"/>
    <s v="Hybrid"/>
    <x v="3"/>
    <s v="5-8 yrs"/>
    <n v="131377"/>
    <x v="2487"/>
    <s v="Grok"/>
    <s v="Bachelor's"/>
    <n v="45501"/>
    <n v="2296"/>
    <n v="2651"/>
    <s v="No"/>
    <n v="4"/>
    <s v="5000+"/>
    <s v="Full-time"/>
    <s v="No"/>
  </r>
  <r>
    <s v="AIJOB02493"/>
    <x v="17"/>
    <x v="10"/>
    <s v="Retail"/>
    <s v="Paris, France"/>
    <s v="France"/>
    <s v="On-site"/>
    <x v="2"/>
    <s v="2-5 yrs"/>
    <n v="100236"/>
    <x v="2488"/>
    <s v="None"/>
    <s v="Bachelor's"/>
    <n v="45476"/>
    <n v="1182"/>
    <n v="2662"/>
    <s v="No"/>
    <n v="2"/>
    <s v="5000+"/>
    <s v="Full-time"/>
    <s v="Yes"/>
  </r>
  <r>
    <s v="AIJOB02494"/>
    <x v="6"/>
    <x v="21"/>
    <s v="Defense"/>
    <s v="Boston, United States"/>
    <s v="United States"/>
    <s v="Remote"/>
    <x v="0"/>
    <s v="0-2 yrs"/>
    <n v="88189"/>
    <x v="2489"/>
    <s v="Claude"/>
    <s v="Master's"/>
    <n v="45576"/>
    <n v="533"/>
    <n v="3243"/>
    <s v="Maybe"/>
    <n v="0"/>
    <s v="5000+"/>
    <s v="Full-time"/>
    <s v="Yes"/>
  </r>
  <r>
    <s v="AIJOB02495"/>
    <x v="12"/>
    <x v="21"/>
    <s v="Government"/>
    <s v="Toronto, Canada"/>
    <s v="Canada"/>
    <s v="Hybrid"/>
    <x v="3"/>
    <s v="5-8 yrs"/>
    <n v="116074"/>
    <x v="2490"/>
    <s v="None"/>
    <s v="PhD"/>
    <n v="45387"/>
    <n v="631"/>
    <n v="3326"/>
    <s v="Yes"/>
    <n v="4"/>
    <s v="5000+"/>
    <s v="Part-time"/>
    <s v="No"/>
  </r>
  <r>
    <s v="AIJOB02496"/>
    <x v="15"/>
    <x v="0"/>
    <s v="Healthcare"/>
    <s v="Austin, United States"/>
    <s v="United States"/>
    <s v="Hybrid"/>
    <x v="3"/>
    <s v="5-8 yrs"/>
    <n v="171956"/>
    <x v="2491"/>
    <s v="Gemini"/>
    <s v="Master's"/>
    <n v="45446"/>
    <n v="2416"/>
    <n v="3983"/>
    <s v="No"/>
    <n v="4"/>
    <s v="5000+"/>
    <s v="Contract"/>
    <s v="No"/>
  </r>
  <r>
    <s v="AIJOB02497"/>
    <x v="8"/>
    <x v="8"/>
    <s v="Education"/>
    <s v="San Francisco, United States"/>
    <s v="United States"/>
    <s v="On-site"/>
    <x v="2"/>
    <s v="2-5 yrs"/>
    <n v="104476"/>
    <x v="2492"/>
    <s v="Grok"/>
    <s v="Bachelor's"/>
    <n v="45577"/>
    <n v="1161"/>
    <n v="3960"/>
    <s v="No"/>
    <n v="2"/>
    <s v="201-1000"/>
    <s v="Full-time"/>
    <s v="No"/>
  </r>
  <r>
    <s v="AIJOB02498"/>
    <x v="6"/>
    <x v="7"/>
    <s v="Automotive"/>
    <s v="Austin, United States"/>
    <s v="United States"/>
    <s v="Remote"/>
    <x v="2"/>
    <s v="2-5 yrs"/>
    <n v="104460"/>
    <x v="2493"/>
    <s v="None"/>
    <s v="Master's"/>
    <n v="45711"/>
    <n v="354"/>
    <n v="15"/>
    <s v="Yes"/>
    <n v="2"/>
    <s v="5000+"/>
    <s v="Full-time"/>
    <s v="No"/>
  </r>
  <r>
    <s v="AIJOB02499"/>
    <x v="11"/>
    <x v="11"/>
    <s v="Defense"/>
    <s v="Amsterdam, Netherlands"/>
    <s v="Netherlands"/>
    <s v="Hybrid"/>
    <x v="2"/>
    <s v="2-5 yrs"/>
    <n v="125649"/>
    <x v="2494"/>
    <s v="Falcon"/>
    <s v="Master's"/>
    <n v="45442"/>
    <n v="1910"/>
    <n v="3681"/>
    <s v="No"/>
    <n v="2"/>
    <s v="51-200"/>
    <s v="Full-time"/>
    <s v="Yes"/>
  </r>
  <r>
    <s v="AIJOB02500"/>
    <x v="19"/>
    <x v="4"/>
    <s v="Retail"/>
    <s v="Tokyo, Japan"/>
    <s v="Japan"/>
    <s v="On-site"/>
    <x v="0"/>
    <s v="0-2 yrs"/>
    <n v="74284"/>
    <x v="2495"/>
    <s v="Command R"/>
    <s v="Bootcamp/Self-taught"/>
    <n v="45706"/>
    <n v="522"/>
    <n v="3876"/>
    <s v="No"/>
    <n v="0"/>
    <s v="51-200"/>
    <s v="Full-time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F4D03A-A16E-4B12-A762-402C1ADF26A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s">
  <location ref="J2:K13" firstHeaderRow="1" firstDataRow="1" firstDataCol="1"/>
  <pivotFields count="21">
    <pivotField showAll="0"/>
    <pivotField axis="axisRow" showAll="0" measureFilter="1" sortType="descending">
      <items count="21">
        <item x="13"/>
        <item x="19"/>
        <item x="8"/>
        <item x="6"/>
        <item x="18"/>
        <item x="3"/>
        <item x="12"/>
        <item x="16"/>
        <item x="2"/>
        <item x="15"/>
        <item x="11"/>
        <item x="10"/>
        <item x="7"/>
        <item x="4"/>
        <item x="17"/>
        <item x="9"/>
        <item x="5"/>
        <item x="0"/>
        <item x="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8"/>
    </i>
    <i>
      <x v="14"/>
    </i>
    <i>
      <x v="13"/>
    </i>
    <i>
      <x v="5"/>
    </i>
    <i>
      <x v="19"/>
    </i>
    <i>
      <x v="6"/>
    </i>
    <i>
      <x/>
    </i>
    <i>
      <x v="11"/>
    </i>
    <i>
      <x v="1"/>
    </i>
    <i>
      <x v="17"/>
    </i>
    <i t="grand">
      <x/>
    </i>
  </rowItems>
  <colItems count="1">
    <i/>
  </colItems>
  <dataFields count="1">
    <dataField name="Average Salary" fld="9" subtotal="average" baseField="0" baseItem="0" numFmtId="166"/>
  </dataFields>
  <formats count="8">
    <format dxfId="7">
      <pivotArea field="1" type="button" dataOnly="0" labelOnly="1" outline="0" axis="axisRow" fieldPosition="0"/>
    </format>
    <format dxfId="6">
      <pivotArea dataOnly="0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10">
            <x v="0"/>
            <x v="1"/>
            <x v="5"/>
            <x v="6"/>
            <x v="11"/>
            <x v="13"/>
            <x v="14"/>
            <x v="17"/>
            <x v="18"/>
            <x v="19"/>
          </reference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2E105-1516-4A2B-A5AF-C42189F7B315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Job Title">
  <location ref="B9:C30" firstHeaderRow="1" firstDataRow="1" firstDataCol="1"/>
  <pivotFields count="21">
    <pivotField dataField="1" showAll="0"/>
    <pivotField axis="axisRow" showAll="0">
      <items count="21">
        <item x="13"/>
        <item x="19"/>
        <item x="8"/>
        <item x="6"/>
        <item x="18"/>
        <item x="3"/>
        <item x="12"/>
        <item x="16"/>
        <item x="2"/>
        <item x="15"/>
        <item x="11"/>
        <item x="10"/>
        <item x="7"/>
        <item x="4"/>
        <item x="17"/>
        <item x="9"/>
        <item x="5"/>
        <item x="0"/>
        <item x="1"/>
        <item x="1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>
      <items count="2497">
        <item x="498"/>
        <item x="516"/>
        <item x="413"/>
        <item x="813"/>
        <item x="1796"/>
        <item x="2008"/>
        <item x="2023"/>
        <item x="784"/>
        <item x="484"/>
        <item x="1578"/>
        <item x="307"/>
        <item x="2260"/>
        <item x="909"/>
        <item x="2242"/>
        <item x="144"/>
        <item x="431"/>
        <item x="1763"/>
        <item x="2442"/>
        <item x="1090"/>
        <item x="2431"/>
        <item x="607"/>
        <item x="2172"/>
        <item x="745"/>
        <item x="1991"/>
        <item x="457"/>
        <item x="1941"/>
        <item x="137"/>
        <item x="1881"/>
        <item x="1412"/>
        <item x="1421"/>
        <item x="77"/>
        <item x="907"/>
        <item x="1111"/>
        <item x="548"/>
        <item x="1071"/>
        <item x="195"/>
        <item x="833"/>
        <item x="1544"/>
        <item x="2244"/>
        <item x="1403"/>
        <item x="1679"/>
        <item x="515"/>
        <item x="345"/>
        <item x="1507"/>
        <item x="1946"/>
        <item x="481"/>
        <item x="1675"/>
        <item x="1687"/>
        <item x="1437"/>
        <item x="1406"/>
        <item x="1538"/>
        <item x="239"/>
        <item x="342"/>
        <item x="2197"/>
        <item x="2324"/>
        <item x="1737"/>
        <item x="1449"/>
        <item x="477"/>
        <item x="507"/>
        <item x="1695"/>
        <item x="1225"/>
        <item x="1146"/>
        <item x="1959"/>
        <item x="2403"/>
        <item x="1671"/>
        <item x="348"/>
        <item x="2130"/>
        <item x="393"/>
        <item x="576"/>
        <item x="800"/>
        <item x="1900"/>
        <item x="87"/>
        <item x="359"/>
        <item x="95"/>
        <item x="2091"/>
        <item x="2039"/>
        <item x="1621"/>
        <item x="493"/>
        <item x="280"/>
        <item x="377"/>
        <item x="570"/>
        <item x="341"/>
        <item x="2108"/>
        <item x="1591"/>
        <item x="1587"/>
        <item x="2180"/>
        <item x="1471"/>
        <item x="1145"/>
        <item x="1885"/>
        <item x="2402"/>
        <item x="821"/>
        <item x="2412"/>
        <item x="2182"/>
        <item x="1730"/>
        <item x="1775"/>
        <item x="1547"/>
        <item x="629"/>
        <item x="2007"/>
        <item x="1813"/>
        <item x="899"/>
        <item x="2385"/>
        <item x="2095"/>
        <item x="234"/>
        <item x="1812"/>
        <item x="959"/>
        <item x="910"/>
        <item x="568"/>
        <item x="411"/>
        <item x="1708"/>
        <item x="84"/>
        <item x="169"/>
        <item x="1818"/>
        <item x="1573"/>
        <item x="11"/>
        <item x="2296"/>
        <item x="1291"/>
        <item x="2462"/>
        <item x="1105"/>
        <item x="678"/>
        <item x="644"/>
        <item x="737"/>
        <item x="1047"/>
        <item x="695"/>
        <item x="2004"/>
        <item x="1918"/>
        <item x="497"/>
        <item x="703"/>
        <item x="1415"/>
        <item x="1399"/>
        <item x="716"/>
        <item x="1269"/>
        <item x="64"/>
        <item x="244"/>
        <item x="756"/>
        <item x="2226"/>
        <item x="1518"/>
        <item x="1187"/>
        <item x="1478"/>
        <item x="2489"/>
        <item x="93"/>
        <item x="1508"/>
        <item x="1004"/>
        <item x="436"/>
        <item x="872"/>
        <item x="1696"/>
        <item x="2119"/>
        <item x="1742"/>
        <item x="887"/>
        <item x="930"/>
        <item x="2179"/>
        <item x="1766"/>
        <item x="2492"/>
        <item x="732"/>
        <item x="2357"/>
        <item x="1994"/>
        <item x="1981"/>
        <item x="1168"/>
        <item x="609"/>
        <item x="491"/>
        <item x="405"/>
        <item x="626"/>
        <item x="769"/>
        <item x="1356"/>
        <item x="1817"/>
        <item x="2264"/>
        <item x="2468"/>
        <item x="1601"/>
        <item x="1143"/>
        <item x="2106"/>
        <item x="1065"/>
        <item x="1200"/>
        <item x="262"/>
        <item x="1606"/>
        <item x="376"/>
        <item x="1193"/>
        <item x="441"/>
        <item x="308"/>
        <item x="870"/>
        <item x="1171"/>
        <item x="926"/>
        <item x="2024"/>
        <item x="1477"/>
        <item x="2006"/>
        <item x="537"/>
        <item x="134"/>
        <item x="721"/>
        <item x="598"/>
        <item x="2335"/>
        <item x="474"/>
        <item x="1550"/>
        <item x="2436"/>
        <item x="1476"/>
        <item x="595"/>
        <item x="320"/>
        <item x="263"/>
        <item x="386"/>
        <item x="1072"/>
        <item x="1975"/>
        <item x="2317"/>
        <item x="542"/>
        <item x="2347"/>
        <item x="1313"/>
        <item x="660"/>
        <item x="378"/>
        <item x="713"/>
        <item x="1626"/>
        <item x="540"/>
        <item x="554"/>
        <item x="822"/>
        <item x="1740"/>
        <item x="710"/>
        <item x="2434"/>
        <item x="1487"/>
        <item x="2271"/>
        <item x="1102"/>
        <item x="1826"/>
        <item x="2355"/>
        <item x="354"/>
        <item x="353"/>
        <item x="855"/>
        <item x="124"/>
        <item x="1220"/>
        <item x="78"/>
        <item x="1869"/>
        <item x="758"/>
        <item x="1130"/>
        <item x="145"/>
        <item x="1593"/>
        <item x="1934"/>
        <item x="1756"/>
        <item x="1882"/>
        <item x="927"/>
        <item x="809"/>
        <item x="1794"/>
        <item x="999"/>
        <item x="965"/>
        <item x="1755"/>
        <item x="2129"/>
        <item x="1012"/>
        <item x="20"/>
        <item x="653"/>
        <item x="323"/>
        <item x="766"/>
        <item x="2259"/>
        <item x="1828"/>
        <item x="782"/>
        <item x="7"/>
        <item x="1785"/>
        <item x="1242"/>
        <item x="132"/>
        <item x="1273"/>
        <item x="1234"/>
        <item x="1439"/>
        <item x="2146"/>
        <item x="2390"/>
        <item x="981"/>
        <item x="1773"/>
        <item x="2066"/>
        <item x="1418"/>
        <item x="1280"/>
        <item x="2131"/>
        <item x="414"/>
        <item x="1555"/>
        <item x="2028"/>
        <item x="2388"/>
        <item x="1809"/>
        <item x="1162"/>
        <item x="843"/>
        <item x="771"/>
        <item x="1833"/>
        <item x="1204"/>
        <item x="582"/>
        <item x="2262"/>
        <item x="365"/>
        <item x="651"/>
        <item x="711"/>
        <item x="1251"/>
        <item x="1689"/>
        <item x="1781"/>
        <item x="351"/>
        <item x="1921"/>
        <item x="1552"/>
        <item x="922"/>
        <item x="1537"/>
        <item x="182"/>
        <item x="332"/>
        <item x="2092"/>
        <item x="2117"/>
        <item x="1179"/>
        <item x="1639"/>
        <item x="1104"/>
        <item x="101"/>
        <item x="1245"/>
        <item x="1634"/>
        <item x="1310"/>
        <item x="1129"/>
        <item x="368"/>
        <item x="1596"/>
        <item x="893"/>
        <item x="272"/>
        <item x="1262"/>
        <item x="969"/>
        <item x="2135"/>
        <item x="60"/>
        <item x="2266"/>
        <item x="439"/>
        <item x="235"/>
        <item x="1729"/>
        <item x="2366"/>
        <item x="1340"/>
        <item x="599"/>
        <item x="686"/>
        <item x="388"/>
        <item x="778"/>
        <item x="581"/>
        <item x="997"/>
        <item x="313"/>
        <item x="588"/>
        <item x="1693"/>
        <item x="270"/>
        <item x="71"/>
        <item x="1632"/>
        <item x="133"/>
        <item x="1511"/>
        <item x="670"/>
        <item x="835"/>
        <item x="231"/>
        <item x="1868"/>
        <item x="1417"/>
        <item x="1018"/>
        <item x="936"/>
        <item x="311"/>
        <item x="2192"/>
        <item x="1127"/>
        <item x="1876"/>
        <item x="834"/>
        <item x="691"/>
        <item x="314"/>
        <item x="565"/>
        <item x="1582"/>
        <item x="1646"/>
        <item x="371"/>
        <item x="2145"/>
        <item x="1845"/>
        <item x="838"/>
        <item x="1830"/>
        <item x="2075"/>
        <item x="400"/>
        <item x="1560"/>
        <item x="2246"/>
        <item x="2375"/>
        <item x="288"/>
        <item x="309"/>
        <item x="2207"/>
        <item x="56"/>
        <item x="501"/>
        <item x="2137"/>
        <item x="1109"/>
        <item x="2177"/>
        <item x="1452"/>
        <item x="1144"/>
        <item x="528"/>
        <item x="2090"/>
        <item x="50"/>
        <item x="2393"/>
        <item x="1562"/>
        <item x="1517"/>
        <item x="250"/>
        <item x="204"/>
        <item x="1960"/>
        <item x="577"/>
        <item x="1178"/>
        <item x="2102"/>
        <item x="1149"/>
        <item x="1113"/>
        <item x="544"/>
        <item x="836"/>
        <item x="2418"/>
        <item x="830"/>
        <item x="192"/>
        <item x="555"/>
        <item x="76"/>
        <item x="1335"/>
        <item x="2345"/>
        <item x="1361"/>
        <item x="2185"/>
        <item x="2359"/>
        <item x="966"/>
        <item x="1862"/>
        <item x="452"/>
        <item x="2488"/>
        <item x="45"/>
        <item x="1586"/>
        <item x="881"/>
        <item x="1060"/>
        <item x="434"/>
        <item x="1531"/>
        <item x="2042"/>
        <item x="347"/>
        <item x="1017"/>
        <item x="1633"/>
        <item x="679"/>
        <item x="774"/>
        <item x="2176"/>
        <item x="2493"/>
        <item x="883"/>
        <item x="1956"/>
        <item x="2467"/>
        <item x="485"/>
        <item x="801"/>
        <item x="1722"/>
        <item x="862"/>
        <item x="65"/>
        <item x="1932"/>
        <item x="1189"/>
        <item x="664"/>
        <item x="2150"/>
        <item x="648"/>
        <item x="715"/>
        <item x="1034"/>
        <item x="1281"/>
        <item x="466"/>
        <item x="880"/>
        <item x="1893"/>
        <item x="850"/>
        <item x="1349"/>
        <item x="470"/>
        <item x="1787"/>
        <item x="1688"/>
        <item x="1327"/>
        <item x="180"/>
        <item x="944"/>
        <item x="2392"/>
        <item x="1724"/>
        <item x="1654"/>
        <item x="2212"/>
        <item x="363"/>
        <item x="1798"/>
        <item x="2113"/>
        <item x="900"/>
        <item x="1033"/>
        <item x="816"/>
        <item x="1741"/>
        <item x="2451"/>
        <item x="1491"/>
        <item x="438"/>
        <item x="1165"/>
        <item x="1821"/>
        <item x="878"/>
        <item x="2173"/>
        <item x="358"/>
        <item x="2338"/>
        <item x="1455"/>
        <item x="1728"/>
        <item x="2352"/>
        <item x="1520"/>
        <item x="410"/>
        <item x="1461"/>
        <item x="736"/>
        <item x="2021"/>
        <item x="2383"/>
        <item x="1543"/>
        <item x="1152"/>
        <item x="1940"/>
        <item x="1393"/>
        <item x="1925"/>
        <item x="2054"/>
        <item x="1930"/>
        <item x="2082"/>
        <item x="2063"/>
        <item x="1277"/>
        <item x="2124"/>
        <item x="1539"/>
        <item x="1241"/>
        <item x="1016"/>
        <item x="1996"/>
        <item x="773"/>
        <item x="1306"/>
        <item x="2111"/>
        <item x="2380"/>
        <item x="318"/>
        <item x="898"/>
        <item x="2076"/>
        <item x="2257"/>
        <item x="523"/>
        <item x="2140"/>
        <item x="2397"/>
        <item x="1169"/>
        <item x="2013"/>
        <item x="1430"/>
        <item x="1973"/>
        <item x="746"/>
        <item x="1890"/>
        <item x="1480"/>
        <item x="480"/>
        <item x="564"/>
        <item x="199"/>
        <item x="1296"/>
        <item x="295"/>
        <item x="373"/>
        <item x="211"/>
        <item x="1401"/>
        <item x="1913"/>
        <item x="1929"/>
        <item x="0"/>
        <item x="158"/>
        <item x="58"/>
        <item x="1490"/>
        <item x="1906"/>
        <item x="1472"/>
        <item x="2072"/>
        <item x="2256"/>
        <item x="503"/>
        <item x="2128"/>
        <item x="2181"/>
        <item x="42"/>
        <item x="159"/>
        <item x="549"/>
        <item x="627"/>
        <item x="1366"/>
        <item x="1599"/>
        <item x="392"/>
        <item x="1764"/>
        <item x="1098"/>
        <item x="1232"/>
        <item x="462"/>
        <item x="39"/>
        <item x="2248"/>
        <item x="1488"/>
        <item x="2477"/>
        <item x="372"/>
        <item x="2213"/>
        <item x="258"/>
        <item x="2057"/>
        <item x="967"/>
        <item x="1053"/>
        <item x="297"/>
        <item x="1358"/>
        <item x="1440"/>
        <item x="1270"/>
        <item x="2225"/>
        <item x="1897"/>
        <item x="786"/>
        <item x="1743"/>
        <item x="794"/>
        <item x="1001"/>
        <item x="725"/>
        <item x="223"/>
        <item x="1664"/>
        <item x="1565"/>
        <item x="316"/>
        <item x="2310"/>
        <item x="1795"/>
        <item x="1385"/>
        <item x="1217"/>
        <item x="502"/>
        <item x="1115"/>
        <item x="1322"/>
        <item x="1887"/>
        <item x="2276"/>
        <item x="1680"/>
        <item x="1325"/>
        <item x="2112"/>
        <item x="631"/>
        <item x="1260"/>
        <item x="839"/>
        <item x="1485"/>
        <item x="265"/>
        <item x="340"/>
        <item x="109"/>
        <item x="245"/>
        <item x="442"/>
        <item x="654"/>
        <item x="1509"/>
        <item x="2411"/>
        <item x="179"/>
        <item x="2098"/>
        <item x="13"/>
        <item x="317"/>
        <item x="483"/>
        <item x="1999"/>
        <item x="187"/>
        <item x="409"/>
        <item x="859"/>
        <item x="1396"/>
        <item x="634"/>
        <item x="2080"/>
        <item x="2065"/>
        <item x="2224"/>
        <item x="242"/>
        <item x="1344"/>
        <item x="517"/>
        <item x="2152"/>
        <item x="131"/>
        <item x="547"/>
        <item x="103"/>
        <item x="1433"/>
        <item x="1240"/>
        <item x="6"/>
        <item x="253"/>
        <item x="5"/>
        <item x="510"/>
        <item x="1613"/>
        <item x="1295"/>
        <item x="699"/>
        <item x="120"/>
        <item x="2031"/>
        <item x="2287"/>
        <item x="2088"/>
        <item x="580"/>
        <item x="1841"/>
        <item x="184"/>
        <item x="2223"/>
        <item x="1438"/>
        <item x="269"/>
        <item x="1938"/>
        <item x="2249"/>
        <item x="1987"/>
        <item x="1746"/>
        <item x="2253"/>
        <item x="1231"/>
        <item x="1604"/>
        <item x="585"/>
        <item x="720"/>
        <item x="1182"/>
        <item x="276"/>
        <item x="271"/>
        <item x="1248"/>
        <item x="2410"/>
        <item x="1984"/>
        <item x="1458"/>
        <item x="2325"/>
        <item x="1119"/>
        <item x="152"/>
        <item x="1380"/>
        <item x="2077"/>
        <item x="2034"/>
        <item x="2448"/>
        <item x="2267"/>
        <item x="1535"/>
        <item x="236"/>
        <item x="1899"/>
        <item x="1617"/>
        <item x="557"/>
        <item x="2048"/>
        <item x="1660"/>
        <item x="655"/>
        <item x="1297"/>
        <item x="1456"/>
        <item x="312"/>
        <item x="2292"/>
        <item x="2421"/>
        <item x="416"/>
        <item x="1898"/>
        <item x="1911"/>
        <item x="391"/>
        <item x="98"/>
        <item x="29"/>
        <item x="647"/>
        <item x="587"/>
        <item x="1026"/>
        <item x="1432"/>
        <item x="2454"/>
        <item x="143"/>
        <item x="1557"/>
        <item x="924"/>
        <item x="1312"/>
        <item x="1379"/>
        <item x="539"/>
        <item x="1512"/>
        <item x="1"/>
        <item x="662"/>
        <item x="993"/>
        <item x="759"/>
        <item x="2162"/>
        <item x="729"/>
        <item x="215"/>
        <item x="282"/>
        <item x="102"/>
        <item x="89"/>
        <item x="2036"/>
        <item x="905"/>
        <item x="2329"/>
        <item x="1087"/>
        <item x="2147"/>
        <item x="2409"/>
        <item x="866"/>
        <item x="1163"/>
        <item x="1860"/>
        <item x="1293"/>
        <item x="357"/>
        <item x="274"/>
        <item x="1635"/>
        <item x="674"/>
        <item x="154"/>
        <item x="1914"/>
        <item x="1112"/>
        <item x="792"/>
        <item x="1222"/>
        <item x="1971"/>
        <item x="1776"/>
        <item x="593"/>
        <item x="1434"/>
        <item x="844"/>
        <item x="530"/>
        <item x="398"/>
        <item x="1777"/>
        <item x="1267"/>
        <item x="2227"/>
        <item x="954"/>
        <item x="888"/>
        <item x="2291"/>
        <item x="1501"/>
        <item x="1607"/>
        <item x="975"/>
        <item x="1784"/>
        <item x="2170"/>
        <item x="1924"/>
        <item x="2206"/>
        <item x="2155"/>
        <item x="1298"/>
        <item x="817"/>
        <item x="656"/>
        <item x="2313"/>
        <item x="450"/>
        <item x="1121"/>
        <item x="130"/>
        <item x="1185"/>
        <item x="916"/>
        <item x="2160"/>
        <item x="712"/>
        <item x="2191"/>
        <item x="162"/>
        <item x="1948"/>
        <item x="2295"/>
        <item x="256"/>
        <item x="1120"/>
        <item x="375"/>
        <item x="1935"/>
        <item x="1024"/>
        <item x="433"/>
        <item x="1051"/>
        <item x="1249"/>
        <item x="948"/>
        <item x="2281"/>
        <item x="1154"/>
        <item x="2103"/>
        <item x="1652"/>
        <item x="2096"/>
        <item x="1514"/>
        <item x="284"/>
        <item x="1627"/>
        <item x="1494"/>
        <item x="1753"/>
        <item x="1536"/>
        <item x="1064"/>
        <item x="750"/>
        <item x="1672"/>
        <item x="2339"/>
        <item x="1287"/>
        <item x="811"/>
        <item x="194"/>
        <item x="2241"/>
        <item x="807"/>
        <item x="619"/>
        <item x="1040"/>
        <item x="499"/>
        <item x="764"/>
        <item x="1167"/>
        <item x="1637"/>
        <item x="106"/>
        <item x="1767"/>
        <item x="753"/>
        <item x="740"/>
        <item x="1475"/>
        <item x="148"/>
        <item x="94"/>
        <item x="1257"/>
        <item x="551"/>
        <item x="471"/>
        <item x="1622"/>
        <item x="1451"/>
        <item x="1019"/>
        <item x="379"/>
        <item x="1002"/>
        <item x="2277"/>
        <item x="2250"/>
        <item x="437"/>
        <item x="1947"/>
        <item x="892"/>
        <item x="1484"/>
        <item x="15"/>
        <item x="2012"/>
        <item x="1628"/>
        <item x="1904"/>
        <item x="1697"/>
        <item x="1762"/>
        <item x="300"/>
        <item x="1532"/>
        <item x="1035"/>
        <item x="625"/>
        <item x="1486"/>
        <item x="1330"/>
        <item x="2461"/>
        <item x="1923"/>
        <item x="1205"/>
        <item x="562"/>
        <item x="1264"/>
        <item x="2334"/>
        <item x="2058"/>
        <item x="1230"/>
        <item x="1186"/>
        <item x="37"/>
        <item x="1662"/>
        <item x="696"/>
        <item x="1769"/>
        <item x="1710"/>
        <item x="1800"/>
        <item x="1567"/>
        <item x="1032"/>
        <item x="610"/>
        <item x="443"/>
        <item x="370"/>
        <item x="423"/>
        <item x="1058"/>
        <item x="2415"/>
        <item x="2234"/>
        <item x="161"/>
        <item x="61"/>
        <item x="1602"/>
        <item x="1642"/>
        <item x="366"/>
        <item x="1831"/>
        <item x="1684"/>
        <item x="1265"/>
        <item x="2481"/>
        <item x="1479"/>
        <item x="1548"/>
        <item x="953"/>
        <item x="1835"/>
        <item x="705"/>
        <item x="669"/>
        <item x="1290"/>
        <item x="639"/>
        <item x="92"/>
        <item x="1346"/>
        <item x="532"/>
        <item x="1569"/>
        <item x="349"/>
        <item x="2062"/>
        <item x="1985"/>
        <item x="1564"/>
        <item x="2174"/>
        <item x="2487"/>
        <item x="48"/>
        <item x="206"/>
        <item x="785"/>
        <item x="399"/>
        <item x="2274"/>
        <item x="1238"/>
        <item x="963"/>
        <item x="1888"/>
        <item x="2220"/>
        <item x="174"/>
        <item x="2348"/>
        <item x="191"/>
        <item x="617"/>
        <item x="2302"/>
        <item x="3"/>
        <item x="167"/>
        <item x="1279"/>
        <item x="2316"/>
        <item x="531"/>
        <item x="1967"/>
        <item x="2228"/>
        <item x="958"/>
        <item x="558"/>
        <item x="652"/>
        <item x="1359"/>
        <item x="596"/>
        <item x="1998"/>
        <item x="636"/>
        <item x="1191"/>
        <item x="1448"/>
        <item x="486"/>
        <item x="1036"/>
        <item x="1855"/>
        <item x="175"/>
        <item x="281"/>
        <item x="440"/>
        <item x="1457"/>
        <item x="2367"/>
        <item x="1176"/>
        <item x="1392"/>
        <item x="1278"/>
        <item x="1986"/>
        <item x="344"/>
        <item x="1836"/>
        <item x="1873"/>
        <item x="1863"/>
        <item x="1172"/>
        <item x="1039"/>
        <item x="682"/>
        <item x="1045"/>
        <item x="328"/>
        <item x="1091"/>
        <item x="714"/>
        <item x="1978"/>
        <item x="278"/>
        <item x="1424"/>
        <item x="575"/>
        <item x="630"/>
        <item x="2045"/>
        <item x="1894"/>
        <item x="1076"/>
        <item x="2278"/>
        <item x="1705"/>
        <item x="1990"/>
        <item x="1197"/>
        <item x="2283"/>
        <item x="343"/>
        <item x="2205"/>
        <item x="1216"/>
        <item x="267"/>
        <item x="2337"/>
        <item x="1419"/>
        <item x="812"/>
        <item x="1347"/>
        <item x="2164"/>
        <item x="32"/>
        <item x="529"/>
        <item x="1003"/>
        <item x="1212"/>
        <item x="1939"/>
        <item x="659"/>
        <item x="2304"/>
        <item x="221"/>
        <item x="41"/>
        <item x="214"/>
        <item x="1227"/>
        <item x="612"/>
        <item x="1158"/>
        <item x="1021"/>
        <item x="989"/>
        <item x="1101"/>
        <item x="1880"/>
        <item x="760"/>
        <item x="1814"/>
        <item x="79"/>
        <item x="735"/>
        <item x="1859"/>
        <item x="2374"/>
        <item x="2440"/>
        <item x="2307"/>
        <item x="469"/>
        <item x="126"/>
        <item x="21"/>
        <item x="700"/>
        <item x="1046"/>
        <item x="1214"/>
        <item x="1521"/>
        <item x="1128"/>
        <item x="534"/>
        <item x="2116"/>
        <item x="783"/>
        <item x="1005"/>
        <item x="1099"/>
        <item x="1681"/>
        <item x="2265"/>
        <item x="16"/>
        <item x="1653"/>
        <item x="1871"/>
        <item x="1495"/>
        <item x="810"/>
        <item x="1541"/>
        <item x="1462"/>
        <item x="2161"/>
        <item x="633"/>
        <item x="2406"/>
        <item x="1357"/>
        <item x="1446"/>
        <item x="139"/>
        <item x="298"/>
        <item x="407"/>
        <item x="2189"/>
        <item x="420"/>
        <item x="260"/>
        <item x="851"/>
        <item x="2121"/>
        <item x="107"/>
        <item x="1084"/>
        <item x="2049"/>
        <item x="1342"/>
        <item x="104"/>
        <item x="1778"/>
        <item x="86"/>
        <item x="385"/>
        <item x="845"/>
        <item x="917"/>
        <item x="1364"/>
        <item x="1846"/>
        <item x="1608"/>
        <item x="2319"/>
        <item x="2376"/>
        <item x="255"/>
        <item x="115"/>
        <item x="2136"/>
        <item x="1733"/>
        <item x="2433"/>
        <item x="1148"/>
        <item x="2190"/>
        <item x="1336"/>
        <item x="1020"/>
        <item x="4"/>
        <item x="1011"/>
        <item x="1856"/>
        <item x="1303"/>
        <item x="268"/>
        <item x="2342"/>
        <item x="1682"/>
        <item x="1075"/>
        <item x="1246"/>
        <item x="2289"/>
        <item x="642"/>
        <item x="964"/>
        <item x="1316"/>
        <item x="203"/>
        <item x="1506"/>
        <item x="690"/>
        <item x="1250"/>
        <item x="2218"/>
        <item x="1527"/>
        <item x="772"/>
        <item x="2297"/>
        <item x="1556"/>
        <item x="681"/>
        <item x="1153"/>
        <item x="2326"/>
        <item x="649"/>
        <item x="261"/>
        <item x="334"/>
        <item x="455"/>
        <item x="1554"/>
        <item x="105"/>
        <item x="374"/>
        <item x="929"/>
        <item x="666"/>
        <item x="803"/>
        <item x="604"/>
        <item x="326"/>
        <item x="1590"/>
        <item x="1254"/>
        <item x="1223"/>
        <item x="1321"/>
        <item x="456"/>
        <item x="780"/>
        <item x="460"/>
        <item x="2363"/>
        <item x="1774"/>
        <item x="1243"/>
        <item x="902"/>
        <item x="2473"/>
        <item x="832"/>
        <item x="2040"/>
        <item x="601"/>
        <item x="96"/>
        <item x="569"/>
        <item x="1420"/>
        <item x="2379"/>
        <item x="986"/>
        <item x="91"/>
        <item x="168"/>
        <item x="1735"/>
        <item x="2432"/>
        <item x="2450"/>
        <item x="2200"/>
        <item x="1286"/>
        <item x="2236"/>
        <item x="1422"/>
        <item x="707"/>
        <item x="1405"/>
        <item x="2399"/>
        <item x="475"/>
        <item x="1822"/>
        <item x="847"/>
        <item x="1678"/>
        <item x="2395"/>
        <item x="876"/>
        <item x="2424"/>
        <item x="2486"/>
        <item x="2247"/>
        <item x="1577"/>
        <item x="1799"/>
        <item x="1078"/>
        <item x="2382"/>
        <item x="2327"/>
        <item x="504"/>
        <item x="560"/>
        <item x="728"/>
        <item x="579"/>
        <item x="1744"/>
        <item x="252"/>
        <item x="207"/>
        <item x="1318"/>
        <item x="994"/>
        <item x="1526"/>
        <item x="1765"/>
        <item x="938"/>
        <item x="1851"/>
        <item x="1288"/>
        <item x="453"/>
        <item x="2120"/>
        <item x="2002"/>
        <item x="613"/>
        <item x="362"/>
        <item x="1884"/>
        <item x="2018"/>
        <item x="901"/>
        <item x="991"/>
        <item x="2435"/>
        <item x="996"/>
        <item x="1107"/>
        <item x="1903"/>
        <item x="90"/>
        <item x="1641"/>
        <item x="1407"/>
        <item x="2465"/>
        <item x="1955"/>
        <item x="2272"/>
        <item x="1611"/>
        <item x="2015"/>
        <item x="2293"/>
        <item x="1779"/>
        <item x="1411"/>
        <item x="330"/>
        <item x="1198"/>
        <item x="432"/>
        <item x="1140"/>
        <item x="1786"/>
        <item x="1137"/>
        <item x="1317"/>
        <item x="2377"/>
        <item x="1865"/>
        <item x="2086"/>
        <item x="1580"/>
        <item x="394"/>
        <item x="435"/>
        <item x="1694"/>
        <item x="1097"/>
        <item x="1976"/>
        <item x="1896"/>
        <item x="490"/>
        <item x="2333"/>
        <item x="2427"/>
        <item x="403"/>
        <item x="467"/>
        <item x="2201"/>
        <item x="1502"/>
        <item x="1010"/>
        <item x="925"/>
        <item x="1022"/>
        <item x="525"/>
        <item x="846"/>
        <item x="1184"/>
        <item x="2208"/>
        <item x="815"/>
        <item x="1210"/>
        <item x="1979"/>
        <item x="1568"/>
        <item x="2285"/>
        <item x="275"/>
        <item x="1937"/>
        <item x="1015"/>
        <item x="418"/>
        <item x="624"/>
        <item x="500"/>
        <item x="1360"/>
        <item x="2443"/>
        <item x="224"/>
        <item x="2198"/>
        <item x="1771"/>
        <item x="1170"/>
        <item x="2233"/>
        <item x="1545"/>
        <item x="1007"/>
        <item x="1203"/>
        <item x="1623"/>
        <item x="1816"/>
        <item x="17"/>
        <item x="2029"/>
        <item x="1761"/>
        <item x="980"/>
        <item x="522"/>
        <item x="185"/>
        <item x="2203"/>
        <item x="2107"/>
        <item x="2187"/>
        <item x="2067"/>
        <item x="1815"/>
        <item x="193"/>
        <item x="789"/>
        <item x="283"/>
        <item x="799"/>
        <item x="628"/>
        <item x="1516"/>
        <item x="1048"/>
        <item x="1284"/>
        <item x="573"/>
        <item x="2215"/>
        <item x="1702"/>
        <item x="962"/>
        <item x="971"/>
        <item x="2394"/>
        <item x="412"/>
        <item x="257"/>
        <item x="2299"/>
        <item x="333"/>
        <item x="1832"/>
        <item x="1006"/>
        <item x="2331"/>
        <item x="1324"/>
        <item x="594"/>
        <item x="978"/>
        <item x="389"/>
        <item x="1850"/>
        <item x="1247"/>
        <item x="2237"/>
        <item x="1703"/>
        <item x="1008"/>
        <item x="2429"/>
        <item x="151"/>
        <item x="129"/>
        <item x="559"/>
        <item x="877"/>
        <item x="719"/>
        <item x="227"/>
        <item x="1858"/>
        <item x="2438"/>
        <item x="1988"/>
        <item x="1686"/>
        <item x="55"/>
        <item x="404"/>
        <item x="114"/>
        <item x="1725"/>
        <item x="505"/>
        <item x="264"/>
        <item x="1759"/>
        <item x="913"/>
        <item x="650"/>
        <item x="381"/>
        <item x="518"/>
        <item x="461"/>
        <item x="1707"/>
        <item x="397"/>
        <item x="1848"/>
        <item x="987"/>
        <item x="208"/>
        <item x="2001"/>
        <item x="1341"/>
        <item x="9"/>
        <item x="2470"/>
        <item x="1314"/>
        <item x="849"/>
        <item x="1522"/>
        <item x="1079"/>
        <item x="2041"/>
        <item x="2474"/>
        <item x="776"/>
        <item x="1093"/>
        <item x="2118"/>
        <item x="146"/>
        <item x="1131"/>
        <item x="1875"/>
        <item x="201"/>
        <item x="1638"/>
        <item x="1802"/>
        <item x="172"/>
        <item x="396"/>
        <item x="1657"/>
        <item x="2361"/>
        <item x="2381"/>
        <item x="1387"/>
        <item x="1282"/>
        <item x="1650"/>
        <item x="472"/>
        <item x="1489"/>
        <item x="744"/>
        <item x="2038"/>
        <item x="1970"/>
        <item x="2353"/>
        <item x="1463"/>
        <item x="550"/>
        <item x="1839"/>
        <item x="108"/>
        <item x="1367"/>
        <item x="998"/>
        <item x="1445"/>
        <item x="355"/>
        <item x="2083"/>
        <item x="2414"/>
        <item x="643"/>
        <item x="933"/>
        <item x="305"/>
        <item x="2125"/>
        <item x="2312"/>
        <item x="110"/>
        <item x="1945"/>
        <item x="346"/>
        <item x="709"/>
        <item x="149"/>
        <item x="2358"/>
        <item x="329"/>
        <item x="123"/>
        <item x="1372"/>
        <item x="2169"/>
        <item x="28"/>
        <item x="1510"/>
        <item x="1712"/>
        <item x="1610"/>
        <item x="1889"/>
        <item x="1073"/>
        <item x="1363"/>
        <item x="1041"/>
        <item x="1408"/>
        <item x="465"/>
        <item x="884"/>
        <item x="1263"/>
        <item x="1108"/>
        <item x="1553"/>
        <item x="1685"/>
        <item x="2043"/>
        <item x="992"/>
        <item x="1443"/>
        <item x="2252"/>
        <item x="556"/>
        <item x="848"/>
        <item x="2132"/>
        <item x="2495"/>
        <item x="1715"/>
        <item x="1062"/>
        <item x="38"/>
        <item x="1673"/>
        <item x="177"/>
        <item x="287"/>
        <item x="160"/>
        <item x="995"/>
        <item x="1706"/>
        <item x="1226"/>
        <item x="672"/>
        <item x="2019"/>
        <item x="1782"/>
        <item x="1050"/>
        <item x="142"/>
        <item x="181"/>
        <item x="641"/>
        <item x="1276"/>
        <item x="960"/>
        <item x="2360"/>
        <item x="1013"/>
        <item x="545"/>
        <item x="1371"/>
        <item x="2142"/>
        <item x="781"/>
        <item x="1720"/>
        <item x="1453"/>
        <item x="2014"/>
        <item x="2210"/>
        <item x="2441"/>
        <item x="116"/>
        <item x="2417"/>
        <item x="69"/>
        <item x="212"/>
        <item x="1218"/>
        <item x="506"/>
        <item x="526"/>
        <item x="616"/>
        <item x="1806"/>
        <item x="72"/>
        <item x="1181"/>
        <item x="1174"/>
        <item x="1054"/>
        <item x="723"/>
        <item x="697"/>
        <item x="1410"/>
        <item x="1727"/>
        <item x="1106"/>
        <item x="1861"/>
        <item x="820"/>
        <item x="1618"/>
        <item x="1631"/>
        <item x="961"/>
        <item x="1207"/>
        <item x="1827"/>
        <item x="237"/>
        <item x="1579"/>
        <item x="426"/>
        <item x="1215"/>
        <item x="496"/>
        <item x="1736"/>
        <item x="226"/>
        <item x="903"/>
        <item x="53"/>
        <item x="731"/>
        <item x="592"/>
        <item x="1629"/>
        <item x="2087"/>
        <item x="188"/>
        <item x="1619"/>
        <item x="914"/>
        <item x="1927"/>
        <item x="1436"/>
        <item x="1953"/>
        <item x="1156"/>
        <item x="1261"/>
        <item x="1598"/>
        <item x="692"/>
        <item x="1714"/>
        <item x="1677"/>
        <item x="1788"/>
        <item x="1854"/>
        <item x="1701"/>
        <item x="1916"/>
        <item x="2389"/>
        <item x="198"/>
        <item x="869"/>
        <item x="1783"/>
        <item x="1123"/>
        <item x="1820"/>
        <item x="1442"/>
        <item x="2449"/>
        <item x="2332"/>
        <item x="1183"/>
        <item x="1155"/>
        <item x="777"/>
        <item x="918"/>
        <item x="949"/>
        <item x="1326"/>
        <item x="791"/>
        <item x="671"/>
        <item x="827"/>
        <item x="1117"/>
        <item x="2074"/>
        <item x="1080"/>
        <item x="49"/>
        <item x="947"/>
        <item x="600"/>
        <item x="14"/>
        <item x="135"/>
        <item x="1224"/>
        <item x="611"/>
        <item x="2097"/>
        <item x="1068"/>
        <item x="2078"/>
        <item x="1962"/>
        <item x="1503"/>
        <item x="273"/>
        <item x="2430"/>
        <item x="2061"/>
        <item x="906"/>
        <item x="468"/>
        <item x="449"/>
        <item x="1402"/>
        <item x="1892"/>
        <item x="863"/>
        <item x="1731"/>
        <item x="871"/>
        <item x="209"/>
        <item x="75"/>
        <item x="857"/>
        <item x="1810"/>
        <item x="2245"/>
        <item x="2178"/>
        <item x="1920"/>
        <item x="1849"/>
        <item x="1807"/>
        <item x="1801"/>
        <item x="882"/>
        <item x="1519"/>
        <item x="1711"/>
        <item x="1661"/>
        <item x="937"/>
        <item x="1651"/>
        <item x="1311"/>
        <item x="1980"/>
        <item x="141"/>
        <item x="2056"/>
        <item x="1615"/>
        <item x="895"/>
        <item x="754"/>
        <item x="1891"/>
        <item x="2133"/>
        <item x="22"/>
        <item x="1333"/>
        <item x="819"/>
        <item x="1009"/>
        <item x="1159"/>
        <item x="2408"/>
        <item x="171"/>
        <item x="2308"/>
        <item x="24"/>
        <item x="408"/>
        <item x="1289"/>
        <item x="770"/>
        <item x="1922"/>
        <item x="2199"/>
        <item x="2222"/>
        <item x="621"/>
        <item x="1866"/>
        <item x="942"/>
        <item x="734"/>
        <item x="299"/>
        <item x="2171"/>
        <item x="1139"/>
        <item x="976"/>
        <item x="445"/>
        <item x="2423"/>
        <item x="2294"/>
        <item x="889"/>
        <item x="1150"/>
        <item x="1902"/>
        <item x="2378"/>
        <item x="1063"/>
        <item x="138"/>
        <item x="1533"/>
        <item x="1670"/>
        <item x="1974"/>
        <item x="1464"/>
        <item x="856"/>
        <item x="1083"/>
        <item x="1928"/>
        <item x="2475"/>
        <item x="2269"/>
        <item x="921"/>
        <item x="2101"/>
        <item x="2373"/>
        <item x="1209"/>
        <item x="842"/>
        <item x="1530"/>
        <item x="2416"/>
        <item x="508"/>
        <item x="603"/>
        <item x="1595"/>
        <item x="831"/>
        <item x="2437"/>
        <item x="2035"/>
        <item x="425"/>
        <item x="136"/>
        <item x="1268"/>
        <item x="765"/>
        <item x="88"/>
        <item x="1219"/>
        <item x="683"/>
        <item x="1025"/>
        <item x="928"/>
        <item x="1151"/>
        <item x="1211"/>
        <item x="2372"/>
        <item x="254"/>
        <item x="1271"/>
        <item x="1643"/>
        <item x="932"/>
        <item x="823"/>
        <item x="2243"/>
        <item x="722"/>
        <item x="1483"/>
        <item x="2143"/>
        <item x="983"/>
        <item x="30"/>
        <item x="1147"/>
        <item x="1307"/>
        <item x="2020"/>
        <item x="1354"/>
        <item x="748"/>
        <item x="552"/>
        <item x="1936"/>
        <item x="70"/>
        <item x="2341"/>
        <item x="1559"/>
        <item x="2184"/>
        <item x="1192"/>
        <item x="2134"/>
        <item x="350"/>
        <item x="873"/>
        <item x="1259"/>
        <item x="1031"/>
        <item x="1447"/>
        <item x="2053"/>
        <item x="2314"/>
        <item x="57"/>
        <item x="166"/>
        <item x="383"/>
        <item x="1877"/>
        <item x="1394"/>
        <item x="1049"/>
        <item x="571"/>
        <item x="941"/>
        <item x="240"/>
        <item x="982"/>
        <item x="2026"/>
        <item x="31"/>
        <item x="1754"/>
        <item x="1834"/>
        <item x="2279"/>
        <item x="85"/>
        <item x="520"/>
        <item x="590"/>
        <item x="985"/>
        <item x="637"/>
        <item x="606"/>
        <item x="1644"/>
        <item x="1524"/>
        <item x="2079"/>
        <item x="1647"/>
        <item x="2060"/>
        <item x="2016"/>
        <item x="2175"/>
        <item x="1963"/>
        <item x="739"/>
        <item x="2320"/>
        <item x="2238"/>
        <item x="2167"/>
        <item x="2298"/>
        <item x="1908"/>
        <item x="1173"/>
        <item x="2159"/>
        <item x="2204"/>
        <item x="1309"/>
        <item x="2419"/>
        <item x="1563"/>
        <item x="422"/>
        <item x="623"/>
        <item x="1982"/>
        <item x="1674"/>
        <item x="2263"/>
        <item x="1625"/>
        <item x="25"/>
        <item x="1542"/>
        <item x="292"/>
        <item x="1570"/>
        <item x="482"/>
        <item x="923"/>
        <item x="1023"/>
        <item x="1125"/>
        <item x="290"/>
        <item x="1275"/>
        <item x="2193"/>
        <item x="1056"/>
        <item x="597"/>
        <item x="2059"/>
        <item x="2472"/>
        <item x="2463"/>
        <item x="1645"/>
        <item x="2138"/>
        <item x="419"/>
        <item x="487"/>
        <item x="1460"/>
        <item x="1138"/>
        <item x="2068"/>
        <item x="2305"/>
        <item x="1096"/>
        <item x="1423"/>
        <item x="2318"/>
        <item x="1917"/>
        <item x="1302"/>
        <item x="904"/>
        <item x="1069"/>
        <item x="702"/>
        <item x="183"/>
        <item x="2445"/>
        <item x="2073"/>
        <item x="1636"/>
        <item x="920"/>
        <item x="479"/>
        <item x="1384"/>
        <item x="1272"/>
        <item x="805"/>
        <item x="233"/>
        <item x="762"/>
        <item x="509"/>
        <item x="2003"/>
        <item x="668"/>
        <item x="1958"/>
        <item x="2202"/>
        <item x="1910"/>
        <item x="1299"/>
        <item x="2452"/>
        <item x="2426"/>
        <item x="586"/>
        <item x="2261"/>
        <item x="931"/>
        <item x="614"/>
        <item x="1874"/>
        <item x="2052"/>
        <item x="688"/>
        <item x="1175"/>
        <item x="1400"/>
        <item x="492"/>
        <item x="266"/>
        <item x="1110"/>
        <item x="2446"/>
        <item x="1195"/>
        <item x="657"/>
        <item x="1534"/>
        <item x="1369"/>
        <item x="173"/>
        <item x="1793"/>
        <item x="229"/>
        <item x="2315"/>
        <item x="1381"/>
        <item x="1425"/>
        <item x="1961"/>
        <item x="1133"/>
        <item x="879"/>
        <item x="566"/>
        <item x="246"/>
        <item x="417"/>
        <item x="943"/>
        <item x="1523"/>
        <item x="685"/>
        <item x="1194"/>
        <item x="165"/>
        <item x="645"/>
        <item x="277"/>
        <item x="891"/>
        <item x="646"/>
        <item x="752"/>
        <item x="1378"/>
        <item x="1572"/>
        <item x="2156"/>
        <item x="464"/>
        <item x="1546"/>
        <item x="1450"/>
        <item x="1944"/>
        <item x="1308"/>
        <item x="2093"/>
        <item x="1345"/>
        <item x="1969"/>
        <item x="1388"/>
        <item x="380"/>
        <item x="1630"/>
        <item x="1805"/>
        <item x="1348"/>
        <item x="1244"/>
        <item x="1132"/>
        <item x="1571"/>
        <item x="325"/>
        <item x="197"/>
        <item x="727"/>
        <item x="1600"/>
        <item x="1350"/>
        <item x="1770"/>
        <item x="454"/>
        <item x="1160"/>
        <item x="23"/>
        <item x="1505"/>
        <item x="1648"/>
        <item x="459"/>
        <item x="1301"/>
        <item x="81"/>
        <item x="912"/>
        <item x="2457"/>
        <item x="1365"/>
        <item x="788"/>
        <item x="1037"/>
        <item x="676"/>
        <item x="1864"/>
        <item x="1235"/>
        <item x="364"/>
        <item x="2311"/>
        <item x="360"/>
        <item x="369"/>
        <item x="2100"/>
        <item x="1157"/>
        <item x="952"/>
        <item x="1837"/>
        <item x="1966"/>
        <item x="1331"/>
        <item x="1255"/>
        <item x="2122"/>
        <item x="584"/>
        <item x="2268"/>
        <item x="100"/>
        <item x="216"/>
        <item x="2104"/>
        <item x="1789"/>
        <item x="1088"/>
        <item x="578"/>
        <item x="2407"/>
        <item x="222"/>
        <item x="1819"/>
        <item x="1481"/>
        <item x="1253"/>
        <item x="1061"/>
        <item x="864"/>
        <item x="521"/>
        <item x="1094"/>
        <item x="387"/>
        <item x="620"/>
        <item x="974"/>
        <item x="1059"/>
        <item x="1919"/>
        <item x="1588"/>
        <item x="802"/>
        <item x="1177"/>
        <item x="747"/>
        <item x="1362"/>
        <item x="2444"/>
        <item x="693"/>
        <item x="1989"/>
        <item x="567"/>
        <item x="2166"/>
        <item x="1066"/>
        <item x="27"/>
        <item x="988"/>
        <item x="638"/>
        <item x="337"/>
        <item x="2483"/>
        <item x="934"/>
        <item x="428"/>
        <item x="1997"/>
        <item x="1700"/>
        <item x="247"/>
        <item x="495"/>
        <item x="51"/>
        <item x="1968"/>
        <item x="122"/>
        <item x="2158"/>
        <item x="2391"/>
        <item x="680"/>
        <item x="890"/>
        <item x="2017"/>
        <item x="2183"/>
        <item x="2368"/>
        <item x="2322"/>
        <item x="112"/>
        <item x="689"/>
        <item x="2422"/>
        <item x="1274"/>
        <item x="1808"/>
        <item x="1095"/>
        <item x="1603"/>
        <item x="1304"/>
        <item x="826"/>
        <item x="111"/>
        <item x="1589"/>
        <item x="2251"/>
        <item x="63"/>
        <item x="733"/>
        <item x="761"/>
        <item x="1829"/>
        <item x="2232"/>
        <item x="1029"/>
        <item x="1842"/>
        <item x="26"/>
        <item x="2400"/>
        <item x="2340"/>
        <item x="458"/>
        <item x="574"/>
        <item x="1713"/>
        <item x="775"/>
        <item x="74"/>
        <item x="12"/>
        <item x="2110"/>
        <item x="2168"/>
        <item x="939"/>
        <item x="73"/>
        <item x="543"/>
        <item x="1166"/>
        <item x="2458"/>
        <item x="1823"/>
        <item x="1116"/>
        <item x="858"/>
        <item x="1229"/>
        <item x="990"/>
        <item x="1852"/>
        <item x="156"/>
        <item x="488"/>
        <item x="1838"/>
        <item x="1135"/>
        <item x="2209"/>
        <item x="661"/>
        <item x="147"/>
        <item x="2362"/>
        <item x="336"/>
        <item x="2127"/>
        <item x="2323"/>
        <item x="886"/>
        <item x="259"/>
        <item x="1057"/>
        <item x="726"/>
        <item x="1213"/>
        <item x="2046"/>
        <item x="2364"/>
        <item x="2370"/>
        <item x="1258"/>
        <item x="717"/>
        <item x="2284"/>
        <item x="304"/>
        <item x="1640"/>
        <item x="1515"/>
        <item x="54"/>
        <item x="1745"/>
        <item x="1792"/>
        <item x="1124"/>
        <item x="1721"/>
        <item x="1126"/>
        <item x="2369"/>
        <item x="2351"/>
        <item x="1772"/>
        <item x="2219"/>
        <item x="303"/>
        <item x="1942"/>
        <item x="2000"/>
        <item x="972"/>
        <item x="249"/>
        <item x="1584"/>
        <item x="1103"/>
        <item x="1468"/>
        <item x="1529"/>
        <item x="741"/>
        <item x="1338"/>
        <item x="572"/>
        <item x="1319"/>
        <item x="956"/>
        <item x="1196"/>
        <item x="915"/>
        <item x="1965"/>
        <item x="99"/>
        <item x="814"/>
        <item x="319"/>
        <item x="293"/>
        <item x="1044"/>
        <item x="1909"/>
        <item x="2482"/>
        <item x="1498"/>
        <item x="1000"/>
        <item x="2071"/>
        <item x="46"/>
        <item x="1558"/>
        <item x="1901"/>
        <item x="33"/>
        <item x="632"/>
        <item x="217"/>
        <item x="818"/>
        <item x="1709"/>
        <item x="1907"/>
        <item x="327"/>
        <item x="675"/>
        <item x="1500"/>
        <item x="793"/>
        <item x="1612"/>
        <item x="36"/>
        <item x="279"/>
        <item x="894"/>
        <item x="1540"/>
        <item x="1780"/>
        <item x="979"/>
        <item x="663"/>
        <item x="118"/>
        <item x="2254"/>
        <item x="390"/>
        <item x="1208"/>
        <item x="2343"/>
        <item x="40"/>
        <item x="1082"/>
        <item x="957"/>
        <item x="1551"/>
        <item x="2089"/>
        <item x="1704"/>
        <item x="1416"/>
        <item x="973"/>
        <item x="1134"/>
        <item x="2405"/>
        <item x="1751"/>
        <item x="170"/>
        <item x="1374"/>
        <item x="1609"/>
        <item x="1995"/>
        <item x="538"/>
        <item x="512"/>
        <item x="1320"/>
        <item x="331"/>
        <item x="2195"/>
        <item x="1042"/>
        <item x="352"/>
        <item x="2216"/>
        <item x="1843"/>
        <item x="1252"/>
        <item x="2344"/>
        <item x="125"/>
        <item x="742"/>
        <item x="2456"/>
        <item x="2494"/>
        <item x="1038"/>
        <item x="1466"/>
        <item x="117"/>
        <item x="1052"/>
        <item x="1964"/>
        <item x="591"/>
        <item x="1605"/>
        <item x="2214"/>
        <item x="2282"/>
        <item x="1592"/>
        <item x="189"/>
        <item x="140"/>
        <item x="2480"/>
        <item x="1027"/>
        <item x="2109"/>
        <item x="1142"/>
        <item x="1030"/>
        <item x="2235"/>
        <item x="476"/>
        <item x="970"/>
        <item x="787"/>
        <item x="2349"/>
        <item x="2401"/>
        <item x="667"/>
        <item x="1329"/>
        <item x="841"/>
        <item x="2321"/>
        <item x="2099"/>
        <item x="1499"/>
        <item x="1114"/>
        <item x="1465"/>
        <item x="867"/>
        <item x="210"/>
        <item x="1878"/>
        <item x="294"/>
        <item x="824"/>
        <item x="444"/>
        <item x="743"/>
        <item x="1376"/>
        <item x="2105"/>
        <item x="1397"/>
        <item x="767"/>
        <item x="1791"/>
        <item x="2186"/>
        <item x="1804"/>
        <item x="1699"/>
        <item x="1285"/>
        <item x="1581"/>
        <item x="755"/>
        <item x="430"/>
        <item x="536"/>
        <item x="1375"/>
        <item x="2354"/>
        <item x="1092"/>
        <item x="2460"/>
        <item x="1444"/>
        <item x="940"/>
        <item x="1504"/>
        <item x="446"/>
        <item x="1931"/>
        <item x="2386"/>
        <item x="190"/>
        <item x="1594"/>
        <item x="1797"/>
        <item x="2064"/>
        <item x="2217"/>
        <item x="1398"/>
        <item x="2398"/>
        <item x="2425"/>
        <item x="220"/>
        <item x="1332"/>
        <item x="2165"/>
        <item x="1352"/>
        <item x="1043"/>
        <item x="2255"/>
        <item x="2478"/>
        <item x="1055"/>
        <item x="2286"/>
        <item x="2328"/>
        <item x="2239"/>
        <item x="874"/>
        <item x="524"/>
        <item x="2330"/>
        <item x="1824"/>
        <item x="658"/>
        <item x="1698"/>
        <item x="2273"/>
        <item x="361"/>
        <item x="1954"/>
        <item x="860"/>
        <item x="2025"/>
        <item x="52"/>
        <item x="384"/>
        <item x="66"/>
        <item x="2011"/>
        <item x="427"/>
        <item x="2050"/>
        <item x="1825"/>
        <item x="2350"/>
        <item x="1690"/>
        <item x="1228"/>
        <item x="1221"/>
        <item x="2490"/>
        <item x="128"/>
        <item x="2301"/>
        <item x="1100"/>
        <item x="1668"/>
        <item x="946"/>
        <item x="1749"/>
        <item x="1089"/>
        <item x="640"/>
        <item x="1300"/>
        <item x="1028"/>
        <item x="1343"/>
        <item x="2275"/>
        <item x="738"/>
        <item x="2413"/>
        <item x="289"/>
        <item x="1180"/>
        <item x="2149"/>
        <item x="513"/>
        <item x="155"/>
        <item x="911"/>
        <item x="618"/>
        <item x="796"/>
        <item x="382"/>
        <item x="1726"/>
        <item x="1853"/>
        <item x="701"/>
        <item x="1474"/>
        <item x="829"/>
        <item x="202"/>
        <item x="82"/>
        <item x="797"/>
        <item x="2037"/>
        <item x="553"/>
        <item x="119"/>
        <item x="2139"/>
        <item x="2270"/>
        <item x="2346"/>
        <item x="2469"/>
        <item x="1454"/>
        <item x="395"/>
        <item x="1236"/>
        <item x="1879"/>
        <item x="34"/>
        <item x="875"/>
        <item x="541"/>
        <item x="1692"/>
        <item x="868"/>
        <item x="896"/>
        <item x="951"/>
        <item x="583"/>
        <item x="463"/>
        <item x="1574"/>
        <item x="546"/>
        <item x="704"/>
        <item x="808"/>
        <item x="790"/>
        <item x="19"/>
        <item x="356"/>
        <item x="127"/>
        <item x="1014"/>
        <item x="1757"/>
        <item x="1716"/>
        <item x="935"/>
        <item x="804"/>
        <item x="1136"/>
        <item x="1993"/>
        <item x="1389"/>
        <item x="1395"/>
        <item x="2055"/>
        <item x="1122"/>
        <item x="2032"/>
        <item x="2428"/>
        <item x="840"/>
        <item x="694"/>
        <item x="1368"/>
        <item x="2404"/>
        <item x="2196"/>
        <item x="1666"/>
        <item x="489"/>
        <item x="1957"/>
        <item x="1943"/>
        <item x="1949"/>
        <item x="291"/>
        <item x="885"/>
        <item x="302"/>
        <item x="1081"/>
        <item x="1718"/>
        <item x="1199"/>
        <item x="1496"/>
        <item x="1575"/>
        <item x="795"/>
        <item x="1256"/>
        <item x="853"/>
        <item x="718"/>
        <item x="1283"/>
        <item x="2471"/>
        <item x="164"/>
        <item x="1355"/>
        <item x="2051"/>
        <item x="406"/>
        <item x="854"/>
        <item x="1659"/>
        <item x="10"/>
        <item x="908"/>
        <item x="1353"/>
        <item x="1732"/>
        <item x="367"/>
        <item x="706"/>
        <item x="1870"/>
        <item x="163"/>
        <item x="2144"/>
        <item x="241"/>
        <item x="1951"/>
        <item x="1656"/>
        <item x="1431"/>
        <item x="219"/>
        <item x="2194"/>
        <item x="1972"/>
        <item x="1266"/>
        <item x="2231"/>
        <item x="861"/>
        <item x="677"/>
        <item x="1952"/>
        <item x="2371"/>
        <item x="1428"/>
        <item x="1912"/>
        <item x="1233"/>
        <item x="527"/>
        <item x="724"/>
        <item x="238"/>
        <item x="2094"/>
        <item x="1758"/>
        <item x="44"/>
        <item x="1739"/>
        <item x="1493"/>
        <item x="1983"/>
        <item x="1383"/>
        <item x="2365"/>
        <item x="243"/>
        <item x="535"/>
        <item x="1933"/>
        <item x="286"/>
        <item x="8"/>
        <item x="2084"/>
        <item x="1473"/>
        <item x="1414"/>
        <item x="2290"/>
        <item x="2476"/>
        <item x="708"/>
        <item x="1723"/>
        <item x="2005"/>
        <item x="2030"/>
        <item x="1315"/>
        <item x="1482"/>
        <item x="1750"/>
        <item x="62"/>
        <item x="1665"/>
        <item x="1409"/>
        <item x="230"/>
        <item x="2027"/>
        <item x="749"/>
        <item x="478"/>
        <item x="1950"/>
        <item x="402"/>
        <item x="1566"/>
        <item x="2009"/>
        <item x="1470"/>
        <item x="451"/>
        <item x="1334"/>
        <item x="2479"/>
        <item x="429"/>
        <item x="1492"/>
        <item x="1667"/>
        <item x="2151"/>
        <item x="1391"/>
        <item x="1382"/>
        <item x="698"/>
        <item x="1992"/>
        <item x="1305"/>
        <item x="563"/>
        <item x="401"/>
        <item x="1190"/>
        <item x="2336"/>
        <item x="950"/>
        <item x="730"/>
        <item x="2455"/>
        <item x="1370"/>
        <item x="35"/>
        <item x="2466"/>
        <item x="1292"/>
        <item x="561"/>
        <item x="178"/>
        <item x="865"/>
        <item x="533"/>
        <item x="2033"/>
        <item x="2453"/>
        <item x="1161"/>
        <item x="1429"/>
        <item x="2300"/>
        <item x="447"/>
        <item x="955"/>
        <item x="97"/>
        <item x="1188"/>
        <item x="2387"/>
        <item x="1239"/>
        <item x="1328"/>
        <item x="779"/>
        <item x="228"/>
        <item x="2229"/>
        <item x="306"/>
        <item x="2126"/>
        <item x="1760"/>
        <item x="1583"/>
        <item x="673"/>
        <item x="665"/>
        <item x="2230"/>
        <item x="1549"/>
        <item x="1323"/>
        <item x="68"/>
        <item x="186"/>
        <item x="150"/>
        <item x="757"/>
        <item x="1691"/>
        <item x="2384"/>
        <item x="519"/>
        <item x="1435"/>
        <item x="2044"/>
        <item x="1337"/>
        <item x="1886"/>
        <item x="1339"/>
        <item x="763"/>
        <item x="1201"/>
        <item x="2047"/>
        <item x="897"/>
        <item x="2"/>
        <item x="1614"/>
        <item x="1616"/>
        <item x="1373"/>
        <item x="310"/>
        <item x="2303"/>
        <item x="1459"/>
        <item x="338"/>
        <item x="1717"/>
        <item x="1683"/>
        <item x="1663"/>
        <item x="2157"/>
        <item x="828"/>
        <item x="2141"/>
        <item x="1719"/>
        <item x="421"/>
        <item x="751"/>
        <item x="1926"/>
        <item x="2464"/>
        <item x="59"/>
        <item x="2154"/>
        <item x="1676"/>
        <item x="1294"/>
        <item x="2211"/>
        <item x="602"/>
        <item x="945"/>
        <item x="322"/>
        <item x="1085"/>
        <item x="2114"/>
        <item x="798"/>
        <item x="225"/>
        <item x="80"/>
        <item x="1867"/>
        <item x="1525"/>
        <item x="768"/>
        <item x="1206"/>
        <item x="1469"/>
        <item x="47"/>
        <item x="1905"/>
        <item x="339"/>
        <item x="1074"/>
        <item x="825"/>
        <item x="1915"/>
        <item x="511"/>
        <item x="1513"/>
        <item x="615"/>
        <item x="919"/>
        <item x="2123"/>
        <item x="589"/>
        <item x="1413"/>
        <item x="977"/>
        <item x="2484"/>
        <item x="424"/>
        <item x="18"/>
        <item x="2085"/>
        <item x="296"/>
        <item x="83"/>
        <item x="218"/>
        <item x="1497"/>
        <item x="415"/>
        <item x="113"/>
        <item x="1585"/>
        <item x="213"/>
        <item x="1747"/>
        <item x="1237"/>
        <item x="2306"/>
        <item x="285"/>
        <item x="2069"/>
        <item x="1441"/>
        <item x="968"/>
        <item x="301"/>
        <item x="2188"/>
        <item x="1748"/>
        <item x="1895"/>
        <item x="2356"/>
        <item x="608"/>
        <item x="2288"/>
        <item x="1164"/>
        <item x="984"/>
        <item x="2148"/>
        <item x="2280"/>
        <item x="1752"/>
        <item x="852"/>
        <item x="2420"/>
        <item x="622"/>
        <item x="2447"/>
        <item x="248"/>
        <item x="1768"/>
        <item x="1658"/>
        <item x="1070"/>
        <item x="1390"/>
        <item x="1844"/>
        <item x="2115"/>
        <item x="514"/>
        <item x="1404"/>
        <item x="2153"/>
        <item x="251"/>
        <item x="1624"/>
        <item x="335"/>
        <item x="2439"/>
        <item x="1077"/>
        <item x="1620"/>
        <item x="232"/>
        <item x="1883"/>
        <item x="1377"/>
        <item x="321"/>
        <item x="2309"/>
        <item x="605"/>
        <item x="2396"/>
        <item x="1790"/>
        <item x="43"/>
        <item x="1649"/>
        <item x="157"/>
        <item x="806"/>
        <item x="2258"/>
        <item x="2221"/>
        <item x="2163"/>
        <item x="1202"/>
        <item x="1840"/>
        <item x="200"/>
        <item x="1067"/>
        <item x="1847"/>
        <item x="2010"/>
        <item x="1872"/>
        <item x="1427"/>
        <item x="121"/>
        <item x="494"/>
        <item x="2240"/>
        <item x="1561"/>
        <item x="1977"/>
        <item x="324"/>
        <item x="684"/>
        <item x="67"/>
        <item x="2081"/>
        <item x="196"/>
        <item x="1811"/>
        <item x="1386"/>
        <item x="2459"/>
        <item x="1576"/>
        <item x="1655"/>
        <item x="153"/>
        <item x="1426"/>
        <item x="1086"/>
        <item x="2070"/>
        <item x="1597"/>
        <item x="1738"/>
        <item x="1669"/>
        <item x="687"/>
        <item x="2022"/>
        <item x="1351"/>
        <item x="1118"/>
        <item x="1141"/>
        <item x="315"/>
        <item x="205"/>
        <item x="473"/>
        <item x="1734"/>
        <item x="1528"/>
        <item x="1467"/>
        <item x="837"/>
        <item x="1803"/>
        <item x="635"/>
        <item x="448"/>
        <item x="176"/>
        <item x="2491"/>
        <item x="1857"/>
        <item x="24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No. of Jobs" fld="0" subtotal="count" baseField="0" baseItem="0"/>
  </dataFields>
  <formats count="8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outline="0" collapsedLevelsAreSubtotals="1" fieldPosition="0"/>
    </format>
    <format dxfId="12">
      <pivotArea dataOnly="0" labelOnly="1" fieldPosition="0">
        <references count="1">
          <reference field="1" count="0"/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9C54C-5587-4109-8B8D-5B736DAA4D6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9:F30" firstHeaderRow="1" firstDataRow="1" firstDataCol="1"/>
  <pivotFields count="21">
    <pivotField showAll="0"/>
    <pivotField axis="axisRow" showAll="0" sortType="descending">
      <items count="21">
        <item x="13"/>
        <item x="19"/>
        <item x="8"/>
        <item x="6"/>
        <item x="18"/>
        <item x="3"/>
        <item x="12"/>
        <item x="16"/>
        <item x="2"/>
        <item x="15"/>
        <item x="11"/>
        <item x="10"/>
        <item x="7"/>
        <item x="4"/>
        <item x="17"/>
        <item x="9"/>
        <item x="5"/>
        <item x="0"/>
        <item x="1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1">
        <item x="6"/>
        <item x="2"/>
        <item x="20"/>
        <item x="13"/>
        <item x="26"/>
        <item x="3"/>
        <item x="10"/>
        <item x="22"/>
        <item x="18"/>
        <item x="19"/>
        <item x="14"/>
        <item x="15"/>
        <item x="21"/>
        <item x="5"/>
        <item x="16"/>
        <item x="11"/>
        <item x="27"/>
        <item x="1"/>
        <item x="8"/>
        <item x="9"/>
        <item x="17"/>
        <item x="0"/>
        <item x="7"/>
        <item x="23"/>
        <item x="12"/>
        <item x="4"/>
        <item x="24"/>
        <item x="28"/>
        <item x="25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 v="18"/>
    </i>
    <i>
      <x v="14"/>
    </i>
    <i>
      <x v="13"/>
    </i>
    <i>
      <x v="5"/>
    </i>
    <i>
      <x v="19"/>
    </i>
    <i>
      <x v="6"/>
    </i>
    <i>
      <x/>
    </i>
    <i>
      <x v="11"/>
    </i>
    <i>
      <x v="1"/>
    </i>
    <i>
      <x v="17"/>
    </i>
    <i>
      <x v="9"/>
    </i>
    <i>
      <x v="2"/>
    </i>
    <i>
      <x v="12"/>
    </i>
    <i>
      <x v="16"/>
    </i>
    <i>
      <x v="4"/>
    </i>
    <i>
      <x v="15"/>
    </i>
    <i>
      <x v="10"/>
    </i>
    <i>
      <x v="7"/>
    </i>
    <i>
      <x v="8"/>
    </i>
    <i>
      <x v="3"/>
    </i>
    <i t="grand">
      <x/>
    </i>
  </rowItems>
  <colItems count="1">
    <i/>
  </colItems>
  <dataFields count="1">
    <dataField name="Average Salary" fld="9" subtotal="average" baseField="0" baseItem="0" numFmtId="164"/>
  </dataFields>
  <formats count="7">
    <format dxfId="22">
      <pivotArea collapsedLevelsAreSubtotals="1" fieldPosition="0">
        <references count="1">
          <reference field="1" count="1">
            <x v="18"/>
          </reference>
        </references>
      </pivotArea>
    </format>
    <format dxfId="21">
      <pivotArea outline="0" collapsedLevelsAreSubtotals="1" fieldPosition="0"/>
    </format>
    <format dxfId="20">
      <pivotArea field="1" type="button" dataOnly="0" labelOnly="1" outline="0" axis="axisRow" fieldPosition="0"/>
    </format>
    <format dxfId="19">
      <pivotArea dataOnly="0" labelOnly="1" outline="0" axis="axisValues" fieldPosition="0"/>
    </format>
    <format dxfId="18">
      <pivotArea outline="0" collapsedLevelsAreSubtotals="1" fieldPosition="0"/>
    </format>
    <format dxfId="17">
      <pivotArea dataOnly="0" labelOnly="1" fieldPosition="0">
        <references count="1">
          <reference field="1" count="0"/>
        </references>
      </pivotArea>
    </format>
    <format dxfId="1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578C009-4FD9-4DFB-B0F9-C083D395DC9E}" name="Jobs" displayName="Jobs" ref="A1:T2501" totalsRowShown="0">
  <autoFilter ref="A1:T2501" xr:uid="{A578C009-4FD9-4DFB-B0F9-C083D395DC9E}"/>
  <tableColumns count="20">
    <tableColumn id="1" xr3:uid="{04AF8CF7-93C1-4A8C-B0DD-DBC89EBBBE62}" name="job_id"/>
    <tableColumn id="2" xr3:uid="{7B44807E-3754-4DE0-9DB0-55F654F8148F}" name="job_title"/>
    <tableColumn id="3" xr3:uid="{1B75DAB5-C7DE-4696-948B-435BB4E31C71}" name="company"/>
    <tableColumn id="4" xr3:uid="{413F8F41-89B8-4269-B945-9EBA83D28E5D}" name="sector"/>
    <tableColumn id="5" xr3:uid="{2EFB8525-1215-4230-9084-0371F25CD761}" name="location"/>
    <tableColumn id="6" xr3:uid="{D2256969-32DD-4145-AE68-EC55E909A290}" name="country"/>
    <tableColumn id="7" xr3:uid="{FAEFFF21-4244-40EC-B692-42FF4D51E24A}" name="work_mode"/>
    <tableColumn id="8" xr3:uid="{38C9AE6B-8857-4B7E-AE39-DAA2222D6E67}" name="experience"/>
    <tableColumn id="9" xr3:uid="{827C0BD6-FADC-42F1-B53B-8EF8B88AE186}" name="experience_years"/>
    <tableColumn id="10" xr3:uid="{325F5C25-9F12-4384-AE36-FC681DE8A942}" name="salary_usd_annual"/>
    <tableColumn id="11" xr3:uid="{B099CADD-E3BC-404D-9027-1F3ABF9143E1}" name="required_skills"/>
    <tableColumn id="12" xr3:uid="{E31EFDCA-49D6-4509-BA04-F04D9666FAAB}" name="primary_llm_mentioned"/>
    <tableColumn id="13" xr3:uid="{AC54AA06-99CA-42B7-B58F-6F1BBC644F87}" name="education_required"/>
    <tableColumn id="14" xr3:uid="{3A08ECC1-D6E9-4373-BAAF-CC1D8FA91D7D}" name="date_posted"/>
    <tableColumn id="16" xr3:uid="{3A634E6A-CDE2-4B13-AB8C-BDD11B5FE75A}" name="applies_count"/>
    <tableColumn id="17" xr3:uid="{484EC968-A9C6-4F15-88BC-B7690CD42002}" name="visa_sponsorship"/>
    <tableColumn id="18" xr3:uid="{7D17F44E-1DEB-4804-9E62-1EC3A30622D7}" name="years_experience_min"/>
    <tableColumn id="19" xr3:uid="{F954697B-8333-4FBF-92EF-96B4D75E371F}" name="company_size"/>
    <tableColumn id="20" xr3:uid="{E8C3175B-A8DB-4EAC-B8E0-2A3F238C4884}" name="is_contract"/>
    <tableColumn id="21" xr3:uid="{DD608798-E379-439B-A1FD-C480417C59D0}" name="has_equ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1AA23-F0A1-4A9E-A372-1D8CEDD5F9B3}">
  <dimension ref="A1:T2501"/>
  <sheetViews>
    <sheetView topLeftCell="K1" workbookViewId="0">
      <selection activeCell="K1" sqref="A1:XFD1"/>
    </sheetView>
  </sheetViews>
  <sheetFormatPr defaultRowHeight="14.4" x14ac:dyDescent="0.3"/>
  <cols>
    <col min="1" max="1" width="10.77734375" bestFit="1" customWidth="1"/>
    <col min="2" max="2" width="28.33203125" bestFit="1" customWidth="1"/>
    <col min="3" max="3" width="16.33203125" bestFit="1" customWidth="1"/>
    <col min="4" max="4" width="11.109375" bestFit="1" customWidth="1"/>
    <col min="5" max="5" width="21.44140625" bestFit="1" customWidth="1"/>
    <col min="6" max="6" width="12.33203125" bestFit="1" customWidth="1"/>
    <col min="7" max="7" width="13" customWidth="1"/>
    <col min="8" max="9" width="20.44140625" customWidth="1"/>
    <col min="10" max="10" width="18.5546875" customWidth="1"/>
    <col min="11" max="11" width="95.44140625" bestFit="1" customWidth="1"/>
    <col min="12" max="12" width="23.21875" customWidth="1"/>
    <col min="13" max="13" width="19.44140625" customWidth="1"/>
    <col min="14" max="14" width="13.44140625" customWidth="1"/>
    <col min="15" max="15" width="14.6640625" customWidth="1"/>
    <col min="16" max="16" width="17.21875" customWidth="1"/>
    <col min="17" max="17" width="21.6640625" customWidth="1"/>
    <col min="18" max="18" width="14.77734375" customWidth="1"/>
    <col min="19" max="20" width="12.109375" customWidth="1"/>
  </cols>
  <sheetData>
    <row r="1" spans="1:20" x14ac:dyDescent="0.3">
      <c r="A1" t="s">
        <v>5117</v>
      </c>
      <c r="B1" t="s">
        <v>5118</v>
      </c>
      <c r="C1" t="s">
        <v>5119</v>
      </c>
      <c r="D1" t="s">
        <v>5120</v>
      </c>
      <c r="E1" t="s">
        <v>5121</v>
      </c>
      <c r="F1" t="s">
        <v>5122</v>
      </c>
      <c r="G1" t="s">
        <v>5123</v>
      </c>
      <c r="H1" t="s">
        <v>5134</v>
      </c>
      <c r="I1" t="s">
        <v>5135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</row>
    <row r="2" spans="1:20" x14ac:dyDescent="0.3">
      <c r="A2" t="s">
        <v>11</v>
      </c>
      <c r="B2" t="s">
        <v>12</v>
      </c>
      <c r="C2" t="s">
        <v>13</v>
      </c>
      <c r="D2" t="s">
        <v>5156</v>
      </c>
      <c r="E2" t="s">
        <v>14</v>
      </c>
      <c r="F2" t="s">
        <v>15</v>
      </c>
      <c r="G2" t="s">
        <v>16</v>
      </c>
      <c r="H2" t="s">
        <v>5136</v>
      </c>
      <c r="I2" t="s">
        <v>5137</v>
      </c>
      <c r="J2">
        <v>76258</v>
      </c>
      <c r="K2" t="s">
        <v>17</v>
      </c>
      <c r="L2" t="s">
        <v>18</v>
      </c>
      <c r="M2" t="s">
        <v>19</v>
      </c>
      <c r="N2">
        <v>45363</v>
      </c>
      <c r="O2">
        <v>962</v>
      </c>
      <c r="P2" t="s">
        <v>20</v>
      </c>
      <c r="Q2">
        <v>0</v>
      </c>
      <c r="R2" t="s">
        <v>5116</v>
      </c>
      <c r="S2" t="s">
        <v>21</v>
      </c>
      <c r="T2" t="s">
        <v>20</v>
      </c>
    </row>
    <row r="3" spans="1:20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16</v>
      </c>
      <c r="H3" t="s">
        <v>5138</v>
      </c>
      <c r="I3" t="s">
        <v>5139</v>
      </c>
      <c r="J3">
        <v>195022</v>
      </c>
      <c r="K3" t="s">
        <v>28</v>
      </c>
      <c r="L3" t="s">
        <v>5165</v>
      </c>
      <c r="M3" t="s">
        <v>19</v>
      </c>
      <c r="N3">
        <v>45434</v>
      </c>
      <c r="O3">
        <v>428</v>
      </c>
      <c r="P3" t="s">
        <v>29</v>
      </c>
      <c r="Q3">
        <v>6</v>
      </c>
      <c r="R3" t="s">
        <v>5116</v>
      </c>
      <c r="S3" t="s">
        <v>21</v>
      </c>
      <c r="T3" t="s">
        <v>29</v>
      </c>
    </row>
    <row r="4" spans="1:20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5136</v>
      </c>
      <c r="I4" t="s">
        <v>5137</v>
      </c>
      <c r="J4">
        <v>78160</v>
      </c>
      <c r="K4" t="s">
        <v>37</v>
      </c>
      <c r="L4" t="s">
        <v>38</v>
      </c>
      <c r="M4" t="s">
        <v>39</v>
      </c>
      <c r="N4">
        <v>45485</v>
      </c>
      <c r="O4">
        <v>2718</v>
      </c>
      <c r="P4" t="s">
        <v>29</v>
      </c>
      <c r="Q4">
        <v>0</v>
      </c>
      <c r="R4" t="s">
        <v>40</v>
      </c>
      <c r="S4" t="s">
        <v>41</v>
      </c>
      <c r="T4" t="s">
        <v>20</v>
      </c>
    </row>
    <row r="5" spans="1:20" x14ac:dyDescent="0.3">
      <c r="A5" t="s">
        <v>42</v>
      </c>
      <c r="B5" t="s">
        <v>12</v>
      </c>
      <c r="C5" t="s">
        <v>43</v>
      </c>
      <c r="D5" t="s">
        <v>44</v>
      </c>
      <c r="E5" t="s">
        <v>14</v>
      </c>
      <c r="F5" t="s">
        <v>15</v>
      </c>
      <c r="G5" t="s">
        <v>36</v>
      </c>
      <c r="H5" t="s">
        <v>5138</v>
      </c>
      <c r="I5" t="s">
        <v>5139</v>
      </c>
      <c r="J5">
        <v>254829</v>
      </c>
      <c r="K5" t="s">
        <v>45</v>
      </c>
      <c r="L5" t="s">
        <v>5165</v>
      </c>
      <c r="M5" t="s">
        <v>46</v>
      </c>
      <c r="N5">
        <v>45719</v>
      </c>
      <c r="O5">
        <v>2197</v>
      </c>
      <c r="P5" t="s">
        <v>20</v>
      </c>
      <c r="Q5">
        <v>6</v>
      </c>
      <c r="R5" t="s">
        <v>47</v>
      </c>
      <c r="S5" t="s">
        <v>21</v>
      </c>
      <c r="T5" t="s">
        <v>29</v>
      </c>
    </row>
    <row r="6" spans="1:20" x14ac:dyDescent="0.3">
      <c r="A6" t="s">
        <v>48</v>
      </c>
      <c r="B6" t="s">
        <v>23</v>
      </c>
      <c r="C6" t="s">
        <v>49</v>
      </c>
      <c r="D6" t="s">
        <v>25</v>
      </c>
      <c r="E6" t="s">
        <v>5124</v>
      </c>
      <c r="F6" t="s">
        <v>5125</v>
      </c>
      <c r="G6" t="s">
        <v>50</v>
      </c>
      <c r="H6" t="s">
        <v>5140</v>
      </c>
      <c r="I6" t="s">
        <v>5141</v>
      </c>
      <c r="J6">
        <v>105363</v>
      </c>
      <c r="K6" t="s">
        <v>51</v>
      </c>
      <c r="L6" t="s">
        <v>5165</v>
      </c>
      <c r="M6" t="s">
        <v>19</v>
      </c>
      <c r="N6">
        <v>45689</v>
      </c>
      <c r="O6">
        <v>880</v>
      </c>
      <c r="P6" t="s">
        <v>20</v>
      </c>
      <c r="Q6">
        <v>2</v>
      </c>
      <c r="R6" t="s">
        <v>52</v>
      </c>
      <c r="S6" t="s">
        <v>53</v>
      </c>
      <c r="T6" t="s">
        <v>20</v>
      </c>
    </row>
    <row r="7" spans="1:20" x14ac:dyDescent="0.3">
      <c r="A7" t="s">
        <v>54</v>
      </c>
      <c r="B7" t="s">
        <v>55</v>
      </c>
      <c r="C7" t="s">
        <v>56</v>
      </c>
      <c r="D7" t="s">
        <v>57</v>
      </c>
      <c r="E7" t="s">
        <v>58</v>
      </c>
      <c r="F7" t="s">
        <v>59</v>
      </c>
      <c r="G7" t="s">
        <v>16</v>
      </c>
      <c r="H7" t="s">
        <v>5142</v>
      </c>
      <c r="I7" t="s">
        <v>5143</v>
      </c>
      <c r="J7">
        <v>143678</v>
      </c>
      <c r="K7" t="s">
        <v>60</v>
      </c>
      <c r="L7" t="s">
        <v>61</v>
      </c>
      <c r="M7" t="s">
        <v>19</v>
      </c>
      <c r="N7">
        <v>45579</v>
      </c>
      <c r="O7">
        <v>3537</v>
      </c>
      <c r="P7" t="s">
        <v>29</v>
      </c>
      <c r="Q7">
        <v>4</v>
      </c>
      <c r="R7" t="s">
        <v>47</v>
      </c>
      <c r="S7" t="s">
        <v>53</v>
      </c>
      <c r="T7" t="s">
        <v>29</v>
      </c>
    </row>
    <row r="8" spans="1:20" x14ac:dyDescent="0.3">
      <c r="A8" t="s">
        <v>62</v>
      </c>
      <c r="B8" t="s">
        <v>63</v>
      </c>
      <c r="C8" t="s">
        <v>64</v>
      </c>
      <c r="D8" t="s">
        <v>25</v>
      </c>
      <c r="E8" t="s">
        <v>5126</v>
      </c>
      <c r="F8" t="s">
        <v>5125</v>
      </c>
      <c r="G8" t="s">
        <v>36</v>
      </c>
      <c r="H8" t="s">
        <v>5138</v>
      </c>
      <c r="I8" t="s">
        <v>5139</v>
      </c>
      <c r="J8">
        <v>256851</v>
      </c>
      <c r="K8" t="s">
        <v>65</v>
      </c>
      <c r="L8" t="s">
        <v>5165</v>
      </c>
      <c r="M8" t="s">
        <v>39</v>
      </c>
      <c r="N8">
        <v>45531</v>
      </c>
      <c r="O8">
        <v>466</v>
      </c>
      <c r="P8" t="s">
        <v>20</v>
      </c>
      <c r="Q8">
        <v>6</v>
      </c>
      <c r="R8" t="s">
        <v>47</v>
      </c>
      <c r="S8" t="s">
        <v>21</v>
      </c>
      <c r="T8" t="s">
        <v>20</v>
      </c>
    </row>
    <row r="9" spans="1:20" x14ac:dyDescent="0.3">
      <c r="A9" t="s">
        <v>66</v>
      </c>
      <c r="B9" t="s">
        <v>31</v>
      </c>
      <c r="C9" t="s">
        <v>67</v>
      </c>
      <c r="D9" t="s">
        <v>68</v>
      </c>
      <c r="E9" t="s">
        <v>69</v>
      </c>
      <c r="F9" t="s">
        <v>70</v>
      </c>
      <c r="G9" t="s">
        <v>50</v>
      </c>
      <c r="H9" t="s">
        <v>5140</v>
      </c>
      <c r="I9" t="s">
        <v>5141</v>
      </c>
      <c r="J9">
        <v>125195</v>
      </c>
      <c r="K9" t="s">
        <v>71</v>
      </c>
      <c r="L9" t="s">
        <v>61</v>
      </c>
      <c r="M9" t="s">
        <v>72</v>
      </c>
      <c r="N9">
        <v>45737</v>
      </c>
      <c r="O9">
        <v>2011</v>
      </c>
      <c r="P9" t="s">
        <v>29</v>
      </c>
      <c r="Q9">
        <v>2</v>
      </c>
      <c r="R9" t="s">
        <v>40</v>
      </c>
      <c r="S9" t="s">
        <v>53</v>
      </c>
      <c r="T9" t="s">
        <v>20</v>
      </c>
    </row>
    <row r="10" spans="1:20" x14ac:dyDescent="0.3">
      <c r="A10" t="s">
        <v>73</v>
      </c>
      <c r="B10" t="s">
        <v>74</v>
      </c>
      <c r="C10" t="s">
        <v>64</v>
      </c>
      <c r="D10" t="s">
        <v>68</v>
      </c>
      <c r="E10" t="s">
        <v>5127</v>
      </c>
      <c r="F10" t="s">
        <v>5125</v>
      </c>
      <c r="G10" t="s">
        <v>16</v>
      </c>
      <c r="H10" t="s">
        <v>5140</v>
      </c>
      <c r="I10" t="s">
        <v>5141</v>
      </c>
      <c r="J10">
        <v>100704</v>
      </c>
      <c r="K10" t="s">
        <v>75</v>
      </c>
      <c r="L10" t="s">
        <v>5165</v>
      </c>
      <c r="M10" t="s">
        <v>39</v>
      </c>
      <c r="N10">
        <v>45582</v>
      </c>
      <c r="O10">
        <v>2712</v>
      </c>
      <c r="P10" t="s">
        <v>20</v>
      </c>
      <c r="Q10">
        <v>2</v>
      </c>
      <c r="R10" t="s">
        <v>76</v>
      </c>
      <c r="S10" t="s">
        <v>21</v>
      </c>
      <c r="T10" t="s">
        <v>20</v>
      </c>
    </row>
    <row r="11" spans="1:20" x14ac:dyDescent="0.3">
      <c r="A11" t="s">
        <v>77</v>
      </c>
      <c r="B11" t="s">
        <v>78</v>
      </c>
      <c r="C11" t="s">
        <v>79</v>
      </c>
      <c r="D11" t="s">
        <v>68</v>
      </c>
      <c r="E11" t="s">
        <v>80</v>
      </c>
      <c r="F11" t="s">
        <v>80</v>
      </c>
      <c r="G11" t="s">
        <v>50</v>
      </c>
      <c r="H11" t="s">
        <v>5138</v>
      </c>
      <c r="I11" t="s">
        <v>5139</v>
      </c>
      <c r="J11">
        <v>219532</v>
      </c>
      <c r="K11" t="s">
        <v>81</v>
      </c>
      <c r="L11" t="s">
        <v>82</v>
      </c>
      <c r="M11" t="s">
        <v>46</v>
      </c>
      <c r="N11">
        <v>45678</v>
      </c>
      <c r="O11">
        <v>930</v>
      </c>
      <c r="P11" t="s">
        <v>29</v>
      </c>
      <c r="Q11">
        <v>6</v>
      </c>
      <c r="R11" t="s">
        <v>5116</v>
      </c>
      <c r="S11" t="s">
        <v>21</v>
      </c>
      <c r="T11" t="s">
        <v>29</v>
      </c>
    </row>
    <row r="12" spans="1:20" x14ac:dyDescent="0.3">
      <c r="A12" t="s">
        <v>83</v>
      </c>
      <c r="B12" t="s">
        <v>84</v>
      </c>
      <c r="C12" t="s">
        <v>85</v>
      </c>
      <c r="D12" t="s">
        <v>25</v>
      </c>
      <c r="E12" t="s">
        <v>5128</v>
      </c>
      <c r="F12" t="s">
        <v>5125</v>
      </c>
      <c r="G12" t="s">
        <v>36</v>
      </c>
      <c r="H12" t="s">
        <v>5136</v>
      </c>
      <c r="I12" t="s">
        <v>5137</v>
      </c>
      <c r="J12">
        <v>64160</v>
      </c>
      <c r="K12" t="s">
        <v>86</v>
      </c>
      <c r="L12" t="s">
        <v>87</v>
      </c>
      <c r="M12" t="s">
        <v>46</v>
      </c>
      <c r="N12">
        <v>45322</v>
      </c>
      <c r="O12">
        <v>2218</v>
      </c>
      <c r="P12" t="s">
        <v>29</v>
      </c>
      <c r="Q12">
        <v>0</v>
      </c>
      <c r="R12" t="s">
        <v>76</v>
      </c>
      <c r="S12" t="s">
        <v>21</v>
      </c>
      <c r="T12" t="s">
        <v>29</v>
      </c>
    </row>
    <row r="13" spans="1:20" x14ac:dyDescent="0.3">
      <c r="A13" t="s">
        <v>88</v>
      </c>
      <c r="B13" t="s">
        <v>89</v>
      </c>
      <c r="C13" t="s">
        <v>90</v>
      </c>
      <c r="D13" t="s">
        <v>44</v>
      </c>
      <c r="E13" t="s">
        <v>80</v>
      </c>
      <c r="F13" t="s">
        <v>80</v>
      </c>
      <c r="G13" t="s">
        <v>16</v>
      </c>
      <c r="H13" t="s">
        <v>5138</v>
      </c>
      <c r="I13" t="s">
        <v>5139</v>
      </c>
      <c r="J13">
        <v>183233</v>
      </c>
      <c r="K13" t="s">
        <v>91</v>
      </c>
      <c r="L13" t="s">
        <v>5165</v>
      </c>
      <c r="M13" t="s">
        <v>19</v>
      </c>
      <c r="N13">
        <v>45629</v>
      </c>
      <c r="O13">
        <v>3289</v>
      </c>
      <c r="P13" t="s">
        <v>92</v>
      </c>
      <c r="Q13">
        <v>6</v>
      </c>
      <c r="R13" t="s">
        <v>47</v>
      </c>
      <c r="S13" t="s">
        <v>21</v>
      </c>
      <c r="T13" t="s">
        <v>20</v>
      </c>
    </row>
    <row r="14" spans="1:20" x14ac:dyDescent="0.3">
      <c r="A14" t="s">
        <v>93</v>
      </c>
      <c r="B14" t="s">
        <v>55</v>
      </c>
      <c r="C14" t="s">
        <v>94</v>
      </c>
      <c r="D14" t="s">
        <v>5156</v>
      </c>
      <c r="E14" t="s">
        <v>95</v>
      </c>
      <c r="F14" t="s">
        <v>96</v>
      </c>
      <c r="G14" t="s">
        <v>16</v>
      </c>
      <c r="H14" t="s">
        <v>5138</v>
      </c>
      <c r="I14" t="s">
        <v>5139</v>
      </c>
      <c r="J14">
        <v>208710</v>
      </c>
      <c r="K14" t="s">
        <v>97</v>
      </c>
      <c r="L14" t="s">
        <v>5165</v>
      </c>
      <c r="M14" t="s">
        <v>46</v>
      </c>
      <c r="N14">
        <v>45419</v>
      </c>
      <c r="O14">
        <v>3979</v>
      </c>
      <c r="P14" t="s">
        <v>29</v>
      </c>
      <c r="Q14">
        <v>6</v>
      </c>
      <c r="R14" t="s">
        <v>47</v>
      </c>
      <c r="S14" t="s">
        <v>21</v>
      </c>
      <c r="T14" t="s">
        <v>20</v>
      </c>
    </row>
    <row r="15" spans="1:20" x14ac:dyDescent="0.3">
      <c r="A15" t="s">
        <v>98</v>
      </c>
      <c r="B15" t="s">
        <v>99</v>
      </c>
      <c r="C15" t="s">
        <v>100</v>
      </c>
      <c r="D15" t="s">
        <v>68</v>
      </c>
      <c r="E15" t="s">
        <v>5127</v>
      </c>
      <c r="F15" t="s">
        <v>5125</v>
      </c>
      <c r="G15" t="s">
        <v>16</v>
      </c>
      <c r="H15" t="s">
        <v>5138</v>
      </c>
      <c r="I15" t="s">
        <v>5139</v>
      </c>
      <c r="J15">
        <v>131121</v>
      </c>
      <c r="K15" t="s">
        <v>101</v>
      </c>
      <c r="L15" t="s">
        <v>5165</v>
      </c>
      <c r="M15" t="s">
        <v>46</v>
      </c>
      <c r="N15">
        <v>45293</v>
      </c>
      <c r="O15">
        <v>644</v>
      </c>
      <c r="P15" t="s">
        <v>29</v>
      </c>
      <c r="Q15">
        <v>6</v>
      </c>
      <c r="R15" t="s">
        <v>47</v>
      </c>
      <c r="S15" t="s">
        <v>41</v>
      </c>
      <c r="T15" t="s">
        <v>20</v>
      </c>
    </row>
    <row r="16" spans="1:20" x14ac:dyDescent="0.3">
      <c r="A16" t="s">
        <v>102</v>
      </c>
      <c r="B16" t="s">
        <v>23</v>
      </c>
      <c r="C16" t="s">
        <v>103</v>
      </c>
      <c r="D16" t="s">
        <v>104</v>
      </c>
      <c r="E16" t="s">
        <v>5124</v>
      </c>
      <c r="F16" t="s">
        <v>5125</v>
      </c>
      <c r="G16" t="s">
        <v>16</v>
      </c>
      <c r="H16" t="s">
        <v>5136</v>
      </c>
      <c r="I16" t="s">
        <v>5137</v>
      </c>
      <c r="J16">
        <v>50000</v>
      </c>
      <c r="K16" t="s">
        <v>105</v>
      </c>
      <c r="L16" t="s">
        <v>61</v>
      </c>
      <c r="M16" t="s">
        <v>19</v>
      </c>
      <c r="N16">
        <v>45591</v>
      </c>
      <c r="O16">
        <v>1663</v>
      </c>
      <c r="P16" t="s">
        <v>29</v>
      </c>
      <c r="Q16">
        <v>0</v>
      </c>
      <c r="R16" t="s">
        <v>76</v>
      </c>
      <c r="S16" t="s">
        <v>21</v>
      </c>
      <c r="T16" t="s">
        <v>20</v>
      </c>
    </row>
    <row r="17" spans="1:20" x14ac:dyDescent="0.3">
      <c r="A17" t="s">
        <v>106</v>
      </c>
      <c r="B17" t="s">
        <v>78</v>
      </c>
      <c r="C17" t="s">
        <v>43</v>
      </c>
      <c r="D17" t="s">
        <v>25</v>
      </c>
      <c r="E17" t="s">
        <v>5131</v>
      </c>
      <c r="F17" t="s">
        <v>5125</v>
      </c>
      <c r="G17" t="s">
        <v>36</v>
      </c>
      <c r="H17" t="s">
        <v>5136</v>
      </c>
      <c r="I17" t="s">
        <v>5137</v>
      </c>
      <c r="J17">
        <v>62915</v>
      </c>
      <c r="K17" t="s">
        <v>107</v>
      </c>
      <c r="L17" t="s">
        <v>61</v>
      </c>
      <c r="M17" t="s">
        <v>46</v>
      </c>
      <c r="N17">
        <v>45581</v>
      </c>
      <c r="O17">
        <v>48</v>
      </c>
      <c r="P17" t="s">
        <v>20</v>
      </c>
      <c r="Q17">
        <v>0</v>
      </c>
      <c r="R17" t="s">
        <v>76</v>
      </c>
      <c r="S17" t="s">
        <v>41</v>
      </c>
      <c r="T17" t="s">
        <v>29</v>
      </c>
    </row>
    <row r="18" spans="1:20" x14ac:dyDescent="0.3">
      <c r="A18" t="s">
        <v>108</v>
      </c>
      <c r="B18" t="s">
        <v>99</v>
      </c>
      <c r="C18" t="s">
        <v>109</v>
      </c>
      <c r="D18" t="s">
        <v>68</v>
      </c>
      <c r="E18" t="s">
        <v>58</v>
      </c>
      <c r="F18" t="s">
        <v>59</v>
      </c>
      <c r="G18" t="s">
        <v>50</v>
      </c>
      <c r="H18" t="s">
        <v>5142</v>
      </c>
      <c r="I18" t="s">
        <v>5143</v>
      </c>
      <c r="J18">
        <v>122653</v>
      </c>
      <c r="K18" t="s">
        <v>110</v>
      </c>
      <c r="L18" t="s">
        <v>82</v>
      </c>
      <c r="M18" t="s">
        <v>39</v>
      </c>
      <c r="N18">
        <v>45743</v>
      </c>
      <c r="O18">
        <v>42</v>
      </c>
      <c r="P18" t="s">
        <v>20</v>
      </c>
      <c r="Q18">
        <v>4</v>
      </c>
      <c r="R18" t="s">
        <v>76</v>
      </c>
      <c r="S18" t="s">
        <v>21</v>
      </c>
      <c r="T18" t="s">
        <v>20</v>
      </c>
    </row>
    <row r="19" spans="1:20" x14ac:dyDescent="0.3">
      <c r="A19" t="s">
        <v>111</v>
      </c>
      <c r="B19" t="s">
        <v>55</v>
      </c>
      <c r="C19" t="s">
        <v>56</v>
      </c>
      <c r="D19" t="s">
        <v>57</v>
      </c>
      <c r="E19" t="s">
        <v>5129</v>
      </c>
      <c r="F19" t="s">
        <v>5130</v>
      </c>
      <c r="G19" t="s">
        <v>50</v>
      </c>
      <c r="H19" t="s">
        <v>5142</v>
      </c>
      <c r="I19" t="s">
        <v>5143</v>
      </c>
      <c r="J19">
        <v>158484</v>
      </c>
      <c r="K19" t="s">
        <v>112</v>
      </c>
      <c r="L19" t="s">
        <v>113</v>
      </c>
      <c r="M19" t="s">
        <v>19</v>
      </c>
      <c r="N19">
        <v>45672</v>
      </c>
      <c r="O19">
        <v>388</v>
      </c>
      <c r="P19" t="s">
        <v>20</v>
      </c>
      <c r="Q19">
        <v>4</v>
      </c>
      <c r="R19" t="s">
        <v>40</v>
      </c>
      <c r="S19" t="s">
        <v>21</v>
      </c>
      <c r="T19" t="s">
        <v>29</v>
      </c>
    </row>
    <row r="20" spans="1:20" x14ac:dyDescent="0.3">
      <c r="A20" t="s">
        <v>114</v>
      </c>
      <c r="B20" t="s">
        <v>55</v>
      </c>
      <c r="C20" t="s">
        <v>32</v>
      </c>
      <c r="D20" t="s">
        <v>68</v>
      </c>
      <c r="E20" t="s">
        <v>95</v>
      </c>
      <c r="F20" t="s">
        <v>96</v>
      </c>
      <c r="G20" t="s">
        <v>36</v>
      </c>
      <c r="H20" t="s">
        <v>5142</v>
      </c>
      <c r="I20" t="s">
        <v>5143</v>
      </c>
      <c r="J20">
        <v>125483</v>
      </c>
      <c r="K20" t="s">
        <v>115</v>
      </c>
      <c r="L20" t="s">
        <v>38</v>
      </c>
      <c r="M20" t="s">
        <v>19</v>
      </c>
      <c r="N20">
        <v>45574</v>
      </c>
      <c r="O20">
        <v>181</v>
      </c>
      <c r="P20" t="s">
        <v>20</v>
      </c>
      <c r="Q20">
        <v>4</v>
      </c>
      <c r="R20" t="s">
        <v>5116</v>
      </c>
      <c r="S20" t="s">
        <v>53</v>
      </c>
      <c r="T20" t="s">
        <v>29</v>
      </c>
    </row>
    <row r="21" spans="1:20" x14ac:dyDescent="0.3">
      <c r="A21" t="s">
        <v>116</v>
      </c>
      <c r="B21" t="s">
        <v>84</v>
      </c>
      <c r="C21" t="s">
        <v>117</v>
      </c>
      <c r="D21" t="s">
        <v>118</v>
      </c>
      <c r="E21" t="s">
        <v>5133</v>
      </c>
      <c r="F21" t="s">
        <v>5125</v>
      </c>
      <c r="G21" t="s">
        <v>36</v>
      </c>
      <c r="H21" t="s">
        <v>5136</v>
      </c>
      <c r="I21" t="s">
        <v>5137</v>
      </c>
      <c r="J21">
        <v>52204</v>
      </c>
      <c r="K21" t="s">
        <v>119</v>
      </c>
      <c r="L21" t="s">
        <v>5165</v>
      </c>
      <c r="M21" t="s">
        <v>39</v>
      </c>
      <c r="N21">
        <v>45744</v>
      </c>
      <c r="O21">
        <v>3214</v>
      </c>
      <c r="P21" t="s">
        <v>92</v>
      </c>
      <c r="Q21">
        <v>0</v>
      </c>
      <c r="R21" t="s">
        <v>47</v>
      </c>
      <c r="S21" t="s">
        <v>21</v>
      </c>
      <c r="T21" t="s">
        <v>20</v>
      </c>
    </row>
    <row r="22" spans="1:20" x14ac:dyDescent="0.3">
      <c r="A22" t="s">
        <v>120</v>
      </c>
      <c r="B22" t="s">
        <v>12</v>
      </c>
      <c r="C22" t="s">
        <v>121</v>
      </c>
      <c r="D22" t="s">
        <v>33</v>
      </c>
      <c r="E22" t="s">
        <v>5127</v>
      </c>
      <c r="F22" t="s">
        <v>5125</v>
      </c>
      <c r="G22" t="s">
        <v>50</v>
      </c>
      <c r="H22" t="s">
        <v>5138</v>
      </c>
      <c r="I22" t="s">
        <v>5139</v>
      </c>
      <c r="J22">
        <v>252763</v>
      </c>
      <c r="K22" t="s">
        <v>122</v>
      </c>
      <c r="L22" t="s">
        <v>5165</v>
      </c>
      <c r="M22" t="s">
        <v>19</v>
      </c>
      <c r="N22">
        <v>45405</v>
      </c>
      <c r="O22">
        <v>1642</v>
      </c>
      <c r="P22" t="s">
        <v>20</v>
      </c>
      <c r="Q22">
        <v>6</v>
      </c>
      <c r="R22" t="s">
        <v>5116</v>
      </c>
      <c r="S22" t="s">
        <v>41</v>
      </c>
      <c r="T22" t="s">
        <v>29</v>
      </c>
    </row>
    <row r="23" spans="1:20" x14ac:dyDescent="0.3">
      <c r="A23" t="s">
        <v>123</v>
      </c>
      <c r="B23" t="s">
        <v>124</v>
      </c>
      <c r="C23" t="s">
        <v>125</v>
      </c>
      <c r="D23" t="s">
        <v>44</v>
      </c>
      <c r="E23" t="s">
        <v>126</v>
      </c>
      <c r="F23" t="s">
        <v>127</v>
      </c>
      <c r="G23" t="s">
        <v>16</v>
      </c>
      <c r="H23" t="s">
        <v>5138</v>
      </c>
      <c r="I23" t="s">
        <v>5139</v>
      </c>
      <c r="J23">
        <v>191872</v>
      </c>
      <c r="K23" t="s">
        <v>128</v>
      </c>
      <c r="L23" t="s">
        <v>113</v>
      </c>
      <c r="M23" t="s">
        <v>46</v>
      </c>
      <c r="N23">
        <v>45306</v>
      </c>
      <c r="O23">
        <v>2994</v>
      </c>
      <c r="P23" t="s">
        <v>20</v>
      </c>
      <c r="Q23">
        <v>6</v>
      </c>
      <c r="R23" t="s">
        <v>52</v>
      </c>
      <c r="S23" t="s">
        <v>21</v>
      </c>
      <c r="T23" t="s">
        <v>20</v>
      </c>
    </row>
    <row r="24" spans="1:20" x14ac:dyDescent="0.3">
      <c r="A24" t="s">
        <v>129</v>
      </c>
      <c r="B24" t="s">
        <v>130</v>
      </c>
      <c r="C24" t="s">
        <v>100</v>
      </c>
      <c r="D24" t="s">
        <v>33</v>
      </c>
      <c r="E24" t="s">
        <v>14</v>
      </c>
      <c r="F24" t="s">
        <v>15</v>
      </c>
      <c r="G24" t="s">
        <v>16</v>
      </c>
      <c r="H24" t="s">
        <v>5140</v>
      </c>
      <c r="I24" t="s">
        <v>5141</v>
      </c>
      <c r="J24">
        <v>111337</v>
      </c>
      <c r="K24" t="s">
        <v>131</v>
      </c>
      <c r="L24" t="s">
        <v>5165</v>
      </c>
      <c r="M24" t="s">
        <v>46</v>
      </c>
      <c r="N24">
        <v>45515</v>
      </c>
      <c r="O24">
        <v>3896</v>
      </c>
      <c r="P24" t="s">
        <v>20</v>
      </c>
      <c r="Q24">
        <v>2</v>
      </c>
      <c r="R24" t="s">
        <v>40</v>
      </c>
      <c r="S24" t="s">
        <v>21</v>
      </c>
      <c r="T24" t="s">
        <v>20</v>
      </c>
    </row>
    <row r="25" spans="1:20" x14ac:dyDescent="0.3">
      <c r="A25" t="s">
        <v>132</v>
      </c>
      <c r="B25" t="s">
        <v>12</v>
      </c>
      <c r="C25" t="s">
        <v>43</v>
      </c>
      <c r="D25" t="s">
        <v>118</v>
      </c>
      <c r="E25" t="s">
        <v>69</v>
      </c>
      <c r="F25" t="s">
        <v>70</v>
      </c>
      <c r="G25" t="s">
        <v>16</v>
      </c>
      <c r="H25" t="s">
        <v>5142</v>
      </c>
      <c r="I25" t="s">
        <v>5143</v>
      </c>
      <c r="J25">
        <v>111531</v>
      </c>
      <c r="K25" t="s">
        <v>133</v>
      </c>
      <c r="L25" t="s">
        <v>134</v>
      </c>
      <c r="M25" t="s">
        <v>46</v>
      </c>
      <c r="N25">
        <v>45501</v>
      </c>
      <c r="O25">
        <v>1673</v>
      </c>
      <c r="P25" t="s">
        <v>20</v>
      </c>
      <c r="Q25">
        <v>4</v>
      </c>
      <c r="R25" t="s">
        <v>5116</v>
      </c>
      <c r="S25" t="s">
        <v>21</v>
      </c>
      <c r="T25" t="s">
        <v>29</v>
      </c>
    </row>
    <row r="26" spans="1:20" x14ac:dyDescent="0.3">
      <c r="A26" t="s">
        <v>135</v>
      </c>
      <c r="B26" t="s">
        <v>136</v>
      </c>
      <c r="C26" t="s">
        <v>100</v>
      </c>
      <c r="D26" t="s">
        <v>118</v>
      </c>
      <c r="E26" t="s">
        <v>34</v>
      </c>
      <c r="F26" t="s">
        <v>35</v>
      </c>
      <c r="G26" t="s">
        <v>16</v>
      </c>
      <c r="H26" t="s">
        <v>5142</v>
      </c>
      <c r="I26" t="s">
        <v>5143</v>
      </c>
      <c r="J26">
        <v>135301</v>
      </c>
      <c r="K26" t="s">
        <v>137</v>
      </c>
      <c r="L26" t="s">
        <v>5165</v>
      </c>
      <c r="M26" t="s">
        <v>46</v>
      </c>
      <c r="N26">
        <v>45637</v>
      </c>
      <c r="O26">
        <v>2121</v>
      </c>
      <c r="P26" t="s">
        <v>20</v>
      </c>
      <c r="Q26">
        <v>4</v>
      </c>
      <c r="R26" t="s">
        <v>76</v>
      </c>
      <c r="S26" t="s">
        <v>21</v>
      </c>
      <c r="T26" t="s">
        <v>20</v>
      </c>
    </row>
    <row r="27" spans="1:20" x14ac:dyDescent="0.3">
      <c r="A27" t="s">
        <v>138</v>
      </c>
      <c r="B27" t="s">
        <v>84</v>
      </c>
      <c r="C27" t="s">
        <v>139</v>
      </c>
      <c r="D27" t="s">
        <v>140</v>
      </c>
      <c r="E27" t="s">
        <v>26</v>
      </c>
      <c r="F27" t="s">
        <v>27</v>
      </c>
      <c r="G27" t="s">
        <v>50</v>
      </c>
      <c r="H27" t="s">
        <v>5142</v>
      </c>
      <c r="I27" t="s">
        <v>5143</v>
      </c>
      <c r="J27">
        <v>152994</v>
      </c>
      <c r="K27" t="s">
        <v>141</v>
      </c>
      <c r="L27" t="s">
        <v>142</v>
      </c>
      <c r="M27" t="s">
        <v>39</v>
      </c>
      <c r="N27">
        <v>45367</v>
      </c>
      <c r="O27">
        <v>2952</v>
      </c>
      <c r="P27" t="s">
        <v>20</v>
      </c>
      <c r="Q27">
        <v>4</v>
      </c>
      <c r="R27" t="s">
        <v>52</v>
      </c>
      <c r="S27" t="s">
        <v>21</v>
      </c>
      <c r="T27" t="s">
        <v>29</v>
      </c>
    </row>
    <row r="28" spans="1:20" x14ac:dyDescent="0.3">
      <c r="A28" t="s">
        <v>143</v>
      </c>
      <c r="B28" t="s">
        <v>144</v>
      </c>
      <c r="C28" t="s">
        <v>43</v>
      </c>
      <c r="D28" t="s">
        <v>68</v>
      </c>
      <c r="E28" t="s">
        <v>5131</v>
      </c>
      <c r="F28" t="s">
        <v>5125</v>
      </c>
      <c r="G28" t="s">
        <v>16</v>
      </c>
      <c r="H28" t="s">
        <v>5136</v>
      </c>
      <c r="I28" t="s">
        <v>5137</v>
      </c>
      <c r="J28">
        <v>55497</v>
      </c>
      <c r="K28" t="s">
        <v>145</v>
      </c>
      <c r="L28" t="s">
        <v>5165</v>
      </c>
      <c r="M28" t="s">
        <v>72</v>
      </c>
      <c r="N28">
        <v>45703</v>
      </c>
      <c r="O28">
        <v>3901</v>
      </c>
      <c r="P28" t="s">
        <v>20</v>
      </c>
      <c r="Q28">
        <v>0</v>
      </c>
      <c r="R28" t="s">
        <v>52</v>
      </c>
      <c r="S28" t="s">
        <v>21</v>
      </c>
      <c r="T28" t="s">
        <v>20</v>
      </c>
    </row>
    <row r="29" spans="1:20" x14ac:dyDescent="0.3">
      <c r="A29" t="s">
        <v>146</v>
      </c>
      <c r="B29" t="s">
        <v>124</v>
      </c>
      <c r="C29" t="s">
        <v>56</v>
      </c>
      <c r="D29" t="s">
        <v>57</v>
      </c>
      <c r="E29" t="s">
        <v>126</v>
      </c>
      <c r="F29" t="s">
        <v>127</v>
      </c>
      <c r="G29" t="s">
        <v>16</v>
      </c>
      <c r="H29" t="s">
        <v>5138</v>
      </c>
      <c r="I29" t="s">
        <v>5139</v>
      </c>
      <c r="J29">
        <v>213525</v>
      </c>
      <c r="K29" t="s">
        <v>147</v>
      </c>
      <c r="L29" t="s">
        <v>5165</v>
      </c>
      <c r="M29" t="s">
        <v>46</v>
      </c>
      <c r="N29">
        <v>45373</v>
      </c>
      <c r="O29">
        <v>1811</v>
      </c>
      <c r="P29" t="s">
        <v>29</v>
      </c>
      <c r="Q29">
        <v>6</v>
      </c>
      <c r="R29" t="s">
        <v>40</v>
      </c>
      <c r="S29" t="s">
        <v>21</v>
      </c>
      <c r="T29" t="s">
        <v>29</v>
      </c>
    </row>
    <row r="30" spans="1:20" x14ac:dyDescent="0.3">
      <c r="A30" t="s">
        <v>148</v>
      </c>
      <c r="B30" t="s">
        <v>23</v>
      </c>
      <c r="C30" t="s">
        <v>139</v>
      </c>
      <c r="D30" t="s">
        <v>140</v>
      </c>
      <c r="E30" t="s">
        <v>58</v>
      </c>
      <c r="F30" t="s">
        <v>59</v>
      </c>
      <c r="G30" t="s">
        <v>16</v>
      </c>
      <c r="H30" t="s">
        <v>5136</v>
      </c>
      <c r="I30" t="s">
        <v>5137</v>
      </c>
      <c r="J30">
        <v>62431</v>
      </c>
      <c r="K30" t="s">
        <v>149</v>
      </c>
      <c r="L30" t="s">
        <v>87</v>
      </c>
      <c r="M30" t="s">
        <v>19</v>
      </c>
      <c r="N30">
        <v>45488</v>
      </c>
      <c r="O30">
        <v>1605</v>
      </c>
      <c r="P30" t="s">
        <v>92</v>
      </c>
      <c r="Q30">
        <v>0</v>
      </c>
      <c r="R30" t="s">
        <v>76</v>
      </c>
      <c r="S30" t="s">
        <v>41</v>
      </c>
      <c r="T30" t="s">
        <v>29</v>
      </c>
    </row>
    <row r="31" spans="1:20" x14ac:dyDescent="0.3">
      <c r="A31" t="s">
        <v>150</v>
      </c>
      <c r="B31" t="s">
        <v>136</v>
      </c>
      <c r="C31" t="s">
        <v>151</v>
      </c>
      <c r="D31" t="s">
        <v>104</v>
      </c>
      <c r="E31" t="s">
        <v>152</v>
      </c>
      <c r="F31" t="s">
        <v>153</v>
      </c>
      <c r="G31" t="s">
        <v>16</v>
      </c>
      <c r="H31" t="s">
        <v>5138</v>
      </c>
      <c r="I31" t="s">
        <v>5139</v>
      </c>
      <c r="J31">
        <v>189499</v>
      </c>
      <c r="K31" t="s">
        <v>154</v>
      </c>
      <c r="L31" t="s">
        <v>87</v>
      </c>
      <c r="M31" t="s">
        <v>39</v>
      </c>
      <c r="N31">
        <v>45472</v>
      </c>
      <c r="O31">
        <v>908</v>
      </c>
      <c r="P31" t="s">
        <v>20</v>
      </c>
      <c r="Q31">
        <v>6</v>
      </c>
      <c r="R31" t="s">
        <v>52</v>
      </c>
      <c r="S31" t="s">
        <v>21</v>
      </c>
      <c r="T31" t="s">
        <v>29</v>
      </c>
    </row>
    <row r="32" spans="1:20" x14ac:dyDescent="0.3">
      <c r="A32" t="s">
        <v>155</v>
      </c>
      <c r="B32" t="s">
        <v>130</v>
      </c>
      <c r="C32" t="s">
        <v>121</v>
      </c>
      <c r="D32" t="s">
        <v>57</v>
      </c>
      <c r="E32" t="s">
        <v>34</v>
      </c>
      <c r="F32" t="s">
        <v>35</v>
      </c>
      <c r="G32" t="s">
        <v>50</v>
      </c>
      <c r="H32" t="s">
        <v>5140</v>
      </c>
      <c r="I32" t="s">
        <v>5141</v>
      </c>
      <c r="J32">
        <v>98086</v>
      </c>
      <c r="K32" t="s">
        <v>156</v>
      </c>
      <c r="L32" t="s">
        <v>61</v>
      </c>
      <c r="M32" t="s">
        <v>19</v>
      </c>
      <c r="N32">
        <v>45610</v>
      </c>
      <c r="O32">
        <v>1562</v>
      </c>
      <c r="P32" t="s">
        <v>20</v>
      </c>
      <c r="Q32">
        <v>2</v>
      </c>
      <c r="R32" t="s">
        <v>52</v>
      </c>
      <c r="S32" t="s">
        <v>21</v>
      </c>
      <c r="T32" t="s">
        <v>20</v>
      </c>
    </row>
    <row r="33" spans="1:20" x14ac:dyDescent="0.3">
      <c r="A33" t="s">
        <v>157</v>
      </c>
      <c r="B33" t="s">
        <v>130</v>
      </c>
      <c r="C33" t="s">
        <v>64</v>
      </c>
      <c r="D33" t="s">
        <v>5156</v>
      </c>
      <c r="E33" t="s">
        <v>5131</v>
      </c>
      <c r="F33" t="s">
        <v>5125</v>
      </c>
      <c r="G33" t="s">
        <v>16</v>
      </c>
      <c r="H33" t="s">
        <v>5142</v>
      </c>
      <c r="I33" t="s">
        <v>5143</v>
      </c>
      <c r="J33">
        <v>200011</v>
      </c>
      <c r="K33" t="s">
        <v>158</v>
      </c>
      <c r="L33" t="s">
        <v>5165</v>
      </c>
      <c r="M33" t="s">
        <v>39</v>
      </c>
      <c r="N33">
        <v>45333</v>
      </c>
      <c r="O33">
        <v>826</v>
      </c>
      <c r="P33" t="s">
        <v>20</v>
      </c>
      <c r="Q33">
        <v>4</v>
      </c>
      <c r="R33" t="s">
        <v>76</v>
      </c>
      <c r="S33" t="s">
        <v>21</v>
      </c>
      <c r="T33" t="s">
        <v>29</v>
      </c>
    </row>
    <row r="34" spans="1:20" x14ac:dyDescent="0.3">
      <c r="A34" t="s">
        <v>159</v>
      </c>
      <c r="B34" t="s">
        <v>12</v>
      </c>
      <c r="C34" t="s">
        <v>160</v>
      </c>
      <c r="D34" t="s">
        <v>25</v>
      </c>
      <c r="E34" t="s">
        <v>34</v>
      </c>
      <c r="F34" t="s">
        <v>35</v>
      </c>
      <c r="G34" t="s">
        <v>36</v>
      </c>
      <c r="H34" t="s">
        <v>5140</v>
      </c>
      <c r="I34" t="s">
        <v>5141</v>
      </c>
      <c r="J34">
        <v>109732</v>
      </c>
      <c r="K34" t="s">
        <v>161</v>
      </c>
      <c r="L34" t="s">
        <v>5165</v>
      </c>
      <c r="M34" t="s">
        <v>19</v>
      </c>
      <c r="N34">
        <v>45684</v>
      </c>
      <c r="O34">
        <v>3814</v>
      </c>
      <c r="P34" t="s">
        <v>20</v>
      </c>
      <c r="Q34">
        <v>2</v>
      </c>
      <c r="R34" t="s">
        <v>52</v>
      </c>
      <c r="S34" t="s">
        <v>21</v>
      </c>
      <c r="T34" t="s">
        <v>20</v>
      </c>
    </row>
    <row r="35" spans="1:20" x14ac:dyDescent="0.3">
      <c r="A35" t="s">
        <v>162</v>
      </c>
      <c r="B35" t="s">
        <v>63</v>
      </c>
      <c r="C35" t="s">
        <v>103</v>
      </c>
      <c r="D35" t="s">
        <v>68</v>
      </c>
      <c r="E35" t="s">
        <v>5129</v>
      </c>
      <c r="F35" t="s">
        <v>5130</v>
      </c>
      <c r="G35" t="s">
        <v>36</v>
      </c>
      <c r="H35" t="s">
        <v>5140</v>
      </c>
      <c r="I35" t="s">
        <v>5141</v>
      </c>
      <c r="J35">
        <v>89057</v>
      </c>
      <c r="K35" t="s">
        <v>163</v>
      </c>
      <c r="L35" t="s">
        <v>38</v>
      </c>
      <c r="M35" t="s">
        <v>46</v>
      </c>
      <c r="N35">
        <v>45446</v>
      </c>
      <c r="O35">
        <v>3489</v>
      </c>
      <c r="P35" t="s">
        <v>20</v>
      </c>
      <c r="Q35">
        <v>2</v>
      </c>
      <c r="R35" t="s">
        <v>52</v>
      </c>
      <c r="S35" t="s">
        <v>21</v>
      </c>
      <c r="T35" t="s">
        <v>20</v>
      </c>
    </row>
    <row r="36" spans="1:20" x14ac:dyDescent="0.3">
      <c r="A36" t="s">
        <v>164</v>
      </c>
      <c r="B36" t="s">
        <v>165</v>
      </c>
      <c r="C36" t="s">
        <v>166</v>
      </c>
      <c r="D36" t="s">
        <v>167</v>
      </c>
      <c r="E36" t="s">
        <v>5131</v>
      </c>
      <c r="F36" t="s">
        <v>5125</v>
      </c>
      <c r="G36" t="s">
        <v>16</v>
      </c>
      <c r="H36" t="s">
        <v>5140</v>
      </c>
      <c r="I36" t="s">
        <v>5141</v>
      </c>
      <c r="J36">
        <v>126286</v>
      </c>
      <c r="K36" t="s">
        <v>168</v>
      </c>
      <c r="L36" t="s">
        <v>18</v>
      </c>
      <c r="M36" t="s">
        <v>39</v>
      </c>
      <c r="N36">
        <v>45559</v>
      </c>
      <c r="O36">
        <v>1152</v>
      </c>
      <c r="P36" t="s">
        <v>92</v>
      </c>
      <c r="Q36">
        <v>2</v>
      </c>
      <c r="R36" t="s">
        <v>47</v>
      </c>
      <c r="S36" t="s">
        <v>53</v>
      </c>
      <c r="T36" t="s">
        <v>20</v>
      </c>
    </row>
    <row r="37" spans="1:20" x14ac:dyDescent="0.3">
      <c r="A37" t="s">
        <v>169</v>
      </c>
      <c r="B37" t="s">
        <v>130</v>
      </c>
      <c r="C37" t="s">
        <v>79</v>
      </c>
      <c r="D37" t="s">
        <v>104</v>
      </c>
      <c r="E37" t="s">
        <v>5132</v>
      </c>
      <c r="F37" t="s">
        <v>5125</v>
      </c>
      <c r="G37" t="s">
        <v>36</v>
      </c>
      <c r="H37" t="s">
        <v>5142</v>
      </c>
      <c r="I37" t="s">
        <v>5143</v>
      </c>
      <c r="J37">
        <v>117037</v>
      </c>
      <c r="K37" t="s">
        <v>170</v>
      </c>
      <c r="L37" t="s">
        <v>113</v>
      </c>
      <c r="M37" t="s">
        <v>39</v>
      </c>
      <c r="N37">
        <v>45458</v>
      </c>
      <c r="O37">
        <v>2286</v>
      </c>
      <c r="P37" t="s">
        <v>29</v>
      </c>
      <c r="Q37">
        <v>4</v>
      </c>
      <c r="R37" t="s">
        <v>47</v>
      </c>
      <c r="S37" t="s">
        <v>21</v>
      </c>
      <c r="T37" t="s">
        <v>20</v>
      </c>
    </row>
    <row r="38" spans="1:20" x14ac:dyDescent="0.3">
      <c r="A38" t="s">
        <v>171</v>
      </c>
      <c r="B38" t="s">
        <v>89</v>
      </c>
      <c r="C38" t="s">
        <v>172</v>
      </c>
      <c r="D38" t="s">
        <v>104</v>
      </c>
      <c r="E38" t="s">
        <v>152</v>
      </c>
      <c r="F38" t="s">
        <v>153</v>
      </c>
      <c r="G38" t="s">
        <v>36</v>
      </c>
      <c r="H38" t="s">
        <v>5140</v>
      </c>
      <c r="I38" t="s">
        <v>5141</v>
      </c>
      <c r="J38">
        <v>114135</v>
      </c>
      <c r="K38" t="s">
        <v>173</v>
      </c>
      <c r="L38" t="s">
        <v>5165</v>
      </c>
      <c r="M38" t="s">
        <v>46</v>
      </c>
      <c r="N38">
        <v>45543</v>
      </c>
      <c r="O38">
        <v>1418</v>
      </c>
      <c r="P38" t="s">
        <v>20</v>
      </c>
      <c r="Q38">
        <v>2</v>
      </c>
      <c r="R38" t="s">
        <v>76</v>
      </c>
      <c r="S38" t="s">
        <v>21</v>
      </c>
      <c r="T38" t="s">
        <v>20</v>
      </c>
    </row>
    <row r="39" spans="1:20" x14ac:dyDescent="0.3">
      <c r="A39" t="s">
        <v>174</v>
      </c>
      <c r="B39" t="s">
        <v>31</v>
      </c>
      <c r="C39" t="s">
        <v>175</v>
      </c>
      <c r="D39" t="s">
        <v>118</v>
      </c>
      <c r="E39" t="s">
        <v>14</v>
      </c>
      <c r="F39" t="s">
        <v>15</v>
      </c>
      <c r="G39" t="s">
        <v>16</v>
      </c>
      <c r="H39" t="s">
        <v>5142</v>
      </c>
      <c r="I39" t="s">
        <v>5143</v>
      </c>
      <c r="J39">
        <v>97088</v>
      </c>
      <c r="K39" t="s">
        <v>176</v>
      </c>
      <c r="L39" t="s">
        <v>5165</v>
      </c>
      <c r="M39" t="s">
        <v>19</v>
      </c>
      <c r="N39">
        <v>45661</v>
      </c>
      <c r="O39">
        <v>1142</v>
      </c>
      <c r="P39" t="s">
        <v>20</v>
      </c>
      <c r="Q39">
        <v>4</v>
      </c>
      <c r="R39" t="s">
        <v>76</v>
      </c>
      <c r="S39" t="s">
        <v>21</v>
      </c>
      <c r="T39" t="s">
        <v>20</v>
      </c>
    </row>
    <row r="40" spans="1:20" x14ac:dyDescent="0.3">
      <c r="A40" t="s">
        <v>177</v>
      </c>
      <c r="B40" t="s">
        <v>99</v>
      </c>
      <c r="C40" t="s">
        <v>67</v>
      </c>
      <c r="D40" t="s">
        <v>25</v>
      </c>
      <c r="E40" t="s">
        <v>26</v>
      </c>
      <c r="F40" t="s">
        <v>27</v>
      </c>
      <c r="G40" t="s">
        <v>16</v>
      </c>
      <c r="H40" t="s">
        <v>5142</v>
      </c>
      <c r="I40" t="s">
        <v>5143</v>
      </c>
      <c r="J40">
        <v>114138</v>
      </c>
      <c r="K40" t="s">
        <v>178</v>
      </c>
      <c r="L40" t="s">
        <v>179</v>
      </c>
      <c r="M40" t="s">
        <v>46</v>
      </c>
      <c r="N40">
        <v>45446</v>
      </c>
      <c r="O40">
        <v>2622</v>
      </c>
      <c r="P40" t="s">
        <v>92</v>
      </c>
      <c r="Q40">
        <v>4</v>
      </c>
      <c r="R40" t="s">
        <v>52</v>
      </c>
      <c r="S40" t="s">
        <v>21</v>
      </c>
      <c r="T40" t="s">
        <v>29</v>
      </c>
    </row>
    <row r="41" spans="1:20" x14ac:dyDescent="0.3">
      <c r="A41" t="s">
        <v>180</v>
      </c>
      <c r="B41" t="s">
        <v>74</v>
      </c>
      <c r="C41" t="s">
        <v>49</v>
      </c>
      <c r="D41" t="s">
        <v>57</v>
      </c>
      <c r="E41" t="s">
        <v>152</v>
      </c>
      <c r="F41" t="s">
        <v>153</v>
      </c>
      <c r="G41" t="s">
        <v>16</v>
      </c>
      <c r="H41" t="s">
        <v>5138</v>
      </c>
      <c r="I41" t="s">
        <v>5139</v>
      </c>
      <c r="J41">
        <v>207087</v>
      </c>
      <c r="K41" t="s">
        <v>181</v>
      </c>
      <c r="L41" t="s">
        <v>142</v>
      </c>
      <c r="M41" t="s">
        <v>19</v>
      </c>
      <c r="N41">
        <v>45386</v>
      </c>
      <c r="O41">
        <v>631</v>
      </c>
      <c r="P41" t="s">
        <v>29</v>
      </c>
      <c r="Q41">
        <v>6</v>
      </c>
      <c r="R41" t="s">
        <v>76</v>
      </c>
      <c r="S41" t="s">
        <v>41</v>
      </c>
      <c r="T41" t="s">
        <v>29</v>
      </c>
    </row>
    <row r="42" spans="1:20" x14ac:dyDescent="0.3">
      <c r="A42" t="s">
        <v>182</v>
      </c>
      <c r="B42" t="s">
        <v>84</v>
      </c>
      <c r="C42" t="s">
        <v>172</v>
      </c>
      <c r="D42" t="s">
        <v>104</v>
      </c>
      <c r="E42" t="s">
        <v>126</v>
      </c>
      <c r="F42" t="s">
        <v>127</v>
      </c>
      <c r="G42" t="s">
        <v>36</v>
      </c>
      <c r="H42" t="s">
        <v>5136</v>
      </c>
      <c r="I42" t="s">
        <v>5137</v>
      </c>
      <c r="J42">
        <v>79304</v>
      </c>
      <c r="K42" t="s">
        <v>183</v>
      </c>
      <c r="L42" t="s">
        <v>5165</v>
      </c>
      <c r="M42" t="s">
        <v>72</v>
      </c>
      <c r="N42">
        <v>45602</v>
      </c>
      <c r="O42">
        <v>2339</v>
      </c>
      <c r="P42" t="s">
        <v>20</v>
      </c>
      <c r="Q42">
        <v>0</v>
      </c>
      <c r="R42" t="s">
        <v>76</v>
      </c>
      <c r="S42" t="s">
        <v>41</v>
      </c>
      <c r="T42" t="s">
        <v>29</v>
      </c>
    </row>
    <row r="43" spans="1:20" x14ac:dyDescent="0.3">
      <c r="A43" t="s">
        <v>184</v>
      </c>
      <c r="B43" t="s">
        <v>99</v>
      </c>
      <c r="C43" t="s">
        <v>185</v>
      </c>
      <c r="D43" t="s">
        <v>25</v>
      </c>
      <c r="E43" t="s">
        <v>14</v>
      </c>
      <c r="F43" t="s">
        <v>15</v>
      </c>
      <c r="G43" t="s">
        <v>36</v>
      </c>
      <c r="H43" t="s">
        <v>5140</v>
      </c>
      <c r="I43" t="s">
        <v>5141</v>
      </c>
      <c r="J43">
        <v>113393</v>
      </c>
      <c r="K43" t="s">
        <v>186</v>
      </c>
      <c r="L43" t="s">
        <v>18</v>
      </c>
      <c r="M43" t="s">
        <v>19</v>
      </c>
      <c r="N43">
        <v>45372</v>
      </c>
      <c r="O43">
        <v>2905</v>
      </c>
      <c r="P43" t="s">
        <v>20</v>
      </c>
      <c r="Q43">
        <v>2</v>
      </c>
      <c r="R43" t="s">
        <v>52</v>
      </c>
      <c r="S43" t="s">
        <v>21</v>
      </c>
      <c r="T43" t="s">
        <v>29</v>
      </c>
    </row>
    <row r="44" spans="1:20" x14ac:dyDescent="0.3">
      <c r="A44" t="s">
        <v>187</v>
      </c>
      <c r="B44" t="s">
        <v>31</v>
      </c>
      <c r="C44" t="s">
        <v>188</v>
      </c>
      <c r="D44" t="s">
        <v>104</v>
      </c>
      <c r="E44" t="s">
        <v>5131</v>
      </c>
      <c r="F44" t="s">
        <v>5125</v>
      </c>
      <c r="G44" t="s">
        <v>16</v>
      </c>
      <c r="H44" t="s">
        <v>5140</v>
      </c>
      <c r="I44" t="s">
        <v>5141</v>
      </c>
      <c r="J44">
        <v>107710</v>
      </c>
      <c r="K44" t="s">
        <v>189</v>
      </c>
      <c r="L44" t="s">
        <v>113</v>
      </c>
      <c r="M44" t="s">
        <v>72</v>
      </c>
      <c r="N44">
        <v>45407</v>
      </c>
      <c r="O44">
        <v>519</v>
      </c>
      <c r="P44" t="s">
        <v>20</v>
      </c>
      <c r="Q44">
        <v>2</v>
      </c>
      <c r="R44" t="s">
        <v>40</v>
      </c>
      <c r="S44" t="s">
        <v>21</v>
      </c>
      <c r="T44" t="s">
        <v>20</v>
      </c>
    </row>
    <row r="45" spans="1:20" x14ac:dyDescent="0.3">
      <c r="A45" t="s">
        <v>190</v>
      </c>
      <c r="B45" t="s">
        <v>124</v>
      </c>
      <c r="C45" t="s">
        <v>32</v>
      </c>
      <c r="D45" t="s">
        <v>5156</v>
      </c>
      <c r="E45" t="s">
        <v>34</v>
      </c>
      <c r="F45" t="s">
        <v>35</v>
      </c>
      <c r="G45" t="s">
        <v>16</v>
      </c>
      <c r="H45" t="s">
        <v>5138</v>
      </c>
      <c r="I45" t="s">
        <v>5139</v>
      </c>
      <c r="J45">
        <v>189160</v>
      </c>
      <c r="K45" t="s">
        <v>191</v>
      </c>
      <c r="L45" t="s">
        <v>18</v>
      </c>
      <c r="M45" t="s">
        <v>72</v>
      </c>
      <c r="N45">
        <v>45312</v>
      </c>
      <c r="O45">
        <v>2370</v>
      </c>
      <c r="P45" t="s">
        <v>29</v>
      </c>
      <c r="Q45">
        <v>6</v>
      </c>
      <c r="R45" t="s">
        <v>47</v>
      </c>
      <c r="S45" t="s">
        <v>21</v>
      </c>
      <c r="T45" t="s">
        <v>20</v>
      </c>
    </row>
    <row r="46" spans="1:20" x14ac:dyDescent="0.3">
      <c r="A46" t="s">
        <v>192</v>
      </c>
      <c r="B46" t="s">
        <v>31</v>
      </c>
      <c r="C46" t="s">
        <v>121</v>
      </c>
      <c r="D46" t="s">
        <v>118</v>
      </c>
      <c r="E46" t="s">
        <v>193</v>
      </c>
      <c r="F46" t="s">
        <v>194</v>
      </c>
      <c r="G46" t="s">
        <v>16</v>
      </c>
      <c r="H46" t="s">
        <v>5140</v>
      </c>
      <c r="I46" t="s">
        <v>5141</v>
      </c>
      <c r="J46">
        <v>80725</v>
      </c>
      <c r="K46" t="s">
        <v>195</v>
      </c>
      <c r="L46" t="s">
        <v>5165</v>
      </c>
      <c r="M46" t="s">
        <v>46</v>
      </c>
      <c r="N46">
        <v>45708</v>
      </c>
      <c r="O46">
        <v>1190</v>
      </c>
      <c r="P46" t="s">
        <v>20</v>
      </c>
      <c r="Q46">
        <v>2</v>
      </c>
      <c r="R46" t="s">
        <v>52</v>
      </c>
      <c r="S46" t="s">
        <v>53</v>
      </c>
      <c r="T46" t="s">
        <v>20</v>
      </c>
    </row>
    <row r="47" spans="1:20" x14ac:dyDescent="0.3">
      <c r="A47" t="s">
        <v>196</v>
      </c>
      <c r="B47" t="s">
        <v>165</v>
      </c>
      <c r="C47" t="s">
        <v>197</v>
      </c>
      <c r="D47" t="s">
        <v>68</v>
      </c>
      <c r="E47" t="s">
        <v>5124</v>
      </c>
      <c r="F47" t="s">
        <v>5125</v>
      </c>
      <c r="G47" t="s">
        <v>16</v>
      </c>
      <c r="H47" t="s">
        <v>5136</v>
      </c>
      <c r="I47" t="s">
        <v>5137</v>
      </c>
      <c r="J47">
        <v>60929</v>
      </c>
      <c r="K47" t="s">
        <v>198</v>
      </c>
      <c r="L47" t="s">
        <v>179</v>
      </c>
      <c r="M47" t="s">
        <v>46</v>
      </c>
      <c r="N47">
        <v>45351</v>
      </c>
      <c r="O47">
        <v>2571</v>
      </c>
      <c r="P47" t="s">
        <v>20</v>
      </c>
      <c r="Q47">
        <v>0</v>
      </c>
      <c r="R47" t="s">
        <v>5116</v>
      </c>
      <c r="S47" t="s">
        <v>21</v>
      </c>
      <c r="T47" t="s">
        <v>20</v>
      </c>
    </row>
    <row r="48" spans="1:20" x14ac:dyDescent="0.3">
      <c r="A48" t="s">
        <v>199</v>
      </c>
      <c r="B48" t="s">
        <v>74</v>
      </c>
      <c r="C48" t="s">
        <v>85</v>
      </c>
      <c r="D48" t="s">
        <v>44</v>
      </c>
      <c r="E48" t="s">
        <v>152</v>
      </c>
      <c r="F48" t="s">
        <v>153</v>
      </c>
      <c r="G48" t="s">
        <v>16</v>
      </c>
      <c r="H48" t="s">
        <v>5138</v>
      </c>
      <c r="I48" t="s">
        <v>5139</v>
      </c>
      <c r="J48">
        <v>183417</v>
      </c>
      <c r="K48" t="s">
        <v>200</v>
      </c>
      <c r="L48" t="s">
        <v>142</v>
      </c>
      <c r="M48" t="s">
        <v>46</v>
      </c>
      <c r="N48">
        <v>45614</v>
      </c>
      <c r="O48">
        <v>2663</v>
      </c>
      <c r="P48" t="s">
        <v>20</v>
      </c>
      <c r="Q48">
        <v>6</v>
      </c>
      <c r="R48" t="s">
        <v>52</v>
      </c>
      <c r="S48" t="s">
        <v>41</v>
      </c>
      <c r="T48" t="s">
        <v>29</v>
      </c>
    </row>
    <row r="49" spans="1:20" x14ac:dyDescent="0.3">
      <c r="A49" t="s">
        <v>201</v>
      </c>
      <c r="B49" t="s">
        <v>31</v>
      </c>
      <c r="C49" t="s">
        <v>202</v>
      </c>
      <c r="D49" t="s">
        <v>44</v>
      </c>
      <c r="E49" t="s">
        <v>152</v>
      </c>
      <c r="F49" t="s">
        <v>153</v>
      </c>
      <c r="G49" t="s">
        <v>50</v>
      </c>
      <c r="H49" t="s">
        <v>5138</v>
      </c>
      <c r="I49" t="s">
        <v>5139</v>
      </c>
      <c r="J49">
        <v>238056</v>
      </c>
      <c r="K49" t="s">
        <v>203</v>
      </c>
      <c r="L49" t="s">
        <v>5165</v>
      </c>
      <c r="M49" t="s">
        <v>19</v>
      </c>
      <c r="N49">
        <v>45416</v>
      </c>
      <c r="O49">
        <v>1402</v>
      </c>
      <c r="P49" t="s">
        <v>92</v>
      </c>
      <c r="Q49">
        <v>6</v>
      </c>
      <c r="R49" t="s">
        <v>76</v>
      </c>
      <c r="S49" t="s">
        <v>21</v>
      </c>
      <c r="T49" t="s">
        <v>29</v>
      </c>
    </row>
    <row r="50" spans="1:20" x14ac:dyDescent="0.3">
      <c r="A50" t="s">
        <v>204</v>
      </c>
      <c r="B50" t="s">
        <v>74</v>
      </c>
      <c r="C50" t="s">
        <v>121</v>
      </c>
      <c r="D50" t="s">
        <v>33</v>
      </c>
      <c r="E50" t="s">
        <v>58</v>
      </c>
      <c r="F50" t="s">
        <v>59</v>
      </c>
      <c r="G50" t="s">
        <v>16</v>
      </c>
      <c r="H50" t="s">
        <v>5138</v>
      </c>
      <c r="I50" t="s">
        <v>5139</v>
      </c>
      <c r="J50">
        <v>212370</v>
      </c>
      <c r="K50" t="s">
        <v>205</v>
      </c>
      <c r="L50" t="s">
        <v>5165</v>
      </c>
      <c r="M50" t="s">
        <v>72</v>
      </c>
      <c r="N50">
        <v>45539</v>
      </c>
      <c r="O50">
        <v>2352</v>
      </c>
      <c r="P50" t="s">
        <v>20</v>
      </c>
      <c r="Q50">
        <v>6</v>
      </c>
      <c r="R50" t="s">
        <v>52</v>
      </c>
      <c r="S50" t="s">
        <v>21</v>
      </c>
      <c r="T50" t="s">
        <v>20</v>
      </c>
    </row>
    <row r="51" spans="1:20" x14ac:dyDescent="0.3">
      <c r="A51" t="s">
        <v>206</v>
      </c>
      <c r="B51" t="s">
        <v>130</v>
      </c>
      <c r="C51" t="s">
        <v>94</v>
      </c>
      <c r="D51" t="s">
        <v>68</v>
      </c>
      <c r="E51" t="s">
        <v>58</v>
      </c>
      <c r="F51" t="s">
        <v>59</v>
      </c>
      <c r="G51" t="s">
        <v>36</v>
      </c>
      <c r="H51" t="s">
        <v>5138</v>
      </c>
      <c r="I51" t="s">
        <v>5139</v>
      </c>
      <c r="J51">
        <v>136530</v>
      </c>
      <c r="K51" t="s">
        <v>207</v>
      </c>
      <c r="L51" t="s">
        <v>82</v>
      </c>
      <c r="M51" t="s">
        <v>72</v>
      </c>
      <c r="N51">
        <v>45310</v>
      </c>
      <c r="O51">
        <v>2969</v>
      </c>
      <c r="P51" t="s">
        <v>29</v>
      </c>
      <c r="Q51">
        <v>6</v>
      </c>
      <c r="R51" t="s">
        <v>47</v>
      </c>
      <c r="S51" t="s">
        <v>21</v>
      </c>
      <c r="T51" t="s">
        <v>20</v>
      </c>
    </row>
    <row r="52" spans="1:20" x14ac:dyDescent="0.3">
      <c r="A52" t="s">
        <v>208</v>
      </c>
      <c r="B52" t="s">
        <v>31</v>
      </c>
      <c r="C52" t="s">
        <v>49</v>
      </c>
      <c r="D52" t="s">
        <v>167</v>
      </c>
      <c r="E52" t="s">
        <v>209</v>
      </c>
      <c r="F52" t="s">
        <v>210</v>
      </c>
      <c r="G52" t="s">
        <v>36</v>
      </c>
      <c r="H52" t="s">
        <v>5142</v>
      </c>
      <c r="I52" t="s">
        <v>5143</v>
      </c>
      <c r="J52">
        <v>158750</v>
      </c>
      <c r="K52" t="s">
        <v>211</v>
      </c>
      <c r="L52" t="s">
        <v>5165</v>
      </c>
      <c r="M52" t="s">
        <v>46</v>
      </c>
      <c r="N52">
        <v>45624</v>
      </c>
      <c r="O52">
        <v>3583</v>
      </c>
      <c r="P52" t="s">
        <v>20</v>
      </c>
      <c r="Q52">
        <v>4</v>
      </c>
      <c r="R52" t="s">
        <v>76</v>
      </c>
      <c r="S52" t="s">
        <v>21</v>
      </c>
      <c r="T52" t="s">
        <v>20</v>
      </c>
    </row>
    <row r="53" spans="1:20" x14ac:dyDescent="0.3">
      <c r="A53" t="s">
        <v>212</v>
      </c>
      <c r="B53" t="s">
        <v>74</v>
      </c>
      <c r="C53" t="s">
        <v>125</v>
      </c>
      <c r="D53" t="s">
        <v>167</v>
      </c>
      <c r="E53" t="s">
        <v>5128</v>
      </c>
      <c r="F53" t="s">
        <v>5125</v>
      </c>
      <c r="G53" t="s">
        <v>16</v>
      </c>
      <c r="H53" t="s">
        <v>5140</v>
      </c>
      <c r="I53" t="s">
        <v>5141</v>
      </c>
      <c r="J53">
        <v>102375</v>
      </c>
      <c r="K53" t="s">
        <v>213</v>
      </c>
      <c r="L53" t="s">
        <v>179</v>
      </c>
      <c r="M53" t="s">
        <v>39</v>
      </c>
      <c r="N53">
        <v>45342</v>
      </c>
      <c r="O53">
        <v>1478</v>
      </c>
      <c r="P53" t="s">
        <v>20</v>
      </c>
      <c r="Q53">
        <v>2</v>
      </c>
      <c r="R53" t="s">
        <v>47</v>
      </c>
      <c r="S53" t="s">
        <v>21</v>
      </c>
      <c r="T53" t="s">
        <v>29</v>
      </c>
    </row>
    <row r="54" spans="1:20" x14ac:dyDescent="0.3">
      <c r="A54" t="s">
        <v>214</v>
      </c>
      <c r="B54" t="s">
        <v>215</v>
      </c>
      <c r="C54" t="s">
        <v>139</v>
      </c>
      <c r="D54" t="s">
        <v>25</v>
      </c>
      <c r="E54" t="s">
        <v>95</v>
      </c>
      <c r="F54" t="s">
        <v>96</v>
      </c>
      <c r="G54" t="s">
        <v>16</v>
      </c>
      <c r="H54" t="s">
        <v>5140</v>
      </c>
      <c r="I54" t="s">
        <v>5141</v>
      </c>
      <c r="J54">
        <v>96596</v>
      </c>
      <c r="K54" t="s">
        <v>216</v>
      </c>
      <c r="L54" t="s">
        <v>113</v>
      </c>
      <c r="M54" t="s">
        <v>46</v>
      </c>
      <c r="N54">
        <v>45737</v>
      </c>
      <c r="O54">
        <v>3701</v>
      </c>
      <c r="P54" t="s">
        <v>20</v>
      </c>
      <c r="Q54">
        <v>2</v>
      </c>
      <c r="R54" t="s">
        <v>76</v>
      </c>
      <c r="S54" t="s">
        <v>21</v>
      </c>
      <c r="T54" t="s">
        <v>29</v>
      </c>
    </row>
    <row r="55" spans="1:20" x14ac:dyDescent="0.3">
      <c r="A55" t="s">
        <v>217</v>
      </c>
      <c r="B55" t="s">
        <v>218</v>
      </c>
      <c r="C55" t="s">
        <v>219</v>
      </c>
      <c r="D55" t="s">
        <v>104</v>
      </c>
      <c r="E55" t="s">
        <v>5131</v>
      </c>
      <c r="F55" t="s">
        <v>5125</v>
      </c>
      <c r="G55" t="s">
        <v>36</v>
      </c>
      <c r="H55" t="s">
        <v>5142</v>
      </c>
      <c r="I55" t="s">
        <v>5143</v>
      </c>
      <c r="J55">
        <v>166515</v>
      </c>
      <c r="K55" t="s">
        <v>220</v>
      </c>
      <c r="L55" t="s">
        <v>18</v>
      </c>
      <c r="M55" t="s">
        <v>19</v>
      </c>
      <c r="N55">
        <v>45525</v>
      </c>
      <c r="O55">
        <v>99</v>
      </c>
      <c r="P55" t="s">
        <v>92</v>
      </c>
      <c r="Q55">
        <v>4</v>
      </c>
      <c r="R55" t="s">
        <v>52</v>
      </c>
      <c r="S55" t="s">
        <v>21</v>
      </c>
      <c r="T55" t="s">
        <v>20</v>
      </c>
    </row>
    <row r="56" spans="1:20" x14ac:dyDescent="0.3">
      <c r="A56" t="s">
        <v>221</v>
      </c>
      <c r="B56" t="s">
        <v>222</v>
      </c>
      <c r="C56" t="s">
        <v>100</v>
      </c>
      <c r="D56" t="s">
        <v>118</v>
      </c>
      <c r="E56" t="s">
        <v>223</v>
      </c>
      <c r="F56" t="s">
        <v>224</v>
      </c>
      <c r="G56" t="s">
        <v>36</v>
      </c>
      <c r="H56" t="s">
        <v>5138</v>
      </c>
      <c r="I56" t="s">
        <v>5139</v>
      </c>
      <c r="J56">
        <v>237115</v>
      </c>
      <c r="K56" t="s">
        <v>225</v>
      </c>
      <c r="L56" t="s">
        <v>5165</v>
      </c>
      <c r="M56" t="s">
        <v>46</v>
      </c>
      <c r="N56">
        <v>45409</v>
      </c>
      <c r="O56">
        <v>1275</v>
      </c>
      <c r="P56" t="s">
        <v>20</v>
      </c>
      <c r="Q56">
        <v>6</v>
      </c>
      <c r="R56" t="s">
        <v>5116</v>
      </c>
      <c r="S56" t="s">
        <v>21</v>
      </c>
      <c r="T56" t="s">
        <v>20</v>
      </c>
    </row>
    <row r="57" spans="1:20" x14ac:dyDescent="0.3">
      <c r="A57" t="s">
        <v>226</v>
      </c>
      <c r="B57" t="s">
        <v>63</v>
      </c>
      <c r="C57" t="s">
        <v>56</v>
      </c>
      <c r="D57" t="s">
        <v>68</v>
      </c>
      <c r="E57" t="s">
        <v>5124</v>
      </c>
      <c r="F57" t="s">
        <v>5125</v>
      </c>
      <c r="G57" t="s">
        <v>36</v>
      </c>
      <c r="H57" t="s">
        <v>5142</v>
      </c>
      <c r="I57" t="s">
        <v>5143</v>
      </c>
      <c r="J57">
        <v>175144</v>
      </c>
      <c r="K57" t="s">
        <v>227</v>
      </c>
      <c r="L57" t="s">
        <v>5165</v>
      </c>
      <c r="M57" t="s">
        <v>72</v>
      </c>
      <c r="N57">
        <v>45381</v>
      </c>
      <c r="O57">
        <v>1062</v>
      </c>
      <c r="P57" t="s">
        <v>92</v>
      </c>
      <c r="Q57">
        <v>4</v>
      </c>
      <c r="R57" t="s">
        <v>52</v>
      </c>
      <c r="S57" t="s">
        <v>41</v>
      </c>
      <c r="T57" t="s">
        <v>29</v>
      </c>
    </row>
    <row r="58" spans="1:20" x14ac:dyDescent="0.3">
      <c r="A58" t="s">
        <v>228</v>
      </c>
      <c r="B58" t="s">
        <v>229</v>
      </c>
      <c r="C58" t="s">
        <v>151</v>
      </c>
      <c r="D58" t="s">
        <v>68</v>
      </c>
      <c r="E58" t="s">
        <v>34</v>
      </c>
      <c r="F58" t="s">
        <v>35</v>
      </c>
      <c r="G58" t="s">
        <v>50</v>
      </c>
      <c r="H58" t="s">
        <v>5136</v>
      </c>
      <c r="I58" t="s">
        <v>5137</v>
      </c>
      <c r="J58">
        <v>59425</v>
      </c>
      <c r="K58" t="s">
        <v>230</v>
      </c>
      <c r="L58" t="s">
        <v>5165</v>
      </c>
      <c r="M58" t="s">
        <v>46</v>
      </c>
      <c r="N58">
        <v>45364</v>
      </c>
      <c r="O58">
        <v>67</v>
      </c>
      <c r="P58" t="s">
        <v>20</v>
      </c>
      <c r="Q58">
        <v>0</v>
      </c>
      <c r="R58" t="s">
        <v>5116</v>
      </c>
      <c r="S58" t="s">
        <v>21</v>
      </c>
      <c r="T58" t="s">
        <v>20</v>
      </c>
    </row>
    <row r="59" spans="1:20" x14ac:dyDescent="0.3">
      <c r="A59" t="s">
        <v>231</v>
      </c>
      <c r="B59" t="s">
        <v>31</v>
      </c>
      <c r="C59" t="s">
        <v>232</v>
      </c>
      <c r="D59" t="s">
        <v>25</v>
      </c>
      <c r="E59" t="s">
        <v>5133</v>
      </c>
      <c r="F59" t="s">
        <v>5125</v>
      </c>
      <c r="G59" t="s">
        <v>16</v>
      </c>
      <c r="H59" t="s">
        <v>5138</v>
      </c>
      <c r="I59" t="s">
        <v>5139</v>
      </c>
      <c r="J59">
        <v>188868</v>
      </c>
      <c r="K59" t="s">
        <v>233</v>
      </c>
      <c r="L59" t="s">
        <v>82</v>
      </c>
      <c r="M59" t="s">
        <v>46</v>
      </c>
      <c r="N59">
        <v>45411</v>
      </c>
      <c r="O59">
        <v>582</v>
      </c>
      <c r="P59" t="s">
        <v>29</v>
      </c>
      <c r="Q59">
        <v>6</v>
      </c>
      <c r="R59" t="s">
        <v>5116</v>
      </c>
      <c r="S59" t="s">
        <v>21</v>
      </c>
      <c r="T59" t="s">
        <v>20</v>
      </c>
    </row>
    <row r="60" spans="1:20" x14ac:dyDescent="0.3">
      <c r="A60" t="s">
        <v>234</v>
      </c>
      <c r="B60" t="s">
        <v>12</v>
      </c>
      <c r="C60" t="s">
        <v>79</v>
      </c>
      <c r="D60" t="s">
        <v>140</v>
      </c>
      <c r="E60" t="s">
        <v>126</v>
      </c>
      <c r="F60" t="s">
        <v>127</v>
      </c>
      <c r="G60" t="s">
        <v>16</v>
      </c>
      <c r="H60" t="s">
        <v>5140</v>
      </c>
      <c r="I60" t="s">
        <v>5141</v>
      </c>
      <c r="J60">
        <v>116559</v>
      </c>
      <c r="K60" t="s">
        <v>235</v>
      </c>
      <c r="L60" t="s">
        <v>61</v>
      </c>
      <c r="M60" t="s">
        <v>46</v>
      </c>
      <c r="N60">
        <v>45524</v>
      </c>
      <c r="O60">
        <v>2531</v>
      </c>
      <c r="P60" t="s">
        <v>20</v>
      </c>
      <c r="Q60">
        <v>2</v>
      </c>
      <c r="R60" t="s">
        <v>40</v>
      </c>
      <c r="S60" t="s">
        <v>21</v>
      </c>
      <c r="T60" t="s">
        <v>29</v>
      </c>
    </row>
    <row r="61" spans="1:20" x14ac:dyDescent="0.3">
      <c r="A61" t="s">
        <v>236</v>
      </c>
      <c r="B61" t="s">
        <v>165</v>
      </c>
      <c r="C61" t="s">
        <v>94</v>
      </c>
      <c r="D61" t="s">
        <v>57</v>
      </c>
      <c r="E61" t="s">
        <v>26</v>
      </c>
      <c r="F61" t="s">
        <v>27</v>
      </c>
      <c r="G61" t="s">
        <v>50</v>
      </c>
      <c r="H61" t="s">
        <v>5138</v>
      </c>
      <c r="I61" t="s">
        <v>5139</v>
      </c>
      <c r="J61">
        <v>235119</v>
      </c>
      <c r="K61" t="s">
        <v>237</v>
      </c>
      <c r="L61" t="s">
        <v>238</v>
      </c>
      <c r="M61" t="s">
        <v>19</v>
      </c>
      <c r="N61">
        <v>45342</v>
      </c>
      <c r="O61">
        <v>2638</v>
      </c>
      <c r="P61" t="s">
        <v>20</v>
      </c>
      <c r="Q61">
        <v>6</v>
      </c>
      <c r="R61" t="s">
        <v>5116</v>
      </c>
      <c r="S61" t="s">
        <v>21</v>
      </c>
      <c r="T61" t="s">
        <v>29</v>
      </c>
    </row>
    <row r="62" spans="1:20" x14ac:dyDescent="0.3">
      <c r="A62" t="s">
        <v>239</v>
      </c>
      <c r="B62" t="s">
        <v>55</v>
      </c>
      <c r="C62" t="s">
        <v>151</v>
      </c>
      <c r="D62" t="s">
        <v>104</v>
      </c>
      <c r="E62" t="s">
        <v>5128</v>
      </c>
      <c r="F62" t="s">
        <v>5125</v>
      </c>
      <c r="G62" t="s">
        <v>50</v>
      </c>
      <c r="H62" t="s">
        <v>5140</v>
      </c>
      <c r="I62" t="s">
        <v>5141</v>
      </c>
      <c r="J62">
        <v>100512</v>
      </c>
      <c r="K62" t="s">
        <v>240</v>
      </c>
      <c r="L62" t="s">
        <v>61</v>
      </c>
      <c r="M62" t="s">
        <v>19</v>
      </c>
      <c r="N62">
        <v>45575</v>
      </c>
      <c r="O62">
        <v>542</v>
      </c>
      <c r="P62" t="s">
        <v>20</v>
      </c>
      <c r="Q62">
        <v>2</v>
      </c>
      <c r="R62" t="s">
        <v>47</v>
      </c>
      <c r="S62" t="s">
        <v>21</v>
      </c>
      <c r="T62" t="s">
        <v>20</v>
      </c>
    </row>
    <row r="63" spans="1:20" x14ac:dyDescent="0.3">
      <c r="A63" t="s">
        <v>241</v>
      </c>
      <c r="B63" t="s">
        <v>55</v>
      </c>
      <c r="C63" t="s">
        <v>185</v>
      </c>
      <c r="D63" t="s">
        <v>57</v>
      </c>
      <c r="E63" t="s">
        <v>5133</v>
      </c>
      <c r="F63" t="s">
        <v>5125</v>
      </c>
      <c r="G63" t="s">
        <v>36</v>
      </c>
      <c r="H63" t="s">
        <v>5136</v>
      </c>
      <c r="I63" t="s">
        <v>5137</v>
      </c>
      <c r="J63">
        <v>67660</v>
      </c>
      <c r="K63" t="s">
        <v>242</v>
      </c>
      <c r="L63" t="s">
        <v>142</v>
      </c>
      <c r="M63" t="s">
        <v>39</v>
      </c>
      <c r="N63">
        <v>45413</v>
      </c>
      <c r="O63">
        <v>2441</v>
      </c>
      <c r="P63" t="s">
        <v>29</v>
      </c>
      <c r="Q63">
        <v>0</v>
      </c>
      <c r="R63" t="s">
        <v>76</v>
      </c>
      <c r="S63" t="s">
        <v>21</v>
      </c>
      <c r="T63" t="s">
        <v>20</v>
      </c>
    </row>
    <row r="64" spans="1:20" x14ac:dyDescent="0.3">
      <c r="A64" t="s">
        <v>243</v>
      </c>
      <c r="B64" t="s">
        <v>124</v>
      </c>
      <c r="C64" t="s">
        <v>185</v>
      </c>
      <c r="D64" t="s">
        <v>57</v>
      </c>
      <c r="E64" t="s">
        <v>34</v>
      </c>
      <c r="F64" t="s">
        <v>35</v>
      </c>
      <c r="G64" t="s">
        <v>36</v>
      </c>
      <c r="H64" t="s">
        <v>5142</v>
      </c>
      <c r="I64" t="s">
        <v>5143</v>
      </c>
      <c r="J64">
        <v>120128</v>
      </c>
      <c r="K64" t="s">
        <v>244</v>
      </c>
      <c r="L64" t="s">
        <v>142</v>
      </c>
      <c r="M64" t="s">
        <v>19</v>
      </c>
      <c r="N64">
        <v>45307</v>
      </c>
      <c r="O64">
        <v>1329</v>
      </c>
      <c r="P64" t="s">
        <v>20</v>
      </c>
      <c r="Q64">
        <v>4</v>
      </c>
      <c r="R64" t="s">
        <v>5116</v>
      </c>
      <c r="S64" t="s">
        <v>21</v>
      </c>
      <c r="T64" t="s">
        <v>20</v>
      </c>
    </row>
    <row r="65" spans="1:20" x14ac:dyDescent="0.3">
      <c r="A65" t="s">
        <v>245</v>
      </c>
      <c r="B65" t="s">
        <v>136</v>
      </c>
      <c r="C65" t="s">
        <v>94</v>
      </c>
      <c r="D65" t="s">
        <v>68</v>
      </c>
      <c r="E65" t="s">
        <v>5126</v>
      </c>
      <c r="F65" t="s">
        <v>5125</v>
      </c>
      <c r="G65" t="s">
        <v>50</v>
      </c>
      <c r="H65" t="s">
        <v>5142</v>
      </c>
      <c r="I65" t="s">
        <v>5143</v>
      </c>
      <c r="J65">
        <v>117702</v>
      </c>
      <c r="K65" t="s">
        <v>246</v>
      </c>
      <c r="L65" t="s">
        <v>5165</v>
      </c>
      <c r="M65" t="s">
        <v>39</v>
      </c>
      <c r="N65">
        <v>45563</v>
      </c>
      <c r="O65">
        <v>1771</v>
      </c>
      <c r="P65" t="s">
        <v>20</v>
      </c>
      <c r="Q65">
        <v>4</v>
      </c>
      <c r="R65" t="s">
        <v>47</v>
      </c>
      <c r="S65" t="s">
        <v>21</v>
      </c>
      <c r="T65" t="s">
        <v>20</v>
      </c>
    </row>
    <row r="66" spans="1:20" x14ac:dyDescent="0.3">
      <c r="A66" t="s">
        <v>247</v>
      </c>
      <c r="B66" t="s">
        <v>130</v>
      </c>
      <c r="C66" t="s">
        <v>103</v>
      </c>
      <c r="D66" t="s">
        <v>140</v>
      </c>
      <c r="E66" t="s">
        <v>5129</v>
      </c>
      <c r="F66" t="s">
        <v>5130</v>
      </c>
      <c r="G66" t="s">
        <v>16</v>
      </c>
      <c r="H66" t="s">
        <v>5138</v>
      </c>
      <c r="I66" t="s">
        <v>5139</v>
      </c>
      <c r="J66">
        <v>229250</v>
      </c>
      <c r="K66" t="s">
        <v>248</v>
      </c>
      <c r="L66" t="s">
        <v>142</v>
      </c>
      <c r="M66" t="s">
        <v>19</v>
      </c>
      <c r="N66">
        <v>45452</v>
      </c>
      <c r="O66">
        <v>3335</v>
      </c>
      <c r="P66" t="s">
        <v>29</v>
      </c>
      <c r="Q66">
        <v>6</v>
      </c>
      <c r="R66" t="s">
        <v>5116</v>
      </c>
      <c r="S66" t="s">
        <v>21</v>
      </c>
      <c r="T66" t="s">
        <v>20</v>
      </c>
    </row>
    <row r="67" spans="1:20" x14ac:dyDescent="0.3">
      <c r="A67" t="s">
        <v>249</v>
      </c>
      <c r="B67" t="s">
        <v>229</v>
      </c>
      <c r="C67" t="s">
        <v>56</v>
      </c>
      <c r="D67" t="s">
        <v>33</v>
      </c>
      <c r="E67" t="s">
        <v>5131</v>
      </c>
      <c r="F67" t="s">
        <v>5125</v>
      </c>
      <c r="G67" t="s">
        <v>16</v>
      </c>
      <c r="H67" t="s">
        <v>5136</v>
      </c>
      <c r="I67" t="s">
        <v>5137</v>
      </c>
      <c r="J67">
        <v>87088</v>
      </c>
      <c r="K67" t="s">
        <v>250</v>
      </c>
      <c r="L67" t="s">
        <v>18</v>
      </c>
      <c r="M67" t="s">
        <v>19</v>
      </c>
      <c r="N67">
        <v>45632</v>
      </c>
      <c r="O67">
        <v>928</v>
      </c>
      <c r="P67" t="s">
        <v>20</v>
      </c>
      <c r="Q67">
        <v>0</v>
      </c>
      <c r="R67" t="s">
        <v>40</v>
      </c>
      <c r="S67" t="s">
        <v>53</v>
      </c>
      <c r="T67" t="s">
        <v>29</v>
      </c>
    </row>
    <row r="68" spans="1:20" x14ac:dyDescent="0.3">
      <c r="A68" t="s">
        <v>251</v>
      </c>
      <c r="B68" t="s">
        <v>31</v>
      </c>
      <c r="C68" t="s">
        <v>166</v>
      </c>
      <c r="D68" t="s">
        <v>5156</v>
      </c>
      <c r="E68" t="s">
        <v>5131</v>
      </c>
      <c r="F68" t="s">
        <v>5125</v>
      </c>
      <c r="G68" t="s">
        <v>50</v>
      </c>
      <c r="H68" t="s">
        <v>5140</v>
      </c>
      <c r="I68" t="s">
        <v>5141</v>
      </c>
      <c r="J68">
        <v>108574</v>
      </c>
      <c r="K68" t="s">
        <v>252</v>
      </c>
      <c r="L68" t="s">
        <v>5165</v>
      </c>
      <c r="M68" t="s">
        <v>19</v>
      </c>
      <c r="N68">
        <v>45684</v>
      </c>
      <c r="O68">
        <v>3784</v>
      </c>
      <c r="P68" t="s">
        <v>20</v>
      </c>
      <c r="Q68">
        <v>2</v>
      </c>
      <c r="R68" t="s">
        <v>5116</v>
      </c>
      <c r="S68" t="s">
        <v>21</v>
      </c>
      <c r="T68" t="s">
        <v>29</v>
      </c>
    </row>
    <row r="69" spans="1:20" x14ac:dyDescent="0.3">
      <c r="A69" t="s">
        <v>253</v>
      </c>
      <c r="B69" t="s">
        <v>130</v>
      </c>
      <c r="C69" t="s">
        <v>24</v>
      </c>
      <c r="D69" t="s">
        <v>118</v>
      </c>
      <c r="E69" t="s">
        <v>58</v>
      </c>
      <c r="F69" t="s">
        <v>59</v>
      </c>
      <c r="G69" t="s">
        <v>36</v>
      </c>
      <c r="H69" t="s">
        <v>5136</v>
      </c>
      <c r="I69" t="s">
        <v>5137</v>
      </c>
      <c r="J69">
        <v>82644</v>
      </c>
      <c r="K69" t="s">
        <v>254</v>
      </c>
      <c r="L69" t="s">
        <v>82</v>
      </c>
      <c r="M69" t="s">
        <v>46</v>
      </c>
      <c r="N69">
        <v>45307</v>
      </c>
      <c r="O69">
        <v>3191</v>
      </c>
      <c r="P69" t="s">
        <v>92</v>
      </c>
      <c r="Q69">
        <v>0</v>
      </c>
      <c r="R69" t="s">
        <v>76</v>
      </c>
      <c r="S69" t="s">
        <v>21</v>
      </c>
      <c r="T69" t="s">
        <v>29</v>
      </c>
    </row>
    <row r="70" spans="1:20" x14ac:dyDescent="0.3">
      <c r="A70" t="s">
        <v>255</v>
      </c>
      <c r="B70" t="s">
        <v>215</v>
      </c>
      <c r="C70" t="s">
        <v>94</v>
      </c>
      <c r="D70" t="s">
        <v>167</v>
      </c>
      <c r="E70" t="s">
        <v>5128</v>
      </c>
      <c r="F70" t="s">
        <v>5125</v>
      </c>
      <c r="G70" t="s">
        <v>16</v>
      </c>
      <c r="H70" t="s">
        <v>5136</v>
      </c>
      <c r="I70" t="s">
        <v>5137</v>
      </c>
      <c r="J70">
        <v>74556</v>
      </c>
      <c r="K70" t="s">
        <v>256</v>
      </c>
      <c r="L70" t="s">
        <v>5165</v>
      </c>
      <c r="M70" t="s">
        <v>46</v>
      </c>
      <c r="N70">
        <v>45630</v>
      </c>
      <c r="O70">
        <v>2787</v>
      </c>
      <c r="P70" t="s">
        <v>20</v>
      </c>
      <c r="Q70">
        <v>0</v>
      </c>
      <c r="R70" t="s">
        <v>52</v>
      </c>
      <c r="S70" t="s">
        <v>21</v>
      </c>
      <c r="T70" t="s">
        <v>29</v>
      </c>
    </row>
    <row r="71" spans="1:20" x14ac:dyDescent="0.3">
      <c r="A71" t="s">
        <v>257</v>
      </c>
      <c r="B71" t="s">
        <v>84</v>
      </c>
      <c r="C71" t="s">
        <v>185</v>
      </c>
      <c r="D71" t="s">
        <v>140</v>
      </c>
      <c r="E71" t="s">
        <v>209</v>
      </c>
      <c r="F71" t="s">
        <v>210</v>
      </c>
      <c r="G71" t="s">
        <v>16</v>
      </c>
      <c r="H71" t="s">
        <v>5138</v>
      </c>
      <c r="I71" t="s">
        <v>5139</v>
      </c>
      <c r="J71">
        <v>176775</v>
      </c>
      <c r="K71" t="s">
        <v>258</v>
      </c>
      <c r="L71" t="s">
        <v>179</v>
      </c>
      <c r="M71" t="s">
        <v>19</v>
      </c>
      <c r="N71">
        <v>45396</v>
      </c>
      <c r="O71">
        <v>2191</v>
      </c>
      <c r="P71" t="s">
        <v>20</v>
      </c>
      <c r="Q71">
        <v>6</v>
      </c>
      <c r="R71" t="s">
        <v>76</v>
      </c>
      <c r="S71" t="s">
        <v>21</v>
      </c>
      <c r="T71" t="s">
        <v>20</v>
      </c>
    </row>
    <row r="72" spans="1:20" x14ac:dyDescent="0.3">
      <c r="A72" t="s">
        <v>259</v>
      </c>
      <c r="B72" t="s">
        <v>218</v>
      </c>
      <c r="C72" t="s">
        <v>172</v>
      </c>
      <c r="D72" t="s">
        <v>44</v>
      </c>
      <c r="E72" t="s">
        <v>5126</v>
      </c>
      <c r="F72" t="s">
        <v>5125</v>
      </c>
      <c r="G72" t="s">
        <v>50</v>
      </c>
      <c r="H72" t="s">
        <v>5136</v>
      </c>
      <c r="I72" t="s">
        <v>5137</v>
      </c>
      <c r="J72">
        <v>74553</v>
      </c>
      <c r="K72" t="s">
        <v>260</v>
      </c>
      <c r="L72" t="s">
        <v>134</v>
      </c>
      <c r="M72" t="s">
        <v>46</v>
      </c>
      <c r="N72">
        <v>45313</v>
      </c>
      <c r="O72">
        <v>713</v>
      </c>
      <c r="P72" t="s">
        <v>20</v>
      </c>
      <c r="Q72">
        <v>0</v>
      </c>
      <c r="R72" t="s">
        <v>76</v>
      </c>
      <c r="S72" t="s">
        <v>21</v>
      </c>
      <c r="T72" t="s">
        <v>20</v>
      </c>
    </row>
    <row r="73" spans="1:20" x14ac:dyDescent="0.3">
      <c r="A73" t="s">
        <v>261</v>
      </c>
      <c r="B73" t="s">
        <v>218</v>
      </c>
      <c r="C73" t="s">
        <v>85</v>
      </c>
      <c r="D73" t="s">
        <v>167</v>
      </c>
      <c r="E73" t="s">
        <v>5131</v>
      </c>
      <c r="F73" t="s">
        <v>5125</v>
      </c>
      <c r="G73" t="s">
        <v>50</v>
      </c>
      <c r="H73" t="s">
        <v>5136</v>
      </c>
      <c r="I73" t="s">
        <v>5137</v>
      </c>
      <c r="J73">
        <v>89379</v>
      </c>
      <c r="K73" t="s">
        <v>262</v>
      </c>
      <c r="L73" t="s">
        <v>5165</v>
      </c>
      <c r="M73" t="s">
        <v>39</v>
      </c>
      <c r="N73">
        <v>45416</v>
      </c>
      <c r="O73">
        <v>2100</v>
      </c>
      <c r="P73" t="s">
        <v>20</v>
      </c>
      <c r="Q73">
        <v>0</v>
      </c>
      <c r="R73" t="s">
        <v>76</v>
      </c>
      <c r="S73" t="s">
        <v>21</v>
      </c>
      <c r="T73" t="s">
        <v>20</v>
      </c>
    </row>
    <row r="74" spans="1:20" x14ac:dyDescent="0.3">
      <c r="A74" t="s">
        <v>263</v>
      </c>
      <c r="B74" t="s">
        <v>218</v>
      </c>
      <c r="C74" t="s">
        <v>103</v>
      </c>
      <c r="D74" t="s">
        <v>118</v>
      </c>
      <c r="E74" t="s">
        <v>58</v>
      </c>
      <c r="F74" t="s">
        <v>59</v>
      </c>
      <c r="G74" t="s">
        <v>16</v>
      </c>
      <c r="H74" t="s">
        <v>5142</v>
      </c>
      <c r="I74" t="s">
        <v>5143</v>
      </c>
      <c r="J74">
        <v>149032</v>
      </c>
      <c r="K74" t="s">
        <v>264</v>
      </c>
      <c r="L74" t="s">
        <v>5165</v>
      </c>
      <c r="M74" t="s">
        <v>72</v>
      </c>
      <c r="N74">
        <v>45366</v>
      </c>
      <c r="O74">
        <v>1910</v>
      </c>
      <c r="P74" t="s">
        <v>20</v>
      </c>
      <c r="Q74">
        <v>4</v>
      </c>
      <c r="R74" t="s">
        <v>76</v>
      </c>
      <c r="S74" t="s">
        <v>21</v>
      </c>
      <c r="T74" t="s">
        <v>20</v>
      </c>
    </row>
    <row r="75" spans="1:20" x14ac:dyDescent="0.3">
      <c r="A75" t="s">
        <v>265</v>
      </c>
      <c r="B75" t="s">
        <v>136</v>
      </c>
      <c r="C75" t="s">
        <v>103</v>
      </c>
      <c r="D75" t="s">
        <v>25</v>
      </c>
      <c r="E75" t="s">
        <v>5124</v>
      </c>
      <c r="F75" t="s">
        <v>5125</v>
      </c>
      <c r="G75" t="s">
        <v>16</v>
      </c>
      <c r="H75" t="s">
        <v>5142</v>
      </c>
      <c r="I75" t="s">
        <v>5143</v>
      </c>
      <c r="J75">
        <v>192245</v>
      </c>
      <c r="K75" t="s">
        <v>266</v>
      </c>
      <c r="L75" t="s">
        <v>87</v>
      </c>
      <c r="M75" t="s">
        <v>46</v>
      </c>
      <c r="N75">
        <v>45326</v>
      </c>
      <c r="O75">
        <v>243</v>
      </c>
      <c r="P75" t="s">
        <v>20</v>
      </c>
      <c r="Q75">
        <v>4</v>
      </c>
      <c r="R75" t="s">
        <v>40</v>
      </c>
      <c r="S75" t="s">
        <v>21</v>
      </c>
      <c r="T75" t="s">
        <v>20</v>
      </c>
    </row>
    <row r="76" spans="1:20" x14ac:dyDescent="0.3">
      <c r="A76" t="s">
        <v>267</v>
      </c>
      <c r="B76" t="s">
        <v>63</v>
      </c>
      <c r="C76" t="s">
        <v>24</v>
      </c>
      <c r="D76" t="s">
        <v>104</v>
      </c>
      <c r="E76" t="s">
        <v>34</v>
      </c>
      <c r="F76" t="s">
        <v>35</v>
      </c>
      <c r="G76" t="s">
        <v>36</v>
      </c>
      <c r="H76" t="s">
        <v>5138</v>
      </c>
      <c r="I76" t="s">
        <v>5139</v>
      </c>
      <c r="J76">
        <v>105689</v>
      </c>
      <c r="K76" t="s">
        <v>268</v>
      </c>
      <c r="L76" t="s">
        <v>5165</v>
      </c>
      <c r="M76" t="s">
        <v>46</v>
      </c>
      <c r="N76">
        <v>45697</v>
      </c>
      <c r="O76">
        <v>3932</v>
      </c>
      <c r="P76" t="s">
        <v>29</v>
      </c>
      <c r="Q76">
        <v>6</v>
      </c>
      <c r="R76" t="s">
        <v>5116</v>
      </c>
      <c r="S76" t="s">
        <v>53</v>
      </c>
      <c r="T76" t="s">
        <v>20</v>
      </c>
    </row>
    <row r="77" spans="1:20" x14ac:dyDescent="0.3">
      <c r="A77" t="s">
        <v>269</v>
      </c>
      <c r="B77" t="s">
        <v>63</v>
      </c>
      <c r="C77" t="s">
        <v>49</v>
      </c>
      <c r="D77" t="s">
        <v>140</v>
      </c>
      <c r="E77" t="s">
        <v>5127</v>
      </c>
      <c r="F77" t="s">
        <v>5125</v>
      </c>
      <c r="G77" t="s">
        <v>16</v>
      </c>
      <c r="H77" t="s">
        <v>5140</v>
      </c>
      <c r="I77" t="s">
        <v>5141</v>
      </c>
      <c r="J77">
        <v>126273</v>
      </c>
      <c r="K77" t="s">
        <v>270</v>
      </c>
      <c r="L77" t="s">
        <v>5165</v>
      </c>
      <c r="M77" t="s">
        <v>39</v>
      </c>
      <c r="N77">
        <v>45516</v>
      </c>
      <c r="O77">
        <v>3242</v>
      </c>
      <c r="P77" t="s">
        <v>20</v>
      </c>
      <c r="Q77">
        <v>2</v>
      </c>
      <c r="R77" t="s">
        <v>40</v>
      </c>
      <c r="S77" t="s">
        <v>21</v>
      </c>
      <c r="T77" t="s">
        <v>29</v>
      </c>
    </row>
    <row r="78" spans="1:20" x14ac:dyDescent="0.3">
      <c r="A78" t="s">
        <v>271</v>
      </c>
      <c r="B78" t="s">
        <v>130</v>
      </c>
      <c r="C78" t="s">
        <v>172</v>
      </c>
      <c r="D78" t="s">
        <v>140</v>
      </c>
      <c r="E78" t="s">
        <v>14</v>
      </c>
      <c r="F78" t="s">
        <v>15</v>
      </c>
      <c r="G78" t="s">
        <v>36</v>
      </c>
      <c r="H78" t="s">
        <v>5142</v>
      </c>
      <c r="I78" t="s">
        <v>5143</v>
      </c>
      <c r="J78">
        <v>152350</v>
      </c>
      <c r="K78" t="s">
        <v>272</v>
      </c>
      <c r="L78" t="s">
        <v>5165</v>
      </c>
      <c r="M78" t="s">
        <v>19</v>
      </c>
      <c r="N78">
        <v>45628</v>
      </c>
      <c r="O78">
        <v>1278</v>
      </c>
      <c r="P78" t="s">
        <v>20</v>
      </c>
      <c r="Q78">
        <v>4</v>
      </c>
      <c r="R78" t="s">
        <v>40</v>
      </c>
      <c r="S78" t="s">
        <v>53</v>
      </c>
      <c r="T78" t="s">
        <v>20</v>
      </c>
    </row>
    <row r="79" spans="1:20" x14ac:dyDescent="0.3">
      <c r="A79" t="s">
        <v>273</v>
      </c>
      <c r="B79" t="s">
        <v>124</v>
      </c>
      <c r="C79" t="s">
        <v>202</v>
      </c>
      <c r="D79" t="s">
        <v>118</v>
      </c>
      <c r="E79" t="s">
        <v>5131</v>
      </c>
      <c r="F79" t="s">
        <v>5125</v>
      </c>
      <c r="G79" t="s">
        <v>36</v>
      </c>
      <c r="H79" t="s">
        <v>5136</v>
      </c>
      <c r="I79" t="s">
        <v>5137</v>
      </c>
      <c r="J79">
        <v>66232</v>
      </c>
      <c r="K79" t="s">
        <v>274</v>
      </c>
      <c r="L79" t="s">
        <v>238</v>
      </c>
      <c r="M79" t="s">
        <v>19</v>
      </c>
      <c r="N79">
        <v>45301</v>
      </c>
      <c r="O79">
        <v>2089</v>
      </c>
      <c r="P79" t="s">
        <v>20</v>
      </c>
      <c r="Q79">
        <v>0</v>
      </c>
      <c r="R79" t="s">
        <v>76</v>
      </c>
      <c r="S79" t="s">
        <v>21</v>
      </c>
      <c r="T79" t="s">
        <v>29</v>
      </c>
    </row>
    <row r="80" spans="1:20" x14ac:dyDescent="0.3">
      <c r="A80" t="s">
        <v>275</v>
      </c>
      <c r="B80" t="s">
        <v>78</v>
      </c>
      <c r="C80" t="s">
        <v>160</v>
      </c>
      <c r="D80" t="s">
        <v>57</v>
      </c>
      <c r="E80" t="s">
        <v>209</v>
      </c>
      <c r="F80" t="s">
        <v>210</v>
      </c>
      <c r="G80" t="s">
        <v>16</v>
      </c>
      <c r="H80" t="s">
        <v>5140</v>
      </c>
      <c r="I80" t="s">
        <v>5141</v>
      </c>
      <c r="J80">
        <v>111816</v>
      </c>
      <c r="K80" t="s">
        <v>276</v>
      </c>
      <c r="L80" t="s">
        <v>5165</v>
      </c>
      <c r="M80" t="s">
        <v>19</v>
      </c>
      <c r="N80">
        <v>45375</v>
      </c>
      <c r="O80">
        <v>2780</v>
      </c>
      <c r="P80" t="s">
        <v>20</v>
      </c>
      <c r="Q80">
        <v>2</v>
      </c>
      <c r="R80" t="s">
        <v>52</v>
      </c>
      <c r="S80" t="s">
        <v>21</v>
      </c>
      <c r="T80" t="s">
        <v>20</v>
      </c>
    </row>
    <row r="81" spans="1:20" x14ac:dyDescent="0.3">
      <c r="A81" t="s">
        <v>277</v>
      </c>
      <c r="B81" t="s">
        <v>165</v>
      </c>
      <c r="C81" t="s">
        <v>139</v>
      </c>
      <c r="D81" t="s">
        <v>25</v>
      </c>
      <c r="E81" t="s">
        <v>126</v>
      </c>
      <c r="F81" t="s">
        <v>127</v>
      </c>
      <c r="G81" t="s">
        <v>16</v>
      </c>
      <c r="H81" t="s">
        <v>5140</v>
      </c>
      <c r="I81" t="s">
        <v>5141</v>
      </c>
      <c r="J81">
        <v>70646</v>
      </c>
      <c r="K81" t="s">
        <v>278</v>
      </c>
      <c r="L81" t="s">
        <v>5165</v>
      </c>
      <c r="M81" t="s">
        <v>39</v>
      </c>
      <c r="N81">
        <v>45706</v>
      </c>
      <c r="O81">
        <v>2170</v>
      </c>
      <c r="P81" t="s">
        <v>20</v>
      </c>
      <c r="Q81">
        <v>2</v>
      </c>
      <c r="R81" t="s">
        <v>47</v>
      </c>
      <c r="S81" t="s">
        <v>53</v>
      </c>
      <c r="T81" t="s">
        <v>20</v>
      </c>
    </row>
    <row r="82" spans="1:20" x14ac:dyDescent="0.3">
      <c r="A82" t="s">
        <v>279</v>
      </c>
      <c r="B82" t="s">
        <v>55</v>
      </c>
      <c r="C82" t="s">
        <v>172</v>
      </c>
      <c r="D82" t="s">
        <v>44</v>
      </c>
      <c r="E82" t="s">
        <v>5127</v>
      </c>
      <c r="F82" t="s">
        <v>5125</v>
      </c>
      <c r="G82" t="s">
        <v>36</v>
      </c>
      <c r="H82" t="s">
        <v>5142</v>
      </c>
      <c r="I82" t="s">
        <v>5143</v>
      </c>
      <c r="J82">
        <v>144068</v>
      </c>
      <c r="K82" t="s">
        <v>280</v>
      </c>
      <c r="L82" t="s">
        <v>5165</v>
      </c>
      <c r="M82" t="s">
        <v>39</v>
      </c>
      <c r="N82">
        <v>45739</v>
      </c>
      <c r="O82">
        <v>1850</v>
      </c>
      <c r="P82" t="s">
        <v>92</v>
      </c>
      <c r="Q82">
        <v>4</v>
      </c>
      <c r="R82" t="s">
        <v>47</v>
      </c>
      <c r="S82" t="s">
        <v>53</v>
      </c>
      <c r="T82" t="s">
        <v>29</v>
      </c>
    </row>
    <row r="83" spans="1:20" x14ac:dyDescent="0.3">
      <c r="A83" t="s">
        <v>281</v>
      </c>
      <c r="B83" t="s">
        <v>84</v>
      </c>
      <c r="C83" t="s">
        <v>219</v>
      </c>
      <c r="D83" t="s">
        <v>33</v>
      </c>
      <c r="E83" t="s">
        <v>5133</v>
      </c>
      <c r="F83" t="s">
        <v>5125</v>
      </c>
      <c r="G83" t="s">
        <v>50</v>
      </c>
      <c r="H83" t="s">
        <v>5138</v>
      </c>
      <c r="I83" t="s">
        <v>5139</v>
      </c>
      <c r="J83">
        <v>212856</v>
      </c>
      <c r="K83" t="s">
        <v>282</v>
      </c>
      <c r="L83" t="s">
        <v>142</v>
      </c>
      <c r="M83" t="s">
        <v>19</v>
      </c>
      <c r="N83">
        <v>45504</v>
      </c>
      <c r="O83">
        <v>3447</v>
      </c>
      <c r="P83" t="s">
        <v>20</v>
      </c>
      <c r="Q83">
        <v>6</v>
      </c>
      <c r="R83" t="s">
        <v>40</v>
      </c>
      <c r="S83" t="s">
        <v>53</v>
      </c>
      <c r="T83" t="s">
        <v>29</v>
      </c>
    </row>
    <row r="84" spans="1:20" x14ac:dyDescent="0.3">
      <c r="A84" t="s">
        <v>283</v>
      </c>
      <c r="B84" t="s">
        <v>74</v>
      </c>
      <c r="C84" t="s">
        <v>67</v>
      </c>
      <c r="D84" t="s">
        <v>104</v>
      </c>
      <c r="E84" t="s">
        <v>58</v>
      </c>
      <c r="F84" t="s">
        <v>59</v>
      </c>
      <c r="G84" t="s">
        <v>36</v>
      </c>
      <c r="H84" t="s">
        <v>5138</v>
      </c>
      <c r="I84" t="s">
        <v>5139</v>
      </c>
      <c r="J84">
        <v>253204</v>
      </c>
      <c r="K84" t="s">
        <v>284</v>
      </c>
      <c r="L84" t="s">
        <v>5165</v>
      </c>
      <c r="M84" t="s">
        <v>46</v>
      </c>
      <c r="N84">
        <v>45532</v>
      </c>
      <c r="O84">
        <v>3189</v>
      </c>
      <c r="P84" t="s">
        <v>20</v>
      </c>
      <c r="Q84">
        <v>6</v>
      </c>
      <c r="R84" t="s">
        <v>40</v>
      </c>
      <c r="S84" t="s">
        <v>21</v>
      </c>
      <c r="T84" t="s">
        <v>29</v>
      </c>
    </row>
    <row r="85" spans="1:20" x14ac:dyDescent="0.3">
      <c r="A85" t="s">
        <v>285</v>
      </c>
      <c r="B85" t="s">
        <v>78</v>
      </c>
      <c r="C85" t="s">
        <v>117</v>
      </c>
      <c r="D85" t="s">
        <v>104</v>
      </c>
      <c r="E85" t="s">
        <v>5128</v>
      </c>
      <c r="F85" t="s">
        <v>5125</v>
      </c>
      <c r="G85" t="s">
        <v>16</v>
      </c>
      <c r="H85" t="s">
        <v>5138</v>
      </c>
      <c r="I85" t="s">
        <v>5139</v>
      </c>
      <c r="J85">
        <v>181342</v>
      </c>
      <c r="K85" t="s">
        <v>286</v>
      </c>
      <c r="L85" t="s">
        <v>134</v>
      </c>
      <c r="M85" t="s">
        <v>46</v>
      </c>
      <c r="N85">
        <v>45547</v>
      </c>
      <c r="O85">
        <v>777</v>
      </c>
      <c r="P85" t="s">
        <v>20</v>
      </c>
      <c r="Q85">
        <v>6</v>
      </c>
      <c r="R85" t="s">
        <v>5116</v>
      </c>
      <c r="S85" t="s">
        <v>21</v>
      </c>
      <c r="T85" t="s">
        <v>29</v>
      </c>
    </row>
    <row r="86" spans="1:20" x14ac:dyDescent="0.3">
      <c r="A86" t="s">
        <v>287</v>
      </c>
      <c r="B86" t="s">
        <v>124</v>
      </c>
      <c r="C86" t="s">
        <v>64</v>
      </c>
      <c r="D86" t="s">
        <v>104</v>
      </c>
      <c r="E86" t="s">
        <v>5126</v>
      </c>
      <c r="F86" t="s">
        <v>5125</v>
      </c>
      <c r="G86" t="s">
        <v>50</v>
      </c>
      <c r="H86" t="s">
        <v>5136</v>
      </c>
      <c r="I86" t="s">
        <v>5137</v>
      </c>
      <c r="J86">
        <v>59812</v>
      </c>
      <c r="K86" t="s">
        <v>288</v>
      </c>
      <c r="L86" t="s">
        <v>142</v>
      </c>
      <c r="M86" t="s">
        <v>39</v>
      </c>
      <c r="N86">
        <v>45314</v>
      </c>
      <c r="O86">
        <v>556</v>
      </c>
      <c r="P86" t="s">
        <v>29</v>
      </c>
      <c r="Q86">
        <v>0</v>
      </c>
      <c r="R86" t="s">
        <v>76</v>
      </c>
      <c r="S86" t="s">
        <v>21</v>
      </c>
      <c r="T86" t="s">
        <v>20</v>
      </c>
    </row>
    <row r="87" spans="1:20" x14ac:dyDescent="0.3">
      <c r="A87" t="s">
        <v>289</v>
      </c>
      <c r="B87" t="s">
        <v>165</v>
      </c>
      <c r="C87" t="s">
        <v>56</v>
      </c>
      <c r="D87" t="s">
        <v>140</v>
      </c>
      <c r="E87" t="s">
        <v>95</v>
      </c>
      <c r="F87" t="s">
        <v>96</v>
      </c>
      <c r="G87" t="s">
        <v>50</v>
      </c>
      <c r="H87" t="s">
        <v>5138</v>
      </c>
      <c r="I87" t="s">
        <v>5139</v>
      </c>
      <c r="J87">
        <v>181936</v>
      </c>
      <c r="K87" t="s">
        <v>290</v>
      </c>
      <c r="L87" t="s">
        <v>113</v>
      </c>
      <c r="M87" t="s">
        <v>72</v>
      </c>
      <c r="N87">
        <v>45324</v>
      </c>
      <c r="O87">
        <v>1047</v>
      </c>
      <c r="P87" t="s">
        <v>29</v>
      </c>
      <c r="Q87">
        <v>6</v>
      </c>
      <c r="R87" t="s">
        <v>47</v>
      </c>
      <c r="S87" t="s">
        <v>21</v>
      </c>
      <c r="T87" t="s">
        <v>20</v>
      </c>
    </row>
    <row r="88" spans="1:20" x14ac:dyDescent="0.3">
      <c r="A88" t="s">
        <v>291</v>
      </c>
      <c r="B88" t="s">
        <v>222</v>
      </c>
      <c r="C88" t="s">
        <v>185</v>
      </c>
      <c r="D88" t="s">
        <v>57</v>
      </c>
      <c r="E88" t="s">
        <v>14</v>
      </c>
      <c r="F88" t="s">
        <v>15</v>
      </c>
      <c r="G88" t="s">
        <v>16</v>
      </c>
      <c r="H88" t="s">
        <v>5142</v>
      </c>
      <c r="I88" t="s">
        <v>5143</v>
      </c>
      <c r="J88">
        <v>174715</v>
      </c>
      <c r="K88" t="s">
        <v>292</v>
      </c>
      <c r="L88" t="s">
        <v>5165</v>
      </c>
      <c r="M88" t="s">
        <v>46</v>
      </c>
      <c r="N88">
        <v>45480</v>
      </c>
      <c r="O88">
        <v>1102</v>
      </c>
      <c r="P88" t="s">
        <v>20</v>
      </c>
      <c r="Q88">
        <v>4</v>
      </c>
      <c r="R88" t="s">
        <v>52</v>
      </c>
      <c r="S88" t="s">
        <v>21</v>
      </c>
      <c r="T88" t="s">
        <v>20</v>
      </c>
    </row>
    <row r="89" spans="1:20" x14ac:dyDescent="0.3">
      <c r="A89" t="s">
        <v>293</v>
      </c>
      <c r="B89" t="s">
        <v>215</v>
      </c>
      <c r="C89" t="s">
        <v>219</v>
      </c>
      <c r="D89" t="s">
        <v>57</v>
      </c>
      <c r="E89" t="s">
        <v>5124</v>
      </c>
      <c r="F89" t="s">
        <v>5125</v>
      </c>
      <c r="G89" t="s">
        <v>16</v>
      </c>
      <c r="H89" t="s">
        <v>5142</v>
      </c>
      <c r="I89" t="s">
        <v>5143</v>
      </c>
      <c r="J89">
        <v>158876</v>
      </c>
      <c r="K89" t="s">
        <v>294</v>
      </c>
      <c r="L89" t="s">
        <v>82</v>
      </c>
      <c r="M89" t="s">
        <v>19</v>
      </c>
      <c r="N89">
        <v>45459</v>
      </c>
      <c r="O89">
        <v>2528</v>
      </c>
      <c r="P89" t="s">
        <v>92</v>
      </c>
      <c r="Q89">
        <v>4</v>
      </c>
      <c r="R89" t="s">
        <v>40</v>
      </c>
      <c r="S89" t="s">
        <v>21</v>
      </c>
      <c r="T89" t="s">
        <v>20</v>
      </c>
    </row>
    <row r="90" spans="1:20" x14ac:dyDescent="0.3">
      <c r="A90" t="s">
        <v>295</v>
      </c>
      <c r="B90" t="s">
        <v>222</v>
      </c>
      <c r="C90" t="s">
        <v>139</v>
      </c>
      <c r="D90" t="s">
        <v>5156</v>
      </c>
      <c r="E90" t="s">
        <v>5126</v>
      </c>
      <c r="F90" t="s">
        <v>5125</v>
      </c>
      <c r="G90" t="s">
        <v>16</v>
      </c>
      <c r="H90" t="s">
        <v>5136</v>
      </c>
      <c r="I90" t="s">
        <v>5137</v>
      </c>
      <c r="J90">
        <v>63325</v>
      </c>
      <c r="K90" t="s">
        <v>296</v>
      </c>
      <c r="L90" t="s">
        <v>5165</v>
      </c>
      <c r="M90" t="s">
        <v>19</v>
      </c>
      <c r="N90">
        <v>45702</v>
      </c>
      <c r="O90">
        <v>3198</v>
      </c>
      <c r="P90" t="s">
        <v>20</v>
      </c>
      <c r="Q90">
        <v>0</v>
      </c>
      <c r="R90" t="s">
        <v>40</v>
      </c>
      <c r="S90" t="s">
        <v>21</v>
      </c>
      <c r="T90" t="s">
        <v>20</v>
      </c>
    </row>
    <row r="91" spans="1:20" x14ac:dyDescent="0.3">
      <c r="A91" t="s">
        <v>297</v>
      </c>
      <c r="B91" t="s">
        <v>78</v>
      </c>
      <c r="C91" t="s">
        <v>85</v>
      </c>
      <c r="D91" t="s">
        <v>44</v>
      </c>
      <c r="E91" t="s">
        <v>34</v>
      </c>
      <c r="F91" t="s">
        <v>35</v>
      </c>
      <c r="G91" t="s">
        <v>50</v>
      </c>
      <c r="H91" t="s">
        <v>5140</v>
      </c>
      <c r="I91" t="s">
        <v>5141</v>
      </c>
      <c r="J91">
        <v>120162</v>
      </c>
      <c r="K91" t="s">
        <v>298</v>
      </c>
      <c r="L91" t="s">
        <v>113</v>
      </c>
      <c r="M91" t="s">
        <v>19</v>
      </c>
      <c r="N91">
        <v>45482</v>
      </c>
      <c r="O91">
        <v>2054</v>
      </c>
      <c r="P91" t="s">
        <v>20</v>
      </c>
      <c r="Q91">
        <v>2</v>
      </c>
      <c r="R91" t="s">
        <v>76</v>
      </c>
      <c r="S91" t="s">
        <v>21</v>
      </c>
      <c r="T91" t="s">
        <v>20</v>
      </c>
    </row>
    <row r="92" spans="1:20" x14ac:dyDescent="0.3">
      <c r="A92" t="s">
        <v>299</v>
      </c>
      <c r="B92" t="s">
        <v>165</v>
      </c>
      <c r="C92" t="s">
        <v>103</v>
      </c>
      <c r="D92" t="s">
        <v>167</v>
      </c>
      <c r="E92" t="s">
        <v>209</v>
      </c>
      <c r="F92" t="s">
        <v>210</v>
      </c>
      <c r="G92" t="s">
        <v>16</v>
      </c>
      <c r="H92" t="s">
        <v>5140</v>
      </c>
      <c r="I92" t="s">
        <v>5141</v>
      </c>
      <c r="J92">
        <v>111922</v>
      </c>
      <c r="K92" t="s">
        <v>300</v>
      </c>
      <c r="L92" t="s">
        <v>82</v>
      </c>
      <c r="M92" t="s">
        <v>46</v>
      </c>
      <c r="N92">
        <v>45543</v>
      </c>
      <c r="O92">
        <v>2262</v>
      </c>
      <c r="P92" t="s">
        <v>20</v>
      </c>
      <c r="Q92">
        <v>2</v>
      </c>
      <c r="R92" t="s">
        <v>40</v>
      </c>
      <c r="S92" t="s">
        <v>53</v>
      </c>
      <c r="T92" t="s">
        <v>20</v>
      </c>
    </row>
    <row r="93" spans="1:20" x14ac:dyDescent="0.3">
      <c r="A93" t="s">
        <v>301</v>
      </c>
      <c r="B93" t="s">
        <v>215</v>
      </c>
      <c r="C93" t="s">
        <v>219</v>
      </c>
      <c r="D93" t="s">
        <v>57</v>
      </c>
      <c r="E93" t="s">
        <v>69</v>
      </c>
      <c r="F93" t="s">
        <v>70</v>
      </c>
      <c r="G93" t="s">
        <v>16</v>
      </c>
      <c r="H93" t="s">
        <v>5142</v>
      </c>
      <c r="I93" t="s">
        <v>5143</v>
      </c>
      <c r="J93">
        <v>176153</v>
      </c>
      <c r="K93" t="s">
        <v>302</v>
      </c>
      <c r="L93" t="s">
        <v>18</v>
      </c>
      <c r="M93" t="s">
        <v>39</v>
      </c>
      <c r="N93">
        <v>45394</v>
      </c>
      <c r="O93">
        <v>2516</v>
      </c>
      <c r="P93" t="s">
        <v>92</v>
      </c>
      <c r="Q93">
        <v>4</v>
      </c>
      <c r="R93" t="s">
        <v>5116</v>
      </c>
      <c r="S93" t="s">
        <v>21</v>
      </c>
      <c r="T93" t="s">
        <v>20</v>
      </c>
    </row>
    <row r="94" spans="1:20" x14ac:dyDescent="0.3">
      <c r="A94" t="s">
        <v>303</v>
      </c>
      <c r="B94" t="s">
        <v>89</v>
      </c>
      <c r="C94" t="s">
        <v>219</v>
      </c>
      <c r="D94" t="s">
        <v>118</v>
      </c>
      <c r="E94" t="s">
        <v>5131</v>
      </c>
      <c r="F94" t="s">
        <v>5125</v>
      </c>
      <c r="G94" t="s">
        <v>50</v>
      </c>
      <c r="H94" t="s">
        <v>5138</v>
      </c>
      <c r="I94" t="s">
        <v>5139</v>
      </c>
      <c r="J94">
        <v>174726</v>
      </c>
      <c r="K94" t="s">
        <v>304</v>
      </c>
      <c r="L94" t="s">
        <v>87</v>
      </c>
      <c r="M94" t="s">
        <v>39</v>
      </c>
      <c r="N94">
        <v>45329</v>
      </c>
      <c r="O94">
        <v>3154</v>
      </c>
      <c r="P94" t="s">
        <v>92</v>
      </c>
      <c r="Q94">
        <v>6</v>
      </c>
      <c r="R94" t="s">
        <v>52</v>
      </c>
      <c r="S94" t="s">
        <v>21</v>
      </c>
      <c r="T94" t="s">
        <v>20</v>
      </c>
    </row>
    <row r="95" spans="1:20" x14ac:dyDescent="0.3">
      <c r="A95" t="s">
        <v>305</v>
      </c>
      <c r="B95" t="s">
        <v>12</v>
      </c>
      <c r="C95" t="s">
        <v>166</v>
      </c>
      <c r="D95" t="s">
        <v>33</v>
      </c>
      <c r="E95" t="s">
        <v>223</v>
      </c>
      <c r="F95" t="s">
        <v>224</v>
      </c>
      <c r="G95" t="s">
        <v>16</v>
      </c>
      <c r="H95" t="s">
        <v>5140</v>
      </c>
      <c r="I95" t="s">
        <v>5141</v>
      </c>
      <c r="J95">
        <v>103512</v>
      </c>
      <c r="K95" t="s">
        <v>306</v>
      </c>
      <c r="L95" t="s">
        <v>5165</v>
      </c>
      <c r="M95" t="s">
        <v>46</v>
      </c>
      <c r="N95">
        <v>45457</v>
      </c>
      <c r="O95">
        <v>522</v>
      </c>
      <c r="P95" t="s">
        <v>20</v>
      </c>
      <c r="Q95">
        <v>2</v>
      </c>
      <c r="R95" t="s">
        <v>76</v>
      </c>
      <c r="S95" t="s">
        <v>21</v>
      </c>
      <c r="T95" t="s">
        <v>20</v>
      </c>
    </row>
    <row r="96" spans="1:20" x14ac:dyDescent="0.3">
      <c r="A96" t="s">
        <v>307</v>
      </c>
      <c r="B96" t="s">
        <v>215</v>
      </c>
      <c r="C96" t="s">
        <v>64</v>
      </c>
      <c r="D96" t="s">
        <v>104</v>
      </c>
      <c r="E96" t="s">
        <v>95</v>
      </c>
      <c r="F96" t="s">
        <v>96</v>
      </c>
      <c r="G96" t="s">
        <v>36</v>
      </c>
      <c r="H96" t="s">
        <v>5140</v>
      </c>
      <c r="I96" t="s">
        <v>5141</v>
      </c>
      <c r="J96">
        <v>102236</v>
      </c>
      <c r="K96" t="s">
        <v>308</v>
      </c>
      <c r="L96" t="s">
        <v>5165</v>
      </c>
      <c r="M96" t="s">
        <v>19</v>
      </c>
      <c r="N96">
        <v>45660</v>
      </c>
      <c r="O96">
        <v>3151</v>
      </c>
      <c r="P96" t="s">
        <v>20</v>
      </c>
      <c r="Q96">
        <v>2</v>
      </c>
      <c r="R96" t="s">
        <v>76</v>
      </c>
      <c r="S96" t="s">
        <v>21</v>
      </c>
      <c r="T96" t="s">
        <v>20</v>
      </c>
    </row>
    <row r="97" spans="1:20" x14ac:dyDescent="0.3">
      <c r="A97" t="s">
        <v>309</v>
      </c>
      <c r="B97" t="s">
        <v>23</v>
      </c>
      <c r="C97" t="s">
        <v>139</v>
      </c>
      <c r="D97" t="s">
        <v>33</v>
      </c>
      <c r="E97" t="s">
        <v>223</v>
      </c>
      <c r="F97" t="s">
        <v>224</v>
      </c>
      <c r="G97" t="s">
        <v>36</v>
      </c>
      <c r="H97" t="s">
        <v>5142</v>
      </c>
      <c r="I97" t="s">
        <v>5143</v>
      </c>
      <c r="J97">
        <v>110485</v>
      </c>
      <c r="K97" t="s">
        <v>310</v>
      </c>
      <c r="L97" t="s">
        <v>82</v>
      </c>
      <c r="M97" t="s">
        <v>46</v>
      </c>
      <c r="N97">
        <v>45704</v>
      </c>
      <c r="O97">
        <v>1290</v>
      </c>
      <c r="P97" t="s">
        <v>92</v>
      </c>
      <c r="Q97">
        <v>4</v>
      </c>
      <c r="R97" t="s">
        <v>40</v>
      </c>
      <c r="S97" t="s">
        <v>53</v>
      </c>
      <c r="T97" t="s">
        <v>20</v>
      </c>
    </row>
    <row r="98" spans="1:20" x14ac:dyDescent="0.3">
      <c r="A98" t="s">
        <v>311</v>
      </c>
      <c r="B98" t="s">
        <v>130</v>
      </c>
      <c r="C98" t="s">
        <v>49</v>
      </c>
      <c r="D98" t="s">
        <v>104</v>
      </c>
      <c r="E98" t="s">
        <v>5133</v>
      </c>
      <c r="F98" t="s">
        <v>5125</v>
      </c>
      <c r="G98" t="s">
        <v>36</v>
      </c>
      <c r="H98" t="s">
        <v>5140</v>
      </c>
      <c r="I98" t="s">
        <v>5141</v>
      </c>
      <c r="J98">
        <v>115863</v>
      </c>
      <c r="K98" t="s">
        <v>312</v>
      </c>
      <c r="L98" t="s">
        <v>113</v>
      </c>
      <c r="M98" t="s">
        <v>46</v>
      </c>
      <c r="N98">
        <v>45346</v>
      </c>
      <c r="O98">
        <v>3342</v>
      </c>
      <c r="P98" t="s">
        <v>20</v>
      </c>
      <c r="Q98">
        <v>2</v>
      </c>
      <c r="R98" t="s">
        <v>76</v>
      </c>
      <c r="S98" t="s">
        <v>53</v>
      </c>
      <c r="T98" t="s">
        <v>29</v>
      </c>
    </row>
    <row r="99" spans="1:20" x14ac:dyDescent="0.3">
      <c r="A99" t="s">
        <v>313</v>
      </c>
      <c r="B99" t="s">
        <v>215</v>
      </c>
      <c r="C99" t="s">
        <v>197</v>
      </c>
      <c r="D99" t="s">
        <v>104</v>
      </c>
      <c r="E99" t="s">
        <v>69</v>
      </c>
      <c r="F99" t="s">
        <v>70</v>
      </c>
      <c r="G99" t="s">
        <v>36</v>
      </c>
      <c r="H99" t="s">
        <v>5138</v>
      </c>
      <c r="I99" t="s">
        <v>5139</v>
      </c>
      <c r="J99">
        <v>209397</v>
      </c>
      <c r="K99" t="s">
        <v>314</v>
      </c>
      <c r="L99" t="s">
        <v>238</v>
      </c>
      <c r="M99" t="s">
        <v>46</v>
      </c>
      <c r="N99">
        <v>45742</v>
      </c>
      <c r="O99">
        <v>1162</v>
      </c>
      <c r="P99" t="s">
        <v>20</v>
      </c>
      <c r="Q99">
        <v>6</v>
      </c>
      <c r="R99" t="s">
        <v>52</v>
      </c>
      <c r="S99" t="s">
        <v>21</v>
      </c>
      <c r="T99" t="s">
        <v>29</v>
      </c>
    </row>
    <row r="100" spans="1:20" x14ac:dyDescent="0.3">
      <c r="A100" t="s">
        <v>315</v>
      </c>
      <c r="B100" t="s">
        <v>12</v>
      </c>
      <c r="C100" t="s">
        <v>67</v>
      </c>
      <c r="D100" t="s">
        <v>25</v>
      </c>
      <c r="E100" t="s">
        <v>58</v>
      </c>
      <c r="F100" t="s">
        <v>59</v>
      </c>
      <c r="G100" t="s">
        <v>50</v>
      </c>
      <c r="H100" t="s">
        <v>5138</v>
      </c>
      <c r="I100" t="s">
        <v>5139</v>
      </c>
      <c r="J100">
        <v>200184</v>
      </c>
      <c r="K100" t="s">
        <v>316</v>
      </c>
      <c r="L100" t="s">
        <v>38</v>
      </c>
      <c r="M100" t="s">
        <v>19</v>
      </c>
      <c r="N100">
        <v>45664</v>
      </c>
      <c r="O100">
        <v>1854</v>
      </c>
      <c r="P100" t="s">
        <v>20</v>
      </c>
      <c r="Q100">
        <v>6</v>
      </c>
      <c r="R100" t="s">
        <v>40</v>
      </c>
      <c r="S100" t="s">
        <v>53</v>
      </c>
      <c r="T100" t="s">
        <v>20</v>
      </c>
    </row>
    <row r="101" spans="1:20" x14ac:dyDescent="0.3">
      <c r="A101" t="s">
        <v>317</v>
      </c>
      <c r="B101" t="s">
        <v>78</v>
      </c>
      <c r="C101" t="s">
        <v>56</v>
      </c>
      <c r="D101" t="s">
        <v>140</v>
      </c>
      <c r="E101" t="s">
        <v>58</v>
      </c>
      <c r="F101" t="s">
        <v>59</v>
      </c>
      <c r="G101" t="s">
        <v>50</v>
      </c>
      <c r="H101" t="s">
        <v>5136</v>
      </c>
      <c r="I101" t="s">
        <v>5137</v>
      </c>
      <c r="J101">
        <v>67044</v>
      </c>
      <c r="K101" t="s">
        <v>318</v>
      </c>
      <c r="L101" t="s">
        <v>18</v>
      </c>
      <c r="M101" t="s">
        <v>46</v>
      </c>
      <c r="N101">
        <v>45493</v>
      </c>
      <c r="O101">
        <v>169</v>
      </c>
      <c r="P101" t="s">
        <v>29</v>
      </c>
      <c r="Q101">
        <v>0</v>
      </c>
      <c r="R101" t="s">
        <v>40</v>
      </c>
      <c r="S101" t="s">
        <v>53</v>
      </c>
      <c r="T101" t="s">
        <v>20</v>
      </c>
    </row>
    <row r="102" spans="1:20" x14ac:dyDescent="0.3">
      <c r="A102" t="s">
        <v>319</v>
      </c>
      <c r="B102" t="s">
        <v>55</v>
      </c>
      <c r="C102" t="s">
        <v>56</v>
      </c>
      <c r="D102" t="s">
        <v>68</v>
      </c>
      <c r="E102" t="s">
        <v>5124</v>
      </c>
      <c r="F102" t="s">
        <v>5125</v>
      </c>
      <c r="G102" t="s">
        <v>50</v>
      </c>
      <c r="H102" t="s">
        <v>5140</v>
      </c>
      <c r="I102" t="s">
        <v>5141</v>
      </c>
      <c r="J102">
        <v>81975</v>
      </c>
      <c r="K102" t="s">
        <v>320</v>
      </c>
      <c r="L102" t="s">
        <v>38</v>
      </c>
      <c r="M102" t="s">
        <v>46</v>
      </c>
      <c r="N102">
        <v>45455</v>
      </c>
      <c r="O102">
        <v>1955</v>
      </c>
      <c r="P102" t="s">
        <v>20</v>
      </c>
      <c r="Q102">
        <v>2</v>
      </c>
      <c r="R102" t="s">
        <v>40</v>
      </c>
      <c r="S102" t="s">
        <v>21</v>
      </c>
      <c r="T102" t="s">
        <v>29</v>
      </c>
    </row>
    <row r="103" spans="1:20" x14ac:dyDescent="0.3">
      <c r="A103" t="s">
        <v>321</v>
      </c>
      <c r="B103" t="s">
        <v>322</v>
      </c>
      <c r="C103" t="s">
        <v>64</v>
      </c>
      <c r="D103" t="s">
        <v>140</v>
      </c>
      <c r="E103" t="s">
        <v>5132</v>
      </c>
      <c r="F103" t="s">
        <v>5125</v>
      </c>
      <c r="G103" t="s">
        <v>36</v>
      </c>
      <c r="H103" t="s">
        <v>5142</v>
      </c>
      <c r="I103" t="s">
        <v>5143</v>
      </c>
      <c r="J103">
        <v>138642</v>
      </c>
      <c r="K103" t="s">
        <v>323</v>
      </c>
      <c r="L103" t="s">
        <v>18</v>
      </c>
      <c r="M103" t="s">
        <v>19</v>
      </c>
      <c r="N103">
        <v>45427</v>
      </c>
      <c r="O103">
        <v>139</v>
      </c>
      <c r="P103" t="s">
        <v>20</v>
      </c>
      <c r="Q103">
        <v>4</v>
      </c>
      <c r="R103" t="s">
        <v>5116</v>
      </c>
      <c r="S103" t="s">
        <v>21</v>
      </c>
      <c r="T103" t="s">
        <v>29</v>
      </c>
    </row>
    <row r="104" spans="1:20" x14ac:dyDescent="0.3">
      <c r="A104" t="s">
        <v>324</v>
      </c>
      <c r="B104" t="s">
        <v>322</v>
      </c>
      <c r="C104" t="s">
        <v>67</v>
      </c>
      <c r="D104" t="s">
        <v>167</v>
      </c>
      <c r="E104" t="s">
        <v>5131</v>
      </c>
      <c r="F104" t="s">
        <v>5125</v>
      </c>
      <c r="G104" t="s">
        <v>36</v>
      </c>
      <c r="H104" t="s">
        <v>5140</v>
      </c>
      <c r="I104" t="s">
        <v>5141</v>
      </c>
      <c r="J104">
        <v>103214</v>
      </c>
      <c r="K104" t="s">
        <v>325</v>
      </c>
      <c r="L104" t="s">
        <v>238</v>
      </c>
      <c r="M104" t="s">
        <v>72</v>
      </c>
      <c r="N104">
        <v>45502</v>
      </c>
      <c r="O104">
        <v>2162</v>
      </c>
      <c r="P104" t="s">
        <v>20</v>
      </c>
      <c r="Q104">
        <v>2</v>
      </c>
      <c r="R104" t="s">
        <v>47</v>
      </c>
      <c r="S104" t="s">
        <v>21</v>
      </c>
      <c r="T104" t="s">
        <v>20</v>
      </c>
    </row>
    <row r="105" spans="1:20" x14ac:dyDescent="0.3">
      <c r="A105" t="s">
        <v>326</v>
      </c>
      <c r="B105" t="s">
        <v>23</v>
      </c>
      <c r="C105" t="s">
        <v>172</v>
      </c>
      <c r="D105" t="s">
        <v>25</v>
      </c>
      <c r="E105" t="s">
        <v>14</v>
      </c>
      <c r="F105" t="s">
        <v>15</v>
      </c>
      <c r="G105" t="s">
        <v>36</v>
      </c>
      <c r="H105" t="s">
        <v>5142</v>
      </c>
      <c r="I105" t="s">
        <v>5143</v>
      </c>
      <c r="J105">
        <v>128338</v>
      </c>
      <c r="K105" t="s">
        <v>327</v>
      </c>
      <c r="L105" t="s">
        <v>5165</v>
      </c>
      <c r="M105" t="s">
        <v>39</v>
      </c>
      <c r="N105">
        <v>45390</v>
      </c>
      <c r="O105">
        <v>1308</v>
      </c>
      <c r="P105" t="s">
        <v>20</v>
      </c>
      <c r="Q105">
        <v>4</v>
      </c>
      <c r="R105" t="s">
        <v>76</v>
      </c>
      <c r="S105" t="s">
        <v>41</v>
      </c>
      <c r="T105" t="s">
        <v>20</v>
      </c>
    </row>
    <row r="106" spans="1:20" x14ac:dyDescent="0.3">
      <c r="A106" t="s">
        <v>328</v>
      </c>
      <c r="B106" t="s">
        <v>31</v>
      </c>
      <c r="C106" t="s">
        <v>175</v>
      </c>
      <c r="D106" t="s">
        <v>44</v>
      </c>
      <c r="E106" t="s">
        <v>5129</v>
      </c>
      <c r="F106" t="s">
        <v>5130</v>
      </c>
      <c r="G106" t="s">
        <v>36</v>
      </c>
      <c r="H106" t="s">
        <v>5142</v>
      </c>
      <c r="I106" t="s">
        <v>5143</v>
      </c>
      <c r="J106">
        <v>145645</v>
      </c>
      <c r="K106" t="s">
        <v>329</v>
      </c>
      <c r="L106" t="s">
        <v>113</v>
      </c>
      <c r="M106" t="s">
        <v>46</v>
      </c>
      <c r="N106">
        <v>45570</v>
      </c>
      <c r="O106">
        <v>2696</v>
      </c>
      <c r="P106" t="s">
        <v>20</v>
      </c>
      <c r="Q106">
        <v>4</v>
      </c>
      <c r="R106" t="s">
        <v>52</v>
      </c>
      <c r="S106" t="s">
        <v>21</v>
      </c>
      <c r="T106" t="s">
        <v>20</v>
      </c>
    </row>
    <row r="107" spans="1:20" x14ac:dyDescent="0.3">
      <c r="A107" t="s">
        <v>330</v>
      </c>
      <c r="B107" t="s">
        <v>31</v>
      </c>
      <c r="C107" t="s">
        <v>13</v>
      </c>
      <c r="D107" t="s">
        <v>167</v>
      </c>
      <c r="E107" t="s">
        <v>58</v>
      </c>
      <c r="F107" t="s">
        <v>59</v>
      </c>
      <c r="G107" t="s">
        <v>16</v>
      </c>
      <c r="H107" t="s">
        <v>5142</v>
      </c>
      <c r="I107" t="s">
        <v>5143</v>
      </c>
      <c r="J107">
        <v>160909</v>
      </c>
      <c r="K107" t="s">
        <v>331</v>
      </c>
      <c r="L107" t="s">
        <v>142</v>
      </c>
      <c r="M107" t="s">
        <v>39</v>
      </c>
      <c r="N107">
        <v>45671</v>
      </c>
      <c r="O107">
        <v>2800</v>
      </c>
      <c r="P107" t="s">
        <v>20</v>
      </c>
      <c r="Q107">
        <v>4</v>
      </c>
      <c r="R107" t="s">
        <v>5116</v>
      </c>
      <c r="S107" t="s">
        <v>41</v>
      </c>
      <c r="T107" t="s">
        <v>20</v>
      </c>
    </row>
    <row r="108" spans="1:20" x14ac:dyDescent="0.3">
      <c r="A108" t="s">
        <v>332</v>
      </c>
      <c r="B108" t="s">
        <v>215</v>
      </c>
      <c r="C108" t="s">
        <v>85</v>
      </c>
      <c r="D108" t="s">
        <v>68</v>
      </c>
      <c r="E108" t="s">
        <v>152</v>
      </c>
      <c r="F108" t="s">
        <v>153</v>
      </c>
      <c r="G108" t="s">
        <v>36</v>
      </c>
      <c r="H108" t="s">
        <v>5138</v>
      </c>
      <c r="I108" t="s">
        <v>5139</v>
      </c>
      <c r="J108">
        <v>267902</v>
      </c>
      <c r="K108" t="s">
        <v>333</v>
      </c>
      <c r="L108" t="s">
        <v>18</v>
      </c>
      <c r="M108" t="s">
        <v>39</v>
      </c>
      <c r="N108">
        <v>45394</v>
      </c>
      <c r="O108">
        <v>3750</v>
      </c>
      <c r="P108" t="s">
        <v>92</v>
      </c>
      <c r="Q108">
        <v>6</v>
      </c>
      <c r="R108" t="s">
        <v>52</v>
      </c>
      <c r="S108" t="s">
        <v>53</v>
      </c>
      <c r="T108" t="s">
        <v>29</v>
      </c>
    </row>
    <row r="109" spans="1:20" x14ac:dyDescent="0.3">
      <c r="A109" t="s">
        <v>334</v>
      </c>
      <c r="B109" t="s">
        <v>222</v>
      </c>
      <c r="C109" t="s">
        <v>172</v>
      </c>
      <c r="D109" t="s">
        <v>57</v>
      </c>
      <c r="E109" t="s">
        <v>152</v>
      </c>
      <c r="F109" t="s">
        <v>153</v>
      </c>
      <c r="G109" t="s">
        <v>16</v>
      </c>
      <c r="H109" t="s">
        <v>5138</v>
      </c>
      <c r="I109" t="s">
        <v>5139</v>
      </c>
      <c r="J109">
        <v>206284</v>
      </c>
      <c r="K109" t="s">
        <v>335</v>
      </c>
      <c r="L109" t="s">
        <v>38</v>
      </c>
      <c r="M109" t="s">
        <v>72</v>
      </c>
      <c r="N109">
        <v>45675</v>
      </c>
      <c r="O109">
        <v>2033</v>
      </c>
      <c r="P109" t="s">
        <v>92</v>
      </c>
      <c r="Q109">
        <v>6</v>
      </c>
      <c r="R109" t="s">
        <v>47</v>
      </c>
      <c r="S109" t="s">
        <v>53</v>
      </c>
      <c r="T109" t="s">
        <v>20</v>
      </c>
    </row>
    <row r="110" spans="1:20" x14ac:dyDescent="0.3">
      <c r="A110" t="s">
        <v>336</v>
      </c>
      <c r="B110" t="s">
        <v>99</v>
      </c>
      <c r="C110" t="s">
        <v>32</v>
      </c>
      <c r="D110" t="s">
        <v>33</v>
      </c>
      <c r="E110" t="s">
        <v>5124</v>
      </c>
      <c r="F110" t="s">
        <v>5125</v>
      </c>
      <c r="G110" t="s">
        <v>16</v>
      </c>
      <c r="H110" t="s">
        <v>5136</v>
      </c>
      <c r="I110" t="s">
        <v>5137</v>
      </c>
      <c r="J110">
        <v>73245</v>
      </c>
      <c r="K110" t="s">
        <v>337</v>
      </c>
      <c r="L110" t="s">
        <v>5165</v>
      </c>
      <c r="M110" t="s">
        <v>19</v>
      </c>
      <c r="N110">
        <v>45526</v>
      </c>
      <c r="O110">
        <v>3397</v>
      </c>
      <c r="P110" t="s">
        <v>20</v>
      </c>
      <c r="Q110">
        <v>0</v>
      </c>
      <c r="R110" t="s">
        <v>40</v>
      </c>
      <c r="S110" t="s">
        <v>21</v>
      </c>
      <c r="T110" t="s">
        <v>20</v>
      </c>
    </row>
    <row r="111" spans="1:20" x14ac:dyDescent="0.3">
      <c r="A111" t="s">
        <v>338</v>
      </c>
      <c r="B111" t="s">
        <v>215</v>
      </c>
      <c r="C111" t="s">
        <v>24</v>
      </c>
      <c r="D111" t="s">
        <v>25</v>
      </c>
      <c r="E111" t="s">
        <v>152</v>
      </c>
      <c r="F111" t="s">
        <v>153</v>
      </c>
      <c r="G111" t="s">
        <v>16</v>
      </c>
      <c r="H111" t="s">
        <v>5140</v>
      </c>
      <c r="I111" t="s">
        <v>5141</v>
      </c>
      <c r="J111">
        <v>108525</v>
      </c>
      <c r="K111" t="s">
        <v>339</v>
      </c>
      <c r="L111" t="s">
        <v>113</v>
      </c>
      <c r="M111" t="s">
        <v>46</v>
      </c>
      <c r="N111">
        <v>45419</v>
      </c>
      <c r="O111">
        <v>1081</v>
      </c>
      <c r="P111" t="s">
        <v>20</v>
      </c>
      <c r="Q111">
        <v>2</v>
      </c>
      <c r="R111" t="s">
        <v>47</v>
      </c>
      <c r="S111" t="s">
        <v>21</v>
      </c>
      <c r="T111" t="s">
        <v>29</v>
      </c>
    </row>
    <row r="112" spans="1:20" x14ac:dyDescent="0.3">
      <c r="A112" t="s">
        <v>340</v>
      </c>
      <c r="B112" t="s">
        <v>74</v>
      </c>
      <c r="C112" t="s">
        <v>202</v>
      </c>
      <c r="D112" t="s">
        <v>57</v>
      </c>
      <c r="E112" t="s">
        <v>5126</v>
      </c>
      <c r="F112" t="s">
        <v>5125</v>
      </c>
      <c r="G112" t="s">
        <v>36</v>
      </c>
      <c r="H112" t="s">
        <v>5140</v>
      </c>
      <c r="I112" t="s">
        <v>5141</v>
      </c>
      <c r="J112">
        <v>72008</v>
      </c>
      <c r="K112" t="s">
        <v>341</v>
      </c>
      <c r="L112" t="s">
        <v>238</v>
      </c>
      <c r="M112" t="s">
        <v>19</v>
      </c>
      <c r="N112">
        <v>45746</v>
      </c>
      <c r="O112">
        <v>1713</v>
      </c>
      <c r="P112" t="s">
        <v>20</v>
      </c>
      <c r="Q112">
        <v>2</v>
      </c>
      <c r="R112" t="s">
        <v>52</v>
      </c>
      <c r="S112" t="s">
        <v>53</v>
      </c>
      <c r="T112" t="s">
        <v>20</v>
      </c>
    </row>
    <row r="113" spans="1:20" x14ac:dyDescent="0.3">
      <c r="A113" t="s">
        <v>342</v>
      </c>
      <c r="B113" t="s">
        <v>99</v>
      </c>
      <c r="C113" t="s">
        <v>79</v>
      </c>
      <c r="D113" t="s">
        <v>68</v>
      </c>
      <c r="E113" t="s">
        <v>209</v>
      </c>
      <c r="F113" t="s">
        <v>210</v>
      </c>
      <c r="G113" t="s">
        <v>50</v>
      </c>
      <c r="H113" t="s">
        <v>5140</v>
      </c>
      <c r="I113" t="s">
        <v>5141</v>
      </c>
      <c r="J113">
        <v>109475</v>
      </c>
      <c r="K113" t="s">
        <v>343</v>
      </c>
      <c r="L113" t="s">
        <v>87</v>
      </c>
      <c r="M113" t="s">
        <v>19</v>
      </c>
      <c r="N113">
        <v>45333</v>
      </c>
      <c r="O113">
        <v>623</v>
      </c>
      <c r="P113" t="s">
        <v>29</v>
      </c>
      <c r="Q113">
        <v>2</v>
      </c>
      <c r="R113" t="s">
        <v>76</v>
      </c>
      <c r="S113" t="s">
        <v>21</v>
      </c>
      <c r="T113" t="s">
        <v>20</v>
      </c>
    </row>
    <row r="114" spans="1:20" x14ac:dyDescent="0.3">
      <c r="A114" t="s">
        <v>344</v>
      </c>
      <c r="B114" t="s">
        <v>136</v>
      </c>
      <c r="C114" t="s">
        <v>125</v>
      </c>
      <c r="D114" t="s">
        <v>68</v>
      </c>
      <c r="E114" t="s">
        <v>5128</v>
      </c>
      <c r="F114" t="s">
        <v>5125</v>
      </c>
      <c r="G114" t="s">
        <v>50</v>
      </c>
      <c r="H114" t="s">
        <v>5138</v>
      </c>
      <c r="I114" t="s">
        <v>5139</v>
      </c>
      <c r="J114">
        <v>202168</v>
      </c>
      <c r="K114" t="s">
        <v>345</v>
      </c>
      <c r="L114" t="s">
        <v>18</v>
      </c>
      <c r="M114" t="s">
        <v>46</v>
      </c>
      <c r="N114">
        <v>45520</v>
      </c>
      <c r="O114">
        <v>2972</v>
      </c>
      <c r="P114" t="s">
        <v>29</v>
      </c>
      <c r="Q114">
        <v>6</v>
      </c>
      <c r="R114" t="s">
        <v>40</v>
      </c>
      <c r="S114" t="s">
        <v>53</v>
      </c>
      <c r="T114" t="s">
        <v>20</v>
      </c>
    </row>
    <row r="115" spans="1:20" x14ac:dyDescent="0.3">
      <c r="A115" t="s">
        <v>346</v>
      </c>
      <c r="B115" t="s">
        <v>136</v>
      </c>
      <c r="C115" t="s">
        <v>125</v>
      </c>
      <c r="D115" t="s">
        <v>25</v>
      </c>
      <c r="E115" t="s">
        <v>5127</v>
      </c>
      <c r="F115" t="s">
        <v>5125</v>
      </c>
      <c r="G115" t="s">
        <v>16</v>
      </c>
      <c r="H115" t="s">
        <v>5136</v>
      </c>
      <c r="I115" t="s">
        <v>5137</v>
      </c>
      <c r="J115">
        <v>101036</v>
      </c>
      <c r="K115" t="s">
        <v>347</v>
      </c>
      <c r="L115" t="s">
        <v>82</v>
      </c>
      <c r="M115" t="s">
        <v>46</v>
      </c>
      <c r="N115">
        <v>45650</v>
      </c>
      <c r="O115">
        <v>3146</v>
      </c>
      <c r="P115" t="s">
        <v>20</v>
      </c>
      <c r="Q115">
        <v>0</v>
      </c>
      <c r="R115" t="s">
        <v>52</v>
      </c>
      <c r="S115" t="s">
        <v>21</v>
      </c>
      <c r="T115" t="s">
        <v>20</v>
      </c>
    </row>
    <row r="116" spans="1:20" x14ac:dyDescent="0.3">
      <c r="A116" t="s">
        <v>348</v>
      </c>
      <c r="B116" t="s">
        <v>165</v>
      </c>
      <c r="C116" t="s">
        <v>109</v>
      </c>
      <c r="D116" t="s">
        <v>5156</v>
      </c>
      <c r="E116" t="s">
        <v>5126</v>
      </c>
      <c r="F116" t="s">
        <v>5125</v>
      </c>
      <c r="G116" t="s">
        <v>16</v>
      </c>
      <c r="H116" t="s">
        <v>5138</v>
      </c>
      <c r="I116" t="s">
        <v>5139</v>
      </c>
      <c r="J116">
        <v>193075</v>
      </c>
      <c r="K116" t="s">
        <v>349</v>
      </c>
      <c r="L116" t="s">
        <v>238</v>
      </c>
      <c r="M116" t="s">
        <v>39</v>
      </c>
      <c r="N116">
        <v>45630</v>
      </c>
      <c r="O116">
        <v>1906</v>
      </c>
      <c r="P116" t="s">
        <v>20</v>
      </c>
      <c r="Q116">
        <v>6</v>
      </c>
      <c r="R116" t="s">
        <v>76</v>
      </c>
      <c r="S116" t="s">
        <v>21</v>
      </c>
      <c r="T116" t="s">
        <v>29</v>
      </c>
    </row>
    <row r="117" spans="1:20" x14ac:dyDescent="0.3">
      <c r="A117" t="s">
        <v>350</v>
      </c>
      <c r="B117" t="s">
        <v>84</v>
      </c>
      <c r="C117" t="s">
        <v>188</v>
      </c>
      <c r="D117" t="s">
        <v>5156</v>
      </c>
      <c r="E117" t="s">
        <v>34</v>
      </c>
      <c r="F117" t="s">
        <v>35</v>
      </c>
      <c r="G117" t="s">
        <v>16</v>
      </c>
      <c r="H117" t="s">
        <v>5140</v>
      </c>
      <c r="I117" t="s">
        <v>5141</v>
      </c>
      <c r="J117">
        <v>115970</v>
      </c>
      <c r="K117" t="s">
        <v>351</v>
      </c>
      <c r="L117" t="s">
        <v>134</v>
      </c>
      <c r="M117" t="s">
        <v>19</v>
      </c>
      <c r="N117">
        <v>45433</v>
      </c>
      <c r="O117">
        <v>423</v>
      </c>
      <c r="P117" t="s">
        <v>20</v>
      </c>
      <c r="Q117">
        <v>2</v>
      </c>
      <c r="R117" t="s">
        <v>52</v>
      </c>
      <c r="S117" t="s">
        <v>21</v>
      </c>
      <c r="T117" t="s">
        <v>20</v>
      </c>
    </row>
    <row r="118" spans="1:20" x14ac:dyDescent="0.3">
      <c r="A118" t="s">
        <v>352</v>
      </c>
      <c r="B118" t="s">
        <v>222</v>
      </c>
      <c r="C118" t="s">
        <v>24</v>
      </c>
      <c r="D118" t="s">
        <v>104</v>
      </c>
      <c r="E118" t="s">
        <v>5127</v>
      </c>
      <c r="F118" t="s">
        <v>5125</v>
      </c>
      <c r="G118" t="s">
        <v>16</v>
      </c>
      <c r="H118" t="s">
        <v>5140</v>
      </c>
      <c r="I118" t="s">
        <v>5141</v>
      </c>
      <c r="J118">
        <v>109312</v>
      </c>
      <c r="K118" t="s">
        <v>353</v>
      </c>
      <c r="L118" t="s">
        <v>18</v>
      </c>
      <c r="M118" t="s">
        <v>46</v>
      </c>
      <c r="N118">
        <v>45411</v>
      </c>
      <c r="O118">
        <v>980</v>
      </c>
      <c r="P118" t="s">
        <v>20</v>
      </c>
      <c r="Q118">
        <v>2</v>
      </c>
      <c r="R118" t="s">
        <v>47</v>
      </c>
      <c r="S118" t="s">
        <v>41</v>
      </c>
      <c r="T118" t="s">
        <v>20</v>
      </c>
    </row>
    <row r="119" spans="1:20" x14ac:dyDescent="0.3">
      <c r="A119" t="s">
        <v>354</v>
      </c>
      <c r="B119" t="s">
        <v>322</v>
      </c>
      <c r="C119" t="s">
        <v>90</v>
      </c>
      <c r="D119" t="s">
        <v>140</v>
      </c>
      <c r="E119" t="s">
        <v>14</v>
      </c>
      <c r="F119" t="s">
        <v>15</v>
      </c>
      <c r="G119" t="s">
        <v>16</v>
      </c>
      <c r="H119" t="s">
        <v>5142</v>
      </c>
      <c r="I119" t="s">
        <v>5143</v>
      </c>
      <c r="J119">
        <v>118445</v>
      </c>
      <c r="K119" t="s">
        <v>355</v>
      </c>
      <c r="L119" t="s">
        <v>38</v>
      </c>
      <c r="M119" t="s">
        <v>39</v>
      </c>
      <c r="N119">
        <v>45594</v>
      </c>
      <c r="O119">
        <v>2862</v>
      </c>
      <c r="P119" t="s">
        <v>20</v>
      </c>
      <c r="Q119">
        <v>4</v>
      </c>
      <c r="R119" t="s">
        <v>47</v>
      </c>
      <c r="S119" t="s">
        <v>21</v>
      </c>
      <c r="T119" t="s">
        <v>29</v>
      </c>
    </row>
    <row r="120" spans="1:20" x14ac:dyDescent="0.3">
      <c r="A120" t="s">
        <v>356</v>
      </c>
      <c r="B120" t="s">
        <v>23</v>
      </c>
      <c r="C120" t="s">
        <v>67</v>
      </c>
      <c r="D120" t="s">
        <v>68</v>
      </c>
      <c r="E120" t="s">
        <v>26</v>
      </c>
      <c r="F120" t="s">
        <v>27</v>
      </c>
      <c r="G120" t="s">
        <v>50</v>
      </c>
      <c r="H120" t="s">
        <v>5138</v>
      </c>
      <c r="I120" t="s">
        <v>5139</v>
      </c>
      <c r="J120">
        <v>241141</v>
      </c>
      <c r="K120" t="s">
        <v>357</v>
      </c>
      <c r="L120" t="s">
        <v>134</v>
      </c>
      <c r="M120" t="s">
        <v>19</v>
      </c>
      <c r="N120">
        <v>45445</v>
      </c>
      <c r="O120">
        <v>1054</v>
      </c>
      <c r="P120" t="s">
        <v>29</v>
      </c>
      <c r="Q120">
        <v>6</v>
      </c>
      <c r="R120" t="s">
        <v>5116</v>
      </c>
      <c r="S120" t="s">
        <v>41</v>
      </c>
      <c r="T120" t="s">
        <v>20</v>
      </c>
    </row>
    <row r="121" spans="1:20" x14ac:dyDescent="0.3">
      <c r="A121" t="s">
        <v>358</v>
      </c>
      <c r="B121" t="s">
        <v>63</v>
      </c>
      <c r="C121" t="s">
        <v>197</v>
      </c>
      <c r="D121" t="s">
        <v>167</v>
      </c>
      <c r="E121" t="s">
        <v>5127</v>
      </c>
      <c r="F121" t="s">
        <v>5125</v>
      </c>
      <c r="G121" t="s">
        <v>16</v>
      </c>
      <c r="H121" t="s">
        <v>5140</v>
      </c>
      <c r="I121" t="s">
        <v>5141</v>
      </c>
      <c r="J121">
        <v>124888</v>
      </c>
      <c r="K121" t="s">
        <v>359</v>
      </c>
      <c r="L121" t="s">
        <v>82</v>
      </c>
      <c r="M121" t="s">
        <v>46</v>
      </c>
      <c r="N121">
        <v>45636</v>
      </c>
      <c r="O121">
        <v>877</v>
      </c>
      <c r="P121" t="s">
        <v>92</v>
      </c>
      <c r="Q121">
        <v>2</v>
      </c>
      <c r="R121" t="s">
        <v>5116</v>
      </c>
      <c r="S121" t="s">
        <v>53</v>
      </c>
      <c r="T121" t="s">
        <v>20</v>
      </c>
    </row>
    <row r="122" spans="1:20" x14ac:dyDescent="0.3">
      <c r="A122" t="s">
        <v>360</v>
      </c>
      <c r="B122" t="s">
        <v>84</v>
      </c>
      <c r="C122" t="s">
        <v>166</v>
      </c>
      <c r="D122" t="s">
        <v>167</v>
      </c>
      <c r="E122" t="s">
        <v>5126</v>
      </c>
      <c r="F122" t="s">
        <v>5125</v>
      </c>
      <c r="G122" t="s">
        <v>50</v>
      </c>
      <c r="H122" t="s">
        <v>5140</v>
      </c>
      <c r="I122" t="s">
        <v>5141</v>
      </c>
      <c r="J122">
        <v>125662</v>
      </c>
      <c r="K122" t="s">
        <v>361</v>
      </c>
      <c r="L122" t="s">
        <v>113</v>
      </c>
      <c r="M122" t="s">
        <v>46</v>
      </c>
      <c r="N122">
        <v>45574</v>
      </c>
      <c r="O122">
        <v>1918</v>
      </c>
      <c r="P122" t="s">
        <v>29</v>
      </c>
      <c r="Q122">
        <v>2</v>
      </c>
      <c r="R122" t="s">
        <v>52</v>
      </c>
      <c r="S122" t="s">
        <v>53</v>
      </c>
      <c r="T122" t="s">
        <v>29</v>
      </c>
    </row>
    <row r="123" spans="1:20" x14ac:dyDescent="0.3">
      <c r="A123" t="s">
        <v>362</v>
      </c>
      <c r="B123" t="s">
        <v>99</v>
      </c>
      <c r="C123" t="s">
        <v>32</v>
      </c>
      <c r="D123" t="s">
        <v>140</v>
      </c>
      <c r="E123" t="s">
        <v>5124</v>
      </c>
      <c r="F123" t="s">
        <v>5125</v>
      </c>
      <c r="G123" t="s">
        <v>16</v>
      </c>
      <c r="H123" t="s">
        <v>5142</v>
      </c>
      <c r="I123" t="s">
        <v>5143</v>
      </c>
      <c r="J123">
        <v>125446</v>
      </c>
      <c r="K123" t="s">
        <v>363</v>
      </c>
      <c r="L123" t="s">
        <v>18</v>
      </c>
      <c r="M123" t="s">
        <v>19</v>
      </c>
      <c r="N123">
        <v>45580</v>
      </c>
      <c r="O123">
        <v>1361</v>
      </c>
      <c r="P123" t="s">
        <v>29</v>
      </c>
      <c r="Q123">
        <v>4</v>
      </c>
      <c r="R123" t="s">
        <v>76</v>
      </c>
      <c r="S123" t="s">
        <v>53</v>
      </c>
      <c r="T123" t="s">
        <v>20</v>
      </c>
    </row>
    <row r="124" spans="1:20" x14ac:dyDescent="0.3">
      <c r="A124" t="s">
        <v>364</v>
      </c>
      <c r="B124" t="s">
        <v>229</v>
      </c>
      <c r="C124" t="s">
        <v>185</v>
      </c>
      <c r="D124" t="s">
        <v>118</v>
      </c>
      <c r="E124" t="s">
        <v>152</v>
      </c>
      <c r="F124" t="s">
        <v>153</v>
      </c>
      <c r="G124" t="s">
        <v>50</v>
      </c>
      <c r="H124" t="s">
        <v>5142</v>
      </c>
      <c r="I124" t="s">
        <v>5143</v>
      </c>
      <c r="J124">
        <v>187875</v>
      </c>
      <c r="K124" t="s">
        <v>365</v>
      </c>
      <c r="L124" t="s">
        <v>87</v>
      </c>
      <c r="M124" t="s">
        <v>72</v>
      </c>
      <c r="N124">
        <v>45620</v>
      </c>
      <c r="O124">
        <v>2156</v>
      </c>
      <c r="P124" t="s">
        <v>29</v>
      </c>
      <c r="Q124">
        <v>4</v>
      </c>
      <c r="R124" t="s">
        <v>5116</v>
      </c>
      <c r="S124" t="s">
        <v>41</v>
      </c>
      <c r="T124" t="s">
        <v>20</v>
      </c>
    </row>
    <row r="125" spans="1:20" x14ac:dyDescent="0.3">
      <c r="A125" t="s">
        <v>366</v>
      </c>
      <c r="B125" t="s">
        <v>144</v>
      </c>
      <c r="C125" t="s">
        <v>219</v>
      </c>
      <c r="D125" t="s">
        <v>5156</v>
      </c>
      <c r="E125" t="s">
        <v>58</v>
      </c>
      <c r="F125" t="s">
        <v>59</v>
      </c>
      <c r="G125" t="s">
        <v>50</v>
      </c>
      <c r="H125" t="s">
        <v>5138</v>
      </c>
      <c r="I125" t="s">
        <v>5139</v>
      </c>
      <c r="J125">
        <v>149533</v>
      </c>
      <c r="K125" t="s">
        <v>367</v>
      </c>
      <c r="L125" t="s">
        <v>82</v>
      </c>
      <c r="M125" t="s">
        <v>46</v>
      </c>
      <c r="N125">
        <v>45410</v>
      </c>
      <c r="O125">
        <v>2710</v>
      </c>
      <c r="P125" t="s">
        <v>20</v>
      </c>
      <c r="Q125">
        <v>6</v>
      </c>
      <c r="R125" t="s">
        <v>5116</v>
      </c>
      <c r="S125" t="s">
        <v>21</v>
      </c>
      <c r="T125" t="s">
        <v>29</v>
      </c>
    </row>
    <row r="126" spans="1:20" x14ac:dyDescent="0.3">
      <c r="A126" t="s">
        <v>368</v>
      </c>
      <c r="B126" t="s">
        <v>144</v>
      </c>
      <c r="C126" t="s">
        <v>197</v>
      </c>
      <c r="D126" t="s">
        <v>104</v>
      </c>
      <c r="E126" t="s">
        <v>126</v>
      </c>
      <c r="F126" t="s">
        <v>127</v>
      </c>
      <c r="G126" t="s">
        <v>50</v>
      </c>
      <c r="H126" t="s">
        <v>5142</v>
      </c>
      <c r="I126" t="s">
        <v>5143</v>
      </c>
      <c r="J126">
        <v>165845</v>
      </c>
      <c r="K126" t="s">
        <v>369</v>
      </c>
      <c r="L126" t="s">
        <v>238</v>
      </c>
      <c r="M126" t="s">
        <v>46</v>
      </c>
      <c r="N126">
        <v>45300</v>
      </c>
      <c r="O126">
        <v>1104</v>
      </c>
      <c r="P126" t="s">
        <v>20</v>
      </c>
      <c r="Q126">
        <v>4</v>
      </c>
      <c r="R126" t="s">
        <v>5116</v>
      </c>
      <c r="S126" t="s">
        <v>21</v>
      </c>
      <c r="T126" t="s">
        <v>29</v>
      </c>
    </row>
    <row r="127" spans="1:20" x14ac:dyDescent="0.3">
      <c r="A127" t="s">
        <v>370</v>
      </c>
      <c r="B127" t="s">
        <v>136</v>
      </c>
      <c r="C127" t="s">
        <v>49</v>
      </c>
      <c r="D127" t="s">
        <v>140</v>
      </c>
      <c r="E127" t="s">
        <v>26</v>
      </c>
      <c r="F127" t="s">
        <v>27</v>
      </c>
      <c r="G127" t="s">
        <v>16</v>
      </c>
      <c r="H127" t="s">
        <v>5140</v>
      </c>
      <c r="I127" t="s">
        <v>5141</v>
      </c>
      <c r="J127">
        <v>153371</v>
      </c>
      <c r="K127" t="s">
        <v>371</v>
      </c>
      <c r="L127" t="s">
        <v>134</v>
      </c>
      <c r="M127" t="s">
        <v>46</v>
      </c>
      <c r="N127">
        <v>45715</v>
      </c>
      <c r="O127">
        <v>2618</v>
      </c>
      <c r="P127" t="s">
        <v>29</v>
      </c>
      <c r="Q127">
        <v>2</v>
      </c>
      <c r="R127" t="s">
        <v>47</v>
      </c>
      <c r="S127" t="s">
        <v>21</v>
      </c>
      <c r="T127" t="s">
        <v>20</v>
      </c>
    </row>
    <row r="128" spans="1:20" x14ac:dyDescent="0.3">
      <c r="A128" t="s">
        <v>372</v>
      </c>
      <c r="B128" t="s">
        <v>229</v>
      </c>
      <c r="C128" t="s">
        <v>232</v>
      </c>
      <c r="D128" t="s">
        <v>44</v>
      </c>
      <c r="E128" t="s">
        <v>69</v>
      </c>
      <c r="F128" t="s">
        <v>70</v>
      </c>
      <c r="G128" t="s">
        <v>50</v>
      </c>
      <c r="H128" t="s">
        <v>5136</v>
      </c>
      <c r="I128" t="s">
        <v>5137</v>
      </c>
      <c r="J128">
        <v>57519</v>
      </c>
      <c r="K128" t="s">
        <v>373</v>
      </c>
      <c r="L128" t="s">
        <v>179</v>
      </c>
      <c r="M128" t="s">
        <v>46</v>
      </c>
      <c r="N128">
        <v>45409</v>
      </c>
      <c r="O128">
        <v>3693</v>
      </c>
      <c r="P128" t="s">
        <v>20</v>
      </c>
      <c r="Q128">
        <v>0</v>
      </c>
      <c r="R128" t="s">
        <v>5116</v>
      </c>
      <c r="S128" t="s">
        <v>21</v>
      </c>
      <c r="T128" t="s">
        <v>20</v>
      </c>
    </row>
    <row r="129" spans="1:20" x14ac:dyDescent="0.3">
      <c r="A129" t="s">
        <v>374</v>
      </c>
      <c r="B129" t="s">
        <v>144</v>
      </c>
      <c r="C129" t="s">
        <v>49</v>
      </c>
      <c r="D129" t="s">
        <v>68</v>
      </c>
      <c r="E129" t="s">
        <v>193</v>
      </c>
      <c r="F129" t="s">
        <v>194</v>
      </c>
      <c r="G129" t="s">
        <v>16</v>
      </c>
      <c r="H129" t="s">
        <v>5140</v>
      </c>
      <c r="I129" t="s">
        <v>5141</v>
      </c>
      <c r="J129">
        <v>98787</v>
      </c>
      <c r="K129" t="s">
        <v>375</v>
      </c>
      <c r="L129" t="s">
        <v>5165</v>
      </c>
      <c r="M129" t="s">
        <v>46</v>
      </c>
      <c r="N129">
        <v>45712</v>
      </c>
      <c r="O129">
        <v>3247</v>
      </c>
      <c r="P129" t="s">
        <v>92</v>
      </c>
      <c r="Q129">
        <v>2</v>
      </c>
      <c r="R129" t="s">
        <v>5116</v>
      </c>
      <c r="S129" t="s">
        <v>21</v>
      </c>
      <c r="T129" t="s">
        <v>20</v>
      </c>
    </row>
    <row r="130" spans="1:20" x14ac:dyDescent="0.3">
      <c r="A130" t="s">
        <v>376</v>
      </c>
      <c r="B130" t="s">
        <v>222</v>
      </c>
      <c r="C130" t="s">
        <v>185</v>
      </c>
      <c r="D130" t="s">
        <v>33</v>
      </c>
      <c r="E130" t="s">
        <v>5131</v>
      </c>
      <c r="F130" t="s">
        <v>5125</v>
      </c>
      <c r="G130" t="s">
        <v>16</v>
      </c>
      <c r="H130" t="s">
        <v>5136</v>
      </c>
      <c r="I130" t="s">
        <v>5137</v>
      </c>
      <c r="J130">
        <v>71255</v>
      </c>
      <c r="K130" t="s">
        <v>377</v>
      </c>
      <c r="L130" t="s">
        <v>82</v>
      </c>
      <c r="M130" t="s">
        <v>46</v>
      </c>
      <c r="N130">
        <v>45330</v>
      </c>
      <c r="O130">
        <v>1778</v>
      </c>
      <c r="P130" t="s">
        <v>29</v>
      </c>
      <c r="Q130">
        <v>0</v>
      </c>
      <c r="R130" t="s">
        <v>76</v>
      </c>
      <c r="S130" t="s">
        <v>21</v>
      </c>
      <c r="T130" t="s">
        <v>29</v>
      </c>
    </row>
    <row r="131" spans="1:20" x14ac:dyDescent="0.3">
      <c r="A131" t="s">
        <v>378</v>
      </c>
      <c r="B131" t="s">
        <v>78</v>
      </c>
      <c r="C131" t="s">
        <v>24</v>
      </c>
      <c r="D131" t="s">
        <v>167</v>
      </c>
      <c r="E131" t="s">
        <v>26</v>
      </c>
      <c r="F131" t="s">
        <v>27</v>
      </c>
      <c r="G131" t="s">
        <v>36</v>
      </c>
      <c r="H131" t="s">
        <v>5142</v>
      </c>
      <c r="I131" t="s">
        <v>5143</v>
      </c>
      <c r="J131">
        <v>136406</v>
      </c>
      <c r="K131" t="s">
        <v>379</v>
      </c>
      <c r="L131" t="s">
        <v>134</v>
      </c>
      <c r="M131" t="s">
        <v>19</v>
      </c>
      <c r="N131">
        <v>45334</v>
      </c>
      <c r="O131">
        <v>3872</v>
      </c>
      <c r="P131" t="s">
        <v>20</v>
      </c>
      <c r="Q131">
        <v>4</v>
      </c>
      <c r="R131" t="s">
        <v>40</v>
      </c>
      <c r="S131" t="s">
        <v>53</v>
      </c>
      <c r="T131" t="s">
        <v>29</v>
      </c>
    </row>
    <row r="132" spans="1:20" x14ac:dyDescent="0.3">
      <c r="A132" t="s">
        <v>380</v>
      </c>
      <c r="B132" t="s">
        <v>63</v>
      </c>
      <c r="C132" t="s">
        <v>121</v>
      </c>
      <c r="D132" t="s">
        <v>140</v>
      </c>
      <c r="E132" t="s">
        <v>5131</v>
      </c>
      <c r="F132" t="s">
        <v>5125</v>
      </c>
      <c r="G132" t="s">
        <v>16</v>
      </c>
      <c r="H132" t="s">
        <v>5140</v>
      </c>
      <c r="I132" t="s">
        <v>5141</v>
      </c>
      <c r="J132">
        <v>79296</v>
      </c>
      <c r="K132" t="s">
        <v>381</v>
      </c>
      <c r="L132" t="s">
        <v>38</v>
      </c>
      <c r="M132" t="s">
        <v>19</v>
      </c>
      <c r="N132">
        <v>45576</v>
      </c>
      <c r="O132">
        <v>1598</v>
      </c>
      <c r="P132" t="s">
        <v>20</v>
      </c>
      <c r="Q132">
        <v>2</v>
      </c>
      <c r="R132" t="s">
        <v>76</v>
      </c>
      <c r="S132" t="s">
        <v>53</v>
      </c>
      <c r="T132" t="s">
        <v>20</v>
      </c>
    </row>
    <row r="133" spans="1:20" x14ac:dyDescent="0.3">
      <c r="A133" t="s">
        <v>382</v>
      </c>
      <c r="B133" t="s">
        <v>136</v>
      </c>
      <c r="C133" t="s">
        <v>172</v>
      </c>
      <c r="D133" t="s">
        <v>57</v>
      </c>
      <c r="E133" t="s">
        <v>5126</v>
      </c>
      <c r="F133" t="s">
        <v>5125</v>
      </c>
      <c r="G133" t="s">
        <v>16</v>
      </c>
      <c r="H133" t="s">
        <v>5140</v>
      </c>
      <c r="I133" t="s">
        <v>5141</v>
      </c>
      <c r="J133">
        <v>111357</v>
      </c>
      <c r="K133" t="s">
        <v>383</v>
      </c>
      <c r="L133" t="s">
        <v>134</v>
      </c>
      <c r="M133" t="s">
        <v>39</v>
      </c>
      <c r="N133">
        <v>45429</v>
      </c>
      <c r="O133">
        <v>1040</v>
      </c>
      <c r="P133" t="s">
        <v>92</v>
      </c>
      <c r="Q133">
        <v>2</v>
      </c>
      <c r="R133" t="s">
        <v>52</v>
      </c>
      <c r="S133" t="s">
        <v>21</v>
      </c>
      <c r="T133" t="s">
        <v>29</v>
      </c>
    </row>
    <row r="134" spans="1:20" x14ac:dyDescent="0.3">
      <c r="A134" t="s">
        <v>384</v>
      </c>
      <c r="B134" t="s">
        <v>12</v>
      </c>
      <c r="C134" t="s">
        <v>13</v>
      </c>
      <c r="D134" t="s">
        <v>104</v>
      </c>
      <c r="E134" t="s">
        <v>223</v>
      </c>
      <c r="F134" t="s">
        <v>224</v>
      </c>
      <c r="G134" t="s">
        <v>16</v>
      </c>
      <c r="H134" t="s">
        <v>5140</v>
      </c>
      <c r="I134" t="s">
        <v>5141</v>
      </c>
      <c r="J134">
        <v>88966</v>
      </c>
      <c r="K134" t="s">
        <v>385</v>
      </c>
      <c r="L134" t="s">
        <v>38</v>
      </c>
      <c r="M134" t="s">
        <v>19</v>
      </c>
      <c r="N134">
        <v>45494</v>
      </c>
      <c r="O134">
        <v>2480</v>
      </c>
      <c r="P134" t="s">
        <v>92</v>
      </c>
      <c r="Q134">
        <v>2</v>
      </c>
      <c r="R134" t="s">
        <v>47</v>
      </c>
      <c r="S134" t="s">
        <v>21</v>
      </c>
      <c r="T134" t="s">
        <v>29</v>
      </c>
    </row>
    <row r="135" spans="1:20" x14ac:dyDescent="0.3">
      <c r="A135" t="s">
        <v>386</v>
      </c>
      <c r="B135" t="s">
        <v>130</v>
      </c>
      <c r="C135" t="s">
        <v>49</v>
      </c>
      <c r="D135" t="s">
        <v>167</v>
      </c>
      <c r="E135" t="s">
        <v>223</v>
      </c>
      <c r="F135" t="s">
        <v>224</v>
      </c>
      <c r="G135" t="s">
        <v>36</v>
      </c>
      <c r="H135" t="s">
        <v>5142</v>
      </c>
      <c r="I135" t="s">
        <v>5143</v>
      </c>
      <c r="J135">
        <v>162786</v>
      </c>
      <c r="K135" t="s">
        <v>387</v>
      </c>
      <c r="L135" t="s">
        <v>5165</v>
      </c>
      <c r="M135" t="s">
        <v>19</v>
      </c>
      <c r="N135">
        <v>45616</v>
      </c>
      <c r="O135">
        <v>2435</v>
      </c>
      <c r="P135" t="s">
        <v>92</v>
      </c>
      <c r="Q135">
        <v>4</v>
      </c>
      <c r="R135" t="s">
        <v>47</v>
      </c>
      <c r="S135" t="s">
        <v>21</v>
      </c>
      <c r="T135" t="s">
        <v>20</v>
      </c>
    </row>
    <row r="136" spans="1:20" x14ac:dyDescent="0.3">
      <c r="A136" t="s">
        <v>388</v>
      </c>
      <c r="B136" t="s">
        <v>165</v>
      </c>
      <c r="C136" t="s">
        <v>43</v>
      </c>
      <c r="D136" t="s">
        <v>57</v>
      </c>
      <c r="E136" t="s">
        <v>34</v>
      </c>
      <c r="F136" t="s">
        <v>35</v>
      </c>
      <c r="G136" t="s">
        <v>36</v>
      </c>
      <c r="H136" t="s">
        <v>5140</v>
      </c>
      <c r="I136" t="s">
        <v>5141</v>
      </c>
      <c r="J136">
        <v>91795</v>
      </c>
      <c r="K136" t="s">
        <v>389</v>
      </c>
      <c r="L136" t="s">
        <v>5165</v>
      </c>
      <c r="M136" t="s">
        <v>19</v>
      </c>
      <c r="N136">
        <v>45717</v>
      </c>
      <c r="O136">
        <v>1001</v>
      </c>
      <c r="P136" t="s">
        <v>20</v>
      </c>
      <c r="Q136">
        <v>2</v>
      </c>
      <c r="R136" t="s">
        <v>47</v>
      </c>
      <c r="S136" t="s">
        <v>53</v>
      </c>
      <c r="T136" t="s">
        <v>20</v>
      </c>
    </row>
    <row r="137" spans="1:20" x14ac:dyDescent="0.3">
      <c r="A137" t="s">
        <v>390</v>
      </c>
      <c r="B137" t="s">
        <v>63</v>
      </c>
      <c r="C137" t="s">
        <v>151</v>
      </c>
      <c r="D137" t="s">
        <v>68</v>
      </c>
      <c r="E137" t="s">
        <v>209</v>
      </c>
      <c r="F137" t="s">
        <v>210</v>
      </c>
      <c r="G137" t="s">
        <v>36</v>
      </c>
      <c r="H137" t="s">
        <v>5138</v>
      </c>
      <c r="I137" t="s">
        <v>5139</v>
      </c>
      <c r="J137">
        <v>255797</v>
      </c>
      <c r="K137" t="s">
        <v>391</v>
      </c>
      <c r="L137" t="s">
        <v>5165</v>
      </c>
      <c r="M137" t="s">
        <v>46</v>
      </c>
      <c r="N137">
        <v>45497</v>
      </c>
      <c r="O137">
        <v>457</v>
      </c>
      <c r="P137" t="s">
        <v>20</v>
      </c>
      <c r="Q137">
        <v>6</v>
      </c>
      <c r="R137" t="s">
        <v>40</v>
      </c>
      <c r="S137" t="s">
        <v>21</v>
      </c>
      <c r="T137" t="s">
        <v>20</v>
      </c>
    </row>
    <row r="138" spans="1:20" x14ac:dyDescent="0.3">
      <c r="A138" t="s">
        <v>392</v>
      </c>
      <c r="B138" t="s">
        <v>136</v>
      </c>
      <c r="C138" t="s">
        <v>67</v>
      </c>
      <c r="D138" t="s">
        <v>104</v>
      </c>
      <c r="E138" t="s">
        <v>5124</v>
      </c>
      <c r="F138" t="s">
        <v>5125</v>
      </c>
      <c r="G138" t="s">
        <v>50</v>
      </c>
      <c r="H138" t="s">
        <v>5138</v>
      </c>
      <c r="I138" t="s">
        <v>5139</v>
      </c>
      <c r="J138">
        <v>171802</v>
      </c>
      <c r="K138" t="s">
        <v>393</v>
      </c>
      <c r="L138" t="s">
        <v>87</v>
      </c>
      <c r="M138" t="s">
        <v>46</v>
      </c>
      <c r="N138">
        <v>45512</v>
      </c>
      <c r="O138">
        <v>1835</v>
      </c>
      <c r="P138" t="s">
        <v>20</v>
      </c>
      <c r="Q138">
        <v>6</v>
      </c>
      <c r="R138" t="s">
        <v>52</v>
      </c>
      <c r="S138" t="s">
        <v>53</v>
      </c>
      <c r="T138" t="s">
        <v>20</v>
      </c>
    </row>
    <row r="139" spans="1:20" x14ac:dyDescent="0.3">
      <c r="A139" t="s">
        <v>394</v>
      </c>
      <c r="B139" t="s">
        <v>124</v>
      </c>
      <c r="C139" t="s">
        <v>219</v>
      </c>
      <c r="D139" t="s">
        <v>25</v>
      </c>
      <c r="E139" t="s">
        <v>5133</v>
      </c>
      <c r="F139" t="s">
        <v>5125</v>
      </c>
      <c r="G139" t="s">
        <v>50</v>
      </c>
      <c r="H139" t="s">
        <v>5140</v>
      </c>
      <c r="I139" t="s">
        <v>5141</v>
      </c>
      <c r="J139">
        <v>103623</v>
      </c>
      <c r="K139" t="s">
        <v>395</v>
      </c>
      <c r="L139" t="s">
        <v>61</v>
      </c>
      <c r="M139" t="s">
        <v>46</v>
      </c>
      <c r="N139">
        <v>45539</v>
      </c>
      <c r="O139">
        <v>2144</v>
      </c>
      <c r="P139" t="s">
        <v>20</v>
      </c>
      <c r="Q139">
        <v>2</v>
      </c>
      <c r="R139" t="s">
        <v>52</v>
      </c>
      <c r="S139" t="s">
        <v>21</v>
      </c>
      <c r="T139" t="s">
        <v>20</v>
      </c>
    </row>
    <row r="140" spans="1:20" x14ac:dyDescent="0.3">
      <c r="A140" t="s">
        <v>396</v>
      </c>
      <c r="B140" t="s">
        <v>165</v>
      </c>
      <c r="C140" t="s">
        <v>232</v>
      </c>
      <c r="D140" t="s">
        <v>33</v>
      </c>
      <c r="E140" t="s">
        <v>5128</v>
      </c>
      <c r="F140" t="s">
        <v>5125</v>
      </c>
      <c r="G140" t="s">
        <v>16</v>
      </c>
      <c r="H140" t="s">
        <v>5142</v>
      </c>
      <c r="I140" t="s">
        <v>5143</v>
      </c>
      <c r="J140">
        <v>171964</v>
      </c>
      <c r="K140" t="s">
        <v>397</v>
      </c>
      <c r="L140" t="s">
        <v>61</v>
      </c>
      <c r="M140" t="s">
        <v>46</v>
      </c>
      <c r="N140">
        <v>45706</v>
      </c>
      <c r="O140">
        <v>1365</v>
      </c>
      <c r="P140" t="s">
        <v>20</v>
      </c>
      <c r="Q140">
        <v>4</v>
      </c>
      <c r="R140" t="s">
        <v>52</v>
      </c>
      <c r="S140" t="s">
        <v>21</v>
      </c>
      <c r="T140" t="s">
        <v>29</v>
      </c>
    </row>
    <row r="141" spans="1:20" x14ac:dyDescent="0.3">
      <c r="A141" t="s">
        <v>398</v>
      </c>
      <c r="B141" t="s">
        <v>215</v>
      </c>
      <c r="C141" t="s">
        <v>197</v>
      </c>
      <c r="D141" t="s">
        <v>25</v>
      </c>
      <c r="E141" t="s">
        <v>5131</v>
      </c>
      <c r="F141" t="s">
        <v>5125</v>
      </c>
      <c r="G141" t="s">
        <v>16</v>
      </c>
      <c r="H141" t="s">
        <v>5140</v>
      </c>
      <c r="I141" t="s">
        <v>5141</v>
      </c>
      <c r="J141">
        <v>85628</v>
      </c>
      <c r="K141" t="s">
        <v>399</v>
      </c>
      <c r="L141" t="s">
        <v>5165</v>
      </c>
      <c r="M141" t="s">
        <v>39</v>
      </c>
      <c r="N141">
        <v>45669</v>
      </c>
      <c r="O141">
        <v>2374</v>
      </c>
      <c r="P141" t="s">
        <v>29</v>
      </c>
      <c r="Q141">
        <v>2</v>
      </c>
      <c r="R141" t="s">
        <v>76</v>
      </c>
      <c r="S141" t="s">
        <v>21</v>
      </c>
      <c r="T141" t="s">
        <v>29</v>
      </c>
    </row>
    <row r="142" spans="1:20" x14ac:dyDescent="0.3">
      <c r="A142" t="s">
        <v>400</v>
      </c>
      <c r="B142" t="s">
        <v>165</v>
      </c>
      <c r="C142" t="s">
        <v>121</v>
      </c>
      <c r="D142" t="s">
        <v>57</v>
      </c>
      <c r="E142" t="s">
        <v>14</v>
      </c>
      <c r="F142" t="s">
        <v>15</v>
      </c>
      <c r="G142" t="s">
        <v>36</v>
      </c>
      <c r="H142" t="s">
        <v>5136</v>
      </c>
      <c r="I142" t="s">
        <v>5137</v>
      </c>
      <c r="J142">
        <v>72865</v>
      </c>
      <c r="K142" t="s">
        <v>401</v>
      </c>
      <c r="L142" t="s">
        <v>38</v>
      </c>
      <c r="M142" t="s">
        <v>46</v>
      </c>
      <c r="N142">
        <v>45542</v>
      </c>
      <c r="O142">
        <v>3772</v>
      </c>
      <c r="P142" t="s">
        <v>20</v>
      </c>
      <c r="Q142">
        <v>0</v>
      </c>
      <c r="R142" t="s">
        <v>5116</v>
      </c>
      <c r="S142" t="s">
        <v>21</v>
      </c>
      <c r="T142" t="s">
        <v>29</v>
      </c>
    </row>
    <row r="143" spans="1:20" x14ac:dyDescent="0.3">
      <c r="A143" t="s">
        <v>402</v>
      </c>
      <c r="B143" t="s">
        <v>84</v>
      </c>
      <c r="C143" t="s">
        <v>13</v>
      </c>
      <c r="D143" t="s">
        <v>118</v>
      </c>
      <c r="E143" t="s">
        <v>5129</v>
      </c>
      <c r="F143" t="s">
        <v>5130</v>
      </c>
      <c r="G143" t="s">
        <v>16</v>
      </c>
      <c r="H143" t="s">
        <v>5142</v>
      </c>
      <c r="I143" t="s">
        <v>5143</v>
      </c>
      <c r="J143">
        <v>185292</v>
      </c>
      <c r="K143" t="s">
        <v>403</v>
      </c>
      <c r="L143" t="s">
        <v>134</v>
      </c>
      <c r="M143" t="s">
        <v>46</v>
      </c>
      <c r="N143">
        <v>45647</v>
      </c>
      <c r="O143">
        <v>2282</v>
      </c>
      <c r="P143" t="s">
        <v>29</v>
      </c>
      <c r="Q143">
        <v>4</v>
      </c>
      <c r="R143" t="s">
        <v>40</v>
      </c>
      <c r="S143" t="s">
        <v>21</v>
      </c>
      <c r="T143" t="s">
        <v>29</v>
      </c>
    </row>
    <row r="144" spans="1:20" x14ac:dyDescent="0.3">
      <c r="A144" t="s">
        <v>404</v>
      </c>
      <c r="B144" t="s">
        <v>165</v>
      </c>
      <c r="C144" t="s">
        <v>13</v>
      </c>
      <c r="D144" t="s">
        <v>57</v>
      </c>
      <c r="E144" t="s">
        <v>5133</v>
      </c>
      <c r="F144" t="s">
        <v>5125</v>
      </c>
      <c r="G144" t="s">
        <v>50</v>
      </c>
      <c r="H144" t="s">
        <v>5136</v>
      </c>
      <c r="I144" t="s">
        <v>5137</v>
      </c>
      <c r="J144">
        <v>50000</v>
      </c>
      <c r="K144" t="s">
        <v>405</v>
      </c>
      <c r="L144" t="s">
        <v>82</v>
      </c>
      <c r="M144" t="s">
        <v>46</v>
      </c>
      <c r="N144">
        <v>45540</v>
      </c>
      <c r="O144">
        <v>2011</v>
      </c>
      <c r="P144" t="s">
        <v>29</v>
      </c>
      <c r="Q144">
        <v>0</v>
      </c>
      <c r="R144" t="s">
        <v>76</v>
      </c>
      <c r="S144" t="s">
        <v>21</v>
      </c>
      <c r="T144" t="s">
        <v>20</v>
      </c>
    </row>
    <row r="145" spans="1:20" x14ac:dyDescent="0.3">
      <c r="A145" t="s">
        <v>406</v>
      </c>
      <c r="B145" t="s">
        <v>74</v>
      </c>
      <c r="C145" t="s">
        <v>185</v>
      </c>
      <c r="D145" t="s">
        <v>68</v>
      </c>
      <c r="E145" t="s">
        <v>14</v>
      </c>
      <c r="F145" t="s">
        <v>15</v>
      </c>
      <c r="G145" t="s">
        <v>16</v>
      </c>
      <c r="H145" t="s">
        <v>5136</v>
      </c>
      <c r="I145" t="s">
        <v>5137</v>
      </c>
      <c r="J145">
        <v>72326</v>
      </c>
      <c r="K145" t="s">
        <v>407</v>
      </c>
      <c r="L145" t="s">
        <v>5165</v>
      </c>
      <c r="M145" t="s">
        <v>46</v>
      </c>
      <c r="N145">
        <v>45439</v>
      </c>
      <c r="O145">
        <v>1107</v>
      </c>
      <c r="P145" t="s">
        <v>20</v>
      </c>
      <c r="Q145">
        <v>0</v>
      </c>
      <c r="R145" t="s">
        <v>40</v>
      </c>
      <c r="S145" t="s">
        <v>21</v>
      </c>
      <c r="T145" t="s">
        <v>20</v>
      </c>
    </row>
    <row r="146" spans="1:20" x14ac:dyDescent="0.3">
      <c r="A146" t="s">
        <v>408</v>
      </c>
      <c r="B146" t="s">
        <v>165</v>
      </c>
      <c r="C146" t="s">
        <v>139</v>
      </c>
      <c r="D146" t="s">
        <v>44</v>
      </c>
      <c r="E146" t="s">
        <v>5131</v>
      </c>
      <c r="F146" t="s">
        <v>5125</v>
      </c>
      <c r="G146" t="s">
        <v>16</v>
      </c>
      <c r="H146" t="s">
        <v>5140</v>
      </c>
      <c r="I146" t="s">
        <v>5141</v>
      </c>
      <c r="J146">
        <v>115145</v>
      </c>
      <c r="K146" t="s">
        <v>409</v>
      </c>
      <c r="L146" t="s">
        <v>142</v>
      </c>
      <c r="M146" t="s">
        <v>39</v>
      </c>
      <c r="N146">
        <v>45716</v>
      </c>
      <c r="O146">
        <v>869</v>
      </c>
      <c r="P146" t="s">
        <v>20</v>
      </c>
      <c r="Q146">
        <v>2</v>
      </c>
      <c r="R146" t="s">
        <v>76</v>
      </c>
      <c r="S146" t="s">
        <v>21</v>
      </c>
      <c r="T146" t="s">
        <v>20</v>
      </c>
    </row>
    <row r="147" spans="1:20" x14ac:dyDescent="0.3">
      <c r="A147" t="s">
        <v>410</v>
      </c>
      <c r="B147" t="s">
        <v>78</v>
      </c>
      <c r="C147" t="s">
        <v>166</v>
      </c>
      <c r="D147" t="s">
        <v>104</v>
      </c>
      <c r="E147" t="s">
        <v>95</v>
      </c>
      <c r="F147" t="s">
        <v>96</v>
      </c>
      <c r="G147" t="s">
        <v>36</v>
      </c>
      <c r="H147" t="s">
        <v>5138</v>
      </c>
      <c r="I147" t="s">
        <v>5139</v>
      </c>
      <c r="J147">
        <v>228145</v>
      </c>
      <c r="K147" t="s">
        <v>411</v>
      </c>
      <c r="L147" t="s">
        <v>87</v>
      </c>
      <c r="M147" t="s">
        <v>46</v>
      </c>
      <c r="N147">
        <v>45693</v>
      </c>
      <c r="O147">
        <v>2893</v>
      </c>
      <c r="P147" t="s">
        <v>20</v>
      </c>
      <c r="Q147">
        <v>6</v>
      </c>
      <c r="R147" t="s">
        <v>76</v>
      </c>
      <c r="S147" t="s">
        <v>21</v>
      </c>
      <c r="T147" t="s">
        <v>20</v>
      </c>
    </row>
    <row r="148" spans="1:20" x14ac:dyDescent="0.3">
      <c r="A148" t="s">
        <v>412</v>
      </c>
      <c r="B148" t="s">
        <v>12</v>
      </c>
      <c r="C148" t="s">
        <v>109</v>
      </c>
      <c r="D148" t="s">
        <v>33</v>
      </c>
      <c r="E148" t="s">
        <v>5131</v>
      </c>
      <c r="F148" t="s">
        <v>5125</v>
      </c>
      <c r="G148" t="s">
        <v>50</v>
      </c>
      <c r="H148" t="s">
        <v>5140</v>
      </c>
      <c r="I148" t="s">
        <v>5141</v>
      </c>
      <c r="J148">
        <v>85508</v>
      </c>
      <c r="K148" t="s">
        <v>413</v>
      </c>
      <c r="L148" t="s">
        <v>38</v>
      </c>
      <c r="M148" t="s">
        <v>39</v>
      </c>
      <c r="N148">
        <v>45433</v>
      </c>
      <c r="O148">
        <v>2014</v>
      </c>
      <c r="P148" t="s">
        <v>29</v>
      </c>
      <c r="Q148">
        <v>2</v>
      </c>
      <c r="R148" t="s">
        <v>40</v>
      </c>
      <c r="S148" t="s">
        <v>21</v>
      </c>
      <c r="T148" t="s">
        <v>29</v>
      </c>
    </row>
    <row r="149" spans="1:20" x14ac:dyDescent="0.3">
      <c r="A149" t="s">
        <v>414</v>
      </c>
      <c r="B149" t="s">
        <v>63</v>
      </c>
      <c r="C149" t="s">
        <v>121</v>
      </c>
      <c r="D149" t="s">
        <v>44</v>
      </c>
      <c r="E149" t="s">
        <v>5126</v>
      </c>
      <c r="F149" t="s">
        <v>5125</v>
      </c>
      <c r="G149" t="s">
        <v>36</v>
      </c>
      <c r="H149" t="s">
        <v>5136</v>
      </c>
      <c r="I149" t="s">
        <v>5137</v>
      </c>
      <c r="J149">
        <v>53362</v>
      </c>
      <c r="K149" t="s">
        <v>415</v>
      </c>
      <c r="L149" t="s">
        <v>5165</v>
      </c>
      <c r="M149" t="s">
        <v>39</v>
      </c>
      <c r="N149">
        <v>45434</v>
      </c>
      <c r="O149">
        <v>2610</v>
      </c>
      <c r="P149" t="s">
        <v>20</v>
      </c>
      <c r="Q149">
        <v>0</v>
      </c>
      <c r="R149" t="s">
        <v>40</v>
      </c>
      <c r="S149" t="s">
        <v>53</v>
      </c>
      <c r="T149" t="s">
        <v>20</v>
      </c>
    </row>
    <row r="150" spans="1:20" x14ac:dyDescent="0.3">
      <c r="A150" t="s">
        <v>416</v>
      </c>
      <c r="B150" t="s">
        <v>130</v>
      </c>
      <c r="C150" t="s">
        <v>151</v>
      </c>
      <c r="D150" t="s">
        <v>167</v>
      </c>
      <c r="E150" t="s">
        <v>5131</v>
      </c>
      <c r="F150" t="s">
        <v>5125</v>
      </c>
      <c r="G150" t="s">
        <v>50</v>
      </c>
      <c r="H150" t="s">
        <v>5140</v>
      </c>
      <c r="I150" t="s">
        <v>5141</v>
      </c>
      <c r="J150">
        <v>120334</v>
      </c>
      <c r="K150" t="s">
        <v>417</v>
      </c>
      <c r="L150" t="s">
        <v>82</v>
      </c>
      <c r="M150" t="s">
        <v>39</v>
      </c>
      <c r="N150">
        <v>45545</v>
      </c>
      <c r="O150">
        <v>198</v>
      </c>
      <c r="P150" t="s">
        <v>29</v>
      </c>
      <c r="Q150">
        <v>2</v>
      </c>
      <c r="R150" t="s">
        <v>52</v>
      </c>
      <c r="S150" t="s">
        <v>21</v>
      </c>
      <c r="T150" t="s">
        <v>20</v>
      </c>
    </row>
    <row r="151" spans="1:20" x14ac:dyDescent="0.3">
      <c r="A151" t="s">
        <v>418</v>
      </c>
      <c r="B151" t="s">
        <v>215</v>
      </c>
      <c r="C151" t="s">
        <v>103</v>
      </c>
      <c r="D151" t="s">
        <v>167</v>
      </c>
      <c r="E151" t="s">
        <v>34</v>
      </c>
      <c r="F151" t="s">
        <v>35</v>
      </c>
      <c r="G151" t="s">
        <v>16</v>
      </c>
      <c r="H151" t="s">
        <v>5138</v>
      </c>
      <c r="I151" t="s">
        <v>5139</v>
      </c>
      <c r="J151">
        <v>210691</v>
      </c>
      <c r="K151" t="s">
        <v>419</v>
      </c>
      <c r="L151" t="s">
        <v>113</v>
      </c>
      <c r="M151" t="s">
        <v>19</v>
      </c>
      <c r="N151">
        <v>45511</v>
      </c>
      <c r="O151">
        <v>2731</v>
      </c>
      <c r="P151" t="s">
        <v>92</v>
      </c>
      <c r="Q151">
        <v>6</v>
      </c>
      <c r="R151" t="s">
        <v>47</v>
      </c>
      <c r="S151" t="s">
        <v>21</v>
      </c>
      <c r="T151" t="s">
        <v>20</v>
      </c>
    </row>
    <row r="152" spans="1:20" x14ac:dyDescent="0.3">
      <c r="A152" t="s">
        <v>420</v>
      </c>
      <c r="B152" t="s">
        <v>84</v>
      </c>
      <c r="C152" t="s">
        <v>117</v>
      </c>
      <c r="D152" t="s">
        <v>5156</v>
      </c>
      <c r="E152" t="s">
        <v>5128</v>
      </c>
      <c r="F152" t="s">
        <v>5125</v>
      </c>
      <c r="G152" t="s">
        <v>36</v>
      </c>
      <c r="H152" t="s">
        <v>5138</v>
      </c>
      <c r="I152" t="s">
        <v>5139</v>
      </c>
      <c r="J152">
        <v>209017</v>
      </c>
      <c r="K152" t="s">
        <v>421</v>
      </c>
      <c r="L152" t="s">
        <v>82</v>
      </c>
      <c r="M152" t="s">
        <v>46</v>
      </c>
      <c r="N152">
        <v>45292</v>
      </c>
      <c r="O152">
        <v>3533</v>
      </c>
      <c r="P152" t="s">
        <v>20</v>
      </c>
      <c r="Q152">
        <v>6</v>
      </c>
      <c r="R152" t="s">
        <v>47</v>
      </c>
      <c r="S152" t="s">
        <v>21</v>
      </c>
      <c r="T152" t="s">
        <v>29</v>
      </c>
    </row>
    <row r="153" spans="1:20" x14ac:dyDescent="0.3">
      <c r="A153" t="s">
        <v>422</v>
      </c>
      <c r="B153" t="s">
        <v>63</v>
      </c>
      <c r="C153" t="s">
        <v>103</v>
      </c>
      <c r="D153" t="s">
        <v>68</v>
      </c>
      <c r="E153" t="s">
        <v>5129</v>
      </c>
      <c r="F153" t="s">
        <v>5130</v>
      </c>
      <c r="G153" t="s">
        <v>16</v>
      </c>
      <c r="H153" t="s">
        <v>5136</v>
      </c>
      <c r="I153" t="s">
        <v>5137</v>
      </c>
      <c r="J153">
        <v>74365</v>
      </c>
      <c r="K153" t="s">
        <v>423</v>
      </c>
      <c r="L153" t="s">
        <v>61</v>
      </c>
      <c r="M153" t="s">
        <v>46</v>
      </c>
      <c r="N153">
        <v>45743</v>
      </c>
      <c r="O153">
        <v>1812</v>
      </c>
      <c r="P153" t="s">
        <v>20</v>
      </c>
      <c r="Q153">
        <v>0</v>
      </c>
      <c r="R153" t="s">
        <v>47</v>
      </c>
      <c r="S153" t="s">
        <v>21</v>
      </c>
      <c r="T153" t="s">
        <v>29</v>
      </c>
    </row>
    <row r="154" spans="1:20" x14ac:dyDescent="0.3">
      <c r="A154" t="s">
        <v>424</v>
      </c>
      <c r="B154" t="s">
        <v>322</v>
      </c>
      <c r="C154" t="s">
        <v>24</v>
      </c>
      <c r="D154" t="s">
        <v>118</v>
      </c>
      <c r="E154" t="s">
        <v>80</v>
      </c>
      <c r="F154" t="s">
        <v>80</v>
      </c>
      <c r="G154" t="s">
        <v>16</v>
      </c>
      <c r="H154" t="s">
        <v>5138</v>
      </c>
      <c r="I154" t="s">
        <v>5139</v>
      </c>
      <c r="J154">
        <v>175519</v>
      </c>
      <c r="K154" t="s">
        <v>425</v>
      </c>
      <c r="L154" t="s">
        <v>134</v>
      </c>
      <c r="M154" t="s">
        <v>19</v>
      </c>
      <c r="N154">
        <v>45343</v>
      </c>
      <c r="O154">
        <v>1026</v>
      </c>
      <c r="P154" t="s">
        <v>20</v>
      </c>
      <c r="Q154">
        <v>6</v>
      </c>
      <c r="R154" t="s">
        <v>76</v>
      </c>
      <c r="S154" t="s">
        <v>53</v>
      </c>
      <c r="T154" t="s">
        <v>29</v>
      </c>
    </row>
    <row r="155" spans="1:20" x14ac:dyDescent="0.3">
      <c r="A155" t="s">
        <v>426</v>
      </c>
      <c r="B155" t="s">
        <v>144</v>
      </c>
      <c r="C155" t="s">
        <v>185</v>
      </c>
      <c r="D155" t="s">
        <v>140</v>
      </c>
      <c r="E155" t="s">
        <v>80</v>
      </c>
      <c r="F155" t="s">
        <v>80</v>
      </c>
      <c r="G155" t="s">
        <v>36</v>
      </c>
      <c r="H155" t="s">
        <v>5142</v>
      </c>
      <c r="I155" t="s">
        <v>5143</v>
      </c>
      <c r="J155">
        <v>156270</v>
      </c>
      <c r="K155" t="s">
        <v>427</v>
      </c>
      <c r="L155" t="s">
        <v>238</v>
      </c>
      <c r="M155" t="s">
        <v>19</v>
      </c>
      <c r="N155">
        <v>45552</v>
      </c>
      <c r="O155">
        <v>2623</v>
      </c>
      <c r="P155" t="s">
        <v>20</v>
      </c>
      <c r="Q155">
        <v>4</v>
      </c>
      <c r="R155" t="s">
        <v>76</v>
      </c>
      <c r="S155" t="s">
        <v>53</v>
      </c>
      <c r="T155" t="s">
        <v>29</v>
      </c>
    </row>
    <row r="156" spans="1:20" x14ac:dyDescent="0.3">
      <c r="A156" t="s">
        <v>428</v>
      </c>
      <c r="B156" t="s">
        <v>218</v>
      </c>
      <c r="C156" t="s">
        <v>117</v>
      </c>
      <c r="D156" t="s">
        <v>25</v>
      </c>
      <c r="E156" t="s">
        <v>58</v>
      </c>
      <c r="F156" t="s">
        <v>59</v>
      </c>
      <c r="G156" t="s">
        <v>16</v>
      </c>
      <c r="H156" t="s">
        <v>5142</v>
      </c>
      <c r="I156" t="s">
        <v>5143</v>
      </c>
      <c r="J156">
        <v>157912</v>
      </c>
      <c r="K156" t="s">
        <v>429</v>
      </c>
      <c r="L156" t="s">
        <v>142</v>
      </c>
      <c r="M156" t="s">
        <v>19</v>
      </c>
      <c r="N156">
        <v>45721</v>
      </c>
      <c r="O156">
        <v>3895</v>
      </c>
      <c r="P156" t="s">
        <v>20</v>
      </c>
      <c r="Q156">
        <v>4</v>
      </c>
      <c r="R156" t="s">
        <v>76</v>
      </c>
      <c r="S156" t="s">
        <v>21</v>
      </c>
      <c r="T156" t="s">
        <v>20</v>
      </c>
    </row>
    <row r="157" spans="1:20" x14ac:dyDescent="0.3">
      <c r="A157" t="s">
        <v>430</v>
      </c>
      <c r="B157" t="s">
        <v>322</v>
      </c>
      <c r="C157" t="s">
        <v>151</v>
      </c>
      <c r="D157" t="s">
        <v>118</v>
      </c>
      <c r="E157" t="s">
        <v>5126</v>
      </c>
      <c r="F157" t="s">
        <v>5125</v>
      </c>
      <c r="G157" t="s">
        <v>16</v>
      </c>
      <c r="H157" t="s">
        <v>5138</v>
      </c>
      <c r="I157" t="s">
        <v>5139</v>
      </c>
      <c r="J157">
        <v>174283</v>
      </c>
      <c r="K157" t="s">
        <v>431</v>
      </c>
      <c r="L157" t="s">
        <v>5165</v>
      </c>
      <c r="M157" t="s">
        <v>46</v>
      </c>
      <c r="N157">
        <v>45566</v>
      </c>
      <c r="O157">
        <v>2412</v>
      </c>
      <c r="P157" t="s">
        <v>20</v>
      </c>
      <c r="Q157">
        <v>6</v>
      </c>
      <c r="R157" t="s">
        <v>5116</v>
      </c>
      <c r="S157" t="s">
        <v>21</v>
      </c>
      <c r="T157" t="s">
        <v>29</v>
      </c>
    </row>
    <row r="158" spans="1:20" x14ac:dyDescent="0.3">
      <c r="A158" t="s">
        <v>432</v>
      </c>
      <c r="B158" t="s">
        <v>84</v>
      </c>
      <c r="C158" t="s">
        <v>94</v>
      </c>
      <c r="D158" t="s">
        <v>5156</v>
      </c>
      <c r="E158" t="s">
        <v>26</v>
      </c>
      <c r="F158" t="s">
        <v>27</v>
      </c>
      <c r="G158" t="s">
        <v>16</v>
      </c>
      <c r="H158" t="s">
        <v>5136</v>
      </c>
      <c r="I158" t="s">
        <v>5137</v>
      </c>
      <c r="J158">
        <v>93508</v>
      </c>
      <c r="K158" t="s">
        <v>433</v>
      </c>
      <c r="L158" t="s">
        <v>61</v>
      </c>
      <c r="M158" t="s">
        <v>39</v>
      </c>
      <c r="N158">
        <v>45514</v>
      </c>
      <c r="O158">
        <v>681</v>
      </c>
      <c r="P158" t="s">
        <v>20</v>
      </c>
      <c r="Q158">
        <v>0</v>
      </c>
      <c r="R158" t="s">
        <v>40</v>
      </c>
      <c r="S158" t="s">
        <v>21</v>
      </c>
      <c r="T158" t="s">
        <v>20</v>
      </c>
    </row>
    <row r="159" spans="1:20" x14ac:dyDescent="0.3">
      <c r="A159" t="s">
        <v>434</v>
      </c>
      <c r="B159" t="s">
        <v>31</v>
      </c>
      <c r="C159" t="s">
        <v>166</v>
      </c>
      <c r="D159" t="s">
        <v>68</v>
      </c>
      <c r="E159" t="s">
        <v>5133</v>
      </c>
      <c r="F159" t="s">
        <v>5125</v>
      </c>
      <c r="G159" t="s">
        <v>16</v>
      </c>
      <c r="H159" t="s">
        <v>5140</v>
      </c>
      <c r="I159" t="s">
        <v>5141</v>
      </c>
      <c r="J159">
        <v>119381</v>
      </c>
      <c r="K159" t="s">
        <v>435</v>
      </c>
      <c r="L159" t="s">
        <v>134</v>
      </c>
      <c r="M159" t="s">
        <v>19</v>
      </c>
      <c r="N159">
        <v>45691</v>
      </c>
      <c r="O159">
        <v>2042</v>
      </c>
      <c r="P159" t="s">
        <v>20</v>
      </c>
      <c r="Q159">
        <v>2</v>
      </c>
      <c r="R159" t="s">
        <v>40</v>
      </c>
      <c r="S159" t="s">
        <v>21</v>
      </c>
      <c r="T159" t="s">
        <v>20</v>
      </c>
    </row>
    <row r="160" spans="1:20" x14ac:dyDescent="0.3">
      <c r="A160" t="s">
        <v>436</v>
      </c>
      <c r="B160" t="s">
        <v>215</v>
      </c>
      <c r="C160" t="s">
        <v>85</v>
      </c>
      <c r="D160" t="s">
        <v>5156</v>
      </c>
      <c r="E160" t="s">
        <v>95</v>
      </c>
      <c r="F160" t="s">
        <v>96</v>
      </c>
      <c r="G160" t="s">
        <v>16</v>
      </c>
      <c r="H160" t="s">
        <v>5142</v>
      </c>
      <c r="I160" t="s">
        <v>5143</v>
      </c>
      <c r="J160">
        <v>117834</v>
      </c>
      <c r="K160" t="s">
        <v>437</v>
      </c>
      <c r="L160" t="s">
        <v>179</v>
      </c>
      <c r="M160" t="s">
        <v>46</v>
      </c>
      <c r="N160">
        <v>45344</v>
      </c>
      <c r="O160">
        <v>3779</v>
      </c>
      <c r="P160" t="s">
        <v>29</v>
      </c>
      <c r="Q160">
        <v>4</v>
      </c>
      <c r="R160" t="s">
        <v>5116</v>
      </c>
      <c r="S160" t="s">
        <v>21</v>
      </c>
      <c r="T160" t="s">
        <v>20</v>
      </c>
    </row>
    <row r="161" spans="1:20" x14ac:dyDescent="0.3">
      <c r="A161" t="s">
        <v>438</v>
      </c>
      <c r="B161" t="s">
        <v>322</v>
      </c>
      <c r="C161" t="s">
        <v>160</v>
      </c>
      <c r="D161" t="s">
        <v>33</v>
      </c>
      <c r="E161" t="s">
        <v>5124</v>
      </c>
      <c r="F161" t="s">
        <v>5125</v>
      </c>
      <c r="G161" t="s">
        <v>16</v>
      </c>
      <c r="H161" t="s">
        <v>5140</v>
      </c>
      <c r="I161" t="s">
        <v>5141</v>
      </c>
      <c r="J161">
        <v>122999</v>
      </c>
      <c r="K161" t="s">
        <v>439</v>
      </c>
      <c r="L161" t="s">
        <v>179</v>
      </c>
      <c r="M161" t="s">
        <v>39</v>
      </c>
      <c r="N161">
        <v>45660</v>
      </c>
      <c r="O161">
        <v>3917</v>
      </c>
      <c r="P161" t="s">
        <v>20</v>
      </c>
      <c r="Q161">
        <v>2</v>
      </c>
      <c r="R161" t="s">
        <v>52</v>
      </c>
      <c r="S161" t="s">
        <v>53</v>
      </c>
      <c r="T161" t="s">
        <v>20</v>
      </c>
    </row>
    <row r="162" spans="1:20" x14ac:dyDescent="0.3">
      <c r="A162" t="s">
        <v>440</v>
      </c>
      <c r="B162" t="s">
        <v>74</v>
      </c>
      <c r="C162" t="s">
        <v>219</v>
      </c>
      <c r="D162" t="s">
        <v>104</v>
      </c>
      <c r="E162" t="s">
        <v>5128</v>
      </c>
      <c r="F162" t="s">
        <v>5125</v>
      </c>
      <c r="G162" t="s">
        <v>36</v>
      </c>
      <c r="H162" t="s">
        <v>5142</v>
      </c>
      <c r="I162" t="s">
        <v>5143</v>
      </c>
      <c r="J162">
        <v>123683</v>
      </c>
      <c r="K162" t="s">
        <v>441</v>
      </c>
      <c r="L162" t="s">
        <v>82</v>
      </c>
      <c r="M162" t="s">
        <v>72</v>
      </c>
      <c r="N162">
        <v>45296</v>
      </c>
      <c r="O162">
        <v>3010</v>
      </c>
      <c r="P162" t="s">
        <v>92</v>
      </c>
      <c r="Q162">
        <v>4</v>
      </c>
      <c r="R162" t="s">
        <v>47</v>
      </c>
      <c r="S162" t="s">
        <v>21</v>
      </c>
      <c r="T162" t="s">
        <v>20</v>
      </c>
    </row>
    <row r="163" spans="1:20" x14ac:dyDescent="0.3">
      <c r="A163" t="s">
        <v>442</v>
      </c>
      <c r="B163" t="s">
        <v>144</v>
      </c>
      <c r="C163" t="s">
        <v>121</v>
      </c>
      <c r="D163" t="s">
        <v>25</v>
      </c>
      <c r="E163" t="s">
        <v>126</v>
      </c>
      <c r="F163" t="s">
        <v>127</v>
      </c>
      <c r="G163" t="s">
        <v>16</v>
      </c>
      <c r="H163" t="s">
        <v>5140</v>
      </c>
      <c r="I163" t="s">
        <v>5141</v>
      </c>
      <c r="J163">
        <v>125584</v>
      </c>
      <c r="K163" t="s">
        <v>443</v>
      </c>
      <c r="L163" t="s">
        <v>5165</v>
      </c>
      <c r="M163" t="s">
        <v>19</v>
      </c>
      <c r="N163">
        <v>45721</v>
      </c>
      <c r="O163">
        <v>985</v>
      </c>
      <c r="P163" t="s">
        <v>20</v>
      </c>
      <c r="Q163">
        <v>2</v>
      </c>
      <c r="R163" t="s">
        <v>5116</v>
      </c>
      <c r="S163" t="s">
        <v>41</v>
      </c>
      <c r="T163" t="s">
        <v>29</v>
      </c>
    </row>
    <row r="164" spans="1:20" x14ac:dyDescent="0.3">
      <c r="A164" t="s">
        <v>444</v>
      </c>
      <c r="B164" t="s">
        <v>31</v>
      </c>
      <c r="C164" t="s">
        <v>90</v>
      </c>
      <c r="D164" t="s">
        <v>140</v>
      </c>
      <c r="E164" t="s">
        <v>5127</v>
      </c>
      <c r="F164" t="s">
        <v>5125</v>
      </c>
      <c r="G164" t="s">
        <v>50</v>
      </c>
      <c r="H164" t="s">
        <v>5136</v>
      </c>
      <c r="I164" t="s">
        <v>5137</v>
      </c>
      <c r="J164">
        <v>84598</v>
      </c>
      <c r="K164" t="s">
        <v>445</v>
      </c>
      <c r="L164" t="s">
        <v>61</v>
      </c>
      <c r="M164" t="s">
        <v>19</v>
      </c>
      <c r="N164">
        <v>45724</v>
      </c>
      <c r="O164">
        <v>1791</v>
      </c>
      <c r="P164" t="s">
        <v>20</v>
      </c>
      <c r="Q164">
        <v>0</v>
      </c>
      <c r="R164" t="s">
        <v>47</v>
      </c>
      <c r="S164" t="s">
        <v>21</v>
      </c>
      <c r="T164" t="s">
        <v>29</v>
      </c>
    </row>
    <row r="165" spans="1:20" x14ac:dyDescent="0.3">
      <c r="A165" t="s">
        <v>446</v>
      </c>
      <c r="B165" t="s">
        <v>229</v>
      </c>
      <c r="C165" t="s">
        <v>94</v>
      </c>
      <c r="D165" t="s">
        <v>118</v>
      </c>
      <c r="E165" t="s">
        <v>5124</v>
      </c>
      <c r="F165" t="s">
        <v>5125</v>
      </c>
      <c r="G165" t="s">
        <v>16</v>
      </c>
      <c r="H165" t="s">
        <v>5138</v>
      </c>
      <c r="I165" t="s">
        <v>5139</v>
      </c>
      <c r="J165">
        <v>170455</v>
      </c>
      <c r="K165" t="s">
        <v>447</v>
      </c>
      <c r="L165" t="s">
        <v>5165</v>
      </c>
      <c r="M165" t="s">
        <v>19</v>
      </c>
      <c r="N165">
        <v>45431</v>
      </c>
      <c r="O165">
        <v>1918</v>
      </c>
      <c r="P165" t="s">
        <v>20</v>
      </c>
      <c r="Q165">
        <v>6</v>
      </c>
      <c r="R165" t="s">
        <v>5116</v>
      </c>
      <c r="S165" t="s">
        <v>21</v>
      </c>
      <c r="T165" t="s">
        <v>20</v>
      </c>
    </row>
    <row r="166" spans="1:20" x14ac:dyDescent="0.3">
      <c r="A166" t="s">
        <v>448</v>
      </c>
      <c r="B166" t="s">
        <v>99</v>
      </c>
      <c r="C166" t="s">
        <v>109</v>
      </c>
      <c r="D166" t="s">
        <v>104</v>
      </c>
      <c r="E166" t="s">
        <v>223</v>
      </c>
      <c r="F166" t="s">
        <v>224</v>
      </c>
      <c r="G166" t="s">
        <v>36</v>
      </c>
      <c r="H166" t="s">
        <v>5138</v>
      </c>
      <c r="I166" t="s">
        <v>5139</v>
      </c>
      <c r="J166">
        <v>234681</v>
      </c>
      <c r="K166" t="s">
        <v>449</v>
      </c>
      <c r="L166" t="s">
        <v>5165</v>
      </c>
      <c r="M166" t="s">
        <v>19</v>
      </c>
      <c r="N166">
        <v>45728</v>
      </c>
      <c r="O166">
        <v>617</v>
      </c>
      <c r="P166" t="s">
        <v>29</v>
      </c>
      <c r="Q166">
        <v>6</v>
      </c>
      <c r="R166" t="s">
        <v>47</v>
      </c>
      <c r="S166" t="s">
        <v>41</v>
      </c>
      <c r="T166" t="s">
        <v>29</v>
      </c>
    </row>
    <row r="167" spans="1:20" x14ac:dyDescent="0.3">
      <c r="A167" t="s">
        <v>450</v>
      </c>
      <c r="B167" t="s">
        <v>222</v>
      </c>
      <c r="C167" t="s">
        <v>85</v>
      </c>
      <c r="D167" t="s">
        <v>44</v>
      </c>
      <c r="E167" t="s">
        <v>14</v>
      </c>
      <c r="F167" t="s">
        <v>15</v>
      </c>
      <c r="G167" t="s">
        <v>50</v>
      </c>
      <c r="H167" t="s">
        <v>5142</v>
      </c>
      <c r="I167" t="s">
        <v>5143</v>
      </c>
      <c r="J167">
        <v>161145</v>
      </c>
      <c r="K167" t="s">
        <v>451</v>
      </c>
      <c r="L167" t="s">
        <v>87</v>
      </c>
      <c r="M167" t="s">
        <v>46</v>
      </c>
      <c r="N167">
        <v>45381</v>
      </c>
      <c r="O167">
        <v>507</v>
      </c>
      <c r="P167" t="s">
        <v>29</v>
      </c>
      <c r="Q167">
        <v>4</v>
      </c>
      <c r="R167" t="s">
        <v>47</v>
      </c>
      <c r="S167" t="s">
        <v>21</v>
      </c>
      <c r="T167" t="s">
        <v>20</v>
      </c>
    </row>
    <row r="168" spans="1:20" x14ac:dyDescent="0.3">
      <c r="A168" t="s">
        <v>452</v>
      </c>
      <c r="B168" t="s">
        <v>218</v>
      </c>
      <c r="C168" t="s">
        <v>139</v>
      </c>
      <c r="D168" t="s">
        <v>118</v>
      </c>
      <c r="E168" t="s">
        <v>193</v>
      </c>
      <c r="F168" t="s">
        <v>194</v>
      </c>
      <c r="G168" t="s">
        <v>36</v>
      </c>
      <c r="H168" t="s">
        <v>5136</v>
      </c>
      <c r="I168" t="s">
        <v>5137</v>
      </c>
      <c r="J168">
        <v>80357</v>
      </c>
      <c r="K168" t="s">
        <v>453</v>
      </c>
      <c r="L168" t="s">
        <v>5165</v>
      </c>
      <c r="M168" t="s">
        <v>19</v>
      </c>
      <c r="N168">
        <v>45708</v>
      </c>
      <c r="O168">
        <v>511</v>
      </c>
      <c r="P168" t="s">
        <v>29</v>
      </c>
      <c r="Q168">
        <v>0</v>
      </c>
      <c r="R168" t="s">
        <v>52</v>
      </c>
      <c r="S168" t="s">
        <v>21</v>
      </c>
      <c r="T168" t="s">
        <v>20</v>
      </c>
    </row>
    <row r="169" spans="1:20" x14ac:dyDescent="0.3">
      <c r="A169" t="s">
        <v>454</v>
      </c>
      <c r="B169" t="s">
        <v>322</v>
      </c>
      <c r="C169" t="s">
        <v>125</v>
      </c>
      <c r="D169" t="s">
        <v>104</v>
      </c>
      <c r="E169" t="s">
        <v>152</v>
      </c>
      <c r="F169" t="s">
        <v>153</v>
      </c>
      <c r="G169" t="s">
        <v>16</v>
      </c>
      <c r="H169" t="s">
        <v>5138</v>
      </c>
      <c r="I169" t="s">
        <v>5139</v>
      </c>
      <c r="J169">
        <v>268284</v>
      </c>
      <c r="K169" t="s">
        <v>455</v>
      </c>
      <c r="L169" t="s">
        <v>61</v>
      </c>
      <c r="M169" t="s">
        <v>46</v>
      </c>
      <c r="N169">
        <v>45641</v>
      </c>
      <c r="O169">
        <v>2661</v>
      </c>
      <c r="P169" t="s">
        <v>20</v>
      </c>
      <c r="Q169">
        <v>6</v>
      </c>
      <c r="R169" t="s">
        <v>52</v>
      </c>
      <c r="S169" t="s">
        <v>53</v>
      </c>
      <c r="T169" t="s">
        <v>20</v>
      </c>
    </row>
    <row r="170" spans="1:20" x14ac:dyDescent="0.3">
      <c r="A170" t="s">
        <v>456</v>
      </c>
      <c r="B170" t="s">
        <v>63</v>
      </c>
      <c r="C170" t="s">
        <v>151</v>
      </c>
      <c r="D170" t="s">
        <v>57</v>
      </c>
      <c r="E170" t="s">
        <v>5126</v>
      </c>
      <c r="F170" t="s">
        <v>5125</v>
      </c>
      <c r="G170" t="s">
        <v>16</v>
      </c>
      <c r="H170" t="s">
        <v>5142</v>
      </c>
      <c r="I170" t="s">
        <v>5143</v>
      </c>
      <c r="J170">
        <v>143374</v>
      </c>
      <c r="K170" t="s">
        <v>457</v>
      </c>
      <c r="L170" t="s">
        <v>87</v>
      </c>
      <c r="M170" t="s">
        <v>46</v>
      </c>
      <c r="N170">
        <v>45394</v>
      </c>
      <c r="O170">
        <v>1327</v>
      </c>
      <c r="P170" t="s">
        <v>20</v>
      </c>
      <c r="Q170">
        <v>4</v>
      </c>
      <c r="R170" t="s">
        <v>47</v>
      </c>
      <c r="S170" t="s">
        <v>21</v>
      </c>
      <c r="T170" t="s">
        <v>20</v>
      </c>
    </row>
    <row r="171" spans="1:20" x14ac:dyDescent="0.3">
      <c r="A171" t="s">
        <v>458</v>
      </c>
      <c r="B171" t="s">
        <v>144</v>
      </c>
      <c r="C171" t="s">
        <v>166</v>
      </c>
      <c r="D171" t="s">
        <v>68</v>
      </c>
      <c r="E171" t="s">
        <v>5127</v>
      </c>
      <c r="F171" t="s">
        <v>5125</v>
      </c>
      <c r="G171" t="s">
        <v>50</v>
      </c>
      <c r="H171" t="s">
        <v>5142</v>
      </c>
      <c r="I171" t="s">
        <v>5143</v>
      </c>
      <c r="J171">
        <v>129649</v>
      </c>
      <c r="K171" t="s">
        <v>459</v>
      </c>
      <c r="L171" t="s">
        <v>5165</v>
      </c>
      <c r="M171" t="s">
        <v>39</v>
      </c>
      <c r="N171">
        <v>45533</v>
      </c>
      <c r="O171">
        <v>3139</v>
      </c>
      <c r="P171" t="s">
        <v>92</v>
      </c>
      <c r="Q171">
        <v>4</v>
      </c>
      <c r="R171" t="s">
        <v>47</v>
      </c>
      <c r="S171" t="s">
        <v>21</v>
      </c>
      <c r="T171" t="s">
        <v>20</v>
      </c>
    </row>
    <row r="172" spans="1:20" x14ac:dyDescent="0.3">
      <c r="A172" t="s">
        <v>460</v>
      </c>
      <c r="B172" t="s">
        <v>130</v>
      </c>
      <c r="C172" t="s">
        <v>32</v>
      </c>
      <c r="D172" t="s">
        <v>104</v>
      </c>
      <c r="E172" t="s">
        <v>95</v>
      </c>
      <c r="F172" t="s">
        <v>96</v>
      </c>
      <c r="G172" t="s">
        <v>16</v>
      </c>
      <c r="H172" t="s">
        <v>5142</v>
      </c>
      <c r="I172" t="s">
        <v>5143</v>
      </c>
      <c r="J172">
        <v>125983</v>
      </c>
      <c r="K172" t="s">
        <v>461</v>
      </c>
      <c r="L172" t="s">
        <v>38</v>
      </c>
      <c r="M172" t="s">
        <v>19</v>
      </c>
      <c r="N172">
        <v>45595</v>
      </c>
      <c r="O172">
        <v>3437</v>
      </c>
      <c r="P172" t="s">
        <v>92</v>
      </c>
      <c r="Q172">
        <v>4</v>
      </c>
      <c r="R172" t="s">
        <v>52</v>
      </c>
      <c r="S172" t="s">
        <v>21</v>
      </c>
      <c r="T172" t="s">
        <v>29</v>
      </c>
    </row>
    <row r="173" spans="1:20" x14ac:dyDescent="0.3">
      <c r="A173" t="s">
        <v>462</v>
      </c>
      <c r="B173" t="s">
        <v>222</v>
      </c>
      <c r="C173" t="s">
        <v>197</v>
      </c>
      <c r="D173" t="s">
        <v>118</v>
      </c>
      <c r="E173" t="s">
        <v>5127</v>
      </c>
      <c r="F173" t="s">
        <v>5125</v>
      </c>
      <c r="G173" t="s">
        <v>16</v>
      </c>
      <c r="H173" t="s">
        <v>5136</v>
      </c>
      <c r="I173" t="s">
        <v>5137</v>
      </c>
      <c r="J173">
        <v>59720</v>
      </c>
      <c r="K173" t="s">
        <v>463</v>
      </c>
      <c r="L173" t="s">
        <v>18</v>
      </c>
      <c r="M173" t="s">
        <v>46</v>
      </c>
      <c r="N173">
        <v>45404</v>
      </c>
      <c r="O173">
        <v>3773</v>
      </c>
      <c r="P173" t="s">
        <v>20</v>
      </c>
      <c r="Q173">
        <v>0</v>
      </c>
      <c r="R173" t="s">
        <v>40</v>
      </c>
      <c r="S173" t="s">
        <v>21</v>
      </c>
      <c r="T173" t="s">
        <v>29</v>
      </c>
    </row>
    <row r="174" spans="1:20" x14ac:dyDescent="0.3">
      <c r="A174" t="s">
        <v>464</v>
      </c>
      <c r="B174" t="s">
        <v>55</v>
      </c>
      <c r="C174" t="s">
        <v>202</v>
      </c>
      <c r="D174" t="s">
        <v>118</v>
      </c>
      <c r="E174" t="s">
        <v>69</v>
      </c>
      <c r="F174" t="s">
        <v>70</v>
      </c>
      <c r="G174" t="s">
        <v>50</v>
      </c>
      <c r="H174" t="s">
        <v>5136</v>
      </c>
      <c r="I174" t="s">
        <v>5137</v>
      </c>
      <c r="J174">
        <v>69028</v>
      </c>
      <c r="K174" t="s">
        <v>465</v>
      </c>
      <c r="L174" t="s">
        <v>38</v>
      </c>
      <c r="M174" t="s">
        <v>39</v>
      </c>
      <c r="N174">
        <v>45329</v>
      </c>
      <c r="O174">
        <v>3253</v>
      </c>
      <c r="P174" t="s">
        <v>20</v>
      </c>
      <c r="Q174">
        <v>0</v>
      </c>
      <c r="R174" t="s">
        <v>52</v>
      </c>
      <c r="S174" t="s">
        <v>21</v>
      </c>
      <c r="T174" t="s">
        <v>29</v>
      </c>
    </row>
    <row r="175" spans="1:20" x14ac:dyDescent="0.3">
      <c r="A175" t="s">
        <v>466</v>
      </c>
      <c r="B175" t="s">
        <v>23</v>
      </c>
      <c r="C175" t="s">
        <v>100</v>
      </c>
      <c r="D175" t="s">
        <v>5156</v>
      </c>
      <c r="E175" t="s">
        <v>26</v>
      </c>
      <c r="F175" t="s">
        <v>27</v>
      </c>
      <c r="G175" t="s">
        <v>36</v>
      </c>
      <c r="H175" t="s">
        <v>5142</v>
      </c>
      <c r="I175" t="s">
        <v>5143</v>
      </c>
      <c r="J175">
        <v>159211</v>
      </c>
      <c r="K175" t="s">
        <v>467</v>
      </c>
      <c r="L175" t="s">
        <v>61</v>
      </c>
      <c r="M175" t="s">
        <v>72</v>
      </c>
      <c r="N175">
        <v>45709</v>
      </c>
      <c r="O175">
        <v>3494</v>
      </c>
      <c r="P175" t="s">
        <v>92</v>
      </c>
      <c r="Q175">
        <v>4</v>
      </c>
      <c r="R175" t="s">
        <v>76</v>
      </c>
      <c r="S175" t="s">
        <v>21</v>
      </c>
      <c r="T175" t="s">
        <v>20</v>
      </c>
    </row>
    <row r="176" spans="1:20" x14ac:dyDescent="0.3">
      <c r="A176" t="s">
        <v>468</v>
      </c>
      <c r="B176" t="s">
        <v>78</v>
      </c>
      <c r="C176" t="s">
        <v>160</v>
      </c>
      <c r="D176" t="s">
        <v>44</v>
      </c>
      <c r="E176" t="s">
        <v>193</v>
      </c>
      <c r="F176" t="s">
        <v>194</v>
      </c>
      <c r="G176" t="s">
        <v>16</v>
      </c>
      <c r="H176" t="s">
        <v>5140</v>
      </c>
      <c r="I176" t="s">
        <v>5141</v>
      </c>
      <c r="J176">
        <v>115478</v>
      </c>
      <c r="K176" t="s">
        <v>469</v>
      </c>
      <c r="L176" t="s">
        <v>38</v>
      </c>
      <c r="M176" t="s">
        <v>39</v>
      </c>
      <c r="N176">
        <v>45546</v>
      </c>
      <c r="O176">
        <v>1839</v>
      </c>
      <c r="P176" t="s">
        <v>29</v>
      </c>
      <c r="Q176">
        <v>2</v>
      </c>
      <c r="R176" t="s">
        <v>47</v>
      </c>
      <c r="S176" t="s">
        <v>21</v>
      </c>
      <c r="T176" t="s">
        <v>29</v>
      </c>
    </row>
    <row r="177" spans="1:20" x14ac:dyDescent="0.3">
      <c r="A177" t="s">
        <v>470</v>
      </c>
      <c r="B177" t="s">
        <v>31</v>
      </c>
      <c r="C177" t="s">
        <v>151</v>
      </c>
      <c r="D177" t="s">
        <v>104</v>
      </c>
      <c r="E177" t="s">
        <v>5132</v>
      </c>
      <c r="F177" t="s">
        <v>5125</v>
      </c>
      <c r="G177" t="s">
        <v>16</v>
      </c>
      <c r="H177" t="s">
        <v>5136</v>
      </c>
      <c r="I177" t="s">
        <v>5137</v>
      </c>
      <c r="J177">
        <v>80422</v>
      </c>
      <c r="K177" t="s">
        <v>471</v>
      </c>
      <c r="L177" t="s">
        <v>82</v>
      </c>
      <c r="M177" t="s">
        <v>46</v>
      </c>
      <c r="N177">
        <v>45516</v>
      </c>
      <c r="O177">
        <v>676</v>
      </c>
      <c r="P177" t="s">
        <v>20</v>
      </c>
      <c r="Q177">
        <v>0</v>
      </c>
      <c r="R177" t="s">
        <v>5116</v>
      </c>
      <c r="S177" t="s">
        <v>21</v>
      </c>
      <c r="T177" t="s">
        <v>29</v>
      </c>
    </row>
    <row r="178" spans="1:20" x14ac:dyDescent="0.3">
      <c r="A178" t="s">
        <v>472</v>
      </c>
      <c r="B178" t="s">
        <v>12</v>
      </c>
      <c r="C178" t="s">
        <v>24</v>
      </c>
      <c r="D178" t="s">
        <v>104</v>
      </c>
      <c r="E178" t="s">
        <v>5124</v>
      </c>
      <c r="F178" t="s">
        <v>5125</v>
      </c>
      <c r="G178" t="s">
        <v>16</v>
      </c>
      <c r="H178" t="s">
        <v>5136</v>
      </c>
      <c r="I178" t="s">
        <v>5137</v>
      </c>
      <c r="J178">
        <v>70163</v>
      </c>
      <c r="K178" t="s">
        <v>473</v>
      </c>
      <c r="L178" t="s">
        <v>5165</v>
      </c>
      <c r="M178" t="s">
        <v>72</v>
      </c>
      <c r="N178">
        <v>45484</v>
      </c>
      <c r="O178">
        <v>2895</v>
      </c>
      <c r="P178" t="s">
        <v>29</v>
      </c>
      <c r="Q178">
        <v>0</v>
      </c>
      <c r="R178" t="s">
        <v>47</v>
      </c>
      <c r="S178" t="s">
        <v>21</v>
      </c>
      <c r="T178" t="s">
        <v>29</v>
      </c>
    </row>
    <row r="179" spans="1:20" x14ac:dyDescent="0.3">
      <c r="A179" t="s">
        <v>474</v>
      </c>
      <c r="B179" t="s">
        <v>222</v>
      </c>
      <c r="C179" t="s">
        <v>172</v>
      </c>
      <c r="D179" t="s">
        <v>33</v>
      </c>
      <c r="E179" t="s">
        <v>5124</v>
      </c>
      <c r="F179" t="s">
        <v>5125</v>
      </c>
      <c r="G179" t="s">
        <v>16</v>
      </c>
      <c r="H179" t="s">
        <v>5136</v>
      </c>
      <c r="I179" t="s">
        <v>5137</v>
      </c>
      <c r="J179">
        <v>88314</v>
      </c>
      <c r="K179" t="s">
        <v>475</v>
      </c>
      <c r="L179" t="s">
        <v>5165</v>
      </c>
      <c r="M179" t="s">
        <v>19</v>
      </c>
      <c r="N179">
        <v>45389</v>
      </c>
      <c r="O179">
        <v>2351</v>
      </c>
      <c r="P179" t="s">
        <v>20</v>
      </c>
      <c r="Q179">
        <v>0</v>
      </c>
      <c r="R179" t="s">
        <v>52</v>
      </c>
      <c r="S179" t="s">
        <v>21</v>
      </c>
      <c r="T179" t="s">
        <v>29</v>
      </c>
    </row>
    <row r="180" spans="1:20" x14ac:dyDescent="0.3">
      <c r="A180" t="s">
        <v>476</v>
      </c>
      <c r="B180" t="s">
        <v>322</v>
      </c>
      <c r="C180" t="s">
        <v>185</v>
      </c>
      <c r="D180" t="s">
        <v>44</v>
      </c>
      <c r="E180" t="s">
        <v>223</v>
      </c>
      <c r="F180" t="s">
        <v>224</v>
      </c>
      <c r="G180" t="s">
        <v>50</v>
      </c>
      <c r="H180" t="s">
        <v>5136</v>
      </c>
      <c r="I180" t="s">
        <v>5137</v>
      </c>
      <c r="J180">
        <v>66665</v>
      </c>
      <c r="K180" t="s">
        <v>477</v>
      </c>
      <c r="L180" t="s">
        <v>142</v>
      </c>
      <c r="M180" t="s">
        <v>46</v>
      </c>
      <c r="N180">
        <v>45612</v>
      </c>
      <c r="O180">
        <v>1938</v>
      </c>
      <c r="P180" t="s">
        <v>20</v>
      </c>
      <c r="Q180">
        <v>0</v>
      </c>
      <c r="R180" t="s">
        <v>40</v>
      </c>
      <c r="S180" t="s">
        <v>21</v>
      </c>
      <c r="T180" t="s">
        <v>20</v>
      </c>
    </row>
    <row r="181" spans="1:20" x14ac:dyDescent="0.3">
      <c r="A181" t="s">
        <v>478</v>
      </c>
      <c r="B181" t="s">
        <v>215</v>
      </c>
      <c r="C181" t="s">
        <v>32</v>
      </c>
      <c r="D181" t="s">
        <v>5156</v>
      </c>
      <c r="E181" t="s">
        <v>5126</v>
      </c>
      <c r="F181" t="s">
        <v>5125</v>
      </c>
      <c r="G181" t="s">
        <v>16</v>
      </c>
      <c r="H181" t="s">
        <v>5142</v>
      </c>
      <c r="I181" t="s">
        <v>5143</v>
      </c>
      <c r="J181">
        <v>223444</v>
      </c>
      <c r="K181" t="s">
        <v>479</v>
      </c>
      <c r="L181" t="s">
        <v>5165</v>
      </c>
      <c r="M181" t="s">
        <v>19</v>
      </c>
      <c r="N181">
        <v>45520</v>
      </c>
      <c r="O181">
        <v>361</v>
      </c>
      <c r="P181" t="s">
        <v>20</v>
      </c>
      <c r="Q181">
        <v>4</v>
      </c>
      <c r="R181" t="s">
        <v>76</v>
      </c>
      <c r="S181" t="s">
        <v>21</v>
      </c>
      <c r="T181" t="s">
        <v>20</v>
      </c>
    </row>
    <row r="182" spans="1:20" x14ac:dyDescent="0.3">
      <c r="A182" t="s">
        <v>480</v>
      </c>
      <c r="B182" t="s">
        <v>84</v>
      </c>
      <c r="C182" t="s">
        <v>56</v>
      </c>
      <c r="D182" t="s">
        <v>104</v>
      </c>
      <c r="E182" t="s">
        <v>5126</v>
      </c>
      <c r="F182" t="s">
        <v>5125</v>
      </c>
      <c r="G182" t="s">
        <v>50</v>
      </c>
      <c r="H182" t="s">
        <v>5136</v>
      </c>
      <c r="I182" t="s">
        <v>5137</v>
      </c>
      <c r="J182">
        <v>77883</v>
      </c>
      <c r="K182" t="s">
        <v>481</v>
      </c>
      <c r="L182" t="s">
        <v>179</v>
      </c>
      <c r="M182" t="s">
        <v>72</v>
      </c>
      <c r="N182">
        <v>45506</v>
      </c>
      <c r="O182">
        <v>502</v>
      </c>
      <c r="P182" t="s">
        <v>92</v>
      </c>
      <c r="Q182">
        <v>0</v>
      </c>
      <c r="R182" t="s">
        <v>52</v>
      </c>
      <c r="S182" t="s">
        <v>21</v>
      </c>
      <c r="T182" t="s">
        <v>20</v>
      </c>
    </row>
    <row r="183" spans="1:20" x14ac:dyDescent="0.3">
      <c r="A183" t="s">
        <v>482</v>
      </c>
      <c r="B183" t="s">
        <v>99</v>
      </c>
      <c r="C183" t="s">
        <v>103</v>
      </c>
      <c r="D183" t="s">
        <v>140</v>
      </c>
      <c r="E183" t="s">
        <v>58</v>
      </c>
      <c r="F183" t="s">
        <v>59</v>
      </c>
      <c r="G183" t="s">
        <v>16</v>
      </c>
      <c r="H183" t="s">
        <v>5140</v>
      </c>
      <c r="I183" t="s">
        <v>5141</v>
      </c>
      <c r="J183">
        <v>93028</v>
      </c>
      <c r="K183" t="s">
        <v>483</v>
      </c>
      <c r="L183" t="s">
        <v>142</v>
      </c>
      <c r="M183" t="s">
        <v>46</v>
      </c>
      <c r="N183">
        <v>45332</v>
      </c>
      <c r="O183">
        <v>3518</v>
      </c>
      <c r="P183" t="s">
        <v>20</v>
      </c>
      <c r="Q183">
        <v>2</v>
      </c>
      <c r="R183" t="s">
        <v>52</v>
      </c>
      <c r="S183" t="s">
        <v>53</v>
      </c>
      <c r="T183" t="s">
        <v>29</v>
      </c>
    </row>
    <row r="184" spans="1:20" x14ac:dyDescent="0.3">
      <c r="A184" t="s">
        <v>484</v>
      </c>
      <c r="B184" t="s">
        <v>78</v>
      </c>
      <c r="C184" t="s">
        <v>121</v>
      </c>
      <c r="D184" t="s">
        <v>68</v>
      </c>
      <c r="E184" t="s">
        <v>5129</v>
      </c>
      <c r="F184" t="s">
        <v>5130</v>
      </c>
      <c r="G184" t="s">
        <v>16</v>
      </c>
      <c r="H184" t="s">
        <v>5138</v>
      </c>
      <c r="I184" t="s">
        <v>5139</v>
      </c>
      <c r="J184">
        <v>161447</v>
      </c>
      <c r="K184" t="s">
        <v>485</v>
      </c>
      <c r="L184" t="s">
        <v>5165</v>
      </c>
      <c r="M184" t="s">
        <v>39</v>
      </c>
      <c r="N184">
        <v>45367</v>
      </c>
      <c r="O184">
        <v>1091</v>
      </c>
      <c r="P184" t="s">
        <v>20</v>
      </c>
      <c r="Q184">
        <v>6</v>
      </c>
      <c r="R184" t="s">
        <v>52</v>
      </c>
      <c r="S184" t="s">
        <v>21</v>
      </c>
      <c r="T184" t="s">
        <v>20</v>
      </c>
    </row>
    <row r="185" spans="1:20" x14ac:dyDescent="0.3">
      <c r="A185" t="s">
        <v>486</v>
      </c>
      <c r="B185" t="s">
        <v>215</v>
      </c>
      <c r="C185" t="s">
        <v>232</v>
      </c>
      <c r="D185" t="s">
        <v>25</v>
      </c>
      <c r="E185" t="s">
        <v>5126</v>
      </c>
      <c r="F185" t="s">
        <v>5125</v>
      </c>
      <c r="G185" t="s">
        <v>16</v>
      </c>
      <c r="H185" t="s">
        <v>5142</v>
      </c>
      <c r="I185" t="s">
        <v>5143</v>
      </c>
      <c r="J185">
        <v>163026</v>
      </c>
      <c r="K185" t="s">
        <v>487</v>
      </c>
      <c r="L185" t="s">
        <v>5165</v>
      </c>
      <c r="M185" t="s">
        <v>39</v>
      </c>
      <c r="N185">
        <v>45603</v>
      </c>
      <c r="O185">
        <v>1393</v>
      </c>
      <c r="P185" t="s">
        <v>20</v>
      </c>
      <c r="Q185">
        <v>4</v>
      </c>
      <c r="R185" t="s">
        <v>40</v>
      </c>
      <c r="S185" t="s">
        <v>21</v>
      </c>
      <c r="T185" t="s">
        <v>20</v>
      </c>
    </row>
    <row r="186" spans="1:20" x14ac:dyDescent="0.3">
      <c r="A186" t="s">
        <v>488</v>
      </c>
      <c r="B186" t="s">
        <v>12</v>
      </c>
      <c r="C186" t="s">
        <v>197</v>
      </c>
      <c r="D186" t="s">
        <v>57</v>
      </c>
      <c r="E186" t="s">
        <v>58</v>
      </c>
      <c r="F186" t="s">
        <v>59</v>
      </c>
      <c r="G186" t="s">
        <v>16</v>
      </c>
      <c r="H186" t="s">
        <v>5140</v>
      </c>
      <c r="I186" t="s">
        <v>5141</v>
      </c>
      <c r="J186">
        <v>105575</v>
      </c>
      <c r="K186" t="s">
        <v>489</v>
      </c>
      <c r="L186" t="s">
        <v>142</v>
      </c>
      <c r="M186" t="s">
        <v>19</v>
      </c>
      <c r="N186">
        <v>45672</v>
      </c>
      <c r="O186">
        <v>3044</v>
      </c>
      <c r="P186" t="s">
        <v>20</v>
      </c>
      <c r="Q186">
        <v>2</v>
      </c>
      <c r="R186" t="s">
        <v>76</v>
      </c>
      <c r="S186" t="s">
        <v>53</v>
      </c>
      <c r="T186" t="s">
        <v>20</v>
      </c>
    </row>
    <row r="187" spans="1:20" x14ac:dyDescent="0.3">
      <c r="A187" t="s">
        <v>490</v>
      </c>
      <c r="B187" t="s">
        <v>124</v>
      </c>
      <c r="C187" t="s">
        <v>109</v>
      </c>
      <c r="D187" t="s">
        <v>5156</v>
      </c>
      <c r="E187" t="s">
        <v>5128</v>
      </c>
      <c r="F187" t="s">
        <v>5125</v>
      </c>
      <c r="G187" t="s">
        <v>16</v>
      </c>
      <c r="H187" t="s">
        <v>5140</v>
      </c>
      <c r="I187" t="s">
        <v>5141</v>
      </c>
      <c r="J187">
        <v>124137</v>
      </c>
      <c r="K187" t="s">
        <v>491</v>
      </c>
      <c r="L187" t="s">
        <v>238</v>
      </c>
      <c r="M187" t="s">
        <v>19</v>
      </c>
      <c r="N187">
        <v>45551</v>
      </c>
      <c r="O187">
        <v>217</v>
      </c>
      <c r="P187" t="s">
        <v>92</v>
      </c>
      <c r="Q187">
        <v>2</v>
      </c>
      <c r="R187" t="s">
        <v>47</v>
      </c>
      <c r="S187" t="s">
        <v>21</v>
      </c>
      <c r="T187" t="s">
        <v>20</v>
      </c>
    </row>
    <row r="188" spans="1:20" x14ac:dyDescent="0.3">
      <c r="A188" t="s">
        <v>492</v>
      </c>
      <c r="B188" t="s">
        <v>124</v>
      </c>
      <c r="C188" t="s">
        <v>219</v>
      </c>
      <c r="D188" t="s">
        <v>167</v>
      </c>
      <c r="E188" t="s">
        <v>5129</v>
      </c>
      <c r="F188" t="s">
        <v>5130</v>
      </c>
      <c r="G188" t="s">
        <v>36</v>
      </c>
      <c r="H188" t="s">
        <v>5138</v>
      </c>
      <c r="I188" t="s">
        <v>5139</v>
      </c>
      <c r="J188">
        <v>217036</v>
      </c>
      <c r="K188" t="s">
        <v>493</v>
      </c>
      <c r="L188" t="s">
        <v>87</v>
      </c>
      <c r="M188" t="s">
        <v>19</v>
      </c>
      <c r="N188">
        <v>45415</v>
      </c>
      <c r="O188">
        <v>3077</v>
      </c>
      <c r="P188" t="s">
        <v>20</v>
      </c>
      <c r="Q188">
        <v>6</v>
      </c>
      <c r="R188" t="s">
        <v>5116</v>
      </c>
      <c r="S188" t="s">
        <v>21</v>
      </c>
      <c r="T188" t="s">
        <v>29</v>
      </c>
    </row>
    <row r="189" spans="1:20" x14ac:dyDescent="0.3">
      <c r="A189" t="s">
        <v>494</v>
      </c>
      <c r="B189" t="s">
        <v>215</v>
      </c>
      <c r="C189" t="s">
        <v>185</v>
      </c>
      <c r="D189" t="s">
        <v>118</v>
      </c>
      <c r="E189" t="s">
        <v>26</v>
      </c>
      <c r="F189" t="s">
        <v>27</v>
      </c>
      <c r="G189" t="s">
        <v>36</v>
      </c>
      <c r="H189" t="s">
        <v>5140</v>
      </c>
      <c r="I189" t="s">
        <v>5141</v>
      </c>
      <c r="J189">
        <v>108557</v>
      </c>
      <c r="K189" t="s">
        <v>495</v>
      </c>
      <c r="L189" t="s">
        <v>179</v>
      </c>
      <c r="M189" t="s">
        <v>46</v>
      </c>
      <c r="N189">
        <v>45638</v>
      </c>
      <c r="O189">
        <v>926</v>
      </c>
      <c r="P189" t="s">
        <v>20</v>
      </c>
      <c r="Q189">
        <v>2</v>
      </c>
      <c r="R189" t="s">
        <v>40</v>
      </c>
      <c r="S189" t="s">
        <v>53</v>
      </c>
      <c r="T189" t="s">
        <v>20</v>
      </c>
    </row>
    <row r="190" spans="1:20" x14ac:dyDescent="0.3">
      <c r="A190" t="s">
        <v>496</v>
      </c>
      <c r="B190" t="s">
        <v>31</v>
      </c>
      <c r="C190" t="s">
        <v>49</v>
      </c>
      <c r="D190" t="s">
        <v>104</v>
      </c>
      <c r="E190" t="s">
        <v>5126</v>
      </c>
      <c r="F190" t="s">
        <v>5125</v>
      </c>
      <c r="G190" t="s">
        <v>50</v>
      </c>
      <c r="H190" t="s">
        <v>5138</v>
      </c>
      <c r="I190" t="s">
        <v>5139</v>
      </c>
      <c r="J190">
        <v>169515</v>
      </c>
      <c r="K190" t="s">
        <v>497</v>
      </c>
      <c r="L190" t="s">
        <v>5165</v>
      </c>
      <c r="M190" t="s">
        <v>19</v>
      </c>
      <c r="N190">
        <v>45527</v>
      </c>
      <c r="O190">
        <v>2723</v>
      </c>
      <c r="P190" t="s">
        <v>92</v>
      </c>
      <c r="Q190">
        <v>6</v>
      </c>
      <c r="R190" t="s">
        <v>40</v>
      </c>
      <c r="S190" t="s">
        <v>21</v>
      </c>
      <c r="T190" t="s">
        <v>20</v>
      </c>
    </row>
    <row r="191" spans="1:20" x14ac:dyDescent="0.3">
      <c r="A191" t="s">
        <v>498</v>
      </c>
      <c r="B191" t="s">
        <v>74</v>
      </c>
      <c r="C191" t="s">
        <v>90</v>
      </c>
      <c r="D191" t="s">
        <v>25</v>
      </c>
      <c r="E191" t="s">
        <v>5129</v>
      </c>
      <c r="F191" t="s">
        <v>5130</v>
      </c>
      <c r="G191" t="s">
        <v>36</v>
      </c>
      <c r="H191" t="s">
        <v>5142</v>
      </c>
      <c r="I191" t="s">
        <v>5143</v>
      </c>
      <c r="J191">
        <v>109099</v>
      </c>
      <c r="K191" t="s">
        <v>499</v>
      </c>
      <c r="L191" t="s">
        <v>5165</v>
      </c>
      <c r="M191" t="s">
        <v>19</v>
      </c>
      <c r="N191">
        <v>45464</v>
      </c>
      <c r="O191">
        <v>3145</v>
      </c>
      <c r="P191" t="s">
        <v>29</v>
      </c>
      <c r="Q191">
        <v>4</v>
      </c>
      <c r="R191" t="s">
        <v>5116</v>
      </c>
      <c r="S191" t="s">
        <v>53</v>
      </c>
      <c r="T191" t="s">
        <v>20</v>
      </c>
    </row>
    <row r="192" spans="1:20" x14ac:dyDescent="0.3">
      <c r="A192" t="s">
        <v>500</v>
      </c>
      <c r="B192" t="s">
        <v>78</v>
      </c>
      <c r="C192" t="s">
        <v>49</v>
      </c>
      <c r="D192" t="s">
        <v>140</v>
      </c>
      <c r="E192" t="s">
        <v>5124</v>
      </c>
      <c r="F192" t="s">
        <v>5125</v>
      </c>
      <c r="G192" t="s">
        <v>36</v>
      </c>
      <c r="H192" t="s">
        <v>5138</v>
      </c>
      <c r="I192" t="s">
        <v>5139</v>
      </c>
      <c r="J192">
        <v>183925</v>
      </c>
      <c r="K192" t="s">
        <v>501</v>
      </c>
      <c r="L192" t="s">
        <v>134</v>
      </c>
      <c r="M192" t="s">
        <v>39</v>
      </c>
      <c r="N192">
        <v>45661</v>
      </c>
      <c r="O192">
        <v>1415</v>
      </c>
      <c r="P192" t="s">
        <v>20</v>
      </c>
      <c r="Q192">
        <v>6</v>
      </c>
      <c r="R192" t="s">
        <v>47</v>
      </c>
      <c r="S192" t="s">
        <v>21</v>
      </c>
      <c r="T192" t="s">
        <v>20</v>
      </c>
    </row>
    <row r="193" spans="1:20" x14ac:dyDescent="0.3">
      <c r="A193" t="s">
        <v>502</v>
      </c>
      <c r="B193" t="s">
        <v>89</v>
      </c>
      <c r="C193" t="s">
        <v>67</v>
      </c>
      <c r="D193" t="s">
        <v>118</v>
      </c>
      <c r="E193" t="s">
        <v>69</v>
      </c>
      <c r="F193" t="s">
        <v>70</v>
      </c>
      <c r="G193" t="s">
        <v>16</v>
      </c>
      <c r="H193" t="s">
        <v>5142</v>
      </c>
      <c r="I193" t="s">
        <v>5143</v>
      </c>
      <c r="J193">
        <v>173122</v>
      </c>
      <c r="K193" t="s">
        <v>503</v>
      </c>
      <c r="L193" t="s">
        <v>5165</v>
      </c>
      <c r="M193" t="s">
        <v>72</v>
      </c>
      <c r="N193">
        <v>45379</v>
      </c>
      <c r="O193">
        <v>2690</v>
      </c>
      <c r="P193" t="s">
        <v>29</v>
      </c>
      <c r="Q193">
        <v>4</v>
      </c>
      <c r="R193" t="s">
        <v>40</v>
      </c>
      <c r="S193" t="s">
        <v>21</v>
      </c>
      <c r="T193" t="s">
        <v>20</v>
      </c>
    </row>
    <row r="194" spans="1:20" x14ac:dyDescent="0.3">
      <c r="A194" t="s">
        <v>504</v>
      </c>
      <c r="B194" t="s">
        <v>322</v>
      </c>
      <c r="C194" t="s">
        <v>103</v>
      </c>
      <c r="D194" t="s">
        <v>57</v>
      </c>
      <c r="E194" t="s">
        <v>5133</v>
      </c>
      <c r="F194" t="s">
        <v>5125</v>
      </c>
      <c r="G194" t="s">
        <v>16</v>
      </c>
      <c r="H194" t="s">
        <v>5142</v>
      </c>
      <c r="I194" t="s">
        <v>5143</v>
      </c>
      <c r="J194">
        <v>155780</v>
      </c>
      <c r="K194" t="s">
        <v>505</v>
      </c>
      <c r="L194" t="s">
        <v>18</v>
      </c>
      <c r="M194" t="s">
        <v>39</v>
      </c>
      <c r="N194">
        <v>45442</v>
      </c>
      <c r="O194">
        <v>500</v>
      </c>
      <c r="P194" t="s">
        <v>92</v>
      </c>
      <c r="Q194">
        <v>4</v>
      </c>
      <c r="R194" t="s">
        <v>52</v>
      </c>
      <c r="S194" t="s">
        <v>21</v>
      </c>
      <c r="T194" t="s">
        <v>29</v>
      </c>
    </row>
    <row r="195" spans="1:20" x14ac:dyDescent="0.3">
      <c r="A195" t="s">
        <v>506</v>
      </c>
      <c r="B195" t="s">
        <v>55</v>
      </c>
      <c r="C195" t="s">
        <v>24</v>
      </c>
      <c r="D195" t="s">
        <v>5156</v>
      </c>
      <c r="E195" t="s">
        <v>80</v>
      </c>
      <c r="F195" t="s">
        <v>80</v>
      </c>
      <c r="G195" t="s">
        <v>16</v>
      </c>
      <c r="H195" t="s">
        <v>5140</v>
      </c>
      <c r="I195" t="s">
        <v>5141</v>
      </c>
      <c r="J195">
        <v>85334</v>
      </c>
      <c r="K195" t="s">
        <v>507</v>
      </c>
      <c r="L195" t="s">
        <v>61</v>
      </c>
      <c r="M195" t="s">
        <v>19</v>
      </c>
      <c r="N195">
        <v>45583</v>
      </c>
      <c r="O195">
        <v>867</v>
      </c>
      <c r="P195" t="s">
        <v>20</v>
      </c>
      <c r="Q195">
        <v>2</v>
      </c>
      <c r="R195" t="s">
        <v>47</v>
      </c>
      <c r="S195" t="s">
        <v>21</v>
      </c>
      <c r="T195" t="s">
        <v>29</v>
      </c>
    </row>
    <row r="196" spans="1:20" x14ac:dyDescent="0.3">
      <c r="A196" t="s">
        <v>508</v>
      </c>
      <c r="B196" t="s">
        <v>63</v>
      </c>
      <c r="C196" t="s">
        <v>117</v>
      </c>
      <c r="D196" t="s">
        <v>167</v>
      </c>
      <c r="E196" t="s">
        <v>209</v>
      </c>
      <c r="F196" t="s">
        <v>210</v>
      </c>
      <c r="G196" t="s">
        <v>16</v>
      </c>
      <c r="H196" t="s">
        <v>5140</v>
      </c>
      <c r="I196" t="s">
        <v>5141</v>
      </c>
      <c r="J196">
        <v>113428</v>
      </c>
      <c r="K196" t="s">
        <v>509</v>
      </c>
      <c r="L196" t="s">
        <v>38</v>
      </c>
      <c r="M196" t="s">
        <v>39</v>
      </c>
      <c r="N196">
        <v>45511</v>
      </c>
      <c r="O196">
        <v>790</v>
      </c>
      <c r="P196" t="s">
        <v>29</v>
      </c>
      <c r="Q196">
        <v>2</v>
      </c>
      <c r="R196" t="s">
        <v>5116</v>
      </c>
      <c r="S196" t="s">
        <v>21</v>
      </c>
      <c r="T196" t="s">
        <v>29</v>
      </c>
    </row>
    <row r="197" spans="1:20" x14ac:dyDescent="0.3">
      <c r="A197" t="s">
        <v>510</v>
      </c>
      <c r="B197" t="s">
        <v>218</v>
      </c>
      <c r="C197" t="s">
        <v>188</v>
      </c>
      <c r="D197" t="s">
        <v>68</v>
      </c>
      <c r="E197" t="s">
        <v>58</v>
      </c>
      <c r="F197" t="s">
        <v>59</v>
      </c>
      <c r="G197" t="s">
        <v>16</v>
      </c>
      <c r="H197" t="s">
        <v>5142</v>
      </c>
      <c r="I197" t="s">
        <v>5143</v>
      </c>
      <c r="J197">
        <v>160403</v>
      </c>
      <c r="K197" t="s">
        <v>511</v>
      </c>
      <c r="L197" t="s">
        <v>5165</v>
      </c>
      <c r="M197" t="s">
        <v>46</v>
      </c>
      <c r="N197">
        <v>45549</v>
      </c>
      <c r="O197">
        <v>1413</v>
      </c>
      <c r="P197" t="s">
        <v>92</v>
      </c>
      <c r="Q197">
        <v>4</v>
      </c>
      <c r="R197" t="s">
        <v>52</v>
      </c>
      <c r="S197" t="s">
        <v>21</v>
      </c>
      <c r="T197" t="s">
        <v>29</v>
      </c>
    </row>
    <row r="198" spans="1:20" x14ac:dyDescent="0.3">
      <c r="A198" t="s">
        <v>512</v>
      </c>
      <c r="B198" t="s">
        <v>130</v>
      </c>
      <c r="C198" t="s">
        <v>175</v>
      </c>
      <c r="D198" t="s">
        <v>5156</v>
      </c>
      <c r="E198" t="s">
        <v>26</v>
      </c>
      <c r="F198" t="s">
        <v>27</v>
      </c>
      <c r="G198" t="s">
        <v>16</v>
      </c>
      <c r="H198" t="s">
        <v>5136</v>
      </c>
      <c r="I198" t="s">
        <v>5137</v>
      </c>
      <c r="J198">
        <v>58863</v>
      </c>
      <c r="K198" t="s">
        <v>513</v>
      </c>
      <c r="L198" t="s">
        <v>38</v>
      </c>
      <c r="M198" t="s">
        <v>46</v>
      </c>
      <c r="N198">
        <v>45359</v>
      </c>
      <c r="O198">
        <v>3169</v>
      </c>
      <c r="P198" t="s">
        <v>20</v>
      </c>
      <c r="Q198">
        <v>0</v>
      </c>
      <c r="R198" t="s">
        <v>5116</v>
      </c>
      <c r="S198" t="s">
        <v>21</v>
      </c>
      <c r="T198" t="s">
        <v>29</v>
      </c>
    </row>
    <row r="199" spans="1:20" x14ac:dyDescent="0.3">
      <c r="A199" t="s">
        <v>514</v>
      </c>
      <c r="B199" t="s">
        <v>12</v>
      </c>
      <c r="C199" t="s">
        <v>172</v>
      </c>
      <c r="D199" t="s">
        <v>140</v>
      </c>
      <c r="E199" t="s">
        <v>5127</v>
      </c>
      <c r="F199" t="s">
        <v>5125</v>
      </c>
      <c r="G199" t="s">
        <v>36</v>
      </c>
      <c r="H199" t="s">
        <v>5136</v>
      </c>
      <c r="I199" t="s">
        <v>5137</v>
      </c>
      <c r="J199">
        <v>71936</v>
      </c>
      <c r="K199" t="s">
        <v>515</v>
      </c>
      <c r="L199" t="s">
        <v>179</v>
      </c>
      <c r="M199" t="s">
        <v>46</v>
      </c>
      <c r="N199">
        <v>45505</v>
      </c>
      <c r="O199">
        <v>1115</v>
      </c>
      <c r="P199" t="s">
        <v>20</v>
      </c>
      <c r="Q199">
        <v>0</v>
      </c>
      <c r="R199" t="s">
        <v>47</v>
      </c>
      <c r="S199" t="s">
        <v>21</v>
      </c>
      <c r="T199" t="s">
        <v>20</v>
      </c>
    </row>
    <row r="200" spans="1:20" x14ac:dyDescent="0.3">
      <c r="A200" t="s">
        <v>516</v>
      </c>
      <c r="B200" t="s">
        <v>124</v>
      </c>
      <c r="C200" t="s">
        <v>219</v>
      </c>
      <c r="D200" t="s">
        <v>140</v>
      </c>
      <c r="E200" t="s">
        <v>223</v>
      </c>
      <c r="F200" t="s">
        <v>224</v>
      </c>
      <c r="G200" t="s">
        <v>16</v>
      </c>
      <c r="H200" t="s">
        <v>5136</v>
      </c>
      <c r="I200" t="s">
        <v>5137</v>
      </c>
      <c r="J200">
        <v>70733</v>
      </c>
      <c r="K200" t="s">
        <v>517</v>
      </c>
      <c r="L200" t="s">
        <v>5165</v>
      </c>
      <c r="M200" t="s">
        <v>19</v>
      </c>
      <c r="N200">
        <v>45346</v>
      </c>
      <c r="O200">
        <v>2255</v>
      </c>
      <c r="P200" t="s">
        <v>20</v>
      </c>
      <c r="Q200">
        <v>0</v>
      </c>
      <c r="R200" t="s">
        <v>47</v>
      </c>
      <c r="S200" t="s">
        <v>21</v>
      </c>
      <c r="T200" t="s">
        <v>20</v>
      </c>
    </row>
    <row r="201" spans="1:20" x14ac:dyDescent="0.3">
      <c r="A201" t="s">
        <v>518</v>
      </c>
      <c r="B201" t="s">
        <v>84</v>
      </c>
      <c r="C201" t="s">
        <v>94</v>
      </c>
      <c r="D201" t="s">
        <v>25</v>
      </c>
      <c r="E201" t="s">
        <v>5132</v>
      </c>
      <c r="F201" t="s">
        <v>5125</v>
      </c>
      <c r="G201" t="s">
        <v>36</v>
      </c>
      <c r="H201" t="s">
        <v>5136</v>
      </c>
      <c r="I201" t="s">
        <v>5137</v>
      </c>
      <c r="J201">
        <v>55598</v>
      </c>
      <c r="K201" t="s">
        <v>519</v>
      </c>
      <c r="L201" t="s">
        <v>5165</v>
      </c>
      <c r="M201" t="s">
        <v>46</v>
      </c>
      <c r="N201">
        <v>45348</v>
      </c>
      <c r="O201">
        <v>1222</v>
      </c>
      <c r="P201" t="s">
        <v>20</v>
      </c>
      <c r="Q201">
        <v>0</v>
      </c>
      <c r="R201" t="s">
        <v>5116</v>
      </c>
      <c r="S201" t="s">
        <v>21</v>
      </c>
      <c r="T201" t="s">
        <v>29</v>
      </c>
    </row>
    <row r="202" spans="1:20" x14ac:dyDescent="0.3">
      <c r="A202" t="s">
        <v>520</v>
      </c>
      <c r="B202" t="s">
        <v>222</v>
      </c>
      <c r="C202" t="s">
        <v>43</v>
      </c>
      <c r="D202" t="s">
        <v>118</v>
      </c>
      <c r="E202" t="s">
        <v>5133</v>
      </c>
      <c r="F202" t="s">
        <v>5125</v>
      </c>
      <c r="G202" t="s">
        <v>50</v>
      </c>
      <c r="H202" t="s">
        <v>5142</v>
      </c>
      <c r="I202" t="s">
        <v>5143</v>
      </c>
      <c r="J202">
        <v>159660</v>
      </c>
      <c r="K202" t="s">
        <v>521</v>
      </c>
      <c r="L202" t="s">
        <v>5165</v>
      </c>
      <c r="M202" t="s">
        <v>46</v>
      </c>
      <c r="N202">
        <v>45452</v>
      </c>
      <c r="O202">
        <v>3922</v>
      </c>
      <c r="P202" t="s">
        <v>20</v>
      </c>
      <c r="Q202">
        <v>4</v>
      </c>
      <c r="R202" t="s">
        <v>5116</v>
      </c>
      <c r="S202" t="s">
        <v>21</v>
      </c>
      <c r="T202" t="s">
        <v>29</v>
      </c>
    </row>
    <row r="203" spans="1:20" x14ac:dyDescent="0.3">
      <c r="A203" t="s">
        <v>522</v>
      </c>
      <c r="B203" t="s">
        <v>12</v>
      </c>
      <c r="C203" t="s">
        <v>160</v>
      </c>
      <c r="D203" t="s">
        <v>44</v>
      </c>
      <c r="E203" t="s">
        <v>5126</v>
      </c>
      <c r="F203" t="s">
        <v>5125</v>
      </c>
      <c r="G203" t="s">
        <v>50</v>
      </c>
      <c r="H203" t="s">
        <v>5138</v>
      </c>
      <c r="I203" t="s">
        <v>5139</v>
      </c>
      <c r="J203">
        <v>220188</v>
      </c>
      <c r="K203" t="s">
        <v>523</v>
      </c>
      <c r="L203" t="s">
        <v>5165</v>
      </c>
      <c r="M203" t="s">
        <v>19</v>
      </c>
      <c r="N203">
        <v>45431</v>
      </c>
      <c r="O203">
        <v>3870</v>
      </c>
      <c r="P203" t="s">
        <v>20</v>
      </c>
      <c r="Q203">
        <v>6</v>
      </c>
      <c r="R203" t="s">
        <v>5116</v>
      </c>
      <c r="S203" t="s">
        <v>21</v>
      </c>
      <c r="T203" t="s">
        <v>20</v>
      </c>
    </row>
    <row r="204" spans="1:20" x14ac:dyDescent="0.3">
      <c r="A204" t="s">
        <v>524</v>
      </c>
      <c r="B204" t="s">
        <v>136</v>
      </c>
      <c r="C204" t="s">
        <v>79</v>
      </c>
      <c r="D204" t="s">
        <v>118</v>
      </c>
      <c r="E204" t="s">
        <v>95</v>
      </c>
      <c r="F204" t="s">
        <v>96</v>
      </c>
      <c r="G204" t="s">
        <v>36</v>
      </c>
      <c r="H204" t="s">
        <v>5138</v>
      </c>
      <c r="I204" t="s">
        <v>5139</v>
      </c>
      <c r="J204">
        <v>238989</v>
      </c>
      <c r="K204" t="s">
        <v>525</v>
      </c>
      <c r="L204" t="s">
        <v>5165</v>
      </c>
      <c r="M204" t="s">
        <v>46</v>
      </c>
      <c r="N204">
        <v>45690</v>
      </c>
      <c r="O204">
        <v>472</v>
      </c>
      <c r="P204" t="s">
        <v>92</v>
      </c>
      <c r="Q204">
        <v>6</v>
      </c>
      <c r="R204" t="s">
        <v>52</v>
      </c>
      <c r="S204" t="s">
        <v>21</v>
      </c>
      <c r="T204" t="s">
        <v>29</v>
      </c>
    </row>
    <row r="205" spans="1:20" x14ac:dyDescent="0.3">
      <c r="A205" t="s">
        <v>526</v>
      </c>
      <c r="B205" t="s">
        <v>229</v>
      </c>
      <c r="C205" t="s">
        <v>43</v>
      </c>
      <c r="D205" t="s">
        <v>33</v>
      </c>
      <c r="E205" t="s">
        <v>69</v>
      </c>
      <c r="F205" t="s">
        <v>70</v>
      </c>
      <c r="G205" t="s">
        <v>36</v>
      </c>
      <c r="H205" t="s">
        <v>5136</v>
      </c>
      <c r="I205" t="s">
        <v>5137</v>
      </c>
      <c r="J205">
        <v>83277</v>
      </c>
      <c r="K205" t="s">
        <v>527</v>
      </c>
      <c r="L205" t="s">
        <v>134</v>
      </c>
      <c r="M205" t="s">
        <v>46</v>
      </c>
      <c r="N205">
        <v>45587</v>
      </c>
      <c r="O205">
        <v>618</v>
      </c>
      <c r="P205" t="s">
        <v>20</v>
      </c>
      <c r="Q205">
        <v>0</v>
      </c>
      <c r="R205" t="s">
        <v>76</v>
      </c>
      <c r="S205" t="s">
        <v>53</v>
      </c>
      <c r="T205" t="s">
        <v>20</v>
      </c>
    </row>
    <row r="206" spans="1:20" x14ac:dyDescent="0.3">
      <c r="A206" t="s">
        <v>528</v>
      </c>
      <c r="B206" t="s">
        <v>144</v>
      </c>
      <c r="C206" t="s">
        <v>125</v>
      </c>
      <c r="D206" t="s">
        <v>68</v>
      </c>
      <c r="E206" t="s">
        <v>69</v>
      </c>
      <c r="F206" t="s">
        <v>70</v>
      </c>
      <c r="G206" t="s">
        <v>50</v>
      </c>
      <c r="H206" t="s">
        <v>5140</v>
      </c>
      <c r="I206" t="s">
        <v>5141</v>
      </c>
      <c r="J206">
        <v>82722</v>
      </c>
      <c r="K206" t="s">
        <v>529</v>
      </c>
      <c r="L206" t="s">
        <v>113</v>
      </c>
      <c r="M206" t="s">
        <v>19</v>
      </c>
      <c r="N206">
        <v>45728</v>
      </c>
      <c r="O206">
        <v>1661</v>
      </c>
      <c r="P206" t="s">
        <v>20</v>
      </c>
      <c r="Q206">
        <v>2</v>
      </c>
      <c r="R206" t="s">
        <v>5116</v>
      </c>
      <c r="S206" t="s">
        <v>21</v>
      </c>
      <c r="T206" t="s">
        <v>20</v>
      </c>
    </row>
    <row r="207" spans="1:20" x14ac:dyDescent="0.3">
      <c r="A207" t="s">
        <v>530</v>
      </c>
      <c r="B207" t="s">
        <v>165</v>
      </c>
      <c r="C207" t="s">
        <v>117</v>
      </c>
      <c r="D207" t="s">
        <v>44</v>
      </c>
      <c r="E207" t="s">
        <v>152</v>
      </c>
      <c r="F207" t="s">
        <v>153</v>
      </c>
      <c r="G207" t="s">
        <v>16</v>
      </c>
      <c r="H207" t="s">
        <v>5136</v>
      </c>
      <c r="I207" t="s">
        <v>5137</v>
      </c>
      <c r="J207">
        <v>58183</v>
      </c>
      <c r="K207" t="s">
        <v>531</v>
      </c>
      <c r="L207" t="s">
        <v>87</v>
      </c>
      <c r="M207" t="s">
        <v>39</v>
      </c>
      <c r="N207">
        <v>45352</v>
      </c>
      <c r="O207">
        <v>3655</v>
      </c>
      <c r="P207" t="s">
        <v>20</v>
      </c>
      <c r="Q207">
        <v>0</v>
      </c>
      <c r="R207" t="s">
        <v>47</v>
      </c>
      <c r="S207" t="s">
        <v>21</v>
      </c>
      <c r="T207" t="s">
        <v>20</v>
      </c>
    </row>
    <row r="208" spans="1:20" x14ac:dyDescent="0.3">
      <c r="A208" t="s">
        <v>532</v>
      </c>
      <c r="B208" t="s">
        <v>229</v>
      </c>
      <c r="C208" t="s">
        <v>219</v>
      </c>
      <c r="D208" t="s">
        <v>57</v>
      </c>
      <c r="E208" t="s">
        <v>5127</v>
      </c>
      <c r="F208" t="s">
        <v>5125</v>
      </c>
      <c r="G208" t="s">
        <v>50</v>
      </c>
      <c r="H208" t="s">
        <v>5142</v>
      </c>
      <c r="I208" t="s">
        <v>5143</v>
      </c>
      <c r="J208">
        <v>163905</v>
      </c>
      <c r="K208" t="s">
        <v>533</v>
      </c>
      <c r="L208" t="s">
        <v>5165</v>
      </c>
      <c r="M208" t="s">
        <v>19</v>
      </c>
      <c r="N208">
        <v>45724</v>
      </c>
      <c r="O208">
        <v>18</v>
      </c>
      <c r="P208" t="s">
        <v>20</v>
      </c>
      <c r="Q208">
        <v>4</v>
      </c>
      <c r="R208" t="s">
        <v>40</v>
      </c>
      <c r="S208" t="s">
        <v>21</v>
      </c>
      <c r="T208" t="s">
        <v>29</v>
      </c>
    </row>
    <row r="209" spans="1:20" x14ac:dyDescent="0.3">
      <c r="A209" t="s">
        <v>534</v>
      </c>
      <c r="B209" t="s">
        <v>12</v>
      </c>
      <c r="C209" t="s">
        <v>49</v>
      </c>
      <c r="D209" t="s">
        <v>33</v>
      </c>
      <c r="E209" t="s">
        <v>95</v>
      </c>
      <c r="F209" t="s">
        <v>96</v>
      </c>
      <c r="G209" t="s">
        <v>36</v>
      </c>
      <c r="H209" t="s">
        <v>5136</v>
      </c>
      <c r="I209" t="s">
        <v>5137</v>
      </c>
      <c r="J209">
        <v>76473</v>
      </c>
      <c r="K209" t="s">
        <v>535</v>
      </c>
      <c r="L209" t="s">
        <v>5165</v>
      </c>
      <c r="M209" t="s">
        <v>46</v>
      </c>
      <c r="N209">
        <v>45712</v>
      </c>
      <c r="O209">
        <v>2945</v>
      </c>
      <c r="P209" t="s">
        <v>20</v>
      </c>
      <c r="Q209">
        <v>0</v>
      </c>
      <c r="R209" t="s">
        <v>52</v>
      </c>
      <c r="S209" t="s">
        <v>21</v>
      </c>
      <c r="T209" t="s">
        <v>20</v>
      </c>
    </row>
    <row r="210" spans="1:20" x14ac:dyDescent="0.3">
      <c r="A210" t="s">
        <v>536</v>
      </c>
      <c r="B210" t="s">
        <v>136</v>
      </c>
      <c r="C210" t="s">
        <v>109</v>
      </c>
      <c r="D210" t="s">
        <v>104</v>
      </c>
      <c r="E210" t="s">
        <v>34</v>
      </c>
      <c r="F210" t="s">
        <v>35</v>
      </c>
      <c r="G210" t="s">
        <v>36</v>
      </c>
      <c r="H210" t="s">
        <v>5136</v>
      </c>
      <c r="I210" t="s">
        <v>5137</v>
      </c>
      <c r="J210">
        <v>76489</v>
      </c>
      <c r="K210" t="s">
        <v>537</v>
      </c>
      <c r="L210" t="s">
        <v>5165</v>
      </c>
      <c r="M210" t="s">
        <v>46</v>
      </c>
      <c r="N210">
        <v>45593</v>
      </c>
      <c r="O210">
        <v>3209</v>
      </c>
      <c r="P210" t="s">
        <v>92</v>
      </c>
      <c r="Q210">
        <v>0</v>
      </c>
      <c r="R210" t="s">
        <v>47</v>
      </c>
      <c r="S210" t="s">
        <v>21</v>
      </c>
      <c r="T210" t="s">
        <v>29</v>
      </c>
    </row>
    <row r="211" spans="1:20" x14ac:dyDescent="0.3">
      <c r="A211" t="s">
        <v>538</v>
      </c>
      <c r="B211" t="s">
        <v>55</v>
      </c>
      <c r="C211" t="s">
        <v>64</v>
      </c>
      <c r="D211" t="s">
        <v>33</v>
      </c>
      <c r="E211" t="s">
        <v>5126</v>
      </c>
      <c r="F211" t="s">
        <v>5125</v>
      </c>
      <c r="G211" t="s">
        <v>36</v>
      </c>
      <c r="H211" t="s">
        <v>5136</v>
      </c>
      <c r="I211" t="s">
        <v>5137</v>
      </c>
      <c r="J211">
        <v>118544</v>
      </c>
      <c r="K211" t="s">
        <v>539</v>
      </c>
      <c r="L211" t="s">
        <v>5165</v>
      </c>
      <c r="M211" t="s">
        <v>19</v>
      </c>
      <c r="N211">
        <v>45602</v>
      </c>
      <c r="O211">
        <v>3985</v>
      </c>
      <c r="P211" t="s">
        <v>20</v>
      </c>
      <c r="Q211">
        <v>0</v>
      </c>
      <c r="R211" t="s">
        <v>47</v>
      </c>
      <c r="S211" t="s">
        <v>21</v>
      </c>
      <c r="T211" t="s">
        <v>20</v>
      </c>
    </row>
    <row r="212" spans="1:20" x14ac:dyDescent="0.3">
      <c r="A212" t="s">
        <v>540</v>
      </c>
      <c r="B212" t="s">
        <v>124</v>
      </c>
      <c r="C212" t="s">
        <v>232</v>
      </c>
      <c r="D212" t="s">
        <v>118</v>
      </c>
      <c r="E212" t="s">
        <v>126</v>
      </c>
      <c r="F212" t="s">
        <v>127</v>
      </c>
      <c r="G212" t="s">
        <v>50</v>
      </c>
      <c r="H212" t="s">
        <v>5142</v>
      </c>
      <c r="I212" t="s">
        <v>5143</v>
      </c>
      <c r="J212">
        <v>165414</v>
      </c>
      <c r="K212" t="s">
        <v>541</v>
      </c>
      <c r="L212" t="s">
        <v>5165</v>
      </c>
      <c r="M212" t="s">
        <v>72</v>
      </c>
      <c r="N212">
        <v>45656</v>
      </c>
      <c r="O212">
        <v>2073</v>
      </c>
      <c r="P212" t="s">
        <v>20</v>
      </c>
      <c r="Q212">
        <v>4</v>
      </c>
      <c r="R212" t="s">
        <v>40</v>
      </c>
      <c r="S212" t="s">
        <v>53</v>
      </c>
      <c r="T212" t="s">
        <v>20</v>
      </c>
    </row>
    <row r="213" spans="1:20" x14ac:dyDescent="0.3">
      <c r="A213" t="s">
        <v>542</v>
      </c>
      <c r="B213" t="s">
        <v>23</v>
      </c>
      <c r="C213" t="s">
        <v>56</v>
      </c>
      <c r="D213" t="s">
        <v>44</v>
      </c>
      <c r="E213" t="s">
        <v>193</v>
      </c>
      <c r="F213" t="s">
        <v>194</v>
      </c>
      <c r="G213" t="s">
        <v>36</v>
      </c>
      <c r="H213" t="s">
        <v>5138</v>
      </c>
      <c r="I213" t="s">
        <v>5139</v>
      </c>
      <c r="J213">
        <v>240880</v>
      </c>
      <c r="K213" t="s">
        <v>543</v>
      </c>
      <c r="L213" t="s">
        <v>5165</v>
      </c>
      <c r="M213" t="s">
        <v>19</v>
      </c>
      <c r="N213">
        <v>45633</v>
      </c>
      <c r="O213">
        <v>227</v>
      </c>
      <c r="P213" t="s">
        <v>20</v>
      </c>
      <c r="Q213">
        <v>6</v>
      </c>
      <c r="R213" t="s">
        <v>47</v>
      </c>
      <c r="S213" t="s">
        <v>21</v>
      </c>
      <c r="T213" t="s">
        <v>20</v>
      </c>
    </row>
    <row r="214" spans="1:20" x14ac:dyDescent="0.3">
      <c r="A214" t="s">
        <v>544</v>
      </c>
      <c r="B214" t="s">
        <v>74</v>
      </c>
      <c r="C214" t="s">
        <v>94</v>
      </c>
      <c r="D214" t="s">
        <v>104</v>
      </c>
      <c r="E214" t="s">
        <v>58</v>
      </c>
      <c r="F214" t="s">
        <v>59</v>
      </c>
      <c r="G214" t="s">
        <v>50</v>
      </c>
      <c r="H214" t="s">
        <v>5142</v>
      </c>
      <c r="I214" t="s">
        <v>5143</v>
      </c>
      <c r="J214">
        <v>175758</v>
      </c>
      <c r="K214" t="s">
        <v>545</v>
      </c>
      <c r="L214" t="s">
        <v>5165</v>
      </c>
      <c r="M214" t="s">
        <v>39</v>
      </c>
      <c r="N214">
        <v>45645</v>
      </c>
      <c r="O214">
        <v>3050</v>
      </c>
      <c r="P214" t="s">
        <v>20</v>
      </c>
      <c r="Q214">
        <v>4</v>
      </c>
      <c r="R214" t="s">
        <v>52</v>
      </c>
      <c r="S214" t="s">
        <v>21</v>
      </c>
      <c r="T214" t="s">
        <v>20</v>
      </c>
    </row>
    <row r="215" spans="1:20" x14ac:dyDescent="0.3">
      <c r="A215" t="s">
        <v>546</v>
      </c>
      <c r="B215" t="s">
        <v>74</v>
      </c>
      <c r="C215" t="s">
        <v>109</v>
      </c>
      <c r="D215" t="s">
        <v>33</v>
      </c>
      <c r="E215" t="s">
        <v>5126</v>
      </c>
      <c r="F215" t="s">
        <v>5125</v>
      </c>
      <c r="G215" t="s">
        <v>16</v>
      </c>
      <c r="H215" t="s">
        <v>5136</v>
      </c>
      <c r="I215" t="s">
        <v>5137</v>
      </c>
      <c r="J215">
        <v>78207</v>
      </c>
      <c r="K215" t="s">
        <v>547</v>
      </c>
      <c r="L215" t="s">
        <v>82</v>
      </c>
      <c r="M215" t="s">
        <v>72</v>
      </c>
      <c r="N215">
        <v>45695</v>
      </c>
      <c r="O215">
        <v>3102</v>
      </c>
      <c r="P215" t="s">
        <v>20</v>
      </c>
      <c r="Q215">
        <v>0</v>
      </c>
      <c r="R215" t="s">
        <v>76</v>
      </c>
      <c r="S215" t="s">
        <v>21</v>
      </c>
      <c r="T215" t="s">
        <v>20</v>
      </c>
    </row>
    <row r="216" spans="1:20" x14ac:dyDescent="0.3">
      <c r="A216" t="s">
        <v>548</v>
      </c>
      <c r="B216" t="s">
        <v>99</v>
      </c>
      <c r="C216" t="s">
        <v>13</v>
      </c>
      <c r="D216" t="s">
        <v>25</v>
      </c>
      <c r="E216" t="s">
        <v>34</v>
      </c>
      <c r="F216" t="s">
        <v>35</v>
      </c>
      <c r="G216" t="s">
        <v>16</v>
      </c>
      <c r="H216" t="s">
        <v>5142</v>
      </c>
      <c r="I216" t="s">
        <v>5143</v>
      </c>
      <c r="J216">
        <v>141487</v>
      </c>
      <c r="K216" t="s">
        <v>549</v>
      </c>
      <c r="L216" t="s">
        <v>179</v>
      </c>
      <c r="M216" t="s">
        <v>46</v>
      </c>
      <c r="N216">
        <v>45641</v>
      </c>
      <c r="O216">
        <v>669</v>
      </c>
      <c r="P216" t="s">
        <v>20</v>
      </c>
      <c r="Q216">
        <v>4</v>
      </c>
      <c r="R216" t="s">
        <v>40</v>
      </c>
      <c r="S216" t="s">
        <v>21</v>
      </c>
      <c r="T216" t="s">
        <v>20</v>
      </c>
    </row>
    <row r="217" spans="1:20" x14ac:dyDescent="0.3">
      <c r="A217" t="s">
        <v>550</v>
      </c>
      <c r="B217" t="s">
        <v>55</v>
      </c>
      <c r="C217" t="s">
        <v>172</v>
      </c>
      <c r="D217" t="s">
        <v>57</v>
      </c>
      <c r="E217" t="s">
        <v>58</v>
      </c>
      <c r="F217" t="s">
        <v>59</v>
      </c>
      <c r="G217" t="s">
        <v>50</v>
      </c>
      <c r="H217" t="s">
        <v>5136</v>
      </c>
      <c r="I217" t="s">
        <v>5137</v>
      </c>
      <c r="J217">
        <v>79563</v>
      </c>
      <c r="K217" t="s">
        <v>551</v>
      </c>
      <c r="L217" t="s">
        <v>5165</v>
      </c>
      <c r="M217" t="s">
        <v>39</v>
      </c>
      <c r="N217">
        <v>45597</v>
      </c>
      <c r="O217">
        <v>308</v>
      </c>
      <c r="P217" t="s">
        <v>20</v>
      </c>
      <c r="Q217">
        <v>0</v>
      </c>
      <c r="R217" t="s">
        <v>40</v>
      </c>
      <c r="S217" t="s">
        <v>21</v>
      </c>
      <c r="T217" t="s">
        <v>20</v>
      </c>
    </row>
    <row r="218" spans="1:20" x14ac:dyDescent="0.3">
      <c r="A218" t="s">
        <v>552</v>
      </c>
      <c r="B218" t="s">
        <v>124</v>
      </c>
      <c r="C218" t="s">
        <v>197</v>
      </c>
      <c r="D218" t="s">
        <v>104</v>
      </c>
      <c r="E218" t="s">
        <v>69</v>
      </c>
      <c r="F218" t="s">
        <v>70</v>
      </c>
      <c r="G218" t="s">
        <v>16</v>
      </c>
      <c r="H218" t="s">
        <v>5136</v>
      </c>
      <c r="I218" t="s">
        <v>5137</v>
      </c>
      <c r="J218">
        <v>60262</v>
      </c>
      <c r="K218" t="s">
        <v>553</v>
      </c>
      <c r="L218" t="s">
        <v>113</v>
      </c>
      <c r="M218" t="s">
        <v>46</v>
      </c>
      <c r="N218">
        <v>45570</v>
      </c>
      <c r="O218">
        <v>479</v>
      </c>
      <c r="P218" t="s">
        <v>20</v>
      </c>
      <c r="Q218">
        <v>0</v>
      </c>
      <c r="R218" t="s">
        <v>52</v>
      </c>
      <c r="S218" t="s">
        <v>21</v>
      </c>
      <c r="T218" t="s">
        <v>20</v>
      </c>
    </row>
    <row r="219" spans="1:20" x14ac:dyDescent="0.3">
      <c r="A219" t="s">
        <v>554</v>
      </c>
      <c r="B219" t="s">
        <v>78</v>
      </c>
      <c r="C219" t="s">
        <v>109</v>
      </c>
      <c r="D219" t="s">
        <v>167</v>
      </c>
      <c r="E219" t="s">
        <v>5127</v>
      </c>
      <c r="F219" t="s">
        <v>5125</v>
      </c>
      <c r="G219" t="s">
        <v>36</v>
      </c>
      <c r="H219" t="s">
        <v>5140</v>
      </c>
      <c r="I219" t="s">
        <v>5141</v>
      </c>
      <c r="J219">
        <v>105310</v>
      </c>
      <c r="K219" t="s">
        <v>555</v>
      </c>
      <c r="L219" t="s">
        <v>87</v>
      </c>
      <c r="M219" t="s">
        <v>46</v>
      </c>
      <c r="N219">
        <v>45456</v>
      </c>
      <c r="O219">
        <v>1835</v>
      </c>
      <c r="P219" t="s">
        <v>20</v>
      </c>
      <c r="Q219">
        <v>2</v>
      </c>
      <c r="R219" t="s">
        <v>40</v>
      </c>
      <c r="S219" t="s">
        <v>53</v>
      </c>
      <c r="T219" t="s">
        <v>29</v>
      </c>
    </row>
    <row r="220" spans="1:20" x14ac:dyDescent="0.3">
      <c r="A220" t="s">
        <v>556</v>
      </c>
      <c r="B220" t="s">
        <v>124</v>
      </c>
      <c r="C220" t="s">
        <v>121</v>
      </c>
      <c r="D220" t="s">
        <v>140</v>
      </c>
      <c r="E220" t="s">
        <v>5129</v>
      </c>
      <c r="F220" t="s">
        <v>5130</v>
      </c>
      <c r="G220" t="s">
        <v>16</v>
      </c>
      <c r="H220" t="s">
        <v>5136</v>
      </c>
      <c r="I220" t="s">
        <v>5137</v>
      </c>
      <c r="J220">
        <v>63884</v>
      </c>
      <c r="K220" t="s">
        <v>557</v>
      </c>
      <c r="L220" t="s">
        <v>5165</v>
      </c>
      <c r="M220" t="s">
        <v>39</v>
      </c>
      <c r="N220">
        <v>45687</v>
      </c>
      <c r="O220">
        <v>2212</v>
      </c>
      <c r="P220" t="s">
        <v>20</v>
      </c>
      <c r="Q220">
        <v>0</v>
      </c>
      <c r="R220" t="s">
        <v>52</v>
      </c>
      <c r="S220" t="s">
        <v>21</v>
      </c>
      <c r="T220" t="s">
        <v>20</v>
      </c>
    </row>
    <row r="221" spans="1:20" x14ac:dyDescent="0.3">
      <c r="A221" t="s">
        <v>558</v>
      </c>
      <c r="B221" t="s">
        <v>55</v>
      </c>
      <c r="C221" t="s">
        <v>67</v>
      </c>
      <c r="D221" t="s">
        <v>44</v>
      </c>
      <c r="E221" t="s">
        <v>34</v>
      </c>
      <c r="F221" t="s">
        <v>35</v>
      </c>
      <c r="G221" t="s">
        <v>36</v>
      </c>
      <c r="H221" t="s">
        <v>5136</v>
      </c>
      <c r="I221" t="s">
        <v>5137</v>
      </c>
      <c r="J221">
        <v>71031</v>
      </c>
      <c r="K221" t="s">
        <v>559</v>
      </c>
      <c r="L221" t="s">
        <v>5165</v>
      </c>
      <c r="M221" t="s">
        <v>46</v>
      </c>
      <c r="N221">
        <v>45311</v>
      </c>
      <c r="O221">
        <v>3741</v>
      </c>
      <c r="P221" t="s">
        <v>20</v>
      </c>
      <c r="Q221">
        <v>0</v>
      </c>
      <c r="R221" t="s">
        <v>52</v>
      </c>
      <c r="S221" t="s">
        <v>21</v>
      </c>
      <c r="T221" t="s">
        <v>29</v>
      </c>
    </row>
    <row r="222" spans="1:20" x14ac:dyDescent="0.3">
      <c r="A222" t="s">
        <v>560</v>
      </c>
      <c r="B222" t="s">
        <v>229</v>
      </c>
      <c r="C222" t="s">
        <v>125</v>
      </c>
      <c r="D222" t="s">
        <v>44</v>
      </c>
      <c r="E222" t="s">
        <v>5126</v>
      </c>
      <c r="F222" t="s">
        <v>5125</v>
      </c>
      <c r="G222" t="s">
        <v>36</v>
      </c>
      <c r="H222" t="s">
        <v>5136</v>
      </c>
      <c r="I222" t="s">
        <v>5137</v>
      </c>
      <c r="J222">
        <v>99164</v>
      </c>
      <c r="K222" t="s">
        <v>561</v>
      </c>
      <c r="L222" t="s">
        <v>18</v>
      </c>
      <c r="M222" t="s">
        <v>46</v>
      </c>
      <c r="N222">
        <v>45565</v>
      </c>
      <c r="O222">
        <v>444</v>
      </c>
      <c r="P222" t="s">
        <v>20</v>
      </c>
      <c r="Q222">
        <v>0</v>
      </c>
      <c r="R222" t="s">
        <v>40</v>
      </c>
      <c r="S222" t="s">
        <v>21</v>
      </c>
      <c r="T222" t="s">
        <v>29</v>
      </c>
    </row>
    <row r="223" spans="1:20" x14ac:dyDescent="0.3">
      <c r="A223" t="s">
        <v>562</v>
      </c>
      <c r="B223" t="s">
        <v>165</v>
      </c>
      <c r="C223" t="s">
        <v>121</v>
      </c>
      <c r="D223" t="s">
        <v>68</v>
      </c>
      <c r="E223" t="s">
        <v>5126</v>
      </c>
      <c r="F223" t="s">
        <v>5125</v>
      </c>
      <c r="G223" t="s">
        <v>50</v>
      </c>
      <c r="H223" t="s">
        <v>5138</v>
      </c>
      <c r="I223" t="s">
        <v>5139</v>
      </c>
      <c r="J223">
        <v>132778</v>
      </c>
      <c r="K223" t="s">
        <v>563</v>
      </c>
      <c r="L223" t="s">
        <v>5165</v>
      </c>
      <c r="M223" t="s">
        <v>19</v>
      </c>
      <c r="N223">
        <v>45307</v>
      </c>
      <c r="O223">
        <v>1230</v>
      </c>
      <c r="P223" t="s">
        <v>20</v>
      </c>
      <c r="Q223">
        <v>6</v>
      </c>
      <c r="R223" t="s">
        <v>40</v>
      </c>
      <c r="S223" t="s">
        <v>41</v>
      </c>
      <c r="T223" t="s">
        <v>29</v>
      </c>
    </row>
    <row r="224" spans="1:20" x14ac:dyDescent="0.3">
      <c r="A224" t="s">
        <v>564</v>
      </c>
      <c r="B224" t="s">
        <v>23</v>
      </c>
      <c r="C224" t="s">
        <v>202</v>
      </c>
      <c r="D224" t="s">
        <v>118</v>
      </c>
      <c r="E224" t="s">
        <v>5129</v>
      </c>
      <c r="F224" t="s">
        <v>5130</v>
      </c>
      <c r="G224" t="s">
        <v>16</v>
      </c>
      <c r="H224" t="s">
        <v>5140</v>
      </c>
      <c r="I224" t="s">
        <v>5141</v>
      </c>
      <c r="J224">
        <v>123587</v>
      </c>
      <c r="K224" t="s">
        <v>565</v>
      </c>
      <c r="L224" t="s">
        <v>87</v>
      </c>
      <c r="M224" t="s">
        <v>19</v>
      </c>
      <c r="N224">
        <v>45585</v>
      </c>
      <c r="O224">
        <v>805</v>
      </c>
      <c r="P224" t="s">
        <v>29</v>
      </c>
      <c r="Q224">
        <v>2</v>
      </c>
      <c r="R224" t="s">
        <v>76</v>
      </c>
      <c r="S224" t="s">
        <v>53</v>
      </c>
      <c r="T224" t="s">
        <v>20</v>
      </c>
    </row>
    <row r="225" spans="1:20" x14ac:dyDescent="0.3">
      <c r="A225" t="s">
        <v>566</v>
      </c>
      <c r="B225" t="s">
        <v>23</v>
      </c>
      <c r="C225" t="s">
        <v>185</v>
      </c>
      <c r="D225" t="s">
        <v>167</v>
      </c>
      <c r="E225" t="s">
        <v>126</v>
      </c>
      <c r="F225" t="s">
        <v>127</v>
      </c>
      <c r="G225" t="s">
        <v>16</v>
      </c>
      <c r="H225" t="s">
        <v>5138</v>
      </c>
      <c r="I225" t="s">
        <v>5139</v>
      </c>
      <c r="J225">
        <v>141942</v>
      </c>
      <c r="K225" t="s">
        <v>567</v>
      </c>
      <c r="L225" t="s">
        <v>5165</v>
      </c>
      <c r="M225" t="s">
        <v>46</v>
      </c>
      <c r="N225">
        <v>45635</v>
      </c>
      <c r="O225">
        <v>419</v>
      </c>
      <c r="P225" t="s">
        <v>20</v>
      </c>
      <c r="Q225">
        <v>6</v>
      </c>
      <c r="R225" t="s">
        <v>5116</v>
      </c>
      <c r="S225" t="s">
        <v>53</v>
      </c>
      <c r="T225" t="s">
        <v>29</v>
      </c>
    </row>
    <row r="226" spans="1:20" x14ac:dyDescent="0.3">
      <c r="A226" t="s">
        <v>568</v>
      </c>
      <c r="B226" t="s">
        <v>165</v>
      </c>
      <c r="C226" t="s">
        <v>151</v>
      </c>
      <c r="D226" t="s">
        <v>33</v>
      </c>
      <c r="E226" t="s">
        <v>209</v>
      </c>
      <c r="F226" t="s">
        <v>210</v>
      </c>
      <c r="G226" t="s">
        <v>36</v>
      </c>
      <c r="H226" t="s">
        <v>5142</v>
      </c>
      <c r="I226" t="s">
        <v>5143</v>
      </c>
      <c r="J226">
        <v>137257</v>
      </c>
      <c r="K226" t="s">
        <v>569</v>
      </c>
      <c r="L226" t="s">
        <v>238</v>
      </c>
      <c r="M226" t="s">
        <v>39</v>
      </c>
      <c r="N226">
        <v>45647</v>
      </c>
      <c r="O226">
        <v>1143</v>
      </c>
      <c r="P226" t="s">
        <v>20</v>
      </c>
      <c r="Q226">
        <v>4</v>
      </c>
      <c r="R226" t="s">
        <v>47</v>
      </c>
      <c r="S226" t="s">
        <v>21</v>
      </c>
      <c r="T226" t="s">
        <v>29</v>
      </c>
    </row>
    <row r="227" spans="1:20" x14ac:dyDescent="0.3">
      <c r="A227" t="s">
        <v>570</v>
      </c>
      <c r="B227" t="s">
        <v>89</v>
      </c>
      <c r="C227" t="s">
        <v>121</v>
      </c>
      <c r="D227" t="s">
        <v>118</v>
      </c>
      <c r="E227" t="s">
        <v>34</v>
      </c>
      <c r="F227" t="s">
        <v>35</v>
      </c>
      <c r="G227" t="s">
        <v>16</v>
      </c>
      <c r="H227" t="s">
        <v>5138</v>
      </c>
      <c r="I227" t="s">
        <v>5139</v>
      </c>
      <c r="J227">
        <v>239202</v>
      </c>
      <c r="K227" t="s">
        <v>571</v>
      </c>
      <c r="L227" t="s">
        <v>5165</v>
      </c>
      <c r="M227" t="s">
        <v>39</v>
      </c>
      <c r="N227">
        <v>45448</v>
      </c>
      <c r="O227">
        <v>1088</v>
      </c>
      <c r="P227" t="s">
        <v>20</v>
      </c>
      <c r="Q227">
        <v>6</v>
      </c>
      <c r="R227" t="s">
        <v>5116</v>
      </c>
      <c r="S227" t="s">
        <v>53</v>
      </c>
      <c r="T227" t="s">
        <v>20</v>
      </c>
    </row>
    <row r="228" spans="1:20" x14ac:dyDescent="0.3">
      <c r="A228" t="s">
        <v>572</v>
      </c>
      <c r="B228" t="s">
        <v>124</v>
      </c>
      <c r="C228" t="s">
        <v>202</v>
      </c>
      <c r="D228" t="s">
        <v>167</v>
      </c>
      <c r="E228" t="s">
        <v>193</v>
      </c>
      <c r="F228" t="s">
        <v>194</v>
      </c>
      <c r="G228" t="s">
        <v>36</v>
      </c>
      <c r="H228" t="s">
        <v>5136</v>
      </c>
      <c r="I228" t="s">
        <v>5137</v>
      </c>
      <c r="J228">
        <v>70809</v>
      </c>
      <c r="K228" t="s">
        <v>573</v>
      </c>
      <c r="L228" t="s">
        <v>5165</v>
      </c>
      <c r="M228" t="s">
        <v>46</v>
      </c>
      <c r="N228">
        <v>45685</v>
      </c>
      <c r="O228">
        <v>558</v>
      </c>
      <c r="P228" t="s">
        <v>20</v>
      </c>
      <c r="Q228">
        <v>0</v>
      </c>
      <c r="R228" t="s">
        <v>76</v>
      </c>
      <c r="S228" t="s">
        <v>21</v>
      </c>
      <c r="T228" t="s">
        <v>29</v>
      </c>
    </row>
    <row r="229" spans="1:20" x14ac:dyDescent="0.3">
      <c r="A229" t="s">
        <v>574</v>
      </c>
      <c r="B229" t="s">
        <v>144</v>
      </c>
      <c r="C229" t="s">
        <v>202</v>
      </c>
      <c r="D229" t="s">
        <v>57</v>
      </c>
      <c r="E229" t="s">
        <v>209</v>
      </c>
      <c r="F229" t="s">
        <v>210</v>
      </c>
      <c r="G229" t="s">
        <v>36</v>
      </c>
      <c r="H229" t="s">
        <v>5140</v>
      </c>
      <c r="I229" t="s">
        <v>5141</v>
      </c>
      <c r="J229">
        <v>88660</v>
      </c>
      <c r="K229" t="s">
        <v>575</v>
      </c>
      <c r="L229" t="s">
        <v>5165</v>
      </c>
      <c r="M229" t="s">
        <v>72</v>
      </c>
      <c r="N229">
        <v>45679</v>
      </c>
      <c r="O229">
        <v>906</v>
      </c>
      <c r="P229" t="s">
        <v>20</v>
      </c>
      <c r="Q229">
        <v>2</v>
      </c>
      <c r="R229" t="s">
        <v>47</v>
      </c>
      <c r="S229" t="s">
        <v>21</v>
      </c>
      <c r="T229" t="s">
        <v>29</v>
      </c>
    </row>
    <row r="230" spans="1:20" x14ac:dyDescent="0.3">
      <c r="A230" t="s">
        <v>576</v>
      </c>
      <c r="B230" t="s">
        <v>222</v>
      </c>
      <c r="C230" t="s">
        <v>90</v>
      </c>
      <c r="D230" t="s">
        <v>25</v>
      </c>
      <c r="E230" t="s">
        <v>69</v>
      </c>
      <c r="F230" t="s">
        <v>70</v>
      </c>
      <c r="G230" t="s">
        <v>50</v>
      </c>
      <c r="H230" t="s">
        <v>5140</v>
      </c>
      <c r="I230" t="s">
        <v>5141</v>
      </c>
      <c r="J230">
        <v>95836</v>
      </c>
      <c r="K230" t="s">
        <v>577</v>
      </c>
      <c r="L230" t="s">
        <v>87</v>
      </c>
      <c r="M230" t="s">
        <v>39</v>
      </c>
      <c r="N230">
        <v>45476</v>
      </c>
      <c r="O230">
        <v>2380</v>
      </c>
      <c r="P230" t="s">
        <v>20</v>
      </c>
      <c r="Q230">
        <v>2</v>
      </c>
      <c r="R230" t="s">
        <v>47</v>
      </c>
      <c r="S230" t="s">
        <v>21</v>
      </c>
      <c r="T230" t="s">
        <v>29</v>
      </c>
    </row>
    <row r="231" spans="1:20" x14ac:dyDescent="0.3">
      <c r="A231" t="s">
        <v>578</v>
      </c>
      <c r="B231" t="s">
        <v>136</v>
      </c>
      <c r="C231" t="s">
        <v>139</v>
      </c>
      <c r="D231" t="s">
        <v>118</v>
      </c>
      <c r="E231" t="s">
        <v>69</v>
      </c>
      <c r="F231" t="s">
        <v>70</v>
      </c>
      <c r="G231" t="s">
        <v>16</v>
      </c>
      <c r="H231" t="s">
        <v>5136</v>
      </c>
      <c r="I231" t="s">
        <v>5137</v>
      </c>
      <c r="J231">
        <v>78562</v>
      </c>
      <c r="K231" t="s">
        <v>579</v>
      </c>
      <c r="L231" t="s">
        <v>61</v>
      </c>
      <c r="M231" t="s">
        <v>19</v>
      </c>
      <c r="N231">
        <v>45406</v>
      </c>
      <c r="O231">
        <v>2645</v>
      </c>
      <c r="P231" t="s">
        <v>20</v>
      </c>
      <c r="Q231">
        <v>0</v>
      </c>
      <c r="R231" t="s">
        <v>47</v>
      </c>
      <c r="S231" t="s">
        <v>21</v>
      </c>
      <c r="T231" t="s">
        <v>29</v>
      </c>
    </row>
    <row r="232" spans="1:20" x14ac:dyDescent="0.3">
      <c r="A232" t="s">
        <v>580</v>
      </c>
      <c r="B232" t="s">
        <v>12</v>
      </c>
      <c r="C232" t="s">
        <v>117</v>
      </c>
      <c r="D232" t="s">
        <v>33</v>
      </c>
      <c r="E232" t="s">
        <v>5131</v>
      </c>
      <c r="F232" t="s">
        <v>5125</v>
      </c>
      <c r="G232" t="s">
        <v>50</v>
      </c>
      <c r="H232" t="s">
        <v>5140</v>
      </c>
      <c r="I232" t="s">
        <v>5141</v>
      </c>
      <c r="J232">
        <v>95538</v>
      </c>
      <c r="K232" t="s">
        <v>581</v>
      </c>
      <c r="L232" t="s">
        <v>134</v>
      </c>
      <c r="M232" t="s">
        <v>19</v>
      </c>
      <c r="N232">
        <v>45660</v>
      </c>
      <c r="O232">
        <v>561</v>
      </c>
      <c r="P232" t="s">
        <v>20</v>
      </c>
      <c r="Q232">
        <v>2</v>
      </c>
      <c r="R232" t="s">
        <v>5116</v>
      </c>
      <c r="S232" t="s">
        <v>53</v>
      </c>
      <c r="T232" t="s">
        <v>29</v>
      </c>
    </row>
    <row r="233" spans="1:20" x14ac:dyDescent="0.3">
      <c r="A233" t="s">
        <v>582</v>
      </c>
      <c r="B233" t="s">
        <v>215</v>
      </c>
      <c r="C233" t="s">
        <v>197</v>
      </c>
      <c r="D233" t="s">
        <v>57</v>
      </c>
      <c r="E233" t="s">
        <v>95</v>
      </c>
      <c r="F233" t="s">
        <v>96</v>
      </c>
      <c r="G233" t="s">
        <v>36</v>
      </c>
      <c r="H233" t="s">
        <v>5142</v>
      </c>
      <c r="I233" t="s">
        <v>5143</v>
      </c>
      <c r="J233">
        <v>155844</v>
      </c>
      <c r="K233" t="s">
        <v>583</v>
      </c>
      <c r="L233" t="s">
        <v>5165</v>
      </c>
      <c r="M233" t="s">
        <v>46</v>
      </c>
      <c r="N233">
        <v>45499</v>
      </c>
      <c r="O233">
        <v>3562</v>
      </c>
      <c r="P233" t="s">
        <v>20</v>
      </c>
      <c r="Q233">
        <v>4</v>
      </c>
      <c r="R233" t="s">
        <v>47</v>
      </c>
      <c r="S233" t="s">
        <v>53</v>
      </c>
      <c r="T233" t="s">
        <v>20</v>
      </c>
    </row>
    <row r="234" spans="1:20" x14ac:dyDescent="0.3">
      <c r="A234" t="s">
        <v>584</v>
      </c>
      <c r="B234" t="s">
        <v>136</v>
      </c>
      <c r="C234" t="s">
        <v>85</v>
      </c>
      <c r="D234" t="s">
        <v>140</v>
      </c>
      <c r="E234" t="s">
        <v>209</v>
      </c>
      <c r="F234" t="s">
        <v>210</v>
      </c>
      <c r="G234" t="s">
        <v>36</v>
      </c>
      <c r="H234" t="s">
        <v>5140</v>
      </c>
      <c r="I234" t="s">
        <v>5141</v>
      </c>
      <c r="J234">
        <v>110902</v>
      </c>
      <c r="K234" t="s">
        <v>585</v>
      </c>
      <c r="L234" t="s">
        <v>142</v>
      </c>
      <c r="M234" t="s">
        <v>46</v>
      </c>
      <c r="N234">
        <v>45427</v>
      </c>
      <c r="O234">
        <v>77</v>
      </c>
      <c r="P234" t="s">
        <v>29</v>
      </c>
      <c r="Q234">
        <v>2</v>
      </c>
      <c r="R234" t="s">
        <v>76</v>
      </c>
      <c r="S234" t="s">
        <v>21</v>
      </c>
      <c r="T234" t="s">
        <v>20</v>
      </c>
    </row>
    <row r="235" spans="1:20" x14ac:dyDescent="0.3">
      <c r="A235" t="s">
        <v>586</v>
      </c>
      <c r="B235" t="s">
        <v>78</v>
      </c>
      <c r="C235" t="s">
        <v>79</v>
      </c>
      <c r="D235" t="s">
        <v>104</v>
      </c>
      <c r="E235" t="s">
        <v>95</v>
      </c>
      <c r="F235" t="s">
        <v>96</v>
      </c>
      <c r="G235" t="s">
        <v>36</v>
      </c>
      <c r="H235" t="s">
        <v>5136</v>
      </c>
      <c r="I235" t="s">
        <v>5137</v>
      </c>
      <c r="J235">
        <v>61789</v>
      </c>
      <c r="K235" t="s">
        <v>587</v>
      </c>
      <c r="L235" t="s">
        <v>61</v>
      </c>
      <c r="M235" t="s">
        <v>46</v>
      </c>
      <c r="N235">
        <v>45606</v>
      </c>
      <c r="O235">
        <v>3683</v>
      </c>
      <c r="P235" t="s">
        <v>92</v>
      </c>
      <c r="Q235">
        <v>0</v>
      </c>
      <c r="R235" t="s">
        <v>52</v>
      </c>
      <c r="S235" t="s">
        <v>21</v>
      </c>
      <c r="T235" t="s">
        <v>29</v>
      </c>
    </row>
    <row r="236" spans="1:20" x14ac:dyDescent="0.3">
      <c r="A236" t="s">
        <v>588</v>
      </c>
      <c r="B236" t="s">
        <v>222</v>
      </c>
      <c r="C236" t="s">
        <v>202</v>
      </c>
      <c r="D236" t="s">
        <v>25</v>
      </c>
      <c r="E236" t="s">
        <v>26</v>
      </c>
      <c r="F236" t="s">
        <v>27</v>
      </c>
      <c r="G236" t="s">
        <v>50</v>
      </c>
      <c r="H236" t="s">
        <v>5138</v>
      </c>
      <c r="I236" t="s">
        <v>5139</v>
      </c>
      <c r="J236">
        <v>277181</v>
      </c>
      <c r="K236" t="s">
        <v>589</v>
      </c>
      <c r="L236" t="s">
        <v>134</v>
      </c>
      <c r="M236" t="s">
        <v>46</v>
      </c>
      <c r="N236">
        <v>45538</v>
      </c>
      <c r="O236">
        <v>3737</v>
      </c>
      <c r="P236" t="s">
        <v>92</v>
      </c>
      <c r="Q236">
        <v>6</v>
      </c>
      <c r="R236" t="s">
        <v>40</v>
      </c>
      <c r="S236" t="s">
        <v>21</v>
      </c>
      <c r="T236" t="s">
        <v>20</v>
      </c>
    </row>
    <row r="237" spans="1:20" x14ac:dyDescent="0.3">
      <c r="A237" t="s">
        <v>590</v>
      </c>
      <c r="B237" t="s">
        <v>31</v>
      </c>
      <c r="C237" t="s">
        <v>90</v>
      </c>
      <c r="D237" t="s">
        <v>33</v>
      </c>
      <c r="E237" t="s">
        <v>5132</v>
      </c>
      <c r="F237" t="s">
        <v>5125</v>
      </c>
      <c r="G237" t="s">
        <v>36</v>
      </c>
      <c r="H237" t="s">
        <v>5140</v>
      </c>
      <c r="I237" t="s">
        <v>5141</v>
      </c>
      <c r="J237">
        <v>122551</v>
      </c>
      <c r="K237" t="s">
        <v>591</v>
      </c>
      <c r="L237" t="s">
        <v>134</v>
      </c>
      <c r="M237" t="s">
        <v>46</v>
      </c>
      <c r="N237">
        <v>45696</v>
      </c>
      <c r="O237">
        <v>1684</v>
      </c>
      <c r="P237" t="s">
        <v>20</v>
      </c>
      <c r="Q237">
        <v>2</v>
      </c>
      <c r="R237" t="s">
        <v>47</v>
      </c>
      <c r="S237" t="s">
        <v>21</v>
      </c>
      <c r="T237" t="s">
        <v>20</v>
      </c>
    </row>
    <row r="238" spans="1:20" x14ac:dyDescent="0.3">
      <c r="A238" t="s">
        <v>592</v>
      </c>
      <c r="B238" t="s">
        <v>31</v>
      </c>
      <c r="C238" t="s">
        <v>67</v>
      </c>
      <c r="D238" t="s">
        <v>57</v>
      </c>
      <c r="E238" t="s">
        <v>193</v>
      </c>
      <c r="F238" t="s">
        <v>194</v>
      </c>
      <c r="G238" t="s">
        <v>16</v>
      </c>
      <c r="H238" t="s">
        <v>5138</v>
      </c>
      <c r="I238" t="s">
        <v>5139</v>
      </c>
      <c r="J238">
        <v>127094</v>
      </c>
      <c r="K238" t="s">
        <v>593</v>
      </c>
      <c r="L238" t="s">
        <v>87</v>
      </c>
      <c r="M238" t="s">
        <v>19</v>
      </c>
      <c r="N238">
        <v>45433</v>
      </c>
      <c r="O238">
        <v>2376</v>
      </c>
      <c r="P238" t="s">
        <v>20</v>
      </c>
      <c r="Q238">
        <v>6</v>
      </c>
      <c r="R238" t="s">
        <v>52</v>
      </c>
      <c r="S238" t="s">
        <v>53</v>
      </c>
      <c r="T238" t="s">
        <v>20</v>
      </c>
    </row>
    <row r="239" spans="1:20" x14ac:dyDescent="0.3">
      <c r="A239" t="s">
        <v>594</v>
      </c>
      <c r="B239" t="s">
        <v>12</v>
      </c>
      <c r="C239" t="s">
        <v>151</v>
      </c>
      <c r="D239" t="s">
        <v>68</v>
      </c>
      <c r="E239" t="s">
        <v>34</v>
      </c>
      <c r="F239" t="s">
        <v>35</v>
      </c>
      <c r="G239" t="s">
        <v>36</v>
      </c>
      <c r="H239" t="s">
        <v>5140</v>
      </c>
      <c r="I239" t="s">
        <v>5141</v>
      </c>
      <c r="J239">
        <v>113691</v>
      </c>
      <c r="K239" t="s">
        <v>595</v>
      </c>
      <c r="L239" t="s">
        <v>5165</v>
      </c>
      <c r="M239" t="s">
        <v>46</v>
      </c>
      <c r="N239">
        <v>45374</v>
      </c>
      <c r="O239">
        <v>668</v>
      </c>
      <c r="P239" t="s">
        <v>20</v>
      </c>
      <c r="Q239">
        <v>2</v>
      </c>
      <c r="R239" t="s">
        <v>5116</v>
      </c>
      <c r="S239" t="s">
        <v>53</v>
      </c>
      <c r="T239" t="s">
        <v>20</v>
      </c>
    </row>
    <row r="240" spans="1:20" x14ac:dyDescent="0.3">
      <c r="A240" t="s">
        <v>596</v>
      </c>
      <c r="B240" t="s">
        <v>89</v>
      </c>
      <c r="C240" t="s">
        <v>49</v>
      </c>
      <c r="D240" t="s">
        <v>104</v>
      </c>
      <c r="E240" t="s">
        <v>5128</v>
      </c>
      <c r="F240" t="s">
        <v>5125</v>
      </c>
      <c r="G240" t="s">
        <v>16</v>
      </c>
      <c r="H240" t="s">
        <v>5138</v>
      </c>
      <c r="I240" t="s">
        <v>5139</v>
      </c>
      <c r="J240">
        <v>176175</v>
      </c>
      <c r="K240" t="s">
        <v>597</v>
      </c>
      <c r="L240" t="s">
        <v>5165</v>
      </c>
      <c r="M240" t="s">
        <v>46</v>
      </c>
      <c r="N240">
        <v>45405</v>
      </c>
      <c r="O240">
        <v>2924</v>
      </c>
      <c r="P240" t="s">
        <v>92</v>
      </c>
      <c r="Q240">
        <v>6</v>
      </c>
      <c r="R240" t="s">
        <v>5116</v>
      </c>
      <c r="S240" t="s">
        <v>41</v>
      </c>
      <c r="T240" t="s">
        <v>20</v>
      </c>
    </row>
    <row r="241" spans="1:20" x14ac:dyDescent="0.3">
      <c r="A241" t="s">
        <v>598</v>
      </c>
      <c r="B241" t="s">
        <v>89</v>
      </c>
      <c r="C241" t="s">
        <v>188</v>
      </c>
      <c r="D241" t="s">
        <v>118</v>
      </c>
      <c r="E241" t="s">
        <v>5132</v>
      </c>
      <c r="F241" t="s">
        <v>5125</v>
      </c>
      <c r="G241" t="s">
        <v>16</v>
      </c>
      <c r="H241" t="s">
        <v>5138</v>
      </c>
      <c r="I241" t="s">
        <v>5139</v>
      </c>
      <c r="J241">
        <v>230687</v>
      </c>
      <c r="K241" t="s">
        <v>599</v>
      </c>
      <c r="L241" t="s">
        <v>5165</v>
      </c>
      <c r="M241" t="s">
        <v>46</v>
      </c>
      <c r="N241">
        <v>45628</v>
      </c>
      <c r="O241">
        <v>989</v>
      </c>
      <c r="P241" t="s">
        <v>20</v>
      </c>
      <c r="Q241">
        <v>6</v>
      </c>
      <c r="R241" t="s">
        <v>47</v>
      </c>
      <c r="S241" t="s">
        <v>21</v>
      </c>
      <c r="T241" t="s">
        <v>29</v>
      </c>
    </row>
    <row r="242" spans="1:20" x14ac:dyDescent="0.3">
      <c r="A242" t="s">
        <v>600</v>
      </c>
      <c r="B242" t="s">
        <v>130</v>
      </c>
      <c r="C242" t="s">
        <v>67</v>
      </c>
      <c r="D242" t="s">
        <v>104</v>
      </c>
      <c r="E242" t="s">
        <v>5126</v>
      </c>
      <c r="F242" t="s">
        <v>5125</v>
      </c>
      <c r="G242" t="s">
        <v>16</v>
      </c>
      <c r="H242" t="s">
        <v>5142</v>
      </c>
      <c r="I242" t="s">
        <v>5143</v>
      </c>
      <c r="J242">
        <v>128601</v>
      </c>
      <c r="K242" t="s">
        <v>601</v>
      </c>
      <c r="L242" t="s">
        <v>5165</v>
      </c>
      <c r="M242" t="s">
        <v>46</v>
      </c>
      <c r="N242">
        <v>45394</v>
      </c>
      <c r="O242">
        <v>936</v>
      </c>
      <c r="P242" t="s">
        <v>20</v>
      </c>
      <c r="Q242">
        <v>4</v>
      </c>
      <c r="R242" t="s">
        <v>47</v>
      </c>
      <c r="S242" t="s">
        <v>21</v>
      </c>
      <c r="T242" t="s">
        <v>29</v>
      </c>
    </row>
    <row r="243" spans="1:20" x14ac:dyDescent="0.3">
      <c r="A243" t="s">
        <v>602</v>
      </c>
      <c r="B243" t="s">
        <v>144</v>
      </c>
      <c r="C243" t="s">
        <v>109</v>
      </c>
      <c r="D243" t="s">
        <v>104</v>
      </c>
      <c r="E243" t="s">
        <v>95</v>
      </c>
      <c r="F243" t="s">
        <v>96</v>
      </c>
      <c r="G243" t="s">
        <v>16</v>
      </c>
      <c r="H243" t="s">
        <v>5142</v>
      </c>
      <c r="I243" t="s">
        <v>5143</v>
      </c>
      <c r="J243">
        <v>146902</v>
      </c>
      <c r="K243" t="s">
        <v>603</v>
      </c>
      <c r="L243" t="s">
        <v>5165</v>
      </c>
      <c r="M243" t="s">
        <v>19</v>
      </c>
      <c r="N243">
        <v>45346</v>
      </c>
      <c r="O243">
        <v>3966</v>
      </c>
      <c r="P243" t="s">
        <v>20</v>
      </c>
      <c r="Q243">
        <v>4</v>
      </c>
      <c r="R243" t="s">
        <v>52</v>
      </c>
      <c r="S243" t="s">
        <v>53</v>
      </c>
      <c r="T243" t="s">
        <v>20</v>
      </c>
    </row>
    <row r="244" spans="1:20" x14ac:dyDescent="0.3">
      <c r="A244" t="s">
        <v>604</v>
      </c>
      <c r="B244" t="s">
        <v>165</v>
      </c>
      <c r="C244" t="s">
        <v>43</v>
      </c>
      <c r="D244" t="s">
        <v>33</v>
      </c>
      <c r="E244" t="s">
        <v>193</v>
      </c>
      <c r="F244" t="s">
        <v>194</v>
      </c>
      <c r="G244" t="s">
        <v>50</v>
      </c>
      <c r="H244" t="s">
        <v>5138</v>
      </c>
      <c r="I244" t="s">
        <v>5139</v>
      </c>
      <c r="J244">
        <v>218179</v>
      </c>
      <c r="K244" t="s">
        <v>605</v>
      </c>
      <c r="L244" t="s">
        <v>238</v>
      </c>
      <c r="M244" t="s">
        <v>39</v>
      </c>
      <c r="N244">
        <v>45538</v>
      </c>
      <c r="O244">
        <v>3923</v>
      </c>
      <c r="P244" t="s">
        <v>20</v>
      </c>
      <c r="Q244">
        <v>6</v>
      </c>
      <c r="R244" t="s">
        <v>76</v>
      </c>
      <c r="S244" t="s">
        <v>21</v>
      </c>
      <c r="T244" t="s">
        <v>20</v>
      </c>
    </row>
    <row r="245" spans="1:20" x14ac:dyDescent="0.3">
      <c r="A245" t="s">
        <v>606</v>
      </c>
      <c r="B245" t="s">
        <v>84</v>
      </c>
      <c r="C245" t="s">
        <v>166</v>
      </c>
      <c r="D245" t="s">
        <v>118</v>
      </c>
      <c r="E245" t="s">
        <v>5128</v>
      </c>
      <c r="F245" t="s">
        <v>5125</v>
      </c>
      <c r="G245" t="s">
        <v>16</v>
      </c>
      <c r="H245" t="s">
        <v>5142</v>
      </c>
      <c r="I245" t="s">
        <v>5143</v>
      </c>
      <c r="J245">
        <v>173375</v>
      </c>
      <c r="K245" t="s">
        <v>607</v>
      </c>
      <c r="L245" t="s">
        <v>18</v>
      </c>
      <c r="M245" t="s">
        <v>72</v>
      </c>
      <c r="N245">
        <v>45675</v>
      </c>
      <c r="O245">
        <v>2053</v>
      </c>
      <c r="P245" t="s">
        <v>20</v>
      </c>
      <c r="Q245">
        <v>4</v>
      </c>
      <c r="R245" t="s">
        <v>47</v>
      </c>
      <c r="S245" t="s">
        <v>53</v>
      </c>
      <c r="T245" t="s">
        <v>20</v>
      </c>
    </row>
    <row r="246" spans="1:20" x14ac:dyDescent="0.3">
      <c r="A246" t="s">
        <v>608</v>
      </c>
      <c r="B246" t="s">
        <v>99</v>
      </c>
      <c r="C246" t="s">
        <v>185</v>
      </c>
      <c r="D246" t="s">
        <v>104</v>
      </c>
      <c r="E246" t="s">
        <v>80</v>
      </c>
      <c r="F246" t="s">
        <v>80</v>
      </c>
      <c r="G246" t="s">
        <v>50</v>
      </c>
      <c r="H246" t="s">
        <v>5140</v>
      </c>
      <c r="I246" t="s">
        <v>5141</v>
      </c>
      <c r="J246">
        <v>86234</v>
      </c>
      <c r="K246" t="s">
        <v>609</v>
      </c>
      <c r="L246" t="s">
        <v>5165</v>
      </c>
      <c r="M246" t="s">
        <v>19</v>
      </c>
      <c r="N246">
        <v>45720</v>
      </c>
      <c r="O246">
        <v>3483</v>
      </c>
      <c r="P246" t="s">
        <v>20</v>
      </c>
      <c r="Q246">
        <v>2</v>
      </c>
      <c r="R246" t="s">
        <v>76</v>
      </c>
      <c r="S246" t="s">
        <v>21</v>
      </c>
      <c r="T246" t="s">
        <v>20</v>
      </c>
    </row>
    <row r="247" spans="1:20" x14ac:dyDescent="0.3">
      <c r="A247" t="s">
        <v>610</v>
      </c>
      <c r="B247" t="s">
        <v>136</v>
      </c>
      <c r="C247" t="s">
        <v>185</v>
      </c>
      <c r="D247" t="s">
        <v>68</v>
      </c>
      <c r="E247" t="s">
        <v>152</v>
      </c>
      <c r="F247" t="s">
        <v>153</v>
      </c>
      <c r="G247" t="s">
        <v>16</v>
      </c>
      <c r="H247" t="s">
        <v>5142</v>
      </c>
      <c r="I247" t="s">
        <v>5143</v>
      </c>
      <c r="J247">
        <v>140968</v>
      </c>
      <c r="K247" t="s">
        <v>611</v>
      </c>
      <c r="L247" t="s">
        <v>134</v>
      </c>
      <c r="M247" t="s">
        <v>19</v>
      </c>
      <c r="N247">
        <v>45683</v>
      </c>
      <c r="O247">
        <v>1622</v>
      </c>
      <c r="P247" t="s">
        <v>92</v>
      </c>
      <c r="Q247">
        <v>4</v>
      </c>
      <c r="R247" t="s">
        <v>47</v>
      </c>
      <c r="S247" t="s">
        <v>21</v>
      </c>
      <c r="T247" t="s">
        <v>29</v>
      </c>
    </row>
    <row r="248" spans="1:20" x14ac:dyDescent="0.3">
      <c r="A248" t="s">
        <v>612</v>
      </c>
      <c r="B248" t="s">
        <v>124</v>
      </c>
      <c r="C248" t="s">
        <v>160</v>
      </c>
      <c r="D248" t="s">
        <v>68</v>
      </c>
      <c r="E248" t="s">
        <v>5124</v>
      </c>
      <c r="F248" t="s">
        <v>5125</v>
      </c>
      <c r="G248" t="s">
        <v>36</v>
      </c>
      <c r="H248" t="s">
        <v>5138</v>
      </c>
      <c r="I248" t="s">
        <v>5139</v>
      </c>
      <c r="J248">
        <v>182901</v>
      </c>
      <c r="K248" t="s">
        <v>613</v>
      </c>
      <c r="L248" t="s">
        <v>113</v>
      </c>
      <c r="M248" t="s">
        <v>19</v>
      </c>
      <c r="N248">
        <v>45298</v>
      </c>
      <c r="O248">
        <v>1940</v>
      </c>
      <c r="P248" t="s">
        <v>92</v>
      </c>
      <c r="Q248">
        <v>6</v>
      </c>
      <c r="R248" t="s">
        <v>40</v>
      </c>
      <c r="S248" t="s">
        <v>21</v>
      </c>
      <c r="T248" t="s">
        <v>20</v>
      </c>
    </row>
    <row r="249" spans="1:20" x14ac:dyDescent="0.3">
      <c r="A249" t="s">
        <v>614</v>
      </c>
      <c r="B249" t="s">
        <v>99</v>
      </c>
      <c r="C249" t="s">
        <v>100</v>
      </c>
      <c r="D249" t="s">
        <v>25</v>
      </c>
      <c r="E249" t="s">
        <v>5133</v>
      </c>
      <c r="F249" t="s">
        <v>5125</v>
      </c>
      <c r="G249" t="s">
        <v>16</v>
      </c>
      <c r="H249" t="s">
        <v>5138</v>
      </c>
      <c r="I249" t="s">
        <v>5139</v>
      </c>
      <c r="J249">
        <v>176480</v>
      </c>
      <c r="K249" t="s">
        <v>615</v>
      </c>
      <c r="L249" t="s">
        <v>142</v>
      </c>
      <c r="M249" t="s">
        <v>39</v>
      </c>
      <c r="N249">
        <v>45497</v>
      </c>
      <c r="O249">
        <v>3517</v>
      </c>
      <c r="P249" t="s">
        <v>20</v>
      </c>
      <c r="Q249">
        <v>6</v>
      </c>
      <c r="R249" t="s">
        <v>47</v>
      </c>
      <c r="S249" t="s">
        <v>53</v>
      </c>
      <c r="T249" t="s">
        <v>20</v>
      </c>
    </row>
    <row r="250" spans="1:20" x14ac:dyDescent="0.3">
      <c r="A250" t="s">
        <v>616</v>
      </c>
      <c r="B250" t="s">
        <v>89</v>
      </c>
      <c r="C250" t="s">
        <v>125</v>
      </c>
      <c r="D250" t="s">
        <v>140</v>
      </c>
      <c r="E250" t="s">
        <v>95</v>
      </c>
      <c r="F250" t="s">
        <v>96</v>
      </c>
      <c r="G250" t="s">
        <v>16</v>
      </c>
      <c r="H250" t="s">
        <v>5136</v>
      </c>
      <c r="I250" t="s">
        <v>5137</v>
      </c>
      <c r="J250">
        <v>92244</v>
      </c>
      <c r="K250" t="s">
        <v>617</v>
      </c>
      <c r="L250" t="s">
        <v>18</v>
      </c>
      <c r="M250" t="s">
        <v>19</v>
      </c>
      <c r="N250">
        <v>45360</v>
      </c>
      <c r="O250">
        <v>255</v>
      </c>
      <c r="P250" t="s">
        <v>29</v>
      </c>
      <c r="Q250">
        <v>0</v>
      </c>
      <c r="R250" t="s">
        <v>40</v>
      </c>
      <c r="S250" t="s">
        <v>21</v>
      </c>
      <c r="T250" t="s">
        <v>20</v>
      </c>
    </row>
    <row r="251" spans="1:20" x14ac:dyDescent="0.3">
      <c r="A251" t="s">
        <v>618</v>
      </c>
      <c r="B251" t="s">
        <v>165</v>
      </c>
      <c r="C251" t="s">
        <v>188</v>
      </c>
      <c r="D251" t="s">
        <v>33</v>
      </c>
      <c r="E251" t="s">
        <v>14</v>
      </c>
      <c r="F251" t="s">
        <v>15</v>
      </c>
      <c r="G251" t="s">
        <v>16</v>
      </c>
      <c r="H251" t="s">
        <v>5142</v>
      </c>
      <c r="I251" t="s">
        <v>5143</v>
      </c>
      <c r="J251">
        <v>160934</v>
      </c>
      <c r="K251" t="s">
        <v>619</v>
      </c>
      <c r="L251" t="s">
        <v>5165</v>
      </c>
      <c r="M251" t="s">
        <v>46</v>
      </c>
      <c r="N251">
        <v>45578</v>
      </c>
      <c r="O251">
        <v>3206</v>
      </c>
      <c r="P251" t="s">
        <v>20</v>
      </c>
      <c r="Q251">
        <v>4</v>
      </c>
      <c r="R251" t="s">
        <v>40</v>
      </c>
      <c r="S251" t="s">
        <v>21</v>
      </c>
      <c r="T251" t="s">
        <v>20</v>
      </c>
    </row>
    <row r="252" spans="1:20" x14ac:dyDescent="0.3">
      <c r="A252" t="s">
        <v>620</v>
      </c>
      <c r="B252" t="s">
        <v>165</v>
      </c>
      <c r="C252" t="s">
        <v>13</v>
      </c>
      <c r="D252" t="s">
        <v>104</v>
      </c>
      <c r="E252" t="s">
        <v>5126</v>
      </c>
      <c r="F252" t="s">
        <v>5125</v>
      </c>
      <c r="G252" t="s">
        <v>36</v>
      </c>
      <c r="H252" t="s">
        <v>5136</v>
      </c>
      <c r="I252" t="s">
        <v>5137</v>
      </c>
      <c r="J252">
        <v>54112</v>
      </c>
      <c r="K252" t="s">
        <v>621</v>
      </c>
      <c r="L252" t="s">
        <v>5165</v>
      </c>
      <c r="M252" t="s">
        <v>46</v>
      </c>
      <c r="N252">
        <v>45529</v>
      </c>
      <c r="O252">
        <v>334</v>
      </c>
      <c r="P252" t="s">
        <v>29</v>
      </c>
      <c r="Q252">
        <v>0</v>
      </c>
      <c r="R252" t="s">
        <v>47</v>
      </c>
      <c r="S252" t="s">
        <v>21</v>
      </c>
      <c r="T252" t="s">
        <v>20</v>
      </c>
    </row>
    <row r="253" spans="1:20" x14ac:dyDescent="0.3">
      <c r="A253" t="s">
        <v>622</v>
      </c>
      <c r="B253" t="s">
        <v>31</v>
      </c>
      <c r="C253" t="s">
        <v>202</v>
      </c>
      <c r="D253" t="s">
        <v>33</v>
      </c>
      <c r="E253" t="s">
        <v>14</v>
      </c>
      <c r="F253" t="s">
        <v>15</v>
      </c>
      <c r="G253" t="s">
        <v>50</v>
      </c>
      <c r="H253" t="s">
        <v>5138</v>
      </c>
      <c r="I253" t="s">
        <v>5139</v>
      </c>
      <c r="J253">
        <v>233043</v>
      </c>
      <c r="K253" t="s">
        <v>623</v>
      </c>
      <c r="L253" t="s">
        <v>179</v>
      </c>
      <c r="M253" t="s">
        <v>46</v>
      </c>
      <c r="N253">
        <v>45691</v>
      </c>
      <c r="O253">
        <v>872</v>
      </c>
      <c r="P253" t="s">
        <v>29</v>
      </c>
      <c r="Q253">
        <v>6</v>
      </c>
      <c r="R253" t="s">
        <v>5116</v>
      </c>
      <c r="S253" t="s">
        <v>21</v>
      </c>
      <c r="T253" t="s">
        <v>20</v>
      </c>
    </row>
    <row r="254" spans="1:20" x14ac:dyDescent="0.3">
      <c r="A254" t="s">
        <v>624</v>
      </c>
      <c r="B254" t="s">
        <v>89</v>
      </c>
      <c r="C254" t="s">
        <v>172</v>
      </c>
      <c r="D254" t="s">
        <v>33</v>
      </c>
      <c r="E254" t="s">
        <v>5132</v>
      </c>
      <c r="F254" t="s">
        <v>5125</v>
      </c>
      <c r="G254" t="s">
        <v>36</v>
      </c>
      <c r="H254" t="s">
        <v>5136</v>
      </c>
      <c r="I254" t="s">
        <v>5137</v>
      </c>
      <c r="J254">
        <v>96739</v>
      </c>
      <c r="K254" t="s">
        <v>625</v>
      </c>
      <c r="L254" t="s">
        <v>134</v>
      </c>
      <c r="M254" t="s">
        <v>19</v>
      </c>
      <c r="N254">
        <v>45560</v>
      </c>
      <c r="O254">
        <v>1825</v>
      </c>
      <c r="P254" t="s">
        <v>20</v>
      </c>
      <c r="Q254">
        <v>0</v>
      </c>
      <c r="R254" t="s">
        <v>47</v>
      </c>
      <c r="S254" t="s">
        <v>21</v>
      </c>
      <c r="T254" t="s">
        <v>29</v>
      </c>
    </row>
    <row r="255" spans="1:20" x14ac:dyDescent="0.3">
      <c r="A255" t="s">
        <v>626</v>
      </c>
      <c r="B255" t="s">
        <v>222</v>
      </c>
      <c r="C255" t="s">
        <v>90</v>
      </c>
      <c r="D255" t="s">
        <v>104</v>
      </c>
      <c r="E255" t="s">
        <v>5124</v>
      </c>
      <c r="F255" t="s">
        <v>5125</v>
      </c>
      <c r="G255" t="s">
        <v>50</v>
      </c>
      <c r="H255" t="s">
        <v>5142</v>
      </c>
      <c r="I255" t="s">
        <v>5143</v>
      </c>
      <c r="J255">
        <v>177876</v>
      </c>
      <c r="K255" t="s">
        <v>627</v>
      </c>
      <c r="L255" t="s">
        <v>82</v>
      </c>
      <c r="M255" t="s">
        <v>46</v>
      </c>
      <c r="N255">
        <v>45531</v>
      </c>
      <c r="O255">
        <v>1278</v>
      </c>
      <c r="P255" t="s">
        <v>92</v>
      </c>
      <c r="Q255">
        <v>4</v>
      </c>
      <c r="R255" t="s">
        <v>52</v>
      </c>
      <c r="S255" t="s">
        <v>21</v>
      </c>
      <c r="T255" t="s">
        <v>20</v>
      </c>
    </row>
    <row r="256" spans="1:20" x14ac:dyDescent="0.3">
      <c r="A256" t="s">
        <v>628</v>
      </c>
      <c r="B256" t="s">
        <v>165</v>
      </c>
      <c r="C256" t="s">
        <v>185</v>
      </c>
      <c r="D256" t="s">
        <v>68</v>
      </c>
      <c r="E256" t="s">
        <v>5133</v>
      </c>
      <c r="F256" t="s">
        <v>5125</v>
      </c>
      <c r="G256" t="s">
        <v>16</v>
      </c>
      <c r="H256" t="s">
        <v>5142</v>
      </c>
      <c r="I256" t="s">
        <v>5143</v>
      </c>
      <c r="J256">
        <v>108977</v>
      </c>
      <c r="K256" t="s">
        <v>629</v>
      </c>
      <c r="L256" t="s">
        <v>113</v>
      </c>
      <c r="M256" t="s">
        <v>19</v>
      </c>
      <c r="N256">
        <v>45371</v>
      </c>
      <c r="O256">
        <v>3888</v>
      </c>
      <c r="P256" t="s">
        <v>20</v>
      </c>
      <c r="Q256">
        <v>4</v>
      </c>
      <c r="R256" t="s">
        <v>40</v>
      </c>
      <c r="S256" t="s">
        <v>21</v>
      </c>
      <c r="T256" t="s">
        <v>29</v>
      </c>
    </row>
    <row r="257" spans="1:20" x14ac:dyDescent="0.3">
      <c r="A257" t="s">
        <v>630</v>
      </c>
      <c r="B257" t="s">
        <v>74</v>
      </c>
      <c r="C257" t="s">
        <v>90</v>
      </c>
      <c r="D257" t="s">
        <v>140</v>
      </c>
      <c r="E257" t="s">
        <v>5132</v>
      </c>
      <c r="F257" t="s">
        <v>5125</v>
      </c>
      <c r="G257" t="s">
        <v>36</v>
      </c>
      <c r="H257" t="s">
        <v>5140</v>
      </c>
      <c r="I257" t="s">
        <v>5141</v>
      </c>
      <c r="J257">
        <v>100412</v>
      </c>
      <c r="K257" t="s">
        <v>631</v>
      </c>
      <c r="L257" t="s">
        <v>5165</v>
      </c>
      <c r="M257" t="s">
        <v>39</v>
      </c>
      <c r="N257">
        <v>45388</v>
      </c>
      <c r="O257">
        <v>1087</v>
      </c>
      <c r="P257" t="s">
        <v>29</v>
      </c>
      <c r="Q257">
        <v>2</v>
      </c>
      <c r="R257" t="s">
        <v>47</v>
      </c>
      <c r="S257" t="s">
        <v>21</v>
      </c>
      <c r="T257" t="s">
        <v>20</v>
      </c>
    </row>
    <row r="258" spans="1:20" x14ac:dyDescent="0.3">
      <c r="A258" t="s">
        <v>632</v>
      </c>
      <c r="B258" t="s">
        <v>78</v>
      </c>
      <c r="C258" t="s">
        <v>90</v>
      </c>
      <c r="D258" t="s">
        <v>57</v>
      </c>
      <c r="E258" t="s">
        <v>223</v>
      </c>
      <c r="F258" t="s">
        <v>224</v>
      </c>
      <c r="G258" t="s">
        <v>36</v>
      </c>
      <c r="H258" t="s">
        <v>5142</v>
      </c>
      <c r="I258" t="s">
        <v>5143</v>
      </c>
      <c r="J258">
        <v>184206</v>
      </c>
      <c r="K258" t="s">
        <v>633</v>
      </c>
      <c r="L258" t="s">
        <v>142</v>
      </c>
      <c r="M258" t="s">
        <v>46</v>
      </c>
      <c r="N258">
        <v>45564</v>
      </c>
      <c r="O258">
        <v>2879</v>
      </c>
      <c r="P258" t="s">
        <v>20</v>
      </c>
      <c r="Q258">
        <v>4</v>
      </c>
      <c r="R258" t="s">
        <v>47</v>
      </c>
      <c r="S258" t="s">
        <v>21</v>
      </c>
      <c r="T258" t="s">
        <v>29</v>
      </c>
    </row>
    <row r="259" spans="1:20" x14ac:dyDescent="0.3">
      <c r="A259" t="s">
        <v>634</v>
      </c>
      <c r="B259" t="s">
        <v>23</v>
      </c>
      <c r="C259" t="s">
        <v>117</v>
      </c>
      <c r="D259" t="s">
        <v>57</v>
      </c>
      <c r="E259" t="s">
        <v>95</v>
      </c>
      <c r="F259" t="s">
        <v>96</v>
      </c>
      <c r="G259" t="s">
        <v>50</v>
      </c>
      <c r="H259" t="s">
        <v>5136</v>
      </c>
      <c r="I259" t="s">
        <v>5137</v>
      </c>
      <c r="J259">
        <v>61083</v>
      </c>
      <c r="K259" t="s">
        <v>635</v>
      </c>
      <c r="L259" t="s">
        <v>61</v>
      </c>
      <c r="M259" t="s">
        <v>19</v>
      </c>
      <c r="N259">
        <v>45436</v>
      </c>
      <c r="O259">
        <v>1286</v>
      </c>
      <c r="P259" t="s">
        <v>20</v>
      </c>
      <c r="Q259">
        <v>0</v>
      </c>
      <c r="R259" t="s">
        <v>52</v>
      </c>
      <c r="S259" t="s">
        <v>41</v>
      </c>
      <c r="T259" t="s">
        <v>20</v>
      </c>
    </row>
    <row r="260" spans="1:20" x14ac:dyDescent="0.3">
      <c r="A260" t="s">
        <v>636</v>
      </c>
      <c r="B260" t="s">
        <v>222</v>
      </c>
      <c r="C260" t="s">
        <v>160</v>
      </c>
      <c r="D260" t="s">
        <v>33</v>
      </c>
      <c r="E260" t="s">
        <v>5128</v>
      </c>
      <c r="F260" t="s">
        <v>5125</v>
      </c>
      <c r="G260" t="s">
        <v>50</v>
      </c>
      <c r="H260" t="s">
        <v>5142</v>
      </c>
      <c r="I260" t="s">
        <v>5143</v>
      </c>
      <c r="J260">
        <v>161983</v>
      </c>
      <c r="K260" t="s">
        <v>637</v>
      </c>
      <c r="L260" t="s">
        <v>82</v>
      </c>
      <c r="M260" t="s">
        <v>39</v>
      </c>
      <c r="N260">
        <v>45366</v>
      </c>
      <c r="O260">
        <v>3357</v>
      </c>
      <c r="P260" t="s">
        <v>20</v>
      </c>
      <c r="Q260">
        <v>4</v>
      </c>
      <c r="R260" t="s">
        <v>5116</v>
      </c>
      <c r="S260" t="s">
        <v>21</v>
      </c>
      <c r="T260" t="s">
        <v>20</v>
      </c>
    </row>
    <row r="261" spans="1:20" x14ac:dyDescent="0.3">
      <c r="A261" t="s">
        <v>638</v>
      </c>
      <c r="B261" t="s">
        <v>84</v>
      </c>
      <c r="C261" t="s">
        <v>185</v>
      </c>
      <c r="D261" t="s">
        <v>140</v>
      </c>
      <c r="E261" t="s">
        <v>34</v>
      </c>
      <c r="F261" t="s">
        <v>35</v>
      </c>
      <c r="G261" t="s">
        <v>16</v>
      </c>
      <c r="H261" t="s">
        <v>5138</v>
      </c>
      <c r="I261" t="s">
        <v>5139</v>
      </c>
      <c r="J261">
        <v>227886</v>
      </c>
      <c r="K261" t="s">
        <v>639</v>
      </c>
      <c r="L261" t="s">
        <v>238</v>
      </c>
      <c r="M261" t="s">
        <v>46</v>
      </c>
      <c r="N261">
        <v>45309</v>
      </c>
      <c r="O261">
        <v>3844</v>
      </c>
      <c r="P261" t="s">
        <v>20</v>
      </c>
      <c r="Q261">
        <v>6</v>
      </c>
      <c r="R261" t="s">
        <v>5116</v>
      </c>
      <c r="S261" t="s">
        <v>53</v>
      </c>
      <c r="T261" t="s">
        <v>20</v>
      </c>
    </row>
    <row r="262" spans="1:20" x14ac:dyDescent="0.3">
      <c r="A262" t="s">
        <v>640</v>
      </c>
      <c r="B262" t="s">
        <v>12</v>
      </c>
      <c r="C262" t="s">
        <v>85</v>
      </c>
      <c r="D262" t="s">
        <v>140</v>
      </c>
      <c r="E262" t="s">
        <v>152</v>
      </c>
      <c r="F262" t="s">
        <v>153</v>
      </c>
      <c r="G262" t="s">
        <v>36</v>
      </c>
      <c r="H262" t="s">
        <v>5142</v>
      </c>
      <c r="I262" t="s">
        <v>5143</v>
      </c>
      <c r="J262">
        <v>124972</v>
      </c>
      <c r="K262" t="s">
        <v>641</v>
      </c>
      <c r="L262" t="s">
        <v>5165</v>
      </c>
      <c r="M262" t="s">
        <v>46</v>
      </c>
      <c r="N262">
        <v>45393</v>
      </c>
      <c r="O262">
        <v>3263</v>
      </c>
      <c r="P262" t="s">
        <v>20</v>
      </c>
      <c r="Q262">
        <v>4</v>
      </c>
      <c r="R262" t="s">
        <v>5116</v>
      </c>
      <c r="S262" t="s">
        <v>21</v>
      </c>
      <c r="T262" t="s">
        <v>29</v>
      </c>
    </row>
    <row r="263" spans="1:20" x14ac:dyDescent="0.3">
      <c r="A263" t="s">
        <v>642</v>
      </c>
      <c r="B263" t="s">
        <v>222</v>
      </c>
      <c r="C263" t="s">
        <v>24</v>
      </c>
      <c r="D263" t="s">
        <v>5156</v>
      </c>
      <c r="E263" t="s">
        <v>209</v>
      </c>
      <c r="F263" t="s">
        <v>210</v>
      </c>
      <c r="G263" t="s">
        <v>16</v>
      </c>
      <c r="H263" t="s">
        <v>5138</v>
      </c>
      <c r="I263" t="s">
        <v>5139</v>
      </c>
      <c r="J263">
        <v>197857</v>
      </c>
      <c r="K263" t="s">
        <v>643</v>
      </c>
      <c r="L263" t="s">
        <v>18</v>
      </c>
      <c r="M263" t="s">
        <v>19</v>
      </c>
      <c r="N263">
        <v>45686</v>
      </c>
      <c r="O263">
        <v>2882</v>
      </c>
      <c r="P263" t="s">
        <v>20</v>
      </c>
      <c r="Q263">
        <v>6</v>
      </c>
      <c r="R263" t="s">
        <v>5116</v>
      </c>
      <c r="S263" t="s">
        <v>21</v>
      </c>
      <c r="T263" t="s">
        <v>29</v>
      </c>
    </row>
    <row r="264" spans="1:20" x14ac:dyDescent="0.3">
      <c r="A264" t="s">
        <v>644</v>
      </c>
      <c r="B264" t="s">
        <v>23</v>
      </c>
      <c r="C264" t="s">
        <v>67</v>
      </c>
      <c r="D264" t="s">
        <v>25</v>
      </c>
      <c r="E264" t="s">
        <v>34</v>
      </c>
      <c r="F264" t="s">
        <v>35</v>
      </c>
      <c r="G264" t="s">
        <v>36</v>
      </c>
      <c r="H264" t="s">
        <v>5142</v>
      </c>
      <c r="I264" t="s">
        <v>5143</v>
      </c>
      <c r="J264">
        <v>62485</v>
      </c>
      <c r="K264" t="s">
        <v>645</v>
      </c>
      <c r="L264" t="s">
        <v>5165</v>
      </c>
      <c r="M264" t="s">
        <v>46</v>
      </c>
      <c r="N264">
        <v>45302</v>
      </c>
      <c r="O264">
        <v>787</v>
      </c>
      <c r="P264" t="s">
        <v>20</v>
      </c>
      <c r="Q264">
        <v>4</v>
      </c>
      <c r="R264" t="s">
        <v>76</v>
      </c>
      <c r="S264" t="s">
        <v>21</v>
      </c>
      <c r="T264" t="s">
        <v>20</v>
      </c>
    </row>
    <row r="265" spans="1:20" x14ac:dyDescent="0.3">
      <c r="A265" t="s">
        <v>646</v>
      </c>
      <c r="B265" t="s">
        <v>31</v>
      </c>
      <c r="C265" t="s">
        <v>49</v>
      </c>
      <c r="D265" t="s">
        <v>118</v>
      </c>
      <c r="E265" t="s">
        <v>5128</v>
      </c>
      <c r="F265" t="s">
        <v>5125</v>
      </c>
      <c r="G265" t="s">
        <v>36</v>
      </c>
      <c r="H265" t="s">
        <v>5140</v>
      </c>
      <c r="I265" t="s">
        <v>5141</v>
      </c>
      <c r="J265">
        <v>89717</v>
      </c>
      <c r="K265" t="s">
        <v>647</v>
      </c>
      <c r="L265" t="s">
        <v>87</v>
      </c>
      <c r="M265" t="s">
        <v>39</v>
      </c>
      <c r="N265">
        <v>45522</v>
      </c>
      <c r="O265">
        <v>3188</v>
      </c>
      <c r="P265" t="s">
        <v>20</v>
      </c>
      <c r="Q265">
        <v>2</v>
      </c>
      <c r="R265" t="s">
        <v>40</v>
      </c>
      <c r="S265" t="s">
        <v>53</v>
      </c>
      <c r="T265" t="s">
        <v>20</v>
      </c>
    </row>
    <row r="266" spans="1:20" x14ac:dyDescent="0.3">
      <c r="A266" t="s">
        <v>648</v>
      </c>
      <c r="B266" t="s">
        <v>23</v>
      </c>
      <c r="C266" t="s">
        <v>43</v>
      </c>
      <c r="D266" t="s">
        <v>44</v>
      </c>
      <c r="E266" t="s">
        <v>80</v>
      </c>
      <c r="F266" t="s">
        <v>80</v>
      </c>
      <c r="G266" t="s">
        <v>36</v>
      </c>
      <c r="H266" t="s">
        <v>5138</v>
      </c>
      <c r="I266" t="s">
        <v>5139</v>
      </c>
      <c r="J266">
        <v>190907</v>
      </c>
      <c r="K266" t="s">
        <v>649</v>
      </c>
      <c r="L266" t="s">
        <v>87</v>
      </c>
      <c r="M266" t="s">
        <v>19</v>
      </c>
      <c r="N266">
        <v>45546</v>
      </c>
      <c r="O266">
        <v>741</v>
      </c>
      <c r="P266" t="s">
        <v>92</v>
      </c>
      <c r="Q266">
        <v>6</v>
      </c>
      <c r="R266" t="s">
        <v>47</v>
      </c>
      <c r="S266" t="s">
        <v>21</v>
      </c>
      <c r="T266" t="s">
        <v>29</v>
      </c>
    </row>
    <row r="267" spans="1:20" x14ac:dyDescent="0.3">
      <c r="A267" t="s">
        <v>650</v>
      </c>
      <c r="B267" t="s">
        <v>222</v>
      </c>
      <c r="C267" t="s">
        <v>90</v>
      </c>
      <c r="D267" t="s">
        <v>57</v>
      </c>
      <c r="E267" t="s">
        <v>152</v>
      </c>
      <c r="F267" t="s">
        <v>153</v>
      </c>
      <c r="G267" t="s">
        <v>36</v>
      </c>
      <c r="H267" t="s">
        <v>5138</v>
      </c>
      <c r="I267" t="s">
        <v>5139</v>
      </c>
      <c r="J267">
        <v>155079</v>
      </c>
      <c r="K267" t="s">
        <v>651</v>
      </c>
      <c r="L267" t="s">
        <v>238</v>
      </c>
      <c r="M267" t="s">
        <v>72</v>
      </c>
      <c r="N267">
        <v>45651</v>
      </c>
      <c r="O267">
        <v>1927</v>
      </c>
      <c r="P267" t="s">
        <v>20</v>
      </c>
      <c r="Q267">
        <v>6</v>
      </c>
      <c r="R267" t="s">
        <v>5116</v>
      </c>
      <c r="S267" t="s">
        <v>21</v>
      </c>
      <c r="T267" t="s">
        <v>20</v>
      </c>
    </row>
    <row r="268" spans="1:20" x14ac:dyDescent="0.3">
      <c r="A268" t="s">
        <v>652</v>
      </c>
      <c r="B268" t="s">
        <v>322</v>
      </c>
      <c r="C268" t="s">
        <v>67</v>
      </c>
      <c r="D268" t="s">
        <v>140</v>
      </c>
      <c r="E268" t="s">
        <v>5127</v>
      </c>
      <c r="F268" t="s">
        <v>5125</v>
      </c>
      <c r="G268" t="s">
        <v>50</v>
      </c>
      <c r="H268" t="s">
        <v>5142</v>
      </c>
      <c r="I268" t="s">
        <v>5143</v>
      </c>
      <c r="J268">
        <v>194075</v>
      </c>
      <c r="K268" t="s">
        <v>653</v>
      </c>
      <c r="L268" t="s">
        <v>238</v>
      </c>
      <c r="M268" t="s">
        <v>19</v>
      </c>
      <c r="N268">
        <v>45428</v>
      </c>
      <c r="O268">
        <v>2700</v>
      </c>
      <c r="P268" t="s">
        <v>29</v>
      </c>
      <c r="Q268">
        <v>4</v>
      </c>
      <c r="R268" t="s">
        <v>47</v>
      </c>
      <c r="S268" t="s">
        <v>21</v>
      </c>
      <c r="T268" t="s">
        <v>20</v>
      </c>
    </row>
    <row r="269" spans="1:20" x14ac:dyDescent="0.3">
      <c r="A269" t="s">
        <v>654</v>
      </c>
      <c r="B269" t="s">
        <v>12</v>
      </c>
      <c r="C269" t="s">
        <v>43</v>
      </c>
      <c r="D269" t="s">
        <v>118</v>
      </c>
      <c r="E269" t="s">
        <v>34</v>
      </c>
      <c r="F269" t="s">
        <v>35</v>
      </c>
      <c r="G269" t="s">
        <v>36</v>
      </c>
      <c r="H269" t="s">
        <v>5142</v>
      </c>
      <c r="I269" t="s">
        <v>5143</v>
      </c>
      <c r="J269">
        <v>111386</v>
      </c>
      <c r="K269" t="s">
        <v>655</v>
      </c>
      <c r="L269" t="s">
        <v>38</v>
      </c>
      <c r="M269" t="s">
        <v>46</v>
      </c>
      <c r="N269">
        <v>45510</v>
      </c>
      <c r="O269">
        <v>3833</v>
      </c>
      <c r="P269" t="s">
        <v>20</v>
      </c>
      <c r="Q269">
        <v>4</v>
      </c>
      <c r="R269" t="s">
        <v>40</v>
      </c>
      <c r="S269" t="s">
        <v>21</v>
      </c>
      <c r="T269" t="s">
        <v>20</v>
      </c>
    </row>
    <row r="270" spans="1:20" x14ac:dyDescent="0.3">
      <c r="A270" t="s">
        <v>656</v>
      </c>
      <c r="B270" t="s">
        <v>218</v>
      </c>
      <c r="C270" t="s">
        <v>139</v>
      </c>
      <c r="D270" t="s">
        <v>140</v>
      </c>
      <c r="E270" t="s">
        <v>5131</v>
      </c>
      <c r="F270" t="s">
        <v>5125</v>
      </c>
      <c r="G270" t="s">
        <v>50</v>
      </c>
      <c r="H270" t="s">
        <v>5138</v>
      </c>
      <c r="I270" t="s">
        <v>5139</v>
      </c>
      <c r="J270">
        <v>184158</v>
      </c>
      <c r="K270" t="s">
        <v>657</v>
      </c>
      <c r="L270" t="s">
        <v>82</v>
      </c>
      <c r="M270" t="s">
        <v>19</v>
      </c>
      <c r="N270">
        <v>45457</v>
      </c>
      <c r="O270">
        <v>1175</v>
      </c>
      <c r="P270" t="s">
        <v>20</v>
      </c>
      <c r="Q270">
        <v>6</v>
      </c>
      <c r="R270" t="s">
        <v>76</v>
      </c>
      <c r="S270" t="s">
        <v>21</v>
      </c>
      <c r="T270" t="s">
        <v>20</v>
      </c>
    </row>
    <row r="271" spans="1:20" x14ac:dyDescent="0.3">
      <c r="A271" t="s">
        <v>658</v>
      </c>
      <c r="B271" t="s">
        <v>144</v>
      </c>
      <c r="C271" t="s">
        <v>232</v>
      </c>
      <c r="D271" t="s">
        <v>68</v>
      </c>
      <c r="E271" t="s">
        <v>26</v>
      </c>
      <c r="F271" t="s">
        <v>27</v>
      </c>
      <c r="G271" t="s">
        <v>16</v>
      </c>
      <c r="H271" t="s">
        <v>5142</v>
      </c>
      <c r="I271" t="s">
        <v>5143</v>
      </c>
      <c r="J271">
        <v>153529</v>
      </c>
      <c r="K271" t="s">
        <v>659</v>
      </c>
      <c r="L271" t="s">
        <v>5165</v>
      </c>
      <c r="M271" t="s">
        <v>46</v>
      </c>
      <c r="N271">
        <v>45453</v>
      </c>
      <c r="O271">
        <v>396</v>
      </c>
      <c r="P271" t="s">
        <v>29</v>
      </c>
      <c r="Q271">
        <v>4</v>
      </c>
      <c r="R271" t="s">
        <v>40</v>
      </c>
      <c r="S271" t="s">
        <v>21</v>
      </c>
      <c r="T271" t="s">
        <v>29</v>
      </c>
    </row>
    <row r="272" spans="1:20" x14ac:dyDescent="0.3">
      <c r="A272" t="s">
        <v>660</v>
      </c>
      <c r="B272" t="s">
        <v>136</v>
      </c>
      <c r="C272" t="s">
        <v>100</v>
      </c>
      <c r="D272" t="s">
        <v>167</v>
      </c>
      <c r="E272" t="s">
        <v>26</v>
      </c>
      <c r="F272" t="s">
        <v>27</v>
      </c>
      <c r="G272" t="s">
        <v>16</v>
      </c>
      <c r="H272" t="s">
        <v>5140</v>
      </c>
      <c r="I272" t="s">
        <v>5141</v>
      </c>
      <c r="J272">
        <v>138537</v>
      </c>
      <c r="K272" t="s">
        <v>661</v>
      </c>
      <c r="L272" t="s">
        <v>5165</v>
      </c>
      <c r="M272" t="s">
        <v>39</v>
      </c>
      <c r="N272">
        <v>45445</v>
      </c>
      <c r="O272">
        <v>2009</v>
      </c>
      <c r="P272" t="s">
        <v>20</v>
      </c>
      <c r="Q272">
        <v>2</v>
      </c>
      <c r="R272" t="s">
        <v>76</v>
      </c>
      <c r="S272" t="s">
        <v>53</v>
      </c>
      <c r="T272" t="s">
        <v>29</v>
      </c>
    </row>
    <row r="273" spans="1:20" x14ac:dyDescent="0.3">
      <c r="A273" t="s">
        <v>662</v>
      </c>
      <c r="B273" t="s">
        <v>74</v>
      </c>
      <c r="C273" t="s">
        <v>13</v>
      </c>
      <c r="D273" t="s">
        <v>140</v>
      </c>
      <c r="E273" t="s">
        <v>193</v>
      </c>
      <c r="F273" t="s">
        <v>194</v>
      </c>
      <c r="G273" t="s">
        <v>16</v>
      </c>
      <c r="H273" t="s">
        <v>5136</v>
      </c>
      <c r="I273" t="s">
        <v>5137</v>
      </c>
      <c r="J273">
        <v>51908</v>
      </c>
      <c r="K273" t="s">
        <v>663</v>
      </c>
      <c r="L273" t="s">
        <v>5165</v>
      </c>
      <c r="M273" t="s">
        <v>72</v>
      </c>
      <c r="N273">
        <v>45691</v>
      </c>
      <c r="O273">
        <v>3572</v>
      </c>
      <c r="P273" t="s">
        <v>20</v>
      </c>
      <c r="Q273">
        <v>0</v>
      </c>
      <c r="R273" t="s">
        <v>76</v>
      </c>
      <c r="S273" t="s">
        <v>41</v>
      </c>
      <c r="T273" t="s">
        <v>20</v>
      </c>
    </row>
    <row r="274" spans="1:20" x14ac:dyDescent="0.3">
      <c r="A274" t="s">
        <v>664</v>
      </c>
      <c r="B274" t="s">
        <v>130</v>
      </c>
      <c r="C274" t="s">
        <v>139</v>
      </c>
      <c r="D274" t="s">
        <v>104</v>
      </c>
      <c r="E274" t="s">
        <v>223</v>
      </c>
      <c r="F274" t="s">
        <v>224</v>
      </c>
      <c r="G274" t="s">
        <v>36</v>
      </c>
      <c r="H274" t="s">
        <v>5136</v>
      </c>
      <c r="I274" t="s">
        <v>5137</v>
      </c>
      <c r="J274">
        <v>84655</v>
      </c>
      <c r="K274" t="s">
        <v>665</v>
      </c>
      <c r="L274" t="s">
        <v>134</v>
      </c>
      <c r="M274" t="s">
        <v>46</v>
      </c>
      <c r="N274">
        <v>45455</v>
      </c>
      <c r="O274">
        <v>919</v>
      </c>
      <c r="P274" t="s">
        <v>20</v>
      </c>
      <c r="Q274">
        <v>0</v>
      </c>
      <c r="R274" t="s">
        <v>52</v>
      </c>
      <c r="S274" t="s">
        <v>21</v>
      </c>
      <c r="T274" t="s">
        <v>29</v>
      </c>
    </row>
    <row r="275" spans="1:20" x14ac:dyDescent="0.3">
      <c r="A275" t="s">
        <v>666</v>
      </c>
      <c r="B275" t="s">
        <v>89</v>
      </c>
      <c r="C275" t="s">
        <v>185</v>
      </c>
      <c r="D275" t="s">
        <v>140</v>
      </c>
      <c r="E275" t="s">
        <v>126</v>
      </c>
      <c r="F275" t="s">
        <v>127</v>
      </c>
      <c r="G275" t="s">
        <v>16</v>
      </c>
      <c r="H275" t="s">
        <v>5136</v>
      </c>
      <c r="I275" t="s">
        <v>5137</v>
      </c>
      <c r="J275">
        <v>70128</v>
      </c>
      <c r="K275" t="s">
        <v>667</v>
      </c>
      <c r="L275" t="s">
        <v>238</v>
      </c>
      <c r="M275" t="s">
        <v>46</v>
      </c>
      <c r="N275">
        <v>45335</v>
      </c>
      <c r="O275">
        <v>2308</v>
      </c>
      <c r="P275" t="s">
        <v>20</v>
      </c>
      <c r="Q275">
        <v>0</v>
      </c>
      <c r="R275" t="s">
        <v>76</v>
      </c>
      <c r="S275" t="s">
        <v>21</v>
      </c>
      <c r="T275" t="s">
        <v>29</v>
      </c>
    </row>
    <row r="276" spans="1:20" x14ac:dyDescent="0.3">
      <c r="A276" t="s">
        <v>668</v>
      </c>
      <c r="B276" t="s">
        <v>322</v>
      </c>
      <c r="C276" t="s">
        <v>64</v>
      </c>
      <c r="D276" t="s">
        <v>25</v>
      </c>
      <c r="E276" t="s">
        <v>193</v>
      </c>
      <c r="F276" t="s">
        <v>194</v>
      </c>
      <c r="G276" t="s">
        <v>16</v>
      </c>
      <c r="H276" t="s">
        <v>5142</v>
      </c>
      <c r="I276" t="s">
        <v>5143</v>
      </c>
      <c r="J276">
        <v>123499</v>
      </c>
      <c r="K276" t="s">
        <v>669</v>
      </c>
      <c r="L276" t="s">
        <v>179</v>
      </c>
      <c r="M276" t="s">
        <v>19</v>
      </c>
      <c r="N276">
        <v>45635</v>
      </c>
      <c r="O276">
        <v>2534</v>
      </c>
      <c r="P276" t="s">
        <v>20</v>
      </c>
      <c r="Q276">
        <v>4</v>
      </c>
      <c r="R276" t="s">
        <v>52</v>
      </c>
      <c r="S276" t="s">
        <v>21</v>
      </c>
      <c r="T276" t="s">
        <v>29</v>
      </c>
    </row>
    <row r="277" spans="1:20" x14ac:dyDescent="0.3">
      <c r="A277" t="s">
        <v>670</v>
      </c>
      <c r="B277" t="s">
        <v>84</v>
      </c>
      <c r="C277" t="s">
        <v>232</v>
      </c>
      <c r="D277" t="s">
        <v>118</v>
      </c>
      <c r="E277" t="s">
        <v>5133</v>
      </c>
      <c r="F277" t="s">
        <v>5125</v>
      </c>
      <c r="G277" t="s">
        <v>16</v>
      </c>
      <c r="H277" t="s">
        <v>5140</v>
      </c>
      <c r="I277" t="s">
        <v>5141</v>
      </c>
      <c r="J277">
        <v>119149</v>
      </c>
      <c r="K277" t="s">
        <v>671</v>
      </c>
      <c r="L277" t="s">
        <v>18</v>
      </c>
      <c r="M277" t="s">
        <v>39</v>
      </c>
      <c r="N277">
        <v>45664</v>
      </c>
      <c r="O277">
        <v>66</v>
      </c>
      <c r="P277" t="s">
        <v>20</v>
      </c>
      <c r="Q277">
        <v>2</v>
      </c>
      <c r="R277" t="s">
        <v>5116</v>
      </c>
      <c r="S277" t="s">
        <v>21</v>
      </c>
      <c r="T277" t="s">
        <v>20</v>
      </c>
    </row>
    <row r="278" spans="1:20" x14ac:dyDescent="0.3">
      <c r="A278" t="s">
        <v>672</v>
      </c>
      <c r="B278" t="s">
        <v>229</v>
      </c>
      <c r="C278" t="s">
        <v>43</v>
      </c>
      <c r="D278" t="s">
        <v>5156</v>
      </c>
      <c r="E278" t="s">
        <v>126</v>
      </c>
      <c r="F278" t="s">
        <v>127</v>
      </c>
      <c r="G278" t="s">
        <v>16</v>
      </c>
      <c r="H278" t="s">
        <v>5140</v>
      </c>
      <c r="I278" t="s">
        <v>5141</v>
      </c>
      <c r="J278">
        <v>113941</v>
      </c>
      <c r="K278" t="s">
        <v>673</v>
      </c>
      <c r="L278" t="s">
        <v>5165</v>
      </c>
      <c r="M278" t="s">
        <v>46</v>
      </c>
      <c r="N278">
        <v>45571</v>
      </c>
      <c r="O278">
        <v>188</v>
      </c>
      <c r="P278" t="s">
        <v>20</v>
      </c>
      <c r="Q278">
        <v>2</v>
      </c>
      <c r="R278" t="s">
        <v>5116</v>
      </c>
      <c r="S278" t="s">
        <v>21</v>
      </c>
      <c r="T278" t="s">
        <v>20</v>
      </c>
    </row>
    <row r="279" spans="1:20" x14ac:dyDescent="0.3">
      <c r="A279" t="s">
        <v>674</v>
      </c>
      <c r="B279" t="s">
        <v>78</v>
      </c>
      <c r="C279" t="s">
        <v>232</v>
      </c>
      <c r="D279" t="s">
        <v>167</v>
      </c>
      <c r="E279" t="s">
        <v>5127</v>
      </c>
      <c r="F279" t="s">
        <v>5125</v>
      </c>
      <c r="G279" t="s">
        <v>36</v>
      </c>
      <c r="H279" t="s">
        <v>5142</v>
      </c>
      <c r="I279" t="s">
        <v>5143</v>
      </c>
      <c r="J279">
        <v>133794</v>
      </c>
      <c r="K279" t="s">
        <v>675</v>
      </c>
      <c r="L279" t="s">
        <v>5165</v>
      </c>
      <c r="M279" t="s">
        <v>39</v>
      </c>
      <c r="N279">
        <v>45296</v>
      </c>
      <c r="O279">
        <v>1208</v>
      </c>
      <c r="P279" t="s">
        <v>92</v>
      </c>
      <c r="Q279">
        <v>4</v>
      </c>
      <c r="R279" t="s">
        <v>52</v>
      </c>
      <c r="S279" t="s">
        <v>21</v>
      </c>
      <c r="T279" t="s">
        <v>29</v>
      </c>
    </row>
    <row r="280" spans="1:20" x14ac:dyDescent="0.3">
      <c r="A280" t="s">
        <v>676</v>
      </c>
      <c r="B280" t="s">
        <v>12</v>
      </c>
      <c r="C280" t="s">
        <v>67</v>
      </c>
      <c r="D280" t="s">
        <v>5156</v>
      </c>
      <c r="E280" t="s">
        <v>152</v>
      </c>
      <c r="F280" t="s">
        <v>153</v>
      </c>
      <c r="G280" t="s">
        <v>50</v>
      </c>
      <c r="H280" t="s">
        <v>5142</v>
      </c>
      <c r="I280" t="s">
        <v>5143</v>
      </c>
      <c r="J280">
        <v>151884</v>
      </c>
      <c r="K280" t="s">
        <v>677</v>
      </c>
      <c r="L280" t="s">
        <v>5165</v>
      </c>
      <c r="M280" t="s">
        <v>19</v>
      </c>
      <c r="N280">
        <v>45564</v>
      </c>
      <c r="O280">
        <v>1258</v>
      </c>
      <c r="P280" t="s">
        <v>20</v>
      </c>
      <c r="Q280">
        <v>4</v>
      </c>
      <c r="R280" t="s">
        <v>52</v>
      </c>
      <c r="S280" t="s">
        <v>53</v>
      </c>
      <c r="T280" t="s">
        <v>29</v>
      </c>
    </row>
    <row r="281" spans="1:20" x14ac:dyDescent="0.3">
      <c r="A281" t="s">
        <v>678</v>
      </c>
      <c r="B281" t="s">
        <v>218</v>
      </c>
      <c r="C281" t="s">
        <v>67</v>
      </c>
      <c r="D281" t="s">
        <v>25</v>
      </c>
      <c r="E281" t="s">
        <v>223</v>
      </c>
      <c r="F281" t="s">
        <v>224</v>
      </c>
      <c r="G281" t="s">
        <v>16</v>
      </c>
      <c r="H281" t="s">
        <v>5142</v>
      </c>
      <c r="I281" t="s">
        <v>5143</v>
      </c>
      <c r="J281">
        <v>139596</v>
      </c>
      <c r="K281" t="s">
        <v>679</v>
      </c>
      <c r="L281" t="s">
        <v>179</v>
      </c>
      <c r="M281" t="s">
        <v>19</v>
      </c>
      <c r="N281">
        <v>45548</v>
      </c>
      <c r="O281">
        <v>3684</v>
      </c>
      <c r="P281" t="s">
        <v>20</v>
      </c>
      <c r="Q281">
        <v>4</v>
      </c>
      <c r="R281" t="s">
        <v>47</v>
      </c>
      <c r="S281" t="s">
        <v>21</v>
      </c>
      <c r="T281" t="s">
        <v>29</v>
      </c>
    </row>
    <row r="282" spans="1:20" x14ac:dyDescent="0.3">
      <c r="A282" t="s">
        <v>680</v>
      </c>
      <c r="B282" t="s">
        <v>78</v>
      </c>
      <c r="C282" t="s">
        <v>32</v>
      </c>
      <c r="D282" t="s">
        <v>68</v>
      </c>
      <c r="E282" t="s">
        <v>5131</v>
      </c>
      <c r="F282" t="s">
        <v>5125</v>
      </c>
      <c r="G282" t="s">
        <v>16</v>
      </c>
      <c r="H282" t="s">
        <v>5140</v>
      </c>
      <c r="I282" t="s">
        <v>5141</v>
      </c>
      <c r="J282">
        <v>112247</v>
      </c>
      <c r="K282" t="s">
        <v>681</v>
      </c>
      <c r="L282" t="s">
        <v>61</v>
      </c>
      <c r="M282" t="s">
        <v>46</v>
      </c>
      <c r="N282">
        <v>45370</v>
      </c>
      <c r="O282">
        <v>3543</v>
      </c>
      <c r="P282" t="s">
        <v>29</v>
      </c>
      <c r="Q282">
        <v>2</v>
      </c>
      <c r="R282" t="s">
        <v>76</v>
      </c>
      <c r="S282" t="s">
        <v>53</v>
      </c>
      <c r="T282" t="s">
        <v>29</v>
      </c>
    </row>
    <row r="283" spans="1:20" x14ac:dyDescent="0.3">
      <c r="A283" t="s">
        <v>682</v>
      </c>
      <c r="B283" t="s">
        <v>55</v>
      </c>
      <c r="C283" t="s">
        <v>100</v>
      </c>
      <c r="D283" t="s">
        <v>5156</v>
      </c>
      <c r="E283" t="s">
        <v>5124</v>
      </c>
      <c r="F283" t="s">
        <v>5125</v>
      </c>
      <c r="G283" t="s">
        <v>16</v>
      </c>
      <c r="H283" t="s">
        <v>5140</v>
      </c>
      <c r="I283" t="s">
        <v>5141</v>
      </c>
      <c r="J283">
        <v>123110</v>
      </c>
      <c r="K283" t="s">
        <v>683</v>
      </c>
      <c r="L283" t="s">
        <v>5165</v>
      </c>
      <c r="M283" t="s">
        <v>39</v>
      </c>
      <c r="N283">
        <v>45564</v>
      </c>
      <c r="O283">
        <v>3947</v>
      </c>
      <c r="P283" t="s">
        <v>20</v>
      </c>
      <c r="Q283">
        <v>2</v>
      </c>
      <c r="R283" t="s">
        <v>52</v>
      </c>
      <c r="S283" t="s">
        <v>53</v>
      </c>
      <c r="T283" t="s">
        <v>20</v>
      </c>
    </row>
    <row r="284" spans="1:20" x14ac:dyDescent="0.3">
      <c r="A284" t="s">
        <v>684</v>
      </c>
      <c r="B284" t="s">
        <v>31</v>
      </c>
      <c r="C284" t="s">
        <v>85</v>
      </c>
      <c r="D284" t="s">
        <v>104</v>
      </c>
      <c r="E284" t="s">
        <v>80</v>
      </c>
      <c r="F284" t="s">
        <v>80</v>
      </c>
      <c r="G284" t="s">
        <v>16</v>
      </c>
      <c r="H284" t="s">
        <v>5140</v>
      </c>
      <c r="I284" t="s">
        <v>5141</v>
      </c>
      <c r="J284">
        <v>141403</v>
      </c>
      <c r="K284" t="s">
        <v>685</v>
      </c>
      <c r="L284" t="s">
        <v>18</v>
      </c>
      <c r="M284" t="s">
        <v>19</v>
      </c>
      <c r="N284">
        <v>45386</v>
      </c>
      <c r="O284">
        <v>1481</v>
      </c>
      <c r="P284" t="s">
        <v>29</v>
      </c>
      <c r="Q284">
        <v>2</v>
      </c>
      <c r="R284" t="s">
        <v>52</v>
      </c>
      <c r="S284" t="s">
        <v>21</v>
      </c>
      <c r="T284" t="s">
        <v>20</v>
      </c>
    </row>
    <row r="285" spans="1:20" x14ac:dyDescent="0.3">
      <c r="A285" t="s">
        <v>686</v>
      </c>
      <c r="B285" t="s">
        <v>89</v>
      </c>
      <c r="C285" t="s">
        <v>117</v>
      </c>
      <c r="D285" t="s">
        <v>25</v>
      </c>
      <c r="E285" t="s">
        <v>95</v>
      </c>
      <c r="F285" t="s">
        <v>96</v>
      </c>
      <c r="G285" t="s">
        <v>50</v>
      </c>
      <c r="H285" t="s">
        <v>5142</v>
      </c>
      <c r="I285" t="s">
        <v>5143</v>
      </c>
      <c r="J285">
        <v>116578</v>
      </c>
      <c r="K285" t="s">
        <v>687</v>
      </c>
      <c r="L285" t="s">
        <v>5165</v>
      </c>
      <c r="M285" t="s">
        <v>72</v>
      </c>
      <c r="N285">
        <v>45543</v>
      </c>
      <c r="O285">
        <v>3050</v>
      </c>
      <c r="P285" t="s">
        <v>20</v>
      </c>
      <c r="Q285">
        <v>4</v>
      </c>
      <c r="R285" t="s">
        <v>47</v>
      </c>
      <c r="S285" t="s">
        <v>53</v>
      </c>
      <c r="T285" t="s">
        <v>29</v>
      </c>
    </row>
    <row r="286" spans="1:20" x14ac:dyDescent="0.3">
      <c r="A286" t="s">
        <v>688</v>
      </c>
      <c r="B286" t="s">
        <v>165</v>
      </c>
      <c r="C286" t="s">
        <v>100</v>
      </c>
      <c r="D286" t="s">
        <v>167</v>
      </c>
      <c r="E286" t="s">
        <v>5124</v>
      </c>
      <c r="F286" t="s">
        <v>5125</v>
      </c>
      <c r="G286" t="s">
        <v>50</v>
      </c>
      <c r="H286" t="s">
        <v>5138</v>
      </c>
      <c r="I286" t="s">
        <v>5139</v>
      </c>
      <c r="J286">
        <v>276789</v>
      </c>
      <c r="K286" t="s">
        <v>689</v>
      </c>
      <c r="L286" t="s">
        <v>134</v>
      </c>
      <c r="M286" t="s">
        <v>46</v>
      </c>
      <c r="N286">
        <v>45746</v>
      </c>
      <c r="O286">
        <v>2161</v>
      </c>
      <c r="P286" t="s">
        <v>20</v>
      </c>
      <c r="Q286">
        <v>6</v>
      </c>
      <c r="R286" t="s">
        <v>5116</v>
      </c>
      <c r="S286" t="s">
        <v>21</v>
      </c>
      <c r="T286" t="s">
        <v>20</v>
      </c>
    </row>
    <row r="287" spans="1:20" x14ac:dyDescent="0.3">
      <c r="A287" t="s">
        <v>690</v>
      </c>
      <c r="B287" t="s">
        <v>222</v>
      </c>
      <c r="C287" t="s">
        <v>125</v>
      </c>
      <c r="D287" t="s">
        <v>33</v>
      </c>
      <c r="E287" t="s">
        <v>69</v>
      </c>
      <c r="F287" t="s">
        <v>70</v>
      </c>
      <c r="G287" t="s">
        <v>36</v>
      </c>
      <c r="H287" t="s">
        <v>5140</v>
      </c>
      <c r="I287" t="s">
        <v>5141</v>
      </c>
      <c r="J287">
        <v>71348</v>
      </c>
      <c r="K287" t="s">
        <v>691</v>
      </c>
      <c r="L287" t="s">
        <v>5165</v>
      </c>
      <c r="M287" t="s">
        <v>19</v>
      </c>
      <c r="N287">
        <v>45668</v>
      </c>
      <c r="O287">
        <v>3632</v>
      </c>
      <c r="P287" t="s">
        <v>20</v>
      </c>
      <c r="Q287">
        <v>2</v>
      </c>
      <c r="R287" t="s">
        <v>40</v>
      </c>
      <c r="S287" t="s">
        <v>21</v>
      </c>
      <c r="T287" t="s">
        <v>29</v>
      </c>
    </row>
    <row r="288" spans="1:20" x14ac:dyDescent="0.3">
      <c r="A288" t="s">
        <v>692</v>
      </c>
      <c r="B288" t="s">
        <v>78</v>
      </c>
      <c r="C288" t="s">
        <v>175</v>
      </c>
      <c r="D288" t="s">
        <v>68</v>
      </c>
      <c r="E288" t="s">
        <v>69</v>
      </c>
      <c r="F288" t="s">
        <v>70</v>
      </c>
      <c r="G288" t="s">
        <v>50</v>
      </c>
      <c r="H288" t="s">
        <v>5136</v>
      </c>
      <c r="I288" t="s">
        <v>5137</v>
      </c>
      <c r="J288">
        <v>68087</v>
      </c>
      <c r="K288" t="s">
        <v>693</v>
      </c>
      <c r="L288" t="s">
        <v>5165</v>
      </c>
      <c r="M288" t="s">
        <v>19</v>
      </c>
      <c r="N288">
        <v>45529</v>
      </c>
      <c r="O288">
        <v>1334</v>
      </c>
      <c r="P288" t="s">
        <v>20</v>
      </c>
      <c r="Q288">
        <v>0</v>
      </c>
      <c r="R288" t="s">
        <v>47</v>
      </c>
      <c r="S288" t="s">
        <v>21</v>
      </c>
      <c r="T288" t="s">
        <v>20</v>
      </c>
    </row>
    <row r="289" spans="1:20" x14ac:dyDescent="0.3">
      <c r="A289" t="s">
        <v>694</v>
      </c>
      <c r="B289" t="s">
        <v>99</v>
      </c>
      <c r="C289" t="s">
        <v>90</v>
      </c>
      <c r="D289" t="s">
        <v>167</v>
      </c>
      <c r="E289" t="s">
        <v>5128</v>
      </c>
      <c r="F289" t="s">
        <v>5125</v>
      </c>
      <c r="G289" t="s">
        <v>16</v>
      </c>
      <c r="H289" t="s">
        <v>5138</v>
      </c>
      <c r="I289" t="s">
        <v>5139</v>
      </c>
      <c r="J289">
        <v>221179</v>
      </c>
      <c r="K289" t="s">
        <v>695</v>
      </c>
      <c r="L289" t="s">
        <v>82</v>
      </c>
      <c r="M289" t="s">
        <v>19</v>
      </c>
      <c r="N289">
        <v>45646</v>
      </c>
      <c r="O289">
        <v>2987</v>
      </c>
      <c r="P289" t="s">
        <v>20</v>
      </c>
      <c r="Q289">
        <v>6</v>
      </c>
      <c r="R289" t="s">
        <v>76</v>
      </c>
      <c r="S289" t="s">
        <v>21</v>
      </c>
      <c r="T289" t="s">
        <v>29</v>
      </c>
    </row>
    <row r="290" spans="1:20" x14ac:dyDescent="0.3">
      <c r="A290" t="s">
        <v>696</v>
      </c>
      <c r="B290" t="s">
        <v>23</v>
      </c>
      <c r="C290" t="s">
        <v>172</v>
      </c>
      <c r="D290" t="s">
        <v>57</v>
      </c>
      <c r="E290" t="s">
        <v>5127</v>
      </c>
      <c r="F290" t="s">
        <v>5125</v>
      </c>
      <c r="G290" t="s">
        <v>36</v>
      </c>
      <c r="H290" t="s">
        <v>5138</v>
      </c>
      <c r="I290" t="s">
        <v>5139</v>
      </c>
      <c r="J290">
        <v>210115</v>
      </c>
      <c r="K290" t="s">
        <v>697</v>
      </c>
      <c r="L290" t="s">
        <v>113</v>
      </c>
      <c r="M290" t="s">
        <v>19</v>
      </c>
      <c r="N290">
        <v>45463</v>
      </c>
      <c r="O290">
        <v>491</v>
      </c>
      <c r="P290" t="s">
        <v>92</v>
      </c>
      <c r="Q290">
        <v>6</v>
      </c>
      <c r="R290" t="s">
        <v>47</v>
      </c>
      <c r="S290" t="s">
        <v>21</v>
      </c>
      <c r="T290" t="s">
        <v>20</v>
      </c>
    </row>
    <row r="291" spans="1:20" x14ac:dyDescent="0.3">
      <c r="A291" t="s">
        <v>698</v>
      </c>
      <c r="B291" t="s">
        <v>144</v>
      </c>
      <c r="C291" t="s">
        <v>43</v>
      </c>
      <c r="D291" t="s">
        <v>57</v>
      </c>
      <c r="E291" t="s">
        <v>152</v>
      </c>
      <c r="F291" t="s">
        <v>153</v>
      </c>
      <c r="G291" t="s">
        <v>50</v>
      </c>
      <c r="H291" t="s">
        <v>5138</v>
      </c>
      <c r="I291" t="s">
        <v>5139</v>
      </c>
      <c r="J291">
        <v>177582</v>
      </c>
      <c r="K291" t="s">
        <v>699</v>
      </c>
      <c r="L291" t="s">
        <v>18</v>
      </c>
      <c r="M291" t="s">
        <v>46</v>
      </c>
      <c r="N291">
        <v>45570</v>
      </c>
      <c r="O291">
        <v>335</v>
      </c>
      <c r="P291" t="s">
        <v>20</v>
      </c>
      <c r="Q291">
        <v>6</v>
      </c>
      <c r="R291" t="s">
        <v>5116</v>
      </c>
      <c r="S291" t="s">
        <v>21</v>
      </c>
      <c r="T291" t="s">
        <v>20</v>
      </c>
    </row>
    <row r="292" spans="1:20" x14ac:dyDescent="0.3">
      <c r="A292" t="s">
        <v>700</v>
      </c>
      <c r="B292" t="s">
        <v>78</v>
      </c>
      <c r="C292" t="s">
        <v>172</v>
      </c>
      <c r="D292" t="s">
        <v>167</v>
      </c>
      <c r="E292" t="s">
        <v>5127</v>
      </c>
      <c r="F292" t="s">
        <v>5125</v>
      </c>
      <c r="G292" t="s">
        <v>16</v>
      </c>
      <c r="H292" t="s">
        <v>5140</v>
      </c>
      <c r="I292" t="s">
        <v>5141</v>
      </c>
      <c r="J292">
        <v>105879</v>
      </c>
      <c r="K292" t="s">
        <v>701</v>
      </c>
      <c r="L292" t="s">
        <v>5165</v>
      </c>
      <c r="M292" t="s">
        <v>72</v>
      </c>
      <c r="N292">
        <v>45320</v>
      </c>
      <c r="O292">
        <v>456</v>
      </c>
      <c r="P292" t="s">
        <v>20</v>
      </c>
      <c r="Q292">
        <v>2</v>
      </c>
      <c r="R292" t="s">
        <v>47</v>
      </c>
      <c r="S292" t="s">
        <v>21</v>
      </c>
      <c r="T292" t="s">
        <v>29</v>
      </c>
    </row>
    <row r="293" spans="1:20" x14ac:dyDescent="0.3">
      <c r="A293" t="s">
        <v>702</v>
      </c>
      <c r="B293" t="s">
        <v>78</v>
      </c>
      <c r="C293" t="s">
        <v>109</v>
      </c>
      <c r="D293" t="s">
        <v>44</v>
      </c>
      <c r="E293" t="s">
        <v>34</v>
      </c>
      <c r="F293" t="s">
        <v>35</v>
      </c>
      <c r="G293" t="s">
        <v>36</v>
      </c>
      <c r="H293" t="s">
        <v>5140</v>
      </c>
      <c r="I293" t="s">
        <v>5141</v>
      </c>
      <c r="J293">
        <v>100238</v>
      </c>
      <c r="K293" t="s">
        <v>703</v>
      </c>
      <c r="L293" t="s">
        <v>134</v>
      </c>
      <c r="M293" t="s">
        <v>39</v>
      </c>
      <c r="N293">
        <v>45476</v>
      </c>
      <c r="O293">
        <v>1209</v>
      </c>
      <c r="P293" t="s">
        <v>20</v>
      </c>
      <c r="Q293">
        <v>2</v>
      </c>
      <c r="R293" t="s">
        <v>5116</v>
      </c>
      <c r="S293" t="s">
        <v>21</v>
      </c>
      <c r="T293" t="s">
        <v>29</v>
      </c>
    </row>
    <row r="294" spans="1:20" x14ac:dyDescent="0.3">
      <c r="A294" t="s">
        <v>704</v>
      </c>
      <c r="B294" t="s">
        <v>124</v>
      </c>
      <c r="C294" t="s">
        <v>232</v>
      </c>
      <c r="D294" t="s">
        <v>25</v>
      </c>
      <c r="E294" t="s">
        <v>69</v>
      </c>
      <c r="F294" t="s">
        <v>70</v>
      </c>
      <c r="G294" t="s">
        <v>16</v>
      </c>
      <c r="H294" t="s">
        <v>5138</v>
      </c>
      <c r="I294" t="s">
        <v>5139</v>
      </c>
      <c r="J294">
        <v>178782</v>
      </c>
      <c r="K294" t="s">
        <v>705</v>
      </c>
      <c r="L294" t="s">
        <v>18</v>
      </c>
      <c r="M294" t="s">
        <v>46</v>
      </c>
      <c r="N294">
        <v>45399</v>
      </c>
      <c r="O294">
        <v>1073</v>
      </c>
      <c r="P294" t="s">
        <v>20</v>
      </c>
      <c r="Q294">
        <v>6</v>
      </c>
      <c r="R294" t="s">
        <v>76</v>
      </c>
      <c r="S294" t="s">
        <v>21</v>
      </c>
      <c r="T294" t="s">
        <v>29</v>
      </c>
    </row>
    <row r="295" spans="1:20" x14ac:dyDescent="0.3">
      <c r="A295" t="s">
        <v>706</v>
      </c>
      <c r="B295" t="s">
        <v>136</v>
      </c>
      <c r="C295" t="s">
        <v>117</v>
      </c>
      <c r="D295" t="s">
        <v>44</v>
      </c>
      <c r="E295" t="s">
        <v>69</v>
      </c>
      <c r="F295" t="s">
        <v>70</v>
      </c>
      <c r="G295" t="s">
        <v>36</v>
      </c>
      <c r="H295" t="s">
        <v>5138</v>
      </c>
      <c r="I295" t="s">
        <v>5139</v>
      </c>
      <c r="J295">
        <v>230585</v>
      </c>
      <c r="K295" t="s">
        <v>707</v>
      </c>
      <c r="L295" t="s">
        <v>5165</v>
      </c>
      <c r="M295" t="s">
        <v>19</v>
      </c>
      <c r="N295">
        <v>45546</v>
      </c>
      <c r="O295">
        <v>3030</v>
      </c>
      <c r="P295" t="s">
        <v>20</v>
      </c>
      <c r="Q295">
        <v>6</v>
      </c>
      <c r="R295" t="s">
        <v>76</v>
      </c>
      <c r="S295" t="s">
        <v>41</v>
      </c>
      <c r="T295" t="s">
        <v>29</v>
      </c>
    </row>
    <row r="296" spans="1:20" x14ac:dyDescent="0.3">
      <c r="A296" t="s">
        <v>708</v>
      </c>
      <c r="B296" t="s">
        <v>229</v>
      </c>
      <c r="C296" t="s">
        <v>172</v>
      </c>
      <c r="D296" t="s">
        <v>25</v>
      </c>
      <c r="E296" t="s">
        <v>126</v>
      </c>
      <c r="F296" t="s">
        <v>127</v>
      </c>
      <c r="G296" t="s">
        <v>50</v>
      </c>
      <c r="H296" t="s">
        <v>5142</v>
      </c>
      <c r="I296" t="s">
        <v>5143</v>
      </c>
      <c r="J296">
        <v>159639</v>
      </c>
      <c r="K296" t="s">
        <v>709</v>
      </c>
      <c r="L296" t="s">
        <v>142</v>
      </c>
      <c r="M296" t="s">
        <v>46</v>
      </c>
      <c r="N296">
        <v>45400</v>
      </c>
      <c r="O296">
        <v>3151</v>
      </c>
      <c r="P296" t="s">
        <v>29</v>
      </c>
      <c r="Q296">
        <v>4</v>
      </c>
      <c r="R296" t="s">
        <v>40</v>
      </c>
      <c r="S296" t="s">
        <v>21</v>
      </c>
      <c r="T296" t="s">
        <v>20</v>
      </c>
    </row>
    <row r="297" spans="1:20" x14ac:dyDescent="0.3">
      <c r="A297" t="s">
        <v>710</v>
      </c>
      <c r="B297" t="s">
        <v>78</v>
      </c>
      <c r="C297" t="s">
        <v>90</v>
      </c>
      <c r="D297" t="s">
        <v>57</v>
      </c>
      <c r="E297" t="s">
        <v>95</v>
      </c>
      <c r="F297" t="s">
        <v>96</v>
      </c>
      <c r="G297" t="s">
        <v>16</v>
      </c>
      <c r="H297" t="s">
        <v>5136</v>
      </c>
      <c r="I297" t="s">
        <v>5137</v>
      </c>
      <c r="J297">
        <v>61269</v>
      </c>
      <c r="K297" t="s">
        <v>711</v>
      </c>
      <c r="L297" t="s">
        <v>61</v>
      </c>
      <c r="M297" t="s">
        <v>39</v>
      </c>
      <c r="N297">
        <v>45718</v>
      </c>
      <c r="O297">
        <v>3679</v>
      </c>
      <c r="P297" t="s">
        <v>20</v>
      </c>
      <c r="Q297">
        <v>0</v>
      </c>
      <c r="R297" t="s">
        <v>52</v>
      </c>
      <c r="S297" t="s">
        <v>41</v>
      </c>
      <c r="T297" t="s">
        <v>29</v>
      </c>
    </row>
    <row r="298" spans="1:20" x14ac:dyDescent="0.3">
      <c r="A298" t="s">
        <v>712</v>
      </c>
      <c r="B298" t="s">
        <v>124</v>
      </c>
      <c r="C298" t="s">
        <v>166</v>
      </c>
      <c r="D298" t="s">
        <v>5156</v>
      </c>
      <c r="E298" t="s">
        <v>193</v>
      </c>
      <c r="F298" t="s">
        <v>194</v>
      </c>
      <c r="G298" t="s">
        <v>36</v>
      </c>
      <c r="H298" t="s">
        <v>5142</v>
      </c>
      <c r="I298" t="s">
        <v>5143</v>
      </c>
      <c r="J298">
        <v>174289</v>
      </c>
      <c r="K298" t="s">
        <v>713</v>
      </c>
      <c r="L298" t="s">
        <v>61</v>
      </c>
      <c r="M298" t="s">
        <v>46</v>
      </c>
      <c r="N298">
        <v>45453</v>
      </c>
      <c r="O298">
        <v>2576</v>
      </c>
      <c r="P298" t="s">
        <v>20</v>
      </c>
      <c r="Q298">
        <v>4</v>
      </c>
      <c r="R298" t="s">
        <v>47</v>
      </c>
      <c r="S298" t="s">
        <v>21</v>
      </c>
      <c r="T298" t="s">
        <v>29</v>
      </c>
    </row>
    <row r="299" spans="1:20" x14ac:dyDescent="0.3">
      <c r="A299" t="s">
        <v>714</v>
      </c>
      <c r="B299" t="s">
        <v>78</v>
      </c>
      <c r="C299" t="s">
        <v>219</v>
      </c>
      <c r="D299" t="s">
        <v>57</v>
      </c>
      <c r="E299" t="s">
        <v>223</v>
      </c>
      <c r="F299" t="s">
        <v>224</v>
      </c>
      <c r="G299" t="s">
        <v>36</v>
      </c>
      <c r="H299" t="s">
        <v>5136</v>
      </c>
      <c r="I299" t="s">
        <v>5137</v>
      </c>
      <c r="J299">
        <v>73871</v>
      </c>
      <c r="K299" t="s">
        <v>715</v>
      </c>
      <c r="L299" t="s">
        <v>238</v>
      </c>
      <c r="M299" t="s">
        <v>39</v>
      </c>
      <c r="N299">
        <v>45453</v>
      </c>
      <c r="O299">
        <v>895</v>
      </c>
      <c r="P299" t="s">
        <v>20</v>
      </c>
      <c r="Q299">
        <v>0</v>
      </c>
      <c r="R299" t="s">
        <v>47</v>
      </c>
      <c r="S299" t="s">
        <v>21</v>
      </c>
      <c r="T299" t="s">
        <v>20</v>
      </c>
    </row>
    <row r="300" spans="1:20" x14ac:dyDescent="0.3">
      <c r="A300" t="s">
        <v>716</v>
      </c>
      <c r="B300" t="s">
        <v>99</v>
      </c>
      <c r="C300" t="s">
        <v>56</v>
      </c>
      <c r="D300" t="s">
        <v>25</v>
      </c>
      <c r="E300" t="s">
        <v>34</v>
      </c>
      <c r="F300" t="s">
        <v>35</v>
      </c>
      <c r="G300" t="s">
        <v>36</v>
      </c>
      <c r="H300" t="s">
        <v>5136</v>
      </c>
      <c r="I300" t="s">
        <v>5137</v>
      </c>
      <c r="J300">
        <v>80242</v>
      </c>
      <c r="K300" t="s">
        <v>717</v>
      </c>
      <c r="L300" t="s">
        <v>5165</v>
      </c>
      <c r="M300" t="s">
        <v>39</v>
      </c>
      <c r="N300">
        <v>45701</v>
      </c>
      <c r="O300">
        <v>3161</v>
      </c>
      <c r="P300" t="s">
        <v>92</v>
      </c>
      <c r="Q300">
        <v>0</v>
      </c>
      <c r="R300" t="s">
        <v>76</v>
      </c>
      <c r="S300" t="s">
        <v>21</v>
      </c>
      <c r="T300" t="s">
        <v>29</v>
      </c>
    </row>
    <row r="301" spans="1:20" x14ac:dyDescent="0.3">
      <c r="A301" t="s">
        <v>718</v>
      </c>
      <c r="B301" t="s">
        <v>222</v>
      </c>
      <c r="C301" t="s">
        <v>188</v>
      </c>
      <c r="D301" t="s">
        <v>44</v>
      </c>
      <c r="E301" t="s">
        <v>5126</v>
      </c>
      <c r="F301" t="s">
        <v>5125</v>
      </c>
      <c r="G301" t="s">
        <v>36</v>
      </c>
      <c r="H301" t="s">
        <v>5138</v>
      </c>
      <c r="I301" t="s">
        <v>5139</v>
      </c>
      <c r="J301">
        <v>222666</v>
      </c>
      <c r="K301" t="s">
        <v>719</v>
      </c>
      <c r="L301" t="s">
        <v>5165</v>
      </c>
      <c r="M301" t="s">
        <v>46</v>
      </c>
      <c r="N301">
        <v>45559</v>
      </c>
      <c r="O301">
        <v>432</v>
      </c>
      <c r="P301" t="s">
        <v>20</v>
      </c>
      <c r="Q301">
        <v>6</v>
      </c>
      <c r="R301" t="s">
        <v>40</v>
      </c>
      <c r="S301" t="s">
        <v>21</v>
      </c>
      <c r="T301" t="s">
        <v>20</v>
      </c>
    </row>
    <row r="302" spans="1:20" x14ac:dyDescent="0.3">
      <c r="A302" t="s">
        <v>720</v>
      </c>
      <c r="B302" t="s">
        <v>99</v>
      </c>
      <c r="C302" t="s">
        <v>117</v>
      </c>
      <c r="D302" t="s">
        <v>104</v>
      </c>
      <c r="E302" t="s">
        <v>80</v>
      </c>
      <c r="F302" t="s">
        <v>80</v>
      </c>
      <c r="G302" t="s">
        <v>16</v>
      </c>
      <c r="H302" t="s">
        <v>5142</v>
      </c>
      <c r="I302" t="s">
        <v>5143</v>
      </c>
      <c r="J302">
        <v>127617</v>
      </c>
      <c r="K302" t="s">
        <v>721</v>
      </c>
      <c r="L302" t="s">
        <v>142</v>
      </c>
      <c r="M302" t="s">
        <v>46</v>
      </c>
      <c r="N302">
        <v>45433</v>
      </c>
      <c r="O302">
        <v>856</v>
      </c>
      <c r="P302" t="s">
        <v>20</v>
      </c>
      <c r="Q302">
        <v>4</v>
      </c>
      <c r="R302" t="s">
        <v>76</v>
      </c>
      <c r="S302" t="s">
        <v>21</v>
      </c>
      <c r="T302" t="s">
        <v>29</v>
      </c>
    </row>
    <row r="303" spans="1:20" x14ac:dyDescent="0.3">
      <c r="A303" t="s">
        <v>722</v>
      </c>
      <c r="B303" t="s">
        <v>74</v>
      </c>
      <c r="C303" t="s">
        <v>94</v>
      </c>
      <c r="D303" t="s">
        <v>140</v>
      </c>
      <c r="E303" t="s">
        <v>95</v>
      </c>
      <c r="F303" t="s">
        <v>96</v>
      </c>
      <c r="G303" t="s">
        <v>16</v>
      </c>
      <c r="H303" t="s">
        <v>5140</v>
      </c>
      <c r="I303" t="s">
        <v>5141</v>
      </c>
      <c r="J303">
        <v>98908</v>
      </c>
      <c r="K303" t="s">
        <v>723</v>
      </c>
      <c r="L303" t="s">
        <v>179</v>
      </c>
      <c r="M303" t="s">
        <v>19</v>
      </c>
      <c r="N303">
        <v>45605</v>
      </c>
      <c r="O303">
        <v>1615</v>
      </c>
      <c r="P303" t="s">
        <v>29</v>
      </c>
      <c r="Q303">
        <v>2</v>
      </c>
      <c r="R303" t="s">
        <v>76</v>
      </c>
      <c r="S303" t="s">
        <v>53</v>
      </c>
      <c r="T303" t="s">
        <v>20</v>
      </c>
    </row>
    <row r="304" spans="1:20" x14ac:dyDescent="0.3">
      <c r="A304" t="s">
        <v>724</v>
      </c>
      <c r="B304" t="s">
        <v>165</v>
      </c>
      <c r="C304" t="s">
        <v>232</v>
      </c>
      <c r="D304" t="s">
        <v>57</v>
      </c>
      <c r="E304" t="s">
        <v>223</v>
      </c>
      <c r="F304" t="s">
        <v>224</v>
      </c>
      <c r="G304" t="s">
        <v>16</v>
      </c>
      <c r="H304" t="s">
        <v>5142</v>
      </c>
      <c r="I304" t="s">
        <v>5143</v>
      </c>
      <c r="J304">
        <v>170176</v>
      </c>
      <c r="K304" t="s">
        <v>725</v>
      </c>
      <c r="L304" t="s">
        <v>5165</v>
      </c>
      <c r="M304" t="s">
        <v>19</v>
      </c>
      <c r="N304">
        <v>45393</v>
      </c>
      <c r="O304">
        <v>2813</v>
      </c>
      <c r="P304" t="s">
        <v>20</v>
      </c>
      <c r="Q304">
        <v>4</v>
      </c>
      <c r="R304" t="s">
        <v>52</v>
      </c>
      <c r="S304" t="s">
        <v>21</v>
      </c>
      <c r="T304" t="s">
        <v>20</v>
      </c>
    </row>
    <row r="305" spans="1:20" x14ac:dyDescent="0.3">
      <c r="A305" t="s">
        <v>726</v>
      </c>
      <c r="B305" t="s">
        <v>55</v>
      </c>
      <c r="C305" t="s">
        <v>185</v>
      </c>
      <c r="D305" t="s">
        <v>44</v>
      </c>
      <c r="E305" t="s">
        <v>5133</v>
      </c>
      <c r="F305" t="s">
        <v>5125</v>
      </c>
      <c r="G305" t="s">
        <v>16</v>
      </c>
      <c r="H305" t="s">
        <v>5142</v>
      </c>
      <c r="I305" t="s">
        <v>5143</v>
      </c>
      <c r="J305">
        <v>166479</v>
      </c>
      <c r="K305" t="s">
        <v>727</v>
      </c>
      <c r="L305" t="s">
        <v>142</v>
      </c>
      <c r="M305" t="s">
        <v>46</v>
      </c>
      <c r="N305">
        <v>45650</v>
      </c>
      <c r="O305">
        <v>3474</v>
      </c>
      <c r="P305" t="s">
        <v>29</v>
      </c>
      <c r="Q305">
        <v>4</v>
      </c>
      <c r="R305" t="s">
        <v>40</v>
      </c>
      <c r="S305" t="s">
        <v>21</v>
      </c>
      <c r="T305" t="s">
        <v>29</v>
      </c>
    </row>
    <row r="306" spans="1:20" x14ac:dyDescent="0.3">
      <c r="A306" t="s">
        <v>728</v>
      </c>
      <c r="B306" t="s">
        <v>12</v>
      </c>
      <c r="C306" t="s">
        <v>13</v>
      </c>
      <c r="D306" t="s">
        <v>33</v>
      </c>
      <c r="E306" t="s">
        <v>5129</v>
      </c>
      <c r="F306" t="s">
        <v>5130</v>
      </c>
      <c r="G306" t="s">
        <v>16</v>
      </c>
      <c r="H306" t="s">
        <v>5138</v>
      </c>
      <c r="I306" t="s">
        <v>5139</v>
      </c>
      <c r="J306">
        <v>199247</v>
      </c>
      <c r="K306" t="s">
        <v>729</v>
      </c>
      <c r="L306" t="s">
        <v>18</v>
      </c>
      <c r="M306" t="s">
        <v>46</v>
      </c>
      <c r="N306">
        <v>45624</v>
      </c>
      <c r="O306">
        <v>3999</v>
      </c>
      <c r="P306" t="s">
        <v>20</v>
      </c>
      <c r="Q306">
        <v>6</v>
      </c>
      <c r="R306" t="s">
        <v>5116</v>
      </c>
      <c r="S306" t="s">
        <v>21</v>
      </c>
      <c r="T306" t="s">
        <v>20</v>
      </c>
    </row>
    <row r="307" spans="1:20" x14ac:dyDescent="0.3">
      <c r="A307" t="s">
        <v>730</v>
      </c>
      <c r="B307" t="s">
        <v>136</v>
      </c>
      <c r="C307" t="s">
        <v>94</v>
      </c>
      <c r="D307" t="s">
        <v>104</v>
      </c>
      <c r="E307" t="s">
        <v>5131</v>
      </c>
      <c r="F307" t="s">
        <v>5125</v>
      </c>
      <c r="G307" t="s">
        <v>36</v>
      </c>
      <c r="H307" t="s">
        <v>5138</v>
      </c>
      <c r="I307" t="s">
        <v>5139</v>
      </c>
      <c r="J307">
        <v>204223</v>
      </c>
      <c r="K307" t="s">
        <v>731</v>
      </c>
      <c r="L307" t="s">
        <v>82</v>
      </c>
      <c r="M307" t="s">
        <v>46</v>
      </c>
      <c r="N307">
        <v>45467</v>
      </c>
      <c r="O307">
        <v>2283</v>
      </c>
      <c r="P307" t="s">
        <v>29</v>
      </c>
      <c r="Q307">
        <v>6</v>
      </c>
      <c r="R307" t="s">
        <v>52</v>
      </c>
      <c r="S307" t="s">
        <v>21</v>
      </c>
      <c r="T307" t="s">
        <v>20</v>
      </c>
    </row>
    <row r="308" spans="1:20" x14ac:dyDescent="0.3">
      <c r="A308" t="s">
        <v>732</v>
      </c>
      <c r="B308" t="s">
        <v>63</v>
      </c>
      <c r="C308" t="s">
        <v>79</v>
      </c>
      <c r="D308" t="s">
        <v>104</v>
      </c>
      <c r="E308" t="s">
        <v>209</v>
      </c>
      <c r="F308" t="s">
        <v>210</v>
      </c>
      <c r="G308" t="s">
        <v>36</v>
      </c>
      <c r="H308" t="s">
        <v>5136</v>
      </c>
      <c r="I308" t="s">
        <v>5137</v>
      </c>
      <c r="J308">
        <v>86098</v>
      </c>
      <c r="K308" t="s">
        <v>733</v>
      </c>
      <c r="L308" t="s">
        <v>61</v>
      </c>
      <c r="M308" t="s">
        <v>72</v>
      </c>
      <c r="N308">
        <v>45486</v>
      </c>
      <c r="O308">
        <v>3110</v>
      </c>
      <c r="P308" t="s">
        <v>29</v>
      </c>
      <c r="Q308">
        <v>0</v>
      </c>
      <c r="R308" t="s">
        <v>47</v>
      </c>
      <c r="S308" t="s">
        <v>21</v>
      </c>
      <c r="T308" t="s">
        <v>29</v>
      </c>
    </row>
    <row r="309" spans="1:20" x14ac:dyDescent="0.3">
      <c r="A309" t="s">
        <v>734</v>
      </c>
      <c r="B309" t="s">
        <v>78</v>
      </c>
      <c r="C309" t="s">
        <v>232</v>
      </c>
      <c r="D309" t="s">
        <v>167</v>
      </c>
      <c r="E309" t="s">
        <v>80</v>
      </c>
      <c r="F309" t="s">
        <v>80</v>
      </c>
      <c r="G309" t="s">
        <v>16</v>
      </c>
      <c r="H309" t="s">
        <v>5138</v>
      </c>
      <c r="I309" t="s">
        <v>5139</v>
      </c>
      <c r="J309">
        <v>178703</v>
      </c>
      <c r="K309" t="s">
        <v>735</v>
      </c>
      <c r="L309" t="s">
        <v>5165</v>
      </c>
      <c r="M309" t="s">
        <v>72</v>
      </c>
      <c r="N309">
        <v>45741</v>
      </c>
      <c r="O309">
        <v>2514</v>
      </c>
      <c r="P309" t="s">
        <v>92</v>
      </c>
      <c r="Q309">
        <v>6</v>
      </c>
      <c r="R309" t="s">
        <v>52</v>
      </c>
      <c r="S309" t="s">
        <v>53</v>
      </c>
      <c r="T309" t="s">
        <v>20</v>
      </c>
    </row>
    <row r="310" spans="1:20" x14ac:dyDescent="0.3">
      <c r="A310" t="s">
        <v>736</v>
      </c>
      <c r="B310" t="s">
        <v>222</v>
      </c>
      <c r="C310" t="s">
        <v>49</v>
      </c>
      <c r="D310" t="s">
        <v>167</v>
      </c>
      <c r="E310" t="s">
        <v>126</v>
      </c>
      <c r="F310" t="s">
        <v>127</v>
      </c>
      <c r="G310" t="s">
        <v>50</v>
      </c>
      <c r="H310" t="s">
        <v>5142</v>
      </c>
      <c r="I310" t="s">
        <v>5143</v>
      </c>
      <c r="J310">
        <v>164771</v>
      </c>
      <c r="K310" t="s">
        <v>737</v>
      </c>
      <c r="L310" t="s">
        <v>5165</v>
      </c>
      <c r="M310" t="s">
        <v>39</v>
      </c>
      <c r="N310">
        <v>45292</v>
      </c>
      <c r="O310">
        <v>1572</v>
      </c>
      <c r="P310" t="s">
        <v>20</v>
      </c>
      <c r="Q310">
        <v>4</v>
      </c>
      <c r="R310" t="s">
        <v>47</v>
      </c>
      <c r="S310" t="s">
        <v>21</v>
      </c>
      <c r="T310" t="s">
        <v>20</v>
      </c>
    </row>
    <row r="311" spans="1:20" x14ac:dyDescent="0.3">
      <c r="A311" t="s">
        <v>738</v>
      </c>
      <c r="B311" t="s">
        <v>99</v>
      </c>
      <c r="C311" t="s">
        <v>100</v>
      </c>
      <c r="D311" t="s">
        <v>57</v>
      </c>
      <c r="E311" t="s">
        <v>5133</v>
      </c>
      <c r="F311" t="s">
        <v>5125</v>
      </c>
      <c r="G311" t="s">
        <v>50</v>
      </c>
      <c r="H311" t="s">
        <v>5138</v>
      </c>
      <c r="I311" t="s">
        <v>5139</v>
      </c>
      <c r="J311">
        <v>192721</v>
      </c>
      <c r="K311" t="s">
        <v>739</v>
      </c>
      <c r="L311" t="s">
        <v>61</v>
      </c>
      <c r="M311" t="s">
        <v>46</v>
      </c>
      <c r="N311">
        <v>45370</v>
      </c>
      <c r="O311">
        <v>356</v>
      </c>
      <c r="P311" t="s">
        <v>29</v>
      </c>
      <c r="Q311">
        <v>6</v>
      </c>
      <c r="R311" t="s">
        <v>52</v>
      </c>
      <c r="S311" t="s">
        <v>53</v>
      </c>
      <c r="T311" t="s">
        <v>20</v>
      </c>
    </row>
    <row r="312" spans="1:20" x14ac:dyDescent="0.3">
      <c r="A312" t="s">
        <v>740</v>
      </c>
      <c r="B312" t="s">
        <v>78</v>
      </c>
      <c r="C312" t="s">
        <v>117</v>
      </c>
      <c r="D312" t="s">
        <v>104</v>
      </c>
      <c r="E312" t="s">
        <v>209</v>
      </c>
      <c r="F312" t="s">
        <v>210</v>
      </c>
      <c r="G312" t="s">
        <v>16</v>
      </c>
      <c r="H312" t="s">
        <v>5138</v>
      </c>
      <c r="I312" t="s">
        <v>5139</v>
      </c>
      <c r="J312">
        <v>192163</v>
      </c>
      <c r="K312" t="s">
        <v>741</v>
      </c>
      <c r="L312" t="s">
        <v>18</v>
      </c>
      <c r="M312" t="s">
        <v>46</v>
      </c>
      <c r="N312">
        <v>45552</v>
      </c>
      <c r="O312">
        <v>2926</v>
      </c>
      <c r="P312" t="s">
        <v>20</v>
      </c>
      <c r="Q312">
        <v>6</v>
      </c>
      <c r="R312" t="s">
        <v>52</v>
      </c>
      <c r="S312" t="s">
        <v>41</v>
      </c>
      <c r="T312" t="s">
        <v>20</v>
      </c>
    </row>
    <row r="313" spans="1:20" x14ac:dyDescent="0.3">
      <c r="A313" t="s">
        <v>742</v>
      </c>
      <c r="B313" t="s">
        <v>222</v>
      </c>
      <c r="C313" t="s">
        <v>121</v>
      </c>
      <c r="D313" t="s">
        <v>25</v>
      </c>
      <c r="E313" t="s">
        <v>193</v>
      </c>
      <c r="F313" t="s">
        <v>194</v>
      </c>
      <c r="G313" t="s">
        <v>36</v>
      </c>
      <c r="H313" t="s">
        <v>5136</v>
      </c>
      <c r="I313" t="s">
        <v>5137</v>
      </c>
      <c r="J313">
        <v>83844</v>
      </c>
      <c r="K313" t="s">
        <v>743</v>
      </c>
      <c r="L313" t="s">
        <v>87</v>
      </c>
      <c r="M313" t="s">
        <v>46</v>
      </c>
      <c r="N313">
        <v>45480</v>
      </c>
      <c r="O313">
        <v>2153</v>
      </c>
      <c r="P313" t="s">
        <v>92</v>
      </c>
      <c r="Q313">
        <v>0</v>
      </c>
      <c r="R313" t="s">
        <v>5116</v>
      </c>
      <c r="S313" t="s">
        <v>21</v>
      </c>
      <c r="T313" t="s">
        <v>20</v>
      </c>
    </row>
    <row r="314" spans="1:20" x14ac:dyDescent="0.3">
      <c r="A314" t="s">
        <v>744</v>
      </c>
      <c r="B314" t="s">
        <v>63</v>
      </c>
      <c r="C314" t="s">
        <v>13</v>
      </c>
      <c r="D314" t="s">
        <v>167</v>
      </c>
      <c r="E314" t="s">
        <v>209</v>
      </c>
      <c r="F314" t="s">
        <v>210</v>
      </c>
      <c r="G314" t="s">
        <v>16</v>
      </c>
      <c r="H314" t="s">
        <v>5142</v>
      </c>
      <c r="I314" t="s">
        <v>5143</v>
      </c>
      <c r="J314">
        <v>172286</v>
      </c>
      <c r="K314" t="s">
        <v>745</v>
      </c>
      <c r="L314" t="s">
        <v>5165</v>
      </c>
      <c r="M314" t="s">
        <v>72</v>
      </c>
      <c r="N314">
        <v>45467</v>
      </c>
      <c r="O314">
        <v>1194</v>
      </c>
      <c r="P314" t="s">
        <v>29</v>
      </c>
      <c r="Q314">
        <v>4</v>
      </c>
      <c r="R314" t="s">
        <v>76</v>
      </c>
      <c r="S314" t="s">
        <v>53</v>
      </c>
      <c r="T314" t="s">
        <v>20</v>
      </c>
    </row>
    <row r="315" spans="1:20" x14ac:dyDescent="0.3">
      <c r="A315" t="s">
        <v>746</v>
      </c>
      <c r="B315" t="s">
        <v>136</v>
      </c>
      <c r="C315" t="s">
        <v>188</v>
      </c>
      <c r="D315" t="s">
        <v>5156</v>
      </c>
      <c r="E315" t="s">
        <v>5127</v>
      </c>
      <c r="F315" t="s">
        <v>5125</v>
      </c>
      <c r="G315" t="s">
        <v>36</v>
      </c>
      <c r="H315" t="s">
        <v>5142</v>
      </c>
      <c r="I315" t="s">
        <v>5143</v>
      </c>
      <c r="J315">
        <v>171964</v>
      </c>
      <c r="K315" t="s">
        <v>747</v>
      </c>
      <c r="L315" t="s">
        <v>5165</v>
      </c>
      <c r="M315" t="s">
        <v>19</v>
      </c>
      <c r="N315">
        <v>45588</v>
      </c>
      <c r="O315">
        <v>529</v>
      </c>
      <c r="P315" t="s">
        <v>20</v>
      </c>
      <c r="Q315">
        <v>4</v>
      </c>
      <c r="R315" t="s">
        <v>40</v>
      </c>
      <c r="S315" t="s">
        <v>21</v>
      </c>
      <c r="T315" t="s">
        <v>20</v>
      </c>
    </row>
    <row r="316" spans="1:20" x14ac:dyDescent="0.3">
      <c r="A316" t="s">
        <v>748</v>
      </c>
      <c r="B316" t="s">
        <v>31</v>
      </c>
      <c r="C316" t="s">
        <v>166</v>
      </c>
      <c r="D316" t="s">
        <v>33</v>
      </c>
      <c r="E316" t="s">
        <v>5132</v>
      </c>
      <c r="F316" t="s">
        <v>5125</v>
      </c>
      <c r="G316" t="s">
        <v>36</v>
      </c>
      <c r="H316" t="s">
        <v>5142</v>
      </c>
      <c r="I316" t="s">
        <v>5143</v>
      </c>
      <c r="J316">
        <v>185247</v>
      </c>
      <c r="K316" t="s">
        <v>749</v>
      </c>
      <c r="L316" t="s">
        <v>61</v>
      </c>
      <c r="M316" t="s">
        <v>46</v>
      </c>
      <c r="N316">
        <v>45601</v>
      </c>
      <c r="O316">
        <v>3540</v>
      </c>
      <c r="P316" t="s">
        <v>29</v>
      </c>
      <c r="Q316">
        <v>4</v>
      </c>
      <c r="R316" t="s">
        <v>5116</v>
      </c>
      <c r="S316" t="s">
        <v>41</v>
      </c>
      <c r="T316" t="s">
        <v>20</v>
      </c>
    </row>
    <row r="317" spans="1:20" x14ac:dyDescent="0.3">
      <c r="A317" t="s">
        <v>750</v>
      </c>
      <c r="B317" t="s">
        <v>55</v>
      </c>
      <c r="C317" t="s">
        <v>125</v>
      </c>
      <c r="D317" t="s">
        <v>25</v>
      </c>
      <c r="E317" t="s">
        <v>5131</v>
      </c>
      <c r="F317" t="s">
        <v>5125</v>
      </c>
      <c r="G317" t="s">
        <v>36</v>
      </c>
      <c r="H317" t="s">
        <v>5138</v>
      </c>
      <c r="I317" t="s">
        <v>5139</v>
      </c>
      <c r="J317">
        <v>200756</v>
      </c>
      <c r="K317" t="s">
        <v>751</v>
      </c>
      <c r="L317" t="s">
        <v>5165</v>
      </c>
      <c r="M317" t="s">
        <v>39</v>
      </c>
      <c r="N317">
        <v>45413</v>
      </c>
      <c r="O317">
        <v>225</v>
      </c>
      <c r="P317" t="s">
        <v>29</v>
      </c>
      <c r="Q317">
        <v>6</v>
      </c>
      <c r="R317" t="s">
        <v>52</v>
      </c>
      <c r="S317" t="s">
        <v>21</v>
      </c>
      <c r="T317" t="s">
        <v>20</v>
      </c>
    </row>
    <row r="318" spans="1:20" x14ac:dyDescent="0.3">
      <c r="A318" t="s">
        <v>752</v>
      </c>
      <c r="B318" t="s">
        <v>23</v>
      </c>
      <c r="C318" t="s">
        <v>139</v>
      </c>
      <c r="D318" t="s">
        <v>140</v>
      </c>
      <c r="E318" t="s">
        <v>5126</v>
      </c>
      <c r="F318" t="s">
        <v>5125</v>
      </c>
      <c r="G318" t="s">
        <v>36</v>
      </c>
      <c r="H318" t="s">
        <v>5140</v>
      </c>
      <c r="I318" t="s">
        <v>5141</v>
      </c>
      <c r="J318">
        <v>123502</v>
      </c>
      <c r="K318" t="s">
        <v>753</v>
      </c>
      <c r="L318" t="s">
        <v>5165</v>
      </c>
      <c r="M318" t="s">
        <v>46</v>
      </c>
      <c r="N318">
        <v>45491</v>
      </c>
      <c r="O318">
        <v>2807</v>
      </c>
      <c r="P318" t="s">
        <v>92</v>
      </c>
      <c r="Q318">
        <v>2</v>
      </c>
      <c r="R318" t="s">
        <v>5116</v>
      </c>
      <c r="S318" t="s">
        <v>53</v>
      </c>
      <c r="T318" t="s">
        <v>20</v>
      </c>
    </row>
    <row r="319" spans="1:20" x14ac:dyDescent="0.3">
      <c r="A319" t="s">
        <v>754</v>
      </c>
      <c r="B319" t="s">
        <v>322</v>
      </c>
      <c r="C319" t="s">
        <v>100</v>
      </c>
      <c r="D319" t="s">
        <v>104</v>
      </c>
      <c r="E319" t="s">
        <v>5124</v>
      </c>
      <c r="F319" t="s">
        <v>5125</v>
      </c>
      <c r="G319" t="s">
        <v>16</v>
      </c>
      <c r="H319" t="s">
        <v>5142</v>
      </c>
      <c r="I319" t="s">
        <v>5143</v>
      </c>
      <c r="J319">
        <v>141622</v>
      </c>
      <c r="K319" t="s">
        <v>755</v>
      </c>
      <c r="L319" t="s">
        <v>238</v>
      </c>
      <c r="M319" t="s">
        <v>39</v>
      </c>
      <c r="N319">
        <v>45702</v>
      </c>
      <c r="O319">
        <v>1392</v>
      </c>
      <c r="P319" t="s">
        <v>20</v>
      </c>
      <c r="Q319">
        <v>4</v>
      </c>
      <c r="R319" t="s">
        <v>47</v>
      </c>
      <c r="S319" t="s">
        <v>21</v>
      </c>
      <c r="T319" t="s">
        <v>29</v>
      </c>
    </row>
    <row r="320" spans="1:20" x14ac:dyDescent="0.3">
      <c r="A320" t="s">
        <v>756</v>
      </c>
      <c r="B320" t="s">
        <v>144</v>
      </c>
      <c r="C320" t="s">
        <v>166</v>
      </c>
      <c r="D320" t="s">
        <v>33</v>
      </c>
      <c r="E320" t="s">
        <v>5132</v>
      </c>
      <c r="F320" t="s">
        <v>5125</v>
      </c>
      <c r="G320" t="s">
        <v>16</v>
      </c>
      <c r="H320" t="s">
        <v>5136</v>
      </c>
      <c r="I320" t="s">
        <v>5137</v>
      </c>
      <c r="J320">
        <v>74084</v>
      </c>
      <c r="K320" t="s">
        <v>757</v>
      </c>
      <c r="L320" t="s">
        <v>113</v>
      </c>
      <c r="M320" t="s">
        <v>19</v>
      </c>
      <c r="N320">
        <v>45560</v>
      </c>
      <c r="O320">
        <v>242</v>
      </c>
      <c r="P320" t="s">
        <v>92</v>
      </c>
      <c r="Q320">
        <v>0</v>
      </c>
      <c r="R320" t="s">
        <v>47</v>
      </c>
      <c r="S320" t="s">
        <v>41</v>
      </c>
      <c r="T320" t="s">
        <v>20</v>
      </c>
    </row>
    <row r="321" spans="1:20" x14ac:dyDescent="0.3">
      <c r="A321" t="s">
        <v>758</v>
      </c>
      <c r="B321" t="s">
        <v>12</v>
      </c>
      <c r="C321" t="s">
        <v>90</v>
      </c>
      <c r="D321" t="s">
        <v>57</v>
      </c>
      <c r="E321" t="s">
        <v>209</v>
      </c>
      <c r="F321" t="s">
        <v>210</v>
      </c>
      <c r="G321" t="s">
        <v>16</v>
      </c>
      <c r="H321" t="s">
        <v>5136</v>
      </c>
      <c r="I321" t="s">
        <v>5137</v>
      </c>
      <c r="J321">
        <v>68360</v>
      </c>
      <c r="K321" t="s">
        <v>759</v>
      </c>
      <c r="L321" t="s">
        <v>142</v>
      </c>
      <c r="M321" t="s">
        <v>72</v>
      </c>
      <c r="N321">
        <v>45628</v>
      </c>
      <c r="O321">
        <v>3161</v>
      </c>
      <c r="P321" t="s">
        <v>20</v>
      </c>
      <c r="Q321">
        <v>0</v>
      </c>
      <c r="R321" t="s">
        <v>40</v>
      </c>
      <c r="S321" t="s">
        <v>21</v>
      </c>
      <c r="T321" t="s">
        <v>20</v>
      </c>
    </row>
    <row r="322" spans="1:20" x14ac:dyDescent="0.3">
      <c r="A322" t="s">
        <v>760</v>
      </c>
      <c r="B322" t="s">
        <v>31</v>
      </c>
      <c r="C322" t="s">
        <v>188</v>
      </c>
      <c r="D322" t="s">
        <v>140</v>
      </c>
      <c r="E322" t="s">
        <v>5126</v>
      </c>
      <c r="F322" t="s">
        <v>5125</v>
      </c>
      <c r="G322" t="s">
        <v>16</v>
      </c>
      <c r="H322" t="s">
        <v>5136</v>
      </c>
      <c r="I322" t="s">
        <v>5137</v>
      </c>
      <c r="J322">
        <v>71222</v>
      </c>
      <c r="K322" t="s">
        <v>761</v>
      </c>
      <c r="L322" t="s">
        <v>238</v>
      </c>
      <c r="M322" t="s">
        <v>19</v>
      </c>
      <c r="N322">
        <v>45322</v>
      </c>
      <c r="O322">
        <v>454</v>
      </c>
      <c r="P322" t="s">
        <v>29</v>
      </c>
      <c r="Q322">
        <v>0</v>
      </c>
      <c r="R322" t="s">
        <v>52</v>
      </c>
      <c r="S322" t="s">
        <v>21</v>
      </c>
      <c r="T322" t="s">
        <v>20</v>
      </c>
    </row>
    <row r="323" spans="1:20" x14ac:dyDescent="0.3">
      <c r="A323" t="s">
        <v>762</v>
      </c>
      <c r="B323" t="s">
        <v>165</v>
      </c>
      <c r="C323" t="s">
        <v>117</v>
      </c>
      <c r="D323" t="s">
        <v>5156</v>
      </c>
      <c r="E323" t="s">
        <v>5129</v>
      </c>
      <c r="F323" t="s">
        <v>5130</v>
      </c>
      <c r="G323" t="s">
        <v>16</v>
      </c>
      <c r="H323" t="s">
        <v>5142</v>
      </c>
      <c r="I323" t="s">
        <v>5143</v>
      </c>
      <c r="J323">
        <v>166069</v>
      </c>
      <c r="K323" t="s">
        <v>763</v>
      </c>
      <c r="L323" t="s">
        <v>5165</v>
      </c>
      <c r="M323" t="s">
        <v>46</v>
      </c>
      <c r="N323">
        <v>45328</v>
      </c>
      <c r="O323">
        <v>630</v>
      </c>
      <c r="P323" t="s">
        <v>20</v>
      </c>
      <c r="Q323">
        <v>4</v>
      </c>
      <c r="R323" t="s">
        <v>52</v>
      </c>
      <c r="S323" t="s">
        <v>21</v>
      </c>
      <c r="T323" t="s">
        <v>20</v>
      </c>
    </row>
    <row r="324" spans="1:20" x14ac:dyDescent="0.3">
      <c r="A324" t="s">
        <v>764</v>
      </c>
      <c r="B324" t="s">
        <v>89</v>
      </c>
      <c r="C324" t="s">
        <v>94</v>
      </c>
      <c r="D324" t="s">
        <v>104</v>
      </c>
      <c r="E324" t="s">
        <v>5131</v>
      </c>
      <c r="F324" t="s">
        <v>5125</v>
      </c>
      <c r="G324" t="s">
        <v>16</v>
      </c>
      <c r="H324" t="s">
        <v>5138</v>
      </c>
      <c r="I324" t="s">
        <v>5139</v>
      </c>
      <c r="J324">
        <v>170544</v>
      </c>
      <c r="K324" t="s">
        <v>765</v>
      </c>
      <c r="L324" t="s">
        <v>82</v>
      </c>
      <c r="M324" t="s">
        <v>46</v>
      </c>
      <c r="N324">
        <v>45664</v>
      </c>
      <c r="O324">
        <v>1375</v>
      </c>
      <c r="P324" t="s">
        <v>20</v>
      </c>
      <c r="Q324">
        <v>6</v>
      </c>
      <c r="R324" t="s">
        <v>52</v>
      </c>
      <c r="S324" t="s">
        <v>21</v>
      </c>
      <c r="T324" t="s">
        <v>20</v>
      </c>
    </row>
    <row r="325" spans="1:20" x14ac:dyDescent="0.3">
      <c r="A325" t="s">
        <v>766</v>
      </c>
      <c r="B325" t="s">
        <v>63</v>
      </c>
      <c r="C325" t="s">
        <v>90</v>
      </c>
      <c r="D325" t="s">
        <v>33</v>
      </c>
      <c r="E325" t="s">
        <v>126</v>
      </c>
      <c r="F325" t="s">
        <v>127</v>
      </c>
      <c r="G325" t="s">
        <v>50</v>
      </c>
      <c r="H325" t="s">
        <v>5142</v>
      </c>
      <c r="I325" t="s">
        <v>5143</v>
      </c>
      <c r="J325">
        <v>206494</v>
      </c>
      <c r="K325" t="s">
        <v>767</v>
      </c>
      <c r="L325" t="s">
        <v>5165</v>
      </c>
      <c r="M325" t="s">
        <v>19</v>
      </c>
      <c r="N325">
        <v>45466</v>
      </c>
      <c r="O325">
        <v>3972</v>
      </c>
      <c r="P325" t="s">
        <v>20</v>
      </c>
      <c r="Q325">
        <v>4</v>
      </c>
      <c r="R325" t="s">
        <v>47</v>
      </c>
      <c r="S325" t="s">
        <v>21</v>
      </c>
      <c r="T325" t="s">
        <v>29</v>
      </c>
    </row>
    <row r="326" spans="1:20" x14ac:dyDescent="0.3">
      <c r="A326" t="s">
        <v>768</v>
      </c>
      <c r="B326" t="s">
        <v>12</v>
      </c>
      <c r="C326" t="s">
        <v>32</v>
      </c>
      <c r="D326" t="s">
        <v>33</v>
      </c>
      <c r="E326" t="s">
        <v>152</v>
      </c>
      <c r="F326" t="s">
        <v>153</v>
      </c>
      <c r="G326" t="s">
        <v>16</v>
      </c>
      <c r="H326" t="s">
        <v>5142</v>
      </c>
      <c r="I326" t="s">
        <v>5143</v>
      </c>
      <c r="J326">
        <v>122837</v>
      </c>
      <c r="K326" t="s">
        <v>769</v>
      </c>
      <c r="L326" t="s">
        <v>5165</v>
      </c>
      <c r="M326" t="s">
        <v>46</v>
      </c>
      <c r="N326">
        <v>45615</v>
      </c>
      <c r="O326">
        <v>3257</v>
      </c>
      <c r="P326" t="s">
        <v>20</v>
      </c>
      <c r="Q326">
        <v>4</v>
      </c>
      <c r="R326" t="s">
        <v>40</v>
      </c>
      <c r="S326" t="s">
        <v>21</v>
      </c>
      <c r="T326" t="s">
        <v>20</v>
      </c>
    </row>
    <row r="327" spans="1:20" x14ac:dyDescent="0.3">
      <c r="A327" t="s">
        <v>770</v>
      </c>
      <c r="B327" t="s">
        <v>165</v>
      </c>
      <c r="C327" t="s">
        <v>43</v>
      </c>
      <c r="D327" t="s">
        <v>68</v>
      </c>
      <c r="E327" t="s">
        <v>5127</v>
      </c>
      <c r="F327" t="s">
        <v>5125</v>
      </c>
      <c r="G327" t="s">
        <v>16</v>
      </c>
      <c r="H327" t="s">
        <v>5136</v>
      </c>
      <c r="I327" t="s">
        <v>5137</v>
      </c>
      <c r="J327">
        <v>54701</v>
      </c>
      <c r="K327" t="s">
        <v>771</v>
      </c>
      <c r="L327" t="s">
        <v>5165</v>
      </c>
      <c r="M327" t="s">
        <v>46</v>
      </c>
      <c r="N327">
        <v>45464</v>
      </c>
      <c r="O327">
        <v>620</v>
      </c>
      <c r="P327" t="s">
        <v>20</v>
      </c>
      <c r="Q327">
        <v>0</v>
      </c>
      <c r="R327" t="s">
        <v>47</v>
      </c>
      <c r="S327" t="s">
        <v>41</v>
      </c>
      <c r="T327" t="s">
        <v>29</v>
      </c>
    </row>
    <row r="328" spans="1:20" x14ac:dyDescent="0.3">
      <c r="A328" t="s">
        <v>772</v>
      </c>
      <c r="B328" t="s">
        <v>55</v>
      </c>
      <c r="C328" t="s">
        <v>90</v>
      </c>
      <c r="D328" t="s">
        <v>5156</v>
      </c>
      <c r="E328" t="s">
        <v>5132</v>
      </c>
      <c r="F328" t="s">
        <v>5125</v>
      </c>
      <c r="G328" t="s">
        <v>36</v>
      </c>
      <c r="H328" t="s">
        <v>5138</v>
      </c>
      <c r="I328" t="s">
        <v>5139</v>
      </c>
      <c r="J328">
        <v>241691</v>
      </c>
      <c r="K328" t="s">
        <v>773</v>
      </c>
      <c r="L328" t="s">
        <v>61</v>
      </c>
      <c r="M328" t="s">
        <v>72</v>
      </c>
      <c r="N328">
        <v>45608</v>
      </c>
      <c r="O328">
        <v>1878</v>
      </c>
      <c r="P328" t="s">
        <v>20</v>
      </c>
      <c r="Q328">
        <v>6</v>
      </c>
      <c r="R328" t="s">
        <v>76</v>
      </c>
      <c r="S328" t="s">
        <v>21</v>
      </c>
      <c r="T328" t="s">
        <v>20</v>
      </c>
    </row>
    <row r="329" spans="1:20" x14ac:dyDescent="0.3">
      <c r="A329" t="s">
        <v>774</v>
      </c>
      <c r="B329" t="s">
        <v>12</v>
      </c>
      <c r="C329" t="s">
        <v>24</v>
      </c>
      <c r="D329" t="s">
        <v>44</v>
      </c>
      <c r="E329" t="s">
        <v>209</v>
      </c>
      <c r="F329" t="s">
        <v>210</v>
      </c>
      <c r="G329" t="s">
        <v>36</v>
      </c>
      <c r="H329" t="s">
        <v>5138</v>
      </c>
      <c r="I329" t="s">
        <v>5139</v>
      </c>
      <c r="J329">
        <v>228499</v>
      </c>
      <c r="K329" t="s">
        <v>775</v>
      </c>
      <c r="L329" t="s">
        <v>134</v>
      </c>
      <c r="M329" t="s">
        <v>72</v>
      </c>
      <c r="N329">
        <v>45404</v>
      </c>
      <c r="O329">
        <v>1327</v>
      </c>
      <c r="P329" t="s">
        <v>20</v>
      </c>
      <c r="Q329">
        <v>6</v>
      </c>
      <c r="R329" t="s">
        <v>47</v>
      </c>
      <c r="S329" t="s">
        <v>53</v>
      </c>
      <c r="T329" t="s">
        <v>20</v>
      </c>
    </row>
    <row r="330" spans="1:20" x14ac:dyDescent="0.3">
      <c r="A330" t="s">
        <v>776</v>
      </c>
      <c r="B330" t="s">
        <v>229</v>
      </c>
      <c r="C330" t="s">
        <v>125</v>
      </c>
      <c r="D330" t="s">
        <v>118</v>
      </c>
      <c r="E330" t="s">
        <v>5129</v>
      </c>
      <c r="F330" t="s">
        <v>5130</v>
      </c>
      <c r="G330" t="s">
        <v>16</v>
      </c>
      <c r="H330" t="s">
        <v>5136</v>
      </c>
      <c r="I330" t="s">
        <v>5137</v>
      </c>
      <c r="J330">
        <v>77863</v>
      </c>
      <c r="K330" t="s">
        <v>777</v>
      </c>
      <c r="L330" t="s">
        <v>18</v>
      </c>
      <c r="M330" t="s">
        <v>19</v>
      </c>
      <c r="N330">
        <v>45679</v>
      </c>
      <c r="O330">
        <v>3195</v>
      </c>
      <c r="P330" t="s">
        <v>29</v>
      </c>
      <c r="Q330">
        <v>0</v>
      </c>
      <c r="R330" t="s">
        <v>52</v>
      </c>
      <c r="S330" t="s">
        <v>21</v>
      </c>
      <c r="T330" t="s">
        <v>29</v>
      </c>
    </row>
    <row r="331" spans="1:20" x14ac:dyDescent="0.3">
      <c r="A331" t="s">
        <v>778</v>
      </c>
      <c r="B331" t="s">
        <v>63</v>
      </c>
      <c r="C331" t="s">
        <v>85</v>
      </c>
      <c r="D331" t="s">
        <v>118</v>
      </c>
      <c r="E331" t="s">
        <v>5131</v>
      </c>
      <c r="F331" t="s">
        <v>5125</v>
      </c>
      <c r="G331" t="s">
        <v>36</v>
      </c>
      <c r="H331" t="s">
        <v>5142</v>
      </c>
      <c r="I331" t="s">
        <v>5143</v>
      </c>
      <c r="J331">
        <v>166965</v>
      </c>
      <c r="K331" t="s">
        <v>779</v>
      </c>
      <c r="L331" t="s">
        <v>134</v>
      </c>
      <c r="M331" t="s">
        <v>46</v>
      </c>
      <c r="N331">
        <v>45697</v>
      </c>
      <c r="O331">
        <v>2452</v>
      </c>
      <c r="P331" t="s">
        <v>29</v>
      </c>
      <c r="Q331">
        <v>4</v>
      </c>
      <c r="R331" t="s">
        <v>52</v>
      </c>
      <c r="S331" t="s">
        <v>21</v>
      </c>
      <c r="T331" t="s">
        <v>29</v>
      </c>
    </row>
    <row r="332" spans="1:20" x14ac:dyDescent="0.3">
      <c r="A332" t="s">
        <v>780</v>
      </c>
      <c r="B332" t="s">
        <v>74</v>
      </c>
      <c r="C332" t="s">
        <v>67</v>
      </c>
      <c r="D332" t="s">
        <v>68</v>
      </c>
      <c r="E332" t="s">
        <v>5131</v>
      </c>
      <c r="F332" t="s">
        <v>5125</v>
      </c>
      <c r="G332" t="s">
        <v>16</v>
      </c>
      <c r="H332" t="s">
        <v>5142</v>
      </c>
      <c r="I332" t="s">
        <v>5143</v>
      </c>
      <c r="J332">
        <v>149669</v>
      </c>
      <c r="K332" t="s">
        <v>781</v>
      </c>
      <c r="L332" t="s">
        <v>5165</v>
      </c>
      <c r="M332" t="s">
        <v>19</v>
      </c>
      <c r="N332">
        <v>45412</v>
      </c>
      <c r="O332">
        <v>1142</v>
      </c>
      <c r="P332" t="s">
        <v>29</v>
      </c>
      <c r="Q332">
        <v>4</v>
      </c>
      <c r="R332" t="s">
        <v>5116</v>
      </c>
      <c r="S332" t="s">
        <v>53</v>
      </c>
      <c r="T332" t="s">
        <v>20</v>
      </c>
    </row>
    <row r="333" spans="1:20" x14ac:dyDescent="0.3">
      <c r="A333" t="s">
        <v>782</v>
      </c>
      <c r="B333" t="s">
        <v>89</v>
      </c>
      <c r="C333" t="s">
        <v>24</v>
      </c>
      <c r="D333" t="s">
        <v>104</v>
      </c>
      <c r="E333" t="s">
        <v>95</v>
      </c>
      <c r="F333" t="s">
        <v>96</v>
      </c>
      <c r="G333" t="s">
        <v>16</v>
      </c>
      <c r="H333" t="s">
        <v>5138</v>
      </c>
      <c r="I333" t="s">
        <v>5139</v>
      </c>
      <c r="J333">
        <v>167698</v>
      </c>
      <c r="K333" t="s">
        <v>783</v>
      </c>
      <c r="L333" t="s">
        <v>113</v>
      </c>
      <c r="M333" t="s">
        <v>39</v>
      </c>
      <c r="N333">
        <v>45314</v>
      </c>
      <c r="O333">
        <v>187</v>
      </c>
      <c r="P333" t="s">
        <v>29</v>
      </c>
      <c r="Q333">
        <v>6</v>
      </c>
      <c r="R333" t="s">
        <v>5116</v>
      </c>
      <c r="S333" t="s">
        <v>41</v>
      </c>
      <c r="T333" t="s">
        <v>29</v>
      </c>
    </row>
    <row r="334" spans="1:20" x14ac:dyDescent="0.3">
      <c r="A334" t="s">
        <v>784</v>
      </c>
      <c r="B334" t="s">
        <v>144</v>
      </c>
      <c r="C334" t="s">
        <v>24</v>
      </c>
      <c r="D334" t="s">
        <v>33</v>
      </c>
      <c r="E334" t="s">
        <v>69</v>
      </c>
      <c r="F334" t="s">
        <v>70</v>
      </c>
      <c r="G334" t="s">
        <v>16</v>
      </c>
      <c r="H334" t="s">
        <v>5138</v>
      </c>
      <c r="I334" t="s">
        <v>5139</v>
      </c>
      <c r="J334">
        <v>202728</v>
      </c>
      <c r="K334" t="s">
        <v>785</v>
      </c>
      <c r="L334" t="s">
        <v>5165</v>
      </c>
      <c r="M334" t="s">
        <v>39</v>
      </c>
      <c r="N334">
        <v>45412</v>
      </c>
      <c r="O334">
        <v>942</v>
      </c>
      <c r="P334" t="s">
        <v>29</v>
      </c>
      <c r="Q334">
        <v>6</v>
      </c>
      <c r="R334" t="s">
        <v>52</v>
      </c>
      <c r="S334" t="s">
        <v>53</v>
      </c>
      <c r="T334" t="s">
        <v>29</v>
      </c>
    </row>
    <row r="335" spans="1:20" x14ac:dyDescent="0.3">
      <c r="A335" t="s">
        <v>786</v>
      </c>
      <c r="B335" t="s">
        <v>84</v>
      </c>
      <c r="C335" t="s">
        <v>100</v>
      </c>
      <c r="D335" t="s">
        <v>33</v>
      </c>
      <c r="E335" t="s">
        <v>152</v>
      </c>
      <c r="F335" t="s">
        <v>153</v>
      </c>
      <c r="G335" t="s">
        <v>36</v>
      </c>
      <c r="H335" t="s">
        <v>5136</v>
      </c>
      <c r="I335" t="s">
        <v>5137</v>
      </c>
      <c r="J335">
        <v>61467</v>
      </c>
      <c r="K335" t="s">
        <v>787</v>
      </c>
      <c r="L335" t="s">
        <v>82</v>
      </c>
      <c r="M335" t="s">
        <v>46</v>
      </c>
      <c r="N335">
        <v>45319</v>
      </c>
      <c r="O335">
        <v>838</v>
      </c>
      <c r="P335" t="s">
        <v>20</v>
      </c>
      <c r="Q335">
        <v>0</v>
      </c>
      <c r="R335" t="s">
        <v>5116</v>
      </c>
      <c r="S335" t="s">
        <v>21</v>
      </c>
      <c r="T335" t="s">
        <v>29</v>
      </c>
    </row>
    <row r="336" spans="1:20" x14ac:dyDescent="0.3">
      <c r="A336" t="s">
        <v>788</v>
      </c>
      <c r="B336" t="s">
        <v>55</v>
      </c>
      <c r="C336" t="s">
        <v>90</v>
      </c>
      <c r="D336" t="s">
        <v>104</v>
      </c>
      <c r="E336" t="s">
        <v>34</v>
      </c>
      <c r="F336" t="s">
        <v>35</v>
      </c>
      <c r="G336" t="s">
        <v>36</v>
      </c>
      <c r="H336" t="s">
        <v>5136</v>
      </c>
      <c r="I336" t="s">
        <v>5137</v>
      </c>
      <c r="J336">
        <v>82286</v>
      </c>
      <c r="K336" t="s">
        <v>789</v>
      </c>
      <c r="L336" t="s">
        <v>5165</v>
      </c>
      <c r="M336" t="s">
        <v>72</v>
      </c>
      <c r="N336">
        <v>45379</v>
      </c>
      <c r="O336">
        <v>364</v>
      </c>
      <c r="P336" t="s">
        <v>20</v>
      </c>
      <c r="Q336">
        <v>0</v>
      </c>
      <c r="R336" t="s">
        <v>76</v>
      </c>
      <c r="S336" t="s">
        <v>21</v>
      </c>
      <c r="T336" t="s">
        <v>20</v>
      </c>
    </row>
    <row r="337" spans="1:20" x14ac:dyDescent="0.3">
      <c r="A337" t="s">
        <v>790</v>
      </c>
      <c r="B337" t="s">
        <v>136</v>
      </c>
      <c r="C337" t="s">
        <v>202</v>
      </c>
      <c r="D337" t="s">
        <v>104</v>
      </c>
      <c r="E337" t="s">
        <v>34</v>
      </c>
      <c r="F337" t="s">
        <v>35</v>
      </c>
      <c r="G337" t="s">
        <v>16</v>
      </c>
      <c r="H337" t="s">
        <v>5138</v>
      </c>
      <c r="I337" t="s">
        <v>5139</v>
      </c>
      <c r="J337">
        <v>194705</v>
      </c>
      <c r="K337" t="s">
        <v>791</v>
      </c>
      <c r="L337" t="s">
        <v>18</v>
      </c>
      <c r="M337" t="s">
        <v>39</v>
      </c>
      <c r="N337">
        <v>45665</v>
      </c>
      <c r="O337">
        <v>191</v>
      </c>
      <c r="P337" t="s">
        <v>29</v>
      </c>
      <c r="Q337">
        <v>6</v>
      </c>
      <c r="R337" t="s">
        <v>52</v>
      </c>
      <c r="S337" t="s">
        <v>53</v>
      </c>
      <c r="T337" t="s">
        <v>20</v>
      </c>
    </row>
    <row r="338" spans="1:20" x14ac:dyDescent="0.3">
      <c r="A338" t="s">
        <v>792</v>
      </c>
      <c r="B338" t="s">
        <v>322</v>
      </c>
      <c r="C338" t="s">
        <v>175</v>
      </c>
      <c r="D338" t="s">
        <v>140</v>
      </c>
      <c r="E338" t="s">
        <v>152</v>
      </c>
      <c r="F338" t="s">
        <v>153</v>
      </c>
      <c r="G338" t="s">
        <v>50</v>
      </c>
      <c r="H338" t="s">
        <v>5138</v>
      </c>
      <c r="I338" t="s">
        <v>5139</v>
      </c>
      <c r="J338">
        <v>170282</v>
      </c>
      <c r="K338" t="s">
        <v>793</v>
      </c>
      <c r="L338" t="s">
        <v>179</v>
      </c>
      <c r="M338" t="s">
        <v>72</v>
      </c>
      <c r="N338">
        <v>45648</v>
      </c>
      <c r="O338">
        <v>1478</v>
      </c>
      <c r="P338" t="s">
        <v>20</v>
      </c>
      <c r="Q338">
        <v>6</v>
      </c>
      <c r="R338" t="s">
        <v>5116</v>
      </c>
      <c r="S338" t="s">
        <v>21</v>
      </c>
      <c r="T338" t="s">
        <v>20</v>
      </c>
    </row>
    <row r="339" spans="1:20" x14ac:dyDescent="0.3">
      <c r="A339" t="s">
        <v>794</v>
      </c>
      <c r="B339" t="s">
        <v>215</v>
      </c>
      <c r="C339" t="s">
        <v>219</v>
      </c>
      <c r="D339" t="s">
        <v>57</v>
      </c>
      <c r="E339" t="s">
        <v>193</v>
      </c>
      <c r="F339" t="s">
        <v>194</v>
      </c>
      <c r="G339" t="s">
        <v>36</v>
      </c>
      <c r="H339" t="s">
        <v>5138</v>
      </c>
      <c r="I339" t="s">
        <v>5139</v>
      </c>
      <c r="J339">
        <v>188430</v>
      </c>
      <c r="K339" t="s">
        <v>795</v>
      </c>
      <c r="L339" t="s">
        <v>5165</v>
      </c>
      <c r="M339" t="s">
        <v>39</v>
      </c>
      <c r="N339">
        <v>45304</v>
      </c>
      <c r="O339">
        <v>3534</v>
      </c>
      <c r="P339" t="s">
        <v>20</v>
      </c>
      <c r="Q339">
        <v>6</v>
      </c>
      <c r="R339" t="s">
        <v>52</v>
      </c>
      <c r="S339" t="s">
        <v>53</v>
      </c>
      <c r="T339" t="s">
        <v>29</v>
      </c>
    </row>
    <row r="340" spans="1:20" x14ac:dyDescent="0.3">
      <c r="A340" t="s">
        <v>796</v>
      </c>
      <c r="B340" t="s">
        <v>222</v>
      </c>
      <c r="C340" t="s">
        <v>100</v>
      </c>
      <c r="D340" t="s">
        <v>5156</v>
      </c>
      <c r="E340" t="s">
        <v>5131</v>
      </c>
      <c r="F340" t="s">
        <v>5125</v>
      </c>
      <c r="G340" t="s">
        <v>36</v>
      </c>
      <c r="H340" t="s">
        <v>5142</v>
      </c>
      <c r="I340" t="s">
        <v>5143</v>
      </c>
      <c r="J340">
        <v>161149</v>
      </c>
      <c r="K340" t="s">
        <v>797</v>
      </c>
      <c r="L340" t="s">
        <v>5165</v>
      </c>
      <c r="M340" t="s">
        <v>46</v>
      </c>
      <c r="N340">
        <v>45649</v>
      </c>
      <c r="O340">
        <v>3647</v>
      </c>
      <c r="P340" t="s">
        <v>29</v>
      </c>
      <c r="Q340">
        <v>4</v>
      </c>
      <c r="R340" t="s">
        <v>52</v>
      </c>
      <c r="S340" t="s">
        <v>21</v>
      </c>
      <c r="T340" t="s">
        <v>20</v>
      </c>
    </row>
    <row r="341" spans="1:20" x14ac:dyDescent="0.3">
      <c r="A341" t="s">
        <v>798</v>
      </c>
      <c r="B341" t="s">
        <v>218</v>
      </c>
      <c r="C341" t="s">
        <v>85</v>
      </c>
      <c r="D341" t="s">
        <v>68</v>
      </c>
      <c r="E341" t="s">
        <v>95</v>
      </c>
      <c r="F341" t="s">
        <v>96</v>
      </c>
      <c r="G341" t="s">
        <v>36</v>
      </c>
      <c r="H341" t="s">
        <v>5142</v>
      </c>
      <c r="I341" t="s">
        <v>5143</v>
      </c>
      <c r="J341">
        <v>134779</v>
      </c>
      <c r="K341" t="s">
        <v>799</v>
      </c>
      <c r="L341" t="s">
        <v>38</v>
      </c>
      <c r="M341" t="s">
        <v>19</v>
      </c>
      <c r="N341">
        <v>45652</v>
      </c>
      <c r="O341">
        <v>3030</v>
      </c>
      <c r="P341" t="s">
        <v>92</v>
      </c>
      <c r="Q341">
        <v>4</v>
      </c>
      <c r="R341" t="s">
        <v>76</v>
      </c>
      <c r="S341" t="s">
        <v>53</v>
      </c>
      <c r="T341" t="s">
        <v>20</v>
      </c>
    </row>
    <row r="342" spans="1:20" x14ac:dyDescent="0.3">
      <c r="A342" t="s">
        <v>800</v>
      </c>
      <c r="B342" t="s">
        <v>84</v>
      </c>
      <c r="C342" t="s">
        <v>109</v>
      </c>
      <c r="D342" t="s">
        <v>44</v>
      </c>
      <c r="E342" t="s">
        <v>5133</v>
      </c>
      <c r="F342" t="s">
        <v>5125</v>
      </c>
      <c r="G342" t="s">
        <v>50</v>
      </c>
      <c r="H342" t="s">
        <v>5142</v>
      </c>
      <c r="I342" t="s">
        <v>5143</v>
      </c>
      <c r="J342">
        <v>127800</v>
      </c>
      <c r="K342" t="s">
        <v>801</v>
      </c>
      <c r="L342" t="s">
        <v>87</v>
      </c>
      <c r="M342" t="s">
        <v>46</v>
      </c>
      <c r="N342">
        <v>45549</v>
      </c>
      <c r="O342">
        <v>2788</v>
      </c>
      <c r="P342" t="s">
        <v>20</v>
      </c>
      <c r="Q342">
        <v>4</v>
      </c>
      <c r="R342" t="s">
        <v>40</v>
      </c>
      <c r="S342" t="s">
        <v>21</v>
      </c>
      <c r="T342" t="s">
        <v>29</v>
      </c>
    </row>
    <row r="343" spans="1:20" x14ac:dyDescent="0.3">
      <c r="A343" t="s">
        <v>802</v>
      </c>
      <c r="B343" t="s">
        <v>63</v>
      </c>
      <c r="C343" t="s">
        <v>185</v>
      </c>
      <c r="D343" t="s">
        <v>118</v>
      </c>
      <c r="E343" t="s">
        <v>34</v>
      </c>
      <c r="F343" t="s">
        <v>35</v>
      </c>
      <c r="G343" t="s">
        <v>16</v>
      </c>
      <c r="H343" t="s">
        <v>5140</v>
      </c>
      <c r="I343" t="s">
        <v>5141</v>
      </c>
      <c r="J343">
        <v>114825</v>
      </c>
      <c r="K343" t="s">
        <v>803</v>
      </c>
      <c r="L343" t="s">
        <v>61</v>
      </c>
      <c r="M343" t="s">
        <v>39</v>
      </c>
      <c r="N343">
        <v>45492</v>
      </c>
      <c r="O343">
        <v>3909</v>
      </c>
      <c r="P343" t="s">
        <v>20</v>
      </c>
      <c r="Q343">
        <v>2</v>
      </c>
      <c r="R343" t="s">
        <v>40</v>
      </c>
      <c r="S343" t="s">
        <v>21</v>
      </c>
      <c r="T343" t="s">
        <v>20</v>
      </c>
    </row>
    <row r="344" spans="1:20" x14ac:dyDescent="0.3">
      <c r="A344" t="s">
        <v>804</v>
      </c>
      <c r="B344" t="s">
        <v>55</v>
      </c>
      <c r="C344" t="s">
        <v>109</v>
      </c>
      <c r="D344" t="s">
        <v>68</v>
      </c>
      <c r="E344" t="s">
        <v>5133</v>
      </c>
      <c r="F344" t="s">
        <v>5125</v>
      </c>
      <c r="G344" t="s">
        <v>16</v>
      </c>
      <c r="H344" t="s">
        <v>5138</v>
      </c>
      <c r="I344" t="s">
        <v>5139</v>
      </c>
      <c r="J344">
        <v>208818</v>
      </c>
      <c r="K344" t="s">
        <v>805</v>
      </c>
      <c r="L344" t="s">
        <v>238</v>
      </c>
      <c r="M344" t="s">
        <v>46</v>
      </c>
      <c r="N344">
        <v>45669</v>
      </c>
      <c r="O344">
        <v>2380</v>
      </c>
      <c r="P344" t="s">
        <v>20</v>
      </c>
      <c r="Q344">
        <v>6</v>
      </c>
      <c r="R344" t="s">
        <v>40</v>
      </c>
      <c r="S344" t="s">
        <v>21</v>
      </c>
      <c r="T344" t="s">
        <v>20</v>
      </c>
    </row>
    <row r="345" spans="1:20" x14ac:dyDescent="0.3">
      <c r="A345" t="s">
        <v>806</v>
      </c>
      <c r="B345" t="s">
        <v>124</v>
      </c>
      <c r="C345" t="s">
        <v>64</v>
      </c>
      <c r="D345" t="s">
        <v>5156</v>
      </c>
      <c r="E345" t="s">
        <v>34</v>
      </c>
      <c r="F345" t="s">
        <v>35</v>
      </c>
      <c r="G345" t="s">
        <v>16</v>
      </c>
      <c r="H345" t="s">
        <v>5138</v>
      </c>
      <c r="I345" t="s">
        <v>5139</v>
      </c>
      <c r="J345">
        <v>181750</v>
      </c>
      <c r="K345" t="s">
        <v>807</v>
      </c>
      <c r="L345" t="s">
        <v>113</v>
      </c>
      <c r="M345" t="s">
        <v>19</v>
      </c>
      <c r="N345">
        <v>45359</v>
      </c>
      <c r="O345">
        <v>1877</v>
      </c>
      <c r="P345" t="s">
        <v>92</v>
      </c>
      <c r="Q345">
        <v>6</v>
      </c>
      <c r="R345" t="s">
        <v>76</v>
      </c>
      <c r="S345" t="s">
        <v>41</v>
      </c>
      <c r="T345" t="s">
        <v>20</v>
      </c>
    </row>
    <row r="346" spans="1:20" x14ac:dyDescent="0.3">
      <c r="A346" t="s">
        <v>808</v>
      </c>
      <c r="B346" t="s">
        <v>74</v>
      </c>
      <c r="C346" t="s">
        <v>32</v>
      </c>
      <c r="D346" t="s">
        <v>118</v>
      </c>
      <c r="E346" t="s">
        <v>95</v>
      </c>
      <c r="F346" t="s">
        <v>96</v>
      </c>
      <c r="G346" t="s">
        <v>50</v>
      </c>
      <c r="H346" t="s">
        <v>5140</v>
      </c>
      <c r="I346" t="s">
        <v>5141</v>
      </c>
      <c r="J346">
        <v>100673</v>
      </c>
      <c r="K346" t="s">
        <v>809</v>
      </c>
      <c r="L346" t="s">
        <v>5165</v>
      </c>
      <c r="M346" t="s">
        <v>46</v>
      </c>
      <c r="N346">
        <v>45646</v>
      </c>
      <c r="O346">
        <v>765</v>
      </c>
      <c r="P346" t="s">
        <v>29</v>
      </c>
      <c r="Q346">
        <v>2</v>
      </c>
      <c r="R346" t="s">
        <v>5116</v>
      </c>
      <c r="S346" t="s">
        <v>21</v>
      </c>
      <c r="T346" t="s">
        <v>20</v>
      </c>
    </row>
    <row r="347" spans="1:20" x14ac:dyDescent="0.3">
      <c r="A347" t="s">
        <v>810</v>
      </c>
      <c r="B347" t="s">
        <v>55</v>
      </c>
      <c r="C347" t="s">
        <v>202</v>
      </c>
      <c r="D347" t="s">
        <v>5156</v>
      </c>
      <c r="E347" t="s">
        <v>34</v>
      </c>
      <c r="F347" t="s">
        <v>35</v>
      </c>
      <c r="G347" t="s">
        <v>36</v>
      </c>
      <c r="H347" t="s">
        <v>5142</v>
      </c>
      <c r="I347" t="s">
        <v>5143</v>
      </c>
      <c r="J347">
        <v>156265</v>
      </c>
      <c r="K347" t="s">
        <v>811</v>
      </c>
      <c r="L347" t="s">
        <v>5165</v>
      </c>
      <c r="M347" t="s">
        <v>72</v>
      </c>
      <c r="N347">
        <v>45375</v>
      </c>
      <c r="O347">
        <v>1366</v>
      </c>
      <c r="P347" t="s">
        <v>20</v>
      </c>
      <c r="Q347">
        <v>4</v>
      </c>
      <c r="R347" t="s">
        <v>40</v>
      </c>
      <c r="S347" t="s">
        <v>21</v>
      </c>
      <c r="T347" t="s">
        <v>29</v>
      </c>
    </row>
    <row r="348" spans="1:20" x14ac:dyDescent="0.3">
      <c r="A348" t="s">
        <v>812</v>
      </c>
      <c r="B348" t="s">
        <v>136</v>
      </c>
      <c r="C348" t="s">
        <v>94</v>
      </c>
      <c r="D348" t="s">
        <v>25</v>
      </c>
      <c r="E348" t="s">
        <v>193</v>
      </c>
      <c r="F348" t="s">
        <v>194</v>
      </c>
      <c r="G348" t="s">
        <v>36</v>
      </c>
      <c r="H348" t="s">
        <v>5140</v>
      </c>
      <c r="I348" t="s">
        <v>5141</v>
      </c>
      <c r="J348">
        <v>81327</v>
      </c>
      <c r="K348" t="s">
        <v>813</v>
      </c>
      <c r="L348" t="s">
        <v>87</v>
      </c>
      <c r="M348" t="s">
        <v>19</v>
      </c>
      <c r="N348">
        <v>45518</v>
      </c>
      <c r="O348">
        <v>1836</v>
      </c>
      <c r="P348" t="s">
        <v>20</v>
      </c>
      <c r="Q348">
        <v>2</v>
      </c>
      <c r="R348" t="s">
        <v>40</v>
      </c>
      <c r="S348" t="s">
        <v>21</v>
      </c>
      <c r="T348" t="s">
        <v>20</v>
      </c>
    </row>
    <row r="349" spans="1:20" x14ac:dyDescent="0.3">
      <c r="A349" t="s">
        <v>814</v>
      </c>
      <c r="B349" t="s">
        <v>136</v>
      </c>
      <c r="C349" t="s">
        <v>188</v>
      </c>
      <c r="D349" t="s">
        <v>104</v>
      </c>
      <c r="E349" t="s">
        <v>14</v>
      </c>
      <c r="F349" t="s">
        <v>15</v>
      </c>
      <c r="G349" t="s">
        <v>16</v>
      </c>
      <c r="H349" t="s">
        <v>5140</v>
      </c>
      <c r="I349" t="s">
        <v>5141</v>
      </c>
      <c r="J349">
        <v>82132</v>
      </c>
      <c r="K349" t="s">
        <v>815</v>
      </c>
      <c r="L349" t="s">
        <v>38</v>
      </c>
      <c r="M349" t="s">
        <v>46</v>
      </c>
      <c r="N349">
        <v>45334</v>
      </c>
      <c r="O349">
        <v>3730</v>
      </c>
      <c r="P349" t="s">
        <v>20</v>
      </c>
      <c r="Q349">
        <v>2</v>
      </c>
      <c r="R349" t="s">
        <v>52</v>
      </c>
      <c r="S349" t="s">
        <v>21</v>
      </c>
      <c r="T349" t="s">
        <v>20</v>
      </c>
    </row>
    <row r="350" spans="1:20" x14ac:dyDescent="0.3">
      <c r="A350" t="s">
        <v>816</v>
      </c>
      <c r="B350" t="s">
        <v>218</v>
      </c>
      <c r="C350" t="s">
        <v>100</v>
      </c>
      <c r="D350" t="s">
        <v>140</v>
      </c>
      <c r="E350" t="s">
        <v>5133</v>
      </c>
      <c r="F350" t="s">
        <v>5125</v>
      </c>
      <c r="G350" t="s">
        <v>16</v>
      </c>
      <c r="H350" t="s">
        <v>5138</v>
      </c>
      <c r="I350" t="s">
        <v>5139</v>
      </c>
      <c r="J350">
        <v>174136</v>
      </c>
      <c r="K350" t="s">
        <v>817</v>
      </c>
      <c r="L350" t="s">
        <v>82</v>
      </c>
      <c r="M350" t="s">
        <v>39</v>
      </c>
      <c r="N350">
        <v>45468</v>
      </c>
      <c r="O350">
        <v>680</v>
      </c>
      <c r="P350" t="s">
        <v>20</v>
      </c>
      <c r="Q350">
        <v>6</v>
      </c>
      <c r="R350" t="s">
        <v>52</v>
      </c>
      <c r="S350" t="s">
        <v>53</v>
      </c>
      <c r="T350" t="s">
        <v>29</v>
      </c>
    </row>
    <row r="351" spans="1:20" x14ac:dyDescent="0.3">
      <c r="A351" t="s">
        <v>818</v>
      </c>
      <c r="B351" t="s">
        <v>136</v>
      </c>
      <c r="C351" t="s">
        <v>13</v>
      </c>
      <c r="D351" t="s">
        <v>118</v>
      </c>
      <c r="E351" t="s">
        <v>58</v>
      </c>
      <c r="F351" t="s">
        <v>59</v>
      </c>
      <c r="G351" t="s">
        <v>16</v>
      </c>
      <c r="H351" t="s">
        <v>5136</v>
      </c>
      <c r="I351" t="s">
        <v>5137</v>
      </c>
      <c r="J351">
        <v>67310</v>
      </c>
      <c r="K351" t="s">
        <v>819</v>
      </c>
      <c r="L351" t="s">
        <v>113</v>
      </c>
      <c r="M351" t="s">
        <v>46</v>
      </c>
      <c r="N351">
        <v>45535</v>
      </c>
      <c r="O351">
        <v>826</v>
      </c>
      <c r="P351" t="s">
        <v>29</v>
      </c>
      <c r="Q351">
        <v>0</v>
      </c>
      <c r="R351" t="s">
        <v>52</v>
      </c>
      <c r="S351" t="s">
        <v>21</v>
      </c>
      <c r="T351" t="s">
        <v>20</v>
      </c>
    </row>
    <row r="352" spans="1:20" x14ac:dyDescent="0.3">
      <c r="A352" t="s">
        <v>820</v>
      </c>
      <c r="B352" t="s">
        <v>74</v>
      </c>
      <c r="C352" t="s">
        <v>94</v>
      </c>
      <c r="D352" t="s">
        <v>25</v>
      </c>
      <c r="E352" t="s">
        <v>152</v>
      </c>
      <c r="F352" t="s">
        <v>153</v>
      </c>
      <c r="G352" t="s">
        <v>36</v>
      </c>
      <c r="H352" t="s">
        <v>5142</v>
      </c>
      <c r="I352" t="s">
        <v>5143</v>
      </c>
      <c r="J352">
        <v>158394</v>
      </c>
      <c r="K352" t="s">
        <v>821</v>
      </c>
      <c r="L352" t="s">
        <v>82</v>
      </c>
      <c r="M352" t="s">
        <v>46</v>
      </c>
      <c r="N352">
        <v>45529</v>
      </c>
      <c r="O352">
        <v>3724</v>
      </c>
      <c r="P352" t="s">
        <v>20</v>
      </c>
      <c r="Q352">
        <v>4</v>
      </c>
      <c r="R352" t="s">
        <v>47</v>
      </c>
      <c r="S352" t="s">
        <v>21</v>
      </c>
      <c r="T352" t="s">
        <v>20</v>
      </c>
    </row>
    <row r="353" spans="1:20" x14ac:dyDescent="0.3">
      <c r="A353" t="s">
        <v>822</v>
      </c>
      <c r="B353" t="s">
        <v>89</v>
      </c>
      <c r="C353" t="s">
        <v>109</v>
      </c>
      <c r="D353" t="s">
        <v>44</v>
      </c>
      <c r="E353" t="s">
        <v>209</v>
      </c>
      <c r="F353" t="s">
        <v>210</v>
      </c>
      <c r="G353" t="s">
        <v>36</v>
      </c>
      <c r="H353" t="s">
        <v>5136</v>
      </c>
      <c r="I353" t="s">
        <v>5137</v>
      </c>
      <c r="J353">
        <v>88589</v>
      </c>
      <c r="K353" t="s">
        <v>823</v>
      </c>
      <c r="L353" t="s">
        <v>5165</v>
      </c>
      <c r="M353" t="s">
        <v>46</v>
      </c>
      <c r="N353">
        <v>45589</v>
      </c>
      <c r="O353">
        <v>3472</v>
      </c>
      <c r="P353" t="s">
        <v>20</v>
      </c>
      <c r="Q353">
        <v>0</v>
      </c>
      <c r="R353" t="s">
        <v>76</v>
      </c>
      <c r="S353" t="s">
        <v>21</v>
      </c>
      <c r="T353" t="s">
        <v>29</v>
      </c>
    </row>
    <row r="354" spans="1:20" x14ac:dyDescent="0.3">
      <c r="A354" t="s">
        <v>824</v>
      </c>
      <c r="B354" t="s">
        <v>55</v>
      </c>
      <c r="C354" t="s">
        <v>56</v>
      </c>
      <c r="D354" t="s">
        <v>33</v>
      </c>
      <c r="E354" t="s">
        <v>95</v>
      </c>
      <c r="F354" t="s">
        <v>96</v>
      </c>
      <c r="G354" t="s">
        <v>16</v>
      </c>
      <c r="H354" t="s">
        <v>5142</v>
      </c>
      <c r="I354" t="s">
        <v>5143</v>
      </c>
      <c r="J354">
        <v>173156</v>
      </c>
      <c r="K354" t="s">
        <v>825</v>
      </c>
      <c r="L354" t="s">
        <v>142</v>
      </c>
      <c r="M354" t="s">
        <v>39</v>
      </c>
      <c r="N354">
        <v>45476</v>
      </c>
      <c r="O354">
        <v>3142</v>
      </c>
      <c r="P354" t="s">
        <v>29</v>
      </c>
      <c r="Q354">
        <v>4</v>
      </c>
      <c r="R354" t="s">
        <v>47</v>
      </c>
      <c r="S354" t="s">
        <v>21</v>
      </c>
      <c r="T354" t="s">
        <v>20</v>
      </c>
    </row>
    <row r="355" spans="1:20" x14ac:dyDescent="0.3">
      <c r="A355" t="s">
        <v>826</v>
      </c>
      <c r="B355" t="s">
        <v>74</v>
      </c>
      <c r="C355" t="s">
        <v>13</v>
      </c>
      <c r="D355" t="s">
        <v>167</v>
      </c>
      <c r="E355" t="s">
        <v>5133</v>
      </c>
      <c r="F355" t="s">
        <v>5125</v>
      </c>
      <c r="G355" t="s">
        <v>16</v>
      </c>
      <c r="H355" t="s">
        <v>5142</v>
      </c>
      <c r="I355" t="s">
        <v>5143</v>
      </c>
      <c r="J355">
        <v>145681</v>
      </c>
      <c r="K355" t="s">
        <v>827</v>
      </c>
      <c r="L355" t="s">
        <v>82</v>
      </c>
      <c r="M355" t="s">
        <v>72</v>
      </c>
      <c r="N355">
        <v>45588</v>
      </c>
      <c r="O355">
        <v>429</v>
      </c>
      <c r="P355" t="s">
        <v>29</v>
      </c>
      <c r="Q355">
        <v>4</v>
      </c>
      <c r="R355" t="s">
        <v>76</v>
      </c>
      <c r="S355" t="s">
        <v>21</v>
      </c>
      <c r="T355" t="s">
        <v>29</v>
      </c>
    </row>
    <row r="356" spans="1:20" x14ac:dyDescent="0.3">
      <c r="A356" t="s">
        <v>828</v>
      </c>
      <c r="B356" t="s">
        <v>23</v>
      </c>
      <c r="C356" t="s">
        <v>175</v>
      </c>
      <c r="D356" t="s">
        <v>167</v>
      </c>
      <c r="E356" t="s">
        <v>5131</v>
      </c>
      <c r="F356" t="s">
        <v>5125</v>
      </c>
      <c r="G356" t="s">
        <v>36</v>
      </c>
      <c r="H356" t="s">
        <v>5136</v>
      </c>
      <c r="I356" t="s">
        <v>5137</v>
      </c>
      <c r="J356">
        <v>69760</v>
      </c>
      <c r="K356" t="s">
        <v>829</v>
      </c>
      <c r="L356" t="s">
        <v>113</v>
      </c>
      <c r="M356" t="s">
        <v>19</v>
      </c>
      <c r="N356">
        <v>45331</v>
      </c>
      <c r="O356">
        <v>3654</v>
      </c>
      <c r="P356" t="s">
        <v>92</v>
      </c>
      <c r="Q356">
        <v>0</v>
      </c>
      <c r="R356" t="s">
        <v>76</v>
      </c>
      <c r="S356" t="s">
        <v>53</v>
      </c>
      <c r="T356" t="s">
        <v>29</v>
      </c>
    </row>
    <row r="357" spans="1:20" x14ac:dyDescent="0.3">
      <c r="A357" t="s">
        <v>830</v>
      </c>
      <c r="B357" t="s">
        <v>74</v>
      </c>
      <c r="C357" t="s">
        <v>13</v>
      </c>
      <c r="D357" t="s">
        <v>44</v>
      </c>
      <c r="E357" t="s">
        <v>5129</v>
      </c>
      <c r="F357" t="s">
        <v>5130</v>
      </c>
      <c r="G357" t="s">
        <v>16</v>
      </c>
      <c r="H357" t="s">
        <v>5136</v>
      </c>
      <c r="I357" t="s">
        <v>5137</v>
      </c>
      <c r="J357">
        <v>57368</v>
      </c>
      <c r="K357" t="s">
        <v>831</v>
      </c>
      <c r="L357" t="s">
        <v>142</v>
      </c>
      <c r="M357" t="s">
        <v>19</v>
      </c>
      <c r="N357">
        <v>45730</v>
      </c>
      <c r="O357">
        <v>3112</v>
      </c>
      <c r="P357" t="s">
        <v>20</v>
      </c>
      <c r="Q357">
        <v>0</v>
      </c>
      <c r="R357" t="s">
        <v>47</v>
      </c>
      <c r="S357" t="s">
        <v>21</v>
      </c>
      <c r="T357" t="s">
        <v>20</v>
      </c>
    </row>
    <row r="358" spans="1:20" x14ac:dyDescent="0.3">
      <c r="A358" t="s">
        <v>832</v>
      </c>
      <c r="B358" t="s">
        <v>124</v>
      </c>
      <c r="C358" t="s">
        <v>151</v>
      </c>
      <c r="D358" t="s">
        <v>44</v>
      </c>
      <c r="E358" t="s">
        <v>152</v>
      </c>
      <c r="F358" t="s">
        <v>153</v>
      </c>
      <c r="G358" t="s">
        <v>16</v>
      </c>
      <c r="H358" t="s">
        <v>5136</v>
      </c>
      <c r="I358" t="s">
        <v>5137</v>
      </c>
      <c r="J358">
        <v>69766</v>
      </c>
      <c r="K358" t="s">
        <v>833</v>
      </c>
      <c r="L358" t="s">
        <v>142</v>
      </c>
      <c r="M358" t="s">
        <v>72</v>
      </c>
      <c r="N358">
        <v>45421</v>
      </c>
      <c r="O358">
        <v>2416</v>
      </c>
      <c r="P358" t="s">
        <v>92</v>
      </c>
      <c r="Q358">
        <v>0</v>
      </c>
      <c r="R358" t="s">
        <v>47</v>
      </c>
      <c r="S358" t="s">
        <v>21</v>
      </c>
      <c r="T358" t="s">
        <v>29</v>
      </c>
    </row>
    <row r="359" spans="1:20" x14ac:dyDescent="0.3">
      <c r="A359" t="s">
        <v>834</v>
      </c>
      <c r="B359" t="s">
        <v>55</v>
      </c>
      <c r="C359" t="s">
        <v>64</v>
      </c>
      <c r="D359" t="s">
        <v>5156</v>
      </c>
      <c r="E359" t="s">
        <v>193</v>
      </c>
      <c r="F359" t="s">
        <v>194</v>
      </c>
      <c r="G359" t="s">
        <v>16</v>
      </c>
      <c r="H359" t="s">
        <v>5142</v>
      </c>
      <c r="I359" t="s">
        <v>5143</v>
      </c>
      <c r="J359">
        <v>142206</v>
      </c>
      <c r="K359" t="s">
        <v>835</v>
      </c>
      <c r="L359" t="s">
        <v>18</v>
      </c>
      <c r="M359" t="s">
        <v>46</v>
      </c>
      <c r="N359">
        <v>45374</v>
      </c>
      <c r="O359">
        <v>3959</v>
      </c>
      <c r="P359" t="s">
        <v>20</v>
      </c>
      <c r="Q359">
        <v>4</v>
      </c>
      <c r="R359" t="s">
        <v>76</v>
      </c>
      <c r="S359" t="s">
        <v>21</v>
      </c>
      <c r="T359" t="s">
        <v>20</v>
      </c>
    </row>
    <row r="360" spans="1:20" x14ac:dyDescent="0.3">
      <c r="A360" t="s">
        <v>836</v>
      </c>
      <c r="B360" t="s">
        <v>99</v>
      </c>
      <c r="C360" t="s">
        <v>13</v>
      </c>
      <c r="D360" t="s">
        <v>44</v>
      </c>
      <c r="E360" t="s">
        <v>5133</v>
      </c>
      <c r="F360" t="s">
        <v>5125</v>
      </c>
      <c r="G360" t="s">
        <v>36</v>
      </c>
      <c r="H360" t="s">
        <v>5138</v>
      </c>
      <c r="I360" t="s">
        <v>5139</v>
      </c>
      <c r="J360">
        <v>211617</v>
      </c>
      <c r="K360" t="s">
        <v>837</v>
      </c>
      <c r="L360" t="s">
        <v>238</v>
      </c>
      <c r="M360" t="s">
        <v>39</v>
      </c>
      <c r="N360">
        <v>45386</v>
      </c>
      <c r="O360">
        <v>516</v>
      </c>
      <c r="P360" t="s">
        <v>20</v>
      </c>
      <c r="Q360">
        <v>6</v>
      </c>
      <c r="R360" t="s">
        <v>76</v>
      </c>
      <c r="S360" t="s">
        <v>21</v>
      </c>
      <c r="T360" t="s">
        <v>20</v>
      </c>
    </row>
    <row r="361" spans="1:20" x14ac:dyDescent="0.3">
      <c r="A361" t="s">
        <v>838</v>
      </c>
      <c r="B361" t="s">
        <v>74</v>
      </c>
      <c r="C361" t="s">
        <v>139</v>
      </c>
      <c r="D361" t="s">
        <v>33</v>
      </c>
      <c r="E361" t="s">
        <v>5128</v>
      </c>
      <c r="F361" t="s">
        <v>5125</v>
      </c>
      <c r="G361" t="s">
        <v>16</v>
      </c>
      <c r="H361" t="s">
        <v>5136</v>
      </c>
      <c r="I361" t="s">
        <v>5137</v>
      </c>
      <c r="J361">
        <v>59576</v>
      </c>
      <c r="K361" t="s">
        <v>839</v>
      </c>
      <c r="L361" t="s">
        <v>5165</v>
      </c>
      <c r="M361" t="s">
        <v>46</v>
      </c>
      <c r="N361">
        <v>45351</v>
      </c>
      <c r="O361">
        <v>3513</v>
      </c>
      <c r="P361" t="s">
        <v>20</v>
      </c>
      <c r="Q361">
        <v>0</v>
      </c>
      <c r="R361" t="s">
        <v>5116</v>
      </c>
      <c r="S361" t="s">
        <v>53</v>
      </c>
      <c r="T361" t="s">
        <v>20</v>
      </c>
    </row>
    <row r="362" spans="1:20" x14ac:dyDescent="0.3">
      <c r="A362" t="s">
        <v>840</v>
      </c>
      <c r="B362" t="s">
        <v>218</v>
      </c>
      <c r="C362" t="s">
        <v>103</v>
      </c>
      <c r="D362" t="s">
        <v>44</v>
      </c>
      <c r="E362" t="s">
        <v>5132</v>
      </c>
      <c r="F362" t="s">
        <v>5125</v>
      </c>
      <c r="G362" t="s">
        <v>50</v>
      </c>
      <c r="H362" t="s">
        <v>5140</v>
      </c>
      <c r="I362" t="s">
        <v>5141</v>
      </c>
      <c r="J362">
        <v>120283</v>
      </c>
      <c r="K362" t="s">
        <v>841</v>
      </c>
      <c r="L362" t="s">
        <v>5165</v>
      </c>
      <c r="M362" t="s">
        <v>19</v>
      </c>
      <c r="N362">
        <v>45543</v>
      </c>
      <c r="O362">
        <v>2856</v>
      </c>
      <c r="P362" t="s">
        <v>20</v>
      </c>
      <c r="Q362">
        <v>2</v>
      </c>
      <c r="R362" t="s">
        <v>5116</v>
      </c>
      <c r="S362" t="s">
        <v>53</v>
      </c>
      <c r="T362" t="s">
        <v>20</v>
      </c>
    </row>
    <row r="363" spans="1:20" x14ac:dyDescent="0.3">
      <c r="A363" t="s">
        <v>842</v>
      </c>
      <c r="B363" t="s">
        <v>215</v>
      </c>
      <c r="C363" t="s">
        <v>100</v>
      </c>
      <c r="D363" t="s">
        <v>57</v>
      </c>
      <c r="E363" t="s">
        <v>5133</v>
      </c>
      <c r="F363" t="s">
        <v>5125</v>
      </c>
      <c r="G363" t="s">
        <v>50</v>
      </c>
      <c r="H363" t="s">
        <v>5136</v>
      </c>
      <c r="I363" t="s">
        <v>5137</v>
      </c>
      <c r="J363">
        <v>89312</v>
      </c>
      <c r="K363" t="s">
        <v>843</v>
      </c>
      <c r="L363" t="s">
        <v>134</v>
      </c>
      <c r="M363" t="s">
        <v>19</v>
      </c>
      <c r="N363">
        <v>45465</v>
      </c>
      <c r="O363">
        <v>3107</v>
      </c>
      <c r="P363" t="s">
        <v>20</v>
      </c>
      <c r="Q363">
        <v>0</v>
      </c>
      <c r="R363" t="s">
        <v>52</v>
      </c>
      <c r="S363" t="s">
        <v>21</v>
      </c>
      <c r="T363" t="s">
        <v>20</v>
      </c>
    </row>
    <row r="364" spans="1:20" x14ac:dyDescent="0.3">
      <c r="A364" t="s">
        <v>844</v>
      </c>
      <c r="B364" t="s">
        <v>130</v>
      </c>
      <c r="C364" t="s">
        <v>117</v>
      </c>
      <c r="D364" t="s">
        <v>44</v>
      </c>
      <c r="E364" t="s">
        <v>69</v>
      </c>
      <c r="F364" t="s">
        <v>70</v>
      </c>
      <c r="G364" t="s">
        <v>16</v>
      </c>
      <c r="H364" t="s">
        <v>5138</v>
      </c>
      <c r="I364" t="s">
        <v>5139</v>
      </c>
      <c r="J364">
        <v>196084</v>
      </c>
      <c r="K364" t="s">
        <v>845</v>
      </c>
      <c r="L364" t="s">
        <v>61</v>
      </c>
      <c r="M364" t="s">
        <v>39</v>
      </c>
      <c r="N364">
        <v>45685</v>
      </c>
      <c r="O364">
        <v>2050</v>
      </c>
      <c r="P364" t="s">
        <v>20</v>
      </c>
      <c r="Q364">
        <v>6</v>
      </c>
      <c r="R364" t="s">
        <v>47</v>
      </c>
      <c r="S364" t="s">
        <v>21</v>
      </c>
      <c r="T364" t="s">
        <v>20</v>
      </c>
    </row>
    <row r="365" spans="1:20" x14ac:dyDescent="0.3">
      <c r="A365" t="s">
        <v>846</v>
      </c>
      <c r="B365" t="s">
        <v>55</v>
      </c>
      <c r="C365" t="s">
        <v>151</v>
      </c>
      <c r="D365" t="s">
        <v>57</v>
      </c>
      <c r="E365" t="s">
        <v>209</v>
      </c>
      <c r="F365" t="s">
        <v>210</v>
      </c>
      <c r="G365" t="s">
        <v>36</v>
      </c>
      <c r="H365" t="s">
        <v>5142</v>
      </c>
      <c r="I365" t="s">
        <v>5143</v>
      </c>
      <c r="J365">
        <v>160846</v>
      </c>
      <c r="K365" t="s">
        <v>847</v>
      </c>
      <c r="L365" t="s">
        <v>5165</v>
      </c>
      <c r="M365" t="s">
        <v>19</v>
      </c>
      <c r="N365">
        <v>45681</v>
      </c>
      <c r="O365">
        <v>2018</v>
      </c>
      <c r="P365" t="s">
        <v>20</v>
      </c>
      <c r="Q365">
        <v>4</v>
      </c>
      <c r="R365" t="s">
        <v>76</v>
      </c>
      <c r="S365" t="s">
        <v>21</v>
      </c>
      <c r="T365" t="s">
        <v>20</v>
      </c>
    </row>
    <row r="366" spans="1:20" x14ac:dyDescent="0.3">
      <c r="A366" t="s">
        <v>848</v>
      </c>
      <c r="B366" t="s">
        <v>23</v>
      </c>
      <c r="C366" t="s">
        <v>139</v>
      </c>
      <c r="D366" t="s">
        <v>57</v>
      </c>
      <c r="E366" t="s">
        <v>5127</v>
      </c>
      <c r="F366" t="s">
        <v>5125</v>
      </c>
      <c r="G366" t="s">
        <v>50</v>
      </c>
      <c r="H366" t="s">
        <v>5136</v>
      </c>
      <c r="I366" t="s">
        <v>5137</v>
      </c>
      <c r="J366">
        <v>78695</v>
      </c>
      <c r="K366" t="s">
        <v>849</v>
      </c>
      <c r="L366" t="s">
        <v>5165</v>
      </c>
      <c r="M366" t="s">
        <v>19</v>
      </c>
      <c r="N366">
        <v>45742</v>
      </c>
      <c r="O366">
        <v>2290</v>
      </c>
      <c r="P366" t="s">
        <v>20</v>
      </c>
      <c r="Q366">
        <v>0</v>
      </c>
      <c r="R366" t="s">
        <v>40</v>
      </c>
      <c r="S366" t="s">
        <v>53</v>
      </c>
      <c r="T366" t="s">
        <v>29</v>
      </c>
    </row>
    <row r="367" spans="1:20" x14ac:dyDescent="0.3">
      <c r="A367" t="s">
        <v>850</v>
      </c>
      <c r="B367" t="s">
        <v>322</v>
      </c>
      <c r="C367" t="s">
        <v>43</v>
      </c>
      <c r="D367" t="s">
        <v>68</v>
      </c>
      <c r="E367" t="s">
        <v>223</v>
      </c>
      <c r="F367" t="s">
        <v>224</v>
      </c>
      <c r="G367" t="s">
        <v>36</v>
      </c>
      <c r="H367" t="s">
        <v>5140</v>
      </c>
      <c r="I367" t="s">
        <v>5141</v>
      </c>
      <c r="J367">
        <v>102055</v>
      </c>
      <c r="K367" t="s">
        <v>851</v>
      </c>
      <c r="L367" t="s">
        <v>5165</v>
      </c>
      <c r="M367" t="s">
        <v>46</v>
      </c>
      <c r="N367">
        <v>45541</v>
      </c>
      <c r="O367">
        <v>2312</v>
      </c>
      <c r="P367" t="s">
        <v>92</v>
      </c>
      <c r="Q367">
        <v>2</v>
      </c>
      <c r="R367" t="s">
        <v>76</v>
      </c>
      <c r="S367" t="s">
        <v>21</v>
      </c>
      <c r="T367" t="s">
        <v>29</v>
      </c>
    </row>
    <row r="368" spans="1:20" x14ac:dyDescent="0.3">
      <c r="A368" t="s">
        <v>852</v>
      </c>
      <c r="B368" t="s">
        <v>136</v>
      </c>
      <c r="C368" t="s">
        <v>219</v>
      </c>
      <c r="D368" t="s">
        <v>104</v>
      </c>
      <c r="E368" t="s">
        <v>209</v>
      </c>
      <c r="F368" t="s">
        <v>210</v>
      </c>
      <c r="G368" t="s">
        <v>36</v>
      </c>
      <c r="H368" t="s">
        <v>5138</v>
      </c>
      <c r="I368" t="s">
        <v>5139</v>
      </c>
      <c r="J368">
        <v>208067</v>
      </c>
      <c r="K368" t="s">
        <v>853</v>
      </c>
      <c r="L368" t="s">
        <v>5165</v>
      </c>
      <c r="M368" t="s">
        <v>19</v>
      </c>
      <c r="N368">
        <v>45684</v>
      </c>
      <c r="O368">
        <v>1568</v>
      </c>
      <c r="P368" t="s">
        <v>29</v>
      </c>
      <c r="Q368">
        <v>6</v>
      </c>
      <c r="R368" t="s">
        <v>40</v>
      </c>
      <c r="S368" t="s">
        <v>41</v>
      </c>
      <c r="T368" t="s">
        <v>29</v>
      </c>
    </row>
    <row r="369" spans="1:20" x14ac:dyDescent="0.3">
      <c r="A369" t="s">
        <v>854</v>
      </c>
      <c r="B369" t="s">
        <v>222</v>
      </c>
      <c r="C369" t="s">
        <v>125</v>
      </c>
      <c r="D369" t="s">
        <v>57</v>
      </c>
      <c r="E369" t="s">
        <v>26</v>
      </c>
      <c r="F369" t="s">
        <v>27</v>
      </c>
      <c r="G369" t="s">
        <v>16</v>
      </c>
      <c r="H369" t="s">
        <v>5140</v>
      </c>
      <c r="I369" t="s">
        <v>5141</v>
      </c>
      <c r="J369">
        <v>110249</v>
      </c>
      <c r="K369" t="s">
        <v>855</v>
      </c>
      <c r="L369" t="s">
        <v>38</v>
      </c>
      <c r="M369" t="s">
        <v>46</v>
      </c>
      <c r="N369">
        <v>45451</v>
      </c>
      <c r="O369">
        <v>2336</v>
      </c>
      <c r="P369" t="s">
        <v>20</v>
      </c>
      <c r="Q369">
        <v>2</v>
      </c>
      <c r="R369" t="s">
        <v>52</v>
      </c>
      <c r="S369" t="s">
        <v>21</v>
      </c>
      <c r="T369" t="s">
        <v>20</v>
      </c>
    </row>
    <row r="370" spans="1:20" x14ac:dyDescent="0.3">
      <c r="A370" t="s">
        <v>856</v>
      </c>
      <c r="B370" t="s">
        <v>136</v>
      </c>
      <c r="C370" t="s">
        <v>24</v>
      </c>
      <c r="D370" t="s">
        <v>57</v>
      </c>
      <c r="E370" t="s">
        <v>5124</v>
      </c>
      <c r="F370" t="s">
        <v>5125</v>
      </c>
      <c r="G370" t="s">
        <v>16</v>
      </c>
      <c r="H370" t="s">
        <v>5136</v>
      </c>
      <c r="I370" t="s">
        <v>5137</v>
      </c>
      <c r="J370">
        <v>71230</v>
      </c>
      <c r="K370" t="s">
        <v>857</v>
      </c>
      <c r="L370" t="s">
        <v>5165</v>
      </c>
      <c r="M370" t="s">
        <v>46</v>
      </c>
      <c r="N370">
        <v>45491</v>
      </c>
      <c r="O370">
        <v>692</v>
      </c>
      <c r="P370" t="s">
        <v>20</v>
      </c>
      <c r="Q370">
        <v>0</v>
      </c>
      <c r="R370" t="s">
        <v>40</v>
      </c>
      <c r="S370" t="s">
        <v>41</v>
      </c>
      <c r="T370" t="s">
        <v>29</v>
      </c>
    </row>
    <row r="371" spans="1:20" x14ac:dyDescent="0.3">
      <c r="A371" t="s">
        <v>858</v>
      </c>
      <c r="B371" t="s">
        <v>63</v>
      </c>
      <c r="C371" t="s">
        <v>94</v>
      </c>
      <c r="D371" t="s">
        <v>104</v>
      </c>
      <c r="E371" t="s">
        <v>223</v>
      </c>
      <c r="F371" t="s">
        <v>224</v>
      </c>
      <c r="G371" t="s">
        <v>16</v>
      </c>
      <c r="H371" t="s">
        <v>5140</v>
      </c>
      <c r="I371" t="s">
        <v>5141</v>
      </c>
      <c r="J371">
        <v>94694</v>
      </c>
      <c r="K371" t="s">
        <v>859</v>
      </c>
      <c r="L371" t="s">
        <v>5165</v>
      </c>
      <c r="M371" t="s">
        <v>46</v>
      </c>
      <c r="N371">
        <v>45444</v>
      </c>
      <c r="O371">
        <v>2330</v>
      </c>
      <c r="P371" t="s">
        <v>20</v>
      </c>
      <c r="Q371">
        <v>2</v>
      </c>
      <c r="R371" t="s">
        <v>52</v>
      </c>
      <c r="S371" t="s">
        <v>21</v>
      </c>
      <c r="T371" t="s">
        <v>29</v>
      </c>
    </row>
    <row r="372" spans="1:20" x14ac:dyDescent="0.3">
      <c r="A372" t="s">
        <v>860</v>
      </c>
      <c r="B372" t="s">
        <v>63</v>
      </c>
      <c r="C372" t="s">
        <v>160</v>
      </c>
      <c r="D372" t="s">
        <v>5156</v>
      </c>
      <c r="E372" t="s">
        <v>69</v>
      </c>
      <c r="F372" t="s">
        <v>70</v>
      </c>
      <c r="G372" t="s">
        <v>50</v>
      </c>
      <c r="H372" t="s">
        <v>5142</v>
      </c>
      <c r="I372" t="s">
        <v>5143</v>
      </c>
      <c r="J372">
        <v>150661</v>
      </c>
      <c r="K372" t="s">
        <v>861</v>
      </c>
      <c r="L372" t="s">
        <v>87</v>
      </c>
      <c r="M372" t="s">
        <v>46</v>
      </c>
      <c r="N372">
        <v>45513</v>
      </c>
      <c r="O372">
        <v>3543</v>
      </c>
      <c r="P372" t="s">
        <v>29</v>
      </c>
      <c r="Q372">
        <v>4</v>
      </c>
      <c r="R372" t="s">
        <v>52</v>
      </c>
      <c r="S372" t="s">
        <v>21</v>
      </c>
      <c r="T372" t="s">
        <v>20</v>
      </c>
    </row>
    <row r="373" spans="1:20" x14ac:dyDescent="0.3">
      <c r="A373" t="s">
        <v>862</v>
      </c>
      <c r="B373" t="s">
        <v>165</v>
      </c>
      <c r="C373" t="s">
        <v>85</v>
      </c>
      <c r="D373" t="s">
        <v>118</v>
      </c>
      <c r="E373" t="s">
        <v>126</v>
      </c>
      <c r="F373" t="s">
        <v>127</v>
      </c>
      <c r="G373" t="s">
        <v>50</v>
      </c>
      <c r="H373" t="s">
        <v>5142</v>
      </c>
      <c r="I373" t="s">
        <v>5143</v>
      </c>
      <c r="J373">
        <v>163445</v>
      </c>
      <c r="K373" t="s">
        <v>863</v>
      </c>
      <c r="L373" t="s">
        <v>61</v>
      </c>
      <c r="M373" t="s">
        <v>39</v>
      </c>
      <c r="N373">
        <v>45728</v>
      </c>
      <c r="O373">
        <v>3467</v>
      </c>
      <c r="P373" t="s">
        <v>20</v>
      </c>
      <c r="Q373">
        <v>4</v>
      </c>
      <c r="R373" t="s">
        <v>40</v>
      </c>
      <c r="S373" t="s">
        <v>53</v>
      </c>
      <c r="T373" t="s">
        <v>20</v>
      </c>
    </row>
    <row r="374" spans="1:20" x14ac:dyDescent="0.3">
      <c r="A374" t="s">
        <v>864</v>
      </c>
      <c r="B374" t="s">
        <v>99</v>
      </c>
      <c r="C374" t="s">
        <v>202</v>
      </c>
      <c r="D374" t="s">
        <v>33</v>
      </c>
      <c r="E374" t="s">
        <v>14</v>
      </c>
      <c r="F374" t="s">
        <v>15</v>
      </c>
      <c r="G374" t="s">
        <v>50</v>
      </c>
      <c r="H374" t="s">
        <v>5138</v>
      </c>
      <c r="I374" t="s">
        <v>5139</v>
      </c>
      <c r="J374">
        <v>252241</v>
      </c>
      <c r="K374" t="s">
        <v>865</v>
      </c>
      <c r="L374" t="s">
        <v>142</v>
      </c>
      <c r="M374" t="s">
        <v>19</v>
      </c>
      <c r="N374">
        <v>45622</v>
      </c>
      <c r="O374">
        <v>1911</v>
      </c>
      <c r="P374" t="s">
        <v>20</v>
      </c>
      <c r="Q374">
        <v>6</v>
      </c>
      <c r="R374" t="s">
        <v>52</v>
      </c>
      <c r="S374" t="s">
        <v>21</v>
      </c>
      <c r="T374" t="s">
        <v>20</v>
      </c>
    </row>
    <row r="375" spans="1:20" x14ac:dyDescent="0.3">
      <c r="A375" t="s">
        <v>866</v>
      </c>
      <c r="B375" t="s">
        <v>99</v>
      </c>
      <c r="C375" t="s">
        <v>151</v>
      </c>
      <c r="D375" t="s">
        <v>5156</v>
      </c>
      <c r="E375" t="s">
        <v>14</v>
      </c>
      <c r="F375" t="s">
        <v>15</v>
      </c>
      <c r="G375" t="s">
        <v>16</v>
      </c>
      <c r="H375" t="s">
        <v>5140</v>
      </c>
      <c r="I375" t="s">
        <v>5141</v>
      </c>
      <c r="J375">
        <v>128993</v>
      </c>
      <c r="K375" t="s">
        <v>867</v>
      </c>
      <c r="L375" t="s">
        <v>82</v>
      </c>
      <c r="M375" t="s">
        <v>19</v>
      </c>
      <c r="N375">
        <v>45424</v>
      </c>
      <c r="O375">
        <v>1295</v>
      </c>
      <c r="P375" t="s">
        <v>20</v>
      </c>
      <c r="Q375">
        <v>2</v>
      </c>
      <c r="R375" t="s">
        <v>5116</v>
      </c>
      <c r="S375" t="s">
        <v>53</v>
      </c>
      <c r="T375" t="s">
        <v>29</v>
      </c>
    </row>
    <row r="376" spans="1:20" x14ac:dyDescent="0.3">
      <c r="A376" t="s">
        <v>868</v>
      </c>
      <c r="B376" t="s">
        <v>218</v>
      </c>
      <c r="C376" t="s">
        <v>56</v>
      </c>
      <c r="D376" t="s">
        <v>104</v>
      </c>
      <c r="E376" t="s">
        <v>5126</v>
      </c>
      <c r="F376" t="s">
        <v>5125</v>
      </c>
      <c r="G376" t="s">
        <v>50</v>
      </c>
      <c r="H376" t="s">
        <v>5136</v>
      </c>
      <c r="I376" t="s">
        <v>5137</v>
      </c>
      <c r="J376">
        <v>97130</v>
      </c>
      <c r="K376" t="s">
        <v>869</v>
      </c>
      <c r="L376" t="s">
        <v>142</v>
      </c>
      <c r="M376" t="s">
        <v>72</v>
      </c>
      <c r="N376">
        <v>45662</v>
      </c>
      <c r="O376">
        <v>1041</v>
      </c>
      <c r="P376" t="s">
        <v>20</v>
      </c>
      <c r="Q376">
        <v>0</v>
      </c>
      <c r="R376" t="s">
        <v>5116</v>
      </c>
      <c r="S376" t="s">
        <v>21</v>
      </c>
      <c r="T376" t="s">
        <v>29</v>
      </c>
    </row>
    <row r="377" spans="1:20" x14ac:dyDescent="0.3">
      <c r="A377" t="s">
        <v>870</v>
      </c>
      <c r="B377" t="s">
        <v>229</v>
      </c>
      <c r="C377" t="s">
        <v>139</v>
      </c>
      <c r="D377" t="s">
        <v>140</v>
      </c>
      <c r="E377" t="s">
        <v>193</v>
      </c>
      <c r="F377" t="s">
        <v>194</v>
      </c>
      <c r="G377" t="s">
        <v>36</v>
      </c>
      <c r="H377" t="s">
        <v>5142</v>
      </c>
      <c r="I377" t="s">
        <v>5143</v>
      </c>
      <c r="J377">
        <v>129281</v>
      </c>
      <c r="K377" t="s">
        <v>871</v>
      </c>
      <c r="L377" t="s">
        <v>113</v>
      </c>
      <c r="M377" t="s">
        <v>19</v>
      </c>
      <c r="N377">
        <v>45704</v>
      </c>
      <c r="O377">
        <v>2018</v>
      </c>
      <c r="P377" t="s">
        <v>20</v>
      </c>
      <c r="Q377">
        <v>4</v>
      </c>
      <c r="R377" t="s">
        <v>5116</v>
      </c>
      <c r="S377" t="s">
        <v>21</v>
      </c>
      <c r="T377" t="s">
        <v>29</v>
      </c>
    </row>
    <row r="378" spans="1:20" x14ac:dyDescent="0.3">
      <c r="A378" t="s">
        <v>872</v>
      </c>
      <c r="B378" t="s">
        <v>84</v>
      </c>
      <c r="C378" t="s">
        <v>175</v>
      </c>
      <c r="D378" t="s">
        <v>33</v>
      </c>
      <c r="E378" t="s">
        <v>58</v>
      </c>
      <c r="F378" t="s">
        <v>59</v>
      </c>
      <c r="G378" t="s">
        <v>16</v>
      </c>
      <c r="H378" t="s">
        <v>5142</v>
      </c>
      <c r="I378" t="s">
        <v>5143</v>
      </c>
      <c r="J378">
        <v>173552</v>
      </c>
      <c r="K378" t="s">
        <v>873</v>
      </c>
      <c r="L378" t="s">
        <v>179</v>
      </c>
      <c r="M378" t="s">
        <v>19</v>
      </c>
      <c r="N378">
        <v>45658</v>
      </c>
      <c r="O378">
        <v>1276</v>
      </c>
      <c r="P378" t="s">
        <v>20</v>
      </c>
      <c r="Q378">
        <v>4</v>
      </c>
      <c r="R378" t="s">
        <v>40</v>
      </c>
      <c r="S378" t="s">
        <v>53</v>
      </c>
      <c r="T378" t="s">
        <v>20</v>
      </c>
    </row>
    <row r="379" spans="1:20" x14ac:dyDescent="0.3">
      <c r="A379" t="s">
        <v>874</v>
      </c>
      <c r="B379" t="s">
        <v>23</v>
      </c>
      <c r="C379" t="s">
        <v>232</v>
      </c>
      <c r="D379" t="s">
        <v>57</v>
      </c>
      <c r="E379" t="s">
        <v>34</v>
      </c>
      <c r="F379" t="s">
        <v>35</v>
      </c>
      <c r="G379" t="s">
        <v>16</v>
      </c>
      <c r="H379" t="s">
        <v>5140</v>
      </c>
      <c r="I379" t="s">
        <v>5141</v>
      </c>
      <c r="J379">
        <v>113630</v>
      </c>
      <c r="K379" t="s">
        <v>875</v>
      </c>
      <c r="L379" t="s">
        <v>61</v>
      </c>
      <c r="M379" t="s">
        <v>46</v>
      </c>
      <c r="N379">
        <v>45493</v>
      </c>
      <c r="O379">
        <v>3243</v>
      </c>
      <c r="P379" t="s">
        <v>29</v>
      </c>
      <c r="Q379">
        <v>2</v>
      </c>
      <c r="R379" t="s">
        <v>5116</v>
      </c>
      <c r="S379" t="s">
        <v>53</v>
      </c>
      <c r="T379" t="s">
        <v>20</v>
      </c>
    </row>
    <row r="380" spans="1:20" x14ac:dyDescent="0.3">
      <c r="A380" t="s">
        <v>876</v>
      </c>
      <c r="B380" t="s">
        <v>89</v>
      </c>
      <c r="C380" t="s">
        <v>219</v>
      </c>
      <c r="D380" t="s">
        <v>140</v>
      </c>
      <c r="E380" t="s">
        <v>5124</v>
      </c>
      <c r="F380" t="s">
        <v>5125</v>
      </c>
      <c r="G380" t="s">
        <v>36</v>
      </c>
      <c r="H380" t="s">
        <v>5138</v>
      </c>
      <c r="I380" t="s">
        <v>5139</v>
      </c>
      <c r="J380">
        <v>278832</v>
      </c>
      <c r="K380" t="s">
        <v>877</v>
      </c>
      <c r="L380" t="s">
        <v>142</v>
      </c>
      <c r="M380" t="s">
        <v>46</v>
      </c>
      <c r="N380">
        <v>45740</v>
      </c>
      <c r="O380">
        <v>1866</v>
      </c>
      <c r="P380" t="s">
        <v>20</v>
      </c>
      <c r="Q380">
        <v>6</v>
      </c>
      <c r="R380" t="s">
        <v>5116</v>
      </c>
      <c r="S380" t="s">
        <v>21</v>
      </c>
      <c r="T380" t="s">
        <v>29</v>
      </c>
    </row>
    <row r="381" spans="1:20" x14ac:dyDescent="0.3">
      <c r="A381" t="s">
        <v>878</v>
      </c>
      <c r="B381" t="s">
        <v>165</v>
      </c>
      <c r="C381" t="s">
        <v>121</v>
      </c>
      <c r="D381" t="s">
        <v>104</v>
      </c>
      <c r="E381" t="s">
        <v>5132</v>
      </c>
      <c r="F381" t="s">
        <v>5125</v>
      </c>
      <c r="G381" t="s">
        <v>16</v>
      </c>
      <c r="H381" t="s">
        <v>5140</v>
      </c>
      <c r="I381" t="s">
        <v>5141</v>
      </c>
      <c r="J381">
        <v>93995</v>
      </c>
      <c r="K381" t="s">
        <v>879</v>
      </c>
      <c r="L381" t="s">
        <v>61</v>
      </c>
      <c r="M381" t="s">
        <v>46</v>
      </c>
      <c r="N381">
        <v>45613</v>
      </c>
      <c r="O381">
        <v>1859</v>
      </c>
      <c r="P381" t="s">
        <v>20</v>
      </c>
      <c r="Q381">
        <v>2</v>
      </c>
      <c r="R381" t="s">
        <v>47</v>
      </c>
      <c r="S381" t="s">
        <v>21</v>
      </c>
      <c r="T381" t="s">
        <v>20</v>
      </c>
    </row>
    <row r="382" spans="1:20" x14ac:dyDescent="0.3">
      <c r="A382" t="s">
        <v>880</v>
      </c>
      <c r="B382" t="s">
        <v>229</v>
      </c>
      <c r="C382" t="s">
        <v>232</v>
      </c>
      <c r="D382" t="s">
        <v>68</v>
      </c>
      <c r="E382" t="s">
        <v>80</v>
      </c>
      <c r="F382" t="s">
        <v>80</v>
      </c>
      <c r="G382" t="s">
        <v>16</v>
      </c>
      <c r="H382" t="s">
        <v>5142</v>
      </c>
      <c r="I382" t="s">
        <v>5143</v>
      </c>
      <c r="J382">
        <v>127327</v>
      </c>
      <c r="K382" t="s">
        <v>881</v>
      </c>
      <c r="L382" t="s">
        <v>179</v>
      </c>
      <c r="M382" t="s">
        <v>46</v>
      </c>
      <c r="N382">
        <v>45480</v>
      </c>
      <c r="O382">
        <v>3724</v>
      </c>
      <c r="P382" t="s">
        <v>29</v>
      </c>
      <c r="Q382">
        <v>4</v>
      </c>
      <c r="R382" t="s">
        <v>52</v>
      </c>
      <c r="S382" t="s">
        <v>21</v>
      </c>
      <c r="T382" t="s">
        <v>20</v>
      </c>
    </row>
    <row r="383" spans="1:20" x14ac:dyDescent="0.3">
      <c r="A383" t="s">
        <v>882</v>
      </c>
      <c r="B383" t="s">
        <v>215</v>
      </c>
      <c r="C383" t="s">
        <v>13</v>
      </c>
      <c r="D383" t="s">
        <v>57</v>
      </c>
      <c r="E383" t="s">
        <v>5126</v>
      </c>
      <c r="F383" t="s">
        <v>5125</v>
      </c>
      <c r="G383" t="s">
        <v>36</v>
      </c>
      <c r="H383" t="s">
        <v>5136</v>
      </c>
      <c r="I383" t="s">
        <v>5137</v>
      </c>
      <c r="J383">
        <v>62447</v>
      </c>
      <c r="K383" t="s">
        <v>883</v>
      </c>
      <c r="L383" t="s">
        <v>87</v>
      </c>
      <c r="M383" t="s">
        <v>39</v>
      </c>
      <c r="N383">
        <v>45599</v>
      </c>
      <c r="O383">
        <v>495</v>
      </c>
      <c r="P383" t="s">
        <v>29</v>
      </c>
      <c r="Q383">
        <v>0</v>
      </c>
      <c r="R383" t="s">
        <v>47</v>
      </c>
      <c r="S383" t="s">
        <v>21</v>
      </c>
      <c r="T383" t="s">
        <v>20</v>
      </c>
    </row>
    <row r="384" spans="1:20" x14ac:dyDescent="0.3">
      <c r="A384" t="s">
        <v>884</v>
      </c>
      <c r="B384" t="s">
        <v>31</v>
      </c>
      <c r="C384" t="s">
        <v>197</v>
      </c>
      <c r="D384" t="s">
        <v>140</v>
      </c>
      <c r="E384" t="s">
        <v>152</v>
      </c>
      <c r="F384" t="s">
        <v>153</v>
      </c>
      <c r="G384" t="s">
        <v>16</v>
      </c>
      <c r="H384" t="s">
        <v>5142</v>
      </c>
      <c r="I384" t="s">
        <v>5143</v>
      </c>
      <c r="J384">
        <v>92654</v>
      </c>
      <c r="K384" t="s">
        <v>885</v>
      </c>
      <c r="L384" t="s">
        <v>5165</v>
      </c>
      <c r="M384" t="s">
        <v>19</v>
      </c>
      <c r="N384">
        <v>45512</v>
      </c>
      <c r="O384">
        <v>127</v>
      </c>
      <c r="P384" t="s">
        <v>20</v>
      </c>
      <c r="Q384">
        <v>4</v>
      </c>
      <c r="R384" t="s">
        <v>40</v>
      </c>
      <c r="S384" t="s">
        <v>21</v>
      </c>
      <c r="T384" t="s">
        <v>20</v>
      </c>
    </row>
    <row r="385" spans="1:20" x14ac:dyDescent="0.3">
      <c r="A385" t="s">
        <v>886</v>
      </c>
      <c r="B385" t="s">
        <v>84</v>
      </c>
      <c r="C385" t="s">
        <v>175</v>
      </c>
      <c r="D385" t="s">
        <v>140</v>
      </c>
      <c r="E385" t="s">
        <v>193</v>
      </c>
      <c r="F385" t="s">
        <v>194</v>
      </c>
      <c r="G385" t="s">
        <v>36</v>
      </c>
      <c r="H385" t="s">
        <v>5142</v>
      </c>
      <c r="I385" t="s">
        <v>5143</v>
      </c>
      <c r="J385">
        <v>135804</v>
      </c>
      <c r="K385" t="s">
        <v>887</v>
      </c>
      <c r="L385" t="s">
        <v>5165</v>
      </c>
      <c r="M385" t="s">
        <v>46</v>
      </c>
      <c r="N385">
        <v>45526</v>
      </c>
      <c r="O385">
        <v>2911</v>
      </c>
      <c r="P385" t="s">
        <v>20</v>
      </c>
      <c r="Q385">
        <v>4</v>
      </c>
      <c r="R385" t="s">
        <v>76</v>
      </c>
      <c r="S385" t="s">
        <v>21</v>
      </c>
      <c r="T385" t="s">
        <v>29</v>
      </c>
    </row>
    <row r="386" spans="1:20" x14ac:dyDescent="0.3">
      <c r="A386" t="s">
        <v>888</v>
      </c>
      <c r="B386" t="s">
        <v>222</v>
      </c>
      <c r="C386" t="s">
        <v>117</v>
      </c>
      <c r="D386" t="s">
        <v>25</v>
      </c>
      <c r="E386" t="s">
        <v>5124</v>
      </c>
      <c r="F386" t="s">
        <v>5125</v>
      </c>
      <c r="G386" t="s">
        <v>50</v>
      </c>
      <c r="H386" t="s">
        <v>5136</v>
      </c>
      <c r="I386" t="s">
        <v>5137</v>
      </c>
      <c r="J386">
        <v>60434</v>
      </c>
      <c r="K386" t="s">
        <v>889</v>
      </c>
      <c r="L386" t="s">
        <v>5165</v>
      </c>
      <c r="M386" t="s">
        <v>46</v>
      </c>
      <c r="N386">
        <v>45533</v>
      </c>
      <c r="O386">
        <v>1249</v>
      </c>
      <c r="P386" t="s">
        <v>92</v>
      </c>
      <c r="Q386">
        <v>0</v>
      </c>
      <c r="R386" t="s">
        <v>40</v>
      </c>
      <c r="S386" t="s">
        <v>21</v>
      </c>
      <c r="T386" t="s">
        <v>20</v>
      </c>
    </row>
    <row r="387" spans="1:20" x14ac:dyDescent="0.3">
      <c r="A387" t="s">
        <v>890</v>
      </c>
      <c r="B387" t="s">
        <v>222</v>
      </c>
      <c r="C387" t="s">
        <v>13</v>
      </c>
      <c r="D387" t="s">
        <v>118</v>
      </c>
      <c r="E387" t="s">
        <v>14</v>
      </c>
      <c r="F387" t="s">
        <v>15</v>
      </c>
      <c r="G387" t="s">
        <v>16</v>
      </c>
      <c r="H387" t="s">
        <v>5140</v>
      </c>
      <c r="I387" t="s">
        <v>5141</v>
      </c>
      <c r="J387">
        <v>112977</v>
      </c>
      <c r="K387" t="s">
        <v>891</v>
      </c>
      <c r="L387" t="s">
        <v>5165</v>
      </c>
      <c r="M387" t="s">
        <v>19</v>
      </c>
      <c r="N387">
        <v>45544</v>
      </c>
      <c r="O387">
        <v>190</v>
      </c>
      <c r="P387" t="s">
        <v>92</v>
      </c>
      <c r="Q387">
        <v>2</v>
      </c>
      <c r="R387" t="s">
        <v>52</v>
      </c>
      <c r="S387" t="s">
        <v>53</v>
      </c>
      <c r="T387" t="s">
        <v>20</v>
      </c>
    </row>
    <row r="388" spans="1:20" x14ac:dyDescent="0.3">
      <c r="A388" t="s">
        <v>892</v>
      </c>
      <c r="B388" t="s">
        <v>218</v>
      </c>
      <c r="C388" t="s">
        <v>64</v>
      </c>
      <c r="D388" t="s">
        <v>118</v>
      </c>
      <c r="E388" t="s">
        <v>223</v>
      </c>
      <c r="F388" t="s">
        <v>224</v>
      </c>
      <c r="G388" t="s">
        <v>50</v>
      </c>
      <c r="H388" t="s">
        <v>5138</v>
      </c>
      <c r="I388" t="s">
        <v>5139</v>
      </c>
      <c r="J388">
        <v>212303</v>
      </c>
      <c r="K388" t="s">
        <v>893</v>
      </c>
      <c r="L388" t="s">
        <v>82</v>
      </c>
      <c r="M388" t="s">
        <v>46</v>
      </c>
      <c r="N388">
        <v>45426</v>
      </c>
      <c r="O388">
        <v>227</v>
      </c>
      <c r="P388" t="s">
        <v>29</v>
      </c>
      <c r="Q388">
        <v>6</v>
      </c>
      <c r="R388" t="s">
        <v>5116</v>
      </c>
      <c r="S388" t="s">
        <v>21</v>
      </c>
      <c r="T388" t="s">
        <v>29</v>
      </c>
    </row>
    <row r="389" spans="1:20" x14ac:dyDescent="0.3">
      <c r="A389" t="s">
        <v>894</v>
      </c>
      <c r="B389" t="s">
        <v>31</v>
      </c>
      <c r="C389" t="s">
        <v>185</v>
      </c>
      <c r="D389" t="s">
        <v>44</v>
      </c>
      <c r="E389" t="s">
        <v>34</v>
      </c>
      <c r="F389" t="s">
        <v>35</v>
      </c>
      <c r="G389" t="s">
        <v>16</v>
      </c>
      <c r="H389" t="s">
        <v>5140</v>
      </c>
      <c r="I389" t="s">
        <v>5141</v>
      </c>
      <c r="J389">
        <v>147148</v>
      </c>
      <c r="K389" t="s">
        <v>895</v>
      </c>
      <c r="L389" t="s">
        <v>82</v>
      </c>
      <c r="M389" t="s">
        <v>39</v>
      </c>
      <c r="N389">
        <v>45545</v>
      </c>
      <c r="O389">
        <v>516</v>
      </c>
      <c r="P389" t="s">
        <v>20</v>
      </c>
      <c r="Q389">
        <v>2</v>
      </c>
      <c r="R389" t="s">
        <v>47</v>
      </c>
      <c r="S389" t="s">
        <v>53</v>
      </c>
      <c r="T389" t="s">
        <v>29</v>
      </c>
    </row>
    <row r="390" spans="1:20" x14ac:dyDescent="0.3">
      <c r="A390" t="s">
        <v>896</v>
      </c>
      <c r="B390" t="s">
        <v>215</v>
      </c>
      <c r="C390" t="s">
        <v>232</v>
      </c>
      <c r="D390" t="s">
        <v>44</v>
      </c>
      <c r="E390" t="s">
        <v>193</v>
      </c>
      <c r="F390" t="s">
        <v>194</v>
      </c>
      <c r="G390" t="s">
        <v>50</v>
      </c>
      <c r="H390" t="s">
        <v>5142</v>
      </c>
      <c r="I390" t="s">
        <v>5143</v>
      </c>
      <c r="J390">
        <v>175661</v>
      </c>
      <c r="K390" t="s">
        <v>897</v>
      </c>
      <c r="L390" t="s">
        <v>134</v>
      </c>
      <c r="M390" t="s">
        <v>19</v>
      </c>
      <c r="N390">
        <v>45591</v>
      </c>
      <c r="O390">
        <v>2782</v>
      </c>
      <c r="P390" t="s">
        <v>29</v>
      </c>
      <c r="Q390">
        <v>4</v>
      </c>
      <c r="R390" t="s">
        <v>40</v>
      </c>
      <c r="S390" t="s">
        <v>21</v>
      </c>
      <c r="T390" t="s">
        <v>20</v>
      </c>
    </row>
    <row r="391" spans="1:20" x14ac:dyDescent="0.3">
      <c r="A391" t="s">
        <v>898</v>
      </c>
      <c r="B391" t="s">
        <v>12</v>
      </c>
      <c r="C391" t="s">
        <v>185</v>
      </c>
      <c r="D391" t="s">
        <v>57</v>
      </c>
      <c r="E391" t="s">
        <v>5133</v>
      </c>
      <c r="F391" t="s">
        <v>5125</v>
      </c>
      <c r="G391" t="s">
        <v>36</v>
      </c>
      <c r="H391" t="s">
        <v>5138</v>
      </c>
      <c r="I391" t="s">
        <v>5139</v>
      </c>
      <c r="J391">
        <v>179231</v>
      </c>
      <c r="K391" t="s">
        <v>899</v>
      </c>
      <c r="L391" t="s">
        <v>5165</v>
      </c>
      <c r="M391" t="s">
        <v>46</v>
      </c>
      <c r="N391">
        <v>45346</v>
      </c>
      <c r="O391">
        <v>2443</v>
      </c>
      <c r="P391" t="s">
        <v>20</v>
      </c>
      <c r="Q391">
        <v>6</v>
      </c>
      <c r="R391" t="s">
        <v>40</v>
      </c>
      <c r="S391" t="s">
        <v>41</v>
      </c>
      <c r="T391" t="s">
        <v>20</v>
      </c>
    </row>
    <row r="392" spans="1:20" x14ac:dyDescent="0.3">
      <c r="A392" t="s">
        <v>900</v>
      </c>
      <c r="B392" t="s">
        <v>165</v>
      </c>
      <c r="C392" t="s">
        <v>100</v>
      </c>
      <c r="D392" t="s">
        <v>44</v>
      </c>
      <c r="E392" t="s">
        <v>193</v>
      </c>
      <c r="F392" t="s">
        <v>194</v>
      </c>
      <c r="G392" t="s">
        <v>16</v>
      </c>
      <c r="H392" t="s">
        <v>5142</v>
      </c>
      <c r="I392" t="s">
        <v>5143</v>
      </c>
      <c r="J392">
        <v>125742</v>
      </c>
      <c r="K392" t="s">
        <v>901</v>
      </c>
      <c r="L392" t="s">
        <v>179</v>
      </c>
      <c r="M392" t="s">
        <v>46</v>
      </c>
      <c r="N392">
        <v>45733</v>
      </c>
      <c r="O392">
        <v>389</v>
      </c>
      <c r="P392" t="s">
        <v>20</v>
      </c>
      <c r="Q392">
        <v>4</v>
      </c>
      <c r="R392" t="s">
        <v>47</v>
      </c>
      <c r="S392" t="s">
        <v>21</v>
      </c>
      <c r="T392" t="s">
        <v>20</v>
      </c>
    </row>
    <row r="393" spans="1:20" x14ac:dyDescent="0.3">
      <c r="A393" t="s">
        <v>902</v>
      </c>
      <c r="B393" t="s">
        <v>130</v>
      </c>
      <c r="C393" t="s">
        <v>185</v>
      </c>
      <c r="D393" t="s">
        <v>140</v>
      </c>
      <c r="E393" t="s">
        <v>5132</v>
      </c>
      <c r="F393" t="s">
        <v>5125</v>
      </c>
      <c r="G393" t="s">
        <v>50</v>
      </c>
      <c r="H393" t="s">
        <v>5136</v>
      </c>
      <c r="I393" t="s">
        <v>5137</v>
      </c>
      <c r="J393">
        <v>76198</v>
      </c>
      <c r="K393" t="s">
        <v>903</v>
      </c>
      <c r="L393" t="s">
        <v>113</v>
      </c>
      <c r="M393" t="s">
        <v>39</v>
      </c>
      <c r="N393">
        <v>45375</v>
      </c>
      <c r="O393">
        <v>3711</v>
      </c>
      <c r="P393" t="s">
        <v>20</v>
      </c>
      <c r="Q393">
        <v>0</v>
      </c>
      <c r="R393" t="s">
        <v>47</v>
      </c>
      <c r="S393" t="s">
        <v>21</v>
      </c>
      <c r="T393" t="s">
        <v>29</v>
      </c>
    </row>
    <row r="394" spans="1:20" x14ac:dyDescent="0.3">
      <c r="A394" t="s">
        <v>904</v>
      </c>
      <c r="B394" t="s">
        <v>218</v>
      </c>
      <c r="C394" t="s">
        <v>188</v>
      </c>
      <c r="D394" t="s">
        <v>118</v>
      </c>
      <c r="E394" t="s">
        <v>152</v>
      </c>
      <c r="F394" t="s">
        <v>153</v>
      </c>
      <c r="G394" t="s">
        <v>16</v>
      </c>
      <c r="H394" t="s">
        <v>5140</v>
      </c>
      <c r="I394" t="s">
        <v>5141</v>
      </c>
      <c r="J394">
        <v>83859</v>
      </c>
      <c r="K394" t="s">
        <v>905</v>
      </c>
      <c r="L394" t="s">
        <v>5165</v>
      </c>
      <c r="M394" t="s">
        <v>46</v>
      </c>
      <c r="N394">
        <v>45490</v>
      </c>
      <c r="O394">
        <v>390</v>
      </c>
      <c r="P394" t="s">
        <v>29</v>
      </c>
      <c r="Q394">
        <v>2</v>
      </c>
      <c r="R394" t="s">
        <v>40</v>
      </c>
      <c r="S394" t="s">
        <v>41</v>
      </c>
      <c r="T394" t="s">
        <v>20</v>
      </c>
    </row>
    <row r="395" spans="1:20" x14ac:dyDescent="0.3">
      <c r="A395" t="s">
        <v>906</v>
      </c>
      <c r="B395" t="s">
        <v>55</v>
      </c>
      <c r="C395" t="s">
        <v>172</v>
      </c>
      <c r="D395" t="s">
        <v>118</v>
      </c>
      <c r="E395" t="s">
        <v>69</v>
      </c>
      <c r="F395" t="s">
        <v>70</v>
      </c>
      <c r="G395" t="s">
        <v>36</v>
      </c>
      <c r="H395" t="s">
        <v>5138</v>
      </c>
      <c r="I395" t="s">
        <v>5139</v>
      </c>
      <c r="J395">
        <v>265932</v>
      </c>
      <c r="K395" t="s">
        <v>907</v>
      </c>
      <c r="L395" t="s">
        <v>82</v>
      </c>
      <c r="M395" t="s">
        <v>72</v>
      </c>
      <c r="N395">
        <v>45560</v>
      </c>
      <c r="O395">
        <v>3456</v>
      </c>
      <c r="P395" t="s">
        <v>29</v>
      </c>
      <c r="Q395">
        <v>6</v>
      </c>
      <c r="R395" t="s">
        <v>52</v>
      </c>
      <c r="S395" t="s">
        <v>21</v>
      </c>
      <c r="T395" t="s">
        <v>29</v>
      </c>
    </row>
    <row r="396" spans="1:20" x14ac:dyDescent="0.3">
      <c r="A396" t="s">
        <v>908</v>
      </c>
      <c r="B396" t="s">
        <v>63</v>
      </c>
      <c r="C396" t="s">
        <v>103</v>
      </c>
      <c r="D396" t="s">
        <v>68</v>
      </c>
      <c r="E396" t="s">
        <v>69</v>
      </c>
      <c r="F396" t="s">
        <v>70</v>
      </c>
      <c r="G396" t="s">
        <v>16</v>
      </c>
      <c r="H396" t="s">
        <v>5136</v>
      </c>
      <c r="I396" t="s">
        <v>5137</v>
      </c>
      <c r="J396">
        <v>84860</v>
      </c>
      <c r="K396" t="s">
        <v>909</v>
      </c>
      <c r="L396" t="s">
        <v>18</v>
      </c>
      <c r="M396" t="s">
        <v>19</v>
      </c>
      <c r="N396">
        <v>45509</v>
      </c>
      <c r="O396">
        <v>745</v>
      </c>
      <c r="P396" t="s">
        <v>20</v>
      </c>
      <c r="Q396">
        <v>0</v>
      </c>
      <c r="R396" t="s">
        <v>52</v>
      </c>
      <c r="S396" t="s">
        <v>21</v>
      </c>
      <c r="T396" t="s">
        <v>29</v>
      </c>
    </row>
    <row r="397" spans="1:20" x14ac:dyDescent="0.3">
      <c r="A397" t="s">
        <v>910</v>
      </c>
      <c r="B397" t="s">
        <v>74</v>
      </c>
      <c r="C397" t="s">
        <v>166</v>
      </c>
      <c r="D397" t="s">
        <v>44</v>
      </c>
      <c r="E397" t="s">
        <v>193</v>
      </c>
      <c r="F397" t="s">
        <v>194</v>
      </c>
      <c r="G397" t="s">
        <v>36</v>
      </c>
      <c r="H397" t="s">
        <v>5142</v>
      </c>
      <c r="I397" t="s">
        <v>5143</v>
      </c>
      <c r="J397">
        <v>137332</v>
      </c>
      <c r="K397" t="s">
        <v>911</v>
      </c>
      <c r="L397" t="s">
        <v>18</v>
      </c>
      <c r="M397" t="s">
        <v>46</v>
      </c>
      <c r="N397">
        <v>45679</v>
      </c>
      <c r="O397">
        <v>33</v>
      </c>
      <c r="P397" t="s">
        <v>20</v>
      </c>
      <c r="Q397">
        <v>4</v>
      </c>
      <c r="R397" t="s">
        <v>5116</v>
      </c>
      <c r="S397" t="s">
        <v>21</v>
      </c>
      <c r="T397" t="s">
        <v>20</v>
      </c>
    </row>
    <row r="398" spans="1:20" x14ac:dyDescent="0.3">
      <c r="A398" t="s">
        <v>912</v>
      </c>
      <c r="B398" t="s">
        <v>130</v>
      </c>
      <c r="C398" t="s">
        <v>117</v>
      </c>
      <c r="D398" t="s">
        <v>33</v>
      </c>
      <c r="E398" t="s">
        <v>223</v>
      </c>
      <c r="F398" t="s">
        <v>224</v>
      </c>
      <c r="G398" t="s">
        <v>36</v>
      </c>
      <c r="H398" t="s">
        <v>5138</v>
      </c>
      <c r="I398" t="s">
        <v>5139</v>
      </c>
      <c r="J398">
        <v>138327</v>
      </c>
      <c r="K398" t="s">
        <v>913</v>
      </c>
      <c r="L398" t="s">
        <v>61</v>
      </c>
      <c r="M398" t="s">
        <v>19</v>
      </c>
      <c r="N398">
        <v>45607</v>
      </c>
      <c r="O398">
        <v>2860</v>
      </c>
      <c r="P398" t="s">
        <v>92</v>
      </c>
      <c r="Q398">
        <v>6</v>
      </c>
      <c r="R398" t="s">
        <v>5116</v>
      </c>
      <c r="S398" t="s">
        <v>21</v>
      </c>
      <c r="T398" t="s">
        <v>20</v>
      </c>
    </row>
    <row r="399" spans="1:20" x14ac:dyDescent="0.3">
      <c r="A399" t="s">
        <v>914</v>
      </c>
      <c r="B399" t="s">
        <v>84</v>
      </c>
      <c r="C399" t="s">
        <v>100</v>
      </c>
      <c r="D399" t="s">
        <v>57</v>
      </c>
      <c r="E399" t="s">
        <v>126</v>
      </c>
      <c r="F399" t="s">
        <v>127</v>
      </c>
      <c r="G399" t="s">
        <v>16</v>
      </c>
      <c r="H399" t="s">
        <v>5138</v>
      </c>
      <c r="I399" t="s">
        <v>5139</v>
      </c>
      <c r="J399">
        <v>248739</v>
      </c>
      <c r="K399" t="s">
        <v>915</v>
      </c>
      <c r="L399" t="s">
        <v>5165</v>
      </c>
      <c r="M399" t="s">
        <v>72</v>
      </c>
      <c r="N399">
        <v>45446</v>
      </c>
      <c r="O399">
        <v>90</v>
      </c>
      <c r="P399" t="s">
        <v>92</v>
      </c>
      <c r="Q399">
        <v>6</v>
      </c>
      <c r="R399" t="s">
        <v>76</v>
      </c>
      <c r="S399" t="s">
        <v>21</v>
      </c>
      <c r="T399" t="s">
        <v>29</v>
      </c>
    </row>
    <row r="400" spans="1:20" x14ac:dyDescent="0.3">
      <c r="A400" t="s">
        <v>916</v>
      </c>
      <c r="B400" t="s">
        <v>130</v>
      </c>
      <c r="C400" t="s">
        <v>172</v>
      </c>
      <c r="D400" t="s">
        <v>5156</v>
      </c>
      <c r="E400" t="s">
        <v>5124</v>
      </c>
      <c r="F400" t="s">
        <v>5125</v>
      </c>
      <c r="G400" t="s">
        <v>16</v>
      </c>
      <c r="H400" t="s">
        <v>5136</v>
      </c>
      <c r="I400" t="s">
        <v>5137</v>
      </c>
      <c r="J400">
        <v>68556</v>
      </c>
      <c r="K400" t="s">
        <v>917</v>
      </c>
      <c r="L400" t="s">
        <v>5165</v>
      </c>
      <c r="M400" t="s">
        <v>46</v>
      </c>
      <c r="N400">
        <v>45614</v>
      </c>
      <c r="O400">
        <v>2112</v>
      </c>
      <c r="P400" t="s">
        <v>20</v>
      </c>
      <c r="Q400">
        <v>0</v>
      </c>
      <c r="R400" t="s">
        <v>76</v>
      </c>
      <c r="S400" t="s">
        <v>41</v>
      </c>
      <c r="T400" t="s">
        <v>20</v>
      </c>
    </row>
    <row r="401" spans="1:20" x14ac:dyDescent="0.3">
      <c r="A401" t="s">
        <v>918</v>
      </c>
      <c r="B401" t="s">
        <v>89</v>
      </c>
      <c r="C401" t="s">
        <v>90</v>
      </c>
      <c r="D401" t="s">
        <v>167</v>
      </c>
      <c r="E401" t="s">
        <v>5127</v>
      </c>
      <c r="F401" t="s">
        <v>5125</v>
      </c>
      <c r="G401" t="s">
        <v>36</v>
      </c>
      <c r="H401" t="s">
        <v>5140</v>
      </c>
      <c r="I401" t="s">
        <v>5141</v>
      </c>
      <c r="J401">
        <v>134508</v>
      </c>
      <c r="K401" t="s">
        <v>919</v>
      </c>
      <c r="L401" t="s">
        <v>18</v>
      </c>
      <c r="M401" t="s">
        <v>46</v>
      </c>
      <c r="N401">
        <v>45508</v>
      </c>
      <c r="O401">
        <v>95</v>
      </c>
      <c r="P401" t="s">
        <v>29</v>
      </c>
      <c r="Q401">
        <v>2</v>
      </c>
      <c r="R401" t="s">
        <v>47</v>
      </c>
      <c r="S401" t="s">
        <v>21</v>
      </c>
      <c r="T401" t="s">
        <v>29</v>
      </c>
    </row>
    <row r="402" spans="1:20" x14ac:dyDescent="0.3">
      <c r="A402" t="s">
        <v>920</v>
      </c>
      <c r="B402" t="s">
        <v>124</v>
      </c>
      <c r="C402" t="s">
        <v>49</v>
      </c>
      <c r="D402" t="s">
        <v>140</v>
      </c>
      <c r="E402" t="s">
        <v>193</v>
      </c>
      <c r="F402" t="s">
        <v>194</v>
      </c>
      <c r="G402" t="s">
        <v>50</v>
      </c>
      <c r="H402" t="s">
        <v>5140</v>
      </c>
      <c r="I402" t="s">
        <v>5141</v>
      </c>
      <c r="J402">
        <v>78430</v>
      </c>
      <c r="K402" t="s">
        <v>921</v>
      </c>
      <c r="L402" t="s">
        <v>5165</v>
      </c>
      <c r="M402" t="s">
        <v>39</v>
      </c>
      <c r="N402">
        <v>45465</v>
      </c>
      <c r="O402">
        <v>3270</v>
      </c>
      <c r="P402" t="s">
        <v>20</v>
      </c>
      <c r="Q402">
        <v>2</v>
      </c>
      <c r="R402" t="s">
        <v>47</v>
      </c>
      <c r="S402" t="s">
        <v>21</v>
      </c>
      <c r="T402" t="s">
        <v>29</v>
      </c>
    </row>
    <row r="403" spans="1:20" x14ac:dyDescent="0.3">
      <c r="A403" t="s">
        <v>922</v>
      </c>
      <c r="B403" t="s">
        <v>63</v>
      </c>
      <c r="C403" t="s">
        <v>117</v>
      </c>
      <c r="D403" t="s">
        <v>167</v>
      </c>
      <c r="E403" t="s">
        <v>58</v>
      </c>
      <c r="F403" t="s">
        <v>59</v>
      </c>
      <c r="G403" t="s">
        <v>16</v>
      </c>
      <c r="H403" t="s">
        <v>5138</v>
      </c>
      <c r="I403" t="s">
        <v>5139</v>
      </c>
      <c r="J403">
        <v>178422</v>
      </c>
      <c r="K403" t="s">
        <v>923</v>
      </c>
      <c r="L403" t="s">
        <v>179</v>
      </c>
      <c r="M403" t="s">
        <v>39</v>
      </c>
      <c r="N403">
        <v>45372</v>
      </c>
      <c r="O403">
        <v>2782</v>
      </c>
      <c r="P403" t="s">
        <v>29</v>
      </c>
      <c r="Q403">
        <v>6</v>
      </c>
      <c r="R403" t="s">
        <v>76</v>
      </c>
      <c r="S403" t="s">
        <v>21</v>
      </c>
      <c r="T403" t="s">
        <v>29</v>
      </c>
    </row>
    <row r="404" spans="1:20" x14ac:dyDescent="0.3">
      <c r="A404" t="s">
        <v>924</v>
      </c>
      <c r="B404" t="s">
        <v>322</v>
      </c>
      <c r="C404" t="s">
        <v>64</v>
      </c>
      <c r="D404" t="s">
        <v>68</v>
      </c>
      <c r="E404" t="s">
        <v>209</v>
      </c>
      <c r="F404" t="s">
        <v>210</v>
      </c>
      <c r="G404" t="s">
        <v>16</v>
      </c>
      <c r="H404" t="s">
        <v>5136</v>
      </c>
      <c r="I404" t="s">
        <v>5137</v>
      </c>
      <c r="J404">
        <v>70066</v>
      </c>
      <c r="K404" t="s">
        <v>925</v>
      </c>
      <c r="L404" t="s">
        <v>179</v>
      </c>
      <c r="M404" t="s">
        <v>19</v>
      </c>
      <c r="N404">
        <v>45579</v>
      </c>
      <c r="O404">
        <v>3505</v>
      </c>
      <c r="P404" t="s">
        <v>20</v>
      </c>
      <c r="Q404">
        <v>0</v>
      </c>
      <c r="R404" t="s">
        <v>76</v>
      </c>
      <c r="S404" t="s">
        <v>21</v>
      </c>
      <c r="T404" t="s">
        <v>29</v>
      </c>
    </row>
    <row r="405" spans="1:20" x14ac:dyDescent="0.3">
      <c r="A405" t="s">
        <v>926</v>
      </c>
      <c r="B405" t="s">
        <v>222</v>
      </c>
      <c r="C405" t="s">
        <v>109</v>
      </c>
      <c r="D405" t="s">
        <v>68</v>
      </c>
      <c r="E405" t="s">
        <v>34</v>
      </c>
      <c r="F405" t="s">
        <v>35</v>
      </c>
      <c r="G405" t="s">
        <v>50</v>
      </c>
      <c r="H405" t="s">
        <v>5138</v>
      </c>
      <c r="I405" t="s">
        <v>5139</v>
      </c>
      <c r="J405">
        <v>201691</v>
      </c>
      <c r="K405" t="s">
        <v>927</v>
      </c>
      <c r="L405" t="s">
        <v>142</v>
      </c>
      <c r="M405" t="s">
        <v>19</v>
      </c>
      <c r="N405">
        <v>45678</v>
      </c>
      <c r="O405">
        <v>694</v>
      </c>
      <c r="P405" t="s">
        <v>20</v>
      </c>
      <c r="Q405">
        <v>6</v>
      </c>
      <c r="R405" t="s">
        <v>47</v>
      </c>
      <c r="S405" t="s">
        <v>53</v>
      </c>
      <c r="T405" t="s">
        <v>29</v>
      </c>
    </row>
    <row r="406" spans="1:20" x14ac:dyDescent="0.3">
      <c r="A406" t="s">
        <v>928</v>
      </c>
      <c r="B406" t="s">
        <v>74</v>
      </c>
      <c r="C406" t="s">
        <v>94</v>
      </c>
      <c r="D406" t="s">
        <v>33</v>
      </c>
      <c r="E406" t="s">
        <v>69</v>
      </c>
      <c r="F406" t="s">
        <v>70</v>
      </c>
      <c r="G406" t="s">
        <v>36</v>
      </c>
      <c r="H406" t="s">
        <v>5138</v>
      </c>
      <c r="I406" t="s">
        <v>5139</v>
      </c>
      <c r="J406">
        <v>183797</v>
      </c>
      <c r="K406" t="s">
        <v>929</v>
      </c>
      <c r="L406" t="s">
        <v>61</v>
      </c>
      <c r="M406" t="s">
        <v>46</v>
      </c>
      <c r="N406">
        <v>45737</v>
      </c>
      <c r="O406">
        <v>3160</v>
      </c>
      <c r="P406" t="s">
        <v>20</v>
      </c>
      <c r="Q406">
        <v>6</v>
      </c>
      <c r="R406" t="s">
        <v>47</v>
      </c>
      <c r="S406" t="s">
        <v>53</v>
      </c>
      <c r="T406" t="s">
        <v>20</v>
      </c>
    </row>
    <row r="407" spans="1:20" x14ac:dyDescent="0.3">
      <c r="A407" t="s">
        <v>930</v>
      </c>
      <c r="B407" t="s">
        <v>74</v>
      </c>
      <c r="C407" t="s">
        <v>202</v>
      </c>
      <c r="D407" t="s">
        <v>140</v>
      </c>
      <c r="E407" t="s">
        <v>5128</v>
      </c>
      <c r="F407" t="s">
        <v>5125</v>
      </c>
      <c r="G407" t="s">
        <v>16</v>
      </c>
      <c r="H407" t="s">
        <v>5140</v>
      </c>
      <c r="I407" t="s">
        <v>5141</v>
      </c>
      <c r="J407">
        <v>122332</v>
      </c>
      <c r="K407" t="s">
        <v>931</v>
      </c>
      <c r="L407" t="s">
        <v>238</v>
      </c>
      <c r="M407" t="s">
        <v>46</v>
      </c>
      <c r="N407">
        <v>45658</v>
      </c>
      <c r="O407">
        <v>3688</v>
      </c>
      <c r="P407" t="s">
        <v>20</v>
      </c>
      <c r="Q407">
        <v>2</v>
      </c>
      <c r="R407" t="s">
        <v>76</v>
      </c>
      <c r="S407" t="s">
        <v>53</v>
      </c>
      <c r="T407" t="s">
        <v>29</v>
      </c>
    </row>
    <row r="408" spans="1:20" x14ac:dyDescent="0.3">
      <c r="A408" t="s">
        <v>932</v>
      </c>
      <c r="B408" t="s">
        <v>144</v>
      </c>
      <c r="C408" t="s">
        <v>43</v>
      </c>
      <c r="D408" t="s">
        <v>118</v>
      </c>
      <c r="E408" t="s">
        <v>58</v>
      </c>
      <c r="F408" t="s">
        <v>59</v>
      </c>
      <c r="G408" t="s">
        <v>36</v>
      </c>
      <c r="H408" t="s">
        <v>5138</v>
      </c>
      <c r="I408" t="s">
        <v>5139</v>
      </c>
      <c r="J408">
        <v>161565</v>
      </c>
      <c r="K408" t="s">
        <v>933</v>
      </c>
      <c r="L408" t="s">
        <v>179</v>
      </c>
      <c r="M408" t="s">
        <v>72</v>
      </c>
      <c r="N408">
        <v>45659</v>
      </c>
      <c r="O408">
        <v>2597</v>
      </c>
      <c r="P408" t="s">
        <v>92</v>
      </c>
      <c r="Q408">
        <v>6</v>
      </c>
      <c r="R408" t="s">
        <v>76</v>
      </c>
      <c r="S408" t="s">
        <v>41</v>
      </c>
      <c r="T408" t="s">
        <v>29</v>
      </c>
    </row>
    <row r="409" spans="1:20" x14ac:dyDescent="0.3">
      <c r="A409" t="s">
        <v>934</v>
      </c>
      <c r="B409" t="s">
        <v>23</v>
      </c>
      <c r="C409" t="s">
        <v>79</v>
      </c>
      <c r="D409" t="s">
        <v>68</v>
      </c>
      <c r="E409" t="s">
        <v>5124</v>
      </c>
      <c r="F409" t="s">
        <v>5125</v>
      </c>
      <c r="G409" t="s">
        <v>50</v>
      </c>
      <c r="H409" t="s">
        <v>5142</v>
      </c>
      <c r="I409" t="s">
        <v>5143</v>
      </c>
      <c r="J409">
        <v>146155</v>
      </c>
      <c r="K409" t="s">
        <v>935</v>
      </c>
      <c r="L409" t="s">
        <v>238</v>
      </c>
      <c r="M409" t="s">
        <v>46</v>
      </c>
      <c r="N409">
        <v>45296</v>
      </c>
      <c r="O409">
        <v>2866</v>
      </c>
      <c r="P409" t="s">
        <v>20</v>
      </c>
      <c r="Q409">
        <v>4</v>
      </c>
      <c r="R409" t="s">
        <v>52</v>
      </c>
      <c r="S409" t="s">
        <v>53</v>
      </c>
      <c r="T409" t="s">
        <v>20</v>
      </c>
    </row>
    <row r="410" spans="1:20" x14ac:dyDescent="0.3">
      <c r="A410" t="s">
        <v>936</v>
      </c>
      <c r="B410" t="s">
        <v>63</v>
      </c>
      <c r="C410" t="s">
        <v>172</v>
      </c>
      <c r="D410" t="s">
        <v>68</v>
      </c>
      <c r="E410" t="s">
        <v>126</v>
      </c>
      <c r="F410" t="s">
        <v>127</v>
      </c>
      <c r="G410" t="s">
        <v>16</v>
      </c>
      <c r="H410" t="s">
        <v>5136</v>
      </c>
      <c r="I410" t="s">
        <v>5137</v>
      </c>
      <c r="J410">
        <v>71515</v>
      </c>
      <c r="K410" t="s">
        <v>937</v>
      </c>
      <c r="L410" t="s">
        <v>87</v>
      </c>
      <c r="M410" t="s">
        <v>46</v>
      </c>
      <c r="N410">
        <v>45663</v>
      </c>
      <c r="O410">
        <v>105</v>
      </c>
      <c r="P410" t="s">
        <v>29</v>
      </c>
      <c r="Q410">
        <v>0</v>
      </c>
      <c r="R410" t="s">
        <v>76</v>
      </c>
      <c r="S410" t="s">
        <v>21</v>
      </c>
      <c r="T410" t="s">
        <v>29</v>
      </c>
    </row>
    <row r="411" spans="1:20" x14ac:dyDescent="0.3">
      <c r="A411" t="s">
        <v>938</v>
      </c>
      <c r="B411" t="s">
        <v>74</v>
      </c>
      <c r="C411" t="s">
        <v>139</v>
      </c>
      <c r="D411" t="s">
        <v>25</v>
      </c>
      <c r="E411" t="s">
        <v>69</v>
      </c>
      <c r="F411" t="s">
        <v>70</v>
      </c>
      <c r="G411" t="s">
        <v>16</v>
      </c>
      <c r="H411" t="s">
        <v>5138</v>
      </c>
      <c r="I411" t="s">
        <v>5139</v>
      </c>
      <c r="J411">
        <v>218519</v>
      </c>
      <c r="K411" t="s">
        <v>939</v>
      </c>
      <c r="L411" t="s">
        <v>142</v>
      </c>
      <c r="M411" t="s">
        <v>46</v>
      </c>
      <c r="N411">
        <v>45322</v>
      </c>
      <c r="O411">
        <v>1866</v>
      </c>
      <c r="P411" t="s">
        <v>20</v>
      </c>
      <c r="Q411">
        <v>6</v>
      </c>
      <c r="R411" t="s">
        <v>47</v>
      </c>
      <c r="S411" t="s">
        <v>53</v>
      </c>
      <c r="T411" t="s">
        <v>20</v>
      </c>
    </row>
    <row r="412" spans="1:20" x14ac:dyDescent="0.3">
      <c r="A412" t="s">
        <v>940</v>
      </c>
      <c r="B412" t="s">
        <v>136</v>
      </c>
      <c r="C412" t="s">
        <v>32</v>
      </c>
      <c r="D412" t="s">
        <v>33</v>
      </c>
      <c r="E412" t="s">
        <v>5133</v>
      </c>
      <c r="F412" t="s">
        <v>5125</v>
      </c>
      <c r="G412" t="s">
        <v>16</v>
      </c>
      <c r="H412" t="s">
        <v>5140</v>
      </c>
      <c r="I412" t="s">
        <v>5141</v>
      </c>
      <c r="J412">
        <v>124089</v>
      </c>
      <c r="K412" t="s">
        <v>941</v>
      </c>
      <c r="L412" t="s">
        <v>87</v>
      </c>
      <c r="M412" t="s">
        <v>39</v>
      </c>
      <c r="N412">
        <v>45633</v>
      </c>
      <c r="O412">
        <v>1870</v>
      </c>
      <c r="P412" t="s">
        <v>29</v>
      </c>
      <c r="Q412">
        <v>2</v>
      </c>
      <c r="R412" t="s">
        <v>52</v>
      </c>
      <c r="S412" t="s">
        <v>53</v>
      </c>
      <c r="T412" t="s">
        <v>29</v>
      </c>
    </row>
    <row r="413" spans="1:20" x14ac:dyDescent="0.3">
      <c r="A413" t="s">
        <v>942</v>
      </c>
      <c r="B413" t="s">
        <v>222</v>
      </c>
      <c r="C413" t="s">
        <v>56</v>
      </c>
      <c r="D413" t="s">
        <v>140</v>
      </c>
      <c r="E413" t="s">
        <v>58</v>
      </c>
      <c r="F413" t="s">
        <v>59</v>
      </c>
      <c r="G413" t="s">
        <v>36</v>
      </c>
      <c r="H413" t="s">
        <v>5138</v>
      </c>
      <c r="I413" t="s">
        <v>5139</v>
      </c>
      <c r="J413">
        <v>159512</v>
      </c>
      <c r="K413" t="s">
        <v>943</v>
      </c>
      <c r="L413" t="s">
        <v>87</v>
      </c>
      <c r="M413" t="s">
        <v>39</v>
      </c>
      <c r="N413">
        <v>45520</v>
      </c>
      <c r="O413">
        <v>2616</v>
      </c>
      <c r="P413" t="s">
        <v>20</v>
      </c>
      <c r="Q413">
        <v>6</v>
      </c>
      <c r="R413" t="s">
        <v>52</v>
      </c>
      <c r="S413" t="s">
        <v>21</v>
      </c>
      <c r="T413" t="s">
        <v>20</v>
      </c>
    </row>
    <row r="414" spans="1:20" x14ac:dyDescent="0.3">
      <c r="A414" t="s">
        <v>944</v>
      </c>
      <c r="B414" t="s">
        <v>322</v>
      </c>
      <c r="C414" t="s">
        <v>125</v>
      </c>
      <c r="D414" t="s">
        <v>118</v>
      </c>
      <c r="E414" t="s">
        <v>58</v>
      </c>
      <c r="F414" t="s">
        <v>59</v>
      </c>
      <c r="G414" t="s">
        <v>36</v>
      </c>
      <c r="H414" t="s">
        <v>5140</v>
      </c>
      <c r="I414" t="s">
        <v>5141</v>
      </c>
      <c r="J414">
        <v>79624</v>
      </c>
      <c r="K414" t="s">
        <v>945</v>
      </c>
      <c r="L414" t="s">
        <v>82</v>
      </c>
      <c r="M414" t="s">
        <v>72</v>
      </c>
      <c r="N414">
        <v>45540</v>
      </c>
      <c r="O414">
        <v>3785</v>
      </c>
      <c r="P414" t="s">
        <v>92</v>
      </c>
      <c r="Q414">
        <v>2</v>
      </c>
      <c r="R414" t="s">
        <v>76</v>
      </c>
      <c r="S414" t="s">
        <v>53</v>
      </c>
      <c r="T414" t="s">
        <v>29</v>
      </c>
    </row>
    <row r="415" spans="1:20" x14ac:dyDescent="0.3">
      <c r="A415" t="s">
        <v>946</v>
      </c>
      <c r="B415" t="s">
        <v>218</v>
      </c>
      <c r="C415" t="s">
        <v>13</v>
      </c>
      <c r="D415" t="s">
        <v>5156</v>
      </c>
      <c r="E415" t="s">
        <v>5127</v>
      </c>
      <c r="F415" t="s">
        <v>5125</v>
      </c>
      <c r="G415" t="s">
        <v>36</v>
      </c>
      <c r="H415" t="s">
        <v>5142</v>
      </c>
      <c r="I415" t="s">
        <v>5143</v>
      </c>
      <c r="J415">
        <v>184497</v>
      </c>
      <c r="K415" t="s">
        <v>947</v>
      </c>
      <c r="L415" t="s">
        <v>18</v>
      </c>
      <c r="M415" t="s">
        <v>72</v>
      </c>
      <c r="N415">
        <v>45352</v>
      </c>
      <c r="O415">
        <v>3651</v>
      </c>
      <c r="P415" t="s">
        <v>20</v>
      </c>
      <c r="Q415">
        <v>4</v>
      </c>
      <c r="R415" t="s">
        <v>47</v>
      </c>
      <c r="S415" t="s">
        <v>53</v>
      </c>
      <c r="T415" t="s">
        <v>20</v>
      </c>
    </row>
    <row r="416" spans="1:20" x14ac:dyDescent="0.3">
      <c r="A416" t="s">
        <v>948</v>
      </c>
      <c r="B416" t="s">
        <v>12</v>
      </c>
      <c r="C416" t="s">
        <v>202</v>
      </c>
      <c r="D416" t="s">
        <v>118</v>
      </c>
      <c r="E416" t="s">
        <v>5128</v>
      </c>
      <c r="F416" t="s">
        <v>5125</v>
      </c>
      <c r="G416" t="s">
        <v>50</v>
      </c>
      <c r="H416" t="s">
        <v>5142</v>
      </c>
      <c r="I416" t="s">
        <v>5143</v>
      </c>
      <c r="J416">
        <v>158972</v>
      </c>
      <c r="K416" t="s">
        <v>949</v>
      </c>
      <c r="L416" t="s">
        <v>18</v>
      </c>
      <c r="M416" t="s">
        <v>46</v>
      </c>
      <c r="N416">
        <v>45505</v>
      </c>
      <c r="O416">
        <v>3129</v>
      </c>
      <c r="P416" t="s">
        <v>20</v>
      </c>
      <c r="Q416">
        <v>4</v>
      </c>
      <c r="R416" t="s">
        <v>52</v>
      </c>
      <c r="S416" t="s">
        <v>21</v>
      </c>
      <c r="T416" t="s">
        <v>20</v>
      </c>
    </row>
    <row r="417" spans="1:20" x14ac:dyDescent="0.3">
      <c r="A417" t="s">
        <v>950</v>
      </c>
      <c r="B417" t="s">
        <v>63</v>
      </c>
      <c r="C417" t="s">
        <v>90</v>
      </c>
      <c r="D417" t="s">
        <v>44</v>
      </c>
      <c r="E417" t="s">
        <v>5126</v>
      </c>
      <c r="F417" t="s">
        <v>5125</v>
      </c>
      <c r="G417" t="s">
        <v>16</v>
      </c>
      <c r="H417" t="s">
        <v>5138</v>
      </c>
      <c r="I417" t="s">
        <v>5139</v>
      </c>
      <c r="J417">
        <v>173054</v>
      </c>
      <c r="K417" t="s">
        <v>951</v>
      </c>
      <c r="L417" t="s">
        <v>5165</v>
      </c>
      <c r="M417" t="s">
        <v>39</v>
      </c>
      <c r="N417">
        <v>45494</v>
      </c>
      <c r="O417">
        <v>2352</v>
      </c>
      <c r="P417" t="s">
        <v>20</v>
      </c>
      <c r="Q417">
        <v>6</v>
      </c>
      <c r="R417" t="s">
        <v>40</v>
      </c>
      <c r="S417" t="s">
        <v>21</v>
      </c>
      <c r="T417" t="s">
        <v>29</v>
      </c>
    </row>
    <row r="418" spans="1:20" x14ac:dyDescent="0.3">
      <c r="A418" t="s">
        <v>952</v>
      </c>
      <c r="B418" t="s">
        <v>23</v>
      </c>
      <c r="C418" t="s">
        <v>94</v>
      </c>
      <c r="D418" t="s">
        <v>68</v>
      </c>
      <c r="E418" t="s">
        <v>80</v>
      </c>
      <c r="F418" t="s">
        <v>80</v>
      </c>
      <c r="G418" t="s">
        <v>50</v>
      </c>
      <c r="H418" t="s">
        <v>5136</v>
      </c>
      <c r="I418" t="s">
        <v>5137</v>
      </c>
      <c r="J418">
        <v>89544</v>
      </c>
      <c r="K418" t="s">
        <v>953</v>
      </c>
      <c r="L418" t="s">
        <v>5165</v>
      </c>
      <c r="M418" t="s">
        <v>19</v>
      </c>
      <c r="N418">
        <v>45569</v>
      </c>
      <c r="O418">
        <v>1136</v>
      </c>
      <c r="P418" t="s">
        <v>20</v>
      </c>
      <c r="Q418">
        <v>0</v>
      </c>
      <c r="R418" t="s">
        <v>47</v>
      </c>
      <c r="S418" t="s">
        <v>53</v>
      </c>
      <c r="T418" t="s">
        <v>20</v>
      </c>
    </row>
    <row r="419" spans="1:20" x14ac:dyDescent="0.3">
      <c r="A419" t="s">
        <v>954</v>
      </c>
      <c r="B419" t="s">
        <v>136</v>
      </c>
      <c r="C419" t="s">
        <v>24</v>
      </c>
      <c r="D419" t="s">
        <v>140</v>
      </c>
      <c r="E419" t="s">
        <v>5128</v>
      </c>
      <c r="F419" t="s">
        <v>5125</v>
      </c>
      <c r="G419" t="s">
        <v>50</v>
      </c>
      <c r="H419" t="s">
        <v>5138</v>
      </c>
      <c r="I419" t="s">
        <v>5139</v>
      </c>
      <c r="J419">
        <v>204164</v>
      </c>
      <c r="K419" t="s">
        <v>955</v>
      </c>
      <c r="L419" t="s">
        <v>5165</v>
      </c>
      <c r="M419" t="s">
        <v>19</v>
      </c>
      <c r="N419">
        <v>45602</v>
      </c>
      <c r="O419">
        <v>3531</v>
      </c>
      <c r="P419" t="s">
        <v>20</v>
      </c>
      <c r="Q419">
        <v>6</v>
      </c>
      <c r="R419" t="s">
        <v>52</v>
      </c>
      <c r="S419" t="s">
        <v>21</v>
      </c>
      <c r="T419" t="s">
        <v>29</v>
      </c>
    </row>
    <row r="420" spans="1:20" x14ac:dyDescent="0.3">
      <c r="A420" t="s">
        <v>956</v>
      </c>
      <c r="B420" t="s">
        <v>12</v>
      </c>
      <c r="C420" t="s">
        <v>125</v>
      </c>
      <c r="D420" t="s">
        <v>104</v>
      </c>
      <c r="E420" t="s">
        <v>223</v>
      </c>
      <c r="F420" t="s">
        <v>224</v>
      </c>
      <c r="G420" t="s">
        <v>16</v>
      </c>
      <c r="H420" t="s">
        <v>5140</v>
      </c>
      <c r="I420" t="s">
        <v>5141</v>
      </c>
      <c r="J420">
        <v>133350</v>
      </c>
      <c r="K420" t="s">
        <v>957</v>
      </c>
      <c r="L420" t="s">
        <v>5165</v>
      </c>
      <c r="M420" t="s">
        <v>72</v>
      </c>
      <c r="N420">
        <v>45422</v>
      </c>
      <c r="O420">
        <v>121</v>
      </c>
      <c r="P420" t="s">
        <v>20</v>
      </c>
      <c r="Q420">
        <v>2</v>
      </c>
      <c r="R420" t="s">
        <v>40</v>
      </c>
      <c r="S420" t="s">
        <v>21</v>
      </c>
      <c r="T420" t="s">
        <v>29</v>
      </c>
    </row>
    <row r="421" spans="1:20" x14ac:dyDescent="0.3">
      <c r="A421" t="s">
        <v>958</v>
      </c>
      <c r="B421" t="s">
        <v>322</v>
      </c>
      <c r="C421" t="s">
        <v>32</v>
      </c>
      <c r="D421" t="s">
        <v>33</v>
      </c>
      <c r="E421" t="s">
        <v>14</v>
      </c>
      <c r="F421" t="s">
        <v>15</v>
      </c>
      <c r="G421" t="s">
        <v>16</v>
      </c>
      <c r="H421" t="s">
        <v>5142</v>
      </c>
      <c r="I421" t="s">
        <v>5143</v>
      </c>
      <c r="J421">
        <v>151822</v>
      </c>
      <c r="K421" t="s">
        <v>959</v>
      </c>
      <c r="L421" t="s">
        <v>5165</v>
      </c>
      <c r="M421" t="s">
        <v>46</v>
      </c>
      <c r="N421">
        <v>45715</v>
      </c>
      <c r="O421">
        <v>1587</v>
      </c>
      <c r="P421" t="s">
        <v>92</v>
      </c>
      <c r="Q421">
        <v>4</v>
      </c>
      <c r="R421" t="s">
        <v>40</v>
      </c>
      <c r="S421" t="s">
        <v>21</v>
      </c>
      <c r="T421" t="s">
        <v>20</v>
      </c>
    </row>
    <row r="422" spans="1:20" x14ac:dyDescent="0.3">
      <c r="A422" t="s">
        <v>960</v>
      </c>
      <c r="B422" t="s">
        <v>322</v>
      </c>
      <c r="C422" t="s">
        <v>43</v>
      </c>
      <c r="D422" t="s">
        <v>44</v>
      </c>
      <c r="E422" t="s">
        <v>152</v>
      </c>
      <c r="F422" t="s">
        <v>153</v>
      </c>
      <c r="G422" t="s">
        <v>16</v>
      </c>
      <c r="H422" t="s">
        <v>5136</v>
      </c>
      <c r="I422" t="s">
        <v>5137</v>
      </c>
      <c r="J422">
        <v>95965</v>
      </c>
      <c r="K422" t="s">
        <v>961</v>
      </c>
      <c r="L422" t="s">
        <v>5165</v>
      </c>
      <c r="M422" t="s">
        <v>19</v>
      </c>
      <c r="N422">
        <v>45616</v>
      </c>
      <c r="O422">
        <v>1257</v>
      </c>
      <c r="P422" t="s">
        <v>20</v>
      </c>
      <c r="Q422">
        <v>0</v>
      </c>
      <c r="R422" t="s">
        <v>52</v>
      </c>
      <c r="S422" t="s">
        <v>21</v>
      </c>
      <c r="T422" t="s">
        <v>20</v>
      </c>
    </row>
    <row r="423" spans="1:20" x14ac:dyDescent="0.3">
      <c r="A423" t="s">
        <v>962</v>
      </c>
      <c r="B423" t="s">
        <v>99</v>
      </c>
      <c r="C423" t="s">
        <v>109</v>
      </c>
      <c r="D423" t="s">
        <v>104</v>
      </c>
      <c r="E423" t="s">
        <v>5133</v>
      </c>
      <c r="F423" t="s">
        <v>5125</v>
      </c>
      <c r="G423" t="s">
        <v>36</v>
      </c>
      <c r="H423" t="s">
        <v>5140</v>
      </c>
      <c r="I423" t="s">
        <v>5141</v>
      </c>
      <c r="J423">
        <v>144755</v>
      </c>
      <c r="K423" t="s">
        <v>963</v>
      </c>
      <c r="L423" t="s">
        <v>82</v>
      </c>
      <c r="M423" t="s">
        <v>19</v>
      </c>
      <c r="N423">
        <v>45378</v>
      </c>
      <c r="O423">
        <v>12</v>
      </c>
      <c r="P423" t="s">
        <v>29</v>
      </c>
      <c r="Q423">
        <v>2</v>
      </c>
      <c r="R423" t="s">
        <v>52</v>
      </c>
      <c r="S423" t="s">
        <v>21</v>
      </c>
      <c r="T423" t="s">
        <v>29</v>
      </c>
    </row>
    <row r="424" spans="1:20" x14ac:dyDescent="0.3">
      <c r="A424" t="s">
        <v>964</v>
      </c>
      <c r="B424" t="s">
        <v>130</v>
      </c>
      <c r="C424" t="s">
        <v>49</v>
      </c>
      <c r="D424" t="s">
        <v>44</v>
      </c>
      <c r="E424" t="s">
        <v>80</v>
      </c>
      <c r="F424" t="s">
        <v>80</v>
      </c>
      <c r="G424" t="s">
        <v>36</v>
      </c>
      <c r="H424" t="s">
        <v>5142</v>
      </c>
      <c r="I424" t="s">
        <v>5143</v>
      </c>
      <c r="J424">
        <v>143277</v>
      </c>
      <c r="K424" t="s">
        <v>965</v>
      </c>
      <c r="L424" t="s">
        <v>142</v>
      </c>
      <c r="M424" t="s">
        <v>39</v>
      </c>
      <c r="N424">
        <v>45553</v>
      </c>
      <c r="O424">
        <v>3607</v>
      </c>
      <c r="P424" t="s">
        <v>20</v>
      </c>
      <c r="Q424">
        <v>4</v>
      </c>
      <c r="R424" t="s">
        <v>76</v>
      </c>
      <c r="S424" t="s">
        <v>21</v>
      </c>
      <c r="T424" t="s">
        <v>20</v>
      </c>
    </row>
    <row r="425" spans="1:20" x14ac:dyDescent="0.3">
      <c r="A425" t="s">
        <v>966</v>
      </c>
      <c r="B425" t="s">
        <v>229</v>
      </c>
      <c r="C425" t="s">
        <v>202</v>
      </c>
      <c r="D425" t="s">
        <v>5156</v>
      </c>
      <c r="E425" t="s">
        <v>34</v>
      </c>
      <c r="F425" t="s">
        <v>35</v>
      </c>
      <c r="G425" t="s">
        <v>16</v>
      </c>
      <c r="H425" t="s">
        <v>5142</v>
      </c>
      <c r="I425" t="s">
        <v>5143</v>
      </c>
      <c r="J425">
        <v>176232</v>
      </c>
      <c r="K425" t="s">
        <v>967</v>
      </c>
      <c r="L425" t="s">
        <v>5165</v>
      </c>
      <c r="M425" t="s">
        <v>46</v>
      </c>
      <c r="N425">
        <v>45631</v>
      </c>
      <c r="O425">
        <v>3702</v>
      </c>
      <c r="P425" t="s">
        <v>29</v>
      </c>
      <c r="Q425">
        <v>4</v>
      </c>
      <c r="R425" t="s">
        <v>47</v>
      </c>
      <c r="S425" t="s">
        <v>21</v>
      </c>
      <c r="T425" t="s">
        <v>20</v>
      </c>
    </row>
    <row r="426" spans="1:20" x14ac:dyDescent="0.3">
      <c r="A426" t="s">
        <v>968</v>
      </c>
      <c r="B426" t="s">
        <v>89</v>
      </c>
      <c r="C426" t="s">
        <v>43</v>
      </c>
      <c r="D426" t="s">
        <v>57</v>
      </c>
      <c r="E426" t="s">
        <v>126</v>
      </c>
      <c r="F426" t="s">
        <v>127</v>
      </c>
      <c r="G426" t="s">
        <v>16</v>
      </c>
      <c r="H426" t="s">
        <v>5138</v>
      </c>
      <c r="I426" t="s">
        <v>5139</v>
      </c>
      <c r="J426">
        <v>223233</v>
      </c>
      <c r="K426" t="s">
        <v>969</v>
      </c>
      <c r="L426" t="s">
        <v>5165</v>
      </c>
      <c r="M426" t="s">
        <v>46</v>
      </c>
      <c r="N426">
        <v>45740</v>
      </c>
      <c r="O426">
        <v>3991</v>
      </c>
      <c r="P426" t="s">
        <v>20</v>
      </c>
      <c r="Q426">
        <v>6</v>
      </c>
      <c r="R426" t="s">
        <v>76</v>
      </c>
      <c r="S426" t="s">
        <v>21</v>
      </c>
      <c r="T426" t="s">
        <v>29</v>
      </c>
    </row>
    <row r="427" spans="1:20" x14ac:dyDescent="0.3">
      <c r="A427" t="s">
        <v>970</v>
      </c>
      <c r="B427" t="s">
        <v>144</v>
      </c>
      <c r="C427" t="s">
        <v>175</v>
      </c>
      <c r="D427" t="s">
        <v>167</v>
      </c>
      <c r="E427" t="s">
        <v>34</v>
      </c>
      <c r="F427" t="s">
        <v>35</v>
      </c>
      <c r="G427" t="s">
        <v>16</v>
      </c>
      <c r="H427" t="s">
        <v>5136</v>
      </c>
      <c r="I427" t="s">
        <v>5137</v>
      </c>
      <c r="J427">
        <v>87244</v>
      </c>
      <c r="K427" t="s">
        <v>971</v>
      </c>
      <c r="L427" t="s">
        <v>5165</v>
      </c>
      <c r="M427" t="s">
        <v>19</v>
      </c>
      <c r="N427">
        <v>45390</v>
      </c>
      <c r="O427">
        <v>3321</v>
      </c>
      <c r="P427" t="s">
        <v>20</v>
      </c>
      <c r="Q427">
        <v>0</v>
      </c>
      <c r="R427" t="s">
        <v>47</v>
      </c>
      <c r="S427" t="s">
        <v>41</v>
      </c>
      <c r="T427" t="s">
        <v>20</v>
      </c>
    </row>
    <row r="428" spans="1:20" x14ac:dyDescent="0.3">
      <c r="A428" t="s">
        <v>972</v>
      </c>
      <c r="B428" t="s">
        <v>222</v>
      </c>
      <c r="C428" t="s">
        <v>160</v>
      </c>
      <c r="D428" t="s">
        <v>68</v>
      </c>
      <c r="E428" t="s">
        <v>152</v>
      </c>
      <c r="F428" t="s">
        <v>153</v>
      </c>
      <c r="G428" t="s">
        <v>50</v>
      </c>
      <c r="H428" t="s">
        <v>5142</v>
      </c>
      <c r="I428" t="s">
        <v>5143</v>
      </c>
      <c r="J428">
        <v>123947</v>
      </c>
      <c r="K428" t="s">
        <v>973</v>
      </c>
      <c r="L428" t="s">
        <v>82</v>
      </c>
      <c r="M428" t="s">
        <v>19</v>
      </c>
      <c r="N428">
        <v>45653</v>
      </c>
      <c r="O428">
        <v>277</v>
      </c>
      <c r="P428" t="s">
        <v>20</v>
      </c>
      <c r="Q428">
        <v>4</v>
      </c>
      <c r="R428" t="s">
        <v>5116</v>
      </c>
      <c r="S428" t="s">
        <v>21</v>
      </c>
      <c r="T428" t="s">
        <v>20</v>
      </c>
    </row>
    <row r="429" spans="1:20" x14ac:dyDescent="0.3">
      <c r="A429" t="s">
        <v>974</v>
      </c>
      <c r="B429" t="s">
        <v>84</v>
      </c>
      <c r="C429" t="s">
        <v>121</v>
      </c>
      <c r="D429" t="s">
        <v>167</v>
      </c>
      <c r="E429" t="s">
        <v>80</v>
      </c>
      <c r="F429" t="s">
        <v>80</v>
      </c>
      <c r="G429" t="s">
        <v>50</v>
      </c>
      <c r="H429" t="s">
        <v>5142</v>
      </c>
      <c r="I429" t="s">
        <v>5143</v>
      </c>
      <c r="J429">
        <v>168523</v>
      </c>
      <c r="K429" t="s">
        <v>975</v>
      </c>
      <c r="L429" t="s">
        <v>179</v>
      </c>
      <c r="M429" t="s">
        <v>46</v>
      </c>
      <c r="N429">
        <v>45303</v>
      </c>
      <c r="O429">
        <v>1132</v>
      </c>
      <c r="P429" t="s">
        <v>29</v>
      </c>
      <c r="Q429">
        <v>4</v>
      </c>
      <c r="R429" t="s">
        <v>76</v>
      </c>
      <c r="S429" t="s">
        <v>21</v>
      </c>
      <c r="T429" t="s">
        <v>29</v>
      </c>
    </row>
    <row r="430" spans="1:20" x14ac:dyDescent="0.3">
      <c r="A430" t="s">
        <v>976</v>
      </c>
      <c r="B430" t="s">
        <v>222</v>
      </c>
      <c r="C430" t="s">
        <v>151</v>
      </c>
      <c r="D430" t="s">
        <v>5156</v>
      </c>
      <c r="E430" t="s">
        <v>5127</v>
      </c>
      <c r="F430" t="s">
        <v>5125</v>
      </c>
      <c r="G430" t="s">
        <v>16</v>
      </c>
      <c r="H430" t="s">
        <v>5140</v>
      </c>
      <c r="I430" t="s">
        <v>5141</v>
      </c>
      <c r="J430">
        <v>130956</v>
      </c>
      <c r="K430" t="s">
        <v>977</v>
      </c>
      <c r="L430" t="s">
        <v>5165</v>
      </c>
      <c r="M430" t="s">
        <v>72</v>
      </c>
      <c r="N430">
        <v>45507</v>
      </c>
      <c r="O430">
        <v>2834</v>
      </c>
      <c r="P430" t="s">
        <v>20</v>
      </c>
      <c r="Q430">
        <v>2</v>
      </c>
      <c r="R430" t="s">
        <v>5116</v>
      </c>
      <c r="S430" t="s">
        <v>53</v>
      </c>
      <c r="T430" t="s">
        <v>29</v>
      </c>
    </row>
    <row r="431" spans="1:20" x14ac:dyDescent="0.3">
      <c r="A431" t="s">
        <v>978</v>
      </c>
      <c r="B431" t="s">
        <v>229</v>
      </c>
      <c r="C431" t="s">
        <v>109</v>
      </c>
      <c r="D431" t="s">
        <v>25</v>
      </c>
      <c r="E431" t="s">
        <v>5128</v>
      </c>
      <c r="F431" t="s">
        <v>5125</v>
      </c>
      <c r="G431" t="s">
        <v>36</v>
      </c>
      <c r="H431" t="s">
        <v>5142</v>
      </c>
      <c r="I431" t="s">
        <v>5143</v>
      </c>
      <c r="J431">
        <v>102514</v>
      </c>
      <c r="K431" t="s">
        <v>979</v>
      </c>
      <c r="L431" t="s">
        <v>38</v>
      </c>
      <c r="M431" t="s">
        <v>19</v>
      </c>
      <c r="N431">
        <v>45341</v>
      </c>
      <c r="O431">
        <v>986</v>
      </c>
      <c r="P431" t="s">
        <v>92</v>
      </c>
      <c r="Q431">
        <v>4</v>
      </c>
      <c r="R431" t="s">
        <v>5116</v>
      </c>
      <c r="S431" t="s">
        <v>53</v>
      </c>
      <c r="T431" t="s">
        <v>20</v>
      </c>
    </row>
    <row r="432" spans="1:20" x14ac:dyDescent="0.3">
      <c r="A432" t="s">
        <v>980</v>
      </c>
      <c r="B432" t="s">
        <v>84</v>
      </c>
      <c r="C432" t="s">
        <v>232</v>
      </c>
      <c r="D432" t="s">
        <v>5156</v>
      </c>
      <c r="E432" t="s">
        <v>209</v>
      </c>
      <c r="F432" t="s">
        <v>210</v>
      </c>
      <c r="G432" t="s">
        <v>36</v>
      </c>
      <c r="H432" t="s">
        <v>5136</v>
      </c>
      <c r="I432" t="s">
        <v>5137</v>
      </c>
      <c r="J432">
        <v>55090</v>
      </c>
      <c r="K432" t="s">
        <v>981</v>
      </c>
      <c r="L432" t="s">
        <v>179</v>
      </c>
      <c r="M432" t="s">
        <v>46</v>
      </c>
      <c r="N432">
        <v>45683</v>
      </c>
      <c r="O432">
        <v>3215</v>
      </c>
      <c r="P432" t="s">
        <v>29</v>
      </c>
      <c r="Q432">
        <v>0</v>
      </c>
      <c r="R432" t="s">
        <v>52</v>
      </c>
      <c r="S432" t="s">
        <v>21</v>
      </c>
      <c r="T432" t="s">
        <v>20</v>
      </c>
    </row>
    <row r="433" spans="1:20" x14ac:dyDescent="0.3">
      <c r="A433" t="s">
        <v>982</v>
      </c>
      <c r="B433" t="s">
        <v>322</v>
      </c>
      <c r="C433" t="s">
        <v>64</v>
      </c>
      <c r="D433" t="s">
        <v>140</v>
      </c>
      <c r="E433" t="s">
        <v>5129</v>
      </c>
      <c r="F433" t="s">
        <v>5130</v>
      </c>
      <c r="G433" t="s">
        <v>36</v>
      </c>
      <c r="H433" t="s">
        <v>5136</v>
      </c>
      <c r="I433" t="s">
        <v>5137</v>
      </c>
      <c r="J433">
        <v>50000</v>
      </c>
      <c r="K433" t="s">
        <v>983</v>
      </c>
      <c r="L433" t="s">
        <v>18</v>
      </c>
      <c r="M433" t="s">
        <v>19</v>
      </c>
      <c r="N433">
        <v>45578</v>
      </c>
      <c r="O433">
        <v>1867</v>
      </c>
      <c r="P433" t="s">
        <v>20</v>
      </c>
      <c r="Q433">
        <v>0</v>
      </c>
      <c r="R433" t="s">
        <v>52</v>
      </c>
      <c r="S433" t="s">
        <v>53</v>
      </c>
      <c r="T433" t="s">
        <v>20</v>
      </c>
    </row>
    <row r="434" spans="1:20" x14ac:dyDescent="0.3">
      <c r="A434" t="s">
        <v>984</v>
      </c>
      <c r="B434" t="s">
        <v>229</v>
      </c>
      <c r="C434" t="s">
        <v>79</v>
      </c>
      <c r="D434" t="s">
        <v>104</v>
      </c>
      <c r="E434" t="s">
        <v>34</v>
      </c>
      <c r="F434" t="s">
        <v>35</v>
      </c>
      <c r="G434" t="s">
        <v>36</v>
      </c>
      <c r="H434" t="s">
        <v>5136</v>
      </c>
      <c r="I434" t="s">
        <v>5137</v>
      </c>
      <c r="J434">
        <v>66605</v>
      </c>
      <c r="K434" t="s">
        <v>985</v>
      </c>
      <c r="L434" t="s">
        <v>238</v>
      </c>
      <c r="M434" t="s">
        <v>19</v>
      </c>
      <c r="N434">
        <v>45592</v>
      </c>
      <c r="O434">
        <v>1059</v>
      </c>
      <c r="P434" t="s">
        <v>20</v>
      </c>
      <c r="Q434">
        <v>0</v>
      </c>
      <c r="R434" t="s">
        <v>52</v>
      </c>
      <c r="S434" t="s">
        <v>53</v>
      </c>
      <c r="T434" t="s">
        <v>29</v>
      </c>
    </row>
    <row r="435" spans="1:20" x14ac:dyDescent="0.3">
      <c r="A435" t="s">
        <v>986</v>
      </c>
      <c r="B435" t="s">
        <v>84</v>
      </c>
      <c r="C435" t="s">
        <v>64</v>
      </c>
      <c r="D435" t="s">
        <v>118</v>
      </c>
      <c r="E435" t="s">
        <v>5127</v>
      </c>
      <c r="F435" t="s">
        <v>5125</v>
      </c>
      <c r="G435" t="s">
        <v>16</v>
      </c>
      <c r="H435" t="s">
        <v>5140</v>
      </c>
      <c r="I435" t="s">
        <v>5141</v>
      </c>
      <c r="J435">
        <v>124207</v>
      </c>
      <c r="K435" t="s">
        <v>987</v>
      </c>
      <c r="L435" t="s">
        <v>5165</v>
      </c>
      <c r="M435" t="s">
        <v>19</v>
      </c>
      <c r="N435">
        <v>45451</v>
      </c>
      <c r="O435">
        <v>2481</v>
      </c>
      <c r="P435" t="s">
        <v>20</v>
      </c>
      <c r="Q435">
        <v>2</v>
      </c>
      <c r="R435" t="s">
        <v>40</v>
      </c>
      <c r="S435" t="s">
        <v>41</v>
      </c>
      <c r="T435" t="s">
        <v>20</v>
      </c>
    </row>
    <row r="436" spans="1:20" x14ac:dyDescent="0.3">
      <c r="A436" t="s">
        <v>988</v>
      </c>
      <c r="B436" t="s">
        <v>55</v>
      </c>
      <c r="C436" t="s">
        <v>151</v>
      </c>
      <c r="D436" t="s">
        <v>44</v>
      </c>
      <c r="E436" t="s">
        <v>26</v>
      </c>
      <c r="F436" t="s">
        <v>27</v>
      </c>
      <c r="G436" t="s">
        <v>36</v>
      </c>
      <c r="H436" t="s">
        <v>5136</v>
      </c>
      <c r="I436" t="s">
        <v>5137</v>
      </c>
      <c r="J436">
        <v>88929</v>
      </c>
      <c r="K436" t="s">
        <v>989</v>
      </c>
      <c r="L436" t="s">
        <v>5165</v>
      </c>
      <c r="M436" t="s">
        <v>46</v>
      </c>
      <c r="N436">
        <v>45719</v>
      </c>
      <c r="O436">
        <v>2855</v>
      </c>
      <c r="P436" t="s">
        <v>20</v>
      </c>
      <c r="Q436">
        <v>0</v>
      </c>
      <c r="R436" t="s">
        <v>52</v>
      </c>
      <c r="S436" t="s">
        <v>21</v>
      </c>
      <c r="T436" t="s">
        <v>29</v>
      </c>
    </row>
    <row r="437" spans="1:20" x14ac:dyDescent="0.3">
      <c r="A437" t="s">
        <v>990</v>
      </c>
      <c r="B437" t="s">
        <v>136</v>
      </c>
      <c r="C437" t="s">
        <v>185</v>
      </c>
      <c r="D437" t="s">
        <v>33</v>
      </c>
      <c r="E437" t="s">
        <v>209</v>
      </c>
      <c r="F437" t="s">
        <v>210</v>
      </c>
      <c r="G437" t="s">
        <v>16</v>
      </c>
      <c r="H437" t="s">
        <v>5142</v>
      </c>
      <c r="I437" t="s">
        <v>5143</v>
      </c>
      <c r="J437">
        <v>152000</v>
      </c>
      <c r="K437" t="s">
        <v>991</v>
      </c>
      <c r="L437" t="s">
        <v>5165</v>
      </c>
      <c r="M437" t="s">
        <v>72</v>
      </c>
      <c r="N437">
        <v>45460</v>
      </c>
      <c r="O437">
        <v>2849</v>
      </c>
      <c r="P437" t="s">
        <v>29</v>
      </c>
      <c r="Q437">
        <v>4</v>
      </c>
      <c r="R437" t="s">
        <v>76</v>
      </c>
      <c r="S437" t="s">
        <v>21</v>
      </c>
      <c r="T437" t="s">
        <v>20</v>
      </c>
    </row>
    <row r="438" spans="1:20" x14ac:dyDescent="0.3">
      <c r="A438" t="s">
        <v>992</v>
      </c>
      <c r="B438" t="s">
        <v>229</v>
      </c>
      <c r="C438" t="s">
        <v>94</v>
      </c>
      <c r="D438" t="s">
        <v>118</v>
      </c>
      <c r="E438" t="s">
        <v>80</v>
      </c>
      <c r="F438" t="s">
        <v>80</v>
      </c>
      <c r="G438" t="s">
        <v>16</v>
      </c>
      <c r="H438" t="s">
        <v>5138</v>
      </c>
      <c r="I438" t="s">
        <v>5139</v>
      </c>
      <c r="J438">
        <v>258630</v>
      </c>
      <c r="K438" t="s">
        <v>993</v>
      </c>
      <c r="L438" t="s">
        <v>87</v>
      </c>
      <c r="M438" t="s">
        <v>19</v>
      </c>
      <c r="N438">
        <v>45714</v>
      </c>
      <c r="O438">
        <v>2595</v>
      </c>
      <c r="P438" t="s">
        <v>20</v>
      </c>
      <c r="Q438">
        <v>6</v>
      </c>
      <c r="R438" t="s">
        <v>40</v>
      </c>
      <c r="S438" t="s">
        <v>21</v>
      </c>
      <c r="T438" t="s">
        <v>29</v>
      </c>
    </row>
    <row r="439" spans="1:20" x14ac:dyDescent="0.3">
      <c r="A439" t="s">
        <v>994</v>
      </c>
      <c r="B439" t="s">
        <v>99</v>
      </c>
      <c r="C439" t="s">
        <v>160</v>
      </c>
      <c r="D439" t="s">
        <v>25</v>
      </c>
      <c r="E439" t="s">
        <v>95</v>
      </c>
      <c r="F439" t="s">
        <v>96</v>
      </c>
      <c r="G439" t="s">
        <v>16</v>
      </c>
      <c r="H439" t="s">
        <v>5142</v>
      </c>
      <c r="I439" t="s">
        <v>5143</v>
      </c>
      <c r="J439">
        <v>112737</v>
      </c>
      <c r="K439" t="s">
        <v>995</v>
      </c>
      <c r="L439" t="s">
        <v>179</v>
      </c>
      <c r="M439" t="s">
        <v>72</v>
      </c>
      <c r="N439">
        <v>45426</v>
      </c>
      <c r="O439">
        <v>3415</v>
      </c>
      <c r="P439" t="s">
        <v>20</v>
      </c>
      <c r="Q439">
        <v>4</v>
      </c>
      <c r="R439" t="s">
        <v>52</v>
      </c>
      <c r="S439" t="s">
        <v>21</v>
      </c>
      <c r="T439" t="s">
        <v>20</v>
      </c>
    </row>
    <row r="440" spans="1:20" x14ac:dyDescent="0.3">
      <c r="A440" t="s">
        <v>996</v>
      </c>
      <c r="B440" t="s">
        <v>229</v>
      </c>
      <c r="C440" t="s">
        <v>79</v>
      </c>
      <c r="D440" t="s">
        <v>44</v>
      </c>
      <c r="E440" t="s">
        <v>223</v>
      </c>
      <c r="F440" t="s">
        <v>224</v>
      </c>
      <c r="G440" t="s">
        <v>36</v>
      </c>
      <c r="H440" t="s">
        <v>5140</v>
      </c>
      <c r="I440" t="s">
        <v>5141</v>
      </c>
      <c r="J440">
        <v>76273</v>
      </c>
      <c r="K440" t="s">
        <v>997</v>
      </c>
      <c r="L440" t="s">
        <v>5165</v>
      </c>
      <c r="M440" t="s">
        <v>19</v>
      </c>
      <c r="N440">
        <v>45481</v>
      </c>
      <c r="O440">
        <v>3265</v>
      </c>
      <c r="P440" t="s">
        <v>29</v>
      </c>
      <c r="Q440">
        <v>2</v>
      </c>
      <c r="R440" t="s">
        <v>76</v>
      </c>
      <c r="S440" t="s">
        <v>21</v>
      </c>
      <c r="T440" t="s">
        <v>29</v>
      </c>
    </row>
    <row r="441" spans="1:20" x14ac:dyDescent="0.3">
      <c r="A441" t="s">
        <v>998</v>
      </c>
      <c r="B441" t="s">
        <v>78</v>
      </c>
      <c r="C441" t="s">
        <v>121</v>
      </c>
      <c r="D441" t="s">
        <v>118</v>
      </c>
      <c r="E441" t="s">
        <v>26</v>
      </c>
      <c r="F441" t="s">
        <v>27</v>
      </c>
      <c r="G441" t="s">
        <v>50</v>
      </c>
      <c r="H441" t="s">
        <v>5138</v>
      </c>
      <c r="I441" t="s">
        <v>5139</v>
      </c>
      <c r="J441">
        <v>198000</v>
      </c>
      <c r="K441" t="s">
        <v>999</v>
      </c>
      <c r="L441" t="s">
        <v>113</v>
      </c>
      <c r="M441" t="s">
        <v>39</v>
      </c>
      <c r="N441">
        <v>45682</v>
      </c>
      <c r="O441">
        <v>867</v>
      </c>
      <c r="P441" t="s">
        <v>20</v>
      </c>
      <c r="Q441">
        <v>6</v>
      </c>
      <c r="R441" t="s">
        <v>52</v>
      </c>
      <c r="S441" t="s">
        <v>53</v>
      </c>
      <c r="T441" t="s">
        <v>20</v>
      </c>
    </row>
    <row r="442" spans="1:20" x14ac:dyDescent="0.3">
      <c r="A442" t="s">
        <v>1000</v>
      </c>
      <c r="B442" t="s">
        <v>215</v>
      </c>
      <c r="C442" t="s">
        <v>185</v>
      </c>
      <c r="D442" t="s">
        <v>25</v>
      </c>
      <c r="E442" t="s">
        <v>69</v>
      </c>
      <c r="F442" t="s">
        <v>70</v>
      </c>
      <c r="G442" t="s">
        <v>16</v>
      </c>
      <c r="H442" t="s">
        <v>5138</v>
      </c>
      <c r="I442" t="s">
        <v>5139</v>
      </c>
      <c r="J442">
        <v>213826</v>
      </c>
      <c r="K442" t="s">
        <v>1001</v>
      </c>
      <c r="L442" t="s">
        <v>82</v>
      </c>
      <c r="M442" t="s">
        <v>46</v>
      </c>
      <c r="N442">
        <v>45557</v>
      </c>
      <c r="O442">
        <v>858</v>
      </c>
      <c r="P442" t="s">
        <v>29</v>
      </c>
      <c r="Q442">
        <v>6</v>
      </c>
      <c r="R442" t="s">
        <v>47</v>
      </c>
      <c r="S442" t="s">
        <v>21</v>
      </c>
      <c r="T442" t="s">
        <v>29</v>
      </c>
    </row>
    <row r="443" spans="1:20" x14ac:dyDescent="0.3">
      <c r="A443" t="s">
        <v>1002</v>
      </c>
      <c r="B443" t="s">
        <v>99</v>
      </c>
      <c r="C443" t="s">
        <v>172</v>
      </c>
      <c r="D443" t="s">
        <v>57</v>
      </c>
      <c r="E443" t="s">
        <v>5131</v>
      </c>
      <c r="F443" t="s">
        <v>5125</v>
      </c>
      <c r="G443" t="s">
        <v>50</v>
      </c>
      <c r="H443" t="s">
        <v>5142</v>
      </c>
      <c r="I443" t="s">
        <v>5143</v>
      </c>
      <c r="J443">
        <v>149117</v>
      </c>
      <c r="K443" t="s">
        <v>1003</v>
      </c>
      <c r="L443" t="s">
        <v>142</v>
      </c>
      <c r="M443" t="s">
        <v>46</v>
      </c>
      <c r="N443">
        <v>45584</v>
      </c>
      <c r="O443">
        <v>2401</v>
      </c>
      <c r="P443" t="s">
        <v>29</v>
      </c>
      <c r="Q443">
        <v>4</v>
      </c>
      <c r="R443" t="s">
        <v>76</v>
      </c>
      <c r="S443" t="s">
        <v>21</v>
      </c>
      <c r="T443" t="s">
        <v>29</v>
      </c>
    </row>
    <row r="444" spans="1:20" x14ac:dyDescent="0.3">
      <c r="A444" t="s">
        <v>1004</v>
      </c>
      <c r="B444" t="s">
        <v>165</v>
      </c>
      <c r="C444" t="s">
        <v>219</v>
      </c>
      <c r="D444" t="s">
        <v>44</v>
      </c>
      <c r="E444" t="s">
        <v>5131</v>
      </c>
      <c r="F444" t="s">
        <v>5125</v>
      </c>
      <c r="G444" t="s">
        <v>16</v>
      </c>
      <c r="H444" t="s">
        <v>5138</v>
      </c>
      <c r="I444" t="s">
        <v>5139</v>
      </c>
      <c r="J444">
        <v>125572</v>
      </c>
      <c r="K444" t="s">
        <v>1005</v>
      </c>
      <c r="L444" t="s">
        <v>142</v>
      </c>
      <c r="M444" t="s">
        <v>19</v>
      </c>
      <c r="N444">
        <v>45546</v>
      </c>
      <c r="O444">
        <v>2110</v>
      </c>
      <c r="P444" t="s">
        <v>20</v>
      </c>
      <c r="Q444">
        <v>6</v>
      </c>
      <c r="R444" t="s">
        <v>5116</v>
      </c>
      <c r="S444" t="s">
        <v>53</v>
      </c>
      <c r="T444" t="s">
        <v>20</v>
      </c>
    </row>
    <row r="445" spans="1:20" x14ac:dyDescent="0.3">
      <c r="A445" t="s">
        <v>1006</v>
      </c>
      <c r="B445" t="s">
        <v>12</v>
      </c>
      <c r="C445" t="s">
        <v>197</v>
      </c>
      <c r="D445" t="s">
        <v>104</v>
      </c>
      <c r="E445" t="s">
        <v>5128</v>
      </c>
      <c r="F445" t="s">
        <v>5125</v>
      </c>
      <c r="G445" t="s">
        <v>16</v>
      </c>
      <c r="H445" t="s">
        <v>5136</v>
      </c>
      <c r="I445" t="s">
        <v>5137</v>
      </c>
      <c r="J445">
        <v>68877</v>
      </c>
      <c r="K445" t="s">
        <v>1007</v>
      </c>
      <c r="L445" t="s">
        <v>113</v>
      </c>
      <c r="M445" t="s">
        <v>72</v>
      </c>
      <c r="N445">
        <v>45571</v>
      </c>
      <c r="O445">
        <v>44</v>
      </c>
      <c r="P445" t="s">
        <v>20</v>
      </c>
      <c r="Q445">
        <v>0</v>
      </c>
      <c r="R445" t="s">
        <v>40</v>
      </c>
      <c r="S445" t="s">
        <v>53</v>
      </c>
      <c r="T445" t="s">
        <v>20</v>
      </c>
    </row>
    <row r="446" spans="1:20" x14ac:dyDescent="0.3">
      <c r="A446" t="s">
        <v>1008</v>
      </c>
      <c r="B446" t="s">
        <v>130</v>
      </c>
      <c r="C446" t="s">
        <v>185</v>
      </c>
      <c r="D446" t="s">
        <v>33</v>
      </c>
      <c r="E446" t="s">
        <v>193</v>
      </c>
      <c r="F446" t="s">
        <v>194</v>
      </c>
      <c r="G446" t="s">
        <v>36</v>
      </c>
      <c r="H446" t="s">
        <v>5138</v>
      </c>
      <c r="I446" t="s">
        <v>5139</v>
      </c>
      <c r="J446">
        <v>153039</v>
      </c>
      <c r="K446" t="s">
        <v>1009</v>
      </c>
      <c r="L446" t="s">
        <v>238</v>
      </c>
      <c r="M446" t="s">
        <v>46</v>
      </c>
      <c r="N446">
        <v>45298</v>
      </c>
      <c r="O446">
        <v>2969</v>
      </c>
      <c r="P446" t="s">
        <v>20</v>
      </c>
      <c r="Q446">
        <v>6</v>
      </c>
      <c r="R446" t="s">
        <v>40</v>
      </c>
      <c r="S446" t="s">
        <v>53</v>
      </c>
      <c r="T446" t="s">
        <v>29</v>
      </c>
    </row>
    <row r="447" spans="1:20" x14ac:dyDescent="0.3">
      <c r="A447" t="s">
        <v>1010</v>
      </c>
      <c r="B447" t="s">
        <v>99</v>
      </c>
      <c r="C447" t="s">
        <v>24</v>
      </c>
      <c r="D447" t="s">
        <v>33</v>
      </c>
      <c r="E447" t="s">
        <v>5131</v>
      </c>
      <c r="F447" t="s">
        <v>5125</v>
      </c>
      <c r="G447" t="s">
        <v>16</v>
      </c>
      <c r="H447" t="s">
        <v>5138</v>
      </c>
      <c r="I447" t="s">
        <v>5139</v>
      </c>
      <c r="J447">
        <v>224108</v>
      </c>
      <c r="K447" t="s">
        <v>1011</v>
      </c>
      <c r="L447" t="s">
        <v>38</v>
      </c>
      <c r="M447" t="s">
        <v>46</v>
      </c>
      <c r="N447">
        <v>45522</v>
      </c>
      <c r="O447">
        <v>3134</v>
      </c>
      <c r="P447" t="s">
        <v>20</v>
      </c>
      <c r="Q447">
        <v>6</v>
      </c>
      <c r="R447" t="s">
        <v>76</v>
      </c>
      <c r="S447" t="s">
        <v>21</v>
      </c>
      <c r="T447" t="s">
        <v>20</v>
      </c>
    </row>
    <row r="448" spans="1:20" x14ac:dyDescent="0.3">
      <c r="A448" t="s">
        <v>1012</v>
      </c>
      <c r="B448" t="s">
        <v>136</v>
      </c>
      <c r="C448" t="s">
        <v>103</v>
      </c>
      <c r="D448" t="s">
        <v>68</v>
      </c>
      <c r="E448" t="s">
        <v>58</v>
      </c>
      <c r="F448" t="s">
        <v>59</v>
      </c>
      <c r="G448" t="s">
        <v>16</v>
      </c>
      <c r="H448" t="s">
        <v>5136</v>
      </c>
      <c r="I448" t="s">
        <v>5137</v>
      </c>
      <c r="J448">
        <v>74619</v>
      </c>
      <c r="K448" t="s">
        <v>1013</v>
      </c>
      <c r="L448" t="s">
        <v>134</v>
      </c>
      <c r="M448" t="s">
        <v>46</v>
      </c>
      <c r="N448">
        <v>45461</v>
      </c>
      <c r="O448">
        <v>454</v>
      </c>
      <c r="P448" t="s">
        <v>20</v>
      </c>
      <c r="Q448">
        <v>0</v>
      </c>
      <c r="R448" t="s">
        <v>52</v>
      </c>
      <c r="S448" t="s">
        <v>21</v>
      </c>
      <c r="T448" t="s">
        <v>29</v>
      </c>
    </row>
    <row r="449" spans="1:20" x14ac:dyDescent="0.3">
      <c r="A449" t="s">
        <v>1014</v>
      </c>
      <c r="B449" t="s">
        <v>215</v>
      </c>
      <c r="C449" t="s">
        <v>43</v>
      </c>
      <c r="D449" t="s">
        <v>68</v>
      </c>
      <c r="E449" t="s">
        <v>126</v>
      </c>
      <c r="F449" t="s">
        <v>127</v>
      </c>
      <c r="G449" t="s">
        <v>16</v>
      </c>
      <c r="H449" t="s">
        <v>5136</v>
      </c>
      <c r="I449" t="s">
        <v>5137</v>
      </c>
      <c r="J449">
        <v>58157</v>
      </c>
      <c r="K449" t="s">
        <v>1015</v>
      </c>
      <c r="L449" t="s">
        <v>113</v>
      </c>
      <c r="M449" t="s">
        <v>19</v>
      </c>
      <c r="N449">
        <v>45715</v>
      </c>
      <c r="O449">
        <v>1519</v>
      </c>
      <c r="P449" t="s">
        <v>20</v>
      </c>
      <c r="Q449">
        <v>0</v>
      </c>
      <c r="R449" t="s">
        <v>47</v>
      </c>
      <c r="S449" t="s">
        <v>21</v>
      </c>
      <c r="T449" t="s">
        <v>20</v>
      </c>
    </row>
    <row r="450" spans="1:20" x14ac:dyDescent="0.3">
      <c r="A450" t="s">
        <v>1016</v>
      </c>
      <c r="B450" t="s">
        <v>130</v>
      </c>
      <c r="C450" t="s">
        <v>160</v>
      </c>
      <c r="D450" t="s">
        <v>104</v>
      </c>
      <c r="E450" t="s">
        <v>5129</v>
      </c>
      <c r="F450" t="s">
        <v>5130</v>
      </c>
      <c r="G450" t="s">
        <v>16</v>
      </c>
      <c r="H450" t="s">
        <v>5140</v>
      </c>
      <c r="I450" t="s">
        <v>5141</v>
      </c>
      <c r="J450">
        <v>99825</v>
      </c>
      <c r="K450" t="s">
        <v>1017</v>
      </c>
      <c r="L450" t="s">
        <v>82</v>
      </c>
      <c r="M450" t="s">
        <v>46</v>
      </c>
      <c r="N450">
        <v>45506</v>
      </c>
      <c r="O450">
        <v>2416</v>
      </c>
      <c r="P450" t="s">
        <v>29</v>
      </c>
      <c r="Q450">
        <v>2</v>
      </c>
      <c r="R450" t="s">
        <v>52</v>
      </c>
      <c r="S450" t="s">
        <v>21</v>
      </c>
      <c r="T450" t="s">
        <v>29</v>
      </c>
    </row>
    <row r="451" spans="1:20" x14ac:dyDescent="0.3">
      <c r="A451" t="s">
        <v>1018</v>
      </c>
      <c r="B451" t="s">
        <v>55</v>
      </c>
      <c r="C451" t="s">
        <v>32</v>
      </c>
      <c r="D451" t="s">
        <v>5156</v>
      </c>
      <c r="E451" t="s">
        <v>5128</v>
      </c>
      <c r="F451" t="s">
        <v>5125</v>
      </c>
      <c r="G451" t="s">
        <v>50</v>
      </c>
      <c r="H451" t="s">
        <v>5138</v>
      </c>
      <c r="I451" t="s">
        <v>5139</v>
      </c>
      <c r="J451">
        <v>161868</v>
      </c>
      <c r="K451" t="s">
        <v>1019</v>
      </c>
      <c r="L451" t="s">
        <v>82</v>
      </c>
      <c r="M451" t="s">
        <v>39</v>
      </c>
      <c r="N451">
        <v>45601</v>
      </c>
      <c r="O451">
        <v>2657</v>
      </c>
      <c r="P451" t="s">
        <v>92</v>
      </c>
      <c r="Q451">
        <v>6</v>
      </c>
      <c r="R451" t="s">
        <v>52</v>
      </c>
      <c r="S451" t="s">
        <v>21</v>
      </c>
      <c r="T451" t="s">
        <v>20</v>
      </c>
    </row>
    <row r="452" spans="1:20" x14ac:dyDescent="0.3">
      <c r="A452" t="s">
        <v>1020</v>
      </c>
      <c r="B452" t="s">
        <v>74</v>
      </c>
      <c r="C452" t="s">
        <v>139</v>
      </c>
      <c r="D452" t="s">
        <v>140</v>
      </c>
      <c r="E452" t="s">
        <v>209</v>
      </c>
      <c r="F452" t="s">
        <v>210</v>
      </c>
      <c r="G452" t="s">
        <v>50</v>
      </c>
      <c r="H452" t="s">
        <v>5138</v>
      </c>
      <c r="I452" t="s">
        <v>5139</v>
      </c>
      <c r="J452">
        <v>197743</v>
      </c>
      <c r="K452" t="s">
        <v>1021</v>
      </c>
      <c r="L452" t="s">
        <v>134</v>
      </c>
      <c r="M452" t="s">
        <v>72</v>
      </c>
      <c r="N452">
        <v>45727</v>
      </c>
      <c r="O452">
        <v>2871</v>
      </c>
      <c r="P452" t="s">
        <v>20</v>
      </c>
      <c r="Q452">
        <v>6</v>
      </c>
      <c r="R452" t="s">
        <v>52</v>
      </c>
      <c r="S452" t="s">
        <v>21</v>
      </c>
      <c r="T452" t="s">
        <v>29</v>
      </c>
    </row>
    <row r="453" spans="1:20" x14ac:dyDescent="0.3">
      <c r="A453" t="s">
        <v>1022</v>
      </c>
      <c r="B453" t="s">
        <v>215</v>
      </c>
      <c r="C453" t="s">
        <v>103</v>
      </c>
      <c r="D453" t="s">
        <v>44</v>
      </c>
      <c r="E453" t="s">
        <v>126</v>
      </c>
      <c r="F453" t="s">
        <v>127</v>
      </c>
      <c r="G453" t="s">
        <v>16</v>
      </c>
      <c r="H453" t="s">
        <v>5142</v>
      </c>
      <c r="I453" t="s">
        <v>5143</v>
      </c>
      <c r="J453">
        <v>175788</v>
      </c>
      <c r="K453" t="s">
        <v>1023</v>
      </c>
      <c r="L453" t="s">
        <v>38</v>
      </c>
      <c r="M453" t="s">
        <v>46</v>
      </c>
      <c r="N453">
        <v>45326</v>
      </c>
      <c r="O453">
        <v>1689</v>
      </c>
      <c r="P453" t="s">
        <v>20</v>
      </c>
      <c r="Q453">
        <v>4</v>
      </c>
      <c r="R453" t="s">
        <v>40</v>
      </c>
      <c r="S453" t="s">
        <v>21</v>
      </c>
      <c r="T453" t="s">
        <v>29</v>
      </c>
    </row>
    <row r="454" spans="1:20" x14ac:dyDescent="0.3">
      <c r="A454" t="s">
        <v>1024</v>
      </c>
      <c r="B454" t="s">
        <v>144</v>
      </c>
      <c r="C454" t="s">
        <v>24</v>
      </c>
      <c r="D454" t="s">
        <v>57</v>
      </c>
      <c r="E454" t="s">
        <v>34</v>
      </c>
      <c r="F454" t="s">
        <v>35</v>
      </c>
      <c r="G454" t="s">
        <v>16</v>
      </c>
      <c r="H454" t="s">
        <v>5136</v>
      </c>
      <c r="I454" t="s">
        <v>5137</v>
      </c>
      <c r="J454">
        <v>57579</v>
      </c>
      <c r="K454" t="s">
        <v>1025</v>
      </c>
      <c r="L454" t="s">
        <v>61</v>
      </c>
      <c r="M454" t="s">
        <v>46</v>
      </c>
      <c r="N454">
        <v>45673</v>
      </c>
      <c r="O454">
        <v>348</v>
      </c>
      <c r="P454" t="s">
        <v>20</v>
      </c>
      <c r="Q454">
        <v>0</v>
      </c>
      <c r="R454" t="s">
        <v>47</v>
      </c>
      <c r="S454" t="s">
        <v>53</v>
      </c>
      <c r="T454" t="s">
        <v>29</v>
      </c>
    </row>
    <row r="455" spans="1:20" x14ac:dyDescent="0.3">
      <c r="A455" t="s">
        <v>1026</v>
      </c>
      <c r="B455" t="s">
        <v>89</v>
      </c>
      <c r="C455" t="s">
        <v>43</v>
      </c>
      <c r="D455" t="s">
        <v>25</v>
      </c>
      <c r="E455" t="s">
        <v>95</v>
      </c>
      <c r="F455" t="s">
        <v>96</v>
      </c>
      <c r="G455" t="s">
        <v>16</v>
      </c>
      <c r="H455" t="s">
        <v>5142</v>
      </c>
      <c r="I455" t="s">
        <v>5143</v>
      </c>
      <c r="J455">
        <v>163609</v>
      </c>
      <c r="K455" t="s">
        <v>1027</v>
      </c>
      <c r="L455" t="s">
        <v>179</v>
      </c>
      <c r="M455" t="s">
        <v>19</v>
      </c>
      <c r="N455">
        <v>45301</v>
      </c>
      <c r="O455">
        <v>738</v>
      </c>
      <c r="P455" t="s">
        <v>29</v>
      </c>
      <c r="Q455">
        <v>4</v>
      </c>
      <c r="R455" t="s">
        <v>5116</v>
      </c>
      <c r="S455" t="s">
        <v>53</v>
      </c>
      <c r="T455" t="s">
        <v>20</v>
      </c>
    </row>
    <row r="456" spans="1:20" x14ac:dyDescent="0.3">
      <c r="A456" t="s">
        <v>1028</v>
      </c>
      <c r="B456" t="s">
        <v>165</v>
      </c>
      <c r="C456" t="s">
        <v>117</v>
      </c>
      <c r="D456" t="s">
        <v>5156</v>
      </c>
      <c r="E456" t="s">
        <v>69</v>
      </c>
      <c r="F456" t="s">
        <v>70</v>
      </c>
      <c r="G456" t="s">
        <v>36</v>
      </c>
      <c r="H456" t="s">
        <v>5136</v>
      </c>
      <c r="I456" t="s">
        <v>5137</v>
      </c>
      <c r="J456">
        <v>63318</v>
      </c>
      <c r="K456" t="s">
        <v>1029</v>
      </c>
      <c r="L456" t="s">
        <v>18</v>
      </c>
      <c r="M456" t="s">
        <v>39</v>
      </c>
      <c r="N456">
        <v>45658</v>
      </c>
      <c r="O456">
        <v>3814</v>
      </c>
      <c r="P456" t="s">
        <v>29</v>
      </c>
      <c r="Q456">
        <v>0</v>
      </c>
      <c r="R456" t="s">
        <v>47</v>
      </c>
      <c r="S456" t="s">
        <v>21</v>
      </c>
      <c r="T456" t="s">
        <v>29</v>
      </c>
    </row>
    <row r="457" spans="1:20" x14ac:dyDescent="0.3">
      <c r="A457" t="s">
        <v>1030</v>
      </c>
      <c r="B457" t="s">
        <v>144</v>
      </c>
      <c r="C457" t="s">
        <v>109</v>
      </c>
      <c r="D457" t="s">
        <v>118</v>
      </c>
      <c r="E457" t="s">
        <v>5124</v>
      </c>
      <c r="F457" t="s">
        <v>5125</v>
      </c>
      <c r="G457" t="s">
        <v>50</v>
      </c>
      <c r="H457" t="s">
        <v>5136</v>
      </c>
      <c r="I457" t="s">
        <v>5137</v>
      </c>
      <c r="J457">
        <v>60009</v>
      </c>
      <c r="K457" t="s">
        <v>1031</v>
      </c>
      <c r="L457" t="s">
        <v>5165</v>
      </c>
      <c r="M457" t="s">
        <v>39</v>
      </c>
      <c r="N457">
        <v>45640</v>
      </c>
      <c r="O457">
        <v>1712</v>
      </c>
      <c r="P457" t="s">
        <v>20</v>
      </c>
      <c r="Q457">
        <v>0</v>
      </c>
      <c r="R457" t="s">
        <v>40</v>
      </c>
      <c r="S457" t="s">
        <v>21</v>
      </c>
      <c r="T457" t="s">
        <v>20</v>
      </c>
    </row>
    <row r="458" spans="1:20" x14ac:dyDescent="0.3">
      <c r="A458" t="s">
        <v>1032</v>
      </c>
      <c r="B458" t="s">
        <v>78</v>
      </c>
      <c r="C458" t="s">
        <v>117</v>
      </c>
      <c r="D458" t="s">
        <v>140</v>
      </c>
      <c r="E458" t="s">
        <v>126</v>
      </c>
      <c r="F458" t="s">
        <v>127</v>
      </c>
      <c r="G458" t="s">
        <v>16</v>
      </c>
      <c r="H458" t="s">
        <v>5140</v>
      </c>
      <c r="I458" t="s">
        <v>5141</v>
      </c>
      <c r="J458">
        <v>107880</v>
      </c>
      <c r="K458" t="s">
        <v>1033</v>
      </c>
      <c r="L458" t="s">
        <v>61</v>
      </c>
      <c r="M458" t="s">
        <v>46</v>
      </c>
      <c r="N458">
        <v>45511</v>
      </c>
      <c r="O458">
        <v>1604</v>
      </c>
      <c r="P458" t="s">
        <v>29</v>
      </c>
      <c r="Q458">
        <v>2</v>
      </c>
      <c r="R458" t="s">
        <v>47</v>
      </c>
      <c r="S458" t="s">
        <v>21</v>
      </c>
      <c r="T458" t="s">
        <v>20</v>
      </c>
    </row>
    <row r="459" spans="1:20" x14ac:dyDescent="0.3">
      <c r="A459" t="s">
        <v>1034</v>
      </c>
      <c r="B459" t="s">
        <v>78</v>
      </c>
      <c r="C459" t="s">
        <v>160</v>
      </c>
      <c r="D459" t="s">
        <v>25</v>
      </c>
      <c r="E459" t="s">
        <v>5127</v>
      </c>
      <c r="F459" t="s">
        <v>5125</v>
      </c>
      <c r="G459" t="s">
        <v>16</v>
      </c>
      <c r="H459" t="s">
        <v>5142</v>
      </c>
      <c r="I459" t="s">
        <v>5143</v>
      </c>
      <c r="J459">
        <v>122048</v>
      </c>
      <c r="K459" t="s">
        <v>1035</v>
      </c>
      <c r="L459" t="s">
        <v>18</v>
      </c>
      <c r="M459" t="s">
        <v>72</v>
      </c>
      <c r="N459">
        <v>45403</v>
      </c>
      <c r="O459">
        <v>2594</v>
      </c>
      <c r="P459" t="s">
        <v>20</v>
      </c>
      <c r="Q459">
        <v>4</v>
      </c>
      <c r="R459" t="s">
        <v>47</v>
      </c>
      <c r="S459" t="s">
        <v>21</v>
      </c>
      <c r="T459" t="s">
        <v>20</v>
      </c>
    </row>
    <row r="460" spans="1:20" x14ac:dyDescent="0.3">
      <c r="A460" t="s">
        <v>1036</v>
      </c>
      <c r="B460" t="s">
        <v>229</v>
      </c>
      <c r="C460" t="s">
        <v>85</v>
      </c>
      <c r="D460" t="s">
        <v>5156</v>
      </c>
      <c r="E460" t="s">
        <v>5128</v>
      </c>
      <c r="F460" t="s">
        <v>5125</v>
      </c>
      <c r="G460" t="s">
        <v>16</v>
      </c>
      <c r="H460" t="s">
        <v>5138</v>
      </c>
      <c r="I460" t="s">
        <v>5139</v>
      </c>
      <c r="J460">
        <v>180068</v>
      </c>
      <c r="K460" t="s">
        <v>1037</v>
      </c>
      <c r="L460" t="s">
        <v>179</v>
      </c>
      <c r="M460" t="s">
        <v>46</v>
      </c>
      <c r="N460">
        <v>45603</v>
      </c>
      <c r="O460">
        <v>1275</v>
      </c>
      <c r="P460" t="s">
        <v>29</v>
      </c>
      <c r="Q460">
        <v>6</v>
      </c>
      <c r="R460" t="s">
        <v>52</v>
      </c>
      <c r="S460" t="s">
        <v>53</v>
      </c>
      <c r="T460" t="s">
        <v>20</v>
      </c>
    </row>
    <row r="461" spans="1:20" x14ac:dyDescent="0.3">
      <c r="A461" t="s">
        <v>1038</v>
      </c>
      <c r="B461" t="s">
        <v>222</v>
      </c>
      <c r="C461" t="s">
        <v>139</v>
      </c>
      <c r="D461" t="s">
        <v>167</v>
      </c>
      <c r="E461" t="s">
        <v>5133</v>
      </c>
      <c r="F461" t="s">
        <v>5125</v>
      </c>
      <c r="G461" t="s">
        <v>36</v>
      </c>
      <c r="H461" t="s">
        <v>5140</v>
      </c>
      <c r="I461" t="s">
        <v>5141</v>
      </c>
      <c r="J461">
        <v>86282</v>
      </c>
      <c r="K461" t="s">
        <v>1039</v>
      </c>
      <c r="L461" t="s">
        <v>18</v>
      </c>
      <c r="M461" t="s">
        <v>19</v>
      </c>
      <c r="N461">
        <v>45395</v>
      </c>
      <c r="O461">
        <v>2646</v>
      </c>
      <c r="P461" t="s">
        <v>20</v>
      </c>
      <c r="Q461">
        <v>2</v>
      </c>
      <c r="R461" t="s">
        <v>5116</v>
      </c>
      <c r="S461" t="s">
        <v>21</v>
      </c>
      <c r="T461" t="s">
        <v>20</v>
      </c>
    </row>
    <row r="462" spans="1:20" x14ac:dyDescent="0.3">
      <c r="A462" t="s">
        <v>1040</v>
      </c>
      <c r="B462" t="s">
        <v>74</v>
      </c>
      <c r="C462" t="s">
        <v>151</v>
      </c>
      <c r="D462" t="s">
        <v>33</v>
      </c>
      <c r="E462" t="s">
        <v>26</v>
      </c>
      <c r="F462" t="s">
        <v>27</v>
      </c>
      <c r="G462" t="s">
        <v>50</v>
      </c>
      <c r="H462" t="s">
        <v>5136</v>
      </c>
      <c r="I462" t="s">
        <v>5137</v>
      </c>
      <c r="J462">
        <v>94755</v>
      </c>
      <c r="K462" t="s">
        <v>1041</v>
      </c>
      <c r="L462" t="s">
        <v>5165</v>
      </c>
      <c r="M462" t="s">
        <v>46</v>
      </c>
      <c r="N462">
        <v>45461</v>
      </c>
      <c r="O462">
        <v>2145</v>
      </c>
      <c r="P462" t="s">
        <v>20</v>
      </c>
      <c r="Q462">
        <v>0</v>
      </c>
      <c r="R462" t="s">
        <v>52</v>
      </c>
      <c r="S462" t="s">
        <v>21</v>
      </c>
      <c r="T462" t="s">
        <v>29</v>
      </c>
    </row>
    <row r="463" spans="1:20" x14ac:dyDescent="0.3">
      <c r="A463" t="s">
        <v>1042</v>
      </c>
      <c r="B463" t="s">
        <v>89</v>
      </c>
      <c r="C463" t="s">
        <v>85</v>
      </c>
      <c r="D463" t="s">
        <v>68</v>
      </c>
      <c r="E463" t="s">
        <v>80</v>
      </c>
      <c r="F463" t="s">
        <v>80</v>
      </c>
      <c r="G463" t="s">
        <v>16</v>
      </c>
      <c r="H463" t="s">
        <v>5136</v>
      </c>
      <c r="I463" t="s">
        <v>5137</v>
      </c>
      <c r="J463">
        <v>70444</v>
      </c>
      <c r="K463" t="s">
        <v>1043</v>
      </c>
      <c r="L463" t="s">
        <v>238</v>
      </c>
      <c r="M463" t="s">
        <v>19</v>
      </c>
      <c r="N463">
        <v>45364</v>
      </c>
      <c r="O463">
        <v>1285</v>
      </c>
      <c r="P463" t="s">
        <v>29</v>
      </c>
      <c r="Q463">
        <v>0</v>
      </c>
      <c r="R463" t="s">
        <v>47</v>
      </c>
      <c r="S463" t="s">
        <v>21</v>
      </c>
      <c r="T463" t="s">
        <v>29</v>
      </c>
    </row>
    <row r="464" spans="1:20" x14ac:dyDescent="0.3">
      <c r="A464" t="s">
        <v>1044</v>
      </c>
      <c r="B464" t="s">
        <v>84</v>
      </c>
      <c r="C464" t="s">
        <v>49</v>
      </c>
      <c r="D464" t="s">
        <v>140</v>
      </c>
      <c r="E464" t="s">
        <v>223</v>
      </c>
      <c r="F464" t="s">
        <v>224</v>
      </c>
      <c r="G464" t="s">
        <v>36</v>
      </c>
      <c r="H464" t="s">
        <v>5142</v>
      </c>
      <c r="I464" t="s">
        <v>5143</v>
      </c>
      <c r="J464">
        <v>131107</v>
      </c>
      <c r="K464" t="s">
        <v>1045</v>
      </c>
      <c r="L464" t="s">
        <v>38</v>
      </c>
      <c r="M464" t="s">
        <v>19</v>
      </c>
      <c r="N464">
        <v>45617</v>
      </c>
      <c r="O464">
        <v>1741</v>
      </c>
      <c r="P464" t="s">
        <v>20</v>
      </c>
      <c r="Q464">
        <v>4</v>
      </c>
      <c r="R464" t="s">
        <v>52</v>
      </c>
      <c r="S464" t="s">
        <v>53</v>
      </c>
      <c r="T464" t="s">
        <v>20</v>
      </c>
    </row>
    <row r="465" spans="1:20" x14ac:dyDescent="0.3">
      <c r="A465" t="s">
        <v>1046</v>
      </c>
      <c r="B465" t="s">
        <v>89</v>
      </c>
      <c r="C465" t="s">
        <v>172</v>
      </c>
      <c r="D465" t="s">
        <v>57</v>
      </c>
      <c r="E465" t="s">
        <v>5126</v>
      </c>
      <c r="F465" t="s">
        <v>5125</v>
      </c>
      <c r="G465" t="s">
        <v>16</v>
      </c>
      <c r="H465" t="s">
        <v>5136</v>
      </c>
      <c r="I465" t="s">
        <v>5137</v>
      </c>
      <c r="J465">
        <v>72696</v>
      </c>
      <c r="K465" t="s">
        <v>1047</v>
      </c>
      <c r="L465" t="s">
        <v>82</v>
      </c>
      <c r="M465" t="s">
        <v>19</v>
      </c>
      <c r="N465">
        <v>45334</v>
      </c>
      <c r="O465">
        <v>304</v>
      </c>
      <c r="P465" t="s">
        <v>20</v>
      </c>
      <c r="Q465">
        <v>0</v>
      </c>
      <c r="R465" t="s">
        <v>52</v>
      </c>
      <c r="S465" t="s">
        <v>21</v>
      </c>
      <c r="T465" t="s">
        <v>20</v>
      </c>
    </row>
    <row r="466" spans="1:20" x14ac:dyDescent="0.3">
      <c r="A466" t="s">
        <v>1048</v>
      </c>
      <c r="B466" t="s">
        <v>144</v>
      </c>
      <c r="C466" t="s">
        <v>103</v>
      </c>
      <c r="D466" t="s">
        <v>140</v>
      </c>
      <c r="E466" t="s">
        <v>69</v>
      </c>
      <c r="F466" t="s">
        <v>70</v>
      </c>
      <c r="G466" t="s">
        <v>36</v>
      </c>
      <c r="H466" t="s">
        <v>5136</v>
      </c>
      <c r="I466" t="s">
        <v>5137</v>
      </c>
      <c r="J466">
        <v>68584</v>
      </c>
      <c r="K466" t="s">
        <v>1049</v>
      </c>
      <c r="L466" t="s">
        <v>18</v>
      </c>
      <c r="M466" t="s">
        <v>39</v>
      </c>
      <c r="N466">
        <v>45483</v>
      </c>
      <c r="O466">
        <v>1586</v>
      </c>
      <c r="P466" t="s">
        <v>92</v>
      </c>
      <c r="Q466">
        <v>0</v>
      </c>
      <c r="R466" t="s">
        <v>47</v>
      </c>
      <c r="S466" t="s">
        <v>21</v>
      </c>
      <c r="T466" t="s">
        <v>29</v>
      </c>
    </row>
    <row r="467" spans="1:20" x14ac:dyDescent="0.3">
      <c r="A467" t="s">
        <v>1050</v>
      </c>
      <c r="B467" t="s">
        <v>31</v>
      </c>
      <c r="C467" t="s">
        <v>85</v>
      </c>
      <c r="D467" t="s">
        <v>57</v>
      </c>
      <c r="E467" t="s">
        <v>69</v>
      </c>
      <c r="F467" t="s">
        <v>70</v>
      </c>
      <c r="G467" t="s">
        <v>36</v>
      </c>
      <c r="H467" t="s">
        <v>5142</v>
      </c>
      <c r="I467" t="s">
        <v>5143</v>
      </c>
      <c r="J467">
        <v>144033</v>
      </c>
      <c r="K467" t="s">
        <v>1051</v>
      </c>
      <c r="L467" t="s">
        <v>5165</v>
      </c>
      <c r="M467" t="s">
        <v>19</v>
      </c>
      <c r="N467">
        <v>45617</v>
      </c>
      <c r="O467">
        <v>2594</v>
      </c>
      <c r="P467" t="s">
        <v>20</v>
      </c>
      <c r="Q467">
        <v>4</v>
      </c>
      <c r="R467" t="s">
        <v>5116</v>
      </c>
      <c r="S467" t="s">
        <v>21</v>
      </c>
      <c r="T467" t="s">
        <v>20</v>
      </c>
    </row>
    <row r="468" spans="1:20" x14ac:dyDescent="0.3">
      <c r="A468" t="s">
        <v>1052</v>
      </c>
      <c r="B468" t="s">
        <v>31</v>
      </c>
      <c r="C468" t="s">
        <v>49</v>
      </c>
      <c r="D468" t="s">
        <v>140</v>
      </c>
      <c r="E468" t="s">
        <v>58</v>
      </c>
      <c r="F468" t="s">
        <v>59</v>
      </c>
      <c r="G468" t="s">
        <v>16</v>
      </c>
      <c r="H468" t="s">
        <v>5138</v>
      </c>
      <c r="I468" t="s">
        <v>5139</v>
      </c>
      <c r="J468">
        <v>222110</v>
      </c>
      <c r="K468" t="s">
        <v>1053</v>
      </c>
      <c r="L468" t="s">
        <v>5165</v>
      </c>
      <c r="M468" t="s">
        <v>39</v>
      </c>
      <c r="N468">
        <v>45600</v>
      </c>
      <c r="O468">
        <v>2133</v>
      </c>
      <c r="P468" t="s">
        <v>92</v>
      </c>
      <c r="Q468">
        <v>6</v>
      </c>
      <c r="R468" t="s">
        <v>52</v>
      </c>
      <c r="S468" t="s">
        <v>21</v>
      </c>
      <c r="T468" t="s">
        <v>29</v>
      </c>
    </row>
    <row r="469" spans="1:20" x14ac:dyDescent="0.3">
      <c r="A469" t="s">
        <v>1054</v>
      </c>
      <c r="B469" t="s">
        <v>74</v>
      </c>
      <c r="C469" t="s">
        <v>219</v>
      </c>
      <c r="D469" t="s">
        <v>118</v>
      </c>
      <c r="E469" t="s">
        <v>193</v>
      </c>
      <c r="F469" t="s">
        <v>194</v>
      </c>
      <c r="G469" t="s">
        <v>16</v>
      </c>
      <c r="H469" t="s">
        <v>5138</v>
      </c>
      <c r="I469" t="s">
        <v>5139</v>
      </c>
      <c r="J469">
        <v>227270</v>
      </c>
      <c r="K469" t="s">
        <v>1055</v>
      </c>
      <c r="L469" t="s">
        <v>5165</v>
      </c>
      <c r="M469" t="s">
        <v>19</v>
      </c>
      <c r="N469">
        <v>45502</v>
      </c>
      <c r="O469">
        <v>3819</v>
      </c>
      <c r="P469" t="s">
        <v>20</v>
      </c>
      <c r="Q469">
        <v>6</v>
      </c>
      <c r="R469" t="s">
        <v>40</v>
      </c>
      <c r="S469" t="s">
        <v>21</v>
      </c>
      <c r="T469" t="s">
        <v>29</v>
      </c>
    </row>
    <row r="470" spans="1:20" x14ac:dyDescent="0.3">
      <c r="A470" t="s">
        <v>1056</v>
      </c>
      <c r="B470" t="s">
        <v>89</v>
      </c>
      <c r="C470" t="s">
        <v>160</v>
      </c>
      <c r="D470" t="s">
        <v>118</v>
      </c>
      <c r="E470" t="s">
        <v>5129</v>
      </c>
      <c r="F470" t="s">
        <v>5130</v>
      </c>
      <c r="G470" t="s">
        <v>16</v>
      </c>
      <c r="H470" t="s">
        <v>5136</v>
      </c>
      <c r="I470" t="s">
        <v>5137</v>
      </c>
      <c r="J470">
        <v>63315</v>
      </c>
      <c r="K470" t="s">
        <v>1057</v>
      </c>
      <c r="L470" t="s">
        <v>38</v>
      </c>
      <c r="M470" t="s">
        <v>19</v>
      </c>
      <c r="N470">
        <v>45648</v>
      </c>
      <c r="O470">
        <v>2068</v>
      </c>
      <c r="P470" t="s">
        <v>92</v>
      </c>
      <c r="Q470">
        <v>0</v>
      </c>
      <c r="R470" t="s">
        <v>52</v>
      </c>
      <c r="S470" t="s">
        <v>21</v>
      </c>
      <c r="T470" t="s">
        <v>29</v>
      </c>
    </row>
    <row r="471" spans="1:20" x14ac:dyDescent="0.3">
      <c r="A471" t="s">
        <v>1058</v>
      </c>
      <c r="B471" t="s">
        <v>99</v>
      </c>
      <c r="C471" t="s">
        <v>94</v>
      </c>
      <c r="D471" t="s">
        <v>118</v>
      </c>
      <c r="E471" t="s">
        <v>95</v>
      </c>
      <c r="F471" t="s">
        <v>96</v>
      </c>
      <c r="G471" t="s">
        <v>50</v>
      </c>
      <c r="H471" t="s">
        <v>5136</v>
      </c>
      <c r="I471" t="s">
        <v>5137</v>
      </c>
      <c r="J471">
        <v>62744</v>
      </c>
      <c r="K471" t="s">
        <v>1059</v>
      </c>
      <c r="L471" t="s">
        <v>5165</v>
      </c>
      <c r="M471" t="s">
        <v>19</v>
      </c>
      <c r="N471">
        <v>45390</v>
      </c>
      <c r="O471">
        <v>1557</v>
      </c>
      <c r="P471" t="s">
        <v>29</v>
      </c>
      <c r="Q471">
        <v>0</v>
      </c>
      <c r="R471" t="s">
        <v>5116</v>
      </c>
      <c r="S471" t="s">
        <v>21</v>
      </c>
      <c r="T471" t="s">
        <v>20</v>
      </c>
    </row>
    <row r="472" spans="1:20" x14ac:dyDescent="0.3">
      <c r="A472" t="s">
        <v>1060</v>
      </c>
      <c r="B472" t="s">
        <v>89</v>
      </c>
      <c r="C472" t="s">
        <v>94</v>
      </c>
      <c r="D472" t="s">
        <v>33</v>
      </c>
      <c r="E472" t="s">
        <v>5129</v>
      </c>
      <c r="F472" t="s">
        <v>5130</v>
      </c>
      <c r="G472" t="s">
        <v>16</v>
      </c>
      <c r="H472" t="s">
        <v>5138</v>
      </c>
      <c r="I472" t="s">
        <v>5139</v>
      </c>
      <c r="J472">
        <v>190098</v>
      </c>
      <c r="K472" t="s">
        <v>1061</v>
      </c>
      <c r="L472" t="s">
        <v>5165</v>
      </c>
      <c r="M472" t="s">
        <v>46</v>
      </c>
      <c r="N472">
        <v>45428</v>
      </c>
      <c r="O472">
        <v>1548</v>
      </c>
      <c r="P472" t="s">
        <v>20</v>
      </c>
      <c r="Q472">
        <v>6</v>
      </c>
      <c r="R472" t="s">
        <v>40</v>
      </c>
      <c r="S472" t="s">
        <v>41</v>
      </c>
      <c r="T472" t="s">
        <v>20</v>
      </c>
    </row>
    <row r="473" spans="1:20" x14ac:dyDescent="0.3">
      <c r="A473" t="s">
        <v>1062</v>
      </c>
      <c r="B473" t="s">
        <v>229</v>
      </c>
      <c r="C473" t="s">
        <v>125</v>
      </c>
      <c r="D473" t="s">
        <v>167</v>
      </c>
      <c r="E473" t="s">
        <v>5124</v>
      </c>
      <c r="F473" t="s">
        <v>5125</v>
      </c>
      <c r="G473" t="s">
        <v>16</v>
      </c>
      <c r="H473" t="s">
        <v>5138</v>
      </c>
      <c r="I473" t="s">
        <v>5139</v>
      </c>
      <c r="J473">
        <v>117130</v>
      </c>
      <c r="K473" t="s">
        <v>1063</v>
      </c>
      <c r="L473" t="s">
        <v>18</v>
      </c>
      <c r="M473" t="s">
        <v>39</v>
      </c>
      <c r="N473">
        <v>45747</v>
      </c>
      <c r="O473">
        <v>22</v>
      </c>
      <c r="P473" t="s">
        <v>20</v>
      </c>
      <c r="Q473">
        <v>6</v>
      </c>
      <c r="R473" t="s">
        <v>52</v>
      </c>
      <c r="S473" t="s">
        <v>53</v>
      </c>
      <c r="T473" t="s">
        <v>20</v>
      </c>
    </row>
    <row r="474" spans="1:20" x14ac:dyDescent="0.3">
      <c r="A474" t="s">
        <v>1064</v>
      </c>
      <c r="B474" t="s">
        <v>55</v>
      </c>
      <c r="C474" t="s">
        <v>56</v>
      </c>
      <c r="D474" t="s">
        <v>140</v>
      </c>
      <c r="E474" t="s">
        <v>209</v>
      </c>
      <c r="F474" t="s">
        <v>210</v>
      </c>
      <c r="G474" t="s">
        <v>16</v>
      </c>
      <c r="H474" t="s">
        <v>5136</v>
      </c>
      <c r="I474" t="s">
        <v>5137</v>
      </c>
      <c r="J474">
        <v>50908</v>
      </c>
      <c r="K474" t="s">
        <v>1065</v>
      </c>
      <c r="L474" t="s">
        <v>82</v>
      </c>
      <c r="M474" t="s">
        <v>46</v>
      </c>
      <c r="N474">
        <v>45563</v>
      </c>
      <c r="O474">
        <v>2623</v>
      </c>
      <c r="P474" t="s">
        <v>92</v>
      </c>
      <c r="Q474">
        <v>0</v>
      </c>
      <c r="R474" t="s">
        <v>40</v>
      </c>
      <c r="S474" t="s">
        <v>21</v>
      </c>
      <c r="T474" t="s">
        <v>29</v>
      </c>
    </row>
    <row r="475" spans="1:20" x14ac:dyDescent="0.3">
      <c r="A475" t="s">
        <v>1066</v>
      </c>
      <c r="B475" t="s">
        <v>222</v>
      </c>
      <c r="C475" t="s">
        <v>232</v>
      </c>
      <c r="D475" t="s">
        <v>57</v>
      </c>
      <c r="E475" t="s">
        <v>34</v>
      </c>
      <c r="F475" t="s">
        <v>35</v>
      </c>
      <c r="G475" t="s">
        <v>16</v>
      </c>
      <c r="H475" t="s">
        <v>5142</v>
      </c>
      <c r="I475" t="s">
        <v>5143</v>
      </c>
      <c r="J475">
        <v>186905</v>
      </c>
      <c r="K475" t="s">
        <v>1067</v>
      </c>
      <c r="L475" t="s">
        <v>5165</v>
      </c>
      <c r="M475" t="s">
        <v>72</v>
      </c>
      <c r="N475">
        <v>45540</v>
      </c>
      <c r="O475">
        <v>3017</v>
      </c>
      <c r="P475" t="s">
        <v>20</v>
      </c>
      <c r="Q475">
        <v>4</v>
      </c>
      <c r="R475" t="s">
        <v>76</v>
      </c>
      <c r="S475" t="s">
        <v>21</v>
      </c>
      <c r="T475" t="s">
        <v>29</v>
      </c>
    </row>
    <row r="476" spans="1:20" x14ac:dyDescent="0.3">
      <c r="A476" t="s">
        <v>1068</v>
      </c>
      <c r="B476" t="s">
        <v>124</v>
      </c>
      <c r="C476" t="s">
        <v>94</v>
      </c>
      <c r="D476" t="s">
        <v>57</v>
      </c>
      <c r="E476" t="s">
        <v>58</v>
      </c>
      <c r="F476" t="s">
        <v>59</v>
      </c>
      <c r="G476" t="s">
        <v>36</v>
      </c>
      <c r="H476" t="s">
        <v>5136</v>
      </c>
      <c r="I476" t="s">
        <v>5137</v>
      </c>
      <c r="J476">
        <v>90726</v>
      </c>
      <c r="K476" t="s">
        <v>1069</v>
      </c>
      <c r="L476" t="s">
        <v>82</v>
      </c>
      <c r="M476" t="s">
        <v>46</v>
      </c>
      <c r="N476">
        <v>45336</v>
      </c>
      <c r="O476">
        <v>1006</v>
      </c>
      <c r="P476" t="s">
        <v>29</v>
      </c>
      <c r="Q476">
        <v>0</v>
      </c>
      <c r="R476" t="s">
        <v>5116</v>
      </c>
      <c r="S476" t="s">
        <v>21</v>
      </c>
      <c r="T476" t="s">
        <v>20</v>
      </c>
    </row>
    <row r="477" spans="1:20" x14ac:dyDescent="0.3">
      <c r="A477" t="s">
        <v>1070</v>
      </c>
      <c r="B477" t="s">
        <v>144</v>
      </c>
      <c r="C477" t="s">
        <v>43</v>
      </c>
      <c r="D477" t="s">
        <v>44</v>
      </c>
      <c r="E477" t="s">
        <v>5124</v>
      </c>
      <c r="F477" t="s">
        <v>5125</v>
      </c>
      <c r="G477" t="s">
        <v>50</v>
      </c>
      <c r="H477" t="s">
        <v>5140</v>
      </c>
      <c r="I477" t="s">
        <v>5141</v>
      </c>
      <c r="J477">
        <v>105069</v>
      </c>
      <c r="K477" t="s">
        <v>1071</v>
      </c>
      <c r="L477" t="s">
        <v>5165</v>
      </c>
      <c r="M477" t="s">
        <v>46</v>
      </c>
      <c r="N477">
        <v>45684</v>
      </c>
      <c r="O477">
        <v>2605</v>
      </c>
      <c r="P477" t="s">
        <v>20</v>
      </c>
      <c r="Q477">
        <v>2</v>
      </c>
      <c r="R477" t="s">
        <v>5116</v>
      </c>
      <c r="S477" t="s">
        <v>53</v>
      </c>
      <c r="T477" t="s">
        <v>29</v>
      </c>
    </row>
    <row r="478" spans="1:20" x14ac:dyDescent="0.3">
      <c r="A478" t="s">
        <v>1072</v>
      </c>
      <c r="B478" t="s">
        <v>84</v>
      </c>
      <c r="C478" t="s">
        <v>172</v>
      </c>
      <c r="D478" t="s">
        <v>44</v>
      </c>
      <c r="E478" t="s">
        <v>5124</v>
      </c>
      <c r="F478" t="s">
        <v>5125</v>
      </c>
      <c r="G478" t="s">
        <v>16</v>
      </c>
      <c r="H478" t="s">
        <v>5136</v>
      </c>
      <c r="I478" t="s">
        <v>5137</v>
      </c>
      <c r="J478">
        <v>77264</v>
      </c>
      <c r="K478" t="s">
        <v>1073</v>
      </c>
      <c r="L478" t="s">
        <v>142</v>
      </c>
      <c r="M478" t="s">
        <v>19</v>
      </c>
      <c r="N478">
        <v>45659</v>
      </c>
      <c r="O478">
        <v>3043</v>
      </c>
      <c r="P478" t="s">
        <v>20</v>
      </c>
      <c r="Q478">
        <v>0</v>
      </c>
      <c r="R478" t="s">
        <v>47</v>
      </c>
      <c r="S478" t="s">
        <v>53</v>
      </c>
      <c r="T478" t="s">
        <v>29</v>
      </c>
    </row>
    <row r="479" spans="1:20" x14ac:dyDescent="0.3">
      <c r="A479" t="s">
        <v>1074</v>
      </c>
      <c r="B479" t="s">
        <v>218</v>
      </c>
      <c r="C479" t="s">
        <v>13</v>
      </c>
      <c r="D479" t="s">
        <v>167</v>
      </c>
      <c r="E479" t="s">
        <v>5124</v>
      </c>
      <c r="F479" t="s">
        <v>5125</v>
      </c>
      <c r="G479" t="s">
        <v>50</v>
      </c>
      <c r="H479" t="s">
        <v>5140</v>
      </c>
      <c r="I479" t="s">
        <v>5141</v>
      </c>
      <c r="J479">
        <v>116162</v>
      </c>
      <c r="K479" t="s">
        <v>1075</v>
      </c>
      <c r="L479" t="s">
        <v>134</v>
      </c>
      <c r="M479" t="s">
        <v>39</v>
      </c>
      <c r="N479">
        <v>45587</v>
      </c>
      <c r="O479">
        <v>2138</v>
      </c>
      <c r="P479" t="s">
        <v>20</v>
      </c>
      <c r="Q479">
        <v>2</v>
      </c>
      <c r="R479" t="s">
        <v>76</v>
      </c>
      <c r="S479" t="s">
        <v>21</v>
      </c>
      <c r="T479" t="s">
        <v>29</v>
      </c>
    </row>
    <row r="480" spans="1:20" x14ac:dyDescent="0.3">
      <c r="A480" t="s">
        <v>1076</v>
      </c>
      <c r="B480" t="s">
        <v>23</v>
      </c>
      <c r="C480" t="s">
        <v>100</v>
      </c>
      <c r="D480" t="s">
        <v>5156</v>
      </c>
      <c r="E480" t="s">
        <v>5124</v>
      </c>
      <c r="F480" t="s">
        <v>5125</v>
      </c>
      <c r="G480" t="s">
        <v>16</v>
      </c>
      <c r="H480" t="s">
        <v>5138</v>
      </c>
      <c r="I480" t="s">
        <v>5139</v>
      </c>
      <c r="J480">
        <v>310839</v>
      </c>
      <c r="K480" t="s">
        <v>1077</v>
      </c>
      <c r="L480" t="s">
        <v>61</v>
      </c>
      <c r="M480" t="s">
        <v>46</v>
      </c>
      <c r="N480">
        <v>45443</v>
      </c>
      <c r="O480">
        <v>2067</v>
      </c>
      <c r="P480" t="s">
        <v>92</v>
      </c>
      <c r="Q480">
        <v>6</v>
      </c>
      <c r="R480" t="s">
        <v>5116</v>
      </c>
      <c r="S480" t="s">
        <v>21</v>
      </c>
      <c r="T480" t="s">
        <v>20</v>
      </c>
    </row>
    <row r="481" spans="1:20" x14ac:dyDescent="0.3">
      <c r="A481" t="s">
        <v>1078</v>
      </c>
      <c r="B481" t="s">
        <v>136</v>
      </c>
      <c r="C481" t="s">
        <v>232</v>
      </c>
      <c r="D481" t="s">
        <v>33</v>
      </c>
      <c r="E481" t="s">
        <v>80</v>
      </c>
      <c r="F481" t="s">
        <v>80</v>
      </c>
      <c r="G481" t="s">
        <v>36</v>
      </c>
      <c r="H481" t="s">
        <v>5138</v>
      </c>
      <c r="I481" t="s">
        <v>5139</v>
      </c>
      <c r="J481">
        <v>240304</v>
      </c>
      <c r="K481" t="s">
        <v>1079</v>
      </c>
      <c r="L481" t="s">
        <v>5165</v>
      </c>
      <c r="M481" t="s">
        <v>39</v>
      </c>
      <c r="N481">
        <v>45652</v>
      </c>
      <c r="O481">
        <v>3791</v>
      </c>
      <c r="P481" t="s">
        <v>92</v>
      </c>
      <c r="Q481">
        <v>6</v>
      </c>
      <c r="R481" t="s">
        <v>47</v>
      </c>
      <c r="S481" t="s">
        <v>53</v>
      </c>
      <c r="T481" t="s">
        <v>20</v>
      </c>
    </row>
    <row r="482" spans="1:20" x14ac:dyDescent="0.3">
      <c r="A482" t="s">
        <v>1080</v>
      </c>
      <c r="B482" t="s">
        <v>74</v>
      </c>
      <c r="C482" t="s">
        <v>172</v>
      </c>
      <c r="D482" t="s">
        <v>33</v>
      </c>
      <c r="E482" t="s">
        <v>5132</v>
      </c>
      <c r="F482" t="s">
        <v>5125</v>
      </c>
      <c r="G482" t="s">
        <v>36</v>
      </c>
      <c r="H482" t="s">
        <v>5140</v>
      </c>
      <c r="I482" t="s">
        <v>5141</v>
      </c>
      <c r="J482">
        <v>107467</v>
      </c>
      <c r="K482" t="s">
        <v>1081</v>
      </c>
      <c r="L482" t="s">
        <v>113</v>
      </c>
      <c r="M482" t="s">
        <v>39</v>
      </c>
      <c r="N482">
        <v>45464</v>
      </c>
      <c r="O482">
        <v>408</v>
      </c>
      <c r="P482" t="s">
        <v>29</v>
      </c>
      <c r="Q482">
        <v>2</v>
      </c>
      <c r="R482" t="s">
        <v>76</v>
      </c>
      <c r="S482" t="s">
        <v>53</v>
      </c>
      <c r="T482" t="s">
        <v>29</v>
      </c>
    </row>
    <row r="483" spans="1:20" x14ac:dyDescent="0.3">
      <c r="A483" t="s">
        <v>1082</v>
      </c>
      <c r="B483" t="s">
        <v>74</v>
      </c>
      <c r="C483" t="s">
        <v>117</v>
      </c>
      <c r="D483" t="s">
        <v>167</v>
      </c>
      <c r="E483" t="s">
        <v>95</v>
      </c>
      <c r="F483" t="s">
        <v>96</v>
      </c>
      <c r="G483" t="s">
        <v>36</v>
      </c>
      <c r="H483" t="s">
        <v>5138</v>
      </c>
      <c r="I483" t="s">
        <v>5139</v>
      </c>
      <c r="J483">
        <v>165600</v>
      </c>
      <c r="K483" t="s">
        <v>1083</v>
      </c>
      <c r="L483" t="s">
        <v>5165</v>
      </c>
      <c r="M483" t="s">
        <v>39</v>
      </c>
      <c r="N483">
        <v>45518</v>
      </c>
      <c r="O483">
        <v>2788</v>
      </c>
      <c r="P483" t="s">
        <v>20</v>
      </c>
      <c r="Q483">
        <v>6</v>
      </c>
      <c r="R483" t="s">
        <v>47</v>
      </c>
      <c r="S483" t="s">
        <v>21</v>
      </c>
      <c r="T483" t="s">
        <v>20</v>
      </c>
    </row>
    <row r="484" spans="1:20" x14ac:dyDescent="0.3">
      <c r="A484" t="s">
        <v>1084</v>
      </c>
      <c r="B484" t="s">
        <v>215</v>
      </c>
      <c r="C484" t="s">
        <v>202</v>
      </c>
      <c r="D484" t="s">
        <v>140</v>
      </c>
      <c r="E484" t="s">
        <v>5129</v>
      </c>
      <c r="F484" t="s">
        <v>5130</v>
      </c>
      <c r="G484" t="s">
        <v>16</v>
      </c>
      <c r="H484" t="s">
        <v>5136</v>
      </c>
      <c r="I484" t="s">
        <v>5137</v>
      </c>
      <c r="J484">
        <v>50000</v>
      </c>
      <c r="K484" t="s">
        <v>1085</v>
      </c>
      <c r="L484" t="s">
        <v>134</v>
      </c>
      <c r="M484" t="s">
        <v>19</v>
      </c>
      <c r="N484">
        <v>45534</v>
      </c>
      <c r="O484">
        <v>996</v>
      </c>
      <c r="P484" t="s">
        <v>20</v>
      </c>
      <c r="Q484">
        <v>0</v>
      </c>
      <c r="R484" t="s">
        <v>40</v>
      </c>
      <c r="S484" t="s">
        <v>21</v>
      </c>
      <c r="T484" t="s">
        <v>20</v>
      </c>
    </row>
    <row r="485" spans="1:20" x14ac:dyDescent="0.3">
      <c r="A485" t="s">
        <v>1086</v>
      </c>
      <c r="B485" t="s">
        <v>130</v>
      </c>
      <c r="C485" t="s">
        <v>94</v>
      </c>
      <c r="D485" t="s">
        <v>57</v>
      </c>
      <c r="E485" t="s">
        <v>34</v>
      </c>
      <c r="F485" t="s">
        <v>35</v>
      </c>
      <c r="G485" t="s">
        <v>50</v>
      </c>
      <c r="H485" t="s">
        <v>5136</v>
      </c>
      <c r="I485" t="s">
        <v>5137</v>
      </c>
      <c r="J485">
        <v>72563</v>
      </c>
      <c r="K485" t="s">
        <v>1087</v>
      </c>
      <c r="L485" t="s">
        <v>142</v>
      </c>
      <c r="M485" t="s">
        <v>46</v>
      </c>
      <c r="N485">
        <v>45624</v>
      </c>
      <c r="O485">
        <v>931</v>
      </c>
      <c r="P485" t="s">
        <v>29</v>
      </c>
      <c r="Q485">
        <v>0</v>
      </c>
      <c r="R485" t="s">
        <v>76</v>
      </c>
      <c r="S485" t="s">
        <v>41</v>
      </c>
      <c r="T485" t="s">
        <v>20</v>
      </c>
    </row>
    <row r="486" spans="1:20" x14ac:dyDescent="0.3">
      <c r="A486" t="s">
        <v>1088</v>
      </c>
      <c r="B486" t="s">
        <v>12</v>
      </c>
      <c r="C486" t="s">
        <v>121</v>
      </c>
      <c r="D486" t="s">
        <v>68</v>
      </c>
      <c r="E486" t="s">
        <v>5126</v>
      </c>
      <c r="F486" t="s">
        <v>5125</v>
      </c>
      <c r="G486" t="s">
        <v>36</v>
      </c>
      <c r="H486" t="s">
        <v>5140</v>
      </c>
      <c r="I486" t="s">
        <v>5141</v>
      </c>
      <c r="J486">
        <v>95024</v>
      </c>
      <c r="K486" t="s">
        <v>1089</v>
      </c>
      <c r="L486" t="s">
        <v>5165</v>
      </c>
      <c r="M486" t="s">
        <v>19</v>
      </c>
      <c r="N486">
        <v>45622</v>
      </c>
      <c r="O486">
        <v>1622</v>
      </c>
      <c r="P486" t="s">
        <v>20</v>
      </c>
      <c r="Q486">
        <v>2</v>
      </c>
      <c r="R486" t="s">
        <v>76</v>
      </c>
      <c r="S486" t="s">
        <v>53</v>
      </c>
      <c r="T486" t="s">
        <v>20</v>
      </c>
    </row>
    <row r="487" spans="1:20" x14ac:dyDescent="0.3">
      <c r="A487" t="s">
        <v>1090</v>
      </c>
      <c r="B487" t="s">
        <v>63</v>
      </c>
      <c r="C487" t="s">
        <v>151</v>
      </c>
      <c r="D487" t="s">
        <v>167</v>
      </c>
      <c r="E487" t="s">
        <v>80</v>
      </c>
      <c r="F487" t="s">
        <v>80</v>
      </c>
      <c r="G487" t="s">
        <v>50</v>
      </c>
      <c r="H487" t="s">
        <v>5136</v>
      </c>
      <c r="I487" t="s">
        <v>5137</v>
      </c>
      <c r="J487">
        <v>52079</v>
      </c>
      <c r="K487" t="s">
        <v>1091</v>
      </c>
      <c r="L487" t="s">
        <v>82</v>
      </c>
      <c r="M487" t="s">
        <v>19</v>
      </c>
      <c r="N487">
        <v>45352</v>
      </c>
      <c r="O487">
        <v>2365</v>
      </c>
      <c r="P487" t="s">
        <v>29</v>
      </c>
      <c r="Q487">
        <v>0</v>
      </c>
      <c r="R487" t="s">
        <v>47</v>
      </c>
      <c r="S487" t="s">
        <v>21</v>
      </c>
      <c r="T487" t="s">
        <v>29</v>
      </c>
    </row>
    <row r="488" spans="1:20" x14ac:dyDescent="0.3">
      <c r="A488" t="s">
        <v>1092</v>
      </c>
      <c r="B488" t="s">
        <v>222</v>
      </c>
      <c r="C488" t="s">
        <v>56</v>
      </c>
      <c r="D488" t="s">
        <v>25</v>
      </c>
      <c r="E488" t="s">
        <v>5129</v>
      </c>
      <c r="F488" t="s">
        <v>5130</v>
      </c>
      <c r="G488" t="s">
        <v>36</v>
      </c>
      <c r="H488" t="s">
        <v>5136</v>
      </c>
      <c r="I488" t="s">
        <v>5137</v>
      </c>
      <c r="J488">
        <v>61853</v>
      </c>
      <c r="K488" t="s">
        <v>1093</v>
      </c>
      <c r="L488" t="s">
        <v>5165</v>
      </c>
      <c r="M488" t="s">
        <v>46</v>
      </c>
      <c r="N488">
        <v>45478</v>
      </c>
      <c r="O488">
        <v>582</v>
      </c>
      <c r="P488" t="s">
        <v>20</v>
      </c>
      <c r="Q488">
        <v>0</v>
      </c>
      <c r="R488" t="s">
        <v>40</v>
      </c>
      <c r="S488" t="s">
        <v>21</v>
      </c>
      <c r="T488" t="s">
        <v>20</v>
      </c>
    </row>
    <row r="489" spans="1:20" x14ac:dyDescent="0.3">
      <c r="A489" t="s">
        <v>1094</v>
      </c>
      <c r="B489" t="s">
        <v>218</v>
      </c>
      <c r="C489" t="s">
        <v>197</v>
      </c>
      <c r="D489" t="s">
        <v>118</v>
      </c>
      <c r="E489" t="s">
        <v>5129</v>
      </c>
      <c r="F489" t="s">
        <v>5130</v>
      </c>
      <c r="G489" t="s">
        <v>36</v>
      </c>
      <c r="H489" t="s">
        <v>5140</v>
      </c>
      <c r="I489" t="s">
        <v>5141</v>
      </c>
      <c r="J489">
        <v>88585</v>
      </c>
      <c r="K489" t="s">
        <v>1095</v>
      </c>
      <c r="L489" t="s">
        <v>5165</v>
      </c>
      <c r="M489" t="s">
        <v>46</v>
      </c>
      <c r="N489">
        <v>45314</v>
      </c>
      <c r="O489">
        <v>2433</v>
      </c>
      <c r="P489" t="s">
        <v>20</v>
      </c>
      <c r="Q489">
        <v>2</v>
      </c>
      <c r="R489" t="s">
        <v>47</v>
      </c>
      <c r="S489" t="s">
        <v>53</v>
      </c>
      <c r="T489" t="s">
        <v>29</v>
      </c>
    </row>
    <row r="490" spans="1:20" x14ac:dyDescent="0.3">
      <c r="A490" t="s">
        <v>1096</v>
      </c>
      <c r="B490" t="s">
        <v>23</v>
      </c>
      <c r="C490" t="s">
        <v>103</v>
      </c>
      <c r="D490" t="s">
        <v>25</v>
      </c>
      <c r="E490" t="s">
        <v>14</v>
      </c>
      <c r="F490" t="s">
        <v>15</v>
      </c>
      <c r="G490" t="s">
        <v>16</v>
      </c>
      <c r="H490" t="s">
        <v>5142</v>
      </c>
      <c r="I490" t="s">
        <v>5143</v>
      </c>
      <c r="J490">
        <v>195552</v>
      </c>
      <c r="K490" t="s">
        <v>1097</v>
      </c>
      <c r="L490" t="s">
        <v>238</v>
      </c>
      <c r="M490" t="s">
        <v>72</v>
      </c>
      <c r="N490">
        <v>45375</v>
      </c>
      <c r="O490">
        <v>2936</v>
      </c>
      <c r="P490" t="s">
        <v>20</v>
      </c>
      <c r="Q490">
        <v>4</v>
      </c>
      <c r="R490" t="s">
        <v>76</v>
      </c>
      <c r="S490" t="s">
        <v>21</v>
      </c>
      <c r="T490" t="s">
        <v>29</v>
      </c>
    </row>
    <row r="491" spans="1:20" x14ac:dyDescent="0.3">
      <c r="A491" t="s">
        <v>1098</v>
      </c>
      <c r="B491" t="s">
        <v>55</v>
      </c>
      <c r="C491" t="s">
        <v>13</v>
      </c>
      <c r="D491" t="s">
        <v>44</v>
      </c>
      <c r="E491" t="s">
        <v>5131</v>
      </c>
      <c r="F491" t="s">
        <v>5125</v>
      </c>
      <c r="G491" t="s">
        <v>16</v>
      </c>
      <c r="H491" t="s">
        <v>5142</v>
      </c>
      <c r="I491" t="s">
        <v>5143</v>
      </c>
      <c r="J491">
        <v>173804</v>
      </c>
      <c r="K491" t="s">
        <v>1099</v>
      </c>
      <c r="L491" t="s">
        <v>87</v>
      </c>
      <c r="M491" t="s">
        <v>46</v>
      </c>
      <c r="N491">
        <v>45601</v>
      </c>
      <c r="O491">
        <v>1496</v>
      </c>
      <c r="P491" t="s">
        <v>92</v>
      </c>
      <c r="Q491">
        <v>4</v>
      </c>
      <c r="R491" t="s">
        <v>40</v>
      </c>
      <c r="S491" t="s">
        <v>21</v>
      </c>
      <c r="T491" t="s">
        <v>20</v>
      </c>
    </row>
    <row r="492" spans="1:20" x14ac:dyDescent="0.3">
      <c r="A492" t="s">
        <v>1100</v>
      </c>
      <c r="B492" t="s">
        <v>31</v>
      </c>
      <c r="C492" t="s">
        <v>32</v>
      </c>
      <c r="D492" t="s">
        <v>57</v>
      </c>
      <c r="E492" t="s">
        <v>5129</v>
      </c>
      <c r="F492" t="s">
        <v>5130</v>
      </c>
      <c r="G492" t="s">
        <v>16</v>
      </c>
      <c r="H492" t="s">
        <v>5136</v>
      </c>
      <c r="I492" t="s">
        <v>5137</v>
      </c>
      <c r="J492">
        <v>69899</v>
      </c>
      <c r="K492" t="s">
        <v>1101</v>
      </c>
      <c r="L492" t="s">
        <v>5165</v>
      </c>
      <c r="M492" t="s">
        <v>19</v>
      </c>
      <c r="N492">
        <v>45405</v>
      </c>
      <c r="O492">
        <v>2879</v>
      </c>
      <c r="P492" t="s">
        <v>20</v>
      </c>
      <c r="Q492">
        <v>0</v>
      </c>
      <c r="R492" t="s">
        <v>40</v>
      </c>
      <c r="S492" t="s">
        <v>21</v>
      </c>
      <c r="T492" t="s">
        <v>20</v>
      </c>
    </row>
    <row r="493" spans="1:20" x14ac:dyDescent="0.3">
      <c r="A493" t="s">
        <v>1102</v>
      </c>
      <c r="B493" t="s">
        <v>222</v>
      </c>
      <c r="C493" t="s">
        <v>67</v>
      </c>
      <c r="D493" t="s">
        <v>68</v>
      </c>
      <c r="E493" t="s">
        <v>5124</v>
      </c>
      <c r="F493" t="s">
        <v>5125</v>
      </c>
      <c r="G493" t="s">
        <v>50</v>
      </c>
      <c r="H493" t="s">
        <v>5140</v>
      </c>
      <c r="I493" t="s">
        <v>5141</v>
      </c>
      <c r="J493">
        <v>139302</v>
      </c>
      <c r="K493" t="s">
        <v>1103</v>
      </c>
      <c r="L493" t="s">
        <v>5165</v>
      </c>
      <c r="M493" t="s">
        <v>46</v>
      </c>
      <c r="N493">
        <v>45491</v>
      </c>
      <c r="O493">
        <v>1963</v>
      </c>
      <c r="P493" t="s">
        <v>20</v>
      </c>
      <c r="Q493">
        <v>2</v>
      </c>
      <c r="R493" t="s">
        <v>40</v>
      </c>
      <c r="S493" t="s">
        <v>21</v>
      </c>
      <c r="T493" t="s">
        <v>20</v>
      </c>
    </row>
    <row r="494" spans="1:20" x14ac:dyDescent="0.3">
      <c r="A494" t="s">
        <v>1104</v>
      </c>
      <c r="B494" t="s">
        <v>55</v>
      </c>
      <c r="C494" t="s">
        <v>43</v>
      </c>
      <c r="D494" t="s">
        <v>104</v>
      </c>
      <c r="E494" t="s">
        <v>58</v>
      </c>
      <c r="F494" t="s">
        <v>59</v>
      </c>
      <c r="G494" t="s">
        <v>16</v>
      </c>
      <c r="H494" t="s">
        <v>5140</v>
      </c>
      <c r="I494" t="s">
        <v>5141</v>
      </c>
      <c r="J494">
        <v>111531</v>
      </c>
      <c r="K494" t="s">
        <v>1105</v>
      </c>
      <c r="L494" t="s">
        <v>5165</v>
      </c>
      <c r="M494" t="s">
        <v>46</v>
      </c>
      <c r="N494">
        <v>45668</v>
      </c>
      <c r="O494">
        <v>759</v>
      </c>
      <c r="P494" t="s">
        <v>20</v>
      </c>
      <c r="Q494">
        <v>2</v>
      </c>
      <c r="R494" t="s">
        <v>40</v>
      </c>
      <c r="S494" t="s">
        <v>53</v>
      </c>
      <c r="T494" t="s">
        <v>20</v>
      </c>
    </row>
    <row r="495" spans="1:20" x14ac:dyDescent="0.3">
      <c r="A495" t="s">
        <v>1106</v>
      </c>
      <c r="B495" t="s">
        <v>31</v>
      </c>
      <c r="C495" t="s">
        <v>13</v>
      </c>
      <c r="D495" t="s">
        <v>167</v>
      </c>
      <c r="E495" t="s">
        <v>69</v>
      </c>
      <c r="F495" t="s">
        <v>70</v>
      </c>
      <c r="G495" t="s">
        <v>50</v>
      </c>
      <c r="H495" t="s">
        <v>5138</v>
      </c>
      <c r="I495" t="s">
        <v>5139</v>
      </c>
      <c r="J495">
        <v>168993</v>
      </c>
      <c r="K495" t="s">
        <v>1107</v>
      </c>
      <c r="L495" t="s">
        <v>5165</v>
      </c>
      <c r="M495" t="s">
        <v>39</v>
      </c>
      <c r="N495">
        <v>45743</v>
      </c>
      <c r="O495">
        <v>324</v>
      </c>
      <c r="P495" t="s">
        <v>20</v>
      </c>
      <c r="Q495">
        <v>6</v>
      </c>
      <c r="R495" t="s">
        <v>5116</v>
      </c>
      <c r="S495" t="s">
        <v>21</v>
      </c>
      <c r="T495" t="s">
        <v>29</v>
      </c>
    </row>
    <row r="496" spans="1:20" x14ac:dyDescent="0.3">
      <c r="A496" t="s">
        <v>1108</v>
      </c>
      <c r="B496" t="s">
        <v>74</v>
      </c>
      <c r="C496" t="s">
        <v>175</v>
      </c>
      <c r="D496" t="s">
        <v>44</v>
      </c>
      <c r="E496" t="s">
        <v>5132</v>
      </c>
      <c r="F496" t="s">
        <v>5125</v>
      </c>
      <c r="G496" t="s">
        <v>50</v>
      </c>
      <c r="H496" t="s">
        <v>5138</v>
      </c>
      <c r="I496" t="s">
        <v>5139</v>
      </c>
      <c r="J496">
        <v>254832</v>
      </c>
      <c r="K496" t="s">
        <v>1109</v>
      </c>
      <c r="L496" t="s">
        <v>5165</v>
      </c>
      <c r="M496" t="s">
        <v>46</v>
      </c>
      <c r="N496">
        <v>45509</v>
      </c>
      <c r="O496">
        <v>3740</v>
      </c>
      <c r="P496" t="s">
        <v>20</v>
      </c>
      <c r="Q496">
        <v>6</v>
      </c>
      <c r="R496" t="s">
        <v>5116</v>
      </c>
      <c r="S496" t="s">
        <v>53</v>
      </c>
      <c r="T496" t="s">
        <v>20</v>
      </c>
    </row>
    <row r="497" spans="1:20" x14ac:dyDescent="0.3">
      <c r="A497" t="s">
        <v>1110</v>
      </c>
      <c r="B497" t="s">
        <v>218</v>
      </c>
      <c r="C497" t="s">
        <v>56</v>
      </c>
      <c r="D497" t="s">
        <v>167</v>
      </c>
      <c r="E497" t="s">
        <v>69</v>
      </c>
      <c r="F497" t="s">
        <v>70</v>
      </c>
      <c r="G497" t="s">
        <v>36</v>
      </c>
      <c r="H497" t="s">
        <v>5140</v>
      </c>
      <c r="I497" t="s">
        <v>5141</v>
      </c>
      <c r="J497">
        <v>120670</v>
      </c>
      <c r="K497" t="s">
        <v>1111</v>
      </c>
      <c r="L497" t="s">
        <v>61</v>
      </c>
      <c r="M497" t="s">
        <v>72</v>
      </c>
      <c r="N497">
        <v>45313</v>
      </c>
      <c r="O497">
        <v>2039</v>
      </c>
      <c r="P497" t="s">
        <v>20</v>
      </c>
      <c r="Q497">
        <v>2</v>
      </c>
      <c r="R497" t="s">
        <v>40</v>
      </c>
      <c r="S497" t="s">
        <v>41</v>
      </c>
      <c r="T497" t="s">
        <v>29</v>
      </c>
    </row>
    <row r="498" spans="1:20" x14ac:dyDescent="0.3">
      <c r="A498" t="s">
        <v>1112</v>
      </c>
      <c r="B498" t="s">
        <v>84</v>
      </c>
      <c r="C498" t="s">
        <v>232</v>
      </c>
      <c r="D498" t="s">
        <v>68</v>
      </c>
      <c r="E498" t="s">
        <v>223</v>
      </c>
      <c r="F498" t="s">
        <v>224</v>
      </c>
      <c r="G498" t="s">
        <v>16</v>
      </c>
      <c r="H498" t="s">
        <v>5136</v>
      </c>
      <c r="I498" t="s">
        <v>5137</v>
      </c>
      <c r="J498">
        <v>56930</v>
      </c>
      <c r="K498" t="s">
        <v>1113</v>
      </c>
      <c r="L498" t="s">
        <v>113</v>
      </c>
      <c r="M498" t="s">
        <v>39</v>
      </c>
      <c r="N498">
        <v>45442</v>
      </c>
      <c r="O498">
        <v>3841</v>
      </c>
      <c r="P498" t="s">
        <v>20</v>
      </c>
      <c r="Q498">
        <v>0</v>
      </c>
      <c r="R498" t="s">
        <v>76</v>
      </c>
      <c r="S498" t="s">
        <v>53</v>
      </c>
      <c r="T498" t="s">
        <v>29</v>
      </c>
    </row>
    <row r="499" spans="1:20" x14ac:dyDescent="0.3">
      <c r="A499" t="s">
        <v>1114</v>
      </c>
      <c r="B499" t="s">
        <v>144</v>
      </c>
      <c r="C499" t="s">
        <v>117</v>
      </c>
      <c r="D499" t="s">
        <v>44</v>
      </c>
      <c r="E499" t="s">
        <v>5124</v>
      </c>
      <c r="F499" t="s">
        <v>5125</v>
      </c>
      <c r="G499" t="s">
        <v>16</v>
      </c>
      <c r="H499" t="s">
        <v>5138</v>
      </c>
      <c r="I499" t="s">
        <v>5139</v>
      </c>
      <c r="J499">
        <v>193147</v>
      </c>
      <c r="K499" t="s">
        <v>1115</v>
      </c>
      <c r="L499" t="s">
        <v>38</v>
      </c>
      <c r="M499" t="s">
        <v>46</v>
      </c>
      <c r="N499">
        <v>45346</v>
      </c>
      <c r="O499">
        <v>357</v>
      </c>
      <c r="P499" t="s">
        <v>20</v>
      </c>
      <c r="Q499">
        <v>6</v>
      </c>
      <c r="R499" t="s">
        <v>47</v>
      </c>
      <c r="S499" t="s">
        <v>21</v>
      </c>
      <c r="T499" t="s">
        <v>20</v>
      </c>
    </row>
    <row r="500" spans="1:20" x14ac:dyDescent="0.3">
      <c r="A500" t="s">
        <v>1116</v>
      </c>
      <c r="B500" t="s">
        <v>144</v>
      </c>
      <c r="C500" t="s">
        <v>94</v>
      </c>
      <c r="D500" t="s">
        <v>57</v>
      </c>
      <c r="E500" t="s">
        <v>14</v>
      </c>
      <c r="F500" t="s">
        <v>15</v>
      </c>
      <c r="G500" t="s">
        <v>16</v>
      </c>
      <c r="H500" t="s">
        <v>5140</v>
      </c>
      <c r="I500" t="s">
        <v>5141</v>
      </c>
      <c r="J500">
        <v>92662</v>
      </c>
      <c r="K500" t="s">
        <v>1117</v>
      </c>
      <c r="L500" t="s">
        <v>113</v>
      </c>
      <c r="M500" t="s">
        <v>46</v>
      </c>
      <c r="N500">
        <v>45494</v>
      </c>
      <c r="O500">
        <v>672</v>
      </c>
      <c r="P500" t="s">
        <v>29</v>
      </c>
      <c r="Q500">
        <v>2</v>
      </c>
      <c r="R500" t="s">
        <v>52</v>
      </c>
      <c r="S500" t="s">
        <v>21</v>
      </c>
      <c r="T500" t="s">
        <v>20</v>
      </c>
    </row>
    <row r="501" spans="1:20" x14ac:dyDescent="0.3">
      <c r="A501" t="s">
        <v>1118</v>
      </c>
      <c r="B501" t="s">
        <v>99</v>
      </c>
      <c r="C501" t="s">
        <v>43</v>
      </c>
      <c r="D501" t="s">
        <v>25</v>
      </c>
      <c r="E501" t="s">
        <v>80</v>
      </c>
      <c r="F501" t="s">
        <v>80</v>
      </c>
      <c r="G501" t="s">
        <v>16</v>
      </c>
      <c r="H501" t="s">
        <v>5136</v>
      </c>
      <c r="I501" t="s">
        <v>5137</v>
      </c>
      <c r="J501">
        <v>52576</v>
      </c>
      <c r="K501" t="s">
        <v>1119</v>
      </c>
      <c r="L501" t="s">
        <v>82</v>
      </c>
      <c r="M501" t="s">
        <v>19</v>
      </c>
      <c r="N501">
        <v>45360</v>
      </c>
      <c r="O501">
        <v>2263</v>
      </c>
      <c r="P501" t="s">
        <v>20</v>
      </c>
      <c r="Q501">
        <v>0</v>
      </c>
      <c r="R501" t="s">
        <v>47</v>
      </c>
      <c r="S501" t="s">
        <v>21</v>
      </c>
      <c r="T501" t="s">
        <v>20</v>
      </c>
    </row>
    <row r="502" spans="1:20" x14ac:dyDescent="0.3">
      <c r="A502" t="s">
        <v>1120</v>
      </c>
      <c r="B502" t="s">
        <v>130</v>
      </c>
      <c r="C502" t="s">
        <v>125</v>
      </c>
      <c r="D502" t="s">
        <v>167</v>
      </c>
      <c r="E502" t="s">
        <v>58</v>
      </c>
      <c r="F502" t="s">
        <v>59</v>
      </c>
      <c r="G502" t="s">
        <v>16</v>
      </c>
      <c r="H502" t="s">
        <v>5138</v>
      </c>
      <c r="I502" t="s">
        <v>5139</v>
      </c>
      <c r="J502">
        <v>233342</v>
      </c>
      <c r="K502" t="s">
        <v>1121</v>
      </c>
      <c r="L502" t="s">
        <v>238</v>
      </c>
      <c r="M502" t="s">
        <v>46</v>
      </c>
      <c r="N502">
        <v>45347</v>
      </c>
      <c r="O502">
        <v>1789</v>
      </c>
      <c r="P502" t="s">
        <v>20</v>
      </c>
      <c r="Q502">
        <v>6</v>
      </c>
      <c r="R502" t="s">
        <v>40</v>
      </c>
      <c r="S502" t="s">
        <v>21</v>
      </c>
      <c r="T502" t="s">
        <v>20</v>
      </c>
    </row>
    <row r="503" spans="1:20" x14ac:dyDescent="0.3">
      <c r="A503" t="s">
        <v>1122</v>
      </c>
      <c r="B503" t="s">
        <v>84</v>
      </c>
      <c r="C503" t="s">
        <v>197</v>
      </c>
      <c r="D503" t="s">
        <v>57</v>
      </c>
      <c r="E503" t="s">
        <v>69</v>
      </c>
      <c r="F503" t="s">
        <v>70</v>
      </c>
      <c r="G503" t="s">
        <v>16</v>
      </c>
      <c r="H503" t="s">
        <v>5140</v>
      </c>
      <c r="I503" t="s">
        <v>5141</v>
      </c>
      <c r="J503">
        <v>147806</v>
      </c>
      <c r="K503" t="s">
        <v>1123</v>
      </c>
      <c r="L503" t="s">
        <v>134</v>
      </c>
      <c r="M503" t="s">
        <v>39</v>
      </c>
      <c r="N503">
        <v>45435</v>
      </c>
      <c r="O503">
        <v>2881</v>
      </c>
      <c r="P503" t="s">
        <v>20</v>
      </c>
      <c r="Q503">
        <v>2</v>
      </c>
      <c r="R503" t="s">
        <v>76</v>
      </c>
      <c r="S503" t="s">
        <v>21</v>
      </c>
      <c r="T503" t="s">
        <v>20</v>
      </c>
    </row>
    <row r="504" spans="1:20" x14ac:dyDescent="0.3">
      <c r="A504" t="s">
        <v>1124</v>
      </c>
      <c r="B504" t="s">
        <v>136</v>
      </c>
      <c r="C504" t="s">
        <v>197</v>
      </c>
      <c r="D504" t="s">
        <v>44</v>
      </c>
      <c r="E504" t="s">
        <v>26</v>
      </c>
      <c r="F504" t="s">
        <v>27</v>
      </c>
      <c r="G504" t="s">
        <v>16</v>
      </c>
      <c r="H504" t="s">
        <v>5140</v>
      </c>
      <c r="I504" t="s">
        <v>5141</v>
      </c>
      <c r="J504">
        <v>82308</v>
      </c>
      <c r="K504" t="s">
        <v>1125</v>
      </c>
      <c r="L504" t="s">
        <v>18</v>
      </c>
      <c r="M504" t="s">
        <v>39</v>
      </c>
      <c r="N504">
        <v>45497</v>
      </c>
      <c r="O504">
        <v>1678</v>
      </c>
      <c r="P504" t="s">
        <v>20</v>
      </c>
      <c r="Q504">
        <v>2</v>
      </c>
      <c r="R504" t="s">
        <v>47</v>
      </c>
      <c r="S504" t="s">
        <v>21</v>
      </c>
      <c r="T504" t="s">
        <v>29</v>
      </c>
    </row>
    <row r="505" spans="1:20" x14ac:dyDescent="0.3">
      <c r="A505" t="s">
        <v>1126</v>
      </c>
      <c r="B505" t="s">
        <v>222</v>
      </c>
      <c r="C505" t="s">
        <v>160</v>
      </c>
      <c r="D505" t="s">
        <v>5156</v>
      </c>
      <c r="E505" t="s">
        <v>5127</v>
      </c>
      <c r="F505" t="s">
        <v>5125</v>
      </c>
      <c r="G505" t="s">
        <v>16</v>
      </c>
      <c r="H505" t="s">
        <v>5138</v>
      </c>
      <c r="I505" t="s">
        <v>5139</v>
      </c>
      <c r="J505">
        <v>220266</v>
      </c>
      <c r="K505" t="s">
        <v>1127</v>
      </c>
      <c r="L505" t="s">
        <v>179</v>
      </c>
      <c r="M505" t="s">
        <v>19</v>
      </c>
      <c r="N505">
        <v>45429</v>
      </c>
      <c r="O505">
        <v>878</v>
      </c>
      <c r="P505" t="s">
        <v>20</v>
      </c>
      <c r="Q505">
        <v>6</v>
      </c>
      <c r="R505" t="s">
        <v>40</v>
      </c>
      <c r="S505" t="s">
        <v>53</v>
      </c>
      <c r="T505" t="s">
        <v>29</v>
      </c>
    </row>
    <row r="506" spans="1:20" x14ac:dyDescent="0.3">
      <c r="A506" t="s">
        <v>1128</v>
      </c>
      <c r="B506" t="s">
        <v>215</v>
      </c>
      <c r="C506" t="s">
        <v>64</v>
      </c>
      <c r="D506" t="s">
        <v>118</v>
      </c>
      <c r="E506" t="s">
        <v>152</v>
      </c>
      <c r="F506" t="s">
        <v>153</v>
      </c>
      <c r="G506" t="s">
        <v>16</v>
      </c>
      <c r="H506" t="s">
        <v>5142</v>
      </c>
      <c r="I506" t="s">
        <v>5143</v>
      </c>
      <c r="J506">
        <v>132432</v>
      </c>
      <c r="K506" t="s">
        <v>1129</v>
      </c>
      <c r="L506" t="s">
        <v>5165</v>
      </c>
      <c r="M506" t="s">
        <v>46</v>
      </c>
      <c r="N506">
        <v>45447</v>
      </c>
      <c r="O506">
        <v>3053</v>
      </c>
      <c r="P506" t="s">
        <v>20</v>
      </c>
      <c r="Q506">
        <v>4</v>
      </c>
      <c r="R506" t="s">
        <v>76</v>
      </c>
      <c r="S506" t="s">
        <v>21</v>
      </c>
      <c r="T506" t="s">
        <v>29</v>
      </c>
    </row>
    <row r="507" spans="1:20" x14ac:dyDescent="0.3">
      <c r="A507" t="s">
        <v>1130</v>
      </c>
      <c r="B507" t="s">
        <v>31</v>
      </c>
      <c r="C507" t="s">
        <v>32</v>
      </c>
      <c r="D507" t="s">
        <v>33</v>
      </c>
      <c r="E507" t="s">
        <v>193</v>
      </c>
      <c r="F507" t="s">
        <v>194</v>
      </c>
      <c r="G507" t="s">
        <v>16</v>
      </c>
      <c r="H507" t="s">
        <v>5140</v>
      </c>
      <c r="I507" t="s">
        <v>5141</v>
      </c>
      <c r="J507">
        <v>100354</v>
      </c>
      <c r="K507" t="s">
        <v>1131</v>
      </c>
      <c r="L507" t="s">
        <v>179</v>
      </c>
      <c r="M507" t="s">
        <v>19</v>
      </c>
      <c r="N507">
        <v>45746</v>
      </c>
      <c r="O507">
        <v>3800</v>
      </c>
      <c r="P507" t="s">
        <v>29</v>
      </c>
      <c r="Q507">
        <v>2</v>
      </c>
      <c r="R507" t="s">
        <v>76</v>
      </c>
      <c r="S507" t="s">
        <v>21</v>
      </c>
      <c r="T507" t="s">
        <v>29</v>
      </c>
    </row>
    <row r="508" spans="1:20" x14ac:dyDescent="0.3">
      <c r="A508" t="s">
        <v>1132</v>
      </c>
      <c r="B508" t="s">
        <v>89</v>
      </c>
      <c r="C508" t="s">
        <v>219</v>
      </c>
      <c r="D508" t="s">
        <v>167</v>
      </c>
      <c r="E508" t="s">
        <v>126</v>
      </c>
      <c r="F508" t="s">
        <v>127</v>
      </c>
      <c r="G508" t="s">
        <v>36</v>
      </c>
      <c r="H508" t="s">
        <v>5140</v>
      </c>
      <c r="I508" t="s">
        <v>5141</v>
      </c>
      <c r="J508">
        <v>98270</v>
      </c>
      <c r="K508" t="s">
        <v>1133</v>
      </c>
      <c r="L508" t="s">
        <v>87</v>
      </c>
      <c r="M508" t="s">
        <v>46</v>
      </c>
      <c r="N508">
        <v>45314</v>
      </c>
      <c r="O508">
        <v>3740</v>
      </c>
      <c r="P508" t="s">
        <v>20</v>
      </c>
      <c r="Q508">
        <v>2</v>
      </c>
      <c r="R508" t="s">
        <v>52</v>
      </c>
      <c r="S508" t="s">
        <v>21</v>
      </c>
      <c r="T508" t="s">
        <v>20</v>
      </c>
    </row>
    <row r="509" spans="1:20" x14ac:dyDescent="0.3">
      <c r="A509" t="s">
        <v>1134</v>
      </c>
      <c r="B509" t="s">
        <v>124</v>
      </c>
      <c r="C509" t="s">
        <v>197</v>
      </c>
      <c r="D509" t="s">
        <v>140</v>
      </c>
      <c r="E509" t="s">
        <v>95</v>
      </c>
      <c r="F509" t="s">
        <v>96</v>
      </c>
      <c r="G509" t="s">
        <v>36</v>
      </c>
      <c r="H509" t="s">
        <v>5136</v>
      </c>
      <c r="I509" t="s">
        <v>5137</v>
      </c>
      <c r="J509">
        <v>59113</v>
      </c>
      <c r="K509" t="s">
        <v>1135</v>
      </c>
      <c r="L509" t="s">
        <v>5165</v>
      </c>
      <c r="M509" t="s">
        <v>46</v>
      </c>
      <c r="N509">
        <v>45648</v>
      </c>
      <c r="O509">
        <v>3574</v>
      </c>
      <c r="P509" t="s">
        <v>20</v>
      </c>
      <c r="Q509">
        <v>0</v>
      </c>
      <c r="R509" t="s">
        <v>5116</v>
      </c>
      <c r="S509" t="s">
        <v>21</v>
      </c>
      <c r="T509" t="s">
        <v>20</v>
      </c>
    </row>
    <row r="510" spans="1:20" x14ac:dyDescent="0.3">
      <c r="A510" t="s">
        <v>1136</v>
      </c>
      <c r="B510" t="s">
        <v>130</v>
      </c>
      <c r="C510" t="s">
        <v>79</v>
      </c>
      <c r="D510" t="s">
        <v>68</v>
      </c>
      <c r="E510" t="s">
        <v>5126</v>
      </c>
      <c r="F510" t="s">
        <v>5125</v>
      </c>
      <c r="G510" t="s">
        <v>36</v>
      </c>
      <c r="H510" t="s">
        <v>5138</v>
      </c>
      <c r="I510" t="s">
        <v>5139</v>
      </c>
      <c r="J510">
        <v>201746</v>
      </c>
      <c r="K510" t="s">
        <v>1137</v>
      </c>
      <c r="L510" t="s">
        <v>179</v>
      </c>
      <c r="M510" t="s">
        <v>46</v>
      </c>
      <c r="N510">
        <v>45397</v>
      </c>
      <c r="O510">
        <v>1070</v>
      </c>
      <c r="P510" t="s">
        <v>20</v>
      </c>
      <c r="Q510">
        <v>6</v>
      </c>
      <c r="R510" t="s">
        <v>47</v>
      </c>
      <c r="S510" t="s">
        <v>21</v>
      </c>
      <c r="T510" t="s">
        <v>29</v>
      </c>
    </row>
    <row r="511" spans="1:20" x14ac:dyDescent="0.3">
      <c r="A511" t="s">
        <v>1138</v>
      </c>
      <c r="B511" t="s">
        <v>12</v>
      </c>
      <c r="C511" t="s">
        <v>166</v>
      </c>
      <c r="D511" t="s">
        <v>5156</v>
      </c>
      <c r="E511" t="s">
        <v>26</v>
      </c>
      <c r="F511" t="s">
        <v>27</v>
      </c>
      <c r="G511" t="s">
        <v>16</v>
      </c>
      <c r="H511" t="s">
        <v>5140</v>
      </c>
      <c r="I511" t="s">
        <v>5141</v>
      </c>
      <c r="J511">
        <v>93547</v>
      </c>
      <c r="K511" t="s">
        <v>1139</v>
      </c>
      <c r="L511" t="s">
        <v>5165</v>
      </c>
      <c r="M511" t="s">
        <v>46</v>
      </c>
      <c r="N511">
        <v>45413</v>
      </c>
      <c r="O511">
        <v>3382</v>
      </c>
      <c r="P511" t="s">
        <v>29</v>
      </c>
      <c r="Q511">
        <v>2</v>
      </c>
      <c r="R511" t="s">
        <v>5116</v>
      </c>
      <c r="S511" t="s">
        <v>21</v>
      </c>
      <c r="T511" t="s">
        <v>29</v>
      </c>
    </row>
    <row r="512" spans="1:20" x14ac:dyDescent="0.3">
      <c r="A512" t="s">
        <v>1140</v>
      </c>
      <c r="B512" t="s">
        <v>78</v>
      </c>
      <c r="C512" t="s">
        <v>90</v>
      </c>
      <c r="D512" t="s">
        <v>5156</v>
      </c>
      <c r="E512" t="s">
        <v>5124</v>
      </c>
      <c r="F512" t="s">
        <v>5125</v>
      </c>
      <c r="G512" t="s">
        <v>16</v>
      </c>
      <c r="H512" t="s">
        <v>5142</v>
      </c>
      <c r="I512" t="s">
        <v>5143</v>
      </c>
      <c r="J512">
        <v>157302</v>
      </c>
      <c r="K512" t="s">
        <v>1141</v>
      </c>
      <c r="L512" t="s">
        <v>5165</v>
      </c>
      <c r="M512" t="s">
        <v>39</v>
      </c>
      <c r="N512">
        <v>45653</v>
      </c>
      <c r="O512">
        <v>3002</v>
      </c>
      <c r="P512" t="s">
        <v>92</v>
      </c>
      <c r="Q512">
        <v>4</v>
      </c>
      <c r="R512" t="s">
        <v>47</v>
      </c>
      <c r="S512" t="s">
        <v>21</v>
      </c>
      <c r="T512" t="s">
        <v>29</v>
      </c>
    </row>
    <row r="513" spans="1:20" x14ac:dyDescent="0.3">
      <c r="A513" t="s">
        <v>1142</v>
      </c>
      <c r="B513" t="s">
        <v>136</v>
      </c>
      <c r="C513" t="s">
        <v>202</v>
      </c>
      <c r="D513" t="s">
        <v>57</v>
      </c>
      <c r="E513" t="s">
        <v>5126</v>
      </c>
      <c r="F513" t="s">
        <v>5125</v>
      </c>
      <c r="G513" t="s">
        <v>50</v>
      </c>
      <c r="H513" t="s">
        <v>5136</v>
      </c>
      <c r="I513" t="s">
        <v>5137</v>
      </c>
      <c r="J513">
        <v>69366</v>
      </c>
      <c r="K513" t="s">
        <v>1143</v>
      </c>
      <c r="L513" t="s">
        <v>134</v>
      </c>
      <c r="M513" t="s">
        <v>19</v>
      </c>
      <c r="N513">
        <v>45423</v>
      </c>
      <c r="O513">
        <v>1519</v>
      </c>
      <c r="P513" t="s">
        <v>29</v>
      </c>
      <c r="Q513">
        <v>0</v>
      </c>
      <c r="R513" t="s">
        <v>52</v>
      </c>
      <c r="S513" t="s">
        <v>21</v>
      </c>
      <c r="T513" t="s">
        <v>29</v>
      </c>
    </row>
    <row r="514" spans="1:20" x14ac:dyDescent="0.3">
      <c r="A514" t="s">
        <v>1144</v>
      </c>
      <c r="B514" t="s">
        <v>215</v>
      </c>
      <c r="C514" t="s">
        <v>109</v>
      </c>
      <c r="D514" t="s">
        <v>140</v>
      </c>
      <c r="E514" t="s">
        <v>80</v>
      </c>
      <c r="F514" t="s">
        <v>80</v>
      </c>
      <c r="G514" t="s">
        <v>36</v>
      </c>
      <c r="H514" t="s">
        <v>5140</v>
      </c>
      <c r="I514" t="s">
        <v>5141</v>
      </c>
      <c r="J514">
        <v>105268</v>
      </c>
      <c r="K514" t="s">
        <v>1145</v>
      </c>
      <c r="L514" t="s">
        <v>5165</v>
      </c>
      <c r="M514" t="s">
        <v>46</v>
      </c>
      <c r="N514">
        <v>45665</v>
      </c>
      <c r="O514">
        <v>294</v>
      </c>
      <c r="P514" t="s">
        <v>29</v>
      </c>
      <c r="Q514">
        <v>2</v>
      </c>
      <c r="R514" t="s">
        <v>52</v>
      </c>
      <c r="S514" t="s">
        <v>21</v>
      </c>
      <c r="T514" t="s">
        <v>20</v>
      </c>
    </row>
    <row r="515" spans="1:20" x14ac:dyDescent="0.3">
      <c r="A515" t="s">
        <v>1146</v>
      </c>
      <c r="B515" t="s">
        <v>130</v>
      </c>
      <c r="C515" t="s">
        <v>109</v>
      </c>
      <c r="D515" t="s">
        <v>5156</v>
      </c>
      <c r="E515" t="s">
        <v>69</v>
      </c>
      <c r="F515" t="s">
        <v>70</v>
      </c>
      <c r="G515" t="s">
        <v>16</v>
      </c>
      <c r="H515" t="s">
        <v>5136</v>
      </c>
      <c r="I515" t="s">
        <v>5137</v>
      </c>
      <c r="J515">
        <v>58564</v>
      </c>
      <c r="K515" t="s">
        <v>1147</v>
      </c>
      <c r="L515" t="s">
        <v>142</v>
      </c>
      <c r="M515" t="s">
        <v>39</v>
      </c>
      <c r="N515">
        <v>45676</v>
      </c>
      <c r="O515">
        <v>551</v>
      </c>
      <c r="P515" t="s">
        <v>29</v>
      </c>
      <c r="Q515">
        <v>0</v>
      </c>
      <c r="R515" t="s">
        <v>5116</v>
      </c>
      <c r="S515" t="s">
        <v>21</v>
      </c>
      <c r="T515" t="s">
        <v>20</v>
      </c>
    </row>
    <row r="516" spans="1:20" x14ac:dyDescent="0.3">
      <c r="A516" t="s">
        <v>1148</v>
      </c>
      <c r="B516" t="s">
        <v>78</v>
      </c>
      <c r="C516" t="s">
        <v>79</v>
      </c>
      <c r="D516" t="s">
        <v>57</v>
      </c>
      <c r="E516" t="s">
        <v>5132</v>
      </c>
      <c r="F516" t="s">
        <v>5125</v>
      </c>
      <c r="G516" t="s">
        <v>50</v>
      </c>
      <c r="H516" t="s">
        <v>5136</v>
      </c>
      <c r="I516" t="s">
        <v>5137</v>
      </c>
      <c r="J516">
        <v>62732</v>
      </c>
      <c r="K516" t="s">
        <v>1149</v>
      </c>
      <c r="L516" t="s">
        <v>18</v>
      </c>
      <c r="M516" t="s">
        <v>39</v>
      </c>
      <c r="N516">
        <v>45346</v>
      </c>
      <c r="O516">
        <v>1368</v>
      </c>
      <c r="P516" t="s">
        <v>20</v>
      </c>
      <c r="Q516">
        <v>0</v>
      </c>
      <c r="R516" t="s">
        <v>47</v>
      </c>
      <c r="S516" t="s">
        <v>21</v>
      </c>
      <c r="T516" t="s">
        <v>20</v>
      </c>
    </row>
    <row r="517" spans="1:20" x14ac:dyDescent="0.3">
      <c r="A517" t="s">
        <v>1150</v>
      </c>
      <c r="B517" t="s">
        <v>23</v>
      </c>
      <c r="C517" t="s">
        <v>49</v>
      </c>
      <c r="D517" t="s">
        <v>118</v>
      </c>
      <c r="E517" t="s">
        <v>5132</v>
      </c>
      <c r="F517" t="s">
        <v>5125</v>
      </c>
      <c r="G517" t="s">
        <v>50</v>
      </c>
      <c r="H517" t="s">
        <v>5136</v>
      </c>
      <c r="I517" t="s">
        <v>5137</v>
      </c>
      <c r="J517">
        <v>79517</v>
      </c>
      <c r="K517" t="s">
        <v>1151</v>
      </c>
      <c r="L517" t="s">
        <v>134</v>
      </c>
      <c r="M517" t="s">
        <v>46</v>
      </c>
      <c r="N517">
        <v>45344</v>
      </c>
      <c r="O517">
        <v>935</v>
      </c>
      <c r="P517" t="s">
        <v>92</v>
      </c>
      <c r="Q517">
        <v>0</v>
      </c>
      <c r="R517" t="s">
        <v>52</v>
      </c>
      <c r="S517" t="s">
        <v>21</v>
      </c>
      <c r="T517" t="s">
        <v>20</v>
      </c>
    </row>
    <row r="518" spans="1:20" x14ac:dyDescent="0.3">
      <c r="A518" t="s">
        <v>1152</v>
      </c>
      <c r="B518" t="s">
        <v>12</v>
      </c>
      <c r="C518" t="s">
        <v>219</v>
      </c>
      <c r="D518" t="s">
        <v>44</v>
      </c>
      <c r="E518" t="s">
        <v>95</v>
      </c>
      <c r="F518" t="s">
        <v>96</v>
      </c>
      <c r="G518" t="s">
        <v>50</v>
      </c>
      <c r="H518" t="s">
        <v>5138</v>
      </c>
      <c r="I518" t="s">
        <v>5139</v>
      </c>
      <c r="J518">
        <v>218033</v>
      </c>
      <c r="K518" t="s">
        <v>1153</v>
      </c>
      <c r="L518" t="s">
        <v>142</v>
      </c>
      <c r="M518" t="s">
        <v>39</v>
      </c>
      <c r="N518">
        <v>45406</v>
      </c>
      <c r="O518">
        <v>739</v>
      </c>
      <c r="P518" t="s">
        <v>20</v>
      </c>
      <c r="Q518">
        <v>6</v>
      </c>
      <c r="R518" t="s">
        <v>40</v>
      </c>
      <c r="S518" t="s">
        <v>21</v>
      </c>
      <c r="T518" t="s">
        <v>20</v>
      </c>
    </row>
    <row r="519" spans="1:20" x14ac:dyDescent="0.3">
      <c r="A519" t="s">
        <v>1154</v>
      </c>
      <c r="B519" t="s">
        <v>55</v>
      </c>
      <c r="C519" t="s">
        <v>151</v>
      </c>
      <c r="D519" t="s">
        <v>44</v>
      </c>
      <c r="E519" t="s">
        <v>209</v>
      </c>
      <c r="F519" t="s">
        <v>210</v>
      </c>
      <c r="G519" t="s">
        <v>50</v>
      </c>
      <c r="H519" t="s">
        <v>5142</v>
      </c>
      <c r="I519" t="s">
        <v>5143</v>
      </c>
      <c r="J519">
        <v>123606</v>
      </c>
      <c r="K519" t="s">
        <v>1155</v>
      </c>
      <c r="L519" t="s">
        <v>113</v>
      </c>
      <c r="M519" t="s">
        <v>39</v>
      </c>
      <c r="N519">
        <v>45470</v>
      </c>
      <c r="O519">
        <v>3195</v>
      </c>
      <c r="P519" t="s">
        <v>20</v>
      </c>
      <c r="Q519">
        <v>4</v>
      </c>
      <c r="R519" t="s">
        <v>40</v>
      </c>
      <c r="S519" t="s">
        <v>21</v>
      </c>
      <c r="T519" t="s">
        <v>29</v>
      </c>
    </row>
    <row r="520" spans="1:20" x14ac:dyDescent="0.3">
      <c r="A520" t="s">
        <v>1156</v>
      </c>
      <c r="B520" t="s">
        <v>89</v>
      </c>
      <c r="C520" t="s">
        <v>185</v>
      </c>
      <c r="D520" t="s">
        <v>140</v>
      </c>
      <c r="E520" t="s">
        <v>5129</v>
      </c>
      <c r="F520" t="s">
        <v>5130</v>
      </c>
      <c r="G520" t="s">
        <v>36</v>
      </c>
      <c r="H520" t="s">
        <v>5136</v>
      </c>
      <c r="I520" t="s">
        <v>5137</v>
      </c>
      <c r="J520">
        <v>71251</v>
      </c>
      <c r="K520" t="s">
        <v>1157</v>
      </c>
      <c r="L520" t="s">
        <v>38</v>
      </c>
      <c r="M520" t="s">
        <v>46</v>
      </c>
      <c r="N520">
        <v>45664</v>
      </c>
      <c r="O520">
        <v>2474</v>
      </c>
      <c r="P520" t="s">
        <v>20</v>
      </c>
      <c r="Q520">
        <v>0</v>
      </c>
      <c r="R520" t="s">
        <v>40</v>
      </c>
      <c r="S520" t="s">
        <v>21</v>
      </c>
      <c r="T520" t="s">
        <v>20</v>
      </c>
    </row>
    <row r="521" spans="1:20" x14ac:dyDescent="0.3">
      <c r="A521" t="s">
        <v>1158</v>
      </c>
      <c r="B521" t="s">
        <v>84</v>
      </c>
      <c r="C521" t="s">
        <v>56</v>
      </c>
      <c r="D521" t="s">
        <v>104</v>
      </c>
      <c r="E521" t="s">
        <v>5131</v>
      </c>
      <c r="F521" t="s">
        <v>5125</v>
      </c>
      <c r="G521" t="s">
        <v>36</v>
      </c>
      <c r="H521" t="s">
        <v>5138</v>
      </c>
      <c r="I521" t="s">
        <v>5139</v>
      </c>
      <c r="J521">
        <v>227049</v>
      </c>
      <c r="K521" t="s">
        <v>1159</v>
      </c>
      <c r="L521" t="s">
        <v>5165</v>
      </c>
      <c r="M521" t="s">
        <v>39</v>
      </c>
      <c r="N521">
        <v>45567</v>
      </c>
      <c r="O521">
        <v>2889</v>
      </c>
      <c r="P521" t="s">
        <v>29</v>
      </c>
      <c r="Q521">
        <v>6</v>
      </c>
      <c r="R521" t="s">
        <v>40</v>
      </c>
      <c r="S521" t="s">
        <v>21</v>
      </c>
      <c r="T521" t="s">
        <v>20</v>
      </c>
    </row>
    <row r="522" spans="1:20" x14ac:dyDescent="0.3">
      <c r="A522" t="s">
        <v>1160</v>
      </c>
      <c r="B522" t="s">
        <v>144</v>
      </c>
      <c r="C522" t="s">
        <v>64</v>
      </c>
      <c r="D522" t="s">
        <v>118</v>
      </c>
      <c r="E522" t="s">
        <v>126</v>
      </c>
      <c r="F522" t="s">
        <v>127</v>
      </c>
      <c r="G522" t="s">
        <v>36</v>
      </c>
      <c r="H522" t="s">
        <v>5142</v>
      </c>
      <c r="I522" t="s">
        <v>5143</v>
      </c>
      <c r="J522">
        <v>104926</v>
      </c>
      <c r="K522" t="s">
        <v>1161</v>
      </c>
      <c r="L522" t="s">
        <v>5165</v>
      </c>
      <c r="M522" t="s">
        <v>19</v>
      </c>
      <c r="N522">
        <v>45360</v>
      </c>
      <c r="O522">
        <v>3431</v>
      </c>
      <c r="P522" t="s">
        <v>92</v>
      </c>
      <c r="Q522">
        <v>4</v>
      </c>
      <c r="R522" t="s">
        <v>52</v>
      </c>
      <c r="S522" t="s">
        <v>21</v>
      </c>
      <c r="T522" t="s">
        <v>20</v>
      </c>
    </row>
    <row r="523" spans="1:20" x14ac:dyDescent="0.3">
      <c r="A523" t="s">
        <v>1162</v>
      </c>
      <c r="B523" t="s">
        <v>222</v>
      </c>
      <c r="C523" t="s">
        <v>219</v>
      </c>
      <c r="D523" t="s">
        <v>5156</v>
      </c>
      <c r="E523" t="s">
        <v>5129</v>
      </c>
      <c r="F523" t="s">
        <v>5130</v>
      </c>
      <c r="G523" t="s">
        <v>50</v>
      </c>
      <c r="H523" t="s">
        <v>5140</v>
      </c>
      <c r="I523" t="s">
        <v>5141</v>
      </c>
      <c r="J523">
        <v>120758</v>
      </c>
      <c r="K523" t="s">
        <v>1163</v>
      </c>
      <c r="L523" t="s">
        <v>5165</v>
      </c>
      <c r="M523" t="s">
        <v>39</v>
      </c>
      <c r="N523">
        <v>45652</v>
      </c>
      <c r="O523">
        <v>1963</v>
      </c>
      <c r="P523" t="s">
        <v>20</v>
      </c>
      <c r="Q523">
        <v>2</v>
      </c>
      <c r="R523" t="s">
        <v>47</v>
      </c>
      <c r="S523" t="s">
        <v>21</v>
      </c>
      <c r="T523" t="s">
        <v>29</v>
      </c>
    </row>
    <row r="524" spans="1:20" x14ac:dyDescent="0.3">
      <c r="A524" t="s">
        <v>1164</v>
      </c>
      <c r="B524" t="s">
        <v>63</v>
      </c>
      <c r="C524" t="s">
        <v>175</v>
      </c>
      <c r="D524" t="s">
        <v>25</v>
      </c>
      <c r="E524" t="s">
        <v>5128</v>
      </c>
      <c r="F524" t="s">
        <v>5125</v>
      </c>
      <c r="G524" t="s">
        <v>16</v>
      </c>
      <c r="H524" t="s">
        <v>5140</v>
      </c>
      <c r="I524" t="s">
        <v>5141</v>
      </c>
      <c r="J524">
        <v>96880</v>
      </c>
      <c r="K524" t="s">
        <v>1165</v>
      </c>
      <c r="L524" t="s">
        <v>5165</v>
      </c>
      <c r="M524" t="s">
        <v>46</v>
      </c>
      <c r="N524">
        <v>45717</v>
      </c>
      <c r="O524">
        <v>1828</v>
      </c>
      <c r="P524" t="s">
        <v>20</v>
      </c>
      <c r="Q524">
        <v>2</v>
      </c>
      <c r="R524" t="s">
        <v>5116</v>
      </c>
      <c r="S524" t="s">
        <v>21</v>
      </c>
      <c r="T524" t="s">
        <v>29</v>
      </c>
    </row>
    <row r="525" spans="1:20" x14ac:dyDescent="0.3">
      <c r="A525" t="s">
        <v>1166</v>
      </c>
      <c r="B525" t="s">
        <v>222</v>
      </c>
      <c r="C525" t="s">
        <v>13</v>
      </c>
      <c r="D525" t="s">
        <v>118</v>
      </c>
      <c r="E525" t="s">
        <v>69</v>
      </c>
      <c r="F525" t="s">
        <v>70</v>
      </c>
      <c r="G525" t="s">
        <v>16</v>
      </c>
      <c r="H525" t="s">
        <v>5140</v>
      </c>
      <c r="I525" t="s">
        <v>5141</v>
      </c>
      <c r="J525">
        <v>121297</v>
      </c>
      <c r="K525" t="s">
        <v>1167</v>
      </c>
      <c r="L525" t="s">
        <v>238</v>
      </c>
      <c r="M525" t="s">
        <v>19</v>
      </c>
      <c r="N525">
        <v>45494</v>
      </c>
      <c r="O525">
        <v>2146</v>
      </c>
      <c r="P525" t="s">
        <v>20</v>
      </c>
      <c r="Q525">
        <v>2</v>
      </c>
      <c r="R525" t="s">
        <v>47</v>
      </c>
      <c r="S525" t="s">
        <v>53</v>
      </c>
      <c r="T525" t="s">
        <v>29</v>
      </c>
    </row>
    <row r="526" spans="1:20" x14ac:dyDescent="0.3">
      <c r="A526" t="s">
        <v>1168</v>
      </c>
      <c r="B526" t="s">
        <v>222</v>
      </c>
      <c r="C526" t="s">
        <v>49</v>
      </c>
      <c r="D526" t="s">
        <v>140</v>
      </c>
      <c r="E526" t="s">
        <v>5126</v>
      </c>
      <c r="F526" t="s">
        <v>5125</v>
      </c>
      <c r="G526" t="s">
        <v>16</v>
      </c>
      <c r="H526" t="s">
        <v>5140</v>
      </c>
      <c r="I526" t="s">
        <v>5141</v>
      </c>
      <c r="J526">
        <v>94887</v>
      </c>
      <c r="K526" t="s">
        <v>1169</v>
      </c>
      <c r="L526" t="s">
        <v>5165</v>
      </c>
      <c r="M526" t="s">
        <v>19</v>
      </c>
      <c r="N526">
        <v>45673</v>
      </c>
      <c r="O526">
        <v>2658</v>
      </c>
      <c r="P526" t="s">
        <v>20</v>
      </c>
      <c r="Q526">
        <v>2</v>
      </c>
      <c r="R526" t="s">
        <v>40</v>
      </c>
      <c r="S526" t="s">
        <v>21</v>
      </c>
      <c r="T526" t="s">
        <v>29</v>
      </c>
    </row>
    <row r="527" spans="1:20" x14ac:dyDescent="0.3">
      <c r="A527" t="s">
        <v>1170</v>
      </c>
      <c r="B527" t="s">
        <v>78</v>
      </c>
      <c r="C527" t="s">
        <v>85</v>
      </c>
      <c r="D527" t="s">
        <v>25</v>
      </c>
      <c r="E527" t="s">
        <v>5132</v>
      </c>
      <c r="F527" t="s">
        <v>5125</v>
      </c>
      <c r="G527" t="s">
        <v>16</v>
      </c>
      <c r="H527" t="s">
        <v>5142</v>
      </c>
      <c r="I527" t="s">
        <v>5143</v>
      </c>
      <c r="J527">
        <v>101268</v>
      </c>
      <c r="K527" t="s">
        <v>1171</v>
      </c>
      <c r="L527" t="s">
        <v>179</v>
      </c>
      <c r="M527" t="s">
        <v>19</v>
      </c>
      <c r="N527">
        <v>45375</v>
      </c>
      <c r="O527">
        <v>2319</v>
      </c>
      <c r="P527" t="s">
        <v>92</v>
      </c>
      <c r="Q527">
        <v>4</v>
      </c>
      <c r="R527" t="s">
        <v>52</v>
      </c>
      <c r="S527" t="s">
        <v>21</v>
      </c>
      <c r="T527" t="s">
        <v>29</v>
      </c>
    </row>
    <row r="528" spans="1:20" x14ac:dyDescent="0.3">
      <c r="A528" t="s">
        <v>1172</v>
      </c>
      <c r="B528" t="s">
        <v>74</v>
      </c>
      <c r="C528" t="s">
        <v>94</v>
      </c>
      <c r="D528" t="s">
        <v>167</v>
      </c>
      <c r="E528" t="s">
        <v>5133</v>
      </c>
      <c r="F528" t="s">
        <v>5125</v>
      </c>
      <c r="G528" t="s">
        <v>36</v>
      </c>
      <c r="H528" t="s">
        <v>5136</v>
      </c>
      <c r="I528" t="s">
        <v>5137</v>
      </c>
      <c r="J528">
        <v>50000</v>
      </c>
      <c r="K528" t="s">
        <v>1173</v>
      </c>
      <c r="L528" t="s">
        <v>5165</v>
      </c>
      <c r="M528" t="s">
        <v>46</v>
      </c>
      <c r="N528">
        <v>45495</v>
      </c>
      <c r="O528">
        <v>423</v>
      </c>
      <c r="P528" t="s">
        <v>20</v>
      </c>
      <c r="Q528">
        <v>0</v>
      </c>
      <c r="R528" t="s">
        <v>47</v>
      </c>
      <c r="S528" t="s">
        <v>21</v>
      </c>
      <c r="T528" t="s">
        <v>20</v>
      </c>
    </row>
    <row r="529" spans="1:20" x14ac:dyDescent="0.3">
      <c r="A529" t="s">
        <v>1174</v>
      </c>
      <c r="B529" t="s">
        <v>89</v>
      </c>
      <c r="C529" t="s">
        <v>90</v>
      </c>
      <c r="D529" t="s">
        <v>118</v>
      </c>
      <c r="E529" t="s">
        <v>223</v>
      </c>
      <c r="F529" t="s">
        <v>224</v>
      </c>
      <c r="G529" t="s">
        <v>16</v>
      </c>
      <c r="H529" t="s">
        <v>5136</v>
      </c>
      <c r="I529" t="s">
        <v>5137</v>
      </c>
      <c r="J529">
        <v>70605</v>
      </c>
      <c r="K529" t="s">
        <v>1175</v>
      </c>
      <c r="L529" t="s">
        <v>5165</v>
      </c>
      <c r="M529" t="s">
        <v>39</v>
      </c>
      <c r="N529">
        <v>45641</v>
      </c>
      <c r="O529">
        <v>3957</v>
      </c>
      <c r="P529" t="s">
        <v>20</v>
      </c>
      <c r="Q529">
        <v>0</v>
      </c>
      <c r="R529" t="s">
        <v>76</v>
      </c>
      <c r="S529" t="s">
        <v>21</v>
      </c>
      <c r="T529" t="s">
        <v>20</v>
      </c>
    </row>
    <row r="530" spans="1:20" x14ac:dyDescent="0.3">
      <c r="A530" t="s">
        <v>1176</v>
      </c>
      <c r="B530" t="s">
        <v>229</v>
      </c>
      <c r="C530" t="s">
        <v>188</v>
      </c>
      <c r="D530" t="s">
        <v>44</v>
      </c>
      <c r="E530" t="s">
        <v>58</v>
      </c>
      <c r="F530" t="s">
        <v>59</v>
      </c>
      <c r="G530" t="s">
        <v>16</v>
      </c>
      <c r="H530" t="s">
        <v>5138</v>
      </c>
      <c r="I530" t="s">
        <v>5139</v>
      </c>
      <c r="J530">
        <v>209350</v>
      </c>
      <c r="K530" t="s">
        <v>1177</v>
      </c>
      <c r="L530" t="s">
        <v>18</v>
      </c>
      <c r="M530" t="s">
        <v>72</v>
      </c>
      <c r="N530">
        <v>45476</v>
      </c>
      <c r="O530">
        <v>408</v>
      </c>
      <c r="P530" t="s">
        <v>20</v>
      </c>
      <c r="Q530">
        <v>6</v>
      </c>
      <c r="R530" t="s">
        <v>47</v>
      </c>
      <c r="S530" t="s">
        <v>53</v>
      </c>
      <c r="T530" t="s">
        <v>29</v>
      </c>
    </row>
    <row r="531" spans="1:20" x14ac:dyDescent="0.3">
      <c r="A531" t="s">
        <v>1178</v>
      </c>
      <c r="B531" t="s">
        <v>63</v>
      </c>
      <c r="C531" t="s">
        <v>160</v>
      </c>
      <c r="D531" t="s">
        <v>57</v>
      </c>
      <c r="E531" t="s">
        <v>5129</v>
      </c>
      <c r="F531" t="s">
        <v>5130</v>
      </c>
      <c r="G531" t="s">
        <v>36</v>
      </c>
      <c r="H531" t="s">
        <v>5138</v>
      </c>
      <c r="I531" t="s">
        <v>5139</v>
      </c>
      <c r="J531">
        <v>167444</v>
      </c>
      <c r="K531" t="s">
        <v>1179</v>
      </c>
      <c r="L531" t="s">
        <v>142</v>
      </c>
      <c r="M531" t="s">
        <v>19</v>
      </c>
      <c r="N531">
        <v>45378</v>
      </c>
      <c r="O531">
        <v>1058</v>
      </c>
      <c r="P531" t="s">
        <v>20</v>
      </c>
      <c r="Q531">
        <v>6</v>
      </c>
      <c r="R531" t="s">
        <v>52</v>
      </c>
      <c r="S531" t="s">
        <v>21</v>
      </c>
      <c r="T531" t="s">
        <v>29</v>
      </c>
    </row>
    <row r="532" spans="1:20" x14ac:dyDescent="0.3">
      <c r="A532" t="s">
        <v>1180</v>
      </c>
      <c r="B532" t="s">
        <v>12</v>
      </c>
      <c r="C532" t="s">
        <v>24</v>
      </c>
      <c r="D532" t="s">
        <v>167</v>
      </c>
      <c r="E532" t="s">
        <v>5127</v>
      </c>
      <c r="F532" t="s">
        <v>5125</v>
      </c>
      <c r="G532" t="s">
        <v>16</v>
      </c>
      <c r="H532" t="s">
        <v>5138</v>
      </c>
      <c r="I532" t="s">
        <v>5139</v>
      </c>
      <c r="J532">
        <v>222989</v>
      </c>
      <c r="K532" t="s">
        <v>1181</v>
      </c>
      <c r="L532" t="s">
        <v>18</v>
      </c>
      <c r="M532" t="s">
        <v>19</v>
      </c>
      <c r="N532">
        <v>45438</v>
      </c>
      <c r="O532">
        <v>2082</v>
      </c>
      <c r="P532" t="s">
        <v>20</v>
      </c>
      <c r="Q532">
        <v>6</v>
      </c>
      <c r="R532" t="s">
        <v>5116</v>
      </c>
      <c r="S532" t="s">
        <v>21</v>
      </c>
      <c r="T532" t="s">
        <v>20</v>
      </c>
    </row>
    <row r="533" spans="1:20" x14ac:dyDescent="0.3">
      <c r="A533" t="s">
        <v>1182</v>
      </c>
      <c r="B533" t="s">
        <v>84</v>
      </c>
      <c r="C533" t="s">
        <v>43</v>
      </c>
      <c r="D533" t="s">
        <v>44</v>
      </c>
      <c r="E533" t="s">
        <v>58</v>
      </c>
      <c r="F533" t="s">
        <v>59</v>
      </c>
      <c r="G533" t="s">
        <v>50</v>
      </c>
      <c r="H533" t="s">
        <v>5136</v>
      </c>
      <c r="I533" t="s">
        <v>5137</v>
      </c>
      <c r="J533">
        <v>50000</v>
      </c>
      <c r="K533" t="s">
        <v>1183</v>
      </c>
      <c r="L533" t="s">
        <v>5165</v>
      </c>
      <c r="M533" t="s">
        <v>46</v>
      </c>
      <c r="N533">
        <v>45440</v>
      </c>
      <c r="O533">
        <v>2641</v>
      </c>
      <c r="P533" t="s">
        <v>20</v>
      </c>
      <c r="Q533">
        <v>0</v>
      </c>
      <c r="R533" t="s">
        <v>52</v>
      </c>
      <c r="S533" t="s">
        <v>21</v>
      </c>
      <c r="T533" t="s">
        <v>29</v>
      </c>
    </row>
    <row r="534" spans="1:20" x14ac:dyDescent="0.3">
      <c r="A534" t="s">
        <v>1184</v>
      </c>
      <c r="B534" t="s">
        <v>12</v>
      </c>
      <c r="C534" t="s">
        <v>94</v>
      </c>
      <c r="D534" t="s">
        <v>25</v>
      </c>
      <c r="E534" t="s">
        <v>5131</v>
      </c>
      <c r="F534" t="s">
        <v>5125</v>
      </c>
      <c r="G534" t="s">
        <v>16</v>
      </c>
      <c r="H534" t="s">
        <v>5138</v>
      </c>
      <c r="I534" t="s">
        <v>5139</v>
      </c>
      <c r="J534">
        <v>197621</v>
      </c>
      <c r="K534" t="s">
        <v>1185</v>
      </c>
      <c r="L534" t="s">
        <v>82</v>
      </c>
      <c r="M534" t="s">
        <v>46</v>
      </c>
      <c r="N534">
        <v>45460</v>
      </c>
      <c r="O534">
        <v>3895</v>
      </c>
      <c r="P534" t="s">
        <v>20</v>
      </c>
      <c r="Q534">
        <v>6</v>
      </c>
      <c r="R534" t="s">
        <v>47</v>
      </c>
      <c r="S534" t="s">
        <v>21</v>
      </c>
      <c r="T534" t="s">
        <v>29</v>
      </c>
    </row>
    <row r="535" spans="1:20" x14ac:dyDescent="0.3">
      <c r="A535" t="s">
        <v>1186</v>
      </c>
      <c r="B535" t="s">
        <v>78</v>
      </c>
      <c r="C535" t="s">
        <v>90</v>
      </c>
      <c r="D535" t="s">
        <v>118</v>
      </c>
      <c r="E535" t="s">
        <v>5127</v>
      </c>
      <c r="F535" t="s">
        <v>5125</v>
      </c>
      <c r="G535" t="s">
        <v>50</v>
      </c>
      <c r="H535" t="s">
        <v>5138</v>
      </c>
      <c r="I535" t="s">
        <v>5139</v>
      </c>
      <c r="J535">
        <v>156403</v>
      </c>
      <c r="K535" t="s">
        <v>1187</v>
      </c>
      <c r="L535" t="s">
        <v>113</v>
      </c>
      <c r="M535" t="s">
        <v>19</v>
      </c>
      <c r="N535">
        <v>45477</v>
      </c>
      <c r="O535">
        <v>1131</v>
      </c>
      <c r="P535" t="s">
        <v>20</v>
      </c>
      <c r="Q535">
        <v>6</v>
      </c>
      <c r="R535" t="s">
        <v>40</v>
      </c>
      <c r="S535" t="s">
        <v>53</v>
      </c>
      <c r="T535" t="s">
        <v>20</v>
      </c>
    </row>
    <row r="536" spans="1:20" x14ac:dyDescent="0.3">
      <c r="A536" t="s">
        <v>1188</v>
      </c>
      <c r="B536" t="s">
        <v>322</v>
      </c>
      <c r="C536" t="s">
        <v>172</v>
      </c>
      <c r="D536" t="s">
        <v>118</v>
      </c>
      <c r="E536" t="s">
        <v>14</v>
      </c>
      <c r="F536" t="s">
        <v>15</v>
      </c>
      <c r="G536" t="s">
        <v>16</v>
      </c>
      <c r="H536" t="s">
        <v>5140</v>
      </c>
      <c r="I536" t="s">
        <v>5141</v>
      </c>
      <c r="J536">
        <v>97093</v>
      </c>
      <c r="K536" t="s">
        <v>1189</v>
      </c>
      <c r="L536" t="s">
        <v>5165</v>
      </c>
      <c r="M536" t="s">
        <v>19</v>
      </c>
      <c r="N536">
        <v>45319</v>
      </c>
      <c r="O536">
        <v>1982</v>
      </c>
      <c r="P536" t="s">
        <v>20</v>
      </c>
      <c r="Q536">
        <v>2</v>
      </c>
      <c r="R536" t="s">
        <v>47</v>
      </c>
      <c r="S536" t="s">
        <v>41</v>
      </c>
      <c r="T536" t="s">
        <v>29</v>
      </c>
    </row>
    <row r="537" spans="1:20" x14ac:dyDescent="0.3">
      <c r="A537" t="s">
        <v>1190</v>
      </c>
      <c r="B537" t="s">
        <v>136</v>
      </c>
      <c r="C537" t="s">
        <v>43</v>
      </c>
      <c r="D537" t="s">
        <v>167</v>
      </c>
      <c r="E537" t="s">
        <v>5132</v>
      </c>
      <c r="F537" t="s">
        <v>5125</v>
      </c>
      <c r="G537" t="s">
        <v>36</v>
      </c>
      <c r="H537" t="s">
        <v>5138</v>
      </c>
      <c r="I537" t="s">
        <v>5139</v>
      </c>
      <c r="J537">
        <v>201706</v>
      </c>
      <c r="K537" t="s">
        <v>1191</v>
      </c>
      <c r="L537" t="s">
        <v>38</v>
      </c>
      <c r="M537" t="s">
        <v>19</v>
      </c>
      <c r="N537">
        <v>45597</v>
      </c>
      <c r="O537">
        <v>3834</v>
      </c>
      <c r="P537" t="s">
        <v>29</v>
      </c>
      <c r="Q537">
        <v>6</v>
      </c>
      <c r="R537" t="s">
        <v>40</v>
      </c>
      <c r="S537" t="s">
        <v>21</v>
      </c>
      <c r="T537" t="s">
        <v>20</v>
      </c>
    </row>
    <row r="538" spans="1:20" x14ac:dyDescent="0.3">
      <c r="A538" t="s">
        <v>1192</v>
      </c>
      <c r="B538" t="s">
        <v>322</v>
      </c>
      <c r="C538" t="s">
        <v>13</v>
      </c>
      <c r="D538" t="s">
        <v>68</v>
      </c>
      <c r="E538" t="s">
        <v>69</v>
      </c>
      <c r="F538" t="s">
        <v>70</v>
      </c>
      <c r="G538" t="s">
        <v>36</v>
      </c>
      <c r="H538" t="s">
        <v>5142</v>
      </c>
      <c r="I538" t="s">
        <v>5143</v>
      </c>
      <c r="J538">
        <v>126768</v>
      </c>
      <c r="K538" t="s">
        <v>1193</v>
      </c>
      <c r="L538" t="s">
        <v>238</v>
      </c>
      <c r="M538" t="s">
        <v>39</v>
      </c>
      <c r="N538">
        <v>45522</v>
      </c>
      <c r="O538">
        <v>895</v>
      </c>
      <c r="P538" t="s">
        <v>20</v>
      </c>
      <c r="Q538">
        <v>4</v>
      </c>
      <c r="R538" t="s">
        <v>47</v>
      </c>
      <c r="S538" t="s">
        <v>41</v>
      </c>
      <c r="T538" t="s">
        <v>20</v>
      </c>
    </row>
    <row r="539" spans="1:20" x14ac:dyDescent="0.3">
      <c r="A539" t="s">
        <v>1194</v>
      </c>
      <c r="B539" t="s">
        <v>144</v>
      </c>
      <c r="C539" t="s">
        <v>219</v>
      </c>
      <c r="D539" t="s">
        <v>68</v>
      </c>
      <c r="E539" t="s">
        <v>5133</v>
      </c>
      <c r="F539" t="s">
        <v>5125</v>
      </c>
      <c r="G539" t="s">
        <v>16</v>
      </c>
      <c r="H539" t="s">
        <v>5142</v>
      </c>
      <c r="I539" t="s">
        <v>5143</v>
      </c>
      <c r="J539">
        <v>139617</v>
      </c>
      <c r="K539" t="s">
        <v>1195</v>
      </c>
      <c r="L539" t="s">
        <v>38</v>
      </c>
      <c r="M539" t="s">
        <v>46</v>
      </c>
      <c r="N539">
        <v>45449</v>
      </c>
      <c r="O539">
        <v>474</v>
      </c>
      <c r="P539" t="s">
        <v>92</v>
      </c>
      <c r="Q539">
        <v>4</v>
      </c>
      <c r="R539" t="s">
        <v>52</v>
      </c>
      <c r="S539" t="s">
        <v>21</v>
      </c>
      <c r="T539" t="s">
        <v>29</v>
      </c>
    </row>
    <row r="540" spans="1:20" x14ac:dyDescent="0.3">
      <c r="A540" t="s">
        <v>1196</v>
      </c>
      <c r="B540" t="s">
        <v>78</v>
      </c>
      <c r="C540" t="s">
        <v>94</v>
      </c>
      <c r="D540" t="s">
        <v>44</v>
      </c>
      <c r="E540" t="s">
        <v>126</v>
      </c>
      <c r="F540" t="s">
        <v>127</v>
      </c>
      <c r="G540" t="s">
        <v>16</v>
      </c>
      <c r="H540" t="s">
        <v>5140</v>
      </c>
      <c r="I540" t="s">
        <v>5141</v>
      </c>
      <c r="J540">
        <v>129924</v>
      </c>
      <c r="K540" t="s">
        <v>1197</v>
      </c>
      <c r="L540" t="s">
        <v>5165</v>
      </c>
      <c r="M540" t="s">
        <v>46</v>
      </c>
      <c r="N540">
        <v>45437</v>
      </c>
      <c r="O540">
        <v>434</v>
      </c>
      <c r="P540" t="s">
        <v>20</v>
      </c>
      <c r="Q540">
        <v>2</v>
      </c>
      <c r="R540" t="s">
        <v>76</v>
      </c>
      <c r="S540" t="s">
        <v>41</v>
      </c>
      <c r="T540" t="s">
        <v>29</v>
      </c>
    </row>
    <row r="541" spans="1:20" x14ac:dyDescent="0.3">
      <c r="A541" t="s">
        <v>1198</v>
      </c>
      <c r="B541" t="s">
        <v>165</v>
      </c>
      <c r="C541" t="s">
        <v>94</v>
      </c>
      <c r="D541" t="s">
        <v>167</v>
      </c>
      <c r="E541" t="s">
        <v>223</v>
      </c>
      <c r="F541" t="s">
        <v>224</v>
      </c>
      <c r="G541" t="s">
        <v>50</v>
      </c>
      <c r="H541" t="s">
        <v>5136</v>
      </c>
      <c r="I541" t="s">
        <v>5137</v>
      </c>
      <c r="J541">
        <v>62731</v>
      </c>
      <c r="K541" t="s">
        <v>1199</v>
      </c>
      <c r="L541" t="s">
        <v>82</v>
      </c>
      <c r="M541" t="s">
        <v>72</v>
      </c>
      <c r="N541">
        <v>45400</v>
      </c>
      <c r="O541">
        <v>1701</v>
      </c>
      <c r="P541" t="s">
        <v>92</v>
      </c>
      <c r="Q541">
        <v>0</v>
      </c>
      <c r="R541" t="s">
        <v>52</v>
      </c>
      <c r="S541" t="s">
        <v>21</v>
      </c>
      <c r="T541" t="s">
        <v>29</v>
      </c>
    </row>
    <row r="542" spans="1:20" x14ac:dyDescent="0.3">
      <c r="A542" t="s">
        <v>1200</v>
      </c>
      <c r="B542" t="s">
        <v>84</v>
      </c>
      <c r="C542" t="s">
        <v>125</v>
      </c>
      <c r="D542" t="s">
        <v>5156</v>
      </c>
      <c r="E542" t="s">
        <v>14</v>
      </c>
      <c r="F542" t="s">
        <v>15</v>
      </c>
      <c r="G542" t="s">
        <v>50</v>
      </c>
      <c r="H542" t="s">
        <v>5142</v>
      </c>
      <c r="I542" t="s">
        <v>5143</v>
      </c>
      <c r="J542">
        <v>172563</v>
      </c>
      <c r="K542" t="s">
        <v>1201</v>
      </c>
      <c r="L542" t="s">
        <v>134</v>
      </c>
      <c r="M542" t="s">
        <v>19</v>
      </c>
      <c r="N542">
        <v>45427</v>
      </c>
      <c r="O542">
        <v>3453</v>
      </c>
      <c r="P542" t="s">
        <v>20</v>
      </c>
      <c r="Q542">
        <v>4</v>
      </c>
      <c r="R542" t="s">
        <v>76</v>
      </c>
      <c r="S542" t="s">
        <v>21</v>
      </c>
      <c r="T542" t="s">
        <v>29</v>
      </c>
    </row>
    <row r="543" spans="1:20" x14ac:dyDescent="0.3">
      <c r="A543" t="s">
        <v>1202</v>
      </c>
      <c r="B543" t="s">
        <v>136</v>
      </c>
      <c r="C543" t="s">
        <v>13</v>
      </c>
      <c r="D543" t="s">
        <v>118</v>
      </c>
      <c r="E543" t="s">
        <v>26</v>
      </c>
      <c r="F543" t="s">
        <v>27</v>
      </c>
      <c r="G543" t="s">
        <v>36</v>
      </c>
      <c r="H543" t="s">
        <v>5138</v>
      </c>
      <c r="I543" t="s">
        <v>5139</v>
      </c>
      <c r="J543">
        <v>159330</v>
      </c>
      <c r="K543" t="s">
        <v>1203</v>
      </c>
      <c r="L543" t="s">
        <v>18</v>
      </c>
      <c r="M543" t="s">
        <v>72</v>
      </c>
      <c r="N543">
        <v>45492</v>
      </c>
      <c r="O543">
        <v>2992</v>
      </c>
      <c r="P543" t="s">
        <v>29</v>
      </c>
      <c r="Q543">
        <v>6</v>
      </c>
      <c r="R543" t="s">
        <v>40</v>
      </c>
      <c r="S543" t="s">
        <v>21</v>
      </c>
      <c r="T543" t="s">
        <v>29</v>
      </c>
    </row>
    <row r="544" spans="1:20" x14ac:dyDescent="0.3">
      <c r="A544" t="s">
        <v>1204</v>
      </c>
      <c r="B544" t="s">
        <v>12</v>
      </c>
      <c r="C544" t="s">
        <v>197</v>
      </c>
      <c r="D544" t="s">
        <v>44</v>
      </c>
      <c r="E544" t="s">
        <v>69</v>
      </c>
      <c r="F544" t="s">
        <v>70</v>
      </c>
      <c r="G544" t="s">
        <v>16</v>
      </c>
      <c r="H544" t="s">
        <v>5140</v>
      </c>
      <c r="I544" t="s">
        <v>5141</v>
      </c>
      <c r="J544">
        <v>120490</v>
      </c>
      <c r="K544" t="s">
        <v>1205</v>
      </c>
      <c r="L544" t="s">
        <v>5165</v>
      </c>
      <c r="M544" t="s">
        <v>19</v>
      </c>
      <c r="N544">
        <v>45587</v>
      </c>
      <c r="O544">
        <v>57</v>
      </c>
      <c r="P544" t="s">
        <v>20</v>
      </c>
      <c r="Q544">
        <v>2</v>
      </c>
      <c r="R544" t="s">
        <v>76</v>
      </c>
      <c r="S544" t="s">
        <v>21</v>
      </c>
      <c r="T544" t="s">
        <v>20</v>
      </c>
    </row>
    <row r="545" spans="1:20" x14ac:dyDescent="0.3">
      <c r="A545" t="s">
        <v>1206</v>
      </c>
      <c r="B545" t="s">
        <v>23</v>
      </c>
      <c r="C545" t="s">
        <v>172</v>
      </c>
      <c r="D545" t="s">
        <v>33</v>
      </c>
      <c r="E545" t="s">
        <v>193</v>
      </c>
      <c r="F545" t="s">
        <v>194</v>
      </c>
      <c r="G545" t="s">
        <v>16</v>
      </c>
      <c r="H545" t="s">
        <v>5136</v>
      </c>
      <c r="I545" t="s">
        <v>5137</v>
      </c>
      <c r="J545">
        <v>88163</v>
      </c>
      <c r="K545" t="s">
        <v>1207</v>
      </c>
      <c r="L545" t="s">
        <v>238</v>
      </c>
      <c r="M545" t="s">
        <v>46</v>
      </c>
      <c r="N545">
        <v>45672</v>
      </c>
      <c r="O545">
        <v>2984</v>
      </c>
      <c r="P545" t="s">
        <v>20</v>
      </c>
      <c r="Q545">
        <v>0</v>
      </c>
      <c r="R545" t="s">
        <v>52</v>
      </c>
      <c r="S545" t="s">
        <v>53</v>
      </c>
      <c r="T545" t="s">
        <v>20</v>
      </c>
    </row>
    <row r="546" spans="1:20" x14ac:dyDescent="0.3">
      <c r="A546" t="s">
        <v>1208</v>
      </c>
      <c r="B546" t="s">
        <v>31</v>
      </c>
      <c r="C546" t="s">
        <v>79</v>
      </c>
      <c r="D546" t="s">
        <v>118</v>
      </c>
      <c r="E546" t="s">
        <v>58</v>
      </c>
      <c r="F546" t="s">
        <v>59</v>
      </c>
      <c r="G546" t="s">
        <v>36</v>
      </c>
      <c r="H546" t="s">
        <v>5136</v>
      </c>
      <c r="I546" t="s">
        <v>5137</v>
      </c>
      <c r="J546">
        <v>50000</v>
      </c>
      <c r="K546" t="s">
        <v>1209</v>
      </c>
      <c r="L546" t="s">
        <v>113</v>
      </c>
      <c r="M546" t="s">
        <v>19</v>
      </c>
      <c r="N546">
        <v>45618</v>
      </c>
      <c r="O546">
        <v>3469</v>
      </c>
      <c r="P546" t="s">
        <v>20</v>
      </c>
      <c r="Q546">
        <v>0</v>
      </c>
      <c r="R546" t="s">
        <v>47</v>
      </c>
      <c r="S546" t="s">
        <v>21</v>
      </c>
      <c r="T546" t="s">
        <v>20</v>
      </c>
    </row>
    <row r="547" spans="1:20" x14ac:dyDescent="0.3">
      <c r="A547" t="s">
        <v>1210</v>
      </c>
      <c r="B547" t="s">
        <v>144</v>
      </c>
      <c r="C547" t="s">
        <v>90</v>
      </c>
      <c r="D547" t="s">
        <v>57</v>
      </c>
      <c r="E547" t="s">
        <v>5128</v>
      </c>
      <c r="F547" t="s">
        <v>5125</v>
      </c>
      <c r="G547" t="s">
        <v>36</v>
      </c>
      <c r="H547" t="s">
        <v>5138</v>
      </c>
      <c r="I547" t="s">
        <v>5139</v>
      </c>
      <c r="J547">
        <v>171311</v>
      </c>
      <c r="K547" t="s">
        <v>1211</v>
      </c>
      <c r="L547" t="s">
        <v>38</v>
      </c>
      <c r="M547" t="s">
        <v>39</v>
      </c>
      <c r="N547">
        <v>45612</v>
      </c>
      <c r="O547">
        <v>1233</v>
      </c>
      <c r="P547" t="s">
        <v>29</v>
      </c>
      <c r="Q547">
        <v>6</v>
      </c>
      <c r="R547" t="s">
        <v>47</v>
      </c>
      <c r="S547" t="s">
        <v>21</v>
      </c>
      <c r="T547" t="s">
        <v>20</v>
      </c>
    </row>
    <row r="548" spans="1:20" x14ac:dyDescent="0.3">
      <c r="A548" t="s">
        <v>1212</v>
      </c>
      <c r="B548" t="s">
        <v>222</v>
      </c>
      <c r="C548" t="s">
        <v>197</v>
      </c>
      <c r="D548" t="s">
        <v>104</v>
      </c>
      <c r="E548" t="s">
        <v>5124</v>
      </c>
      <c r="F548" t="s">
        <v>5125</v>
      </c>
      <c r="G548" t="s">
        <v>50</v>
      </c>
      <c r="H548" t="s">
        <v>5136</v>
      </c>
      <c r="I548" t="s">
        <v>5137</v>
      </c>
      <c r="J548">
        <v>77271</v>
      </c>
      <c r="K548" t="s">
        <v>1213</v>
      </c>
      <c r="L548" t="s">
        <v>5165</v>
      </c>
      <c r="M548" t="s">
        <v>19</v>
      </c>
      <c r="N548">
        <v>45539</v>
      </c>
      <c r="O548">
        <v>2131</v>
      </c>
      <c r="P548" t="s">
        <v>20</v>
      </c>
      <c r="Q548">
        <v>0</v>
      </c>
      <c r="R548" t="s">
        <v>47</v>
      </c>
      <c r="S548" t="s">
        <v>21</v>
      </c>
      <c r="T548" t="s">
        <v>29</v>
      </c>
    </row>
    <row r="549" spans="1:20" x14ac:dyDescent="0.3">
      <c r="A549" t="s">
        <v>1214</v>
      </c>
      <c r="B549" t="s">
        <v>99</v>
      </c>
      <c r="C549" t="s">
        <v>90</v>
      </c>
      <c r="D549" t="s">
        <v>25</v>
      </c>
      <c r="E549" t="s">
        <v>5124</v>
      </c>
      <c r="F549" t="s">
        <v>5125</v>
      </c>
      <c r="G549" t="s">
        <v>16</v>
      </c>
      <c r="H549" t="s">
        <v>5136</v>
      </c>
      <c r="I549" t="s">
        <v>5137</v>
      </c>
      <c r="J549">
        <v>67441</v>
      </c>
      <c r="K549" t="s">
        <v>1215</v>
      </c>
      <c r="L549" t="s">
        <v>87</v>
      </c>
      <c r="M549" t="s">
        <v>46</v>
      </c>
      <c r="N549">
        <v>45334</v>
      </c>
      <c r="O549">
        <v>1796</v>
      </c>
      <c r="P549" t="s">
        <v>20</v>
      </c>
      <c r="Q549">
        <v>0</v>
      </c>
      <c r="R549" t="s">
        <v>52</v>
      </c>
      <c r="S549" t="s">
        <v>41</v>
      </c>
      <c r="T549" t="s">
        <v>29</v>
      </c>
    </row>
    <row r="550" spans="1:20" x14ac:dyDescent="0.3">
      <c r="A550" t="s">
        <v>1216</v>
      </c>
      <c r="B550" t="s">
        <v>99</v>
      </c>
      <c r="C550" t="s">
        <v>13</v>
      </c>
      <c r="D550" t="s">
        <v>104</v>
      </c>
      <c r="E550" t="s">
        <v>5126</v>
      </c>
      <c r="F550" t="s">
        <v>5125</v>
      </c>
      <c r="G550" t="s">
        <v>16</v>
      </c>
      <c r="H550" t="s">
        <v>5142</v>
      </c>
      <c r="I550" t="s">
        <v>5143</v>
      </c>
      <c r="J550">
        <v>160020</v>
      </c>
      <c r="K550" t="s">
        <v>1217</v>
      </c>
      <c r="L550" t="s">
        <v>5165</v>
      </c>
      <c r="M550" t="s">
        <v>39</v>
      </c>
      <c r="N550">
        <v>45698</v>
      </c>
      <c r="O550">
        <v>2561</v>
      </c>
      <c r="P550" t="s">
        <v>29</v>
      </c>
      <c r="Q550">
        <v>4</v>
      </c>
      <c r="R550" t="s">
        <v>52</v>
      </c>
      <c r="S550" t="s">
        <v>21</v>
      </c>
      <c r="T550" t="s">
        <v>20</v>
      </c>
    </row>
    <row r="551" spans="1:20" x14ac:dyDescent="0.3">
      <c r="A551" t="s">
        <v>1218</v>
      </c>
      <c r="B551" t="s">
        <v>218</v>
      </c>
      <c r="C551" t="s">
        <v>94</v>
      </c>
      <c r="D551" t="s">
        <v>118</v>
      </c>
      <c r="E551" t="s">
        <v>34</v>
      </c>
      <c r="F551" t="s">
        <v>35</v>
      </c>
      <c r="G551" t="s">
        <v>16</v>
      </c>
      <c r="H551" t="s">
        <v>5136</v>
      </c>
      <c r="I551" t="s">
        <v>5137</v>
      </c>
      <c r="J551">
        <v>62389</v>
      </c>
      <c r="K551" t="s">
        <v>1219</v>
      </c>
      <c r="L551" t="s">
        <v>179</v>
      </c>
      <c r="M551" t="s">
        <v>39</v>
      </c>
      <c r="N551">
        <v>45309</v>
      </c>
      <c r="O551">
        <v>3249</v>
      </c>
      <c r="P551" t="s">
        <v>29</v>
      </c>
      <c r="Q551">
        <v>0</v>
      </c>
      <c r="R551" t="s">
        <v>47</v>
      </c>
      <c r="S551" t="s">
        <v>21</v>
      </c>
      <c r="T551" t="s">
        <v>20</v>
      </c>
    </row>
    <row r="552" spans="1:20" x14ac:dyDescent="0.3">
      <c r="A552" t="s">
        <v>1220</v>
      </c>
      <c r="B552" t="s">
        <v>218</v>
      </c>
      <c r="C552" t="s">
        <v>79</v>
      </c>
      <c r="D552" t="s">
        <v>33</v>
      </c>
      <c r="E552" t="s">
        <v>5124</v>
      </c>
      <c r="F552" t="s">
        <v>5125</v>
      </c>
      <c r="G552" t="s">
        <v>16</v>
      </c>
      <c r="H552" t="s">
        <v>5140</v>
      </c>
      <c r="I552" t="s">
        <v>5141</v>
      </c>
      <c r="J552">
        <v>111714</v>
      </c>
      <c r="K552" t="s">
        <v>1221</v>
      </c>
      <c r="L552" t="s">
        <v>38</v>
      </c>
      <c r="M552" t="s">
        <v>46</v>
      </c>
      <c r="N552">
        <v>45455</v>
      </c>
      <c r="O552">
        <v>1171</v>
      </c>
      <c r="P552" t="s">
        <v>20</v>
      </c>
      <c r="Q552">
        <v>2</v>
      </c>
      <c r="R552" t="s">
        <v>76</v>
      </c>
      <c r="S552" t="s">
        <v>21</v>
      </c>
      <c r="T552" t="s">
        <v>20</v>
      </c>
    </row>
    <row r="553" spans="1:20" x14ac:dyDescent="0.3">
      <c r="A553" t="s">
        <v>1222</v>
      </c>
      <c r="B553" t="s">
        <v>78</v>
      </c>
      <c r="C553" t="s">
        <v>185</v>
      </c>
      <c r="D553" t="s">
        <v>5156</v>
      </c>
      <c r="E553" t="s">
        <v>193</v>
      </c>
      <c r="F553" t="s">
        <v>194</v>
      </c>
      <c r="G553" t="s">
        <v>50</v>
      </c>
      <c r="H553" t="s">
        <v>5136</v>
      </c>
      <c r="I553" t="s">
        <v>5137</v>
      </c>
      <c r="J553">
        <v>68038</v>
      </c>
      <c r="K553" t="s">
        <v>1223</v>
      </c>
      <c r="L553" t="s">
        <v>5165</v>
      </c>
      <c r="M553" t="s">
        <v>72</v>
      </c>
      <c r="N553">
        <v>45507</v>
      </c>
      <c r="O553">
        <v>498</v>
      </c>
      <c r="P553" t="s">
        <v>29</v>
      </c>
      <c r="Q553">
        <v>0</v>
      </c>
      <c r="R553" t="s">
        <v>47</v>
      </c>
      <c r="S553" t="s">
        <v>21</v>
      </c>
      <c r="T553" t="s">
        <v>20</v>
      </c>
    </row>
    <row r="554" spans="1:20" x14ac:dyDescent="0.3">
      <c r="A554" t="s">
        <v>1224</v>
      </c>
      <c r="B554" t="s">
        <v>84</v>
      </c>
      <c r="C554" t="s">
        <v>125</v>
      </c>
      <c r="D554" t="s">
        <v>167</v>
      </c>
      <c r="E554" t="s">
        <v>223</v>
      </c>
      <c r="F554" t="s">
        <v>224</v>
      </c>
      <c r="G554" t="s">
        <v>16</v>
      </c>
      <c r="H554" t="s">
        <v>5136</v>
      </c>
      <c r="I554" t="s">
        <v>5137</v>
      </c>
      <c r="J554">
        <v>84714</v>
      </c>
      <c r="K554" t="s">
        <v>1225</v>
      </c>
      <c r="L554" t="s">
        <v>5165</v>
      </c>
      <c r="M554" t="s">
        <v>46</v>
      </c>
      <c r="N554">
        <v>45693</v>
      </c>
      <c r="O554">
        <v>1934</v>
      </c>
      <c r="P554" t="s">
        <v>29</v>
      </c>
      <c r="Q554">
        <v>0</v>
      </c>
      <c r="R554" t="s">
        <v>52</v>
      </c>
      <c r="S554" t="s">
        <v>53</v>
      </c>
      <c r="T554" t="s">
        <v>29</v>
      </c>
    </row>
    <row r="555" spans="1:20" x14ac:dyDescent="0.3">
      <c r="A555" t="s">
        <v>1226</v>
      </c>
      <c r="B555" t="s">
        <v>218</v>
      </c>
      <c r="C555" t="s">
        <v>109</v>
      </c>
      <c r="D555" t="s">
        <v>167</v>
      </c>
      <c r="E555" t="s">
        <v>5128</v>
      </c>
      <c r="F555" t="s">
        <v>5125</v>
      </c>
      <c r="G555" t="s">
        <v>36</v>
      </c>
      <c r="H555" t="s">
        <v>5138</v>
      </c>
      <c r="I555" t="s">
        <v>5139</v>
      </c>
      <c r="J555">
        <v>209159</v>
      </c>
      <c r="K555" t="s">
        <v>1227</v>
      </c>
      <c r="L555" t="s">
        <v>142</v>
      </c>
      <c r="M555" t="s">
        <v>72</v>
      </c>
      <c r="N555">
        <v>45452</v>
      </c>
      <c r="O555">
        <v>129</v>
      </c>
      <c r="P555" t="s">
        <v>29</v>
      </c>
      <c r="Q555">
        <v>6</v>
      </c>
      <c r="R555" t="s">
        <v>5116</v>
      </c>
      <c r="S555" t="s">
        <v>21</v>
      </c>
      <c r="T555" t="s">
        <v>20</v>
      </c>
    </row>
    <row r="556" spans="1:20" x14ac:dyDescent="0.3">
      <c r="A556" t="s">
        <v>1228</v>
      </c>
      <c r="B556" t="s">
        <v>322</v>
      </c>
      <c r="C556" t="s">
        <v>166</v>
      </c>
      <c r="D556" t="s">
        <v>5156</v>
      </c>
      <c r="E556" t="s">
        <v>95</v>
      </c>
      <c r="F556" t="s">
        <v>96</v>
      </c>
      <c r="G556" t="s">
        <v>16</v>
      </c>
      <c r="H556" t="s">
        <v>5140</v>
      </c>
      <c r="I556" t="s">
        <v>5141</v>
      </c>
      <c r="J556">
        <v>116684</v>
      </c>
      <c r="K556" t="s">
        <v>1229</v>
      </c>
      <c r="L556" t="s">
        <v>5165</v>
      </c>
      <c r="M556" t="s">
        <v>19</v>
      </c>
      <c r="N556">
        <v>45662</v>
      </c>
      <c r="O556">
        <v>317</v>
      </c>
      <c r="P556" t="s">
        <v>20</v>
      </c>
      <c r="Q556">
        <v>2</v>
      </c>
      <c r="R556" t="s">
        <v>76</v>
      </c>
      <c r="S556" t="s">
        <v>53</v>
      </c>
      <c r="T556" t="s">
        <v>29</v>
      </c>
    </row>
    <row r="557" spans="1:20" x14ac:dyDescent="0.3">
      <c r="A557" t="s">
        <v>1230</v>
      </c>
      <c r="B557" t="s">
        <v>215</v>
      </c>
      <c r="C557" t="s">
        <v>79</v>
      </c>
      <c r="D557" t="s">
        <v>140</v>
      </c>
      <c r="E557" t="s">
        <v>193</v>
      </c>
      <c r="F557" t="s">
        <v>194</v>
      </c>
      <c r="G557" t="s">
        <v>36</v>
      </c>
      <c r="H557" t="s">
        <v>5140</v>
      </c>
      <c r="I557" t="s">
        <v>5141</v>
      </c>
      <c r="J557">
        <v>101844</v>
      </c>
      <c r="K557" t="s">
        <v>1231</v>
      </c>
      <c r="L557" t="s">
        <v>5165</v>
      </c>
      <c r="M557" t="s">
        <v>46</v>
      </c>
      <c r="N557">
        <v>45356</v>
      </c>
      <c r="O557">
        <v>2147</v>
      </c>
      <c r="P557" t="s">
        <v>20</v>
      </c>
      <c r="Q557">
        <v>2</v>
      </c>
      <c r="R557" t="s">
        <v>76</v>
      </c>
      <c r="S557" t="s">
        <v>21</v>
      </c>
      <c r="T557" t="s">
        <v>20</v>
      </c>
    </row>
    <row r="558" spans="1:20" x14ac:dyDescent="0.3">
      <c r="A558" t="s">
        <v>1232</v>
      </c>
      <c r="B558" t="s">
        <v>31</v>
      </c>
      <c r="C558" t="s">
        <v>43</v>
      </c>
      <c r="D558" t="s">
        <v>33</v>
      </c>
      <c r="E558" t="s">
        <v>152</v>
      </c>
      <c r="F558" t="s">
        <v>153</v>
      </c>
      <c r="G558" t="s">
        <v>16</v>
      </c>
      <c r="H558" t="s">
        <v>5142</v>
      </c>
      <c r="I558" t="s">
        <v>5143</v>
      </c>
      <c r="J558">
        <v>136834</v>
      </c>
      <c r="K558" t="s">
        <v>1233</v>
      </c>
      <c r="L558" t="s">
        <v>5165</v>
      </c>
      <c r="M558" t="s">
        <v>46</v>
      </c>
      <c r="N558">
        <v>45427</v>
      </c>
      <c r="O558">
        <v>3990</v>
      </c>
      <c r="P558" t="s">
        <v>20</v>
      </c>
      <c r="Q558">
        <v>4</v>
      </c>
      <c r="R558" t="s">
        <v>47</v>
      </c>
      <c r="S558" t="s">
        <v>21</v>
      </c>
      <c r="T558" t="s">
        <v>29</v>
      </c>
    </row>
    <row r="559" spans="1:20" x14ac:dyDescent="0.3">
      <c r="A559" t="s">
        <v>1234</v>
      </c>
      <c r="B559" t="s">
        <v>130</v>
      </c>
      <c r="C559" t="s">
        <v>121</v>
      </c>
      <c r="D559" t="s">
        <v>68</v>
      </c>
      <c r="E559" t="s">
        <v>152</v>
      </c>
      <c r="F559" t="s">
        <v>153</v>
      </c>
      <c r="G559" t="s">
        <v>16</v>
      </c>
      <c r="H559" t="s">
        <v>5140</v>
      </c>
      <c r="I559" t="s">
        <v>5141</v>
      </c>
      <c r="J559">
        <v>101435</v>
      </c>
      <c r="K559" t="s">
        <v>1235</v>
      </c>
      <c r="L559" t="s">
        <v>61</v>
      </c>
      <c r="M559" t="s">
        <v>19</v>
      </c>
      <c r="N559">
        <v>45398</v>
      </c>
      <c r="O559">
        <v>906</v>
      </c>
      <c r="P559" t="s">
        <v>92</v>
      </c>
      <c r="Q559">
        <v>2</v>
      </c>
      <c r="R559" t="s">
        <v>52</v>
      </c>
      <c r="S559" t="s">
        <v>41</v>
      </c>
      <c r="T559" t="s">
        <v>20</v>
      </c>
    </row>
    <row r="560" spans="1:20" x14ac:dyDescent="0.3">
      <c r="A560" t="s">
        <v>1236</v>
      </c>
      <c r="B560" t="s">
        <v>124</v>
      </c>
      <c r="C560" t="s">
        <v>100</v>
      </c>
      <c r="D560" t="s">
        <v>44</v>
      </c>
      <c r="E560" t="s">
        <v>5126</v>
      </c>
      <c r="F560" t="s">
        <v>5125</v>
      </c>
      <c r="G560" t="s">
        <v>16</v>
      </c>
      <c r="H560" t="s">
        <v>5140</v>
      </c>
      <c r="I560" t="s">
        <v>5141</v>
      </c>
      <c r="J560">
        <v>117810</v>
      </c>
      <c r="K560" t="s">
        <v>1237</v>
      </c>
      <c r="L560" t="s">
        <v>142</v>
      </c>
      <c r="M560" t="s">
        <v>19</v>
      </c>
      <c r="N560">
        <v>45434</v>
      </c>
      <c r="O560">
        <v>776</v>
      </c>
      <c r="P560" t="s">
        <v>20</v>
      </c>
      <c r="Q560">
        <v>2</v>
      </c>
      <c r="R560" t="s">
        <v>52</v>
      </c>
      <c r="S560" t="s">
        <v>21</v>
      </c>
      <c r="T560" t="s">
        <v>20</v>
      </c>
    </row>
    <row r="561" spans="1:20" x14ac:dyDescent="0.3">
      <c r="A561" t="s">
        <v>1238</v>
      </c>
      <c r="B561" t="s">
        <v>31</v>
      </c>
      <c r="C561" t="s">
        <v>139</v>
      </c>
      <c r="D561" t="s">
        <v>25</v>
      </c>
      <c r="E561" t="s">
        <v>126</v>
      </c>
      <c r="F561" t="s">
        <v>127</v>
      </c>
      <c r="G561" t="s">
        <v>16</v>
      </c>
      <c r="H561" t="s">
        <v>5136</v>
      </c>
      <c r="I561" t="s">
        <v>5137</v>
      </c>
      <c r="J561">
        <v>64695</v>
      </c>
      <c r="K561" t="s">
        <v>1239</v>
      </c>
      <c r="L561" t="s">
        <v>179</v>
      </c>
      <c r="M561" t="s">
        <v>46</v>
      </c>
      <c r="N561">
        <v>45512</v>
      </c>
      <c r="O561">
        <v>2666</v>
      </c>
      <c r="P561" t="s">
        <v>20</v>
      </c>
      <c r="Q561">
        <v>0</v>
      </c>
      <c r="R561" t="s">
        <v>52</v>
      </c>
      <c r="S561" t="s">
        <v>21</v>
      </c>
      <c r="T561" t="s">
        <v>29</v>
      </c>
    </row>
    <row r="562" spans="1:20" x14ac:dyDescent="0.3">
      <c r="A562" t="s">
        <v>1240</v>
      </c>
      <c r="B562" t="s">
        <v>215</v>
      </c>
      <c r="C562" t="s">
        <v>79</v>
      </c>
      <c r="D562" t="s">
        <v>5156</v>
      </c>
      <c r="E562" t="s">
        <v>69</v>
      </c>
      <c r="F562" t="s">
        <v>70</v>
      </c>
      <c r="G562" t="s">
        <v>36</v>
      </c>
      <c r="H562" t="s">
        <v>5142</v>
      </c>
      <c r="I562" t="s">
        <v>5143</v>
      </c>
      <c r="J562">
        <v>157823</v>
      </c>
      <c r="K562" t="s">
        <v>1241</v>
      </c>
      <c r="L562" t="s">
        <v>179</v>
      </c>
      <c r="M562" t="s">
        <v>46</v>
      </c>
      <c r="N562">
        <v>45557</v>
      </c>
      <c r="O562">
        <v>279</v>
      </c>
      <c r="P562" t="s">
        <v>20</v>
      </c>
      <c r="Q562">
        <v>4</v>
      </c>
      <c r="R562" t="s">
        <v>40</v>
      </c>
      <c r="S562" t="s">
        <v>21</v>
      </c>
      <c r="T562" t="s">
        <v>20</v>
      </c>
    </row>
    <row r="563" spans="1:20" x14ac:dyDescent="0.3">
      <c r="A563" t="s">
        <v>1242</v>
      </c>
      <c r="B563" t="s">
        <v>130</v>
      </c>
      <c r="C563" t="s">
        <v>172</v>
      </c>
      <c r="D563" t="s">
        <v>5156</v>
      </c>
      <c r="E563" t="s">
        <v>5126</v>
      </c>
      <c r="F563" t="s">
        <v>5125</v>
      </c>
      <c r="G563" t="s">
        <v>16</v>
      </c>
      <c r="H563" t="s">
        <v>5138</v>
      </c>
      <c r="I563" t="s">
        <v>5139</v>
      </c>
      <c r="J563">
        <v>274714</v>
      </c>
      <c r="K563" t="s">
        <v>1243</v>
      </c>
      <c r="L563" t="s">
        <v>18</v>
      </c>
      <c r="M563" t="s">
        <v>19</v>
      </c>
      <c r="N563">
        <v>45667</v>
      </c>
      <c r="O563">
        <v>3728</v>
      </c>
      <c r="P563" t="s">
        <v>20</v>
      </c>
      <c r="Q563">
        <v>6</v>
      </c>
      <c r="R563" t="s">
        <v>52</v>
      </c>
      <c r="S563" t="s">
        <v>53</v>
      </c>
      <c r="T563" t="s">
        <v>20</v>
      </c>
    </row>
    <row r="564" spans="1:20" x14ac:dyDescent="0.3">
      <c r="A564" t="s">
        <v>1244</v>
      </c>
      <c r="B564" t="s">
        <v>84</v>
      </c>
      <c r="C564" t="s">
        <v>43</v>
      </c>
      <c r="D564" t="s">
        <v>57</v>
      </c>
      <c r="E564" t="s">
        <v>5124</v>
      </c>
      <c r="F564" t="s">
        <v>5125</v>
      </c>
      <c r="G564" t="s">
        <v>36</v>
      </c>
      <c r="H564" t="s">
        <v>5140</v>
      </c>
      <c r="I564" t="s">
        <v>5141</v>
      </c>
      <c r="J564">
        <v>127248</v>
      </c>
      <c r="K564" t="s">
        <v>1245</v>
      </c>
      <c r="L564" t="s">
        <v>5165</v>
      </c>
      <c r="M564" t="s">
        <v>46</v>
      </c>
      <c r="N564">
        <v>45377</v>
      </c>
      <c r="O564">
        <v>737</v>
      </c>
      <c r="P564" t="s">
        <v>92</v>
      </c>
      <c r="Q564">
        <v>2</v>
      </c>
      <c r="R564" t="s">
        <v>5116</v>
      </c>
      <c r="S564" t="s">
        <v>21</v>
      </c>
      <c r="T564" t="s">
        <v>20</v>
      </c>
    </row>
    <row r="565" spans="1:20" x14ac:dyDescent="0.3">
      <c r="A565" t="s">
        <v>1246</v>
      </c>
      <c r="B565" t="s">
        <v>144</v>
      </c>
      <c r="C565" t="s">
        <v>109</v>
      </c>
      <c r="D565" t="s">
        <v>33</v>
      </c>
      <c r="E565" t="s">
        <v>152</v>
      </c>
      <c r="F565" t="s">
        <v>153</v>
      </c>
      <c r="G565" t="s">
        <v>36</v>
      </c>
      <c r="H565" t="s">
        <v>5142</v>
      </c>
      <c r="I565" t="s">
        <v>5143</v>
      </c>
      <c r="J565">
        <v>141197</v>
      </c>
      <c r="K565" t="s">
        <v>1247</v>
      </c>
      <c r="L565" t="s">
        <v>113</v>
      </c>
      <c r="M565" t="s">
        <v>46</v>
      </c>
      <c r="N565">
        <v>45542</v>
      </c>
      <c r="O565">
        <v>3102</v>
      </c>
      <c r="P565" t="s">
        <v>29</v>
      </c>
      <c r="Q565">
        <v>4</v>
      </c>
      <c r="R565" t="s">
        <v>5116</v>
      </c>
      <c r="S565" t="s">
        <v>21</v>
      </c>
      <c r="T565" t="s">
        <v>20</v>
      </c>
    </row>
    <row r="566" spans="1:20" x14ac:dyDescent="0.3">
      <c r="A566" t="s">
        <v>1248</v>
      </c>
      <c r="B566" t="s">
        <v>229</v>
      </c>
      <c r="C566" t="s">
        <v>172</v>
      </c>
      <c r="D566" t="s">
        <v>167</v>
      </c>
      <c r="E566" t="s">
        <v>152</v>
      </c>
      <c r="F566" t="s">
        <v>153</v>
      </c>
      <c r="G566" t="s">
        <v>36</v>
      </c>
      <c r="H566" t="s">
        <v>5138</v>
      </c>
      <c r="I566" t="s">
        <v>5139</v>
      </c>
      <c r="J566">
        <v>243243</v>
      </c>
      <c r="K566" t="s">
        <v>1249</v>
      </c>
      <c r="L566" t="s">
        <v>38</v>
      </c>
      <c r="M566" t="s">
        <v>39</v>
      </c>
      <c r="N566">
        <v>45571</v>
      </c>
      <c r="O566">
        <v>471</v>
      </c>
      <c r="P566" t="s">
        <v>20</v>
      </c>
      <c r="Q566">
        <v>6</v>
      </c>
      <c r="R566" t="s">
        <v>76</v>
      </c>
      <c r="S566" t="s">
        <v>53</v>
      </c>
      <c r="T566" t="s">
        <v>29</v>
      </c>
    </row>
    <row r="567" spans="1:20" x14ac:dyDescent="0.3">
      <c r="A567" t="s">
        <v>1250</v>
      </c>
      <c r="B567" t="s">
        <v>322</v>
      </c>
      <c r="C567" t="s">
        <v>197</v>
      </c>
      <c r="D567" t="s">
        <v>140</v>
      </c>
      <c r="E567" t="s">
        <v>58</v>
      </c>
      <c r="F567" t="s">
        <v>59</v>
      </c>
      <c r="G567" t="s">
        <v>16</v>
      </c>
      <c r="H567" t="s">
        <v>5140</v>
      </c>
      <c r="I567" t="s">
        <v>5141</v>
      </c>
      <c r="J567">
        <v>101920</v>
      </c>
      <c r="K567" t="s">
        <v>1251</v>
      </c>
      <c r="L567" t="s">
        <v>142</v>
      </c>
      <c r="M567" t="s">
        <v>46</v>
      </c>
      <c r="N567">
        <v>45307</v>
      </c>
      <c r="O567">
        <v>3602</v>
      </c>
      <c r="P567" t="s">
        <v>20</v>
      </c>
      <c r="Q567">
        <v>2</v>
      </c>
      <c r="R567" t="s">
        <v>76</v>
      </c>
      <c r="S567" t="s">
        <v>53</v>
      </c>
      <c r="T567" t="s">
        <v>29</v>
      </c>
    </row>
    <row r="568" spans="1:20" x14ac:dyDescent="0.3">
      <c r="A568" t="s">
        <v>1252</v>
      </c>
      <c r="B568" t="s">
        <v>124</v>
      </c>
      <c r="C568" t="s">
        <v>56</v>
      </c>
      <c r="D568" t="s">
        <v>167</v>
      </c>
      <c r="E568" t="s">
        <v>14</v>
      </c>
      <c r="F568" t="s">
        <v>15</v>
      </c>
      <c r="G568" t="s">
        <v>50</v>
      </c>
      <c r="H568" t="s">
        <v>5140</v>
      </c>
      <c r="I568" t="s">
        <v>5141</v>
      </c>
      <c r="J568">
        <v>69645</v>
      </c>
      <c r="K568" t="s">
        <v>1253</v>
      </c>
      <c r="L568" t="s">
        <v>18</v>
      </c>
      <c r="M568" t="s">
        <v>39</v>
      </c>
      <c r="N568">
        <v>45470</v>
      </c>
      <c r="O568">
        <v>1785</v>
      </c>
      <c r="P568" t="s">
        <v>20</v>
      </c>
      <c r="Q568">
        <v>2</v>
      </c>
      <c r="R568" t="s">
        <v>76</v>
      </c>
      <c r="S568" t="s">
        <v>41</v>
      </c>
      <c r="T568" t="s">
        <v>20</v>
      </c>
    </row>
    <row r="569" spans="1:20" x14ac:dyDescent="0.3">
      <c r="A569" t="s">
        <v>1254</v>
      </c>
      <c r="B569" t="s">
        <v>74</v>
      </c>
      <c r="C569" t="s">
        <v>188</v>
      </c>
      <c r="D569" t="s">
        <v>68</v>
      </c>
      <c r="E569" t="s">
        <v>5132</v>
      </c>
      <c r="F569" t="s">
        <v>5125</v>
      </c>
      <c r="G569" t="s">
        <v>36</v>
      </c>
      <c r="H569" t="s">
        <v>5136</v>
      </c>
      <c r="I569" t="s">
        <v>5137</v>
      </c>
      <c r="J569">
        <v>57298</v>
      </c>
      <c r="K569" t="s">
        <v>1255</v>
      </c>
      <c r="L569" t="s">
        <v>5165</v>
      </c>
      <c r="M569" t="s">
        <v>46</v>
      </c>
      <c r="N569">
        <v>45642</v>
      </c>
      <c r="O569">
        <v>2004</v>
      </c>
      <c r="P569" t="s">
        <v>20</v>
      </c>
      <c r="Q569">
        <v>0</v>
      </c>
      <c r="R569" t="s">
        <v>40</v>
      </c>
      <c r="S569" t="s">
        <v>21</v>
      </c>
      <c r="T569" t="s">
        <v>29</v>
      </c>
    </row>
    <row r="570" spans="1:20" x14ac:dyDescent="0.3">
      <c r="A570" t="s">
        <v>1256</v>
      </c>
      <c r="B570" t="s">
        <v>74</v>
      </c>
      <c r="C570" t="s">
        <v>151</v>
      </c>
      <c r="D570" t="s">
        <v>68</v>
      </c>
      <c r="E570" t="s">
        <v>5127</v>
      </c>
      <c r="F570" t="s">
        <v>5125</v>
      </c>
      <c r="G570" t="s">
        <v>36</v>
      </c>
      <c r="H570" t="s">
        <v>5136</v>
      </c>
      <c r="I570" t="s">
        <v>5137</v>
      </c>
      <c r="J570">
        <v>50000</v>
      </c>
      <c r="K570" t="s">
        <v>1257</v>
      </c>
      <c r="L570" t="s">
        <v>113</v>
      </c>
      <c r="M570" t="s">
        <v>46</v>
      </c>
      <c r="N570">
        <v>45294</v>
      </c>
      <c r="O570">
        <v>3916</v>
      </c>
      <c r="P570" t="s">
        <v>29</v>
      </c>
      <c r="Q570">
        <v>0</v>
      </c>
      <c r="R570" t="s">
        <v>40</v>
      </c>
      <c r="S570" t="s">
        <v>21</v>
      </c>
      <c r="T570" t="s">
        <v>20</v>
      </c>
    </row>
    <row r="571" spans="1:20" x14ac:dyDescent="0.3">
      <c r="A571" t="s">
        <v>1258</v>
      </c>
      <c r="B571" t="s">
        <v>322</v>
      </c>
      <c r="C571" t="s">
        <v>79</v>
      </c>
      <c r="D571" t="s">
        <v>25</v>
      </c>
      <c r="E571" t="s">
        <v>223</v>
      </c>
      <c r="F571" t="s">
        <v>224</v>
      </c>
      <c r="G571" t="s">
        <v>16</v>
      </c>
      <c r="H571" t="s">
        <v>5136</v>
      </c>
      <c r="I571" t="s">
        <v>5137</v>
      </c>
      <c r="J571">
        <v>65570</v>
      </c>
      <c r="K571" t="s">
        <v>1259</v>
      </c>
      <c r="L571" t="s">
        <v>142</v>
      </c>
      <c r="M571" t="s">
        <v>72</v>
      </c>
      <c r="N571">
        <v>45534</v>
      </c>
      <c r="O571">
        <v>719</v>
      </c>
      <c r="P571" t="s">
        <v>20</v>
      </c>
      <c r="Q571">
        <v>0</v>
      </c>
      <c r="R571" t="s">
        <v>40</v>
      </c>
      <c r="S571" t="s">
        <v>53</v>
      </c>
      <c r="T571" t="s">
        <v>29</v>
      </c>
    </row>
    <row r="572" spans="1:20" x14ac:dyDescent="0.3">
      <c r="A572" t="s">
        <v>1260</v>
      </c>
      <c r="B572" t="s">
        <v>99</v>
      </c>
      <c r="C572" t="s">
        <v>151</v>
      </c>
      <c r="D572" t="s">
        <v>140</v>
      </c>
      <c r="E572" t="s">
        <v>58</v>
      </c>
      <c r="F572" t="s">
        <v>59</v>
      </c>
      <c r="G572" t="s">
        <v>16</v>
      </c>
      <c r="H572" t="s">
        <v>5142</v>
      </c>
      <c r="I572" t="s">
        <v>5143</v>
      </c>
      <c r="J572">
        <v>150497</v>
      </c>
      <c r="K572" t="s">
        <v>1261</v>
      </c>
      <c r="L572" t="s">
        <v>134</v>
      </c>
      <c r="M572" t="s">
        <v>19</v>
      </c>
      <c r="N572">
        <v>45394</v>
      </c>
      <c r="O572">
        <v>1820</v>
      </c>
      <c r="P572" t="s">
        <v>20</v>
      </c>
      <c r="Q572">
        <v>4</v>
      </c>
      <c r="R572" t="s">
        <v>76</v>
      </c>
      <c r="S572" t="s">
        <v>41</v>
      </c>
      <c r="T572" t="s">
        <v>20</v>
      </c>
    </row>
    <row r="573" spans="1:20" x14ac:dyDescent="0.3">
      <c r="A573" t="s">
        <v>1262</v>
      </c>
      <c r="B573" t="s">
        <v>165</v>
      </c>
      <c r="C573" t="s">
        <v>188</v>
      </c>
      <c r="D573" t="s">
        <v>25</v>
      </c>
      <c r="E573" t="s">
        <v>5131</v>
      </c>
      <c r="F573" t="s">
        <v>5125</v>
      </c>
      <c r="G573" t="s">
        <v>36</v>
      </c>
      <c r="H573" t="s">
        <v>5142</v>
      </c>
      <c r="I573" t="s">
        <v>5143</v>
      </c>
      <c r="J573">
        <v>195263</v>
      </c>
      <c r="K573" t="s">
        <v>1263</v>
      </c>
      <c r="L573" t="s">
        <v>5165</v>
      </c>
      <c r="M573" t="s">
        <v>39</v>
      </c>
      <c r="N573">
        <v>45502</v>
      </c>
      <c r="O573">
        <v>1538</v>
      </c>
      <c r="P573" t="s">
        <v>29</v>
      </c>
      <c r="Q573">
        <v>4</v>
      </c>
      <c r="R573" t="s">
        <v>76</v>
      </c>
      <c r="S573" t="s">
        <v>53</v>
      </c>
      <c r="T573" t="s">
        <v>20</v>
      </c>
    </row>
    <row r="574" spans="1:20" x14ac:dyDescent="0.3">
      <c r="A574" t="s">
        <v>1264</v>
      </c>
      <c r="B574" t="s">
        <v>222</v>
      </c>
      <c r="C574" t="s">
        <v>24</v>
      </c>
      <c r="D574" t="s">
        <v>104</v>
      </c>
      <c r="E574" t="s">
        <v>58</v>
      </c>
      <c r="F574" t="s">
        <v>59</v>
      </c>
      <c r="G574" t="s">
        <v>16</v>
      </c>
      <c r="H574" t="s">
        <v>5138</v>
      </c>
      <c r="I574" t="s">
        <v>5139</v>
      </c>
      <c r="J574">
        <v>211769</v>
      </c>
      <c r="K574" t="s">
        <v>1265</v>
      </c>
      <c r="L574" t="s">
        <v>142</v>
      </c>
      <c r="M574" t="s">
        <v>19</v>
      </c>
      <c r="N574">
        <v>45295</v>
      </c>
      <c r="O574">
        <v>2326</v>
      </c>
      <c r="P574" t="s">
        <v>20</v>
      </c>
      <c r="Q574">
        <v>6</v>
      </c>
      <c r="R574" t="s">
        <v>40</v>
      </c>
      <c r="S574" t="s">
        <v>53</v>
      </c>
      <c r="T574" t="s">
        <v>29</v>
      </c>
    </row>
    <row r="575" spans="1:20" x14ac:dyDescent="0.3">
      <c r="A575" t="s">
        <v>1266</v>
      </c>
      <c r="B575" t="s">
        <v>136</v>
      </c>
      <c r="C575" t="s">
        <v>151</v>
      </c>
      <c r="D575" t="s">
        <v>57</v>
      </c>
      <c r="E575" t="s">
        <v>80</v>
      </c>
      <c r="F575" t="s">
        <v>80</v>
      </c>
      <c r="G575" t="s">
        <v>36</v>
      </c>
      <c r="H575" t="s">
        <v>5136</v>
      </c>
      <c r="I575" t="s">
        <v>5137</v>
      </c>
      <c r="J575">
        <v>67239</v>
      </c>
      <c r="K575" t="s">
        <v>1267</v>
      </c>
      <c r="L575" t="s">
        <v>179</v>
      </c>
      <c r="M575" t="s">
        <v>46</v>
      </c>
      <c r="N575">
        <v>45579</v>
      </c>
      <c r="O575">
        <v>479</v>
      </c>
      <c r="P575" t="s">
        <v>29</v>
      </c>
      <c r="Q575">
        <v>0</v>
      </c>
      <c r="R575" t="s">
        <v>47</v>
      </c>
      <c r="S575" t="s">
        <v>21</v>
      </c>
      <c r="T575" t="s">
        <v>29</v>
      </c>
    </row>
    <row r="576" spans="1:20" x14ac:dyDescent="0.3">
      <c r="A576" t="s">
        <v>1268</v>
      </c>
      <c r="B576" t="s">
        <v>12</v>
      </c>
      <c r="C576" t="s">
        <v>109</v>
      </c>
      <c r="D576" t="s">
        <v>33</v>
      </c>
      <c r="E576" t="s">
        <v>80</v>
      </c>
      <c r="F576" t="s">
        <v>80</v>
      </c>
      <c r="G576" t="s">
        <v>16</v>
      </c>
      <c r="H576" t="s">
        <v>5140</v>
      </c>
      <c r="I576" t="s">
        <v>5141</v>
      </c>
      <c r="J576">
        <v>126422</v>
      </c>
      <c r="K576" t="s">
        <v>1269</v>
      </c>
      <c r="L576" t="s">
        <v>5165</v>
      </c>
      <c r="M576" t="s">
        <v>39</v>
      </c>
      <c r="N576">
        <v>45304</v>
      </c>
      <c r="O576">
        <v>3375</v>
      </c>
      <c r="P576" t="s">
        <v>20</v>
      </c>
      <c r="Q576">
        <v>2</v>
      </c>
      <c r="R576" t="s">
        <v>52</v>
      </c>
      <c r="S576" t="s">
        <v>53</v>
      </c>
      <c r="T576" t="s">
        <v>20</v>
      </c>
    </row>
    <row r="577" spans="1:20" x14ac:dyDescent="0.3">
      <c r="A577" t="s">
        <v>1270</v>
      </c>
      <c r="B577" t="s">
        <v>322</v>
      </c>
      <c r="C577" t="s">
        <v>185</v>
      </c>
      <c r="D577" t="s">
        <v>25</v>
      </c>
      <c r="E577" t="s">
        <v>5132</v>
      </c>
      <c r="F577" t="s">
        <v>5125</v>
      </c>
      <c r="G577" t="s">
        <v>16</v>
      </c>
      <c r="H577" t="s">
        <v>5140</v>
      </c>
      <c r="I577" t="s">
        <v>5141</v>
      </c>
      <c r="J577">
        <v>66219</v>
      </c>
      <c r="K577" t="s">
        <v>1271</v>
      </c>
      <c r="L577" t="s">
        <v>82</v>
      </c>
      <c r="M577" t="s">
        <v>19</v>
      </c>
      <c r="N577">
        <v>45711</v>
      </c>
      <c r="O577">
        <v>3938</v>
      </c>
      <c r="P577" t="s">
        <v>20</v>
      </c>
      <c r="Q577">
        <v>2</v>
      </c>
      <c r="R577" t="s">
        <v>40</v>
      </c>
      <c r="S577" t="s">
        <v>21</v>
      </c>
      <c r="T577" t="s">
        <v>29</v>
      </c>
    </row>
    <row r="578" spans="1:20" x14ac:dyDescent="0.3">
      <c r="A578" t="s">
        <v>1272</v>
      </c>
      <c r="B578" t="s">
        <v>12</v>
      </c>
      <c r="C578" t="s">
        <v>32</v>
      </c>
      <c r="D578" t="s">
        <v>25</v>
      </c>
      <c r="E578" t="s">
        <v>5131</v>
      </c>
      <c r="F578" t="s">
        <v>5125</v>
      </c>
      <c r="G578" t="s">
        <v>50</v>
      </c>
      <c r="H578" t="s">
        <v>5138</v>
      </c>
      <c r="I578" t="s">
        <v>5139</v>
      </c>
      <c r="J578">
        <v>208482</v>
      </c>
      <c r="K578" t="s">
        <v>1273</v>
      </c>
      <c r="L578" t="s">
        <v>179</v>
      </c>
      <c r="M578" t="s">
        <v>19</v>
      </c>
      <c r="N578">
        <v>45367</v>
      </c>
      <c r="O578">
        <v>184</v>
      </c>
      <c r="P578" t="s">
        <v>92</v>
      </c>
      <c r="Q578">
        <v>6</v>
      </c>
      <c r="R578" t="s">
        <v>40</v>
      </c>
      <c r="S578" t="s">
        <v>41</v>
      </c>
      <c r="T578" t="s">
        <v>20</v>
      </c>
    </row>
    <row r="579" spans="1:20" x14ac:dyDescent="0.3">
      <c r="A579" t="s">
        <v>1274</v>
      </c>
      <c r="B579" t="s">
        <v>165</v>
      </c>
      <c r="C579" t="s">
        <v>160</v>
      </c>
      <c r="D579" t="s">
        <v>118</v>
      </c>
      <c r="E579" t="s">
        <v>5132</v>
      </c>
      <c r="F579" t="s">
        <v>5125</v>
      </c>
      <c r="G579" t="s">
        <v>50</v>
      </c>
      <c r="H579" t="s">
        <v>5142</v>
      </c>
      <c r="I579" t="s">
        <v>5143</v>
      </c>
      <c r="J579">
        <v>170813</v>
      </c>
      <c r="K579" t="s">
        <v>1275</v>
      </c>
      <c r="L579" t="s">
        <v>142</v>
      </c>
      <c r="M579" t="s">
        <v>46</v>
      </c>
      <c r="N579">
        <v>45475</v>
      </c>
      <c r="O579">
        <v>1892</v>
      </c>
      <c r="P579" t="s">
        <v>20</v>
      </c>
      <c r="Q579">
        <v>4</v>
      </c>
      <c r="R579" t="s">
        <v>47</v>
      </c>
      <c r="S579" t="s">
        <v>21</v>
      </c>
      <c r="T579" t="s">
        <v>20</v>
      </c>
    </row>
    <row r="580" spans="1:20" x14ac:dyDescent="0.3">
      <c r="A580" t="s">
        <v>1276</v>
      </c>
      <c r="B580" t="s">
        <v>74</v>
      </c>
      <c r="C580" t="s">
        <v>56</v>
      </c>
      <c r="D580" t="s">
        <v>68</v>
      </c>
      <c r="E580" t="s">
        <v>5128</v>
      </c>
      <c r="F580" t="s">
        <v>5125</v>
      </c>
      <c r="G580" t="s">
        <v>50</v>
      </c>
      <c r="H580" t="s">
        <v>5138</v>
      </c>
      <c r="I580" t="s">
        <v>5139</v>
      </c>
      <c r="J580">
        <v>146770</v>
      </c>
      <c r="K580" t="s">
        <v>1277</v>
      </c>
      <c r="L580" t="s">
        <v>5165</v>
      </c>
      <c r="M580" t="s">
        <v>19</v>
      </c>
      <c r="N580">
        <v>45622</v>
      </c>
      <c r="O580">
        <v>2421</v>
      </c>
      <c r="P580" t="s">
        <v>92</v>
      </c>
      <c r="Q580">
        <v>6</v>
      </c>
      <c r="R580" t="s">
        <v>40</v>
      </c>
      <c r="S580" t="s">
        <v>21</v>
      </c>
      <c r="T580" t="s">
        <v>20</v>
      </c>
    </row>
    <row r="581" spans="1:20" x14ac:dyDescent="0.3">
      <c r="A581" t="s">
        <v>1278</v>
      </c>
      <c r="B581" t="s">
        <v>63</v>
      </c>
      <c r="C581" t="s">
        <v>64</v>
      </c>
      <c r="D581" t="s">
        <v>33</v>
      </c>
      <c r="E581" t="s">
        <v>5132</v>
      </c>
      <c r="F581" t="s">
        <v>5125</v>
      </c>
      <c r="G581" t="s">
        <v>50</v>
      </c>
      <c r="H581" t="s">
        <v>5136</v>
      </c>
      <c r="I581" t="s">
        <v>5137</v>
      </c>
      <c r="J581">
        <v>84411</v>
      </c>
      <c r="K581" t="s">
        <v>1279</v>
      </c>
      <c r="L581" t="s">
        <v>5165</v>
      </c>
      <c r="M581" t="s">
        <v>19</v>
      </c>
      <c r="N581">
        <v>45373</v>
      </c>
      <c r="O581">
        <v>2992</v>
      </c>
      <c r="P581" t="s">
        <v>92</v>
      </c>
      <c r="Q581">
        <v>0</v>
      </c>
      <c r="R581" t="s">
        <v>52</v>
      </c>
      <c r="S581" t="s">
        <v>41</v>
      </c>
      <c r="T581" t="s">
        <v>29</v>
      </c>
    </row>
    <row r="582" spans="1:20" x14ac:dyDescent="0.3">
      <c r="A582" t="s">
        <v>1280</v>
      </c>
      <c r="B582" t="s">
        <v>31</v>
      </c>
      <c r="C582" t="s">
        <v>49</v>
      </c>
      <c r="D582" t="s">
        <v>118</v>
      </c>
      <c r="E582" t="s">
        <v>5127</v>
      </c>
      <c r="F582" t="s">
        <v>5125</v>
      </c>
      <c r="G582" t="s">
        <v>50</v>
      </c>
      <c r="H582" t="s">
        <v>5136</v>
      </c>
      <c r="I582" t="s">
        <v>5137</v>
      </c>
      <c r="J582">
        <v>74265</v>
      </c>
      <c r="K582" t="s">
        <v>1281</v>
      </c>
      <c r="L582" t="s">
        <v>82</v>
      </c>
      <c r="M582" t="s">
        <v>72</v>
      </c>
      <c r="N582">
        <v>45329</v>
      </c>
      <c r="O582">
        <v>811</v>
      </c>
      <c r="P582" t="s">
        <v>20</v>
      </c>
      <c r="Q582">
        <v>0</v>
      </c>
      <c r="R582" t="s">
        <v>52</v>
      </c>
      <c r="S582" t="s">
        <v>21</v>
      </c>
      <c r="T582" t="s">
        <v>29</v>
      </c>
    </row>
    <row r="583" spans="1:20" x14ac:dyDescent="0.3">
      <c r="A583" t="s">
        <v>1282</v>
      </c>
      <c r="B583" t="s">
        <v>215</v>
      </c>
      <c r="C583" t="s">
        <v>94</v>
      </c>
      <c r="D583" t="s">
        <v>33</v>
      </c>
      <c r="E583" t="s">
        <v>69</v>
      </c>
      <c r="F583" t="s">
        <v>70</v>
      </c>
      <c r="G583" t="s">
        <v>50</v>
      </c>
      <c r="H583" t="s">
        <v>5138</v>
      </c>
      <c r="I583" t="s">
        <v>5139</v>
      </c>
      <c r="J583">
        <v>185049</v>
      </c>
      <c r="K583" t="s">
        <v>1283</v>
      </c>
      <c r="L583" t="s">
        <v>5165</v>
      </c>
      <c r="M583" t="s">
        <v>19</v>
      </c>
      <c r="N583">
        <v>45390</v>
      </c>
      <c r="O583">
        <v>3668</v>
      </c>
      <c r="P583" t="s">
        <v>29</v>
      </c>
      <c r="Q583">
        <v>6</v>
      </c>
      <c r="R583" t="s">
        <v>52</v>
      </c>
      <c r="S583" t="s">
        <v>21</v>
      </c>
      <c r="T583" t="s">
        <v>20</v>
      </c>
    </row>
    <row r="584" spans="1:20" x14ac:dyDescent="0.3">
      <c r="A584" t="s">
        <v>1284</v>
      </c>
      <c r="B584" t="s">
        <v>229</v>
      </c>
      <c r="C584" t="s">
        <v>79</v>
      </c>
      <c r="D584" t="s">
        <v>68</v>
      </c>
      <c r="E584" t="s">
        <v>69</v>
      </c>
      <c r="F584" t="s">
        <v>70</v>
      </c>
      <c r="G584" t="s">
        <v>36</v>
      </c>
      <c r="H584" t="s">
        <v>5140</v>
      </c>
      <c r="I584" t="s">
        <v>5141</v>
      </c>
      <c r="J584">
        <v>122529</v>
      </c>
      <c r="K584" t="s">
        <v>1285</v>
      </c>
      <c r="L584" t="s">
        <v>18</v>
      </c>
      <c r="M584" t="s">
        <v>39</v>
      </c>
      <c r="N584">
        <v>45718</v>
      </c>
      <c r="O584">
        <v>1807</v>
      </c>
      <c r="P584" t="s">
        <v>20</v>
      </c>
      <c r="Q584">
        <v>2</v>
      </c>
      <c r="R584" t="s">
        <v>52</v>
      </c>
      <c r="S584" t="s">
        <v>53</v>
      </c>
      <c r="T584" t="s">
        <v>20</v>
      </c>
    </row>
    <row r="585" spans="1:20" x14ac:dyDescent="0.3">
      <c r="A585" t="s">
        <v>1286</v>
      </c>
      <c r="B585" t="s">
        <v>55</v>
      </c>
      <c r="C585" t="s">
        <v>232</v>
      </c>
      <c r="D585" t="s">
        <v>25</v>
      </c>
      <c r="E585" t="s">
        <v>5129</v>
      </c>
      <c r="F585" t="s">
        <v>5130</v>
      </c>
      <c r="G585" t="s">
        <v>16</v>
      </c>
      <c r="H585" t="s">
        <v>5142</v>
      </c>
      <c r="I585" t="s">
        <v>5143</v>
      </c>
      <c r="J585">
        <v>211308</v>
      </c>
      <c r="K585" t="s">
        <v>1287</v>
      </c>
      <c r="L585" t="s">
        <v>113</v>
      </c>
      <c r="M585" t="s">
        <v>46</v>
      </c>
      <c r="N585">
        <v>45410</v>
      </c>
      <c r="O585">
        <v>288</v>
      </c>
      <c r="P585" t="s">
        <v>92</v>
      </c>
      <c r="Q585">
        <v>4</v>
      </c>
      <c r="R585" t="s">
        <v>47</v>
      </c>
      <c r="S585" t="s">
        <v>41</v>
      </c>
      <c r="T585" t="s">
        <v>29</v>
      </c>
    </row>
    <row r="586" spans="1:20" x14ac:dyDescent="0.3">
      <c r="A586" t="s">
        <v>1288</v>
      </c>
      <c r="B586" t="s">
        <v>136</v>
      </c>
      <c r="C586" t="s">
        <v>32</v>
      </c>
      <c r="D586" t="s">
        <v>57</v>
      </c>
      <c r="E586" t="s">
        <v>69</v>
      </c>
      <c r="F586" t="s">
        <v>70</v>
      </c>
      <c r="G586" t="s">
        <v>50</v>
      </c>
      <c r="H586" t="s">
        <v>5140</v>
      </c>
      <c r="I586" t="s">
        <v>5141</v>
      </c>
      <c r="J586">
        <v>113600</v>
      </c>
      <c r="K586" t="s">
        <v>1289</v>
      </c>
      <c r="L586" t="s">
        <v>5165</v>
      </c>
      <c r="M586" t="s">
        <v>72</v>
      </c>
      <c r="N586">
        <v>45548</v>
      </c>
      <c r="O586">
        <v>2685</v>
      </c>
      <c r="P586" t="s">
        <v>29</v>
      </c>
      <c r="Q586">
        <v>2</v>
      </c>
      <c r="R586" t="s">
        <v>40</v>
      </c>
      <c r="S586" t="s">
        <v>21</v>
      </c>
      <c r="T586" t="s">
        <v>29</v>
      </c>
    </row>
    <row r="587" spans="1:20" x14ac:dyDescent="0.3">
      <c r="A587" t="s">
        <v>1290</v>
      </c>
      <c r="B587" t="s">
        <v>222</v>
      </c>
      <c r="C587" t="s">
        <v>79</v>
      </c>
      <c r="D587" t="s">
        <v>104</v>
      </c>
      <c r="E587" t="s">
        <v>80</v>
      </c>
      <c r="F587" t="s">
        <v>80</v>
      </c>
      <c r="G587" t="s">
        <v>36</v>
      </c>
      <c r="H587" t="s">
        <v>5140</v>
      </c>
      <c r="I587" t="s">
        <v>5141</v>
      </c>
      <c r="J587">
        <v>114914</v>
      </c>
      <c r="K587" t="s">
        <v>1291</v>
      </c>
      <c r="L587" t="s">
        <v>18</v>
      </c>
      <c r="M587" t="s">
        <v>39</v>
      </c>
      <c r="N587">
        <v>45667</v>
      </c>
      <c r="O587">
        <v>1426</v>
      </c>
      <c r="P587" t="s">
        <v>92</v>
      </c>
      <c r="Q587">
        <v>2</v>
      </c>
      <c r="R587" t="s">
        <v>52</v>
      </c>
      <c r="S587" t="s">
        <v>21</v>
      </c>
      <c r="T587" t="s">
        <v>20</v>
      </c>
    </row>
    <row r="588" spans="1:20" x14ac:dyDescent="0.3">
      <c r="A588" t="s">
        <v>1292</v>
      </c>
      <c r="B588" t="s">
        <v>63</v>
      </c>
      <c r="C588" t="s">
        <v>13</v>
      </c>
      <c r="D588" t="s">
        <v>57</v>
      </c>
      <c r="E588" t="s">
        <v>58</v>
      </c>
      <c r="F588" t="s">
        <v>59</v>
      </c>
      <c r="G588" t="s">
        <v>16</v>
      </c>
      <c r="H588" t="s">
        <v>5138</v>
      </c>
      <c r="I588" t="s">
        <v>5139</v>
      </c>
      <c r="J588">
        <v>183463</v>
      </c>
      <c r="K588" t="s">
        <v>1293</v>
      </c>
      <c r="L588" t="s">
        <v>38</v>
      </c>
      <c r="M588" t="s">
        <v>46</v>
      </c>
      <c r="N588">
        <v>45313</v>
      </c>
      <c r="O588">
        <v>97</v>
      </c>
      <c r="P588" t="s">
        <v>92</v>
      </c>
      <c r="Q588">
        <v>6</v>
      </c>
      <c r="R588" t="s">
        <v>5116</v>
      </c>
      <c r="S588" t="s">
        <v>53</v>
      </c>
      <c r="T588" t="s">
        <v>20</v>
      </c>
    </row>
    <row r="589" spans="1:20" x14ac:dyDescent="0.3">
      <c r="A589" t="s">
        <v>1294</v>
      </c>
      <c r="B589" t="s">
        <v>23</v>
      </c>
      <c r="C589" t="s">
        <v>94</v>
      </c>
      <c r="D589" t="s">
        <v>57</v>
      </c>
      <c r="E589" t="s">
        <v>5132</v>
      </c>
      <c r="F589" t="s">
        <v>5125</v>
      </c>
      <c r="G589" t="s">
        <v>36</v>
      </c>
      <c r="H589" t="s">
        <v>5138</v>
      </c>
      <c r="I589" t="s">
        <v>5139</v>
      </c>
      <c r="J589">
        <v>169405</v>
      </c>
      <c r="K589" t="s">
        <v>1295</v>
      </c>
      <c r="L589" t="s">
        <v>61</v>
      </c>
      <c r="M589" t="s">
        <v>19</v>
      </c>
      <c r="N589">
        <v>45318</v>
      </c>
      <c r="O589">
        <v>1450</v>
      </c>
      <c r="P589" t="s">
        <v>29</v>
      </c>
      <c r="Q589">
        <v>6</v>
      </c>
      <c r="R589" t="s">
        <v>52</v>
      </c>
      <c r="S589" t="s">
        <v>53</v>
      </c>
      <c r="T589" t="s">
        <v>29</v>
      </c>
    </row>
    <row r="590" spans="1:20" x14ac:dyDescent="0.3">
      <c r="A590" t="s">
        <v>1296</v>
      </c>
      <c r="B590" t="s">
        <v>63</v>
      </c>
      <c r="C590" t="s">
        <v>139</v>
      </c>
      <c r="D590" t="s">
        <v>118</v>
      </c>
      <c r="E590" t="s">
        <v>26</v>
      </c>
      <c r="F590" t="s">
        <v>27</v>
      </c>
      <c r="G590" t="s">
        <v>16</v>
      </c>
      <c r="H590" t="s">
        <v>5136</v>
      </c>
      <c r="I590" t="s">
        <v>5137</v>
      </c>
      <c r="J590">
        <v>80462</v>
      </c>
      <c r="K590" t="s">
        <v>1297</v>
      </c>
      <c r="L590" t="s">
        <v>61</v>
      </c>
      <c r="M590" t="s">
        <v>19</v>
      </c>
      <c r="N590">
        <v>45677</v>
      </c>
      <c r="O590">
        <v>1442</v>
      </c>
      <c r="P590" t="s">
        <v>20</v>
      </c>
      <c r="Q590">
        <v>0</v>
      </c>
      <c r="R590" t="s">
        <v>47</v>
      </c>
      <c r="S590" t="s">
        <v>41</v>
      </c>
      <c r="T590" t="s">
        <v>29</v>
      </c>
    </row>
    <row r="591" spans="1:20" x14ac:dyDescent="0.3">
      <c r="A591" t="s">
        <v>1298</v>
      </c>
      <c r="B591" t="s">
        <v>130</v>
      </c>
      <c r="C591" t="s">
        <v>79</v>
      </c>
      <c r="D591" t="s">
        <v>33</v>
      </c>
      <c r="E591" t="s">
        <v>5129</v>
      </c>
      <c r="F591" t="s">
        <v>5130</v>
      </c>
      <c r="G591" t="s">
        <v>36</v>
      </c>
      <c r="H591" t="s">
        <v>5138</v>
      </c>
      <c r="I591" t="s">
        <v>5139</v>
      </c>
      <c r="J591">
        <v>169180</v>
      </c>
      <c r="K591" t="s">
        <v>1299</v>
      </c>
      <c r="L591" t="s">
        <v>5165</v>
      </c>
      <c r="M591" t="s">
        <v>46</v>
      </c>
      <c r="N591">
        <v>45331</v>
      </c>
      <c r="O591">
        <v>3866</v>
      </c>
      <c r="P591" t="s">
        <v>20</v>
      </c>
      <c r="Q591">
        <v>6</v>
      </c>
      <c r="R591" t="s">
        <v>76</v>
      </c>
      <c r="S591" t="s">
        <v>21</v>
      </c>
      <c r="T591" t="s">
        <v>20</v>
      </c>
    </row>
    <row r="592" spans="1:20" x14ac:dyDescent="0.3">
      <c r="A592" t="s">
        <v>1300</v>
      </c>
      <c r="B592" t="s">
        <v>124</v>
      </c>
      <c r="C592" t="s">
        <v>185</v>
      </c>
      <c r="D592" t="s">
        <v>25</v>
      </c>
      <c r="E592" t="s">
        <v>5124</v>
      </c>
      <c r="F592" t="s">
        <v>5125</v>
      </c>
      <c r="G592" t="s">
        <v>36</v>
      </c>
      <c r="H592" t="s">
        <v>5142</v>
      </c>
      <c r="I592" t="s">
        <v>5143</v>
      </c>
      <c r="J592">
        <v>151932</v>
      </c>
      <c r="K592" t="s">
        <v>1301</v>
      </c>
      <c r="L592" t="s">
        <v>18</v>
      </c>
      <c r="M592" t="s">
        <v>19</v>
      </c>
      <c r="N592">
        <v>45549</v>
      </c>
      <c r="O592">
        <v>3456</v>
      </c>
      <c r="P592" t="s">
        <v>92</v>
      </c>
      <c r="Q592">
        <v>4</v>
      </c>
      <c r="R592" t="s">
        <v>47</v>
      </c>
      <c r="S592" t="s">
        <v>21</v>
      </c>
      <c r="T592" t="s">
        <v>20</v>
      </c>
    </row>
    <row r="593" spans="1:20" x14ac:dyDescent="0.3">
      <c r="A593" t="s">
        <v>1302</v>
      </c>
      <c r="B593" t="s">
        <v>12</v>
      </c>
      <c r="C593" t="s">
        <v>166</v>
      </c>
      <c r="D593" t="s">
        <v>25</v>
      </c>
      <c r="E593" t="s">
        <v>58</v>
      </c>
      <c r="F593" t="s">
        <v>59</v>
      </c>
      <c r="G593" t="s">
        <v>16</v>
      </c>
      <c r="H593" t="s">
        <v>5142</v>
      </c>
      <c r="I593" t="s">
        <v>5143</v>
      </c>
      <c r="J593">
        <v>137103</v>
      </c>
      <c r="K593" t="s">
        <v>1303</v>
      </c>
      <c r="L593" t="s">
        <v>5165</v>
      </c>
      <c r="M593" t="s">
        <v>46</v>
      </c>
      <c r="N593">
        <v>45412</v>
      </c>
      <c r="O593">
        <v>3398</v>
      </c>
      <c r="P593" t="s">
        <v>92</v>
      </c>
      <c r="Q593">
        <v>4</v>
      </c>
      <c r="R593" t="s">
        <v>5116</v>
      </c>
      <c r="S593" t="s">
        <v>21</v>
      </c>
      <c r="T593" t="s">
        <v>20</v>
      </c>
    </row>
    <row r="594" spans="1:20" x14ac:dyDescent="0.3">
      <c r="A594" t="s">
        <v>1304</v>
      </c>
      <c r="B594" t="s">
        <v>89</v>
      </c>
      <c r="C594" t="s">
        <v>43</v>
      </c>
      <c r="D594" t="s">
        <v>25</v>
      </c>
      <c r="E594" t="s">
        <v>5126</v>
      </c>
      <c r="F594" t="s">
        <v>5125</v>
      </c>
      <c r="G594" t="s">
        <v>16</v>
      </c>
      <c r="H594" t="s">
        <v>5136</v>
      </c>
      <c r="I594" t="s">
        <v>5137</v>
      </c>
      <c r="J594">
        <v>76035</v>
      </c>
      <c r="K594" t="s">
        <v>1305</v>
      </c>
      <c r="L594" t="s">
        <v>179</v>
      </c>
      <c r="M594" t="s">
        <v>19</v>
      </c>
      <c r="N594">
        <v>45314</v>
      </c>
      <c r="O594">
        <v>3848</v>
      </c>
      <c r="P594" t="s">
        <v>29</v>
      </c>
      <c r="Q594">
        <v>0</v>
      </c>
      <c r="R594" t="s">
        <v>76</v>
      </c>
      <c r="S594" t="s">
        <v>53</v>
      </c>
      <c r="T594" t="s">
        <v>29</v>
      </c>
    </row>
    <row r="595" spans="1:20" x14ac:dyDescent="0.3">
      <c r="A595" t="s">
        <v>1306</v>
      </c>
      <c r="B595" t="s">
        <v>31</v>
      </c>
      <c r="C595" t="s">
        <v>67</v>
      </c>
      <c r="D595" t="s">
        <v>140</v>
      </c>
      <c r="E595" t="s">
        <v>5132</v>
      </c>
      <c r="F595" t="s">
        <v>5125</v>
      </c>
      <c r="G595" t="s">
        <v>16</v>
      </c>
      <c r="H595" t="s">
        <v>5140</v>
      </c>
      <c r="I595" t="s">
        <v>5141</v>
      </c>
      <c r="J595">
        <v>116606</v>
      </c>
      <c r="K595" t="s">
        <v>1307</v>
      </c>
      <c r="L595" t="s">
        <v>5165</v>
      </c>
      <c r="M595" t="s">
        <v>72</v>
      </c>
      <c r="N595">
        <v>45716</v>
      </c>
      <c r="O595">
        <v>3526</v>
      </c>
      <c r="P595" t="s">
        <v>92</v>
      </c>
      <c r="Q595">
        <v>2</v>
      </c>
      <c r="R595" t="s">
        <v>76</v>
      </c>
      <c r="S595" t="s">
        <v>21</v>
      </c>
      <c r="T595" t="s">
        <v>20</v>
      </c>
    </row>
    <row r="596" spans="1:20" x14ac:dyDescent="0.3">
      <c r="A596" t="s">
        <v>1308</v>
      </c>
      <c r="B596" t="s">
        <v>136</v>
      </c>
      <c r="C596" t="s">
        <v>166</v>
      </c>
      <c r="D596" t="s">
        <v>44</v>
      </c>
      <c r="E596" t="s">
        <v>95</v>
      </c>
      <c r="F596" t="s">
        <v>96</v>
      </c>
      <c r="G596" t="s">
        <v>50</v>
      </c>
      <c r="H596" t="s">
        <v>5142</v>
      </c>
      <c r="I596" t="s">
        <v>5143</v>
      </c>
      <c r="J596">
        <v>178013</v>
      </c>
      <c r="K596" t="s">
        <v>1309</v>
      </c>
      <c r="L596" t="s">
        <v>5165</v>
      </c>
      <c r="M596" t="s">
        <v>72</v>
      </c>
      <c r="N596">
        <v>45531</v>
      </c>
      <c r="O596">
        <v>1392</v>
      </c>
      <c r="P596" t="s">
        <v>20</v>
      </c>
      <c r="Q596">
        <v>4</v>
      </c>
      <c r="R596" t="s">
        <v>5116</v>
      </c>
      <c r="S596" t="s">
        <v>21</v>
      </c>
      <c r="T596" t="s">
        <v>29</v>
      </c>
    </row>
    <row r="597" spans="1:20" x14ac:dyDescent="0.3">
      <c r="A597" t="s">
        <v>1310</v>
      </c>
      <c r="B597" t="s">
        <v>31</v>
      </c>
      <c r="C597" t="s">
        <v>117</v>
      </c>
      <c r="D597" t="s">
        <v>57</v>
      </c>
      <c r="E597" t="s">
        <v>5129</v>
      </c>
      <c r="F597" t="s">
        <v>5130</v>
      </c>
      <c r="G597" t="s">
        <v>16</v>
      </c>
      <c r="H597" t="s">
        <v>5136</v>
      </c>
      <c r="I597" t="s">
        <v>5137</v>
      </c>
      <c r="J597">
        <v>63573</v>
      </c>
      <c r="K597" t="s">
        <v>1311</v>
      </c>
      <c r="L597" t="s">
        <v>82</v>
      </c>
      <c r="M597" t="s">
        <v>19</v>
      </c>
      <c r="N597">
        <v>45630</v>
      </c>
      <c r="O597">
        <v>1976</v>
      </c>
      <c r="P597" t="s">
        <v>20</v>
      </c>
      <c r="Q597">
        <v>0</v>
      </c>
      <c r="R597" t="s">
        <v>76</v>
      </c>
      <c r="S597" t="s">
        <v>21</v>
      </c>
      <c r="T597" t="s">
        <v>29</v>
      </c>
    </row>
    <row r="598" spans="1:20" x14ac:dyDescent="0.3">
      <c r="A598" t="s">
        <v>1312</v>
      </c>
      <c r="B598" t="s">
        <v>63</v>
      </c>
      <c r="C598" t="s">
        <v>202</v>
      </c>
      <c r="D598" t="s">
        <v>33</v>
      </c>
      <c r="E598" t="s">
        <v>209</v>
      </c>
      <c r="F598" t="s">
        <v>210</v>
      </c>
      <c r="G598" t="s">
        <v>36</v>
      </c>
      <c r="H598" t="s">
        <v>5142</v>
      </c>
      <c r="I598" t="s">
        <v>5143</v>
      </c>
      <c r="J598">
        <v>142713</v>
      </c>
      <c r="K598" t="s">
        <v>1313</v>
      </c>
      <c r="L598" t="s">
        <v>5165</v>
      </c>
      <c r="M598" t="s">
        <v>46</v>
      </c>
      <c r="N598">
        <v>45324</v>
      </c>
      <c r="O598">
        <v>3578</v>
      </c>
      <c r="P598" t="s">
        <v>20</v>
      </c>
      <c r="Q598">
        <v>4</v>
      </c>
      <c r="R598" t="s">
        <v>5116</v>
      </c>
      <c r="S598" t="s">
        <v>21</v>
      </c>
      <c r="T598" t="s">
        <v>20</v>
      </c>
    </row>
    <row r="599" spans="1:20" x14ac:dyDescent="0.3">
      <c r="A599" t="s">
        <v>1314</v>
      </c>
      <c r="B599" t="s">
        <v>215</v>
      </c>
      <c r="C599" t="s">
        <v>121</v>
      </c>
      <c r="D599" t="s">
        <v>167</v>
      </c>
      <c r="E599" t="s">
        <v>193</v>
      </c>
      <c r="F599" t="s">
        <v>194</v>
      </c>
      <c r="G599" t="s">
        <v>16</v>
      </c>
      <c r="H599" t="s">
        <v>5138</v>
      </c>
      <c r="I599" t="s">
        <v>5139</v>
      </c>
      <c r="J599">
        <v>164764</v>
      </c>
      <c r="K599" t="s">
        <v>1315</v>
      </c>
      <c r="L599" t="s">
        <v>5165</v>
      </c>
      <c r="M599" t="s">
        <v>46</v>
      </c>
      <c r="N599">
        <v>45575</v>
      </c>
      <c r="O599">
        <v>2469</v>
      </c>
      <c r="P599" t="s">
        <v>29</v>
      </c>
      <c r="Q599">
        <v>6</v>
      </c>
      <c r="R599" t="s">
        <v>5116</v>
      </c>
      <c r="S599" t="s">
        <v>21</v>
      </c>
      <c r="T599" t="s">
        <v>29</v>
      </c>
    </row>
    <row r="600" spans="1:20" x14ac:dyDescent="0.3">
      <c r="A600" t="s">
        <v>1316</v>
      </c>
      <c r="B600" t="s">
        <v>124</v>
      </c>
      <c r="C600" t="s">
        <v>202</v>
      </c>
      <c r="D600" t="s">
        <v>5156</v>
      </c>
      <c r="E600" t="s">
        <v>26</v>
      </c>
      <c r="F600" t="s">
        <v>27</v>
      </c>
      <c r="G600" t="s">
        <v>16</v>
      </c>
      <c r="H600" t="s">
        <v>5136</v>
      </c>
      <c r="I600" t="s">
        <v>5137</v>
      </c>
      <c r="J600">
        <v>64401</v>
      </c>
      <c r="K600" t="s">
        <v>1317</v>
      </c>
      <c r="L600" t="s">
        <v>113</v>
      </c>
      <c r="M600" t="s">
        <v>46</v>
      </c>
      <c r="N600">
        <v>45584</v>
      </c>
      <c r="O600">
        <v>1382</v>
      </c>
      <c r="P600" t="s">
        <v>92</v>
      </c>
      <c r="Q600">
        <v>0</v>
      </c>
      <c r="R600" t="s">
        <v>40</v>
      </c>
      <c r="S600" t="s">
        <v>21</v>
      </c>
      <c r="T600" t="s">
        <v>20</v>
      </c>
    </row>
    <row r="601" spans="1:20" x14ac:dyDescent="0.3">
      <c r="A601" t="s">
        <v>1318</v>
      </c>
      <c r="B601" t="s">
        <v>78</v>
      </c>
      <c r="C601" t="s">
        <v>56</v>
      </c>
      <c r="D601" t="s">
        <v>68</v>
      </c>
      <c r="E601" t="s">
        <v>95</v>
      </c>
      <c r="F601" t="s">
        <v>96</v>
      </c>
      <c r="G601" t="s">
        <v>16</v>
      </c>
      <c r="H601" t="s">
        <v>5136</v>
      </c>
      <c r="I601" t="s">
        <v>5137</v>
      </c>
      <c r="J601">
        <v>74753</v>
      </c>
      <c r="K601" t="s">
        <v>1319</v>
      </c>
      <c r="L601" t="s">
        <v>38</v>
      </c>
      <c r="M601" t="s">
        <v>39</v>
      </c>
      <c r="N601">
        <v>45440</v>
      </c>
      <c r="O601">
        <v>3859</v>
      </c>
      <c r="P601" t="s">
        <v>29</v>
      </c>
      <c r="Q601">
        <v>0</v>
      </c>
      <c r="R601" t="s">
        <v>76</v>
      </c>
      <c r="S601" t="s">
        <v>21</v>
      </c>
      <c r="T601" t="s">
        <v>20</v>
      </c>
    </row>
    <row r="602" spans="1:20" x14ac:dyDescent="0.3">
      <c r="A602" t="s">
        <v>1320</v>
      </c>
      <c r="B602" t="s">
        <v>130</v>
      </c>
      <c r="C602" t="s">
        <v>121</v>
      </c>
      <c r="D602" t="s">
        <v>68</v>
      </c>
      <c r="E602" t="s">
        <v>5128</v>
      </c>
      <c r="F602" t="s">
        <v>5125</v>
      </c>
      <c r="G602" t="s">
        <v>50</v>
      </c>
      <c r="H602" t="s">
        <v>5136</v>
      </c>
      <c r="I602" t="s">
        <v>5137</v>
      </c>
      <c r="J602">
        <v>79538</v>
      </c>
      <c r="K602" t="s">
        <v>1321</v>
      </c>
      <c r="L602" t="s">
        <v>5165</v>
      </c>
      <c r="M602" t="s">
        <v>39</v>
      </c>
      <c r="N602">
        <v>45406</v>
      </c>
      <c r="O602">
        <v>2710</v>
      </c>
      <c r="P602" t="s">
        <v>20</v>
      </c>
      <c r="Q602">
        <v>0</v>
      </c>
      <c r="R602" t="s">
        <v>52</v>
      </c>
      <c r="S602" t="s">
        <v>21</v>
      </c>
      <c r="T602" t="s">
        <v>29</v>
      </c>
    </row>
    <row r="603" spans="1:20" x14ac:dyDescent="0.3">
      <c r="A603" t="s">
        <v>1322</v>
      </c>
      <c r="B603" t="s">
        <v>136</v>
      </c>
      <c r="C603" t="s">
        <v>139</v>
      </c>
      <c r="D603" t="s">
        <v>140</v>
      </c>
      <c r="E603" t="s">
        <v>26</v>
      </c>
      <c r="F603" t="s">
        <v>27</v>
      </c>
      <c r="G603" t="s">
        <v>16</v>
      </c>
      <c r="H603" t="s">
        <v>5142</v>
      </c>
      <c r="I603" t="s">
        <v>5143</v>
      </c>
      <c r="J603">
        <v>125101</v>
      </c>
      <c r="K603" t="s">
        <v>1323</v>
      </c>
      <c r="L603" t="s">
        <v>5165</v>
      </c>
      <c r="M603" t="s">
        <v>46</v>
      </c>
      <c r="N603">
        <v>45701</v>
      </c>
      <c r="O603">
        <v>2305</v>
      </c>
      <c r="P603" t="s">
        <v>20</v>
      </c>
      <c r="Q603">
        <v>4</v>
      </c>
      <c r="R603" t="s">
        <v>40</v>
      </c>
      <c r="S603" t="s">
        <v>21</v>
      </c>
      <c r="T603" t="s">
        <v>20</v>
      </c>
    </row>
    <row r="604" spans="1:20" x14ac:dyDescent="0.3">
      <c r="A604" t="s">
        <v>1324</v>
      </c>
      <c r="B604" t="s">
        <v>165</v>
      </c>
      <c r="C604" t="s">
        <v>43</v>
      </c>
      <c r="D604" t="s">
        <v>118</v>
      </c>
      <c r="E604" t="s">
        <v>26</v>
      </c>
      <c r="F604" t="s">
        <v>27</v>
      </c>
      <c r="G604" t="s">
        <v>36</v>
      </c>
      <c r="H604" t="s">
        <v>5138</v>
      </c>
      <c r="I604" t="s">
        <v>5139</v>
      </c>
      <c r="J604">
        <v>231305</v>
      </c>
      <c r="K604" t="s">
        <v>1325</v>
      </c>
      <c r="L604" t="s">
        <v>5165</v>
      </c>
      <c r="M604" t="s">
        <v>46</v>
      </c>
      <c r="N604">
        <v>45715</v>
      </c>
      <c r="O604">
        <v>1409</v>
      </c>
      <c r="P604" t="s">
        <v>20</v>
      </c>
      <c r="Q604">
        <v>6</v>
      </c>
      <c r="R604" t="s">
        <v>5116</v>
      </c>
      <c r="S604" t="s">
        <v>21</v>
      </c>
      <c r="T604" t="s">
        <v>20</v>
      </c>
    </row>
    <row r="605" spans="1:20" x14ac:dyDescent="0.3">
      <c r="A605" t="s">
        <v>1326</v>
      </c>
      <c r="B605" t="s">
        <v>55</v>
      </c>
      <c r="C605" t="s">
        <v>185</v>
      </c>
      <c r="D605" t="s">
        <v>44</v>
      </c>
      <c r="E605" t="s">
        <v>80</v>
      </c>
      <c r="F605" t="s">
        <v>80</v>
      </c>
      <c r="G605" t="s">
        <v>50</v>
      </c>
      <c r="H605" t="s">
        <v>5138</v>
      </c>
      <c r="I605" t="s">
        <v>5139</v>
      </c>
      <c r="J605">
        <v>248802</v>
      </c>
      <c r="K605" t="s">
        <v>1327</v>
      </c>
      <c r="L605" t="s">
        <v>5165</v>
      </c>
      <c r="M605" t="s">
        <v>19</v>
      </c>
      <c r="N605">
        <v>45740</v>
      </c>
      <c r="O605">
        <v>3425</v>
      </c>
      <c r="P605" t="s">
        <v>20</v>
      </c>
      <c r="Q605">
        <v>6</v>
      </c>
      <c r="R605" t="s">
        <v>47</v>
      </c>
      <c r="S605" t="s">
        <v>41</v>
      </c>
      <c r="T605" t="s">
        <v>29</v>
      </c>
    </row>
    <row r="606" spans="1:20" x14ac:dyDescent="0.3">
      <c r="A606" t="s">
        <v>1328</v>
      </c>
      <c r="B606" t="s">
        <v>124</v>
      </c>
      <c r="C606" t="s">
        <v>100</v>
      </c>
      <c r="D606" t="s">
        <v>5156</v>
      </c>
      <c r="E606" t="s">
        <v>5131</v>
      </c>
      <c r="F606" t="s">
        <v>5125</v>
      </c>
      <c r="G606" t="s">
        <v>16</v>
      </c>
      <c r="H606" t="s">
        <v>5138</v>
      </c>
      <c r="I606" t="s">
        <v>5139</v>
      </c>
      <c r="J606">
        <v>214883</v>
      </c>
      <c r="K606" t="s">
        <v>1329</v>
      </c>
      <c r="L606" t="s">
        <v>142</v>
      </c>
      <c r="M606" t="s">
        <v>19</v>
      </c>
      <c r="N606">
        <v>45497</v>
      </c>
      <c r="O606">
        <v>3900</v>
      </c>
      <c r="P606" t="s">
        <v>20</v>
      </c>
      <c r="Q606">
        <v>6</v>
      </c>
      <c r="R606" t="s">
        <v>52</v>
      </c>
      <c r="S606" t="s">
        <v>21</v>
      </c>
      <c r="T606" t="s">
        <v>20</v>
      </c>
    </row>
    <row r="607" spans="1:20" x14ac:dyDescent="0.3">
      <c r="A607" t="s">
        <v>1330</v>
      </c>
      <c r="B607" t="s">
        <v>322</v>
      </c>
      <c r="C607" t="s">
        <v>103</v>
      </c>
      <c r="D607" t="s">
        <v>118</v>
      </c>
      <c r="E607" t="s">
        <v>152</v>
      </c>
      <c r="F607" t="s">
        <v>153</v>
      </c>
      <c r="G607" t="s">
        <v>36</v>
      </c>
      <c r="H607" t="s">
        <v>5142</v>
      </c>
      <c r="I607" t="s">
        <v>5143</v>
      </c>
      <c r="J607">
        <v>200673</v>
      </c>
      <c r="K607" t="s">
        <v>1331</v>
      </c>
      <c r="L607" t="s">
        <v>5165</v>
      </c>
      <c r="M607" t="s">
        <v>39</v>
      </c>
      <c r="N607">
        <v>45667</v>
      </c>
      <c r="O607">
        <v>2770</v>
      </c>
      <c r="P607" t="s">
        <v>20</v>
      </c>
      <c r="Q607">
        <v>4</v>
      </c>
      <c r="R607" t="s">
        <v>52</v>
      </c>
      <c r="S607" t="s">
        <v>21</v>
      </c>
      <c r="T607" t="s">
        <v>29</v>
      </c>
    </row>
    <row r="608" spans="1:20" x14ac:dyDescent="0.3">
      <c r="A608" t="s">
        <v>1332</v>
      </c>
      <c r="B608" t="s">
        <v>136</v>
      </c>
      <c r="C608" t="s">
        <v>172</v>
      </c>
      <c r="D608" t="s">
        <v>167</v>
      </c>
      <c r="E608" t="s">
        <v>5129</v>
      </c>
      <c r="F608" t="s">
        <v>5130</v>
      </c>
      <c r="G608" t="s">
        <v>16</v>
      </c>
      <c r="H608" t="s">
        <v>5142</v>
      </c>
      <c r="I608" t="s">
        <v>5143</v>
      </c>
      <c r="J608">
        <v>129107</v>
      </c>
      <c r="K608" t="s">
        <v>1333</v>
      </c>
      <c r="L608" t="s">
        <v>5165</v>
      </c>
      <c r="M608" t="s">
        <v>46</v>
      </c>
      <c r="N608">
        <v>45544</v>
      </c>
      <c r="O608">
        <v>3915</v>
      </c>
      <c r="P608" t="s">
        <v>29</v>
      </c>
      <c r="Q608">
        <v>4</v>
      </c>
      <c r="R608" t="s">
        <v>47</v>
      </c>
      <c r="S608" t="s">
        <v>21</v>
      </c>
      <c r="T608" t="s">
        <v>29</v>
      </c>
    </row>
    <row r="609" spans="1:20" x14ac:dyDescent="0.3">
      <c r="A609" t="s">
        <v>1334</v>
      </c>
      <c r="B609" t="s">
        <v>78</v>
      </c>
      <c r="C609" t="s">
        <v>172</v>
      </c>
      <c r="D609" t="s">
        <v>25</v>
      </c>
      <c r="E609" t="s">
        <v>5129</v>
      </c>
      <c r="F609" t="s">
        <v>5130</v>
      </c>
      <c r="G609" t="s">
        <v>16</v>
      </c>
      <c r="H609" t="s">
        <v>5142</v>
      </c>
      <c r="I609" t="s">
        <v>5143</v>
      </c>
      <c r="J609">
        <v>116394</v>
      </c>
      <c r="K609" t="s">
        <v>1335</v>
      </c>
      <c r="L609" t="s">
        <v>61</v>
      </c>
      <c r="M609" t="s">
        <v>72</v>
      </c>
      <c r="N609">
        <v>45376</v>
      </c>
      <c r="O609">
        <v>3796</v>
      </c>
      <c r="P609" t="s">
        <v>29</v>
      </c>
      <c r="Q609">
        <v>4</v>
      </c>
      <c r="R609" t="s">
        <v>40</v>
      </c>
      <c r="S609" t="s">
        <v>21</v>
      </c>
      <c r="T609" t="s">
        <v>29</v>
      </c>
    </row>
    <row r="610" spans="1:20" x14ac:dyDescent="0.3">
      <c r="A610" t="s">
        <v>1336</v>
      </c>
      <c r="B610" t="s">
        <v>124</v>
      </c>
      <c r="C610" t="s">
        <v>13</v>
      </c>
      <c r="D610" t="s">
        <v>57</v>
      </c>
      <c r="E610" t="s">
        <v>5132</v>
      </c>
      <c r="F610" t="s">
        <v>5125</v>
      </c>
      <c r="G610" t="s">
        <v>36</v>
      </c>
      <c r="H610" t="s">
        <v>5140</v>
      </c>
      <c r="I610" t="s">
        <v>5141</v>
      </c>
      <c r="J610">
        <v>74781</v>
      </c>
      <c r="K610" t="s">
        <v>1337</v>
      </c>
      <c r="L610" t="s">
        <v>18</v>
      </c>
      <c r="M610" t="s">
        <v>46</v>
      </c>
      <c r="N610">
        <v>45312</v>
      </c>
      <c r="O610">
        <v>1218</v>
      </c>
      <c r="P610" t="s">
        <v>92</v>
      </c>
      <c r="Q610">
        <v>2</v>
      </c>
      <c r="R610" t="s">
        <v>5116</v>
      </c>
      <c r="S610" t="s">
        <v>21</v>
      </c>
      <c r="T610" t="s">
        <v>29</v>
      </c>
    </row>
    <row r="611" spans="1:20" x14ac:dyDescent="0.3">
      <c r="A611" t="s">
        <v>1338</v>
      </c>
      <c r="B611" t="s">
        <v>31</v>
      </c>
      <c r="C611" t="s">
        <v>85</v>
      </c>
      <c r="D611" t="s">
        <v>44</v>
      </c>
      <c r="E611" t="s">
        <v>58</v>
      </c>
      <c r="F611" t="s">
        <v>59</v>
      </c>
      <c r="G611" t="s">
        <v>50</v>
      </c>
      <c r="H611" t="s">
        <v>5136</v>
      </c>
      <c r="I611" t="s">
        <v>5137</v>
      </c>
      <c r="J611">
        <v>88850</v>
      </c>
      <c r="K611" t="s">
        <v>1339</v>
      </c>
      <c r="L611" t="s">
        <v>5165</v>
      </c>
      <c r="M611" t="s">
        <v>46</v>
      </c>
      <c r="N611">
        <v>45666</v>
      </c>
      <c r="O611">
        <v>1383</v>
      </c>
      <c r="P611" t="s">
        <v>20</v>
      </c>
      <c r="Q611">
        <v>0</v>
      </c>
      <c r="R611" t="s">
        <v>76</v>
      </c>
      <c r="S611" t="s">
        <v>21</v>
      </c>
      <c r="T611" t="s">
        <v>29</v>
      </c>
    </row>
    <row r="612" spans="1:20" x14ac:dyDescent="0.3">
      <c r="A612" t="s">
        <v>1340</v>
      </c>
      <c r="B612" t="s">
        <v>229</v>
      </c>
      <c r="C612" t="s">
        <v>90</v>
      </c>
      <c r="D612" t="s">
        <v>5156</v>
      </c>
      <c r="E612" t="s">
        <v>5131</v>
      </c>
      <c r="F612" t="s">
        <v>5125</v>
      </c>
      <c r="G612" t="s">
        <v>16</v>
      </c>
      <c r="H612" t="s">
        <v>5136</v>
      </c>
      <c r="I612" t="s">
        <v>5137</v>
      </c>
      <c r="J612">
        <v>78245</v>
      </c>
      <c r="K612" t="s">
        <v>1341</v>
      </c>
      <c r="L612" t="s">
        <v>5165</v>
      </c>
      <c r="M612" t="s">
        <v>19</v>
      </c>
      <c r="N612">
        <v>45653</v>
      </c>
      <c r="O612">
        <v>3582</v>
      </c>
      <c r="P612" t="s">
        <v>92</v>
      </c>
      <c r="Q612">
        <v>0</v>
      </c>
      <c r="R612" t="s">
        <v>47</v>
      </c>
      <c r="S612" t="s">
        <v>21</v>
      </c>
      <c r="T612" t="s">
        <v>29</v>
      </c>
    </row>
    <row r="613" spans="1:20" x14ac:dyDescent="0.3">
      <c r="A613" t="s">
        <v>1342</v>
      </c>
      <c r="B613" t="s">
        <v>215</v>
      </c>
      <c r="C613" t="s">
        <v>117</v>
      </c>
      <c r="D613" t="s">
        <v>140</v>
      </c>
      <c r="E613" t="s">
        <v>223</v>
      </c>
      <c r="F613" t="s">
        <v>224</v>
      </c>
      <c r="G613" t="s">
        <v>16</v>
      </c>
      <c r="H613" t="s">
        <v>5138</v>
      </c>
      <c r="I613" t="s">
        <v>5139</v>
      </c>
      <c r="J613">
        <v>197998</v>
      </c>
      <c r="K613" t="s">
        <v>1343</v>
      </c>
      <c r="L613" t="s">
        <v>5165</v>
      </c>
      <c r="M613" t="s">
        <v>19</v>
      </c>
      <c r="N613">
        <v>45617</v>
      </c>
      <c r="O613">
        <v>2918</v>
      </c>
      <c r="P613" t="s">
        <v>29</v>
      </c>
      <c r="Q613">
        <v>6</v>
      </c>
      <c r="R613" t="s">
        <v>52</v>
      </c>
      <c r="S613" t="s">
        <v>21</v>
      </c>
      <c r="T613" t="s">
        <v>20</v>
      </c>
    </row>
    <row r="614" spans="1:20" x14ac:dyDescent="0.3">
      <c r="A614" t="s">
        <v>1344</v>
      </c>
      <c r="B614" t="s">
        <v>136</v>
      </c>
      <c r="C614" t="s">
        <v>43</v>
      </c>
      <c r="D614" t="s">
        <v>57</v>
      </c>
      <c r="E614" t="s">
        <v>5133</v>
      </c>
      <c r="F614" t="s">
        <v>5125</v>
      </c>
      <c r="G614" t="s">
        <v>36</v>
      </c>
      <c r="H614" t="s">
        <v>5140</v>
      </c>
      <c r="I614" t="s">
        <v>5141</v>
      </c>
      <c r="J614">
        <v>115543</v>
      </c>
      <c r="K614" t="s">
        <v>1345</v>
      </c>
      <c r="L614" t="s">
        <v>5165</v>
      </c>
      <c r="M614" t="s">
        <v>46</v>
      </c>
      <c r="N614">
        <v>45628</v>
      </c>
      <c r="O614">
        <v>2458</v>
      </c>
      <c r="P614" t="s">
        <v>20</v>
      </c>
      <c r="Q614">
        <v>2</v>
      </c>
      <c r="R614" t="s">
        <v>52</v>
      </c>
      <c r="S614" t="s">
        <v>21</v>
      </c>
      <c r="T614" t="s">
        <v>29</v>
      </c>
    </row>
    <row r="615" spans="1:20" x14ac:dyDescent="0.3">
      <c r="A615" t="s">
        <v>1346</v>
      </c>
      <c r="B615" t="s">
        <v>74</v>
      </c>
      <c r="C615" t="s">
        <v>175</v>
      </c>
      <c r="D615" t="s">
        <v>118</v>
      </c>
      <c r="E615" t="s">
        <v>34</v>
      </c>
      <c r="F615" t="s">
        <v>35</v>
      </c>
      <c r="G615" t="s">
        <v>16</v>
      </c>
      <c r="H615" t="s">
        <v>5138</v>
      </c>
      <c r="I615" t="s">
        <v>5139</v>
      </c>
      <c r="J615">
        <v>159482</v>
      </c>
      <c r="K615" t="s">
        <v>1347</v>
      </c>
      <c r="L615" t="s">
        <v>134</v>
      </c>
      <c r="M615" t="s">
        <v>39</v>
      </c>
      <c r="N615">
        <v>45631</v>
      </c>
      <c r="O615">
        <v>3451</v>
      </c>
      <c r="P615" t="s">
        <v>20</v>
      </c>
      <c r="Q615">
        <v>6</v>
      </c>
      <c r="R615" t="s">
        <v>52</v>
      </c>
      <c r="S615" t="s">
        <v>21</v>
      </c>
      <c r="T615" t="s">
        <v>20</v>
      </c>
    </row>
    <row r="616" spans="1:20" x14ac:dyDescent="0.3">
      <c r="A616" t="s">
        <v>1348</v>
      </c>
      <c r="B616" t="s">
        <v>144</v>
      </c>
      <c r="C616" t="s">
        <v>151</v>
      </c>
      <c r="D616" t="s">
        <v>57</v>
      </c>
      <c r="E616" t="s">
        <v>14</v>
      </c>
      <c r="F616" t="s">
        <v>15</v>
      </c>
      <c r="G616" t="s">
        <v>36</v>
      </c>
      <c r="H616" t="s">
        <v>5142</v>
      </c>
      <c r="I616" t="s">
        <v>5143</v>
      </c>
      <c r="J616">
        <v>216035</v>
      </c>
      <c r="K616" t="s">
        <v>1349</v>
      </c>
      <c r="L616" t="s">
        <v>134</v>
      </c>
      <c r="M616" t="s">
        <v>46</v>
      </c>
      <c r="N616">
        <v>45747</v>
      </c>
      <c r="O616">
        <v>3747</v>
      </c>
      <c r="P616" t="s">
        <v>29</v>
      </c>
      <c r="Q616">
        <v>4</v>
      </c>
      <c r="R616" t="s">
        <v>52</v>
      </c>
      <c r="S616" t="s">
        <v>53</v>
      </c>
      <c r="T616" t="s">
        <v>29</v>
      </c>
    </row>
    <row r="617" spans="1:20" x14ac:dyDescent="0.3">
      <c r="A617" t="s">
        <v>1350</v>
      </c>
      <c r="B617" t="s">
        <v>222</v>
      </c>
      <c r="C617" t="s">
        <v>188</v>
      </c>
      <c r="D617" t="s">
        <v>167</v>
      </c>
      <c r="E617" t="s">
        <v>34</v>
      </c>
      <c r="F617" t="s">
        <v>35</v>
      </c>
      <c r="G617" t="s">
        <v>16</v>
      </c>
      <c r="H617" t="s">
        <v>5142</v>
      </c>
      <c r="I617" t="s">
        <v>5143</v>
      </c>
      <c r="J617">
        <v>153488</v>
      </c>
      <c r="K617" t="s">
        <v>1351</v>
      </c>
      <c r="L617" t="s">
        <v>18</v>
      </c>
      <c r="M617" t="s">
        <v>19</v>
      </c>
      <c r="N617">
        <v>45585</v>
      </c>
      <c r="O617">
        <v>3902</v>
      </c>
      <c r="P617" t="s">
        <v>20</v>
      </c>
      <c r="Q617">
        <v>4</v>
      </c>
      <c r="R617" t="s">
        <v>52</v>
      </c>
      <c r="S617" t="s">
        <v>21</v>
      </c>
      <c r="T617" t="s">
        <v>20</v>
      </c>
    </row>
    <row r="618" spans="1:20" x14ac:dyDescent="0.3">
      <c r="A618" t="s">
        <v>1352</v>
      </c>
      <c r="B618" t="s">
        <v>218</v>
      </c>
      <c r="C618" t="s">
        <v>232</v>
      </c>
      <c r="D618" t="s">
        <v>167</v>
      </c>
      <c r="E618" t="s">
        <v>5127</v>
      </c>
      <c r="F618" t="s">
        <v>5125</v>
      </c>
      <c r="G618" t="s">
        <v>36</v>
      </c>
      <c r="H618" t="s">
        <v>5136</v>
      </c>
      <c r="I618" t="s">
        <v>5137</v>
      </c>
      <c r="J618">
        <v>71378</v>
      </c>
      <c r="K618" t="s">
        <v>1353</v>
      </c>
      <c r="L618" t="s">
        <v>61</v>
      </c>
      <c r="M618" t="s">
        <v>46</v>
      </c>
      <c r="N618">
        <v>45477</v>
      </c>
      <c r="O618">
        <v>2274</v>
      </c>
      <c r="P618" t="s">
        <v>20</v>
      </c>
      <c r="Q618">
        <v>0</v>
      </c>
      <c r="R618" t="s">
        <v>5116</v>
      </c>
      <c r="S618" t="s">
        <v>21</v>
      </c>
      <c r="T618" t="s">
        <v>29</v>
      </c>
    </row>
    <row r="619" spans="1:20" x14ac:dyDescent="0.3">
      <c r="A619" t="s">
        <v>1354</v>
      </c>
      <c r="B619" t="s">
        <v>124</v>
      </c>
      <c r="C619" t="s">
        <v>125</v>
      </c>
      <c r="D619" t="s">
        <v>25</v>
      </c>
      <c r="E619" t="s">
        <v>69</v>
      </c>
      <c r="F619" t="s">
        <v>70</v>
      </c>
      <c r="G619" t="s">
        <v>16</v>
      </c>
      <c r="H619" t="s">
        <v>5136</v>
      </c>
      <c r="I619" t="s">
        <v>5137</v>
      </c>
      <c r="J619">
        <v>79144</v>
      </c>
      <c r="K619" t="s">
        <v>1355</v>
      </c>
      <c r="L619" t="s">
        <v>238</v>
      </c>
      <c r="M619" t="s">
        <v>39</v>
      </c>
      <c r="N619">
        <v>45540</v>
      </c>
      <c r="O619">
        <v>2694</v>
      </c>
      <c r="P619" t="s">
        <v>20</v>
      </c>
      <c r="Q619">
        <v>0</v>
      </c>
      <c r="R619" t="s">
        <v>40</v>
      </c>
      <c r="S619" t="s">
        <v>53</v>
      </c>
      <c r="T619" t="s">
        <v>29</v>
      </c>
    </row>
    <row r="620" spans="1:20" x14ac:dyDescent="0.3">
      <c r="A620" t="s">
        <v>1356</v>
      </c>
      <c r="B620" t="s">
        <v>124</v>
      </c>
      <c r="C620" t="s">
        <v>121</v>
      </c>
      <c r="D620" t="s">
        <v>25</v>
      </c>
      <c r="E620" t="s">
        <v>5132</v>
      </c>
      <c r="F620" t="s">
        <v>5125</v>
      </c>
      <c r="G620" t="s">
        <v>16</v>
      </c>
      <c r="H620" t="s">
        <v>5138</v>
      </c>
      <c r="I620" t="s">
        <v>5139</v>
      </c>
      <c r="J620">
        <v>217316</v>
      </c>
      <c r="K620" t="s">
        <v>1357</v>
      </c>
      <c r="L620" t="s">
        <v>5165</v>
      </c>
      <c r="M620" t="s">
        <v>39</v>
      </c>
      <c r="N620">
        <v>45717</v>
      </c>
      <c r="O620">
        <v>2108</v>
      </c>
      <c r="P620" t="s">
        <v>20</v>
      </c>
      <c r="Q620">
        <v>6</v>
      </c>
      <c r="R620" t="s">
        <v>40</v>
      </c>
      <c r="S620" t="s">
        <v>21</v>
      </c>
      <c r="T620" t="s">
        <v>29</v>
      </c>
    </row>
    <row r="621" spans="1:20" x14ac:dyDescent="0.3">
      <c r="A621" t="s">
        <v>1358</v>
      </c>
      <c r="B621" t="s">
        <v>31</v>
      </c>
      <c r="C621" t="s">
        <v>56</v>
      </c>
      <c r="D621" t="s">
        <v>33</v>
      </c>
      <c r="E621" t="s">
        <v>5126</v>
      </c>
      <c r="F621" t="s">
        <v>5125</v>
      </c>
      <c r="G621" t="s">
        <v>16</v>
      </c>
      <c r="H621" t="s">
        <v>5138</v>
      </c>
      <c r="I621" t="s">
        <v>5139</v>
      </c>
      <c r="J621">
        <v>208059</v>
      </c>
      <c r="K621" t="s">
        <v>1359</v>
      </c>
      <c r="L621" t="s">
        <v>87</v>
      </c>
      <c r="M621" t="s">
        <v>46</v>
      </c>
      <c r="N621">
        <v>45339</v>
      </c>
      <c r="O621">
        <v>2990</v>
      </c>
      <c r="P621" t="s">
        <v>20</v>
      </c>
      <c r="Q621">
        <v>6</v>
      </c>
      <c r="R621" t="s">
        <v>40</v>
      </c>
      <c r="S621" t="s">
        <v>53</v>
      </c>
      <c r="T621" t="s">
        <v>20</v>
      </c>
    </row>
    <row r="622" spans="1:20" x14ac:dyDescent="0.3">
      <c r="A622" t="s">
        <v>1360</v>
      </c>
      <c r="B622" t="s">
        <v>165</v>
      </c>
      <c r="C622" t="s">
        <v>24</v>
      </c>
      <c r="D622" t="s">
        <v>118</v>
      </c>
      <c r="E622" t="s">
        <v>193</v>
      </c>
      <c r="F622" t="s">
        <v>194</v>
      </c>
      <c r="G622" t="s">
        <v>50</v>
      </c>
      <c r="H622" t="s">
        <v>5140</v>
      </c>
      <c r="I622" t="s">
        <v>5141</v>
      </c>
      <c r="J622">
        <v>94348</v>
      </c>
      <c r="K622" t="s">
        <v>1361</v>
      </c>
      <c r="L622" t="s">
        <v>113</v>
      </c>
      <c r="M622" t="s">
        <v>39</v>
      </c>
      <c r="N622">
        <v>45495</v>
      </c>
      <c r="O622">
        <v>400</v>
      </c>
      <c r="P622" t="s">
        <v>20</v>
      </c>
      <c r="Q622">
        <v>2</v>
      </c>
      <c r="R622" t="s">
        <v>47</v>
      </c>
      <c r="S622" t="s">
        <v>53</v>
      </c>
      <c r="T622" t="s">
        <v>20</v>
      </c>
    </row>
    <row r="623" spans="1:20" x14ac:dyDescent="0.3">
      <c r="A623" t="s">
        <v>1362</v>
      </c>
      <c r="B623" t="s">
        <v>84</v>
      </c>
      <c r="C623" t="s">
        <v>166</v>
      </c>
      <c r="D623" t="s">
        <v>140</v>
      </c>
      <c r="E623" t="s">
        <v>58</v>
      </c>
      <c r="F623" t="s">
        <v>59</v>
      </c>
      <c r="G623" t="s">
        <v>16</v>
      </c>
      <c r="H623" t="s">
        <v>5136</v>
      </c>
      <c r="I623" t="s">
        <v>5137</v>
      </c>
      <c r="J623">
        <v>75940</v>
      </c>
      <c r="K623" t="s">
        <v>1363</v>
      </c>
      <c r="L623" t="s">
        <v>82</v>
      </c>
      <c r="M623" t="s">
        <v>46</v>
      </c>
      <c r="N623">
        <v>45721</v>
      </c>
      <c r="O623">
        <v>3427</v>
      </c>
      <c r="P623" t="s">
        <v>29</v>
      </c>
      <c r="Q623">
        <v>0</v>
      </c>
      <c r="R623" t="s">
        <v>40</v>
      </c>
      <c r="S623" t="s">
        <v>21</v>
      </c>
      <c r="T623" t="s">
        <v>20</v>
      </c>
    </row>
    <row r="624" spans="1:20" x14ac:dyDescent="0.3">
      <c r="A624" t="s">
        <v>1364</v>
      </c>
      <c r="B624" t="s">
        <v>144</v>
      </c>
      <c r="C624" t="s">
        <v>56</v>
      </c>
      <c r="D624" t="s">
        <v>68</v>
      </c>
      <c r="E624" t="s">
        <v>80</v>
      </c>
      <c r="F624" t="s">
        <v>80</v>
      </c>
      <c r="G624" t="s">
        <v>36</v>
      </c>
      <c r="H624" t="s">
        <v>5142</v>
      </c>
      <c r="I624" t="s">
        <v>5143</v>
      </c>
      <c r="J624">
        <v>200814</v>
      </c>
      <c r="K624" t="s">
        <v>1365</v>
      </c>
      <c r="L624" t="s">
        <v>82</v>
      </c>
      <c r="M624" t="s">
        <v>39</v>
      </c>
      <c r="N624">
        <v>45698</v>
      </c>
      <c r="O624">
        <v>3783</v>
      </c>
      <c r="P624" t="s">
        <v>29</v>
      </c>
      <c r="Q624">
        <v>4</v>
      </c>
      <c r="R624" t="s">
        <v>5116</v>
      </c>
      <c r="S624" t="s">
        <v>21</v>
      </c>
      <c r="T624" t="s">
        <v>20</v>
      </c>
    </row>
    <row r="625" spans="1:20" x14ac:dyDescent="0.3">
      <c r="A625" t="s">
        <v>1366</v>
      </c>
      <c r="B625" t="s">
        <v>215</v>
      </c>
      <c r="C625" t="s">
        <v>185</v>
      </c>
      <c r="D625" t="s">
        <v>118</v>
      </c>
      <c r="E625" t="s">
        <v>95</v>
      </c>
      <c r="F625" t="s">
        <v>96</v>
      </c>
      <c r="G625" t="s">
        <v>16</v>
      </c>
      <c r="H625" t="s">
        <v>5136</v>
      </c>
      <c r="I625" t="s">
        <v>5137</v>
      </c>
      <c r="J625">
        <v>86952</v>
      </c>
      <c r="K625" t="s">
        <v>1367</v>
      </c>
      <c r="L625" t="s">
        <v>87</v>
      </c>
      <c r="M625" t="s">
        <v>39</v>
      </c>
      <c r="N625">
        <v>45737</v>
      </c>
      <c r="O625">
        <v>1645</v>
      </c>
      <c r="P625" t="s">
        <v>29</v>
      </c>
      <c r="Q625">
        <v>0</v>
      </c>
      <c r="R625" t="s">
        <v>5116</v>
      </c>
      <c r="S625" t="s">
        <v>21</v>
      </c>
      <c r="T625" t="s">
        <v>29</v>
      </c>
    </row>
    <row r="626" spans="1:20" x14ac:dyDescent="0.3">
      <c r="A626" t="s">
        <v>1368</v>
      </c>
      <c r="B626" t="s">
        <v>31</v>
      </c>
      <c r="C626" t="s">
        <v>175</v>
      </c>
      <c r="D626" t="s">
        <v>167</v>
      </c>
      <c r="E626" t="s">
        <v>209</v>
      </c>
      <c r="F626" t="s">
        <v>210</v>
      </c>
      <c r="G626" t="s">
        <v>50</v>
      </c>
      <c r="H626" t="s">
        <v>5142</v>
      </c>
      <c r="I626" t="s">
        <v>5143</v>
      </c>
      <c r="J626">
        <v>193016</v>
      </c>
      <c r="K626" t="s">
        <v>1369</v>
      </c>
      <c r="L626" t="s">
        <v>18</v>
      </c>
      <c r="M626" t="s">
        <v>46</v>
      </c>
      <c r="N626">
        <v>45580</v>
      </c>
      <c r="O626">
        <v>1943</v>
      </c>
      <c r="P626" t="s">
        <v>20</v>
      </c>
      <c r="Q626">
        <v>4</v>
      </c>
      <c r="R626" t="s">
        <v>40</v>
      </c>
      <c r="S626" t="s">
        <v>41</v>
      </c>
      <c r="T626" t="s">
        <v>20</v>
      </c>
    </row>
    <row r="627" spans="1:20" x14ac:dyDescent="0.3">
      <c r="A627" t="s">
        <v>1370</v>
      </c>
      <c r="B627" t="s">
        <v>55</v>
      </c>
      <c r="C627" t="s">
        <v>117</v>
      </c>
      <c r="D627" t="s">
        <v>25</v>
      </c>
      <c r="E627" t="s">
        <v>69</v>
      </c>
      <c r="F627" t="s">
        <v>70</v>
      </c>
      <c r="G627" t="s">
        <v>36</v>
      </c>
      <c r="H627" t="s">
        <v>5140</v>
      </c>
      <c r="I627" t="s">
        <v>5141</v>
      </c>
      <c r="J627">
        <v>99877</v>
      </c>
      <c r="K627" t="s">
        <v>1371</v>
      </c>
      <c r="L627" t="s">
        <v>142</v>
      </c>
      <c r="M627" t="s">
        <v>39</v>
      </c>
      <c r="N627">
        <v>45534</v>
      </c>
      <c r="O627">
        <v>2852</v>
      </c>
      <c r="P627" t="s">
        <v>29</v>
      </c>
      <c r="Q627">
        <v>2</v>
      </c>
      <c r="R627" t="s">
        <v>52</v>
      </c>
      <c r="S627" t="s">
        <v>21</v>
      </c>
      <c r="T627" t="s">
        <v>29</v>
      </c>
    </row>
    <row r="628" spans="1:20" x14ac:dyDescent="0.3">
      <c r="A628" t="s">
        <v>1372</v>
      </c>
      <c r="B628" t="s">
        <v>165</v>
      </c>
      <c r="C628" t="s">
        <v>32</v>
      </c>
      <c r="D628" t="s">
        <v>25</v>
      </c>
      <c r="E628" t="s">
        <v>5128</v>
      </c>
      <c r="F628" t="s">
        <v>5125</v>
      </c>
      <c r="G628" t="s">
        <v>16</v>
      </c>
      <c r="H628" t="s">
        <v>5140</v>
      </c>
      <c r="I628" t="s">
        <v>5141</v>
      </c>
      <c r="J628">
        <v>90405</v>
      </c>
      <c r="K628" t="s">
        <v>1373</v>
      </c>
      <c r="L628" t="s">
        <v>134</v>
      </c>
      <c r="M628" t="s">
        <v>46</v>
      </c>
      <c r="N628">
        <v>45578</v>
      </c>
      <c r="O628">
        <v>3836</v>
      </c>
      <c r="P628" t="s">
        <v>20</v>
      </c>
      <c r="Q628">
        <v>2</v>
      </c>
      <c r="R628" t="s">
        <v>76</v>
      </c>
      <c r="S628" t="s">
        <v>21</v>
      </c>
      <c r="T628" t="s">
        <v>29</v>
      </c>
    </row>
    <row r="629" spans="1:20" x14ac:dyDescent="0.3">
      <c r="A629" t="s">
        <v>1374</v>
      </c>
      <c r="B629" t="s">
        <v>136</v>
      </c>
      <c r="C629" t="s">
        <v>32</v>
      </c>
      <c r="D629" t="s">
        <v>140</v>
      </c>
      <c r="E629" t="s">
        <v>5129</v>
      </c>
      <c r="F629" t="s">
        <v>5130</v>
      </c>
      <c r="G629" t="s">
        <v>36</v>
      </c>
      <c r="H629" t="s">
        <v>5140</v>
      </c>
      <c r="I629" t="s">
        <v>5141</v>
      </c>
      <c r="J629">
        <v>107509</v>
      </c>
      <c r="K629" t="s">
        <v>1375</v>
      </c>
      <c r="L629" t="s">
        <v>5165</v>
      </c>
      <c r="M629" t="s">
        <v>46</v>
      </c>
      <c r="N629">
        <v>45435</v>
      </c>
      <c r="O629">
        <v>3969</v>
      </c>
      <c r="P629" t="s">
        <v>20</v>
      </c>
      <c r="Q629">
        <v>2</v>
      </c>
      <c r="R629" t="s">
        <v>76</v>
      </c>
      <c r="S629" t="s">
        <v>21</v>
      </c>
      <c r="T629" t="s">
        <v>20</v>
      </c>
    </row>
    <row r="630" spans="1:20" x14ac:dyDescent="0.3">
      <c r="A630" t="s">
        <v>1376</v>
      </c>
      <c r="B630" t="s">
        <v>215</v>
      </c>
      <c r="C630" t="s">
        <v>125</v>
      </c>
      <c r="D630" t="s">
        <v>118</v>
      </c>
      <c r="E630" t="s">
        <v>26</v>
      </c>
      <c r="F630" t="s">
        <v>27</v>
      </c>
      <c r="G630" t="s">
        <v>50</v>
      </c>
      <c r="H630" t="s">
        <v>5136</v>
      </c>
      <c r="I630" t="s">
        <v>5137</v>
      </c>
      <c r="J630">
        <v>70702</v>
      </c>
      <c r="K630" t="s">
        <v>1377</v>
      </c>
      <c r="L630" t="s">
        <v>5165</v>
      </c>
      <c r="M630" t="s">
        <v>46</v>
      </c>
      <c r="N630">
        <v>45338</v>
      </c>
      <c r="O630">
        <v>1752</v>
      </c>
      <c r="P630" t="s">
        <v>20</v>
      </c>
      <c r="Q630">
        <v>0</v>
      </c>
      <c r="R630" t="s">
        <v>40</v>
      </c>
      <c r="S630" t="s">
        <v>21</v>
      </c>
      <c r="T630" t="s">
        <v>20</v>
      </c>
    </row>
    <row r="631" spans="1:20" x14ac:dyDescent="0.3">
      <c r="A631" t="s">
        <v>1378</v>
      </c>
      <c r="B631" t="s">
        <v>84</v>
      </c>
      <c r="C631" t="s">
        <v>109</v>
      </c>
      <c r="D631" t="s">
        <v>33</v>
      </c>
      <c r="E631" t="s">
        <v>5126</v>
      </c>
      <c r="F631" t="s">
        <v>5125</v>
      </c>
      <c r="G631" t="s">
        <v>36</v>
      </c>
      <c r="H631" t="s">
        <v>5138</v>
      </c>
      <c r="I631" t="s">
        <v>5139</v>
      </c>
      <c r="J631">
        <v>239390</v>
      </c>
      <c r="K631" t="s">
        <v>1379</v>
      </c>
      <c r="L631" t="s">
        <v>18</v>
      </c>
      <c r="M631" t="s">
        <v>72</v>
      </c>
      <c r="N631">
        <v>45653</v>
      </c>
      <c r="O631">
        <v>2923</v>
      </c>
      <c r="P631" t="s">
        <v>29</v>
      </c>
      <c r="Q631">
        <v>6</v>
      </c>
      <c r="R631" t="s">
        <v>52</v>
      </c>
      <c r="S631" t="s">
        <v>21</v>
      </c>
      <c r="T631" t="s">
        <v>20</v>
      </c>
    </row>
    <row r="632" spans="1:20" x14ac:dyDescent="0.3">
      <c r="A632" t="s">
        <v>1380</v>
      </c>
      <c r="B632" t="s">
        <v>31</v>
      </c>
      <c r="C632" t="s">
        <v>219</v>
      </c>
      <c r="D632" t="s">
        <v>140</v>
      </c>
      <c r="E632" t="s">
        <v>126</v>
      </c>
      <c r="F632" t="s">
        <v>127</v>
      </c>
      <c r="G632" t="s">
        <v>50</v>
      </c>
      <c r="H632" t="s">
        <v>5136</v>
      </c>
      <c r="I632" t="s">
        <v>5137</v>
      </c>
      <c r="J632">
        <v>50000</v>
      </c>
      <c r="K632" t="s">
        <v>1381</v>
      </c>
      <c r="L632" t="s">
        <v>5165</v>
      </c>
      <c r="M632" t="s">
        <v>19</v>
      </c>
      <c r="N632">
        <v>45625</v>
      </c>
      <c r="O632">
        <v>1576</v>
      </c>
      <c r="P632" t="s">
        <v>20</v>
      </c>
      <c r="Q632">
        <v>0</v>
      </c>
      <c r="R632" t="s">
        <v>5116</v>
      </c>
      <c r="S632" t="s">
        <v>21</v>
      </c>
      <c r="T632" t="s">
        <v>29</v>
      </c>
    </row>
    <row r="633" spans="1:20" x14ac:dyDescent="0.3">
      <c r="A633" t="s">
        <v>1382</v>
      </c>
      <c r="B633" t="s">
        <v>99</v>
      </c>
      <c r="C633" t="s">
        <v>49</v>
      </c>
      <c r="D633" t="s">
        <v>5156</v>
      </c>
      <c r="E633" t="s">
        <v>193</v>
      </c>
      <c r="F633" t="s">
        <v>194</v>
      </c>
      <c r="G633" t="s">
        <v>16</v>
      </c>
      <c r="H633" t="s">
        <v>5136</v>
      </c>
      <c r="I633" t="s">
        <v>5137</v>
      </c>
      <c r="J633">
        <v>89272</v>
      </c>
      <c r="K633" t="s">
        <v>1383</v>
      </c>
      <c r="L633" t="s">
        <v>82</v>
      </c>
      <c r="M633" t="s">
        <v>72</v>
      </c>
      <c r="N633">
        <v>45340</v>
      </c>
      <c r="O633">
        <v>1133</v>
      </c>
      <c r="P633" t="s">
        <v>20</v>
      </c>
      <c r="Q633">
        <v>0</v>
      </c>
      <c r="R633" t="s">
        <v>76</v>
      </c>
      <c r="S633" t="s">
        <v>53</v>
      </c>
      <c r="T633" t="s">
        <v>20</v>
      </c>
    </row>
    <row r="634" spans="1:20" x14ac:dyDescent="0.3">
      <c r="A634" t="s">
        <v>1384</v>
      </c>
      <c r="B634" t="s">
        <v>89</v>
      </c>
      <c r="C634" t="s">
        <v>121</v>
      </c>
      <c r="D634" t="s">
        <v>118</v>
      </c>
      <c r="E634" t="s">
        <v>152</v>
      </c>
      <c r="F634" t="s">
        <v>153</v>
      </c>
      <c r="G634" t="s">
        <v>16</v>
      </c>
      <c r="H634" t="s">
        <v>5138</v>
      </c>
      <c r="I634" t="s">
        <v>5139</v>
      </c>
      <c r="J634">
        <v>194311</v>
      </c>
      <c r="K634" t="s">
        <v>1385</v>
      </c>
      <c r="L634" t="s">
        <v>61</v>
      </c>
      <c r="M634" t="s">
        <v>19</v>
      </c>
      <c r="N634">
        <v>45675</v>
      </c>
      <c r="O634">
        <v>239</v>
      </c>
      <c r="P634" t="s">
        <v>20</v>
      </c>
      <c r="Q634">
        <v>6</v>
      </c>
      <c r="R634" t="s">
        <v>5116</v>
      </c>
      <c r="S634" t="s">
        <v>21</v>
      </c>
      <c r="T634" t="s">
        <v>20</v>
      </c>
    </row>
    <row r="635" spans="1:20" x14ac:dyDescent="0.3">
      <c r="A635" t="s">
        <v>1386</v>
      </c>
      <c r="B635" t="s">
        <v>31</v>
      </c>
      <c r="C635" t="s">
        <v>56</v>
      </c>
      <c r="D635" t="s">
        <v>5156</v>
      </c>
      <c r="E635" t="s">
        <v>209</v>
      </c>
      <c r="F635" t="s">
        <v>210</v>
      </c>
      <c r="G635" t="s">
        <v>36</v>
      </c>
      <c r="H635" t="s">
        <v>5140</v>
      </c>
      <c r="I635" t="s">
        <v>5141</v>
      </c>
      <c r="J635">
        <v>101547</v>
      </c>
      <c r="K635" t="s">
        <v>1387</v>
      </c>
      <c r="L635" t="s">
        <v>5165</v>
      </c>
      <c r="M635" t="s">
        <v>72</v>
      </c>
      <c r="N635">
        <v>45462</v>
      </c>
      <c r="O635">
        <v>1715</v>
      </c>
      <c r="P635" t="s">
        <v>20</v>
      </c>
      <c r="Q635">
        <v>2</v>
      </c>
      <c r="R635" t="s">
        <v>5116</v>
      </c>
      <c r="S635" t="s">
        <v>21</v>
      </c>
      <c r="T635" t="s">
        <v>20</v>
      </c>
    </row>
    <row r="636" spans="1:20" x14ac:dyDescent="0.3">
      <c r="A636" t="s">
        <v>1388</v>
      </c>
      <c r="B636" t="s">
        <v>124</v>
      </c>
      <c r="C636" t="s">
        <v>13</v>
      </c>
      <c r="D636" t="s">
        <v>118</v>
      </c>
      <c r="E636" t="s">
        <v>14</v>
      </c>
      <c r="F636" t="s">
        <v>15</v>
      </c>
      <c r="G636" t="s">
        <v>16</v>
      </c>
      <c r="H636" t="s">
        <v>5140</v>
      </c>
      <c r="I636" t="s">
        <v>5141</v>
      </c>
      <c r="J636">
        <v>89960</v>
      </c>
      <c r="K636" t="s">
        <v>1389</v>
      </c>
      <c r="L636" t="s">
        <v>5165</v>
      </c>
      <c r="M636" t="s">
        <v>46</v>
      </c>
      <c r="N636">
        <v>45519</v>
      </c>
      <c r="O636">
        <v>1284</v>
      </c>
      <c r="P636" t="s">
        <v>20</v>
      </c>
      <c r="Q636">
        <v>2</v>
      </c>
      <c r="R636" t="s">
        <v>40</v>
      </c>
      <c r="S636" t="s">
        <v>21</v>
      </c>
      <c r="T636" t="s">
        <v>20</v>
      </c>
    </row>
    <row r="637" spans="1:20" x14ac:dyDescent="0.3">
      <c r="A637" t="s">
        <v>1390</v>
      </c>
      <c r="B637" t="s">
        <v>63</v>
      </c>
      <c r="C637" t="s">
        <v>64</v>
      </c>
      <c r="D637" t="s">
        <v>118</v>
      </c>
      <c r="E637" t="s">
        <v>5128</v>
      </c>
      <c r="F637" t="s">
        <v>5125</v>
      </c>
      <c r="G637" t="s">
        <v>16</v>
      </c>
      <c r="H637" t="s">
        <v>5138</v>
      </c>
      <c r="I637" t="s">
        <v>5139</v>
      </c>
      <c r="J637">
        <v>140425</v>
      </c>
      <c r="K637" t="s">
        <v>1391</v>
      </c>
      <c r="L637" t="s">
        <v>179</v>
      </c>
      <c r="M637" t="s">
        <v>39</v>
      </c>
      <c r="N637">
        <v>45338</v>
      </c>
      <c r="O637">
        <v>2623</v>
      </c>
      <c r="P637" t="s">
        <v>20</v>
      </c>
      <c r="Q637">
        <v>6</v>
      </c>
      <c r="R637" t="s">
        <v>5116</v>
      </c>
      <c r="S637" t="s">
        <v>53</v>
      </c>
      <c r="T637" t="s">
        <v>20</v>
      </c>
    </row>
    <row r="638" spans="1:20" x14ac:dyDescent="0.3">
      <c r="A638" t="s">
        <v>1392</v>
      </c>
      <c r="B638" t="s">
        <v>74</v>
      </c>
      <c r="C638" t="s">
        <v>166</v>
      </c>
      <c r="D638" t="s">
        <v>33</v>
      </c>
      <c r="E638" t="s">
        <v>58</v>
      </c>
      <c r="F638" t="s">
        <v>59</v>
      </c>
      <c r="G638" t="s">
        <v>16</v>
      </c>
      <c r="H638" t="s">
        <v>5140</v>
      </c>
      <c r="I638" t="s">
        <v>5141</v>
      </c>
      <c r="J638">
        <v>126298</v>
      </c>
      <c r="K638" t="s">
        <v>1393</v>
      </c>
      <c r="L638" t="s">
        <v>238</v>
      </c>
      <c r="M638" t="s">
        <v>19</v>
      </c>
      <c r="N638">
        <v>45486</v>
      </c>
      <c r="O638">
        <v>1072</v>
      </c>
      <c r="P638" t="s">
        <v>20</v>
      </c>
      <c r="Q638">
        <v>2</v>
      </c>
      <c r="R638" t="s">
        <v>40</v>
      </c>
      <c r="S638" t="s">
        <v>21</v>
      </c>
      <c r="T638" t="s">
        <v>29</v>
      </c>
    </row>
    <row r="639" spans="1:20" x14ac:dyDescent="0.3">
      <c r="A639" t="s">
        <v>1394</v>
      </c>
      <c r="B639" t="s">
        <v>218</v>
      </c>
      <c r="C639" t="s">
        <v>197</v>
      </c>
      <c r="D639" t="s">
        <v>140</v>
      </c>
      <c r="E639" t="s">
        <v>69</v>
      </c>
      <c r="F639" t="s">
        <v>70</v>
      </c>
      <c r="G639" t="s">
        <v>16</v>
      </c>
      <c r="H639" t="s">
        <v>5142</v>
      </c>
      <c r="I639" t="s">
        <v>5143</v>
      </c>
      <c r="J639">
        <v>151979</v>
      </c>
      <c r="K639" t="s">
        <v>1395</v>
      </c>
      <c r="L639" t="s">
        <v>18</v>
      </c>
      <c r="M639" t="s">
        <v>46</v>
      </c>
      <c r="N639">
        <v>45615</v>
      </c>
      <c r="O639">
        <v>859</v>
      </c>
      <c r="P639" t="s">
        <v>20</v>
      </c>
      <c r="Q639">
        <v>4</v>
      </c>
      <c r="R639" t="s">
        <v>76</v>
      </c>
      <c r="S639" t="s">
        <v>21</v>
      </c>
      <c r="T639" t="s">
        <v>20</v>
      </c>
    </row>
    <row r="640" spans="1:20" x14ac:dyDescent="0.3">
      <c r="A640" t="s">
        <v>1396</v>
      </c>
      <c r="B640" t="s">
        <v>31</v>
      </c>
      <c r="C640" t="s">
        <v>185</v>
      </c>
      <c r="D640" t="s">
        <v>118</v>
      </c>
      <c r="E640" t="s">
        <v>69</v>
      </c>
      <c r="F640" t="s">
        <v>70</v>
      </c>
      <c r="G640" t="s">
        <v>36</v>
      </c>
      <c r="H640" t="s">
        <v>5136</v>
      </c>
      <c r="I640" t="s">
        <v>5137</v>
      </c>
      <c r="J640">
        <v>53746</v>
      </c>
      <c r="K640" t="s">
        <v>1397</v>
      </c>
      <c r="L640" t="s">
        <v>61</v>
      </c>
      <c r="M640" t="s">
        <v>46</v>
      </c>
      <c r="N640">
        <v>45424</v>
      </c>
      <c r="O640">
        <v>1534</v>
      </c>
      <c r="P640" t="s">
        <v>20</v>
      </c>
      <c r="Q640">
        <v>0</v>
      </c>
      <c r="R640" t="s">
        <v>76</v>
      </c>
      <c r="S640" t="s">
        <v>53</v>
      </c>
      <c r="T640" t="s">
        <v>29</v>
      </c>
    </row>
    <row r="641" spans="1:20" x14ac:dyDescent="0.3">
      <c r="A641" t="s">
        <v>1398</v>
      </c>
      <c r="B641" t="s">
        <v>12</v>
      </c>
      <c r="C641" t="s">
        <v>172</v>
      </c>
      <c r="D641" t="s">
        <v>118</v>
      </c>
      <c r="E641" t="s">
        <v>5132</v>
      </c>
      <c r="F641" t="s">
        <v>5125</v>
      </c>
      <c r="G641" t="s">
        <v>16</v>
      </c>
      <c r="H641" t="s">
        <v>5142</v>
      </c>
      <c r="I641" t="s">
        <v>5143</v>
      </c>
      <c r="J641">
        <v>115032</v>
      </c>
      <c r="K641" t="s">
        <v>1399</v>
      </c>
      <c r="L641" t="s">
        <v>5165</v>
      </c>
      <c r="M641" t="s">
        <v>46</v>
      </c>
      <c r="N641">
        <v>45535</v>
      </c>
      <c r="O641">
        <v>3090</v>
      </c>
      <c r="P641" t="s">
        <v>29</v>
      </c>
      <c r="Q641">
        <v>4</v>
      </c>
      <c r="R641" t="s">
        <v>76</v>
      </c>
      <c r="S641" t="s">
        <v>21</v>
      </c>
      <c r="T641" t="s">
        <v>20</v>
      </c>
    </row>
    <row r="642" spans="1:20" x14ac:dyDescent="0.3">
      <c r="A642" t="s">
        <v>1400</v>
      </c>
      <c r="B642" t="s">
        <v>322</v>
      </c>
      <c r="C642" t="s">
        <v>64</v>
      </c>
      <c r="D642" t="s">
        <v>68</v>
      </c>
      <c r="E642" t="s">
        <v>152</v>
      </c>
      <c r="F642" t="s">
        <v>153</v>
      </c>
      <c r="G642" t="s">
        <v>50</v>
      </c>
      <c r="H642" t="s">
        <v>5138</v>
      </c>
      <c r="I642" t="s">
        <v>5139</v>
      </c>
      <c r="J642">
        <v>187911</v>
      </c>
      <c r="K642" t="s">
        <v>1401</v>
      </c>
      <c r="L642" t="s">
        <v>238</v>
      </c>
      <c r="M642" t="s">
        <v>19</v>
      </c>
      <c r="N642">
        <v>45421</v>
      </c>
      <c r="O642">
        <v>3180</v>
      </c>
      <c r="P642" t="s">
        <v>20</v>
      </c>
      <c r="Q642">
        <v>6</v>
      </c>
      <c r="R642" t="s">
        <v>76</v>
      </c>
      <c r="S642" t="s">
        <v>21</v>
      </c>
      <c r="T642" t="s">
        <v>29</v>
      </c>
    </row>
    <row r="643" spans="1:20" x14ac:dyDescent="0.3">
      <c r="A643" t="s">
        <v>1402</v>
      </c>
      <c r="B643" t="s">
        <v>124</v>
      </c>
      <c r="C643" t="s">
        <v>125</v>
      </c>
      <c r="D643" t="s">
        <v>44</v>
      </c>
      <c r="E643" t="s">
        <v>223</v>
      </c>
      <c r="F643" t="s">
        <v>224</v>
      </c>
      <c r="G643" t="s">
        <v>50</v>
      </c>
      <c r="H643" t="s">
        <v>5140</v>
      </c>
      <c r="I643" t="s">
        <v>5141</v>
      </c>
      <c r="J643">
        <v>143046</v>
      </c>
      <c r="K643" t="s">
        <v>1403</v>
      </c>
      <c r="L643" t="s">
        <v>5165</v>
      </c>
      <c r="M643" t="s">
        <v>46</v>
      </c>
      <c r="N643">
        <v>45649</v>
      </c>
      <c r="O643">
        <v>3292</v>
      </c>
      <c r="P643" t="s">
        <v>20</v>
      </c>
      <c r="Q643">
        <v>2</v>
      </c>
      <c r="R643" t="s">
        <v>52</v>
      </c>
      <c r="S643" t="s">
        <v>21</v>
      </c>
      <c r="T643" t="s">
        <v>29</v>
      </c>
    </row>
    <row r="644" spans="1:20" x14ac:dyDescent="0.3">
      <c r="A644" t="s">
        <v>1404</v>
      </c>
      <c r="B644" t="s">
        <v>55</v>
      </c>
      <c r="C644" t="s">
        <v>202</v>
      </c>
      <c r="D644" t="s">
        <v>68</v>
      </c>
      <c r="E644" t="s">
        <v>95</v>
      </c>
      <c r="F644" t="s">
        <v>96</v>
      </c>
      <c r="G644" t="s">
        <v>16</v>
      </c>
      <c r="H644" t="s">
        <v>5140</v>
      </c>
      <c r="I644" t="s">
        <v>5141</v>
      </c>
      <c r="J644">
        <v>104860</v>
      </c>
      <c r="K644" t="s">
        <v>1405</v>
      </c>
      <c r="L644" t="s">
        <v>238</v>
      </c>
      <c r="M644" t="s">
        <v>39</v>
      </c>
      <c r="N644">
        <v>45333</v>
      </c>
      <c r="O644">
        <v>30</v>
      </c>
      <c r="P644" t="s">
        <v>20</v>
      </c>
      <c r="Q644">
        <v>2</v>
      </c>
      <c r="R644" t="s">
        <v>40</v>
      </c>
      <c r="S644" t="s">
        <v>21</v>
      </c>
      <c r="T644" t="s">
        <v>20</v>
      </c>
    </row>
    <row r="645" spans="1:20" x14ac:dyDescent="0.3">
      <c r="A645" t="s">
        <v>1406</v>
      </c>
      <c r="B645" t="s">
        <v>130</v>
      </c>
      <c r="C645" t="s">
        <v>49</v>
      </c>
      <c r="D645" t="s">
        <v>167</v>
      </c>
      <c r="E645" t="s">
        <v>152</v>
      </c>
      <c r="F645" t="s">
        <v>153</v>
      </c>
      <c r="G645" t="s">
        <v>36</v>
      </c>
      <c r="H645" t="s">
        <v>5140</v>
      </c>
      <c r="I645" t="s">
        <v>5141</v>
      </c>
      <c r="J645">
        <v>80237</v>
      </c>
      <c r="K645" t="s">
        <v>1407</v>
      </c>
      <c r="L645" t="s">
        <v>61</v>
      </c>
      <c r="M645" t="s">
        <v>39</v>
      </c>
      <c r="N645">
        <v>45717</v>
      </c>
      <c r="O645">
        <v>2455</v>
      </c>
      <c r="P645" t="s">
        <v>20</v>
      </c>
      <c r="Q645">
        <v>2</v>
      </c>
      <c r="R645" t="s">
        <v>5116</v>
      </c>
      <c r="S645" t="s">
        <v>21</v>
      </c>
      <c r="T645" t="s">
        <v>20</v>
      </c>
    </row>
    <row r="646" spans="1:20" x14ac:dyDescent="0.3">
      <c r="A646" t="s">
        <v>1408</v>
      </c>
      <c r="B646" t="s">
        <v>136</v>
      </c>
      <c r="C646" t="s">
        <v>64</v>
      </c>
      <c r="D646" t="s">
        <v>140</v>
      </c>
      <c r="E646" t="s">
        <v>26</v>
      </c>
      <c r="F646" t="s">
        <v>27</v>
      </c>
      <c r="G646" t="s">
        <v>50</v>
      </c>
      <c r="H646" t="s">
        <v>5136</v>
      </c>
      <c r="I646" t="s">
        <v>5137</v>
      </c>
      <c r="J646">
        <v>66903</v>
      </c>
      <c r="K646" t="s">
        <v>1409</v>
      </c>
      <c r="L646" t="s">
        <v>18</v>
      </c>
      <c r="M646" t="s">
        <v>72</v>
      </c>
      <c r="N646">
        <v>45383</v>
      </c>
      <c r="O646">
        <v>575</v>
      </c>
      <c r="P646" t="s">
        <v>20</v>
      </c>
      <c r="Q646">
        <v>0</v>
      </c>
      <c r="R646" t="s">
        <v>5116</v>
      </c>
      <c r="S646" t="s">
        <v>21</v>
      </c>
      <c r="T646" t="s">
        <v>29</v>
      </c>
    </row>
    <row r="647" spans="1:20" x14ac:dyDescent="0.3">
      <c r="A647" t="s">
        <v>1410</v>
      </c>
      <c r="B647" t="s">
        <v>229</v>
      </c>
      <c r="C647" t="s">
        <v>160</v>
      </c>
      <c r="D647" t="s">
        <v>118</v>
      </c>
      <c r="E647" t="s">
        <v>95</v>
      </c>
      <c r="F647" t="s">
        <v>96</v>
      </c>
      <c r="G647" t="s">
        <v>16</v>
      </c>
      <c r="H647" t="s">
        <v>5138</v>
      </c>
      <c r="I647" t="s">
        <v>5139</v>
      </c>
      <c r="J647">
        <v>190181</v>
      </c>
      <c r="K647" t="s">
        <v>1411</v>
      </c>
      <c r="L647" t="s">
        <v>134</v>
      </c>
      <c r="M647" t="s">
        <v>46</v>
      </c>
      <c r="N647">
        <v>45437</v>
      </c>
      <c r="O647">
        <v>3427</v>
      </c>
      <c r="P647" t="s">
        <v>29</v>
      </c>
      <c r="Q647">
        <v>6</v>
      </c>
      <c r="R647" t="s">
        <v>5116</v>
      </c>
      <c r="S647" t="s">
        <v>21</v>
      </c>
      <c r="T647" t="s">
        <v>20</v>
      </c>
    </row>
    <row r="648" spans="1:20" x14ac:dyDescent="0.3">
      <c r="A648" t="s">
        <v>1412</v>
      </c>
      <c r="B648" t="s">
        <v>130</v>
      </c>
      <c r="C648" t="s">
        <v>172</v>
      </c>
      <c r="D648" t="s">
        <v>140</v>
      </c>
      <c r="E648" t="s">
        <v>95</v>
      </c>
      <c r="F648" t="s">
        <v>96</v>
      </c>
      <c r="G648" t="s">
        <v>16</v>
      </c>
      <c r="H648" t="s">
        <v>5136</v>
      </c>
      <c r="I648" t="s">
        <v>5137</v>
      </c>
      <c r="J648">
        <v>50000</v>
      </c>
      <c r="K648" t="s">
        <v>1413</v>
      </c>
      <c r="L648" t="s">
        <v>179</v>
      </c>
      <c r="M648" t="s">
        <v>19</v>
      </c>
      <c r="N648">
        <v>45586</v>
      </c>
      <c r="O648">
        <v>2482</v>
      </c>
      <c r="P648" t="s">
        <v>20</v>
      </c>
      <c r="Q648">
        <v>0</v>
      </c>
      <c r="R648" t="s">
        <v>52</v>
      </c>
      <c r="S648" t="s">
        <v>21</v>
      </c>
      <c r="T648" t="s">
        <v>20</v>
      </c>
    </row>
    <row r="649" spans="1:20" x14ac:dyDescent="0.3">
      <c r="A649" t="s">
        <v>1414</v>
      </c>
      <c r="B649" t="s">
        <v>229</v>
      </c>
      <c r="C649" t="s">
        <v>175</v>
      </c>
      <c r="D649" t="s">
        <v>104</v>
      </c>
      <c r="E649" t="s">
        <v>5129</v>
      </c>
      <c r="F649" t="s">
        <v>5130</v>
      </c>
      <c r="G649" t="s">
        <v>36</v>
      </c>
      <c r="H649" t="s">
        <v>5142</v>
      </c>
      <c r="I649" t="s">
        <v>5143</v>
      </c>
      <c r="J649">
        <v>148534</v>
      </c>
      <c r="K649" t="s">
        <v>1415</v>
      </c>
      <c r="L649" t="s">
        <v>5165</v>
      </c>
      <c r="M649" t="s">
        <v>19</v>
      </c>
      <c r="N649">
        <v>45509</v>
      </c>
      <c r="O649">
        <v>3339</v>
      </c>
      <c r="P649" t="s">
        <v>20</v>
      </c>
      <c r="Q649">
        <v>4</v>
      </c>
      <c r="R649" t="s">
        <v>52</v>
      </c>
      <c r="S649" t="s">
        <v>21</v>
      </c>
      <c r="T649" t="s">
        <v>20</v>
      </c>
    </row>
    <row r="650" spans="1:20" x14ac:dyDescent="0.3">
      <c r="A650" t="s">
        <v>1416</v>
      </c>
      <c r="B650" t="s">
        <v>222</v>
      </c>
      <c r="C650" t="s">
        <v>117</v>
      </c>
      <c r="D650" t="s">
        <v>68</v>
      </c>
      <c r="E650" t="s">
        <v>152</v>
      </c>
      <c r="F650" t="s">
        <v>153</v>
      </c>
      <c r="G650" t="s">
        <v>36</v>
      </c>
      <c r="H650" t="s">
        <v>5136</v>
      </c>
      <c r="I650" t="s">
        <v>5137</v>
      </c>
      <c r="J650">
        <v>67090</v>
      </c>
      <c r="K650" t="s">
        <v>1417</v>
      </c>
      <c r="L650" t="s">
        <v>5165</v>
      </c>
      <c r="M650" t="s">
        <v>19</v>
      </c>
      <c r="N650">
        <v>45317</v>
      </c>
      <c r="O650">
        <v>1471</v>
      </c>
      <c r="P650" t="s">
        <v>20</v>
      </c>
      <c r="Q650">
        <v>0</v>
      </c>
      <c r="R650" t="s">
        <v>52</v>
      </c>
      <c r="S650" t="s">
        <v>21</v>
      </c>
      <c r="T650" t="s">
        <v>20</v>
      </c>
    </row>
    <row r="651" spans="1:20" x14ac:dyDescent="0.3">
      <c r="A651" t="s">
        <v>1418</v>
      </c>
      <c r="B651" t="s">
        <v>78</v>
      </c>
      <c r="C651" t="s">
        <v>90</v>
      </c>
      <c r="D651" t="s">
        <v>57</v>
      </c>
      <c r="E651" t="s">
        <v>5133</v>
      </c>
      <c r="F651" t="s">
        <v>5125</v>
      </c>
      <c r="G651" t="s">
        <v>36</v>
      </c>
      <c r="H651" t="s">
        <v>5136</v>
      </c>
      <c r="I651" t="s">
        <v>5137</v>
      </c>
      <c r="J651">
        <v>78772</v>
      </c>
      <c r="K651" t="s">
        <v>1419</v>
      </c>
      <c r="L651" t="s">
        <v>5165</v>
      </c>
      <c r="M651" t="s">
        <v>46</v>
      </c>
      <c r="N651">
        <v>45564</v>
      </c>
      <c r="O651">
        <v>1424</v>
      </c>
      <c r="P651" t="s">
        <v>92</v>
      </c>
      <c r="Q651">
        <v>0</v>
      </c>
      <c r="R651" t="s">
        <v>76</v>
      </c>
      <c r="S651" t="s">
        <v>21</v>
      </c>
      <c r="T651" t="s">
        <v>20</v>
      </c>
    </row>
    <row r="652" spans="1:20" x14ac:dyDescent="0.3">
      <c r="A652" t="s">
        <v>1420</v>
      </c>
      <c r="B652" t="s">
        <v>124</v>
      </c>
      <c r="C652" t="s">
        <v>49</v>
      </c>
      <c r="D652" t="s">
        <v>68</v>
      </c>
      <c r="E652" t="s">
        <v>5127</v>
      </c>
      <c r="F652" t="s">
        <v>5125</v>
      </c>
      <c r="G652" t="s">
        <v>16</v>
      </c>
      <c r="H652" t="s">
        <v>5138</v>
      </c>
      <c r="I652" t="s">
        <v>5139</v>
      </c>
      <c r="J652">
        <v>266562</v>
      </c>
      <c r="K652" t="s">
        <v>1421</v>
      </c>
      <c r="L652" t="s">
        <v>142</v>
      </c>
      <c r="M652" t="s">
        <v>72</v>
      </c>
      <c r="N652">
        <v>45482</v>
      </c>
      <c r="O652">
        <v>1393</v>
      </c>
      <c r="P652" t="s">
        <v>92</v>
      </c>
      <c r="Q652">
        <v>6</v>
      </c>
      <c r="R652" t="s">
        <v>40</v>
      </c>
      <c r="S652" t="s">
        <v>21</v>
      </c>
      <c r="T652" t="s">
        <v>29</v>
      </c>
    </row>
    <row r="653" spans="1:20" x14ac:dyDescent="0.3">
      <c r="A653" t="s">
        <v>1422</v>
      </c>
      <c r="B653" t="s">
        <v>31</v>
      </c>
      <c r="C653" t="s">
        <v>175</v>
      </c>
      <c r="D653" t="s">
        <v>5156</v>
      </c>
      <c r="E653" t="s">
        <v>5131</v>
      </c>
      <c r="F653" t="s">
        <v>5125</v>
      </c>
      <c r="G653" t="s">
        <v>50</v>
      </c>
      <c r="H653" t="s">
        <v>5136</v>
      </c>
      <c r="I653" t="s">
        <v>5137</v>
      </c>
      <c r="J653">
        <v>84194</v>
      </c>
      <c r="K653" t="s">
        <v>1423</v>
      </c>
      <c r="L653" t="s">
        <v>238</v>
      </c>
      <c r="M653" t="s">
        <v>46</v>
      </c>
      <c r="N653">
        <v>45698</v>
      </c>
      <c r="O653">
        <v>891</v>
      </c>
      <c r="P653" t="s">
        <v>20</v>
      </c>
      <c r="Q653">
        <v>0</v>
      </c>
      <c r="R653" t="s">
        <v>52</v>
      </c>
      <c r="S653" t="s">
        <v>21</v>
      </c>
      <c r="T653" t="s">
        <v>20</v>
      </c>
    </row>
    <row r="654" spans="1:20" x14ac:dyDescent="0.3">
      <c r="A654" t="s">
        <v>1424</v>
      </c>
      <c r="B654" t="s">
        <v>215</v>
      </c>
      <c r="C654" t="s">
        <v>43</v>
      </c>
      <c r="D654" t="s">
        <v>118</v>
      </c>
      <c r="E654" t="s">
        <v>69</v>
      </c>
      <c r="F654" t="s">
        <v>70</v>
      </c>
      <c r="G654" t="s">
        <v>36</v>
      </c>
      <c r="H654" t="s">
        <v>5142</v>
      </c>
      <c r="I654" t="s">
        <v>5143</v>
      </c>
      <c r="J654">
        <v>142740</v>
      </c>
      <c r="K654" t="s">
        <v>1425</v>
      </c>
      <c r="L654" t="s">
        <v>134</v>
      </c>
      <c r="M654" t="s">
        <v>19</v>
      </c>
      <c r="N654">
        <v>45601</v>
      </c>
      <c r="O654">
        <v>2463</v>
      </c>
      <c r="P654" t="s">
        <v>20</v>
      </c>
      <c r="Q654">
        <v>4</v>
      </c>
      <c r="R654" t="s">
        <v>40</v>
      </c>
      <c r="S654" t="s">
        <v>21</v>
      </c>
      <c r="T654" t="s">
        <v>29</v>
      </c>
    </row>
    <row r="655" spans="1:20" x14ac:dyDescent="0.3">
      <c r="A655" t="s">
        <v>1426</v>
      </c>
      <c r="B655" t="s">
        <v>229</v>
      </c>
      <c r="C655" t="s">
        <v>232</v>
      </c>
      <c r="D655" t="s">
        <v>68</v>
      </c>
      <c r="E655" t="s">
        <v>5128</v>
      </c>
      <c r="F655" t="s">
        <v>5125</v>
      </c>
      <c r="G655" t="s">
        <v>36</v>
      </c>
      <c r="H655" t="s">
        <v>5140</v>
      </c>
      <c r="I655" t="s">
        <v>5141</v>
      </c>
      <c r="J655">
        <v>88090</v>
      </c>
      <c r="K655" t="s">
        <v>1427</v>
      </c>
      <c r="L655" t="s">
        <v>82</v>
      </c>
      <c r="M655" t="s">
        <v>19</v>
      </c>
      <c r="N655">
        <v>45664</v>
      </c>
      <c r="O655">
        <v>1319</v>
      </c>
      <c r="P655" t="s">
        <v>20</v>
      </c>
      <c r="Q655">
        <v>2</v>
      </c>
      <c r="R655" t="s">
        <v>52</v>
      </c>
      <c r="S655" t="s">
        <v>21</v>
      </c>
      <c r="T655" t="s">
        <v>20</v>
      </c>
    </row>
    <row r="656" spans="1:20" x14ac:dyDescent="0.3">
      <c r="A656" t="s">
        <v>1428</v>
      </c>
      <c r="B656" t="s">
        <v>89</v>
      </c>
      <c r="C656" t="s">
        <v>219</v>
      </c>
      <c r="D656" t="s">
        <v>44</v>
      </c>
      <c r="E656" t="s">
        <v>126</v>
      </c>
      <c r="F656" t="s">
        <v>127</v>
      </c>
      <c r="G656" t="s">
        <v>36</v>
      </c>
      <c r="H656" t="s">
        <v>5140</v>
      </c>
      <c r="I656" t="s">
        <v>5141</v>
      </c>
      <c r="J656">
        <v>160952</v>
      </c>
      <c r="K656" t="s">
        <v>1429</v>
      </c>
      <c r="L656" t="s">
        <v>87</v>
      </c>
      <c r="M656" t="s">
        <v>19</v>
      </c>
      <c r="N656">
        <v>45636</v>
      </c>
      <c r="O656">
        <v>1522</v>
      </c>
      <c r="P656" t="s">
        <v>20</v>
      </c>
      <c r="Q656">
        <v>2</v>
      </c>
      <c r="R656" t="s">
        <v>40</v>
      </c>
      <c r="S656" t="s">
        <v>21</v>
      </c>
      <c r="T656" t="s">
        <v>20</v>
      </c>
    </row>
    <row r="657" spans="1:20" x14ac:dyDescent="0.3">
      <c r="A657" t="s">
        <v>1430</v>
      </c>
      <c r="B657" t="s">
        <v>55</v>
      </c>
      <c r="C657" t="s">
        <v>49</v>
      </c>
      <c r="D657" t="s">
        <v>68</v>
      </c>
      <c r="E657" t="s">
        <v>209</v>
      </c>
      <c r="F657" t="s">
        <v>210</v>
      </c>
      <c r="G657" t="s">
        <v>16</v>
      </c>
      <c r="H657" t="s">
        <v>5140</v>
      </c>
      <c r="I657" t="s">
        <v>5141</v>
      </c>
      <c r="J657">
        <v>111172</v>
      </c>
      <c r="K657" t="s">
        <v>1431</v>
      </c>
      <c r="L657" t="s">
        <v>238</v>
      </c>
      <c r="M657" t="s">
        <v>19</v>
      </c>
      <c r="N657">
        <v>45512</v>
      </c>
      <c r="O657">
        <v>407</v>
      </c>
      <c r="P657" t="s">
        <v>20</v>
      </c>
      <c r="Q657">
        <v>2</v>
      </c>
      <c r="R657" t="s">
        <v>47</v>
      </c>
      <c r="S657" t="s">
        <v>41</v>
      </c>
      <c r="T657" t="s">
        <v>20</v>
      </c>
    </row>
    <row r="658" spans="1:20" x14ac:dyDescent="0.3">
      <c r="A658" t="s">
        <v>1432</v>
      </c>
      <c r="B658" t="s">
        <v>215</v>
      </c>
      <c r="C658" t="s">
        <v>90</v>
      </c>
      <c r="D658" t="s">
        <v>44</v>
      </c>
      <c r="E658" t="s">
        <v>5126</v>
      </c>
      <c r="F658" t="s">
        <v>5125</v>
      </c>
      <c r="G658" t="s">
        <v>36</v>
      </c>
      <c r="H658" t="s">
        <v>5140</v>
      </c>
      <c r="I658" t="s">
        <v>5141</v>
      </c>
      <c r="J658">
        <v>110275</v>
      </c>
      <c r="K658" t="s">
        <v>1433</v>
      </c>
      <c r="L658" t="s">
        <v>38</v>
      </c>
      <c r="M658" t="s">
        <v>46</v>
      </c>
      <c r="N658">
        <v>45472</v>
      </c>
      <c r="O658">
        <v>2067</v>
      </c>
      <c r="P658" t="s">
        <v>20</v>
      </c>
      <c r="Q658">
        <v>2</v>
      </c>
      <c r="R658" t="s">
        <v>52</v>
      </c>
      <c r="S658" t="s">
        <v>21</v>
      </c>
      <c r="T658" t="s">
        <v>29</v>
      </c>
    </row>
    <row r="659" spans="1:20" x14ac:dyDescent="0.3">
      <c r="A659" t="s">
        <v>1434</v>
      </c>
      <c r="B659" t="s">
        <v>165</v>
      </c>
      <c r="C659" t="s">
        <v>64</v>
      </c>
      <c r="D659" t="s">
        <v>57</v>
      </c>
      <c r="E659" t="s">
        <v>34</v>
      </c>
      <c r="F659" t="s">
        <v>35</v>
      </c>
      <c r="G659" t="s">
        <v>16</v>
      </c>
      <c r="H659" t="s">
        <v>5142</v>
      </c>
      <c r="I659" t="s">
        <v>5143</v>
      </c>
      <c r="J659">
        <v>149348</v>
      </c>
      <c r="K659" t="s">
        <v>1435</v>
      </c>
      <c r="L659" t="s">
        <v>5165</v>
      </c>
      <c r="M659" t="s">
        <v>46</v>
      </c>
      <c r="N659">
        <v>45739</v>
      </c>
      <c r="O659">
        <v>1580</v>
      </c>
      <c r="P659" t="s">
        <v>20</v>
      </c>
      <c r="Q659">
        <v>4</v>
      </c>
      <c r="R659" t="s">
        <v>52</v>
      </c>
      <c r="S659" t="s">
        <v>41</v>
      </c>
      <c r="T659" t="s">
        <v>29</v>
      </c>
    </row>
    <row r="660" spans="1:20" x14ac:dyDescent="0.3">
      <c r="A660" t="s">
        <v>1436</v>
      </c>
      <c r="B660" t="s">
        <v>144</v>
      </c>
      <c r="C660" t="s">
        <v>24</v>
      </c>
      <c r="D660" t="s">
        <v>104</v>
      </c>
      <c r="E660" t="s">
        <v>58</v>
      </c>
      <c r="F660" t="s">
        <v>59</v>
      </c>
      <c r="G660" t="s">
        <v>36</v>
      </c>
      <c r="H660" t="s">
        <v>5140</v>
      </c>
      <c r="I660" t="s">
        <v>5141</v>
      </c>
      <c r="J660">
        <v>113922</v>
      </c>
      <c r="K660" t="s">
        <v>1437</v>
      </c>
      <c r="L660" t="s">
        <v>179</v>
      </c>
      <c r="M660" t="s">
        <v>19</v>
      </c>
      <c r="N660">
        <v>45549</v>
      </c>
      <c r="O660">
        <v>2813</v>
      </c>
      <c r="P660" t="s">
        <v>29</v>
      </c>
      <c r="Q660">
        <v>2</v>
      </c>
      <c r="R660" t="s">
        <v>40</v>
      </c>
      <c r="S660" t="s">
        <v>21</v>
      </c>
      <c r="T660" t="s">
        <v>20</v>
      </c>
    </row>
    <row r="661" spans="1:20" x14ac:dyDescent="0.3">
      <c r="A661" t="s">
        <v>1438</v>
      </c>
      <c r="B661" t="s">
        <v>130</v>
      </c>
      <c r="C661" t="s">
        <v>103</v>
      </c>
      <c r="D661" t="s">
        <v>5156</v>
      </c>
      <c r="E661" t="s">
        <v>95</v>
      </c>
      <c r="F661" t="s">
        <v>96</v>
      </c>
      <c r="G661" t="s">
        <v>36</v>
      </c>
      <c r="H661" t="s">
        <v>5140</v>
      </c>
      <c r="I661" t="s">
        <v>5141</v>
      </c>
      <c r="J661">
        <v>107141</v>
      </c>
      <c r="K661" t="s">
        <v>1439</v>
      </c>
      <c r="L661" t="s">
        <v>113</v>
      </c>
      <c r="M661" t="s">
        <v>19</v>
      </c>
      <c r="N661">
        <v>45662</v>
      </c>
      <c r="O661">
        <v>1890</v>
      </c>
      <c r="P661" t="s">
        <v>29</v>
      </c>
      <c r="Q661">
        <v>2</v>
      </c>
      <c r="R661" t="s">
        <v>76</v>
      </c>
      <c r="S661" t="s">
        <v>21</v>
      </c>
      <c r="T661" t="s">
        <v>29</v>
      </c>
    </row>
    <row r="662" spans="1:20" x14ac:dyDescent="0.3">
      <c r="A662" t="s">
        <v>1440</v>
      </c>
      <c r="B662" t="s">
        <v>215</v>
      </c>
      <c r="C662" t="s">
        <v>43</v>
      </c>
      <c r="D662" t="s">
        <v>140</v>
      </c>
      <c r="E662" t="s">
        <v>69</v>
      </c>
      <c r="F662" t="s">
        <v>70</v>
      </c>
      <c r="G662" t="s">
        <v>36</v>
      </c>
      <c r="H662" t="s">
        <v>5138</v>
      </c>
      <c r="I662" t="s">
        <v>5139</v>
      </c>
      <c r="J662">
        <v>179348</v>
      </c>
      <c r="K662" t="s">
        <v>1441</v>
      </c>
      <c r="L662" t="s">
        <v>179</v>
      </c>
      <c r="M662" t="s">
        <v>39</v>
      </c>
      <c r="N662">
        <v>45703</v>
      </c>
      <c r="O662">
        <v>3541</v>
      </c>
      <c r="P662" t="s">
        <v>20</v>
      </c>
      <c r="Q662">
        <v>6</v>
      </c>
      <c r="R662" t="s">
        <v>52</v>
      </c>
      <c r="S662" t="s">
        <v>41</v>
      </c>
      <c r="T662" t="s">
        <v>20</v>
      </c>
    </row>
    <row r="663" spans="1:20" x14ac:dyDescent="0.3">
      <c r="A663" t="s">
        <v>1442</v>
      </c>
      <c r="B663" t="s">
        <v>23</v>
      </c>
      <c r="C663" t="s">
        <v>172</v>
      </c>
      <c r="D663" t="s">
        <v>140</v>
      </c>
      <c r="E663" t="s">
        <v>209</v>
      </c>
      <c r="F663" t="s">
        <v>210</v>
      </c>
      <c r="G663" t="s">
        <v>36</v>
      </c>
      <c r="H663" t="s">
        <v>5136</v>
      </c>
      <c r="I663" t="s">
        <v>5137</v>
      </c>
      <c r="J663">
        <v>63109</v>
      </c>
      <c r="K663" t="s">
        <v>1443</v>
      </c>
      <c r="L663" t="s">
        <v>5165</v>
      </c>
      <c r="M663" t="s">
        <v>39</v>
      </c>
      <c r="N663">
        <v>45565</v>
      </c>
      <c r="O663">
        <v>1498</v>
      </c>
      <c r="P663" t="s">
        <v>20</v>
      </c>
      <c r="Q663">
        <v>0</v>
      </c>
      <c r="R663" t="s">
        <v>76</v>
      </c>
      <c r="S663" t="s">
        <v>21</v>
      </c>
      <c r="T663" t="s">
        <v>29</v>
      </c>
    </row>
    <row r="664" spans="1:20" x14ac:dyDescent="0.3">
      <c r="A664" t="s">
        <v>1444</v>
      </c>
      <c r="B664" t="s">
        <v>12</v>
      </c>
      <c r="C664" t="s">
        <v>202</v>
      </c>
      <c r="D664" t="s">
        <v>33</v>
      </c>
      <c r="E664" t="s">
        <v>58</v>
      </c>
      <c r="F664" t="s">
        <v>59</v>
      </c>
      <c r="G664" t="s">
        <v>50</v>
      </c>
      <c r="H664" t="s">
        <v>5136</v>
      </c>
      <c r="I664" t="s">
        <v>5137</v>
      </c>
      <c r="J664">
        <v>69587</v>
      </c>
      <c r="K664" t="s">
        <v>1445</v>
      </c>
      <c r="L664" t="s">
        <v>5165</v>
      </c>
      <c r="M664" t="s">
        <v>39</v>
      </c>
      <c r="N664">
        <v>45680</v>
      </c>
      <c r="O664">
        <v>1093</v>
      </c>
      <c r="P664" t="s">
        <v>29</v>
      </c>
      <c r="Q664">
        <v>0</v>
      </c>
      <c r="R664" t="s">
        <v>5116</v>
      </c>
      <c r="S664" t="s">
        <v>21</v>
      </c>
      <c r="T664" t="s">
        <v>20</v>
      </c>
    </row>
    <row r="665" spans="1:20" x14ac:dyDescent="0.3">
      <c r="A665" t="s">
        <v>1446</v>
      </c>
      <c r="B665" t="s">
        <v>84</v>
      </c>
      <c r="C665" t="s">
        <v>64</v>
      </c>
      <c r="D665" t="s">
        <v>118</v>
      </c>
      <c r="E665" t="s">
        <v>5124</v>
      </c>
      <c r="F665" t="s">
        <v>5125</v>
      </c>
      <c r="G665" t="s">
        <v>16</v>
      </c>
      <c r="H665" t="s">
        <v>5142</v>
      </c>
      <c r="I665" t="s">
        <v>5143</v>
      </c>
      <c r="J665">
        <v>135327</v>
      </c>
      <c r="K665" t="s">
        <v>1447</v>
      </c>
      <c r="L665" t="s">
        <v>179</v>
      </c>
      <c r="M665" t="s">
        <v>19</v>
      </c>
      <c r="N665">
        <v>45519</v>
      </c>
      <c r="O665">
        <v>116</v>
      </c>
      <c r="P665" t="s">
        <v>29</v>
      </c>
      <c r="Q665">
        <v>4</v>
      </c>
      <c r="R665" t="s">
        <v>40</v>
      </c>
      <c r="S665" t="s">
        <v>21</v>
      </c>
      <c r="T665" t="s">
        <v>20</v>
      </c>
    </row>
    <row r="666" spans="1:20" x14ac:dyDescent="0.3">
      <c r="A666" t="s">
        <v>1448</v>
      </c>
      <c r="B666" t="s">
        <v>74</v>
      </c>
      <c r="C666" t="s">
        <v>121</v>
      </c>
      <c r="D666" t="s">
        <v>140</v>
      </c>
      <c r="E666" t="s">
        <v>193</v>
      </c>
      <c r="F666" t="s">
        <v>194</v>
      </c>
      <c r="G666" t="s">
        <v>36</v>
      </c>
      <c r="H666" t="s">
        <v>5140</v>
      </c>
      <c r="I666" t="s">
        <v>5141</v>
      </c>
      <c r="J666">
        <v>95885</v>
      </c>
      <c r="K666" t="s">
        <v>1449</v>
      </c>
      <c r="L666" t="s">
        <v>113</v>
      </c>
      <c r="M666" t="s">
        <v>19</v>
      </c>
      <c r="N666">
        <v>45535</v>
      </c>
      <c r="O666">
        <v>124</v>
      </c>
      <c r="P666" t="s">
        <v>92</v>
      </c>
      <c r="Q666">
        <v>2</v>
      </c>
      <c r="R666" t="s">
        <v>76</v>
      </c>
      <c r="S666" t="s">
        <v>21</v>
      </c>
      <c r="T666" t="s">
        <v>20</v>
      </c>
    </row>
    <row r="667" spans="1:20" x14ac:dyDescent="0.3">
      <c r="A667" t="s">
        <v>1450</v>
      </c>
      <c r="B667" t="s">
        <v>31</v>
      </c>
      <c r="C667" t="s">
        <v>24</v>
      </c>
      <c r="D667" t="s">
        <v>68</v>
      </c>
      <c r="E667" t="s">
        <v>69</v>
      </c>
      <c r="F667" t="s">
        <v>70</v>
      </c>
      <c r="G667" t="s">
        <v>36</v>
      </c>
      <c r="H667" t="s">
        <v>5142</v>
      </c>
      <c r="I667" t="s">
        <v>5143</v>
      </c>
      <c r="J667">
        <v>152873</v>
      </c>
      <c r="K667" t="s">
        <v>1451</v>
      </c>
      <c r="L667" t="s">
        <v>87</v>
      </c>
      <c r="M667" t="s">
        <v>46</v>
      </c>
      <c r="N667">
        <v>45556</v>
      </c>
      <c r="O667">
        <v>2665</v>
      </c>
      <c r="P667" t="s">
        <v>29</v>
      </c>
      <c r="Q667">
        <v>4</v>
      </c>
      <c r="R667" t="s">
        <v>76</v>
      </c>
      <c r="S667" t="s">
        <v>21</v>
      </c>
      <c r="T667" t="s">
        <v>20</v>
      </c>
    </row>
    <row r="668" spans="1:20" x14ac:dyDescent="0.3">
      <c r="A668" t="s">
        <v>1452</v>
      </c>
      <c r="B668" t="s">
        <v>130</v>
      </c>
      <c r="C668" t="s">
        <v>151</v>
      </c>
      <c r="D668" t="s">
        <v>44</v>
      </c>
      <c r="E668" t="s">
        <v>5128</v>
      </c>
      <c r="F668" t="s">
        <v>5125</v>
      </c>
      <c r="G668" t="s">
        <v>16</v>
      </c>
      <c r="H668" t="s">
        <v>5136</v>
      </c>
      <c r="I668" t="s">
        <v>5137</v>
      </c>
      <c r="J668">
        <v>66787</v>
      </c>
      <c r="K668" t="s">
        <v>1453</v>
      </c>
      <c r="L668" t="s">
        <v>5165</v>
      </c>
      <c r="M668" t="s">
        <v>46</v>
      </c>
      <c r="N668">
        <v>45450</v>
      </c>
      <c r="O668">
        <v>2053</v>
      </c>
      <c r="P668" t="s">
        <v>20</v>
      </c>
      <c r="Q668">
        <v>0</v>
      </c>
      <c r="R668" t="s">
        <v>5116</v>
      </c>
      <c r="S668" t="s">
        <v>53</v>
      </c>
      <c r="T668" t="s">
        <v>20</v>
      </c>
    </row>
    <row r="669" spans="1:20" x14ac:dyDescent="0.3">
      <c r="A669" t="s">
        <v>1454</v>
      </c>
      <c r="B669" t="s">
        <v>124</v>
      </c>
      <c r="C669" t="s">
        <v>121</v>
      </c>
      <c r="D669" t="s">
        <v>68</v>
      </c>
      <c r="E669" t="s">
        <v>80</v>
      </c>
      <c r="F669" t="s">
        <v>80</v>
      </c>
      <c r="G669" t="s">
        <v>16</v>
      </c>
      <c r="H669" t="s">
        <v>5140</v>
      </c>
      <c r="I669" t="s">
        <v>5141</v>
      </c>
      <c r="J669">
        <v>139779</v>
      </c>
      <c r="K669" t="s">
        <v>1455</v>
      </c>
      <c r="L669" t="s">
        <v>87</v>
      </c>
      <c r="M669" t="s">
        <v>39</v>
      </c>
      <c r="N669">
        <v>45308</v>
      </c>
      <c r="O669">
        <v>1839</v>
      </c>
      <c r="P669" t="s">
        <v>20</v>
      </c>
      <c r="Q669">
        <v>2</v>
      </c>
      <c r="R669" t="s">
        <v>47</v>
      </c>
      <c r="S669" t="s">
        <v>21</v>
      </c>
      <c r="T669" t="s">
        <v>20</v>
      </c>
    </row>
    <row r="670" spans="1:20" x14ac:dyDescent="0.3">
      <c r="A670" t="s">
        <v>1456</v>
      </c>
      <c r="B670" t="s">
        <v>215</v>
      </c>
      <c r="C670" t="s">
        <v>100</v>
      </c>
      <c r="D670" t="s">
        <v>44</v>
      </c>
      <c r="E670" t="s">
        <v>26</v>
      </c>
      <c r="F670" t="s">
        <v>27</v>
      </c>
      <c r="G670" t="s">
        <v>36</v>
      </c>
      <c r="H670" t="s">
        <v>5140</v>
      </c>
      <c r="I670" t="s">
        <v>5141</v>
      </c>
      <c r="J670">
        <v>57510</v>
      </c>
      <c r="K670" t="s">
        <v>1457</v>
      </c>
      <c r="L670" t="s">
        <v>238</v>
      </c>
      <c r="M670" t="s">
        <v>72</v>
      </c>
      <c r="N670">
        <v>45525</v>
      </c>
      <c r="O670">
        <v>2150</v>
      </c>
      <c r="P670" t="s">
        <v>20</v>
      </c>
      <c r="Q670">
        <v>2</v>
      </c>
      <c r="R670" t="s">
        <v>47</v>
      </c>
      <c r="S670" t="s">
        <v>21</v>
      </c>
      <c r="T670" t="s">
        <v>20</v>
      </c>
    </row>
    <row r="671" spans="1:20" x14ac:dyDescent="0.3">
      <c r="A671" t="s">
        <v>1458</v>
      </c>
      <c r="B671" t="s">
        <v>136</v>
      </c>
      <c r="C671" t="s">
        <v>94</v>
      </c>
      <c r="D671" t="s">
        <v>57</v>
      </c>
      <c r="E671" t="s">
        <v>34</v>
      </c>
      <c r="F671" t="s">
        <v>35</v>
      </c>
      <c r="G671" t="s">
        <v>16</v>
      </c>
      <c r="H671" t="s">
        <v>5138</v>
      </c>
      <c r="I671" t="s">
        <v>5139</v>
      </c>
      <c r="J671">
        <v>239294</v>
      </c>
      <c r="K671" t="s">
        <v>1459</v>
      </c>
      <c r="L671" t="s">
        <v>82</v>
      </c>
      <c r="M671" t="s">
        <v>19</v>
      </c>
      <c r="N671">
        <v>45743</v>
      </c>
      <c r="O671">
        <v>419</v>
      </c>
      <c r="P671" t="s">
        <v>20</v>
      </c>
      <c r="Q671">
        <v>6</v>
      </c>
      <c r="R671" t="s">
        <v>47</v>
      </c>
      <c r="S671" t="s">
        <v>21</v>
      </c>
      <c r="T671" t="s">
        <v>29</v>
      </c>
    </row>
    <row r="672" spans="1:20" x14ac:dyDescent="0.3">
      <c r="A672" t="s">
        <v>1460</v>
      </c>
      <c r="B672" t="s">
        <v>144</v>
      </c>
      <c r="C672" t="s">
        <v>117</v>
      </c>
      <c r="D672" t="s">
        <v>25</v>
      </c>
      <c r="E672" t="s">
        <v>5129</v>
      </c>
      <c r="F672" t="s">
        <v>5130</v>
      </c>
      <c r="G672" t="s">
        <v>36</v>
      </c>
      <c r="H672" t="s">
        <v>5138</v>
      </c>
      <c r="I672" t="s">
        <v>5139</v>
      </c>
      <c r="J672">
        <v>244859</v>
      </c>
      <c r="K672" t="s">
        <v>1461</v>
      </c>
      <c r="L672" t="s">
        <v>5165</v>
      </c>
      <c r="M672" t="s">
        <v>39</v>
      </c>
      <c r="N672">
        <v>45518</v>
      </c>
      <c r="O672">
        <v>2027</v>
      </c>
      <c r="P672" t="s">
        <v>20</v>
      </c>
      <c r="Q672">
        <v>6</v>
      </c>
      <c r="R672" t="s">
        <v>40</v>
      </c>
      <c r="S672" t="s">
        <v>21</v>
      </c>
      <c r="T672" t="s">
        <v>20</v>
      </c>
    </row>
    <row r="673" spans="1:20" x14ac:dyDescent="0.3">
      <c r="A673" t="s">
        <v>1462</v>
      </c>
      <c r="B673" t="s">
        <v>74</v>
      </c>
      <c r="C673" t="s">
        <v>185</v>
      </c>
      <c r="D673" t="s">
        <v>57</v>
      </c>
      <c r="E673" t="s">
        <v>126</v>
      </c>
      <c r="F673" t="s">
        <v>127</v>
      </c>
      <c r="G673" t="s">
        <v>16</v>
      </c>
      <c r="H673" t="s">
        <v>5142</v>
      </c>
      <c r="I673" t="s">
        <v>5143</v>
      </c>
      <c r="J673">
        <v>94018</v>
      </c>
      <c r="K673" t="s">
        <v>1463</v>
      </c>
      <c r="L673" t="s">
        <v>87</v>
      </c>
      <c r="M673" t="s">
        <v>19</v>
      </c>
      <c r="N673">
        <v>45432</v>
      </c>
      <c r="O673">
        <v>3124</v>
      </c>
      <c r="P673" t="s">
        <v>20</v>
      </c>
      <c r="Q673">
        <v>4</v>
      </c>
      <c r="R673" t="s">
        <v>40</v>
      </c>
      <c r="S673" t="s">
        <v>21</v>
      </c>
      <c r="T673" t="s">
        <v>20</v>
      </c>
    </row>
    <row r="674" spans="1:20" x14ac:dyDescent="0.3">
      <c r="A674" t="s">
        <v>1464</v>
      </c>
      <c r="B674" t="s">
        <v>229</v>
      </c>
      <c r="C674" t="s">
        <v>185</v>
      </c>
      <c r="D674" t="s">
        <v>44</v>
      </c>
      <c r="E674" t="s">
        <v>80</v>
      </c>
      <c r="F674" t="s">
        <v>80</v>
      </c>
      <c r="G674" t="s">
        <v>36</v>
      </c>
      <c r="H674" t="s">
        <v>5140</v>
      </c>
      <c r="I674" t="s">
        <v>5141</v>
      </c>
      <c r="J674">
        <v>103214</v>
      </c>
      <c r="K674" t="s">
        <v>1465</v>
      </c>
      <c r="L674" t="s">
        <v>5165</v>
      </c>
      <c r="M674" t="s">
        <v>46</v>
      </c>
      <c r="N674">
        <v>45682</v>
      </c>
      <c r="O674">
        <v>2348</v>
      </c>
      <c r="P674" t="s">
        <v>20</v>
      </c>
      <c r="Q674">
        <v>2</v>
      </c>
      <c r="R674" t="s">
        <v>40</v>
      </c>
      <c r="S674" t="s">
        <v>21</v>
      </c>
      <c r="T674" t="s">
        <v>20</v>
      </c>
    </row>
    <row r="675" spans="1:20" x14ac:dyDescent="0.3">
      <c r="A675" t="s">
        <v>1466</v>
      </c>
      <c r="B675" t="s">
        <v>215</v>
      </c>
      <c r="C675" t="s">
        <v>185</v>
      </c>
      <c r="D675" t="s">
        <v>25</v>
      </c>
      <c r="E675" t="s">
        <v>209</v>
      </c>
      <c r="F675" t="s">
        <v>210</v>
      </c>
      <c r="G675" t="s">
        <v>36</v>
      </c>
      <c r="H675" t="s">
        <v>5140</v>
      </c>
      <c r="I675" t="s">
        <v>5141</v>
      </c>
      <c r="J675">
        <v>102645</v>
      </c>
      <c r="K675" t="s">
        <v>1467</v>
      </c>
      <c r="L675" t="s">
        <v>113</v>
      </c>
      <c r="M675" t="s">
        <v>46</v>
      </c>
      <c r="N675">
        <v>45458</v>
      </c>
      <c r="O675">
        <v>1376</v>
      </c>
      <c r="P675" t="s">
        <v>20</v>
      </c>
      <c r="Q675">
        <v>2</v>
      </c>
      <c r="R675" t="s">
        <v>40</v>
      </c>
      <c r="S675" t="s">
        <v>21</v>
      </c>
      <c r="T675" t="s">
        <v>29</v>
      </c>
    </row>
    <row r="676" spans="1:20" x14ac:dyDescent="0.3">
      <c r="A676" t="s">
        <v>1468</v>
      </c>
      <c r="B676" t="s">
        <v>130</v>
      </c>
      <c r="C676" t="s">
        <v>139</v>
      </c>
      <c r="D676" t="s">
        <v>25</v>
      </c>
      <c r="E676" t="s">
        <v>5132</v>
      </c>
      <c r="F676" t="s">
        <v>5125</v>
      </c>
      <c r="G676" t="s">
        <v>36</v>
      </c>
      <c r="H676" t="s">
        <v>5138</v>
      </c>
      <c r="I676" t="s">
        <v>5139</v>
      </c>
      <c r="J676">
        <v>149329</v>
      </c>
      <c r="K676" t="s">
        <v>1469</v>
      </c>
      <c r="L676" t="s">
        <v>5165</v>
      </c>
      <c r="M676" t="s">
        <v>19</v>
      </c>
      <c r="N676">
        <v>45498</v>
      </c>
      <c r="O676">
        <v>864</v>
      </c>
      <c r="P676" t="s">
        <v>20</v>
      </c>
      <c r="Q676">
        <v>6</v>
      </c>
      <c r="R676" t="s">
        <v>40</v>
      </c>
      <c r="S676" t="s">
        <v>21</v>
      </c>
      <c r="T676" t="s">
        <v>29</v>
      </c>
    </row>
    <row r="677" spans="1:20" x14ac:dyDescent="0.3">
      <c r="A677" t="s">
        <v>1470</v>
      </c>
      <c r="B677" t="s">
        <v>229</v>
      </c>
      <c r="C677" t="s">
        <v>94</v>
      </c>
      <c r="D677" t="s">
        <v>44</v>
      </c>
      <c r="E677" t="s">
        <v>5126</v>
      </c>
      <c r="F677" t="s">
        <v>5125</v>
      </c>
      <c r="G677" t="s">
        <v>16</v>
      </c>
      <c r="H677" t="s">
        <v>5138</v>
      </c>
      <c r="I677" t="s">
        <v>5139</v>
      </c>
      <c r="J677">
        <v>171998</v>
      </c>
      <c r="K677" t="s">
        <v>1471</v>
      </c>
      <c r="L677" t="s">
        <v>113</v>
      </c>
      <c r="M677" t="s">
        <v>19</v>
      </c>
      <c r="N677">
        <v>45578</v>
      </c>
      <c r="O677">
        <v>2970</v>
      </c>
      <c r="P677" t="s">
        <v>20</v>
      </c>
      <c r="Q677">
        <v>6</v>
      </c>
      <c r="R677" t="s">
        <v>76</v>
      </c>
      <c r="S677" t="s">
        <v>21</v>
      </c>
      <c r="T677" t="s">
        <v>20</v>
      </c>
    </row>
    <row r="678" spans="1:20" x14ac:dyDescent="0.3">
      <c r="A678" t="s">
        <v>1472</v>
      </c>
      <c r="B678" t="s">
        <v>222</v>
      </c>
      <c r="C678" t="s">
        <v>232</v>
      </c>
      <c r="D678" t="s">
        <v>25</v>
      </c>
      <c r="E678" t="s">
        <v>152</v>
      </c>
      <c r="F678" t="s">
        <v>153</v>
      </c>
      <c r="G678" t="s">
        <v>16</v>
      </c>
      <c r="H678" t="s">
        <v>5138</v>
      </c>
      <c r="I678" t="s">
        <v>5139</v>
      </c>
      <c r="J678">
        <v>160019</v>
      </c>
      <c r="K678" t="s">
        <v>1473</v>
      </c>
      <c r="L678" t="s">
        <v>82</v>
      </c>
      <c r="M678" t="s">
        <v>19</v>
      </c>
      <c r="N678">
        <v>45602</v>
      </c>
      <c r="O678">
        <v>3617</v>
      </c>
      <c r="P678" t="s">
        <v>20</v>
      </c>
      <c r="Q678">
        <v>6</v>
      </c>
      <c r="R678" t="s">
        <v>40</v>
      </c>
      <c r="S678" t="s">
        <v>41</v>
      </c>
      <c r="T678" t="s">
        <v>20</v>
      </c>
    </row>
    <row r="679" spans="1:20" x14ac:dyDescent="0.3">
      <c r="A679" t="s">
        <v>1474</v>
      </c>
      <c r="B679" t="s">
        <v>55</v>
      </c>
      <c r="C679" t="s">
        <v>109</v>
      </c>
      <c r="D679" t="s">
        <v>25</v>
      </c>
      <c r="E679" t="s">
        <v>193</v>
      </c>
      <c r="F679" t="s">
        <v>194</v>
      </c>
      <c r="G679" t="s">
        <v>16</v>
      </c>
      <c r="H679" t="s">
        <v>5140</v>
      </c>
      <c r="I679" t="s">
        <v>5141</v>
      </c>
      <c r="J679">
        <v>144694</v>
      </c>
      <c r="K679" t="s">
        <v>1475</v>
      </c>
      <c r="L679" t="s">
        <v>87</v>
      </c>
      <c r="M679" t="s">
        <v>46</v>
      </c>
      <c r="N679">
        <v>45394</v>
      </c>
      <c r="O679">
        <v>3172</v>
      </c>
      <c r="P679" t="s">
        <v>20</v>
      </c>
      <c r="Q679">
        <v>2</v>
      </c>
      <c r="R679" t="s">
        <v>40</v>
      </c>
      <c r="S679" t="s">
        <v>41</v>
      </c>
      <c r="T679" t="s">
        <v>29</v>
      </c>
    </row>
    <row r="680" spans="1:20" x14ac:dyDescent="0.3">
      <c r="A680" t="s">
        <v>1476</v>
      </c>
      <c r="B680" t="s">
        <v>165</v>
      </c>
      <c r="C680" t="s">
        <v>202</v>
      </c>
      <c r="D680" t="s">
        <v>44</v>
      </c>
      <c r="E680" t="s">
        <v>95</v>
      </c>
      <c r="F680" t="s">
        <v>96</v>
      </c>
      <c r="G680" t="s">
        <v>16</v>
      </c>
      <c r="H680" t="s">
        <v>5140</v>
      </c>
      <c r="I680" t="s">
        <v>5141</v>
      </c>
      <c r="J680">
        <v>128526</v>
      </c>
      <c r="K680" t="s">
        <v>1477</v>
      </c>
      <c r="L680" t="s">
        <v>179</v>
      </c>
      <c r="M680" t="s">
        <v>46</v>
      </c>
      <c r="N680">
        <v>45408</v>
      </c>
      <c r="O680">
        <v>1633</v>
      </c>
      <c r="P680" t="s">
        <v>20</v>
      </c>
      <c r="Q680">
        <v>2</v>
      </c>
      <c r="R680" t="s">
        <v>5116</v>
      </c>
      <c r="S680" t="s">
        <v>53</v>
      </c>
      <c r="T680" t="s">
        <v>29</v>
      </c>
    </row>
    <row r="681" spans="1:20" x14ac:dyDescent="0.3">
      <c r="A681" t="s">
        <v>1478</v>
      </c>
      <c r="B681" t="s">
        <v>124</v>
      </c>
      <c r="C681" t="s">
        <v>100</v>
      </c>
      <c r="D681" t="s">
        <v>44</v>
      </c>
      <c r="E681" t="s">
        <v>5132</v>
      </c>
      <c r="F681" t="s">
        <v>5125</v>
      </c>
      <c r="G681" t="s">
        <v>36</v>
      </c>
      <c r="H681" t="s">
        <v>5142</v>
      </c>
      <c r="I681" t="s">
        <v>5143</v>
      </c>
      <c r="J681">
        <v>184331</v>
      </c>
      <c r="K681" t="s">
        <v>1479</v>
      </c>
      <c r="L681" t="s">
        <v>142</v>
      </c>
      <c r="M681" t="s">
        <v>46</v>
      </c>
      <c r="N681">
        <v>45308</v>
      </c>
      <c r="O681">
        <v>2188</v>
      </c>
      <c r="P681" t="s">
        <v>29</v>
      </c>
      <c r="Q681">
        <v>4</v>
      </c>
      <c r="R681" t="s">
        <v>76</v>
      </c>
      <c r="S681" t="s">
        <v>53</v>
      </c>
      <c r="T681" t="s">
        <v>29</v>
      </c>
    </row>
    <row r="682" spans="1:20" x14ac:dyDescent="0.3">
      <c r="A682" t="s">
        <v>1480</v>
      </c>
      <c r="B682" t="s">
        <v>165</v>
      </c>
      <c r="C682" t="s">
        <v>90</v>
      </c>
      <c r="D682" t="s">
        <v>104</v>
      </c>
      <c r="E682" t="s">
        <v>5128</v>
      </c>
      <c r="F682" t="s">
        <v>5125</v>
      </c>
      <c r="G682" t="s">
        <v>36</v>
      </c>
      <c r="H682" t="s">
        <v>5140</v>
      </c>
      <c r="I682" t="s">
        <v>5141</v>
      </c>
      <c r="J682">
        <v>124289</v>
      </c>
      <c r="K682" t="s">
        <v>1481</v>
      </c>
      <c r="L682" t="s">
        <v>61</v>
      </c>
      <c r="M682" t="s">
        <v>46</v>
      </c>
      <c r="N682">
        <v>45512</v>
      </c>
      <c r="O682">
        <v>3209</v>
      </c>
      <c r="P682" t="s">
        <v>20</v>
      </c>
      <c r="Q682">
        <v>2</v>
      </c>
      <c r="R682" t="s">
        <v>52</v>
      </c>
      <c r="S682" t="s">
        <v>53</v>
      </c>
      <c r="T682" t="s">
        <v>29</v>
      </c>
    </row>
    <row r="683" spans="1:20" x14ac:dyDescent="0.3">
      <c r="A683" t="s">
        <v>1482</v>
      </c>
      <c r="B683" t="s">
        <v>74</v>
      </c>
      <c r="C683" t="s">
        <v>32</v>
      </c>
      <c r="D683" t="s">
        <v>167</v>
      </c>
      <c r="E683" t="s">
        <v>209</v>
      </c>
      <c r="F683" t="s">
        <v>210</v>
      </c>
      <c r="G683" t="s">
        <v>50</v>
      </c>
      <c r="H683" t="s">
        <v>5136</v>
      </c>
      <c r="I683" t="s">
        <v>5137</v>
      </c>
      <c r="J683">
        <v>55773</v>
      </c>
      <c r="K683" t="s">
        <v>1483</v>
      </c>
      <c r="L683" t="s">
        <v>238</v>
      </c>
      <c r="M683" t="s">
        <v>46</v>
      </c>
      <c r="N683">
        <v>45301</v>
      </c>
      <c r="O683">
        <v>3163</v>
      </c>
      <c r="P683" t="s">
        <v>20</v>
      </c>
      <c r="Q683">
        <v>0</v>
      </c>
      <c r="R683" t="s">
        <v>40</v>
      </c>
      <c r="S683" t="s">
        <v>53</v>
      </c>
      <c r="T683" t="s">
        <v>20</v>
      </c>
    </row>
    <row r="684" spans="1:20" x14ac:dyDescent="0.3">
      <c r="A684" t="s">
        <v>1484</v>
      </c>
      <c r="B684" t="s">
        <v>136</v>
      </c>
      <c r="C684" t="s">
        <v>125</v>
      </c>
      <c r="D684" t="s">
        <v>118</v>
      </c>
      <c r="E684" t="s">
        <v>80</v>
      </c>
      <c r="F684" t="s">
        <v>80</v>
      </c>
      <c r="G684" t="s">
        <v>36</v>
      </c>
      <c r="H684" t="s">
        <v>5140</v>
      </c>
      <c r="I684" t="s">
        <v>5141</v>
      </c>
      <c r="J684">
        <v>99614</v>
      </c>
      <c r="K684" t="s">
        <v>1485</v>
      </c>
      <c r="L684" t="s">
        <v>5165</v>
      </c>
      <c r="M684" t="s">
        <v>46</v>
      </c>
      <c r="N684">
        <v>45397</v>
      </c>
      <c r="O684">
        <v>1351</v>
      </c>
      <c r="P684" t="s">
        <v>92</v>
      </c>
      <c r="Q684">
        <v>2</v>
      </c>
      <c r="R684" t="s">
        <v>47</v>
      </c>
      <c r="S684" t="s">
        <v>21</v>
      </c>
      <c r="T684" t="s">
        <v>29</v>
      </c>
    </row>
    <row r="685" spans="1:20" x14ac:dyDescent="0.3">
      <c r="A685" t="s">
        <v>1486</v>
      </c>
      <c r="B685" t="s">
        <v>215</v>
      </c>
      <c r="C685" t="s">
        <v>49</v>
      </c>
      <c r="D685" t="s">
        <v>5156</v>
      </c>
      <c r="E685" t="s">
        <v>14</v>
      </c>
      <c r="F685" t="s">
        <v>15</v>
      </c>
      <c r="G685" t="s">
        <v>16</v>
      </c>
      <c r="H685" t="s">
        <v>5138</v>
      </c>
      <c r="I685" t="s">
        <v>5139</v>
      </c>
      <c r="J685">
        <v>217617</v>
      </c>
      <c r="K685" t="s">
        <v>1487</v>
      </c>
      <c r="L685" t="s">
        <v>5165</v>
      </c>
      <c r="M685" t="s">
        <v>46</v>
      </c>
      <c r="N685">
        <v>45403</v>
      </c>
      <c r="O685">
        <v>1568</v>
      </c>
      <c r="P685" t="s">
        <v>29</v>
      </c>
      <c r="Q685">
        <v>6</v>
      </c>
      <c r="R685" t="s">
        <v>52</v>
      </c>
      <c r="S685" t="s">
        <v>21</v>
      </c>
      <c r="T685" t="s">
        <v>29</v>
      </c>
    </row>
    <row r="686" spans="1:20" x14ac:dyDescent="0.3">
      <c r="A686" t="s">
        <v>1488</v>
      </c>
      <c r="B686" t="s">
        <v>130</v>
      </c>
      <c r="C686" t="s">
        <v>100</v>
      </c>
      <c r="D686" t="s">
        <v>104</v>
      </c>
      <c r="E686" t="s">
        <v>5128</v>
      </c>
      <c r="F686" t="s">
        <v>5125</v>
      </c>
      <c r="G686" t="s">
        <v>50</v>
      </c>
      <c r="H686" t="s">
        <v>5136</v>
      </c>
      <c r="I686" t="s">
        <v>5137</v>
      </c>
      <c r="J686">
        <v>54601</v>
      </c>
      <c r="K686" t="s">
        <v>1489</v>
      </c>
      <c r="L686" t="s">
        <v>5165</v>
      </c>
      <c r="M686" t="s">
        <v>46</v>
      </c>
      <c r="N686">
        <v>45551</v>
      </c>
      <c r="O686">
        <v>1710</v>
      </c>
      <c r="P686" t="s">
        <v>29</v>
      </c>
      <c r="Q686">
        <v>0</v>
      </c>
      <c r="R686" t="s">
        <v>5116</v>
      </c>
      <c r="S686" t="s">
        <v>53</v>
      </c>
      <c r="T686" t="s">
        <v>29</v>
      </c>
    </row>
    <row r="687" spans="1:20" x14ac:dyDescent="0.3">
      <c r="A687" t="s">
        <v>1490</v>
      </c>
      <c r="B687" t="s">
        <v>31</v>
      </c>
      <c r="C687" t="s">
        <v>13</v>
      </c>
      <c r="D687" t="s">
        <v>25</v>
      </c>
      <c r="E687" t="s">
        <v>34</v>
      </c>
      <c r="F687" t="s">
        <v>35</v>
      </c>
      <c r="G687" t="s">
        <v>16</v>
      </c>
      <c r="H687" t="s">
        <v>5136</v>
      </c>
      <c r="I687" t="s">
        <v>5137</v>
      </c>
      <c r="J687">
        <v>78983</v>
      </c>
      <c r="K687" t="s">
        <v>1491</v>
      </c>
      <c r="L687" t="s">
        <v>5165</v>
      </c>
      <c r="M687" t="s">
        <v>19</v>
      </c>
      <c r="N687">
        <v>45486</v>
      </c>
      <c r="O687">
        <v>2674</v>
      </c>
      <c r="P687" t="s">
        <v>20</v>
      </c>
      <c r="Q687">
        <v>0</v>
      </c>
      <c r="R687" t="s">
        <v>52</v>
      </c>
      <c r="S687" t="s">
        <v>53</v>
      </c>
      <c r="T687" t="s">
        <v>29</v>
      </c>
    </row>
    <row r="688" spans="1:20" x14ac:dyDescent="0.3">
      <c r="A688" t="s">
        <v>1492</v>
      </c>
      <c r="B688" t="s">
        <v>31</v>
      </c>
      <c r="C688" t="s">
        <v>64</v>
      </c>
      <c r="D688" t="s">
        <v>5156</v>
      </c>
      <c r="E688" t="s">
        <v>5127</v>
      </c>
      <c r="F688" t="s">
        <v>5125</v>
      </c>
      <c r="G688" t="s">
        <v>16</v>
      </c>
      <c r="H688" t="s">
        <v>5142</v>
      </c>
      <c r="I688" t="s">
        <v>5143</v>
      </c>
      <c r="J688">
        <v>143511</v>
      </c>
      <c r="K688" t="s">
        <v>1493</v>
      </c>
      <c r="L688" t="s">
        <v>82</v>
      </c>
      <c r="M688" t="s">
        <v>19</v>
      </c>
      <c r="N688">
        <v>45419</v>
      </c>
      <c r="O688">
        <v>3558</v>
      </c>
      <c r="P688" t="s">
        <v>20</v>
      </c>
      <c r="Q688">
        <v>4</v>
      </c>
      <c r="R688" t="s">
        <v>40</v>
      </c>
      <c r="S688" t="s">
        <v>21</v>
      </c>
      <c r="T688" t="s">
        <v>29</v>
      </c>
    </row>
    <row r="689" spans="1:20" x14ac:dyDescent="0.3">
      <c r="A689" t="s">
        <v>1494</v>
      </c>
      <c r="B689" t="s">
        <v>215</v>
      </c>
      <c r="C689" t="s">
        <v>151</v>
      </c>
      <c r="D689" t="s">
        <v>118</v>
      </c>
      <c r="E689" t="s">
        <v>95</v>
      </c>
      <c r="F689" t="s">
        <v>96</v>
      </c>
      <c r="G689" t="s">
        <v>16</v>
      </c>
      <c r="H689" t="s">
        <v>5138</v>
      </c>
      <c r="I689" t="s">
        <v>5139</v>
      </c>
      <c r="J689">
        <v>186506</v>
      </c>
      <c r="K689" t="s">
        <v>1495</v>
      </c>
      <c r="L689" t="s">
        <v>142</v>
      </c>
      <c r="M689" t="s">
        <v>19</v>
      </c>
      <c r="N689">
        <v>45557</v>
      </c>
      <c r="O689">
        <v>1263</v>
      </c>
      <c r="P689" t="s">
        <v>20</v>
      </c>
      <c r="Q689">
        <v>6</v>
      </c>
      <c r="R689" t="s">
        <v>40</v>
      </c>
      <c r="S689" t="s">
        <v>53</v>
      </c>
      <c r="T689" t="s">
        <v>29</v>
      </c>
    </row>
    <row r="690" spans="1:20" x14ac:dyDescent="0.3">
      <c r="A690" t="s">
        <v>1496</v>
      </c>
      <c r="B690" t="s">
        <v>229</v>
      </c>
      <c r="C690" t="s">
        <v>100</v>
      </c>
      <c r="D690" t="s">
        <v>68</v>
      </c>
      <c r="E690" t="s">
        <v>5132</v>
      </c>
      <c r="F690" t="s">
        <v>5125</v>
      </c>
      <c r="G690" t="s">
        <v>16</v>
      </c>
      <c r="H690" t="s">
        <v>5136</v>
      </c>
      <c r="I690" t="s">
        <v>5137</v>
      </c>
      <c r="J690">
        <v>78958</v>
      </c>
      <c r="K690" t="s">
        <v>1497</v>
      </c>
      <c r="L690" t="s">
        <v>18</v>
      </c>
      <c r="M690" t="s">
        <v>19</v>
      </c>
      <c r="N690">
        <v>45747</v>
      </c>
      <c r="O690">
        <v>71</v>
      </c>
      <c r="P690" t="s">
        <v>20</v>
      </c>
      <c r="Q690">
        <v>0</v>
      </c>
      <c r="R690" t="s">
        <v>47</v>
      </c>
      <c r="S690" t="s">
        <v>21</v>
      </c>
      <c r="T690" t="s">
        <v>20</v>
      </c>
    </row>
    <row r="691" spans="1:20" x14ac:dyDescent="0.3">
      <c r="A691" t="s">
        <v>1498</v>
      </c>
      <c r="B691" t="s">
        <v>12</v>
      </c>
      <c r="C691" t="s">
        <v>202</v>
      </c>
      <c r="D691" t="s">
        <v>167</v>
      </c>
      <c r="E691" t="s">
        <v>34</v>
      </c>
      <c r="F691" t="s">
        <v>35</v>
      </c>
      <c r="G691" t="s">
        <v>50</v>
      </c>
      <c r="H691" t="s">
        <v>5138</v>
      </c>
      <c r="I691" t="s">
        <v>5139</v>
      </c>
      <c r="J691">
        <v>215993</v>
      </c>
      <c r="K691" t="s">
        <v>1499</v>
      </c>
      <c r="L691" t="s">
        <v>113</v>
      </c>
      <c r="M691" t="s">
        <v>46</v>
      </c>
      <c r="N691">
        <v>45730</v>
      </c>
      <c r="O691">
        <v>3929</v>
      </c>
      <c r="P691" t="s">
        <v>20</v>
      </c>
      <c r="Q691">
        <v>6</v>
      </c>
      <c r="R691" t="s">
        <v>5116</v>
      </c>
      <c r="S691" t="s">
        <v>21</v>
      </c>
      <c r="T691" t="s">
        <v>20</v>
      </c>
    </row>
    <row r="692" spans="1:20" x14ac:dyDescent="0.3">
      <c r="A692" t="s">
        <v>1500</v>
      </c>
      <c r="B692" t="s">
        <v>136</v>
      </c>
      <c r="C692" t="s">
        <v>172</v>
      </c>
      <c r="D692" t="s">
        <v>104</v>
      </c>
      <c r="E692" t="s">
        <v>58</v>
      </c>
      <c r="F692" t="s">
        <v>59</v>
      </c>
      <c r="G692" t="s">
        <v>16</v>
      </c>
      <c r="H692" t="s">
        <v>5140</v>
      </c>
      <c r="I692" t="s">
        <v>5141</v>
      </c>
      <c r="J692">
        <v>102852</v>
      </c>
      <c r="K692" t="s">
        <v>1501</v>
      </c>
      <c r="L692" t="s">
        <v>134</v>
      </c>
      <c r="M692" t="s">
        <v>19</v>
      </c>
      <c r="N692">
        <v>45358</v>
      </c>
      <c r="O692">
        <v>1036</v>
      </c>
      <c r="P692" t="s">
        <v>29</v>
      </c>
      <c r="Q692">
        <v>2</v>
      </c>
      <c r="R692" t="s">
        <v>40</v>
      </c>
      <c r="S692" t="s">
        <v>21</v>
      </c>
      <c r="T692" t="s">
        <v>20</v>
      </c>
    </row>
    <row r="693" spans="1:20" x14ac:dyDescent="0.3">
      <c r="A693" t="s">
        <v>1502</v>
      </c>
      <c r="B693" t="s">
        <v>136</v>
      </c>
      <c r="C693" t="s">
        <v>151</v>
      </c>
      <c r="D693" t="s">
        <v>140</v>
      </c>
      <c r="E693" t="s">
        <v>58</v>
      </c>
      <c r="F693" t="s">
        <v>59</v>
      </c>
      <c r="G693" t="s">
        <v>16</v>
      </c>
      <c r="H693" t="s">
        <v>5142</v>
      </c>
      <c r="I693" t="s">
        <v>5143</v>
      </c>
      <c r="J693">
        <v>181301</v>
      </c>
      <c r="K693" t="s">
        <v>1503</v>
      </c>
      <c r="L693" t="s">
        <v>5165</v>
      </c>
      <c r="M693" t="s">
        <v>46</v>
      </c>
      <c r="N693">
        <v>45483</v>
      </c>
      <c r="O693">
        <v>756</v>
      </c>
      <c r="P693" t="s">
        <v>29</v>
      </c>
      <c r="Q693">
        <v>4</v>
      </c>
      <c r="R693" t="s">
        <v>5116</v>
      </c>
      <c r="S693" t="s">
        <v>53</v>
      </c>
      <c r="T693" t="s">
        <v>29</v>
      </c>
    </row>
    <row r="694" spans="1:20" x14ac:dyDescent="0.3">
      <c r="A694" t="s">
        <v>1504</v>
      </c>
      <c r="B694" t="s">
        <v>130</v>
      </c>
      <c r="C694" t="s">
        <v>139</v>
      </c>
      <c r="D694" t="s">
        <v>104</v>
      </c>
      <c r="E694" t="s">
        <v>5132</v>
      </c>
      <c r="F694" t="s">
        <v>5125</v>
      </c>
      <c r="G694" t="s">
        <v>36</v>
      </c>
      <c r="H694" t="s">
        <v>5142</v>
      </c>
      <c r="I694" t="s">
        <v>5143</v>
      </c>
      <c r="J694">
        <v>120811</v>
      </c>
      <c r="K694" t="s">
        <v>1505</v>
      </c>
      <c r="L694" t="s">
        <v>238</v>
      </c>
      <c r="M694" t="s">
        <v>19</v>
      </c>
      <c r="N694">
        <v>45539</v>
      </c>
      <c r="O694">
        <v>492</v>
      </c>
      <c r="P694" t="s">
        <v>20</v>
      </c>
      <c r="Q694">
        <v>4</v>
      </c>
      <c r="R694" t="s">
        <v>76</v>
      </c>
      <c r="S694" t="s">
        <v>41</v>
      </c>
      <c r="T694" t="s">
        <v>29</v>
      </c>
    </row>
    <row r="695" spans="1:20" x14ac:dyDescent="0.3">
      <c r="A695" t="s">
        <v>1506</v>
      </c>
      <c r="B695" t="s">
        <v>215</v>
      </c>
      <c r="C695" t="s">
        <v>13</v>
      </c>
      <c r="D695" t="s">
        <v>5156</v>
      </c>
      <c r="E695" t="s">
        <v>5124</v>
      </c>
      <c r="F695" t="s">
        <v>5125</v>
      </c>
      <c r="G695" t="s">
        <v>50</v>
      </c>
      <c r="H695" t="s">
        <v>5142</v>
      </c>
      <c r="I695" t="s">
        <v>5143</v>
      </c>
      <c r="J695">
        <v>166630</v>
      </c>
      <c r="K695" t="s">
        <v>1507</v>
      </c>
      <c r="L695" t="s">
        <v>38</v>
      </c>
      <c r="M695" t="s">
        <v>72</v>
      </c>
      <c r="N695">
        <v>45541</v>
      </c>
      <c r="O695">
        <v>397</v>
      </c>
      <c r="P695" t="s">
        <v>29</v>
      </c>
      <c r="Q695">
        <v>4</v>
      </c>
      <c r="R695" t="s">
        <v>52</v>
      </c>
      <c r="S695" t="s">
        <v>53</v>
      </c>
      <c r="T695" t="s">
        <v>29</v>
      </c>
    </row>
    <row r="696" spans="1:20" x14ac:dyDescent="0.3">
      <c r="A696" t="s">
        <v>1508</v>
      </c>
      <c r="B696" t="s">
        <v>74</v>
      </c>
      <c r="C696" t="s">
        <v>64</v>
      </c>
      <c r="D696" t="s">
        <v>5156</v>
      </c>
      <c r="E696" t="s">
        <v>5133</v>
      </c>
      <c r="F696" t="s">
        <v>5125</v>
      </c>
      <c r="G696" t="s">
        <v>16</v>
      </c>
      <c r="H696" t="s">
        <v>5140</v>
      </c>
      <c r="I696" t="s">
        <v>5141</v>
      </c>
      <c r="J696">
        <v>121743</v>
      </c>
      <c r="K696" t="s">
        <v>1509</v>
      </c>
      <c r="L696" t="s">
        <v>238</v>
      </c>
      <c r="M696" t="s">
        <v>19</v>
      </c>
      <c r="N696">
        <v>45515</v>
      </c>
      <c r="O696">
        <v>2162</v>
      </c>
      <c r="P696" t="s">
        <v>20</v>
      </c>
      <c r="Q696">
        <v>2</v>
      </c>
      <c r="R696" t="s">
        <v>47</v>
      </c>
      <c r="S696" t="s">
        <v>21</v>
      </c>
      <c r="T696" t="s">
        <v>20</v>
      </c>
    </row>
    <row r="697" spans="1:20" x14ac:dyDescent="0.3">
      <c r="A697" t="s">
        <v>1510</v>
      </c>
      <c r="B697" t="s">
        <v>222</v>
      </c>
      <c r="C697" t="s">
        <v>85</v>
      </c>
      <c r="D697" t="s">
        <v>118</v>
      </c>
      <c r="E697" t="s">
        <v>126</v>
      </c>
      <c r="F697" t="s">
        <v>127</v>
      </c>
      <c r="G697" t="s">
        <v>16</v>
      </c>
      <c r="H697" t="s">
        <v>5142</v>
      </c>
      <c r="I697" t="s">
        <v>5143</v>
      </c>
      <c r="J697">
        <v>141642</v>
      </c>
      <c r="K697" t="s">
        <v>1511</v>
      </c>
      <c r="L697" t="s">
        <v>18</v>
      </c>
      <c r="M697" t="s">
        <v>46</v>
      </c>
      <c r="N697">
        <v>45563</v>
      </c>
      <c r="O697">
        <v>3525</v>
      </c>
      <c r="P697" t="s">
        <v>29</v>
      </c>
      <c r="Q697">
        <v>4</v>
      </c>
      <c r="R697" t="s">
        <v>5116</v>
      </c>
      <c r="S697" t="s">
        <v>41</v>
      </c>
      <c r="T697" t="s">
        <v>20</v>
      </c>
    </row>
    <row r="698" spans="1:20" x14ac:dyDescent="0.3">
      <c r="A698" t="s">
        <v>1512</v>
      </c>
      <c r="B698" t="s">
        <v>74</v>
      </c>
      <c r="C698" t="s">
        <v>43</v>
      </c>
      <c r="D698" t="s">
        <v>25</v>
      </c>
      <c r="E698" t="s">
        <v>69</v>
      </c>
      <c r="F698" t="s">
        <v>70</v>
      </c>
      <c r="G698" t="s">
        <v>50</v>
      </c>
      <c r="H698" t="s">
        <v>5138</v>
      </c>
      <c r="I698" t="s">
        <v>5139</v>
      </c>
      <c r="J698">
        <v>211740</v>
      </c>
      <c r="K698" t="s">
        <v>1513</v>
      </c>
      <c r="L698" t="s">
        <v>87</v>
      </c>
      <c r="M698" t="s">
        <v>19</v>
      </c>
      <c r="N698">
        <v>45535</v>
      </c>
      <c r="O698">
        <v>252</v>
      </c>
      <c r="P698" t="s">
        <v>20</v>
      </c>
      <c r="Q698">
        <v>6</v>
      </c>
      <c r="R698" t="s">
        <v>47</v>
      </c>
      <c r="S698" t="s">
        <v>21</v>
      </c>
      <c r="T698" t="s">
        <v>20</v>
      </c>
    </row>
    <row r="699" spans="1:20" x14ac:dyDescent="0.3">
      <c r="A699" t="s">
        <v>1514</v>
      </c>
      <c r="B699" t="s">
        <v>84</v>
      </c>
      <c r="C699" t="s">
        <v>94</v>
      </c>
      <c r="D699" t="s">
        <v>104</v>
      </c>
      <c r="E699" t="s">
        <v>95</v>
      </c>
      <c r="F699" t="s">
        <v>96</v>
      </c>
      <c r="G699" t="s">
        <v>36</v>
      </c>
      <c r="H699" t="s">
        <v>5138</v>
      </c>
      <c r="I699" t="s">
        <v>5139</v>
      </c>
      <c r="J699">
        <v>154959</v>
      </c>
      <c r="K699" t="s">
        <v>1515</v>
      </c>
      <c r="L699" t="s">
        <v>134</v>
      </c>
      <c r="M699" t="s">
        <v>72</v>
      </c>
      <c r="N699">
        <v>45492</v>
      </c>
      <c r="O699">
        <v>853</v>
      </c>
      <c r="P699" t="s">
        <v>20</v>
      </c>
      <c r="Q699">
        <v>6</v>
      </c>
      <c r="R699" t="s">
        <v>40</v>
      </c>
      <c r="S699" t="s">
        <v>53</v>
      </c>
      <c r="T699" t="s">
        <v>29</v>
      </c>
    </row>
    <row r="700" spans="1:20" x14ac:dyDescent="0.3">
      <c r="A700" t="s">
        <v>1516</v>
      </c>
      <c r="B700" t="s">
        <v>12</v>
      </c>
      <c r="C700" t="s">
        <v>139</v>
      </c>
      <c r="D700" t="s">
        <v>118</v>
      </c>
      <c r="E700" t="s">
        <v>69</v>
      </c>
      <c r="F700" t="s">
        <v>70</v>
      </c>
      <c r="G700" t="s">
        <v>16</v>
      </c>
      <c r="H700" t="s">
        <v>5142</v>
      </c>
      <c r="I700" t="s">
        <v>5143</v>
      </c>
      <c r="J700">
        <v>174948</v>
      </c>
      <c r="K700" t="s">
        <v>1517</v>
      </c>
      <c r="L700" t="s">
        <v>5165</v>
      </c>
      <c r="M700" t="s">
        <v>19</v>
      </c>
      <c r="N700">
        <v>45613</v>
      </c>
      <c r="O700">
        <v>3594</v>
      </c>
      <c r="P700" t="s">
        <v>20</v>
      </c>
      <c r="Q700">
        <v>4</v>
      </c>
      <c r="R700" t="s">
        <v>5116</v>
      </c>
      <c r="S700" t="s">
        <v>21</v>
      </c>
      <c r="T700" t="s">
        <v>20</v>
      </c>
    </row>
    <row r="701" spans="1:20" x14ac:dyDescent="0.3">
      <c r="A701" t="s">
        <v>1518</v>
      </c>
      <c r="B701" t="s">
        <v>12</v>
      </c>
      <c r="C701" t="s">
        <v>188</v>
      </c>
      <c r="D701" t="s">
        <v>104</v>
      </c>
      <c r="E701" t="s">
        <v>5131</v>
      </c>
      <c r="F701" t="s">
        <v>5125</v>
      </c>
      <c r="G701" t="s">
        <v>36</v>
      </c>
      <c r="H701" t="s">
        <v>5138</v>
      </c>
      <c r="I701" t="s">
        <v>5139</v>
      </c>
      <c r="J701">
        <v>193343</v>
      </c>
      <c r="K701" t="s">
        <v>1519</v>
      </c>
      <c r="L701" t="s">
        <v>5165</v>
      </c>
      <c r="M701" t="s">
        <v>39</v>
      </c>
      <c r="N701">
        <v>45740</v>
      </c>
      <c r="O701">
        <v>3570</v>
      </c>
      <c r="P701" t="s">
        <v>20</v>
      </c>
      <c r="Q701">
        <v>6</v>
      </c>
      <c r="R701" t="s">
        <v>52</v>
      </c>
      <c r="S701" t="s">
        <v>53</v>
      </c>
      <c r="T701" t="s">
        <v>20</v>
      </c>
    </row>
    <row r="702" spans="1:20" x14ac:dyDescent="0.3">
      <c r="A702" t="s">
        <v>1520</v>
      </c>
      <c r="B702" t="s">
        <v>322</v>
      </c>
      <c r="C702" t="s">
        <v>219</v>
      </c>
      <c r="D702" t="s">
        <v>44</v>
      </c>
      <c r="E702" t="s">
        <v>5129</v>
      </c>
      <c r="F702" t="s">
        <v>5130</v>
      </c>
      <c r="G702" t="s">
        <v>50</v>
      </c>
      <c r="H702" t="s">
        <v>5136</v>
      </c>
      <c r="I702" t="s">
        <v>5137</v>
      </c>
      <c r="J702">
        <v>63413</v>
      </c>
      <c r="K702" t="s">
        <v>1521</v>
      </c>
      <c r="L702" t="s">
        <v>113</v>
      </c>
      <c r="M702" t="s">
        <v>19</v>
      </c>
      <c r="N702">
        <v>45435</v>
      </c>
      <c r="O702">
        <v>1004</v>
      </c>
      <c r="P702" t="s">
        <v>20</v>
      </c>
      <c r="Q702">
        <v>0</v>
      </c>
      <c r="R702" t="s">
        <v>47</v>
      </c>
      <c r="S702" t="s">
        <v>21</v>
      </c>
      <c r="T702" t="s">
        <v>20</v>
      </c>
    </row>
    <row r="703" spans="1:20" x14ac:dyDescent="0.3">
      <c r="A703" t="s">
        <v>1522</v>
      </c>
      <c r="B703" t="s">
        <v>12</v>
      </c>
      <c r="C703" t="s">
        <v>32</v>
      </c>
      <c r="D703" t="s">
        <v>44</v>
      </c>
      <c r="E703" t="s">
        <v>126</v>
      </c>
      <c r="F703" t="s">
        <v>127</v>
      </c>
      <c r="G703" t="s">
        <v>36</v>
      </c>
      <c r="H703" t="s">
        <v>5138</v>
      </c>
      <c r="I703" t="s">
        <v>5139</v>
      </c>
      <c r="J703">
        <v>237764</v>
      </c>
      <c r="K703" t="s">
        <v>1523</v>
      </c>
      <c r="L703" t="s">
        <v>142</v>
      </c>
      <c r="M703" t="s">
        <v>19</v>
      </c>
      <c r="N703">
        <v>45581</v>
      </c>
      <c r="O703">
        <v>1487</v>
      </c>
      <c r="P703" t="s">
        <v>20</v>
      </c>
      <c r="Q703">
        <v>6</v>
      </c>
      <c r="R703" t="s">
        <v>76</v>
      </c>
      <c r="S703" t="s">
        <v>21</v>
      </c>
      <c r="T703" t="s">
        <v>29</v>
      </c>
    </row>
    <row r="704" spans="1:20" x14ac:dyDescent="0.3">
      <c r="A704" t="s">
        <v>1524</v>
      </c>
      <c r="B704" t="s">
        <v>222</v>
      </c>
      <c r="C704" t="s">
        <v>117</v>
      </c>
      <c r="D704" t="s">
        <v>33</v>
      </c>
      <c r="E704" t="s">
        <v>34</v>
      </c>
      <c r="F704" t="s">
        <v>35</v>
      </c>
      <c r="G704" t="s">
        <v>50</v>
      </c>
      <c r="H704" t="s">
        <v>5142</v>
      </c>
      <c r="I704" t="s">
        <v>5143</v>
      </c>
      <c r="J704">
        <v>130982</v>
      </c>
      <c r="K704" t="s">
        <v>1525</v>
      </c>
      <c r="L704" t="s">
        <v>5165</v>
      </c>
      <c r="M704" t="s">
        <v>46</v>
      </c>
      <c r="N704">
        <v>45585</v>
      </c>
      <c r="O704">
        <v>2592</v>
      </c>
      <c r="P704" t="s">
        <v>92</v>
      </c>
      <c r="Q704">
        <v>4</v>
      </c>
      <c r="R704" t="s">
        <v>5116</v>
      </c>
      <c r="S704" t="s">
        <v>21</v>
      </c>
      <c r="T704" t="s">
        <v>29</v>
      </c>
    </row>
    <row r="705" spans="1:20" x14ac:dyDescent="0.3">
      <c r="A705" t="s">
        <v>1526</v>
      </c>
      <c r="B705" t="s">
        <v>144</v>
      </c>
      <c r="C705" t="s">
        <v>175</v>
      </c>
      <c r="D705" t="s">
        <v>25</v>
      </c>
      <c r="E705" t="s">
        <v>14</v>
      </c>
      <c r="F705" t="s">
        <v>15</v>
      </c>
      <c r="G705" t="s">
        <v>16</v>
      </c>
      <c r="H705" t="s">
        <v>5138</v>
      </c>
      <c r="I705" t="s">
        <v>5139</v>
      </c>
      <c r="J705">
        <v>149295</v>
      </c>
      <c r="K705" t="s">
        <v>1527</v>
      </c>
      <c r="L705" t="s">
        <v>82</v>
      </c>
      <c r="M705" t="s">
        <v>39</v>
      </c>
      <c r="N705">
        <v>45641</v>
      </c>
      <c r="O705">
        <v>867</v>
      </c>
      <c r="P705" t="s">
        <v>20</v>
      </c>
      <c r="Q705">
        <v>6</v>
      </c>
      <c r="R705" t="s">
        <v>76</v>
      </c>
      <c r="S705" t="s">
        <v>21</v>
      </c>
      <c r="T705" t="s">
        <v>20</v>
      </c>
    </row>
    <row r="706" spans="1:20" x14ac:dyDescent="0.3">
      <c r="A706" t="s">
        <v>1528</v>
      </c>
      <c r="B706" t="s">
        <v>218</v>
      </c>
      <c r="C706" t="s">
        <v>24</v>
      </c>
      <c r="D706" t="s">
        <v>25</v>
      </c>
      <c r="E706" t="s">
        <v>152</v>
      </c>
      <c r="F706" t="s">
        <v>153</v>
      </c>
      <c r="G706" t="s">
        <v>50</v>
      </c>
      <c r="H706" t="s">
        <v>5140</v>
      </c>
      <c r="I706" t="s">
        <v>5141</v>
      </c>
      <c r="J706">
        <v>79178</v>
      </c>
      <c r="K706" t="s">
        <v>1529</v>
      </c>
      <c r="L706" t="s">
        <v>5165</v>
      </c>
      <c r="M706" t="s">
        <v>19</v>
      </c>
      <c r="N706">
        <v>45462</v>
      </c>
      <c r="O706">
        <v>2629</v>
      </c>
      <c r="P706" t="s">
        <v>20</v>
      </c>
      <c r="Q706">
        <v>2</v>
      </c>
      <c r="R706" t="s">
        <v>76</v>
      </c>
      <c r="S706" t="s">
        <v>21</v>
      </c>
      <c r="T706" t="s">
        <v>29</v>
      </c>
    </row>
    <row r="707" spans="1:20" x14ac:dyDescent="0.3">
      <c r="A707" t="s">
        <v>1530</v>
      </c>
      <c r="B707" t="s">
        <v>130</v>
      </c>
      <c r="C707" t="s">
        <v>160</v>
      </c>
      <c r="D707" t="s">
        <v>167</v>
      </c>
      <c r="E707" t="s">
        <v>14</v>
      </c>
      <c r="F707" t="s">
        <v>15</v>
      </c>
      <c r="G707" t="s">
        <v>50</v>
      </c>
      <c r="H707" t="s">
        <v>5140</v>
      </c>
      <c r="I707" t="s">
        <v>5141</v>
      </c>
      <c r="J707">
        <v>121998</v>
      </c>
      <c r="K707" t="s">
        <v>1531</v>
      </c>
      <c r="L707" t="s">
        <v>5165</v>
      </c>
      <c r="M707" t="s">
        <v>19</v>
      </c>
      <c r="N707">
        <v>45540</v>
      </c>
      <c r="O707">
        <v>2393</v>
      </c>
      <c r="P707" t="s">
        <v>20</v>
      </c>
      <c r="Q707">
        <v>2</v>
      </c>
      <c r="R707" t="s">
        <v>76</v>
      </c>
      <c r="S707" t="s">
        <v>53</v>
      </c>
      <c r="T707" t="s">
        <v>20</v>
      </c>
    </row>
    <row r="708" spans="1:20" x14ac:dyDescent="0.3">
      <c r="A708" t="s">
        <v>1532</v>
      </c>
      <c r="B708" t="s">
        <v>23</v>
      </c>
      <c r="C708" t="s">
        <v>121</v>
      </c>
      <c r="D708" t="s">
        <v>25</v>
      </c>
      <c r="E708" t="s">
        <v>5126</v>
      </c>
      <c r="F708" t="s">
        <v>5125</v>
      </c>
      <c r="G708" t="s">
        <v>36</v>
      </c>
      <c r="H708" t="s">
        <v>5140</v>
      </c>
      <c r="I708" t="s">
        <v>5141</v>
      </c>
      <c r="J708">
        <v>84647</v>
      </c>
      <c r="K708" t="s">
        <v>1533</v>
      </c>
      <c r="L708" t="s">
        <v>5165</v>
      </c>
      <c r="M708" t="s">
        <v>19</v>
      </c>
      <c r="N708">
        <v>45330</v>
      </c>
      <c r="O708">
        <v>2192</v>
      </c>
      <c r="P708" t="s">
        <v>20</v>
      </c>
      <c r="Q708">
        <v>2</v>
      </c>
      <c r="R708" t="s">
        <v>47</v>
      </c>
      <c r="S708" t="s">
        <v>41</v>
      </c>
      <c r="T708" t="s">
        <v>29</v>
      </c>
    </row>
    <row r="709" spans="1:20" x14ac:dyDescent="0.3">
      <c r="A709" t="s">
        <v>1534</v>
      </c>
      <c r="B709" t="s">
        <v>74</v>
      </c>
      <c r="C709" t="s">
        <v>166</v>
      </c>
      <c r="D709" t="s">
        <v>5156</v>
      </c>
      <c r="E709" t="s">
        <v>5124</v>
      </c>
      <c r="F709" t="s">
        <v>5125</v>
      </c>
      <c r="G709" t="s">
        <v>50</v>
      </c>
      <c r="H709" t="s">
        <v>5136</v>
      </c>
      <c r="I709" t="s">
        <v>5137</v>
      </c>
      <c r="J709">
        <v>92110</v>
      </c>
      <c r="K709" t="s">
        <v>1535</v>
      </c>
      <c r="L709" t="s">
        <v>5165</v>
      </c>
      <c r="M709" t="s">
        <v>46</v>
      </c>
      <c r="N709">
        <v>45518</v>
      </c>
      <c r="O709">
        <v>1014</v>
      </c>
      <c r="P709" t="s">
        <v>92</v>
      </c>
      <c r="Q709">
        <v>0</v>
      </c>
      <c r="R709" t="s">
        <v>52</v>
      </c>
      <c r="S709" t="s">
        <v>21</v>
      </c>
      <c r="T709" t="s">
        <v>29</v>
      </c>
    </row>
    <row r="710" spans="1:20" x14ac:dyDescent="0.3">
      <c r="A710" t="s">
        <v>1536</v>
      </c>
      <c r="B710" t="s">
        <v>144</v>
      </c>
      <c r="C710" t="s">
        <v>121</v>
      </c>
      <c r="D710" t="s">
        <v>68</v>
      </c>
      <c r="E710" t="s">
        <v>26</v>
      </c>
      <c r="F710" t="s">
        <v>27</v>
      </c>
      <c r="G710" t="s">
        <v>50</v>
      </c>
      <c r="H710" t="s">
        <v>5142</v>
      </c>
      <c r="I710" t="s">
        <v>5143</v>
      </c>
      <c r="J710">
        <v>93787</v>
      </c>
      <c r="K710" t="s">
        <v>1537</v>
      </c>
      <c r="L710" t="s">
        <v>61</v>
      </c>
      <c r="M710" t="s">
        <v>46</v>
      </c>
      <c r="N710">
        <v>45731</v>
      </c>
      <c r="O710">
        <v>3068</v>
      </c>
      <c r="P710" t="s">
        <v>20</v>
      </c>
      <c r="Q710">
        <v>4</v>
      </c>
      <c r="R710" t="s">
        <v>40</v>
      </c>
      <c r="S710" t="s">
        <v>53</v>
      </c>
      <c r="T710" t="s">
        <v>29</v>
      </c>
    </row>
    <row r="711" spans="1:20" x14ac:dyDescent="0.3">
      <c r="A711" t="s">
        <v>1538</v>
      </c>
      <c r="B711" t="s">
        <v>218</v>
      </c>
      <c r="C711" t="s">
        <v>175</v>
      </c>
      <c r="D711" t="s">
        <v>33</v>
      </c>
      <c r="E711" t="s">
        <v>26</v>
      </c>
      <c r="F711" t="s">
        <v>27</v>
      </c>
      <c r="G711" t="s">
        <v>16</v>
      </c>
      <c r="H711" t="s">
        <v>5142</v>
      </c>
      <c r="I711" t="s">
        <v>5143</v>
      </c>
      <c r="J711">
        <v>195804</v>
      </c>
      <c r="K711" t="s">
        <v>1539</v>
      </c>
      <c r="L711" t="s">
        <v>5165</v>
      </c>
      <c r="M711" t="s">
        <v>39</v>
      </c>
      <c r="N711">
        <v>45474</v>
      </c>
      <c r="O711">
        <v>405</v>
      </c>
      <c r="P711" t="s">
        <v>92</v>
      </c>
      <c r="Q711">
        <v>4</v>
      </c>
      <c r="R711" t="s">
        <v>76</v>
      </c>
      <c r="S711" t="s">
        <v>53</v>
      </c>
      <c r="T711" t="s">
        <v>20</v>
      </c>
    </row>
    <row r="712" spans="1:20" x14ac:dyDescent="0.3">
      <c r="A712" t="s">
        <v>1540</v>
      </c>
      <c r="B712" t="s">
        <v>12</v>
      </c>
      <c r="C712" t="s">
        <v>32</v>
      </c>
      <c r="D712" t="s">
        <v>140</v>
      </c>
      <c r="E712" t="s">
        <v>5133</v>
      </c>
      <c r="F712" t="s">
        <v>5125</v>
      </c>
      <c r="G712" t="s">
        <v>36</v>
      </c>
      <c r="H712" t="s">
        <v>5140</v>
      </c>
      <c r="I712" t="s">
        <v>5141</v>
      </c>
      <c r="J712">
        <v>114178</v>
      </c>
      <c r="K712" t="s">
        <v>1541</v>
      </c>
      <c r="L712" t="s">
        <v>82</v>
      </c>
      <c r="M712" t="s">
        <v>19</v>
      </c>
      <c r="N712">
        <v>45622</v>
      </c>
      <c r="O712">
        <v>100</v>
      </c>
      <c r="P712" t="s">
        <v>20</v>
      </c>
      <c r="Q712">
        <v>2</v>
      </c>
      <c r="R712" t="s">
        <v>76</v>
      </c>
      <c r="S712" t="s">
        <v>21</v>
      </c>
      <c r="T712" t="s">
        <v>20</v>
      </c>
    </row>
    <row r="713" spans="1:20" x14ac:dyDescent="0.3">
      <c r="A713" t="s">
        <v>1542</v>
      </c>
      <c r="B713" t="s">
        <v>89</v>
      </c>
      <c r="C713" t="s">
        <v>185</v>
      </c>
      <c r="D713" t="s">
        <v>140</v>
      </c>
      <c r="E713" t="s">
        <v>5128</v>
      </c>
      <c r="F713" t="s">
        <v>5125</v>
      </c>
      <c r="G713" t="s">
        <v>36</v>
      </c>
      <c r="H713" t="s">
        <v>5140</v>
      </c>
      <c r="I713" t="s">
        <v>5141</v>
      </c>
      <c r="J713">
        <v>108085</v>
      </c>
      <c r="K713" t="s">
        <v>1543</v>
      </c>
      <c r="L713" t="s">
        <v>5165</v>
      </c>
      <c r="M713" t="s">
        <v>39</v>
      </c>
      <c r="N713">
        <v>45325</v>
      </c>
      <c r="O713">
        <v>1633</v>
      </c>
      <c r="P713" t="s">
        <v>29</v>
      </c>
      <c r="Q713">
        <v>2</v>
      </c>
      <c r="R713" t="s">
        <v>52</v>
      </c>
      <c r="S713" t="s">
        <v>21</v>
      </c>
      <c r="T713" t="s">
        <v>20</v>
      </c>
    </row>
    <row r="714" spans="1:20" x14ac:dyDescent="0.3">
      <c r="A714" t="s">
        <v>1544</v>
      </c>
      <c r="B714" t="s">
        <v>74</v>
      </c>
      <c r="C714" t="s">
        <v>188</v>
      </c>
      <c r="D714" t="s">
        <v>5156</v>
      </c>
      <c r="E714" t="s">
        <v>26</v>
      </c>
      <c r="F714" t="s">
        <v>27</v>
      </c>
      <c r="G714" t="s">
        <v>36</v>
      </c>
      <c r="H714" t="s">
        <v>5142</v>
      </c>
      <c r="I714" t="s">
        <v>5143</v>
      </c>
      <c r="J714">
        <v>135287</v>
      </c>
      <c r="K714" t="s">
        <v>1545</v>
      </c>
      <c r="L714" t="s">
        <v>5165</v>
      </c>
      <c r="M714" t="s">
        <v>39</v>
      </c>
      <c r="N714">
        <v>45740</v>
      </c>
      <c r="O714">
        <v>2416</v>
      </c>
      <c r="P714" t="s">
        <v>29</v>
      </c>
      <c r="Q714">
        <v>4</v>
      </c>
      <c r="R714" t="s">
        <v>5116</v>
      </c>
      <c r="S714" t="s">
        <v>21</v>
      </c>
      <c r="T714" t="s">
        <v>20</v>
      </c>
    </row>
    <row r="715" spans="1:20" x14ac:dyDescent="0.3">
      <c r="A715" t="s">
        <v>1546</v>
      </c>
      <c r="B715" t="s">
        <v>215</v>
      </c>
      <c r="C715" t="s">
        <v>100</v>
      </c>
      <c r="D715" t="s">
        <v>44</v>
      </c>
      <c r="E715" t="s">
        <v>26</v>
      </c>
      <c r="F715" t="s">
        <v>27</v>
      </c>
      <c r="G715" t="s">
        <v>50</v>
      </c>
      <c r="H715" t="s">
        <v>5140</v>
      </c>
      <c r="I715" t="s">
        <v>5141</v>
      </c>
      <c r="J715">
        <v>117902</v>
      </c>
      <c r="K715" t="s">
        <v>1547</v>
      </c>
      <c r="L715" t="s">
        <v>5165</v>
      </c>
      <c r="M715" t="s">
        <v>46</v>
      </c>
      <c r="N715">
        <v>45688</v>
      </c>
      <c r="O715">
        <v>3885</v>
      </c>
      <c r="P715" t="s">
        <v>20</v>
      </c>
      <c r="Q715">
        <v>2</v>
      </c>
      <c r="R715" t="s">
        <v>52</v>
      </c>
      <c r="S715" t="s">
        <v>53</v>
      </c>
      <c r="T715" t="s">
        <v>29</v>
      </c>
    </row>
    <row r="716" spans="1:20" x14ac:dyDescent="0.3">
      <c r="A716" t="s">
        <v>1548</v>
      </c>
      <c r="B716" t="s">
        <v>89</v>
      </c>
      <c r="C716" t="s">
        <v>166</v>
      </c>
      <c r="D716" t="s">
        <v>140</v>
      </c>
      <c r="E716" t="s">
        <v>5124</v>
      </c>
      <c r="F716" t="s">
        <v>5125</v>
      </c>
      <c r="G716" t="s">
        <v>16</v>
      </c>
      <c r="H716" t="s">
        <v>5140</v>
      </c>
      <c r="I716" t="s">
        <v>5141</v>
      </c>
      <c r="J716">
        <v>109254</v>
      </c>
      <c r="K716" t="s">
        <v>1549</v>
      </c>
      <c r="L716" t="s">
        <v>61</v>
      </c>
      <c r="M716" t="s">
        <v>19</v>
      </c>
      <c r="N716">
        <v>45451</v>
      </c>
      <c r="O716">
        <v>2661</v>
      </c>
      <c r="P716" t="s">
        <v>20</v>
      </c>
      <c r="Q716">
        <v>2</v>
      </c>
      <c r="R716" t="s">
        <v>40</v>
      </c>
      <c r="S716" t="s">
        <v>21</v>
      </c>
      <c r="T716" t="s">
        <v>29</v>
      </c>
    </row>
    <row r="717" spans="1:20" x14ac:dyDescent="0.3">
      <c r="A717" t="s">
        <v>1550</v>
      </c>
      <c r="B717" t="s">
        <v>31</v>
      </c>
      <c r="C717" t="s">
        <v>117</v>
      </c>
      <c r="D717" t="s">
        <v>5156</v>
      </c>
      <c r="E717" t="s">
        <v>209</v>
      </c>
      <c r="F717" t="s">
        <v>210</v>
      </c>
      <c r="G717" t="s">
        <v>16</v>
      </c>
      <c r="H717" t="s">
        <v>5136</v>
      </c>
      <c r="I717" t="s">
        <v>5137</v>
      </c>
      <c r="J717">
        <v>83901</v>
      </c>
      <c r="K717" t="s">
        <v>1551</v>
      </c>
      <c r="L717" t="s">
        <v>87</v>
      </c>
      <c r="M717" t="s">
        <v>46</v>
      </c>
      <c r="N717">
        <v>45577</v>
      </c>
      <c r="O717">
        <v>123</v>
      </c>
      <c r="P717" t="s">
        <v>20</v>
      </c>
      <c r="Q717">
        <v>0</v>
      </c>
      <c r="R717" t="s">
        <v>76</v>
      </c>
      <c r="S717" t="s">
        <v>21</v>
      </c>
      <c r="T717" t="s">
        <v>20</v>
      </c>
    </row>
    <row r="718" spans="1:20" x14ac:dyDescent="0.3">
      <c r="A718" t="s">
        <v>1552</v>
      </c>
      <c r="B718" t="s">
        <v>215</v>
      </c>
      <c r="C718" t="s">
        <v>188</v>
      </c>
      <c r="D718" t="s">
        <v>167</v>
      </c>
      <c r="E718" t="s">
        <v>209</v>
      </c>
      <c r="F718" t="s">
        <v>210</v>
      </c>
      <c r="G718" t="s">
        <v>36</v>
      </c>
      <c r="H718" t="s">
        <v>5140</v>
      </c>
      <c r="I718" t="s">
        <v>5141</v>
      </c>
      <c r="J718">
        <v>112261</v>
      </c>
      <c r="K718" t="s">
        <v>1553</v>
      </c>
      <c r="L718" t="s">
        <v>5165</v>
      </c>
      <c r="M718" t="s">
        <v>46</v>
      </c>
      <c r="N718">
        <v>45566</v>
      </c>
      <c r="O718">
        <v>2903</v>
      </c>
      <c r="P718" t="s">
        <v>20</v>
      </c>
      <c r="Q718">
        <v>2</v>
      </c>
      <c r="R718" t="s">
        <v>47</v>
      </c>
      <c r="S718" t="s">
        <v>21</v>
      </c>
      <c r="T718" t="s">
        <v>20</v>
      </c>
    </row>
    <row r="719" spans="1:20" x14ac:dyDescent="0.3">
      <c r="A719" t="s">
        <v>1554</v>
      </c>
      <c r="B719" t="s">
        <v>165</v>
      </c>
      <c r="C719" t="s">
        <v>32</v>
      </c>
      <c r="D719" t="s">
        <v>68</v>
      </c>
      <c r="E719" t="s">
        <v>209</v>
      </c>
      <c r="F719" t="s">
        <v>210</v>
      </c>
      <c r="G719" t="s">
        <v>16</v>
      </c>
      <c r="H719" t="s">
        <v>5136</v>
      </c>
      <c r="I719" t="s">
        <v>5137</v>
      </c>
      <c r="J719">
        <v>71893</v>
      </c>
      <c r="K719" t="s">
        <v>1555</v>
      </c>
      <c r="L719" t="s">
        <v>61</v>
      </c>
      <c r="M719" t="s">
        <v>19</v>
      </c>
      <c r="N719">
        <v>45567</v>
      </c>
      <c r="O719">
        <v>2048</v>
      </c>
      <c r="P719" t="s">
        <v>29</v>
      </c>
      <c r="Q719">
        <v>0</v>
      </c>
      <c r="R719" t="s">
        <v>47</v>
      </c>
      <c r="S719" t="s">
        <v>41</v>
      </c>
      <c r="T719" t="s">
        <v>20</v>
      </c>
    </row>
    <row r="720" spans="1:20" x14ac:dyDescent="0.3">
      <c r="A720" t="s">
        <v>1556</v>
      </c>
      <c r="B720" t="s">
        <v>165</v>
      </c>
      <c r="C720" t="s">
        <v>125</v>
      </c>
      <c r="D720" t="s">
        <v>167</v>
      </c>
      <c r="E720" t="s">
        <v>34</v>
      </c>
      <c r="F720" t="s">
        <v>35</v>
      </c>
      <c r="G720" t="s">
        <v>50</v>
      </c>
      <c r="H720" t="s">
        <v>5138</v>
      </c>
      <c r="I720" t="s">
        <v>5139</v>
      </c>
      <c r="J720">
        <v>186909</v>
      </c>
      <c r="K720" t="s">
        <v>1557</v>
      </c>
      <c r="L720" t="s">
        <v>134</v>
      </c>
      <c r="M720" t="s">
        <v>19</v>
      </c>
      <c r="N720">
        <v>45634</v>
      </c>
      <c r="O720">
        <v>3331</v>
      </c>
      <c r="P720" t="s">
        <v>20</v>
      </c>
      <c r="Q720">
        <v>6</v>
      </c>
      <c r="R720" t="s">
        <v>76</v>
      </c>
      <c r="S720" t="s">
        <v>21</v>
      </c>
      <c r="T720" t="s">
        <v>20</v>
      </c>
    </row>
    <row r="721" spans="1:20" x14ac:dyDescent="0.3">
      <c r="A721" t="s">
        <v>1558</v>
      </c>
      <c r="B721" t="s">
        <v>229</v>
      </c>
      <c r="C721" t="s">
        <v>13</v>
      </c>
      <c r="D721" t="s">
        <v>140</v>
      </c>
      <c r="E721" t="s">
        <v>126</v>
      </c>
      <c r="F721" t="s">
        <v>127</v>
      </c>
      <c r="G721" t="s">
        <v>36</v>
      </c>
      <c r="H721" t="s">
        <v>5138</v>
      </c>
      <c r="I721" t="s">
        <v>5139</v>
      </c>
      <c r="J721">
        <v>197949</v>
      </c>
      <c r="K721" t="s">
        <v>1559</v>
      </c>
      <c r="L721" t="s">
        <v>5165</v>
      </c>
      <c r="M721" t="s">
        <v>46</v>
      </c>
      <c r="N721">
        <v>45436</v>
      </c>
      <c r="O721">
        <v>2018</v>
      </c>
      <c r="P721" t="s">
        <v>29</v>
      </c>
      <c r="Q721">
        <v>6</v>
      </c>
      <c r="R721" t="s">
        <v>5116</v>
      </c>
      <c r="S721" t="s">
        <v>21</v>
      </c>
      <c r="T721" t="s">
        <v>20</v>
      </c>
    </row>
    <row r="722" spans="1:20" x14ac:dyDescent="0.3">
      <c r="A722" t="s">
        <v>1560</v>
      </c>
      <c r="B722" t="s">
        <v>130</v>
      </c>
      <c r="C722" t="s">
        <v>197</v>
      </c>
      <c r="D722" t="s">
        <v>44</v>
      </c>
      <c r="E722" t="s">
        <v>152</v>
      </c>
      <c r="F722" t="s">
        <v>153</v>
      </c>
      <c r="G722" t="s">
        <v>50</v>
      </c>
      <c r="H722" t="s">
        <v>5142</v>
      </c>
      <c r="I722" t="s">
        <v>5143</v>
      </c>
      <c r="J722">
        <v>158310</v>
      </c>
      <c r="K722" t="s">
        <v>1561</v>
      </c>
      <c r="L722" t="s">
        <v>5165</v>
      </c>
      <c r="M722" t="s">
        <v>46</v>
      </c>
      <c r="N722">
        <v>45686</v>
      </c>
      <c r="O722">
        <v>2635</v>
      </c>
      <c r="P722" t="s">
        <v>20</v>
      </c>
      <c r="Q722">
        <v>4</v>
      </c>
      <c r="R722" t="s">
        <v>5116</v>
      </c>
      <c r="S722" t="s">
        <v>21</v>
      </c>
      <c r="T722" t="s">
        <v>29</v>
      </c>
    </row>
    <row r="723" spans="1:20" x14ac:dyDescent="0.3">
      <c r="A723" t="s">
        <v>1562</v>
      </c>
      <c r="B723" t="s">
        <v>74</v>
      </c>
      <c r="C723" t="s">
        <v>56</v>
      </c>
      <c r="D723" t="s">
        <v>118</v>
      </c>
      <c r="E723" t="s">
        <v>80</v>
      </c>
      <c r="F723" t="s">
        <v>80</v>
      </c>
      <c r="G723" t="s">
        <v>16</v>
      </c>
      <c r="H723" t="s">
        <v>5138</v>
      </c>
      <c r="I723" t="s">
        <v>5139</v>
      </c>
      <c r="J723">
        <v>138433</v>
      </c>
      <c r="K723" t="s">
        <v>1563</v>
      </c>
      <c r="L723" t="s">
        <v>87</v>
      </c>
      <c r="M723" t="s">
        <v>46</v>
      </c>
      <c r="N723">
        <v>45567</v>
      </c>
      <c r="O723">
        <v>3740</v>
      </c>
      <c r="P723" t="s">
        <v>29</v>
      </c>
      <c r="Q723">
        <v>6</v>
      </c>
      <c r="R723" t="s">
        <v>52</v>
      </c>
      <c r="S723" t="s">
        <v>41</v>
      </c>
      <c r="T723" t="s">
        <v>20</v>
      </c>
    </row>
    <row r="724" spans="1:20" x14ac:dyDescent="0.3">
      <c r="A724" t="s">
        <v>1564</v>
      </c>
      <c r="B724" t="s">
        <v>229</v>
      </c>
      <c r="C724" t="s">
        <v>43</v>
      </c>
      <c r="D724" t="s">
        <v>167</v>
      </c>
      <c r="E724" t="s">
        <v>80</v>
      </c>
      <c r="F724" t="s">
        <v>80</v>
      </c>
      <c r="G724" t="s">
        <v>36</v>
      </c>
      <c r="H724" t="s">
        <v>5136</v>
      </c>
      <c r="I724" t="s">
        <v>5137</v>
      </c>
      <c r="J724">
        <v>53012</v>
      </c>
      <c r="K724" t="s">
        <v>1565</v>
      </c>
      <c r="L724" t="s">
        <v>238</v>
      </c>
      <c r="M724" t="s">
        <v>72</v>
      </c>
      <c r="N724">
        <v>45584</v>
      </c>
      <c r="O724">
        <v>3395</v>
      </c>
      <c r="P724" t="s">
        <v>29</v>
      </c>
      <c r="Q724">
        <v>0</v>
      </c>
      <c r="R724" t="s">
        <v>52</v>
      </c>
      <c r="S724" t="s">
        <v>21</v>
      </c>
      <c r="T724" t="s">
        <v>29</v>
      </c>
    </row>
    <row r="725" spans="1:20" x14ac:dyDescent="0.3">
      <c r="A725" t="s">
        <v>1566</v>
      </c>
      <c r="B725" t="s">
        <v>84</v>
      </c>
      <c r="C725" t="s">
        <v>13</v>
      </c>
      <c r="D725" t="s">
        <v>140</v>
      </c>
      <c r="E725" t="s">
        <v>5131</v>
      </c>
      <c r="F725" t="s">
        <v>5125</v>
      </c>
      <c r="G725" t="s">
        <v>36</v>
      </c>
      <c r="H725" t="s">
        <v>5142</v>
      </c>
      <c r="I725" t="s">
        <v>5143</v>
      </c>
      <c r="J725">
        <v>170068</v>
      </c>
      <c r="K725" t="s">
        <v>1567</v>
      </c>
      <c r="L725" t="s">
        <v>179</v>
      </c>
      <c r="M725" t="s">
        <v>46</v>
      </c>
      <c r="N725">
        <v>45655</v>
      </c>
      <c r="O725">
        <v>3355</v>
      </c>
      <c r="P725" t="s">
        <v>20</v>
      </c>
      <c r="Q725">
        <v>4</v>
      </c>
      <c r="R725" t="s">
        <v>40</v>
      </c>
      <c r="S725" t="s">
        <v>21</v>
      </c>
      <c r="T725" t="s">
        <v>20</v>
      </c>
    </row>
    <row r="726" spans="1:20" x14ac:dyDescent="0.3">
      <c r="A726" t="s">
        <v>1568</v>
      </c>
      <c r="B726" t="s">
        <v>130</v>
      </c>
      <c r="C726" t="s">
        <v>185</v>
      </c>
      <c r="D726" t="s">
        <v>44</v>
      </c>
      <c r="E726" t="s">
        <v>34</v>
      </c>
      <c r="F726" t="s">
        <v>35</v>
      </c>
      <c r="G726" t="s">
        <v>16</v>
      </c>
      <c r="H726" t="s">
        <v>5136</v>
      </c>
      <c r="I726" t="s">
        <v>5137</v>
      </c>
      <c r="J726">
        <v>72152</v>
      </c>
      <c r="K726" t="s">
        <v>1569</v>
      </c>
      <c r="L726" t="s">
        <v>5165</v>
      </c>
      <c r="M726" t="s">
        <v>19</v>
      </c>
      <c r="N726">
        <v>45645</v>
      </c>
      <c r="O726">
        <v>695</v>
      </c>
      <c r="P726" t="s">
        <v>92</v>
      </c>
      <c r="Q726">
        <v>0</v>
      </c>
      <c r="R726" t="s">
        <v>40</v>
      </c>
      <c r="S726" t="s">
        <v>41</v>
      </c>
      <c r="T726" t="s">
        <v>20</v>
      </c>
    </row>
    <row r="727" spans="1:20" x14ac:dyDescent="0.3">
      <c r="A727" t="s">
        <v>1570</v>
      </c>
      <c r="B727" t="s">
        <v>130</v>
      </c>
      <c r="C727" t="s">
        <v>197</v>
      </c>
      <c r="D727" t="s">
        <v>118</v>
      </c>
      <c r="E727" t="s">
        <v>126</v>
      </c>
      <c r="F727" t="s">
        <v>127</v>
      </c>
      <c r="G727" t="s">
        <v>16</v>
      </c>
      <c r="H727" t="s">
        <v>5142</v>
      </c>
      <c r="I727" t="s">
        <v>5143</v>
      </c>
      <c r="J727">
        <v>145032</v>
      </c>
      <c r="K727" t="s">
        <v>1571</v>
      </c>
      <c r="L727" t="s">
        <v>82</v>
      </c>
      <c r="M727" t="s">
        <v>46</v>
      </c>
      <c r="N727">
        <v>45730</v>
      </c>
      <c r="O727">
        <v>1930</v>
      </c>
      <c r="P727" t="s">
        <v>20</v>
      </c>
      <c r="Q727">
        <v>4</v>
      </c>
      <c r="R727" t="s">
        <v>5116</v>
      </c>
      <c r="S727" t="s">
        <v>21</v>
      </c>
      <c r="T727" t="s">
        <v>20</v>
      </c>
    </row>
    <row r="728" spans="1:20" x14ac:dyDescent="0.3">
      <c r="A728" t="s">
        <v>1572</v>
      </c>
      <c r="B728" t="s">
        <v>215</v>
      </c>
      <c r="C728" t="s">
        <v>64</v>
      </c>
      <c r="D728" t="s">
        <v>33</v>
      </c>
      <c r="E728" t="s">
        <v>5128</v>
      </c>
      <c r="F728" t="s">
        <v>5125</v>
      </c>
      <c r="G728" t="s">
        <v>16</v>
      </c>
      <c r="H728" t="s">
        <v>5136</v>
      </c>
      <c r="I728" t="s">
        <v>5137</v>
      </c>
      <c r="J728">
        <v>70232</v>
      </c>
      <c r="K728" t="s">
        <v>1573</v>
      </c>
      <c r="L728" t="s">
        <v>87</v>
      </c>
      <c r="M728" t="s">
        <v>39</v>
      </c>
      <c r="N728">
        <v>45607</v>
      </c>
      <c r="O728">
        <v>189</v>
      </c>
      <c r="P728" t="s">
        <v>20</v>
      </c>
      <c r="Q728">
        <v>0</v>
      </c>
      <c r="R728" t="s">
        <v>47</v>
      </c>
      <c r="S728" t="s">
        <v>21</v>
      </c>
      <c r="T728" t="s">
        <v>20</v>
      </c>
    </row>
    <row r="729" spans="1:20" x14ac:dyDescent="0.3">
      <c r="A729" t="s">
        <v>1574</v>
      </c>
      <c r="B729" t="s">
        <v>215</v>
      </c>
      <c r="C729" t="s">
        <v>160</v>
      </c>
      <c r="D729" t="s">
        <v>33</v>
      </c>
      <c r="E729" t="s">
        <v>34</v>
      </c>
      <c r="F729" t="s">
        <v>35</v>
      </c>
      <c r="G729" t="s">
        <v>16</v>
      </c>
      <c r="H729" t="s">
        <v>5142</v>
      </c>
      <c r="I729" t="s">
        <v>5143</v>
      </c>
      <c r="J729">
        <v>159384</v>
      </c>
      <c r="K729" t="s">
        <v>1575</v>
      </c>
      <c r="L729" t="s">
        <v>238</v>
      </c>
      <c r="M729" t="s">
        <v>46</v>
      </c>
      <c r="N729">
        <v>45621</v>
      </c>
      <c r="O729">
        <v>113</v>
      </c>
      <c r="P729" t="s">
        <v>92</v>
      </c>
      <c r="Q729">
        <v>4</v>
      </c>
      <c r="R729" t="s">
        <v>5116</v>
      </c>
      <c r="S729" t="s">
        <v>53</v>
      </c>
      <c r="T729" t="s">
        <v>20</v>
      </c>
    </row>
    <row r="730" spans="1:20" x14ac:dyDescent="0.3">
      <c r="A730" t="s">
        <v>1576</v>
      </c>
      <c r="B730" t="s">
        <v>74</v>
      </c>
      <c r="C730" t="s">
        <v>117</v>
      </c>
      <c r="D730" t="s">
        <v>104</v>
      </c>
      <c r="E730" t="s">
        <v>58</v>
      </c>
      <c r="F730" t="s">
        <v>59</v>
      </c>
      <c r="G730" t="s">
        <v>36</v>
      </c>
      <c r="H730" t="s">
        <v>5140</v>
      </c>
      <c r="I730" t="s">
        <v>5141</v>
      </c>
      <c r="J730">
        <v>99312</v>
      </c>
      <c r="K730" t="s">
        <v>1577</v>
      </c>
      <c r="L730" t="s">
        <v>87</v>
      </c>
      <c r="M730" t="s">
        <v>39</v>
      </c>
      <c r="N730">
        <v>45454</v>
      </c>
      <c r="O730">
        <v>1527</v>
      </c>
      <c r="P730" t="s">
        <v>29</v>
      </c>
      <c r="Q730">
        <v>2</v>
      </c>
      <c r="R730" t="s">
        <v>5116</v>
      </c>
      <c r="S730" t="s">
        <v>21</v>
      </c>
      <c r="T730" t="s">
        <v>29</v>
      </c>
    </row>
    <row r="731" spans="1:20" x14ac:dyDescent="0.3">
      <c r="A731" t="s">
        <v>1578</v>
      </c>
      <c r="B731" t="s">
        <v>144</v>
      </c>
      <c r="C731" t="s">
        <v>90</v>
      </c>
      <c r="D731" t="s">
        <v>57</v>
      </c>
      <c r="E731" t="s">
        <v>5126</v>
      </c>
      <c r="F731" t="s">
        <v>5125</v>
      </c>
      <c r="G731" t="s">
        <v>36</v>
      </c>
      <c r="H731" t="s">
        <v>5136</v>
      </c>
      <c r="I731" t="s">
        <v>5137</v>
      </c>
      <c r="J731">
        <v>60193</v>
      </c>
      <c r="K731" t="s">
        <v>1579</v>
      </c>
      <c r="L731" t="s">
        <v>179</v>
      </c>
      <c r="M731" t="s">
        <v>72</v>
      </c>
      <c r="N731">
        <v>45353</v>
      </c>
      <c r="O731">
        <v>1166</v>
      </c>
      <c r="P731" t="s">
        <v>20</v>
      </c>
      <c r="Q731">
        <v>0</v>
      </c>
      <c r="R731" t="s">
        <v>52</v>
      </c>
      <c r="S731" t="s">
        <v>21</v>
      </c>
      <c r="T731" t="s">
        <v>20</v>
      </c>
    </row>
    <row r="732" spans="1:20" x14ac:dyDescent="0.3">
      <c r="A732" t="s">
        <v>1580</v>
      </c>
      <c r="B732" t="s">
        <v>89</v>
      </c>
      <c r="C732" t="s">
        <v>49</v>
      </c>
      <c r="D732" t="s">
        <v>25</v>
      </c>
      <c r="E732" t="s">
        <v>5133</v>
      </c>
      <c r="F732" t="s">
        <v>5125</v>
      </c>
      <c r="G732" t="s">
        <v>50</v>
      </c>
      <c r="H732" t="s">
        <v>5142</v>
      </c>
      <c r="I732" t="s">
        <v>5143</v>
      </c>
      <c r="J732">
        <v>155287</v>
      </c>
      <c r="K732" t="s">
        <v>1581</v>
      </c>
      <c r="L732" t="s">
        <v>61</v>
      </c>
      <c r="M732" t="s">
        <v>39</v>
      </c>
      <c r="N732">
        <v>45617</v>
      </c>
      <c r="O732">
        <v>3041</v>
      </c>
      <c r="P732" t="s">
        <v>29</v>
      </c>
      <c r="Q732">
        <v>4</v>
      </c>
      <c r="R732" t="s">
        <v>40</v>
      </c>
      <c r="S732" t="s">
        <v>21</v>
      </c>
      <c r="T732" t="s">
        <v>20</v>
      </c>
    </row>
    <row r="733" spans="1:20" x14ac:dyDescent="0.3">
      <c r="A733" t="s">
        <v>1582</v>
      </c>
      <c r="B733" t="s">
        <v>23</v>
      </c>
      <c r="C733" t="s">
        <v>139</v>
      </c>
      <c r="D733" t="s">
        <v>140</v>
      </c>
      <c r="E733" t="s">
        <v>5126</v>
      </c>
      <c r="F733" t="s">
        <v>5125</v>
      </c>
      <c r="G733" t="s">
        <v>16</v>
      </c>
      <c r="H733" t="s">
        <v>5140</v>
      </c>
      <c r="I733" t="s">
        <v>5141</v>
      </c>
      <c r="J733">
        <v>90628</v>
      </c>
      <c r="K733" t="s">
        <v>1583</v>
      </c>
      <c r="L733" t="s">
        <v>5165</v>
      </c>
      <c r="M733" t="s">
        <v>46</v>
      </c>
      <c r="N733">
        <v>45612</v>
      </c>
      <c r="O733">
        <v>1345</v>
      </c>
      <c r="P733" t="s">
        <v>20</v>
      </c>
      <c r="Q733">
        <v>2</v>
      </c>
      <c r="R733" t="s">
        <v>47</v>
      </c>
      <c r="S733" t="s">
        <v>53</v>
      </c>
      <c r="T733" t="s">
        <v>29</v>
      </c>
    </row>
    <row r="734" spans="1:20" x14ac:dyDescent="0.3">
      <c r="A734" t="s">
        <v>1584</v>
      </c>
      <c r="B734" t="s">
        <v>99</v>
      </c>
      <c r="C734" t="s">
        <v>202</v>
      </c>
      <c r="D734" t="s">
        <v>57</v>
      </c>
      <c r="E734" t="s">
        <v>193</v>
      </c>
      <c r="F734" t="s">
        <v>194</v>
      </c>
      <c r="G734" t="s">
        <v>16</v>
      </c>
      <c r="H734" t="s">
        <v>5140</v>
      </c>
      <c r="I734" t="s">
        <v>5141</v>
      </c>
      <c r="J734">
        <v>118083</v>
      </c>
      <c r="K734" t="s">
        <v>1585</v>
      </c>
      <c r="L734" t="s">
        <v>134</v>
      </c>
      <c r="M734" t="s">
        <v>19</v>
      </c>
      <c r="N734">
        <v>45739</v>
      </c>
      <c r="O734">
        <v>1240</v>
      </c>
      <c r="P734" t="s">
        <v>92</v>
      </c>
      <c r="Q734">
        <v>2</v>
      </c>
      <c r="R734" t="s">
        <v>76</v>
      </c>
      <c r="S734" t="s">
        <v>21</v>
      </c>
      <c r="T734" t="s">
        <v>29</v>
      </c>
    </row>
    <row r="735" spans="1:20" x14ac:dyDescent="0.3">
      <c r="A735" t="s">
        <v>1586</v>
      </c>
      <c r="B735" t="s">
        <v>229</v>
      </c>
      <c r="C735" t="s">
        <v>166</v>
      </c>
      <c r="D735" t="s">
        <v>104</v>
      </c>
      <c r="E735" t="s">
        <v>5126</v>
      </c>
      <c r="F735" t="s">
        <v>5125</v>
      </c>
      <c r="G735" t="s">
        <v>50</v>
      </c>
      <c r="H735" t="s">
        <v>5140</v>
      </c>
      <c r="I735" t="s">
        <v>5141</v>
      </c>
      <c r="J735">
        <v>76288</v>
      </c>
      <c r="K735" t="s">
        <v>1587</v>
      </c>
      <c r="L735" t="s">
        <v>61</v>
      </c>
      <c r="M735" t="s">
        <v>39</v>
      </c>
      <c r="N735">
        <v>45513</v>
      </c>
      <c r="O735">
        <v>2365</v>
      </c>
      <c r="P735" t="s">
        <v>20</v>
      </c>
      <c r="Q735">
        <v>2</v>
      </c>
      <c r="R735" t="s">
        <v>47</v>
      </c>
      <c r="S735" t="s">
        <v>21</v>
      </c>
      <c r="T735" t="s">
        <v>29</v>
      </c>
    </row>
    <row r="736" spans="1:20" x14ac:dyDescent="0.3">
      <c r="A736" t="s">
        <v>1588</v>
      </c>
      <c r="B736" t="s">
        <v>84</v>
      </c>
      <c r="C736" t="s">
        <v>232</v>
      </c>
      <c r="D736" t="s">
        <v>5156</v>
      </c>
      <c r="E736" t="s">
        <v>152</v>
      </c>
      <c r="F736" t="s">
        <v>153</v>
      </c>
      <c r="G736" t="s">
        <v>16</v>
      </c>
      <c r="H736" t="s">
        <v>5140</v>
      </c>
      <c r="I736" t="s">
        <v>5141</v>
      </c>
      <c r="J736">
        <v>130377</v>
      </c>
      <c r="K736" t="s">
        <v>1589</v>
      </c>
      <c r="L736" t="s">
        <v>179</v>
      </c>
      <c r="M736" t="s">
        <v>46</v>
      </c>
      <c r="N736">
        <v>45682</v>
      </c>
      <c r="O736">
        <v>1293</v>
      </c>
      <c r="P736" t="s">
        <v>92</v>
      </c>
      <c r="Q736">
        <v>2</v>
      </c>
      <c r="R736" t="s">
        <v>40</v>
      </c>
      <c r="S736" t="s">
        <v>21</v>
      </c>
      <c r="T736" t="s">
        <v>29</v>
      </c>
    </row>
    <row r="737" spans="1:20" x14ac:dyDescent="0.3">
      <c r="A737" t="s">
        <v>1590</v>
      </c>
      <c r="B737" t="s">
        <v>99</v>
      </c>
      <c r="C737" t="s">
        <v>151</v>
      </c>
      <c r="D737" t="s">
        <v>68</v>
      </c>
      <c r="E737" t="s">
        <v>5128</v>
      </c>
      <c r="F737" t="s">
        <v>5125</v>
      </c>
      <c r="G737" t="s">
        <v>16</v>
      </c>
      <c r="H737" t="s">
        <v>5142</v>
      </c>
      <c r="I737" t="s">
        <v>5143</v>
      </c>
      <c r="J737">
        <v>162760</v>
      </c>
      <c r="K737" t="s">
        <v>1591</v>
      </c>
      <c r="L737" t="s">
        <v>142</v>
      </c>
      <c r="M737" t="s">
        <v>19</v>
      </c>
      <c r="N737">
        <v>45453</v>
      </c>
      <c r="O737">
        <v>678</v>
      </c>
      <c r="P737" t="s">
        <v>20</v>
      </c>
      <c r="Q737">
        <v>4</v>
      </c>
      <c r="R737" t="s">
        <v>76</v>
      </c>
      <c r="S737" t="s">
        <v>53</v>
      </c>
      <c r="T737" t="s">
        <v>29</v>
      </c>
    </row>
    <row r="738" spans="1:20" x14ac:dyDescent="0.3">
      <c r="A738" t="s">
        <v>1592</v>
      </c>
      <c r="B738" t="s">
        <v>23</v>
      </c>
      <c r="C738" t="s">
        <v>202</v>
      </c>
      <c r="D738" t="s">
        <v>140</v>
      </c>
      <c r="E738" t="s">
        <v>14</v>
      </c>
      <c r="F738" t="s">
        <v>15</v>
      </c>
      <c r="G738" t="s">
        <v>36</v>
      </c>
      <c r="H738" t="s">
        <v>5138</v>
      </c>
      <c r="I738" t="s">
        <v>5139</v>
      </c>
      <c r="J738">
        <v>209217</v>
      </c>
      <c r="K738" t="s">
        <v>1593</v>
      </c>
      <c r="L738" t="s">
        <v>179</v>
      </c>
      <c r="M738" t="s">
        <v>46</v>
      </c>
      <c r="N738">
        <v>45419</v>
      </c>
      <c r="O738">
        <v>708</v>
      </c>
      <c r="P738" t="s">
        <v>20</v>
      </c>
      <c r="Q738">
        <v>6</v>
      </c>
      <c r="R738" t="s">
        <v>76</v>
      </c>
      <c r="S738" t="s">
        <v>21</v>
      </c>
      <c r="T738" t="s">
        <v>20</v>
      </c>
    </row>
    <row r="739" spans="1:20" x14ac:dyDescent="0.3">
      <c r="A739" t="s">
        <v>1594</v>
      </c>
      <c r="B739" t="s">
        <v>165</v>
      </c>
      <c r="C739" t="s">
        <v>232</v>
      </c>
      <c r="D739" t="s">
        <v>118</v>
      </c>
      <c r="E739" t="s">
        <v>34</v>
      </c>
      <c r="F739" t="s">
        <v>35</v>
      </c>
      <c r="G739" t="s">
        <v>50</v>
      </c>
      <c r="H739" t="s">
        <v>5140</v>
      </c>
      <c r="I739" t="s">
        <v>5141</v>
      </c>
      <c r="J739">
        <v>129457</v>
      </c>
      <c r="K739" t="s">
        <v>1595</v>
      </c>
      <c r="L739" t="s">
        <v>134</v>
      </c>
      <c r="M739" t="s">
        <v>19</v>
      </c>
      <c r="N739">
        <v>45543</v>
      </c>
      <c r="O739">
        <v>3948</v>
      </c>
      <c r="P739" t="s">
        <v>20</v>
      </c>
      <c r="Q739">
        <v>2</v>
      </c>
      <c r="R739" t="s">
        <v>40</v>
      </c>
      <c r="S739" t="s">
        <v>53</v>
      </c>
      <c r="T739" t="s">
        <v>20</v>
      </c>
    </row>
    <row r="740" spans="1:20" x14ac:dyDescent="0.3">
      <c r="A740" t="s">
        <v>1596</v>
      </c>
      <c r="B740" t="s">
        <v>63</v>
      </c>
      <c r="C740" t="s">
        <v>219</v>
      </c>
      <c r="D740" t="s">
        <v>25</v>
      </c>
      <c r="E740" t="s">
        <v>209</v>
      </c>
      <c r="F740" t="s">
        <v>210</v>
      </c>
      <c r="G740" t="s">
        <v>50</v>
      </c>
      <c r="H740" t="s">
        <v>5142</v>
      </c>
      <c r="I740" t="s">
        <v>5143</v>
      </c>
      <c r="J740">
        <v>194967</v>
      </c>
      <c r="K740" t="s">
        <v>1597</v>
      </c>
      <c r="L740" t="s">
        <v>61</v>
      </c>
      <c r="M740" t="s">
        <v>19</v>
      </c>
      <c r="N740">
        <v>45545</v>
      </c>
      <c r="O740">
        <v>2141</v>
      </c>
      <c r="P740" t="s">
        <v>92</v>
      </c>
      <c r="Q740">
        <v>4</v>
      </c>
      <c r="R740" t="s">
        <v>5116</v>
      </c>
      <c r="S740" t="s">
        <v>21</v>
      </c>
      <c r="T740" t="s">
        <v>20</v>
      </c>
    </row>
    <row r="741" spans="1:20" x14ac:dyDescent="0.3">
      <c r="A741" t="s">
        <v>1598</v>
      </c>
      <c r="B741" t="s">
        <v>222</v>
      </c>
      <c r="C741" t="s">
        <v>24</v>
      </c>
      <c r="D741" t="s">
        <v>68</v>
      </c>
      <c r="E741" t="s">
        <v>223</v>
      </c>
      <c r="F741" t="s">
        <v>224</v>
      </c>
      <c r="G741" t="s">
        <v>16</v>
      </c>
      <c r="H741" t="s">
        <v>5140</v>
      </c>
      <c r="I741" t="s">
        <v>5141</v>
      </c>
      <c r="J741">
        <v>130084</v>
      </c>
      <c r="K741" t="s">
        <v>1599</v>
      </c>
      <c r="L741" t="s">
        <v>142</v>
      </c>
      <c r="M741" t="s">
        <v>19</v>
      </c>
      <c r="N741">
        <v>45513</v>
      </c>
      <c r="O741">
        <v>3019</v>
      </c>
      <c r="P741" t="s">
        <v>20</v>
      </c>
      <c r="Q741">
        <v>2</v>
      </c>
      <c r="R741" t="s">
        <v>40</v>
      </c>
      <c r="S741" t="s">
        <v>21</v>
      </c>
      <c r="T741" t="s">
        <v>20</v>
      </c>
    </row>
    <row r="742" spans="1:20" x14ac:dyDescent="0.3">
      <c r="A742" t="s">
        <v>1600</v>
      </c>
      <c r="B742" t="s">
        <v>130</v>
      </c>
      <c r="C742" t="s">
        <v>202</v>
      </c>
      <c r="D742" t="s">
        <v>167</v>
      </c>
      <c r="E742" t="s">
        <v>5127</v>
      </c>
      <c r="F742" t="s">
        <v>5125</v>
      </c>
      <c r="G742" t="s">
        <v>36</v>
      </c>
      <c r="H742" t="s">
        <v>5138</v>
      </c>
      <c r="I742" t="s">
        <v>5139</v>
      </c>
      <c r="J742">
        <v>133728</v>
      </c>
      <c r="K742" t="s">
        <v>1601</v>
      </c>
      <c r="L742" t="s">
        <v>5165</v>
      </c>
      <c r="M742" t="s">
        <v>39</v>
      </c>
      <c r="N742">
        <v>45430</v>
      </c>
      <c r="O742">
        <v>2012</v>
      </c>
      <c r="P742" t="s">
        <v>20</v>
      </c>
      <c r="Q742">
        <v>6</v>
      </c>
      <c r="R742" t="s">
        <v>5116</v>
      </c>
      <c r="S742" t="s">
        <v>53</v>
      </c>
      <c r="T742" t="s">
        <v>20</v>
      </c>
    </row>
    <row r="743" spans="1:20" x14ac:dyDescent="0.3">
      <c r="A743" t="s">
        <v>1602</v>
      </c>
      <c r="B743" t="s">
        <v>63</v>
      </c>
      <c r="C743" t="s">
        <v>103</v>
      </c>
      <c r="D743" t="s">
        <v>118</v>
      </c>
      <c r="E743" t="s">
        <v>69</v>
      </c>
      <c r="F743" t="s">
        <v>70</v>
      </c>
      <c r="G743" t="s">
        <v>50</v>
      </c>
      <c r="H743" t="s">
        <v>5142</v>
      </c>
      <c r="I743" t="s">
        <v>5143</v>
      </c>
      <c r="J743">
        <v>115451</v>
      </c>
      <c r="K743" t="s">
        <v>1603</v>
      </c>
      <c r="L743" t="s">
        <v>38</v>
      </c>
      <c r="M743" t="s">
        <v>46</v>
      </c>
      <c r="N743">
        <v>45303</v>
      </c>
      <c r="O743">
        <v>3200</v>
      </c>
      <c r="P743" t="s">
        <v>29</v>
      </c>
      <c r="Q743">
        <v>4</v>
      </c>
      <c r="R743" t="s">
        <v>5116</v>
      </c>
      <c r="S743" t="s">
        <v>21</v>
      </c>
      <c r="T743" t="s">
        <v>29</v>
      </c>
    </row>
    <row r="744" spans="1:20" x14ac:dyDescent="0.3">
      <c r="A744" t="s">
        <v>1604</v>
      </c>
      <c r="B744" t="s">
        <v>229</v>
      </c>
      <c r="C744" t="s">
        <v>175</v>
      </c>
      <c r="D744" t="s">
        <v>118</v>
      </c>
      <c r="E744" t="s">
        <v>58</v>
      </c>
      <c r="F744" t="s">
        <v>59</v>
      </c>
      <c r="G744" t="s">
        <v>36</v>
      </c>
      <c r="H744" t="s">
        <v>5136</v>
      </c>
      <c r="I744" t="s">
        <v>5137</v>
      </c>
      <c r="J744">
        <v>62127</v>
      </c>
      <c r="K744" t="s">
        <v>1605</v>
      </c>
      <c r="L744" t="s">
        <v>179</v>
      </c>
      <c r="M744" t="s">
        <v>19</v>
      </c>
      <c r="N744">
        <v>45738</v>
      </c>
      <c r="O744">
        <v>770</v>
      </c>
      <c r="P744" t="s">
        <v>29</v>
      </c>
      <c r="Q744">
        <v>0</v>
      </c>
      <c r="R744" t="s">
        <v>5116</v>
      </c>
      <c r="S744" t="s">
        <v>21</v>
      </c>
      <c r="T744" t="s">
        <v>20</v>
      </c>
    </row>
    <row r="745" spans="1:20" x14ac:dyDescent="0.3">
      <c r="A745" t="s">
        <v>1606</v>
      </c>
      <c r="B745" t="s">
        <v>84</v>
      </c>
      <c r="C745" t="s">
        <v>188</v>
      </c>
      <c r="D745" t="s">
        <v>118</v>
      </c>
      <c r="E745" t="s">
        <v>5127</v>
      </c>
      <c r="F745" t="s">
        <v>5125</v>
      </c>
      <c r="G745" t="s">
        <v>36</v>
      </c>
      <c r="H745" t="s">
        <v>5140</v>
      </c>
      <c r="I745" t="s">
        <v>5141</v>
      </c>
      <c r="J745">
        <v>110516</v>
      </c>
      <c r="K745" t="s">
        <v>1607</v>
      </c>
      <c r="L745" t="s">
        <v>82</v>
      </c>
      <c r="M745" t="s">
        <v>46</v>
      </c>
      <c r="N745">
        <v>45490</v>
      </c>
      <c r="O745">
        <v>1822</v>
      </c>
      <c r="P745" t="s">
        <v>29</v>
      </c>
      <c r="Q745">
        <v>2</v>
      </c>
      <c r="R745" t="s">
        <v>5116</v>
      </c>
      <c r="S745" t="s">
        <v>21</v>
      </c>
      <c r="T745" t="s">
        <v>20</v>
      </c>
    </row>
    <row r="746" spans="1:20" x14ac:dyDescent="0.3">
      <c r="A746" t="s">
        <v>1608</v>
      </c>
      <c r="B746" t="s">
        <v>31</v>
      </c>
      <c r="C746" t="s">
        <v>64</v>
      </c>
      <c r="D746" t="s">
        <v>33</v>
      </c>
      <c r="E746" t="s">
        <v>126</v>
      </c>
      <c r="F746" t="s">
        <v>127</v>
      </c>
      <c r="G746" t="s">
        <v>36</v>
      </c>
      <c r="H746" t="s">
        <v>5140</v>
      </c>
      <c r="I746" t="s">
        <v>5141</v>
      </c>
      <c r="J746">
        <v>120249</v>
      </c>
      <c r="K746" t="s">
        <v>1609</v>
      </c>
      <c r="L746" t="s">
        <v>38</v>
      </c>
      <c r="M746" t="s">
        <v>19</v>
      </c>
      <c r="N746">
        <v>45388</v>
      </c>
      <c r="O746">
        <v>2473</v>
      </c>
      <c r="P746" t="s">
        <v>20</v>
      </c>
      <c r="Q746">
        <v>2</v>
      </c>
      <c r="R746" t="s">
        <v>40</v>
      </c>
      <c r="S746" t="s">
        <v>21</v>
      </c>
      <c r="T746" t="s">
        <v>29</v>
      </c>
    </row>
    <row r="747" spans="1:20" x14ac:dyDescent="0.3">
      <c r="A747" t="s">
        <v>1610</v>
      </c>
      <c r="B747" t="s">
        <v>218</v>
      </c>
      <c r="C747" t="s">
        <v>79</v>
      </c>
      <c r="D747" t="s">
        <v>5156</v>
      </c>
      <c r="E747" t="s">
        <v>69</v>
      </c>
      <c r="F747" t="s">
        <v>70</v>
      </c>
      <c r="G747" t="s">
        <v>16</v>
      </c>
      <c r="H747" t="s">
        <v>5140</v>
      </c>
      <c r="I747" t="s">
        <v>5141</v>
      </c>
      <c r="J747">
        <v>95630</v>
      </c>
      <c r="K747" t="s">
        <v>1611</v>
      </c>
      <c r="L747" t="s">
        <v>38</v>
      </c>
      <c r="M747" t="s">
        <v>46</v>
      </c>
      <c r="N747">
        <v>45747</v>
      </c>
      <c r="O747">
        <v>337</v>
      </c>
      <c r="P747" t="s">
        <v>20</v>
      </c>
      <c r="Q747">
        <v>2</v>
      </c>
      <c r="R747" t="s">
        <v>52</v>
      </c>
      <c r="S747" t="s">
        <v>21</v>
      </c>
      <c r="T747" t="s">
        <v>20</v>
      </c>
    </row>
    <row r="748" spans="1:20" x14ac:dyDescent="0.3">
      <c r="A748" t="s">
        <v>1612</v>
      </c>
      <c r="B748" t="s">
        <v>63</v>
      </c>
      <c r="C748" t="s">
        <v>219</v>
      </c>
      <c r="D748" t="s">
        <v>57</v>
      </c>
      <c r="E748" t="s">
        <v>193</v>
      </c>
      <c r="F748" t="s">
        <v>194</v>
      </c>
      <c r="G748" t="s">
        <v>36</v>
      </c>
      <c r="H748" t="s">
        <v>5142</v>
      </c>
      <c r="I748" t="s">
        <v>5143</v>
      </c>
      <c r="J748">
        <v>155042</v>
      </c>
      <c r="K748" t="s">
        <v>1613</v>
      </c>
      <c r="L748" t="s">
        <v>82</v>
      </c>
      <c r="M748" t="s">
        <v>46</v>
      </c>
      <c r="N748">
        <v>45477</v>
      </c>
      <c r="O748">
        <v>1293</v>
      </c>
      <c r="P748" t="s">
        <v>20</v>
      </c>
      <c r="Q748">
        <v>4</v>
      </c>
      <c r="R748" t="s">
        <v>47</v>
      </c>
      <c r="S748" t="s">
        <v>21</v>
      </c>
      <c r="T748" t="s">
        <v>29</v>
      </c>
    </row>
    <row r="749" spans="1:20" x14ac:dyDescent="0.3">
      <c r="A749" t="s">
        <v>1614</v>
      </c>
      <c r="B749" t="s">
        <v>218</v>
      </c>
      <c r="C749" t="s">
        <v>49</v>
      </c>
      <c r="D749" t="s">
        <v>140</v>
      </c>
      <c r="E749" t="s">
        <v>34</v>
      </c>
      <c r="F749" t="s">
        <v>35</v>
      </c>
      <c r="G749" t="s">
        <v>50</v>
      </c>
      <c r="H749" t="s">
        <v>5138</v>
      </c>
      <c r="I749" t="s">
        <v>5139</v>
      </c>
      <c r="J749">
        <v>172806</v>
      </c>
      <c r="K749" t="s">
        <v>1615</v>
      </c>
      <c r="L749" t="s">
        <v>5165</v>
      </c>
      <c r="M749" t="s">
        <v>72</v>
      </c>
      <c r="N749">
        <v>45458</v>
      </c>
      <c r="O749">
        <v>3238</v>
      </c>
      <c r="P749" t="s">
        <v>20</v>
      </c>
      <c r="Q749">
        <v>6</v>
      </c>
      <c r="R749" t="s">
        <v>47</v>
      </c>
      <c r="S749" t="s">
        <v>21</v>
      </c>
      <c r="T749" t="s">
        <v>29</v>
      </c>
    </row>
    <row r="750" spans="1:20" x14ac:dyDescent="0.3">
      <c r="A750" t="s">
        <v>1616</v>
      </c>
      <c r="B750" t="s">
        <v>215</v>
      </c>
      <c r="C750" t="s">
        <v>197</v>
      </c>
      <c r="D750" t="s">
        <v>5156</v>
      </c>
      <c r="E750" t="s">
        <v>193</v>
      </c>
      <c r="F750" t="s">
        <v>194</v>
      </c>
      <c r="G750" t="s">
        <v>50</v>
      </c>
      <c r="H750" t="s">
        <v>5140</v>
      </c>
      <c r="I750" t="s">
        <v>5141</v>
      </c>
      <c r="J750">
        <v>97891</v>
      </c>
      <c r="K750" t="s">
        <v>1617</v>
      </c>
      <c r="L750" t="s">
        <v>38</v>
      </c>
      <c r="M750" t="s">
        <v>46</v>
      </c>
      <c r="N750">
        <v>45403</v>
      </c>
      <c r="O750">
        <v>1253</v>
      </c>
      <c r="P750" t="s">
        <v>20</v>
      </c>
      <c r="Q750">
        <v>2</v>
      </c>
      <c r="R750" t="s">
        <v>76</v>
      </c>
      <c r="S750" t="s">
        <v>21</v>
      </c>
      <c r="T750" t="s">
        <v>29</v>
      </c>
    </row>
    <row r="751" spans="1:20" x14ac:dyDescent="0.3">
      <c r="A751" t="s">
        <v>1618</v>
      </c>
      <c r="B751" t="s">
        <v>78</v>
      </c>
      <c r="C751" t="s">
        <v>103</v>
      </c>
      <c r="D751" t="s">
        <v>167</v>
      </c>
      <c r="E751" t="s">
        <v>5131</v>
      </c>
      <c r="F751" t="s">
        <v>5125</v>
      </c>
      <c r="G751" t="s">
        <v>16</v>
      </c>
      <c r="H751" t="s">
        <v>5138</v>
      </c>
      <c r="I751" t="s">
        <v>5139</v>
      </c>
      <c r="J751">
        <v>149360</v>
      </c>
      <c r="K751" t="s">
        <v>1619</v>
      </c>
      <c r="L751" t="s">
        <v>5165</v>
      </c>
      <c r="M751" t="s">
        <v>39</v>
      </c>
      <c r="N751">
        <v>45728</v>
      </c>
      <c r="O751">
        <v>589</v>
      </c>
      <c r="P751" t="s">
        <v>29</v>
      </c>
      <c r="Q751">
        <v>6</v>
      </c>
      <c r="R751" t="s">
        <v>52</v>
      </c>
      <c r="S751" t="s">
        <v>53</v>
      </c>
      <c r="T751" t="s">
        <v>29</v>
      </c>
    </row>
    <row r="752" spans="1:20" x14ac:dyDescent="0.3">
      <c r="A752" t="s">
        <v>1620</v>
      </c>
      <c r="B752" t="s">
        <v>144</v>
      </c>
      <c r="C752" t="s">
        <v>151</v>
      </c>
      <c r="D752" t="s">
        <v>118</v>
      </c>
      <c r="E752" t="s">
        <v>95</v>
      </c>
      <c r="F752" t="s">
        <v>96</v>
      </c>
      <c r="G752" t="s">
        <v>16</v>
      </c>
      <c r="H752" t="s">
        <v>5142</v>
      </c>
      <c r="I752" t="s">
        <v>5143</v>
      </c>
      <c r="J752">
        <v>125072</v>
      </c>
      <c r="K752" t="s">
        <v>1621</v>
      </c>
      <c r="L752" t="s">
        <v>38</v>
      </c>
      <c r="M752" t="s">
        <v>46</v>
      </c>
      <c r="N752">
        <v>45451</v>
      </c>
      <c r="O752">
        <v>268</v>
      </c>
      <c r="P752" t="s">
        <v>29</v>
      </c>
      <c r="Q752">
        <v>4</v>
      </c>
      <c r="R752" t="s">
        <v>40</v>
      </c>
      <c r="S752" t="s">
        <v>21</v>
      </c>
      <c r="T752" t="s">
        <v>29</v>
      </c>
    </row>
    <row r="753" spans="1:20" x14ac:dyDescent="0.3">
      <c r="A753" t="s">
        <v>1622</v>
      </c>
      <c r="B753" t="s">
        <v>229</v>
      </c>
      <c r="C753" t="s">
        <v>24</v>
      </c>
      <c r="D753" t="s">
        <v>104</v>
      </c>
      <c r="E753" t="s">
        <v>5124</v>
      </c>
      <c r="F753" t="s">
        <v>5125</v>
      </c>
      <c r="G753" t="s">
        <v>36</v>
      </c>
      <c r="H753" t="s">
        <v>5140</v>
      </c>
      <c r="I753" t="s">
        <v>5141</v>
      </c>
      <c r="J753">
        <v>83236</v>
      </c>
      <c r="K753" t="s">
        <v>1623</v>
      </c>
      <c r="L753" t="s">
        <v>61</v>
      </c>
      <c r="M753" t="s">
        <v>72</v>
      </c>
      <c r="N753">
        <v>45535</v>
      </c>
      <c r="O753">
        <v>2910</v>
      </c>
      <c r="P753" t="s">
        <v>20</v>
      </c>
      <c r="Q753">
        <v>2</v>
      </c>
      <c r="R753" t="s">
        <v>47</v>
      </c>
      <c r="S753" t="s">
        <v>53</v>
      </c>
      <c r="T753" t="s">
        <v>29</v>
      </c>
    </row>
    <row r="754" spans="1:20" x14ac:dyDescent="0.3">
      <c r="A754" t="s">
        <v>1624</v>
      </c>
      <c r="B754" t="s">
        <v>136</v>
      </c>
      <c r="C754" t="s">
        <v>56</v>
      </c>
      <c r="D754" t="s">
        <v>57</v>
      </c>
      <c r="E754" t="s">
        <v>5132</v>
      </c>
      <c r="F754" t="s">
        <v>5125</v>
      </c>
      <c r="G754" t="s">
        <v>16</v>
      </c>
      <c r="H754" t="s">
        <v>5138</v>
      </c>
      <c r="I754" t="s">
        <v>5139</v>
      </c>
      <c r="J754">
        <v>164868</v>
      </c>
      <c r="K754" t="s">
        <v>1625</v>
      </c>
      <c r="L754" t="s">
        <v>142</v>
      </c>
      <c r="M754" t="s">
        <v>46</v>
      </c>
      <c r="N754">
        <v>45742</v>
      </c>
      <c r="O754">
        <v>284</v>
      </c>
      <c r="P754" t="s">
        <v>20</v>
      </c>
      <c r="Q754">
        <v>6</v>
      </c>
      <c r="R754" t="s">
        <v>47</v>
      </c>
      <c r="S754" t="s">
        <v>53</v>
      </c>
      <c r="T754" t="s">
        <v>29</v>
      </c>
    </row>
    <row r="755" spans="1:20" x14ac:dyDescent="0.3">
      <c r="A755" t="s">
        <v>1626</v>
      </c>
      <c r="B755" t="s">
        <v>55</v>
      </c>
      <c r="C755" t="s">
        <v>202</v>
      </c>
      <c r="D755" t="s">
        <v>25</v>
      </c>
      <c r="E755" t="s">
        <v>5127</v>
      </c>
      <c r="F755" t="s">
        <v>5125</v>
      </c>
      <c r="G755" t="s">
        <v>36</v>
      </c>
      <c r="H755" t="s">
        <v>5142</v>
      </c>
      <c r="I755" t="s">
        <v>5143</v>
      </c>
      <c r="J755">
        <v>178448</v>
      </c>
      <c r="K755" t="s">
        <v>1627</v>
      </c>
      <c r="L755" t="s">
        <v>87</v>
      </c>
      <c r="M755" t="s">
        <v>72</v>
      </c>
      <c r="N755">
        <v>45406</v>
      </c>
      <c r="O755">
        <v>1296</v>
      </c>
      <c r="P755" t="s">
        <v>20</v>
      </c>
      <c r="Q755">
        <v>4</v>
      </c>
      <c r="R755" t="s">
        <v>76</v>
      </c>
      <c r="S755" t="s">
        <v>21</v>
      </c>
      <c r="T755" t="s">
        <v>20</v>
      </c>
    </row>
    <row r="756" spans="1:20" x14ac:dyDescent="0.3">
      <c r="A756" t="s">
        <v>1628</v>
      </c>
      <c r="B756" t="s">
        <v>99</v>
      </c>
      <c r="C756" t="s">
        <v>13</v>
      </c>
      <c r="D756" t="s">
        <v>5156</v>
      </c>
      <c r="E756" t="s">
        <v>223</v>
      </c>
      <c r="F756" t="s">
        <v>224</v>
      </c>
      <c r="G756" t="s">
        <v>36</v>
      </c>
      <c r="H756" t="s">
        <v>5136</v>
      </c>
      <c r="I756" t="s">
        <v>5137</v>
      </c>
      <c r="J756">
        <v>58037</v>
      </c>
      <c r="K756" t="s">
        <v>1629</v>
      </c>
      <c r="L756" t="s">
        <v>5165</v>
      </c>
      <c r="M756" t="s">
        <v>19</v>
      </c>
      <c r="N756">
        <v>45668</v>
      </c>
      <c r="O756">
        <v>600</v>
      </c>
      <c r="P756" t="s">
        <v>20</v>
      </c>
      <c r="Q756">
        <v>0</v>
      </c>
      <c r="R756" t="s">
        <v>5116</v>
      </c>
      <c r="S756" t="s">
        <v>21</v>
      </c>
      <c r="T756" t="s">
        <v>20</v>
      </c>
    </row>
    <row r="757" spans="1:20" x14ac:dyDescent="0.3">
      <c r="A757" t="s">
        <v>1630</v>
      </c>
      <c r="B757" t="s">
        <v>63</v>
      </c>
      <c r="C757" t="s">
        <v>94</v>
      </c>
      <c r="D757" t="s">
        <v>25</v>
      </c>
      <c r="E757" t="s">
        <v>34</v>
      </c>
      <c r="F757" t="s">
        <v>35</v>
      </c>
      <c r="G757" t="s">
        <v>36</v>
      </c>
      <c r="H757" t="s">
        <v>5142</v>
      </c>
      <c r="I757" t="s">
        <v>5143</v>
      </c>
      <c r="J757">
        <v>221074</v>
      </c>
      <c r="K757" t="s">
        <v>1631</v>
      </c>
      <c r="L757" t="s">
        <v>5165</v>
      </c>
      <c r="M757" t="s">
        <v>46</v>
      </c>
      <c r="N757">
        <v>45367</v>
      </c>
      <c r="O757">
        <v>2902</v>
      </c>
      <c r="P757" t="s">
        <v>20</v>
      </c>
      <c r="Q757">
        <v>4</v>
      </c>
      <c r="R757" t="s">
        <v>40</v>
      </c>
      <c r="S757" t="s">
        <v>21</v>
      </c>
      <c r="T757" t="s">
        <v>29</v>
      </c>
    </row>
    <row r="758" spans="1:20" x14ac:dyDescent="0.3">
      <c r="A758" t="s">
        <v>1632</v>
      </c>
      <c r="B758" t="s">
        <v>144</v>
      </c>
      <c r="C758" t="s">
        <v>90</v>
      </c>
      <c r="D758" t="s">
        <v>167</v>
      </c>
      <c r="E758" t="s">
        <v>5127</v>
      </c>
      <c r="F758" t="s">
        <v>5125</v>
      </c>
      <c r="G758" t="s">
        <v>50</v>
      </c>
      <c r="H758" t="s">
        <v>5136</v>
      </c>
      <c r="I758" t="s">
        <v>5137</v>
      </c>
      <c r="J758">
        <v>76215</v>
      </c>
      <c r="K758" t="s">
        <v>1633</v>
      </c>
      <c r="L758" t="s">
        <v>134</v>
      </c>
      <c r="M758" t="s">
        <v>46</v>
      </c>
      <c r="N758">
        <v>45574</v>
      </c>
      <c r="O758">
        <v>2521</v>
      </c>
      <c r="P758" t="s">
        <v>20</v>
      </c>
      <c r="Q758">
        <v>0</v>
      </c>
      <c r="R758" t="s">
        <v>5116</v>
      </c>
      <c r="S758" t="s">
        <v>21</v>
      </c>
      <c r="T758" t="s">
        <v>29</v>
      </c>
    </row>
    <row r="759" spans="1:20" x14ac:dyDescent="0.3">
      <c r="A759" t="s">
        <v>1634</v>
      </c>
      <c r="B759" t="s">
        <v>136</v>
      </c>
      <c r="C759" t="s">
        <v>103</v>
      </c>
      <c r="D759" t="s">
        <v>167</v>
      </c>
      <c r="E759" t="s">
        <v>69</v>
      </c>
      <c r="F759" t="s">
        <v>70</v>
      </c>
      <c r="G759" t="s">
        <v>16</v>
      </c>
      <c r="H759" t="s">
        <v>5136</v>
      </c>
      <c r="I759" t="s">
        <v>5137</v>
      </c>
      <c r="J759">
        <v>72328</v>
      </c>
      <c r="K759" t="s">
        <v>1635</v>
      </c>
      <c r="L759" t="s">
        <v>238</v>
      </c>
      <c r="M759" t="s">
        <v>72</v>
      </c>
      <c r="N759">
        <v>45659</v>
      </c>
      <c r="O759">
        <v>342</v>
      </c>
      <c r="P759" t="s">
        <v>20</v>
      </c>
      <c r="Q759">
        <v>0</v>
      </c>
      <c r="R759" t="s">
        <v>5116</v>
      </c>
      <c r="S759" t="s">
        <v>21</v>
      </c>
      <c r="T759" t="s">
        <v>20</v>
      </c>
    </row>
    <row r="760" spans="1:20" x14ac:dyDescent="0.3">
      <c r="A760" t="s">
        <v>1636</v>
      </c>
      <c r="B760" t="s">
        <v>124</v>
      </c>
      <c r="C760" t="s">
        <v>85</v>
      </c>
      <c r="D760" t="s">
        <v>33</v>
      </c>
      <c r="E760" t="s">
        <v>5126</v>
      </c>
      <c r="F760" t="s">
        <v>5125</v>
      </c>
      <c r="G760" t="s">
        <v>36</v>
      </c>
      <c r="H760" t="s">
        <v>5138</v>
      </c>
      <c r="I760" t="s">
        <v>5139</v>
      </c>
      <c r="J760">
        <v>169099</v>
      </c>
      <c r="K760" t="s">
        <v>1637</v>
      </c>
      <c r="L760" t="s">
        <v>113</v>
      </c>
      <c r="M760" t="s">
        <v>19</v>
      </c>
      <c r="N760">
        <v>45572</v>
      </c>
      <c r="O760">
        <v>224</v>
      </c>
      <c r="P760" t="s">
        <v>20</v>
      </c>
      <c r="Q760">
        <v>6</v>
      </c>
      <c r="R760" t="s">
        <v>47</v>
      </c>
      <c r="S760" t="s">
        <v>21</v>
      </c>
      <c r="T760" t="s">
        <v>29</v>
      </c>
    </row>
    <row r="761" spans="1:20" x14ac:dyDescent="0.3">
      <c r="A761" t="s">
        <v>1638</v>
      </c>
      <c r="B761" t="s">
        <v>84</v>
      </c>
      <c r="C761" t="s">
        <v>185</v>
      </c>
      <c r="D761" t="s">
        <v>5156</v>
      </c>
      <c r="E761" t="s">
        <v>58</v>
      </c>
      <c r="F761" t="s">
        <v>59</v>
      </c>
      <c r="G761" t="s">
        <v>36</v>
      </c>
      <c r="H761" t="s">
        <v>5140</v>
      </c>
      <c r="I761" t="s">
        <v>5141</v>
      </c>
      <c r="J761">
        <v>123866</v>
      </c>
      <c r="K761" t="s">
        <v>1639</v>
      </c>
      <c r="L761" t="s">
        <v>5165</v>
      </c>
      <c r="M761" t="s">
        <v>46</v>
      </c>
      <c r="N761">
        <v>45457</v>
      </c>
      <c r="O761">
        <v>2262</v>
      </c>
      <c r="P761" t="s">
        <v>29</v>
      </c>
      <c r="Q761">
        <v>2</v>
      </c>
      <c r="R761" t="s">
        <v>47</v>
      </c>
      <c r="S761" t="s">
        <v>21</v>
      </c>
      <c r="T761" t="s">
        <v>29</v>
      </c>
    </row>
    <row r="762" spans="1:20" x14ac:dyDescent="0.3">
      <c r="A762" t="s">
        <v>1640</v>
      </c>
      <c r="B762" t="s">
        <v>136</v>
      </c>
      <c r="C762" t="s">
        <v>172</v>
      </c>
      <c r="D762" t="s">
        <v>25</v>
      </c>
      <c r="E762" t="s">
        <v>5132</v>
      </c>
      <c r="F762" t="s">
        <v>5125</v>
      </c>
      <c r="G762" t="s">
        <v>16</v>
      </c>
      <c r="H762" t="s">
        <v>5138</v>
      </c>
      <c r="I762" t="s">
        <v>5139</v>
      </c>
      <c r="J762">
        <v>179277</v>
      </c>
      <c r="K762" t="s">
        <v>1641</v>
      </c>
      <c r="L762" t="s">
        <v>18</v>
      </c>
      <c r="M762" t="s">
        <v>46</v>
      </c>
      <c r="N762">
        <v>45333</v>
      </c>
      <c r="O762">
        <v>1600</v>
      </c>
      <c r="P762" t="s">
        <v>29</v>
      </c>
      <c r="Q762">
        <v>6</v>
      </c>
      <c r="R762" t="s">
        <v>47</v>
      </c>
      <c r="S762" t="s">
        <v>53</v>
      </c>
      <c r="T762" t="s">
        <v>29</v>
      </c>
    </row>
    <row r="763" spans="1:20" x14ac:dyDescent="0.3">
      <c r="A763" t="s">
        <v>1642</v>
      </c>
      <c r="B763" t="s">
        <v>99</v>
      </c>
      <c r="C763" t="s">
        <v>197</v>
      </c>
      <c r="D763" t="s">
        <v>118</v>
      </c>
      <c r="E763" t="s">
        <v>14</v>
      </c>
      <c r="F763" t="s">
        <v>15</v>
      </c>
      <c r="G763" t="s">
        <v>16</v>
      </c>
      <c r="H763" t="s">
        <v>5142</v>
      </c>
      <c r="I763" t="s">
        <v>5143</v>
      </c>
      <c r="J763">
        <v>153294</v>
      </c>
      <c r="K763" t="s">
        <v>1643</v>
      </c>
      <c r="L763" t="s">
        <v>134</v>
      </c>
      <c r="M763" t="s">
        <v>19</v>
      </c>
      <c r="N763">
        <v>45625</v>
      </c>
      <c r="O763">
        <v>3305</v>
      </c>
      <c r="P763" t="s">
        <v>29</v>
      </c>
      <c r="Q763">
        <v>4</v>
      </c>
      <c r="R763" t="s">
        <v>47</v>
      </c>
      <c r="S763" t="s">
        <v>21</v>
      </c>
      <c r="T763" t="s">
        <v>20</v>
      </c>
    </row>
    <row r="764" spans="1:20" x14ac:dyDescent="0.3">
      <c r="A764" t="s">
        <v>1644</v>
      </c>
      <c r="B764" t="s">
        <v>74</v>
      </c>
      <c r="C764" t="s">
        <v>172</v>
      </c>
      <c r="D764" t="s">
        <v>5156</v>
      </c>
      <c r="E764" t="s">
        <v>193</v>
      </c>
      <c r="F764" t="s">
        <v>194</v>
      </c>
      <c r="G764" t="s">
        <v>50</v>
      </c>
      <c r="H764" t="s">
        <v>5140</v>
      </c>
      <c r="I764" t="s">
        <v>5141</v>
      </c>
      <c r="J764">
        <v>160689</v>
      </c>
      <c r="K764" t="s">
        <v>1645</v>
      </c>
      <c r="L764" t="s">
        <v>179</v>
      </c>
      <c r="M764" t="s">
        <v>19</v>
      </c>
      <c r="N764">
        <v>45476</v>
      </c>
      <c r="O764">
        <v>3534</v>
      </c>
      <c r="P764" t="s">
        <v>20</v>
      </c>
      <c r="Q764">
        <v>2</v>
      </c>
      <c r="R764" t="s">
        <v>52</v>
      </c>
      <c r="S764" t="s">
        <v>41</v>
      </c>
      <c r="T764" t="s">
        <v>29</v>
      </c>
    </row>
    <row r="765" spans="1:20" x14ac:dyDescent="0.3">
      <c r="A765" t="s">
        <v>1646</v>
      </c>
      <c r="B765" t="s">
        <v>229</v>
      </c>
      <c r="C765" t="s">
        <v>79</v>
      </c>
      <c r="D765" t="s">
        <v>5156</v>
      </c>
      <c r="E765" t="s">
        <v>5126</v>
      </c>
      <c r="F765" t="s">
        <v>5125</v>
      </c>
      <c r="G765" t="s">
        <v>36</v>
      </c>
      <c r="H765" t="s">
        <v>5138</v>
      </c>
      <c r="I765" t="s">
        <v>5139</v>
      </c>
      <c r="J765">
        <v>196541</v>
      </c>
      <c r="K765" t="s">
        <v>1647</v>
      </c>
      <c r="L765" t="s">
        <v>142</v>
      </c>
      <c r="M765" t="s">
        <v>39</v>
      </c>
      <c r="N765">
        <v>45376</v>
      </c>
      <c r="O765">
        <v>3520</v>
      </c>
      <c r="P765" t="s">
        <v>29</v>
      </c>
      <c r="Q765">
        <v>6</v>
      </c>
      <c r="R765" t="s">
        <v>40</v>
      </c>
      <c r="S765" t="s">
        <v>41</v>
      </c>
      <c r="T765" t="s">
        <v>29</v>
      </c>
    </row>
    <row r="766" spans="1:20" x14ac:dyDescent="0.3">
      <c r="A766" t="s">
        <v>1648</v>
      </c>
      <c r="B766" t="s">
        <v>130</v>
      </c>
      <c r="C766" t="s">
        <v>90</v>
      </c>
      <c r="D766" t="s">
        <v>5156</v>
      </c>
      <c r="E766" t="s">
        <v>5129</v>
      </c>
      <c r="F766" t="s">
        <v>5130</v>
      </c>
      <c r="G766" t="s">
        <v>16</v>
      </c>
      <c r="H766" t="s">
        <v>5140</v>
      </c>
      <c r="I766" t="s">
        <v>5141</v>
      </c>
      <c r="J766">
        <v>132755</v>
      </c>
      <c r="K766" t="s">
        <v>1649</v>
      </c>
      <c r="L766" t="s">
        <v>134</v>
      </c>
      <c r="M766" t="s">
        <v>19</v>
      </c>
      <c r="N766">
        <v>45402</v>
      </c>
      <c r="O766">
        <v>3690</v>
      </c>
      <c r="P766" t="s">
        <v>29</v>
      </c>
      <c r="Q766">
        <v>2</v>
      </c>
      <c r="R766" t="s">
        <v>47</v>
      </c>
      <c r="S766" t="s">
        <v>21</v>
      </c>
      <c r="T766" t="s">
        <v>20</v>
      </c>
    </row>
    <row r="767" spans="1:20" x14ac:dyDescent="0.3">
      <c r="A767" t="s">
        <v>1650</v>
      </c>
      <c r="B767" t="s">
        <v>99</v>
      </c>
      <c r="C767" t="s">
        <v>175</v>
      </c>
      <c r="D767" t="s">
        <v>68</v>
      </c>
      <c r="E767" t="s">
        <v>5132</v>
      </c>
      <c r="F767" t="s">
        <v>5125</v>
      </c>
      <c r="G767" t="s">
        <v>50</v>
      </c>
      <c r="H767" t="s">
        <v>5136</v>
      </c>
      <c r="I767" t="s">
        <v>5137</v>
      </c>
      <c r="J767">
        <v>61139</v>
      </c>
      <c r="K767" t="s">
        <v>1651</v>
      </c>
      <c r="L767" t="s">
        <v>18</v>
      </c>
      <c r="M767" t="s">
        <v>19</v>
      </c>
      <c r="N767">
        <v>45535</v>
      </c>
      <c r="O767">
        <v>2888</v>
      </c>
      <c r="P767" t="s">
        <v>20</v>
      </c>
      <c r="Q767">
        <v>0</v>
      </c>
      <c r="R767" t="s">
        <v>5116</v>
      </c>
      <c r="S767" t="s">
        <v>53</v>
      </c>
      <c r="T767" t="s">
        <v>29</v>
      </c>
    </row>
    <row r="768" spans="1:20" x14ac:dyDescent="0.3">
      <c r="A768" t="s">
        <v>1652</v>
      </c>
      <c r="B768" t="s">
        <v>63</v>
      </c>
      <c r="C768" t="s">
        <v>43</v>
      </c>
      <c r="D768" t="s">
        <v>44</v>
      </c>
      <c r="E768" t="s">
        <v>5126</v>
      </c>
      <c r="F768" t="s">
        <v>5125</v>
      </c>
      <c r="G768" t="s">
        <v>16</v>
      </c>
      <c r="H768" t="s">
        <v>5138</v>
      </c>
      <c r="I768" t="s">
        <v>5139</v>
      </c>
      <c r="J768">
        <v>198740</v>
      </c>
      <c r="K768" t="s">
        <v>1653</v>
      </c>
      <c r="L768" t="s">
        <v>5165</v>
      </c>
      <c r="M768" t="s">
        <v>72</v>
      </c>
      <c r="N768">
        <v>45546</v>
      </c>
      <c r="O768">
        <v>2917</v>
      </c>
      <c r="P768" t="s">
        <v>20</v>
      </c>
      <c r="Q768">
        <v>6</v>
      </c>
      <c r="R768" t="s">
        <v>52</v>
      </c>
      <c r="S768" t="s">
        <v>21</v>
      </c>
      <c r="T768" t="s">
        <v>29</v>
      </c>
    </row>
    <row r="769" spans="1:20" x14ac:dyDescent="0.3">
      <c r="A769" t="s">
        <v>1654</v>
      </c>
      <c r="B769" t="s">
        <v>31</v>
      </c>
      <c r="C769" t="s">
        <v>67</v>
      </c>
      <c r="D769" t="s">
        <v>57</v>
      </c>
      <c r="E769" t="s">
        <v>26</v>
      </c>
      <c r="F769" t="s">
        <v>27</v>
      </c>
      <c r="G769" t="s">
        <v>36</v>
      </c>
      <c r="H769" t="s">
        <v>5140</v>
      </c>
      <c r="I769" t="s">
        <v>5141</v>
      </c>
      <c r="J769">
        <v>145061</v>
      </c>
      <c r="K769" t="s">
        <v>1655</v>
      </c>
      <c r="L769" t="s">
        <v>134</v>
      </c>
      <c r="M769" t="s">
        <v>39</v>
      </c>
      <c r="N769">
        <v>45706</v>
      </c>
      <c r="O769">
        <v>1183</v>
      </c>
      <c r="P769" t="s">
        <v>20</v>
      </c>
      <c r="Q769">
        <v>2</v>
      </c>
      <c r="R769" t="s">
        <v>76</v>
      </c>
      <c r="S769" t="s">
        <v>21</v>
      </c>
      <c r="T769" t="s">
        <v>20</v>
      </c>
    </row>
    <row r="770" spans="1:20" x14ac:dyDescent="0.3">
      <c r="A770" t="s">
        <v>1656</v>
      </c>
      <c r="B770" t="s">
        <v>23</v>
      </c>
      <c r="C770" t="s">
        <v>219</v>
      </c>
      <c r="D770" t="s">
        <v>57</v>
      </c>
      <c r="E770" t="s">
        <v>5133</v>
      </c>
      <c r="F770" t="s">
        <v>5125</v>
      </c>
      <c r="G770" t="s">
        <v>36</v>
      </c>
      <c r="H770" t="s">
        <v>5140</v>
      </c>
      <c r="I770" t="s">
        <v>5141</v>
      </c>
      <c r="J770">
        <v>97586</v>
      </c>
      <c r="K770" t="s">
        <v>1657</v>
      </c>
      <c r="L770" t="s">
        <v>134</v>
      </c>
      <c r="M770" t="s">
        <v>72</v>
      </c>
      <c r="N770">
        <v>45482</v>
      </c>
      <c r="O770">
        <v>614</v>
      </c>
      <c r="P770" t="s">
        <v>20</v>
      </c>
      <c r="Q770">
        <v>2</v>
      </c>
      <c r="R770" t="s">
        <v>52</v>
      </c>
      <c r="S770" t="s">
        <v>21</v>
      </c>
      <c r="T770" t="s">
        <v>29</v>
      </c>
    </row>
    <row r="771" spans="1:20" x14ac:dyDescent="0.3">
      <c r="A771" t="s">
        <v>1658</v>
      </c>
      <c r="B771" t="s">
        <v>322</v>
      </c>
      <c r="C771" t="s">
        <v>160</v>
      </c>
      <c r="D771" t="s">
        <v>5156</v>
      </c>
      <c r="E771" t="s">
        <v>209</v>
      </c>
      <c r="F771" t="s">
        <v>210</v>
      </c>
      <c r="G771" t="s">
        <v>16</v>
      </c>
      <c r="H771" t="s">
        <v>5136</v>
      </c>
      <c r="I771" t="s">
        <v>5137</v>
      </c>
      <c r="J771">
        <v>92836</v>
      </c>
      <c r="K771" t="s">
        <v>1659</v>
      </c>
      <c r="L771" t="s">
        <v>5165</v>
      </c>
      <c r="M771" t="s">
        <v>46</v>
      </c>
      <c r="N771">
        <v>45362</v>
      </c>
      <c r="O771">
        <v>2462</v>
      </c>
      <c r="P771" t="s">
        <v>20</v>
      </c>
      <c r="Q771">
        <v>0</v>
      </c>
      <c r="R771" t="s">
        <v>47</v>
      </c>
      <c r="S771" t="s">
        <v>53</v>
      </c>
      <c r="T771" t="s">
        <v>20</v>
      </c>
    </row>
    <row r="772" spans="1:20" x14ac:dyDescent="0.3">
      <c r="A772" t="s">
        <v>1660</v>
      </c>
      <c r="B772" t="s">
        <v>99</v>
      </c>
      <c r="C772" t="s">
        <v>117</v>
      </c>
      <c r="D772" t="s">
        <v>25</v>
      </c>
      <c r="E772" t="s">
        <v>5128</v>
      </c>
      <c r="F772" t="s">
        <v>5125</v>
      </c>
      <c r="G772" t="s">
        <v>50</v>
      </c>
      <c r="H772" t="s">
        <v>5138</v>
      </c>
      <c r="I772" t="s">
        <v>5139</v>
      </c>
      <c r="J772">
        <v>225479</v>
      </c>
      <c r="K772" t="s">
        <v>1661</v>
      </c>
      <c r="L772" t="s">
        <v>18</v>
      </c>
      <c r="M772" t="s">
        <v>72</v>
      </c>
      <c r="N772">
        <v>45742</v>
      </c>
      <c r="O772">
        <v>3039</v>
      </c>
      <c r="P772" t="s">
        <v>29</v>
      </c>
      <c r="Q772">
        <v>6</v>
      </c>
      <c r="R772" t="s">
        <v>40</v>
      </c>
      <c r="S772" t="s">
        <v>21</v>
      </c>
      <c r="T772" t="s">
        <v>29</v>
      </c>
    </row>
    <row r="773" spans="1:20" x14ac:dyDescent="0.3">
      <c r="A773" t="s">
        <v>1662</v>
      </c>
      <c r="B773" t="s">
        <v>218</v>
      </c>
      <c r="C773" t="s">
        <v>94</v>
      </c>
      <c r="D773" t="s">
        <v>33</v>
      </c>
      <c r="E773" t="s">
        <v>69</v>
      </c>
      <c r="F773" t="s">
        <v>70</v>
      </c>
      <c r="G773" t="s">
        <v>36</v>
      </c>
      <c r="H773" t="s">
        <v>5138</v>
      </c>
      <c r="I773" t="s">
        <v>5139</v>
      </c>
      <c r="J773">
        <v>179751</v>
      </c>
      <c r="K773" t="s">
        <v>1663</v>
      </c>
      <c r="L773" t="s">
        <v>5165</v>
      </c>
      <c r="M773" t="s">
        <v>46</v>
      </c>
      <c r="N773">
        <v>45493</v>
      </c>
      <c r="O773">
        <v>647</v>
      </c>
      <c r="P773" t="s">
        <v>20</v>
      </c>
      <c r="Q773">
        <v>6</v>
      </c>
      <c r="R773" t="s">
        <v>47</v>
      </c>
      <c r="S773" t="s">
        <v>53</v>
      </c>
      <c r="T773" t="s">
        <v>20</v>
      </c>
    </row>
    <row r="774" spans="1:20" x14ac:dyDescent="0.3">
      <c r="A774" t="s">
        <v>1664</v>
      </c>
      <c r="B774" t="s">
        <v>124</v>
      </c>
      <c r="C774" t="s">
        <v>109</v>
      </c>
      <c r="D774" t="s">
        <v>33</v>
      </c>
      <c r="E774" t="s">
        <v>152</v>
      </c>
      <c r="F774" t="s">
        <v>153</v>
      </c>
      <c r="G774" t="s">
        <v>16</v>
      </c>
      <c r="H774" t="s">
        <v>5136</v>
      </c>
      <c r="I774" t="s">
        <v>5137</v>
      </c>
      <c r="J774">
        <v>77968</v>
      </c>
      <c r="K774" t="s">
        <v>1665</v>
      </c>
      <c r="L774" t="s">
        <v>142</v>
      </c>
      <c r="M774" t="s">
        <v>19</v>
      </c>
      <c r="N774">
        <v>45328</v>
      </c>
      <c r="O774">
        <v>1221</v>
      </c>
      <c r="P774" t="s">
        <v>29</v>
      </c>
      <c r="Q774">
        <v>0</v>
      </c>
      <c r="R774" t="s">
        <v>47</v>
      </c>
      <c r="S774" t="s">
        <v>53</v>
      </c>
      <c r="T774" t="s">
        <v>20</v>
      </c>
    </row>
    <row r="775" spans="1:20" x14ac:dyDescent="0.3">
      <c r="A775" t="s">
        <v>1666</v>
      </c>
      <c r="B775" t="s">
        <v>63</v>
      </c>
      <c r="C775" t="s">
        <v>219</v>
      </c>
      <c r="D775" t="s">
        <v>33</v>
      </c>
      <c r="E775" t="s">
        <v>34</v>
      </c>
      <c r="F775" t="s">
        <v>35</v>
      </c>
      <c r="G775" t="s">
        <v>50</v>
      </c>
      <c r="H775" t="s">
        <v>5142</v>
      </c>
      <c r="I775" t="s">
        <v>5143</v>
      </c>
      <c r="J775">
        <v>176258</v>
      </c>
      <c r="K775" t="s">
        <v>1667</v>
      </c>
      <c r="L775" t="s">
        <v>134</v>
      </c>
      <c r="M775" t="s">
        <v>46</v>
      </c>
      <c r="N775">
        <v>45508</v>
      </c>
      <c r="O775">
        <v>2611</v>
      </c>
      <c r="P775" t="s">
        <v>20</v>
      </c>
      <c r="Q775">
        <v>4</v>
      </c>
      <c r="R775" t="s">
        <v>5116</v>
      </c>
      <c r="S775" t="s">
        <v>21</v>
      </c>
      <c r="T775" t="s">
        <v>20</v>
      </c>
    </row>
    <row r="776" spans="1:20" x14ac:dyDescent="0.3">
      <c r="A776" t="s">
        <v>1668</v>
      </c>
      <c r="B776" t="s">
        <v>89</v>
      </c>
      <c r="C776" t="s">
        <v>188</v>
      </c>
      <c r="D776" t="s">
        <v>167</v>
      </c>
      <c r="E776" t="s">
        <v>5133</v>
      </c>
      <c r="F776" t="s">
        <v>5125</v>
      </c>
      <c r="G776" t="s">
        <v>16</v>
      </c>
      <c r="H776" t="s">
        <v>5142</v>
      </c>
      <c r="I776" t="s">
        <v>5143</v>
      </c>
      <c r="J776">
        <v>166788</v>
      </c>
      <c r="K776" t="s">
        <v>1669</v>
      </c>
      <c r="L776" t="s">
        <v>18</v>
      </c>
      <c r="M776" t="s">
        <v>72</v>
      </c>
      <c r="N776">
        <v>45650</v>
      </c>
      <c r="O776">
        <v>121</v>
      </c>
      <c r="P776" t="s">
        <v>20</v>
      </c>
      <c r="Q776">
        <v>4</v>
      </c>
      <c r="R776" t="s">
        <v>52</v>
      </c>
      <c r="S776" t="s">
        <v>53</v>
      </c>
      <c r="T776" t="s">
        <v>29</v>
      </c>
    </row>
    <row r="777" spans="1:20" x14ac:dyDescent="0.3">
      <c r="A777" t="s">
        <v>1670</v>
      </c>
      <c r="B777" t="s">
        <v>31</v>
      </c>
      <c r="C777" t="s">
        <v>185</v>
      </c>
      <c r="D777" t="s">
        <v>5156</v>
      </c>
      <c r="E777" t="s">
        <v>5128</v>
      </c>
      <c r="F777" t="s">
        <v>5125</v>
      </c>
      <c r="G777" t="s">
        <v>16</v>
      </c>
      <c r="H777" t="s">
        <v>5136</v>
      </c>
      <c r="I777" t="s">
        <v>5137</v>
      </c>
      <c r="J777">
        <v>50215</v>
      </c>
      <c r="K777" t="s">
        <v>1671</v>
      </c>
      <c r="L777" t="s">
        <v>18</v>
      </c>
      <c r="M777" t="s">
        <v>46</v>
      </c>
      <c r="N777">
        <v>45717</v>
      </c>
      <c r="O777">
        <v>897</v>
      </c>
      <c r="P777" t="s">
        <v>20</v>
      </c>
      <c r="Q777">
        <v>0</v>
      </c>
      <c r="R777" t="s">
        <v>5116</v>
      </c>
      <c r="S777" t="s">
        <v>21</v>
      </c>
      <c r="T777" t="s">
        <v>29</v>
      </c>
    </row>
    <row r="778" spans="1:20" x14ac:dyDescent="0.3">
      <c r="A778" t="s">
        <v>1672</v>
      </c>
      <c r="B778" t="s">
        <v>144</v>
      </c>
      <c r="C778" t="s">
        <v>125</v>
      </c>
      <c r="D778" t="s">
        <v>25</v>
      </c>
      <c r="E778" t="s">
        <v>5128</v>
      </c>
      <c r="F778" t="s">
        <v>5125</v>
      </c>
      <c r="G778" t="s">
        <v>36</v>
      </c>
      <c r="H778" t="s">
        <v>5138</v>
      </c>
      <c r="I778" t="s">
        <v>5139</v>
      </c>
      <c r="J778">
        <v>173823</v>
      </c>
      <c r="K778" t="s">
        <v>1673</v>
      </c>
      <c r="L778" t="s">
        <v>5165</v>
      </c>
      <c r="M778" t="s">
        <v>46</v>
      </c>
      <c r="N778">
        <v>45529</v>
      </c>
      <c r="O778">
        <v>2021</v>
      </c>
      <c r="P778" t="s">
        <v>29</v>
      </c>
      <c r="Q778">
        <v>6</v>
      </c>
      <c r="R778" t="s">
        <v>52</v>
      </c>
      <c r="S778" t="s">
        <v>21</v>
      </c>
      <c r="T778" t="s">
        <v>29</v>
      </c>
    </row>
    <row r="779" spans="1:20" x14ac:dyDescent="0.3">
      <c r="A779" t="s">
        <v>1674</v>
      </c>
      <c r="B779" t="s">
        <v>74</v>
      </c>
      <c r="C779" t="s">
        <v>64</v>
      </c>
      <c r="D779" t="s">
        <v>140</v>
      </c>
      <c r="E779" t="s">
        <v>5131</v>
      </c>
      <c r="F779" t="s">
        <v>5125</v>
      </c>
      <c r="G779" t="s">
        <v>16</v>
      </c>
      <c r="H779" t="s">
        <v>5142</v>
      </c>
      <c r="I779" t="s">
        <v>5143</v>
      </c>
      <c r="J779">
        <v>143316</v>
      </c>
      <c r="K779" t="s">
        <v>1675</v>
      </c>
      <c r="L779" t="s">
        <v>61</v>
      </c>
      <c r="M779" t="s">
        <v>19</v>
      </c>
      <c r="N779">
        <v>45371</v>
      </c>
      <c r="O779">
        <v>925</v>
      </c>
      <c r="P779" t="s">
        <v>20</v>
      </c>
      <c r="Q779">
        <v>4</v>
      </c>
      <c r="R779" t="s">
        <v>76</v>
      </c>
      <c r="S779" t="s">
        <v>53</v>
      </c>
      <c r="T779" t="s">
        <v>29</v>
      </c>
    </row>
    <row r="780" spans="1:20" x14ac:dyDescent="0.3">
      <c r="A780" t="s">
        <v>1676</v>
      </c>
      <c r="B780" t="s">
        <v>165</v>
      </c>
      <c r="C780" t="s">
        <v>79</v>
      </c>
      <c r="D780" t="s">
        <v>167</v>
      </c>
      <c r="E780" t="s">
        <v>5129</v>
      </c>
      <c r="F780" t="s">
        <v>5130</v>
      </c>
      <c r="G780" t="s">
        <v>16</v>
      </c>
      <c r="H780" t="s">
        <v>5136</v>
      </c>
      <c r="I780" t="s">
        <v>5137</v>
      </c>
      <c r="J780">
        <v>69062</v>
      </c>
      <c r="K780" t="s">
        <v>1677</v>
      </c>
      <c r="L780" t="s">
        <v>87</v>
      </c>
      <c r="M780" t="s">
        <v>46</v>
      </c>
      <c r="N780">
        <v>45359</v>
      </c>
      <c r="O780">
        <v>1724</v>
      </c>
      <c r="P780" t="s">
        <v>20</v>
      </c>
      <c r="Q780">
        <v>0</v>
      </c>
      <c r="R780" t="s">
        <v>40</v>
      </c>
      <c r="S780" t="s">
        <v>21</v>
      </c>
      <c r="T780" t="s">
        <v>20</v>
      </c>
    </row>
    <row r="781" spans="1:20" x14ac:dyDescent="0.3">
      <c r="A781" t="s">
        <v>1678</v>
      </c>
      <c r="B781" t="s">
        <v>63</v>
      </c>
      <c r="C781" t="s">
        <v>160</v>
      </c>
      <c r="D781" t="s">
        <v>44</v>
      </c>
      <c r="E781" t="s">
        <v>5128</v>
      </c>
      <c r="F781" t="s">
        <v>5125</v>
      </c>
      <c r="G781" t="s">
        <v>16</v>
      </c>
      <c r="H781" t="s">
        <v>5136</v>
      </c>
      <c r="I781" t="s">
        <v>5137</v>
      </c>
      <c r="J781">
        <v>77820</v>
      </c>
      <c r="K781" t="s">
        <v>1679</v>
      </c>
      <c r="L781" t="s">
        <v>179</v>
      </c>
      <c r="M781" t="s">
        <v>46</v>
      </c>
      <c r="N781">
        <v>45632</v>
      </c>
      <c r="O781">
        <v>1837</v>
      </c>
      <c r="P781" t="s">
        <v>20</v>
      </c>
      <c r="Q781">
        <v>0</v>
      </c>
      <c r="R781" t="s">
        <v>76</v>
      </c>
      <c r="S781" t="s">
        <v>21</v>
      </c>
      <c r="T781" t="s">
        <v>29</v>
      </c>
    </row>
    <row r="782" spans="1:20" x14ac:dyDescent="0.3">
      <c r="A782" t="s">
        <v>1680</v>
      </c>
      <c r="B782" t="s">
        <v>63</v>
      </c>
      <c r="C782" t="s">
        <v>117</v>
      </c>
      <c r="D782" t="s">
        <v>167</v>
      </c>
      <c r="E782" t="s">
        <v>193</v>
      </c>
      <c r="F782" t="s">
        <v>194</v>
      </c>
      <c r="G782" t="s">
        <v>16</v>
      </c>
      <c r="H782" t="s">
        <v>5140</v>
      </c>
      <c r="I782" t="s">
        <v>5141</v>
      </c>
      <c r="J782">
        <v>113518</v>
      </c>
      <c r="K782" t="s">
        <v>1681</v>
      </c>
      <c r="L782" t="s">
        <v>134</v>
      </c>
      <c r="M782" t="s">
        <v>19</v>
      </c>
      <c r="N782">
        <v>45578</v>
      </c>
      <c r="O782">
        <v>471</v>
      </c>
      <c r="P782" t="s">
        <v>20</v>
      </c>
      <c r="Q782">
        <v>2</v>
      </c>
      <c r="R782" t="s">
        <v>40</v>
      </c>
      <c r="S782" t="s">
        <v>21</v>
      </c>
      <c r="T782" t="s">
        <v>29</v>
      </c>
    </row>
    <row r="783" spans="1:20" x14ac:dyDescent="0.3">
      <c r="A783" t="s">
        <v>1682</v>
      </c>
      <c r="B783" t="s">
        <v>55</v>
      </c>
      <c r="C783" t="s">
        <v>90</v>
      </c>
      <c r="D783" t="s">
        <v>68</v>
      </c>
      <c r="E783" t="s">
        <v>26</v>
      </c>
      <c r="F783" t="s">
        <v>27</v>
      </c>
      <c r="G783" t="s">
        <v>50</v>
      </c>
      <c r="H783" t="s">
        <v>5142</v>
      </c>
      <c r="I783" t="s">
        <v>5143</v>
      </c>
      <c r="J783">
        <v>113945</v>
      </c>
      <c r="K783" t="s">
        <v>1683</v>
      </c>
      <c r="L783" t="s">
        <v>87</v>
      </c>
      <c r="M783" t="s">
        <v>39</v>
      </c>
      <c r="N783">
        <v>45702</v>
      </c>
      <c r="O783">
        <v>608</v>
      </c>
      <c r="P783" t="s">
        <v>20</v>
      </c>
      <c r="Q783">
        <v>4</v>
      </c>
      <c r="R783" t="s">
        <v>76</v>
      </c>
      <c r="S783" t="s">
        <v>21</v>
      </c>
      <c r="T783" t="s">
        <v>20</v>
      </c>
    </row>
    <row r="784" spans="1:20" x14ac:dyDescent="0.3">
      <c r="A784" t="s">
        <v>1684</v>
      </c>
      <c r="B784" t="s">
        <v>89</v>
      </c>
      <c r="C784" t="s">
        <v>125</v>
      </c>
      <c r="D784" t="s">
        <v>167</v>
      </c>
      <c r="E784" t="s">
        <v>193</v>
      </c>
      <c r="F784" t="s">
        <v>194</v>
      </c>
      <c r="G784" t="s">
        <v>16</v>
      </c>
      <c r="H784" t="s">
        <v>5136</v>
      </c>
      <c r="I784" t="s">
        <v>5137</v>
      </c>
      <c r="J784">
        <v>74790</v>
      </c>
      <c r="K784" t="s">
        <v>1685</v>
      </c>
      <c r="L784" t="s">
        <v>134</v>
      </c>
      <c r="M784" t="s">
        <v>39</v>
      </c>
      <c r="N784">
        <v>45612</v>
      </c>
      <c r="O784">
        <v>798</v>
      </c>
      <c r="P784" t="s">
        <v>20</v>
      </c>
      <c r="Q784">
        <v>0</v>
      </c>
      <c r="R784" t="s">
        <v>40</v>
      </c>
      <c r="S784" t="s">
        <v>21</v>
      </c>
      <c r="T784" t="s">
        <v>20</v>
      </c>
    </row>
    <row r="785" spans="1:20" x14ac:dyDescent="0.3">
      <c r="A785" t="s">
        <v>1686</v>
      </c>
      <c r="B785" t="s">
        <v>84</v>
      </c>
      <c r="C785" t="s">
        <v>185</v>
      </c>
      <c r="D785" t="s">
        <v>44</v>
      </c>
      <c r="E785" t="s">
        <v>152</v>
      </c>
      <c r="F785" t="s">
        <v>153</v>
      </c>
      <c r="G785" t="s">
        <v>36</v>
      </c>
      <c r="H785" t="s">
        <v>5140</v>
      </c>
      <c r="I785" t="s">
        <v>5141</v>
      </c>
      <c r="J785">
        <v>122089</v>
      </c>
      <c r="K785" t="s">
        <v>1687</v>
      </c>
      <c r="L785" t="s">
        <v>113</v>
      </c>
      <c r="M785" t="s">
        <v>46</v>
      </c>
      <c r="N785">
        <v>45696</v>
      </c>
      <c r="O785">
        <v>1719</v>
      </c>
      <c r="P785" t="s">
        <v>29</v>
      </c>
      <c r="Q785">
        <v>2</v>
      </c>
      <c r="R785" t="s">
        <v>5116</v>
      </c>
      <c r="S785" t="s">
        <v>53</v>
      </c>
      <c r="T785" t="s">
        <v>20</v>
      </c>
    </row>
    <row r="786" spans="1:20" x14ac:dyDescent="0.3">
      <c r="A786" t="s">
        <v>1688</v>
      </c>
      <c r="B786" t="s">
        <v>222</v>
      </c>
      <c r="C786" t="s">
        <v>121</v>
      </c>
      <c r="D786" t="s">
        <v>57</v>
      </c>
      <c r="E786" t="s">
        <v>14</v>
      </c>
      <c r="F786" t="s">
        <v>15</v>
      </c>
      <c r="G786" t="s">
        <v>16</v>
      </c>
      <c r="H786" t="s">
        <v>5142</v>
      </c>
      <c r="I786" t="s">
        <v>5143</v>
      </c>
      <c r="J786">
        <v>165114</v>
      </c>
      <c r="K786" t="s">
        <v>1689</v>
      </c>
      <c r="L786" t="s">
        <v>5165</v>
      </c>
      <c r="M786" t="s">
        <v>46</v>
      </c>
      <c r="N786">
        <v>45529</v>
      </c>
      <c r="O786">
        <v>3112</v>
      </c>
      <c r="P786" t="s">
        <v>92</v>
      </c>
      <c r="Q786">
        <v>4</v>
      </c>
      <c r="R786" t="s">
        <v>76</v>
      </c>
      <c r="S786" t="s">
        <v>21</v>
      </c>
      <c r="T786" t="s">
        <v>20</v>
      </c>
    </row>
    <row r="787" spans="1:20" x14ac:dyDescent="0.3">
      <c r="A787" t="s">
        <v>1690</v>
      </c>
      <c r="B787" t="s">
        <v>78</v>
      </c>
      <c r="C787" t="s">
        <v>232</v>
      </c>
      <c r="D787" t="s">
        <v>25</v>
      </c>
      <c r="E787" t="s">
        <v>152</v>
      </c>
      <c r="F787" t="s">
        <v>153</v>
      </c>
      <c r="G787" t="s">
        <v>16</v>
      </c>
      <c r="H787" t="s">
        <v>5140</v>
      </c>
      <c r="I787" t="s">
        <v>5141</v>
      </c>
      <c r="J787">
        <v>131399</v>
      </c>
      <c r="K787" t="s">
        <v>1691</v>
      </c>
      <c r="L787" t="s">
        <v>113</v>
      </c>
      <c r="M787" t="s">
        <v>39</v>
      </c>
      <c r="N787">
        <v>45646</v>
      </c>
      <c r="O787">
        <v>943</v>
      </c>
      <c r="P787" t="s">
        <v>20</v>
      </c>
      <c r="Q787">
        <v>2</v>
      </c>
      <c r="R787" t="s">
        <v>40</v>
      </c>
      <c r="S787" t="s">
        <v>53</v>
      </c>
      <c r="T787" t="s">
        <v>20</v>
      </c>
    </row>
    <row r="788" spans="1:20" x14ac:dyDescent="0.3">
      <c r="A788" t="s">
        <v>1692</v>
      </c>
      <c r="B788" t="s">
        <v>218</v>
      </c>
      <c r="C788" t="s">
        <v>79</v>
      </c>
      <c r="D788" t="s">
        <v>118</v>
      </c>
      <c r="E788" t="s">
        <v>80</v>
      </c>
      <c r="F788" t="s">
        <v>80</v>
      </c>
      <c r="G788" t="s">
        <v>50</v>
      </c>
      <c r="H788" t="s">
        <v>5142</v>
      </c>
      <c r="I788" t="s">
        <v>5143</v>
      </c>
      <c r="J788">
        <v>172515</v>
      </c>
      <c r="K788" t="s">
        <v>1693</v>
      </c>
      <c r="L788" t="s">
        <v>18</v>
      </c>
      <c r="M788" t="s">
        <v>39</v>
      </c>
      <c r="N788">
        <v>45557</v>
      </c>
      <c r="O788">
        <v>788</v>
      </c>
      <c r="P788" t="s">
        <v>20</v>
      </c>
      <c r="Q788">
        <v>4</v>
      </c>
      <c r="R788" t="s">
        <v>40</v>
      </c>
      <c r="S788" t="s">
        <v>53</v>
      </c>
      <c r="T788" t="s">
        <v>20</v>
      </c>
    </row>
    <row r="789" spans="1:20" x14ac:dyDescent="0.3">
      <c r="A789" t="s">
        <v>1694</v>
      </c>
      <c r="B789" t="s">
        <v>99</v>
      </c>
      <c r="C789" t="s">
        <v>160</v>
      </c>
      <c r="D789" t="s">
        <v>57</v>
      </c>
      <c r="E789" t="s">
        <v>193</v>
      </c>
      <c r="F789" t="s">
        <v>194</v>
      </c>
      <c r="G789" t="s">
        <v>36</v>
      </c>
      <c r="H789" t="s">
        <v>5138</v>
      </c>
      <c r="I789" t="s">
        <v>5139</v>
      </c>
      <c r="J789">
        <v>216530</v>
      </c>
      <c r="K789" t="s">
        <v>1695</v>
      </c>
      <c r="L789" t="s">
        <v>38</v>
      </c>
      <c r="M789" t="s">
        <v>46</v>
      </c>
      <c r="N789">
        <v>45352</v>
      </c>
      <c r="O789">
        <v>1993</v>
      </c>
      <c r="P789" t="s">
        <v>20</v>
      </c>
      <c r="Q789">
        <v>6</v>
      </c>
      <c r="R789" t="s">
        <v>76</v>
      </c>
      <c r="S789" t="s">
        <v>21</v>
      </c>
      <c r="T789" t="s">
        <v>29</v>
      </c>
    </row>
    <row r="790" spans="1:20" x14ac:dyDescent="0.3">
      <c r="A790" t="s">
        <v>1696</v>
      </c>
      <c r="B790" t="s">
        <v>31</v>
      </c>
      <c r="C790" t="s">
        <v>67</v>
      </c>
      <c r="D790" t="s">
        <v>104</v>
      </c>
      <c r="E790" t="s">
        <v>14</v>
      </c>
      <c r="F790" t="s">
        <v>15</v>
      </c>
      <c r="G790" t="s">
        <v>16</v>
      </c>
      <c r="H790" t="s">
        <v>5136</v>
      </c>
      <c r="I790" t="s">
        <v>5137</v>
      </c>
      <c r="J790">
        <v>69115</v>
      </c>
      <c r="K790" t="s">
        <v>1697</v>
      </c>
      <c r="L790" t="s">
        <v>5165</v>
      </c>
      <c r="M790" t="s">
        <v>39</v>
      </c>
      <c r="N790">
        <v>45484</v>
      </c>
      <c r="O790">
        <v>2334</v>
      </c>
      <c r="P790" t="s">
        <v>20</v>
      </c>
      <c r="Q790">
        <v>0</v>
      </c>
      <c r="R790" t="s">
        <v>40</v>
      </c>
      <c r="S790" t="s">
        <v>21</v>
      </c>
      <c r="T790" t="s">
        <v>29</v>
      </c>
    </row>
    <row r="791" spans="1:20" x14ac:dyDescent="0.3">
      <c r="A791" t="s">
        <v>1698</v>
      </c>
      <c r="B791" t="s">
        <v>89</v>
      </c>
      <c r="C791" t="s">
        <v>125</v>
      </c>
      <c r="D791" t="s">
        <v>44</v>
      </c>
      <c r="E791" t="s">
        <v>152</v>
      </c>
      <c r="F791" t="s">
        <v>153</v>
      </c>
      <c r="G791" t="s">
        <v>16</v>
      </c>
      <c r="H791" t="s">
        <v>5136</v>
      </c>
      <c r="I791" t="s">
        <v>5137</v>
      </c>
      <c r="J791">
        <v>50000</v>
      </c>
      <c r="K791" t="s">
        <v>1699</v>
      </c>
      <c r="L791" t="s">
        <v>179</v>
      </c>
      <c r="M791" t="s">
        <v>19</v>
      </c>
      <c r="N791">
        <v>45452</v>
      </c>
      <c r="O791">
        <v>1109</v>
      </c>
      <c r="P791" t="s">
        <v>29</v>
      </c>
      <c r="Q791">
        <v>0</v>
      </c>
      <c r="R791" t="s">
        <v>5116</v>
      </c>
      <c r="S791" t="s">
        <v>41</v>
      </c>
      <c r="T791" t="s">
        <v>20</v>
      </c>
    </row>
    <row r="792" spans="1:20" x14ac:dyDescent="0.3">
      <c r="A792" t="s">
        <v>1700</v>
      </c>
      <c r="B792" t="s">
        <v>99</v>
      </c>
      <c r="C792" t="s">
        <v>188</v>
      </c>
      <c r="D792" t="s">
        <v>104</v>
      </c>
      <c r="E792" t="s">
        <v>193</v>
      </c>
      <c r="F792" t="s">
        <v>194</v>
      </c>
      <c r="G792" t="s">
        <v>16</v>
      </c>
      <c r="H792" t="s">
        <v>5136</v>
      </c>
      <c r="I792" t="s">
        <v>5137</v>
      </c>
      <c r="J792">
        <v>75413</v>
      </c>
      <c r="K792" t="s">
        <v>1701</v>
      </c>
      <c r="L792" t="s">
        <v>238</v>
      </c>
      <c r="M792" t="s">
        <v>46</v>
      </c>
      <c r="N792">
        <v>45349</v>
      </c>
      <c r="O792">
        <v>3810</v>
      </c>
      <c r="P792" t="s">
        <v>20</v>
      </c>
      <c r="Q792">
        <v>0</v>
      </c>
      <c r="R792" t="s">
        <v>47</v>
      </c>
      <c r="S792" t="s">
        <v>21</v>
      </c>
      <c r="T792" t="s">
        <v>20</v>
      </c>
    </row>
    <row r="793" spans="1:20" x14ac:dyDescent="0.3">
      <c r="A793" t="s">
        <v>1702</v>
      </c>
      <c r="B793" t="s">
        <v>229</v>
      </c>
      <c r="C793" t="s">
        <v>166</v>
      </c>
      <c r="D793" t="s">
        <v>57</v>
      </c>
      <c r="E793" t="s">
        <v>95</v>
      </c>
      <c r="F793" t="s">
        <v>96</v>
      </c>
      <c r="G793" t="s">
        <v>50</v>
      </c>
      <c r="H793" t="s">
        <v>5140</v>
      </c>
      <c r="I793" t="s">
        <v>5141</v>
      </c>
      <c r="J793">
        <v>114112</v>
      </c>
      <c r="K793" t="s">
        <v>1703</v>
      </c>
      <c r="L793" t="s">
        <v>18</v>
      </c>
      <c r="M793" t="s">
        <v>19</v>
      </c>
      <c r="N793">
        <v>45714</v>
      </c>
      <c r="O793">
        <v>3472</v>
      </c>
      <c r="P793" t="s">
        <v>20</v>
      </c>
      <c r="Q793">
        <v>2</v>
      </c>
      <c r="R793" t="s">
        <v>47</v>
      </c>
      <c r="S793" t="s">
        <v>21</v>
      </c>
      <c r="T793" t="s">
        <v>29</v>
      </c>
    </row>
    <row r="794" spans="1:20" x14ac:dyDescent="0.3">
      <c r="A794" t="s">
        <v>1704</v>
      </c>
      <c r="B794" t="s">
        <v>215</v>
      </c>
      <c r="C794" t="s">
        <v>94</v>
      </c>
      <c r="D794" t="s">
        <v>44</v>
      </c>
      <c r="E794" t="s">
        <v>14</v>
      </c>
      <c r="F794" t="s">
        <v>15</v>
      </c>
      <c r="G794" t="s">
        <v>16</v>
      </c>
      <c r="H794" t="s">
        <v>5140</v>
      </c>
      <c r="I794" t="s">
        <v>5141</v>
      </c>
      <c r="J794">
        <v>115377</v>
      </c>
      <c r="K794" t="s">
        <v>1705</v>
      </c>
      <c r="L794" t="s">
        <v>238</v>
      </c>
      <c r="M794" t="s">
        <v>46</v>
      </c>
      <c r="N794">
        <v>45414</v>
      </c>
      <c r="O794">
        <v>1822</v>
      </c>
      <c r="P794" t="s">
        <v>29</v>
      </c>
      <c r="Q794">
        <v>2</v>
      </c>
      <c r="R794" t="s">
        <v>52</v>
      </c>
      <c r="S794" t="s">
        <v>53</v>
      </c>
      <c r="T794" t="s">
        <v>20</v>
      </c>
    </row>
    <row r="795" spans="1:20" x14ac:dyDescent="0.3">
      <c r="A795" t="s">
        <v>1706</v>
      </c>
      <c r="B795" t="s">
        <v>144</v>
      </c>
      <c r="C795" t="s">
        <v>109</v>
      </c>
      <c r="D795" t="s">
        <v>57</v>
      </c>
      <c r="E795" t="s">
        <v>80</v>
      </c>
      <c r="F795" t="s">
        <v>80</v>
      </c>
      <c r="G795" t="s">
        <v>50</v>
      </c>
      <c r="H795" t="s">
        <v>5142</v>
      </c>
      <c r="I795" t="s">
        <v>5143</v>
      </c>
      <c r="J795">
        <v>115527</v>
      </c>
      <c r="K795" t="s">
        <v>1707</v>
      </c>
      <c r="L795" t="s">
        <v>134</v>
      </c>
      <c r="M795" t="s">
        <v>46</v>
      </c>
      <c r="N795">
        <v>45543</v>
      </c>
      <c r="O795">
        <v>601</v>
      </c>
      <c r="P795" t="s">
        <v>20</v>
      </c>
      <c r="Q795">
        <v>4</v>
      </c>
      <c r="R795" t="s">
        <v>76</v>
      </c>
      <c r="S795" t="s">
        <v>53</v>
      </c>
      <c r="T795" t="s">
        <v>20</v>
      </c>
    </row>
    <row r="796" spans="1:20" x14ac:dyDescent="0.3">
      <c r="A796" t="s">
        <v>1708</v>
      </c>
      <c r="B796" t="s">
        <v>215</v>
      </c>
      <c r="C796" t="s">
        <v>117</v>
      </c>
      <c r="D796" t="s">
        <v>104</v>
      </c>
      <c r="E796" t="s">
        <v>80</v>
      </c>
      <c r="F796" t="s">
        <v>80</v>
      </c>
      <c r="G796" t="s">
        <v>16</v>
      </c>
      <c r="H796" t="s">
        <v>5138</v>
      </c>
      <c r="I796" t="s">
        <v>5139</v>
      </c>
      <c r="J796">
        <v>161081</v>
      </c>
      <c r="K796" t="s">
        <v>1709</v>
      </c>
      <c r="L796" t="s">
        <v>82</v>
      </c>
      <c r="M796" t="s">
        <v>19</v>
      </c>
      <c r="N796">
        <v>45472</v>
      </c>
      <c r="O796">
        <v>1862</v>
      </c>
      <c r="P796" t="s">
        <v>20</v>
      </c>
      <c r="Q796">
        <v>6</v>
      </c>
      <c r="R796" t="s">
        <v>5116</v>
      </c>
      <c r="S796" t="s">
        <v>21</v>
      </c>
      <c r="T796" t="s">
        <v>29</v>
      </c>
    </row>
    <row r="797" spans="1:20" x14ac:dyDescent="0.3">
      <c r="A797" t="s">
        <v>1710</v>
      </c>
      <c r="B797" t="s">
        <v>130</v>
      </c>
      <c r="C797" t="s">
        <v>185</v>
      </c>
      <c r="D797" t="s">
        <v>118</v>
      </c>
      <c r="E797" t="s">
        <v>152</v>
      </c>
      <c r="F797" t="s">
        <v>153</v>
      </c>
      <c r="G797" t="s">
        <v>16</v>
      </c>
      <c r="H797" t="s">
        <v>5136</v>
      </c>
      <c r="I797" t="s">
        <v>5137</v>
      </c>
      <c r="J797">
        <v>83269</v>
      </c>
      <c r="K797" t="s">
        <v>1711</v>
      </c>
      <c r="L797" t="s">
        <v>113</v>
      </c>
      <c r="M797" t="s">
        <v>19</v>
      </c>
      <c r="N797">
        <v>45520</v>
      </c>
      <c r="O797">
        <v>2463</v>
      </c>
      <c r="P797" t="s">
        <v>20</v>
      </c>
      <c r="Q797">
        <v>0</v>
      </c>
      <c r="R797" t="s">
        <v>47</v>
      </c>
      <c r="S797" t="s">
        <v>53</v>
      </c>
      <c r="T797" t="s">
        <v>20</v>
      </c>
    </row>
    <row r="798" spans="1:20" x14ac:dyDescent="0.3">
      <c r="A798" t="s">
        <v>1712</v>
      </c>
      <c r="B798" t="s">
        <v>218</v>
      </c>
      <c r="C798" t="s">
        <v>56</v>
      </c>
      <c r="D798" t="s">
        <v>25</v>
      </c>
      <c r="E798" t="s">
        <v>26</v>
      </c>
      <c r="F798" t="s">
        <v>27</v>
      </c>
      <c r="G798" t="s">
        <v>16</v>
      </c>
      <c r="H798" t="s">
        <v>5136</v>
      </c>
      <c r="I798" t="s">
        <v>5137</v>
      </c>
      <c r="J798">
        <v>69501</v>
      </c>
      <c r="K798" t="s">
        <v>1713</v>
      </c>
      <c r="L798" t="s">
        <v>142</v>
      </c>
      <c r="M798" t="s">
        <v>46</v>
      </c>
      <c r="N798">
        <v>45373</v>
      </c>
      <c r="O798">
        <v>590</v>
      </c>
      <c r="P798" t="s">
        <v>92</v>
      </c>
      <c r="Q798">
        <v>0</v>
      </c>
      <c r="R798" t="s">
        <v>40</v>
      </c>
      <c r="S798" t="s">
        <v>53</v>
      </c>
      <c r="T798" t="s">
        <v>29</v>
      </c>
    </row>
    <row r="799" spans="1:20" x14ac:dyDescent="0.3">
      <c r="A799" t="s">
        <v>1714</v>
      </c>
      <c r="B799" t="s">
        <v>322</v>
      </c>
      <c r="C799" t="s">
        <v>151</v>
      </c>
      <c r="D799" t="s">
        <v>118</v>
      </c>
      <c r="E799" t="s">
        <v>95</v>
      </c>
      <c r="F799" t="s">
        <v>96</v>
      </c>
      <c r="G799" t="s">
        <v>36</v>
      </c>
      <c r="H799" t="s">
        <v>5142</v>
      </c>
      <c r="I799" t="s">
        <v>5143</v>
      </c>
      <c r="J799">
        <v>168400</v>
      </c>
      <c r="K799" t="s">
        <v>1715</v>
      </c>
      <c r="L799" t="s">
        <v>5165</v>
      </c>
      <c r="M799" t="s">
        <v>19</v>
      </c>
      <c r="N799">
        <v>45410</v>
      </c>
      <c r="O799">
        <v>3868</v>
      </c>
      <c r="P799" t="s">
        <v>20</v>
      </c>
      <c r="Q799">
        <v>4</v>
      </c>
      <c r="R799" t="s">
        <v>47</v>
      </c>
      <c r="S799" t="s">
        <v>21</v>
      </c>
      <c r="T799" t="s">
        <v>20</v>
      </c>
    </row>
    <row r="800" spans="1:20" x14ac:dyDescent="0.3">
      <c r="A800" t="s">
        <v>1716</v>
      </c>
      <c r="B800" t="s">
        <v>99</v>
      </c>
      <c r="C800" t="s">
        <v>100</v>
      </c>
      <c r="D800" t="s">
        <v>118</v>
      </c>
      <c r="E800" t="s">
        <v>5128</v>
      </c>
      <c r="F800" t="s">
        <v>5125</v>
      </c>
      <c r="G800" t="s">
        <v>36</v>
      </c>
      <c r="H800" t="s">
        <v>5136</v>
      </c>
      <c r="I800" t="s">
        <v>5137</v>
      </c>
      <c r="J800">
        <v>70356</v>
      </c>
      <c r="K800" t="s">
        <v>1717</v>
      </c>
      <c r="L800" t="s">
        <v>38</v>
      </c>
      <c r="M800" t="s">
        <v>19</v>
      </c>
      <c r="N800">
        <v>45429</v>
      </c>
      <c r="O800">
        <v>1016</v>
      </c>
      <c r="P800" t="s">
        <v>20</v>
      </c>
      <c r="Q800">
        <v>0</v>
      </c>
      <c r="R800" t="s">
        <v>40</v>
      </c>
      <c r="S800" t="s">
        <v>53</v>
      </c>
      <c r="T800" t="s">
        <v>20</v>
      </c>
    </row>
    <row r="801" spans="1:20" x14ac:dyDescent="0.3">
      <c r="A801" t="s">
        <v>1718</v>
      </c>
      <c r="B801" t="s">
        <v>124</v>
      </c>
      <c r="C801" t="s">
        <v>109</v>
      </c>
      <c r="D801" t="s">
        <v>167</v>
      </c>
      <c r="E801" t="s">
        <v>69</v>
      </c>
      <c r="F801" t="s">
        <v>70</v>
      </c>
      <c r="G801" t="s">
        <v>36</v>
      </c>
      <c r="H801" t="s">
        <v>5136</v>
      </c>
      <c r="I801" t="s">
        <v>5137</v>
      </c>
      <c r="J801">
        <v>70374</v>
      </c>
      <c r="K801" t="s">
        <v>1719</v>
      </c>
      <c r="L801" t="s">
        <v>18</v>
      </c>
      <c r="M801" t="s">
        <v>46</v>
      </c>
      <c r="N801">
        <v>45321</v>
      </c>
      <c r="O801">
        <v>1904</v>
      </c>
      <c r="P801" t="s">
        <v>29</v>
      </c>
      <c r="Q801">
        <v>0</v>
      </c>
      <c r="R801" t="s">
        <v>47</v>
      </c>
      <c r="S801" t="s">
        <v>53</v>
      </c>
      <c r="T801" t="s">
        <v>20</v>
      </c>
    </row>
    <row r="802" spans="1:20" x14ac:dyDescent="0.3">
      <c r="A802" t="s">
        <v>1720</v>
      </c>
      <c r="B802" t="s">
        <v>215</v>
      </c>
      <c r="C802" t="s">
        <v>43</v>
      </c>
      <c r="D802" t="s">
        <v>140</v>
      </c>
      <c r="E802" t="s">
        <v>5128</v>
      </c>
      <c r="F802" t="s">
        <v>5125</v>
      </c>
      <c r="G802" t="s">
        <v>50</v>
      </c>
      <c r="H802" t="s">
        <v>5136</v>
      </c>
      <c r="I802" t="s">
        <v>5137</v>
      </c>
      <c r="J802">
        <v>81822</v>
      </c>
      <c r="K802" t="s">
        <v>1721</v>
      </c>
      <c r="L802" t="s">
        <v>5165</v>
      </c>
      <c r="M802" t="s">
        <v>46</v>
      </c>
      <c r="N802">
        <v>45361</v>
      </c>
      <c r="O802">
        <v>3650</v>
      </c>
      <c r="P802" t="s">
        <v>20</v>
      </c>
      <c r="Q802">
        <v>0</v>
      </c>
      <c r="R802" t="s">
        <v>76</v>
      </c>
      <c r="S802" t="s">
        <v>21</v>
      </c>
      <c r="T802" t="s">
        <v>20</v>
      </c>
    </row>
    <row r="803" spans="1:20" x14ac:dyDescent="0.3">
      <c r="A803" t="s">
        <v>1722</v>
      </c>
      <c r="B803" t="s">
        <v>130</v>
      </c>
      <c r="C803" t="s">
        <v>109</v>
      </c>
      <c r="D803" t="s">
        <v>25</v>
      </c>
      <c r="E803" t="s">
        <v>69</v>
      </c>
      <c r="F803" t="s">
        <v>70</v>
      </c>
      <c r="G803" t="s">
        <v>50</v>
      </c>
      <c r="H803" t="s">
        <v>5142</v>
      </c>
      <c r="I803" t="s">
        <v>5143</v>
      </c>
      <c r="J803">
        <v>136066</v>
      </c>
      <c r="K803" t="s">
        <v>1723</v>
      </c>
      <c r="L803" t="s">
        <v>38</v>
      </c>
      <c r="M803" t="s">
        <v>19</v>
      </c>
      <c r="N803">
        <v>45377</v>
      </c>
      <c r="O803">
        <v>1577</v>
      </c>
      <c r="P803" t="s">
        <v>20</v>
      </c>
      <c r="Q803">
        <v>4</v>
      </c>
      <c r="R803" t="s">
        <v>40</v>
      </c>
      <c r="S803" t="s">
        <v>21</v>
      </c>
      <c r="T803" t="s">
        <v>20</v>
      </c>
    </row>
    <row r="804" spans="1:20" x14ac:dyDescent="0.3">
      <c r="A804" t="s">
        <v>1724</v>
      </c>
      <c r="B804" t="s">
        <v>144</v>
      </c>
      <c r="C804" t="s">
        <v>202</v>
      </c>
      <c r="D804" t="s">
        <v>25</v>
      </c>
      <c r="E804" t="s">
        <v>5131</v>
      </c>
      <c r="F804" t="s">
        <v>5125</v>
      </c>
      <c r="G804" t="s">
        <v>36</v>
      </c>
      <c r="H804" t="s">
        <v>5140</v>
      </c>
      <c r="I804" t="s">
        <v>5141</v>
      </c>
      <c r="J804">
        <v>111903</v>
      </c>
      <c r="K804" t="s">
        <v>1725</v>
      </c>
      <c r="L804" t="s">
        <v>5165</v>
      </c>
      <c r="M804" t="s">
        <v>46</v>
      </c>
      <c r="N804">
        <v>45676</v>
      </c>
      <c r="O804">
        <v>77</v>
      </c>
      <c r="P804" t="s">
        <v>92</v>
      </c>
      <c r="Q804">
        <v>2</v>
      </c>
      <c r="R804" t="s">
        <v>52</v>
      </c>
      <c r="S804" t="s">
        <v>21</v>
      </c>
      <c r="T804" t="s">
        <v>29</v>
      </c>
    </row>
    <row r="805" spans="1:20" x14ac:dyDescent="0.3">
      <c r="A805" t="s">
        <v>1726</v>
      </c>
      <c r="B805" t="s">
        <v>165</v>
      </c>
      <c r="C805" t="s">
        <v>172</v>
      </c>
      <c r="D805" t="s">
        <v>167</v>
      </c>
      <c r="E805" t="s">
        <v>80</v>
      </c>
      <c r="F805" t="s">
        <v>80</v>
      </c>
      <c r="G805" t="s">
        <v>36</v>
      </c>
      <c r="H805" t="s">
        <v>5142</v>
      </c>
      <c r="I805" t="s">
        <v>5143</v>
      </c>
      <c r="J805">
        <v>137518</v>
      </c>
      <c r="K805" t="s">
        <v>1727</v>
      </c>
      <c r="L805" t="s">
        <v>142</v>
      </c>
      <c r="M805" t="s">
        <v>19</v>
      </c>
      <c r="N805">
        <v>45504</v>
      </c>
      <c r="O805">
        <v>3734</v>
      </c>
      <c r="P805" t="s">
        <v>20</v>
      </c>
      <c r="Q805">
        <v>4</v>
      </c>
      <c r="R805" t="s">
        <v>52</v>
      </c>
      <c r="S805" t="s">
        <v>21</v>
      </c>
      <c r="T805" t="s">
        <v>29</v>
      </c>
    </row>
    <row r="806" spans="1:20" x14ac:dyDescent="0.3">
      <c r="A806" t="s">
        <v>1728</v>
      </c>
      <c r="B806" t="s">
        <v>124</v>
      </c>
      <c r="C806" t="s">
        <v>202</v>
      </c>
      <c r="D806" t="s">
        <v>68</v>
      </c>
      <c r="E806" t="s">
        <v>5127</v>
      </c>
      <c r="F806" t="s">
        <v>5125</v>
      </c>
      <c r="G806" t="s">
        <v>50</v>
      </c>
      <c r="H806" t="s">
        <v>5138</v>
      </c>
      <c r="I806" t="s">
        <v>5139</v>
      </c>
      <c r="J806">
        <v>184358</v>
      </c>
      <c r="K806" t="s">
        <v>1729</v>
      </c>
      <c r="L806" t="s">
        <v>142</v>
      </c>
      <c r="M806" t="s">
        <v>19</v>
      </c>
      <c r="N806">
        <v>45736</v>
      </c>
      <c r="O806">
        <v>2096</v>
      </c>
      <c r="P806" t="s">
        <v>29</v>
      </c>
      <c r="Q806">
        <v>6</v>
      </c>
      <c r="R806" t="s">
        <v>76</v>
      </c>
      <c r="S806" t="s">
        <v>21</v>
      </c>
      <c r="T806" t="s">
        <v>29</v>
      </c>
    </row>
    <row r="807" spans="1:20" x14ac:dyDescent="0.3">
      <c r="A807" t="s">
        <v>1730</v>
      </c>
      <c r="B807" t="s">
        <v>229</v>
      </c>
      <c r="C807" t="s">
        <v>64</v>
      </c>
      <c r="D807" t="s">
        <v>57</v>
      </c>
      <c r="E807" t="s">
        <v>5133</v>
      </c>
      <c r="F807" t="s">
        <v>5125</v>
      </c>
      <c r="G807" t="s">
        <v>36</v>
      </c>
      <c r="H807" t="s">
        <v>5138</v>
      </c>
      <c r="I807" t="s">
        <v>5139</v>
      </c>
      <c r="J807">
        <v>188869</v>
      </c>
      <c r="K807" t="s">
        <v>1731</v>
      </c>
      <c r="L807" t="s">
        <v>5165</v>
      </c>
      <c r="M807" t="s">
        <v>46</v>
      </c>
      <c r="N807">
        <v>45437</v>
      </c>
      <c r="O807">
        <v>158</v>
      </c>
      <c r="P807" t="s">
        <v>20</v>
      </c>
      <c r="Q807">
        <v>6</v>
      </c>
      <c r="R807" t="s">
        <v>76</v>
      </c>
      <c r="S807" t="s">
        <v>53</v>
      </c>
      <c r="T807" t="s">
        <v>20</v>
      </c>
    </row>
    <row r="808" spans="1:20" x14ac:dyDescent="0.3">
      <c r="A808" t="s">
        <v>1732</v>
      </c>
      <c r="B808" t="s">
        <v>63</v>
      </c>
      <c r="C808" t="s">
        <v>197</v>
      </c>
      <c r="D808" t="s">
        <v>44</v>
      </c>
      <c r="E808" t="s">
        <v>5126</v>
      </c>
      <c r="F808" t="s">
        <v>5125</v>
      </c>
      <c r="G808" t="s">
        <v>16</v>
      </c>
      <c r="H808" t="s">
        <v>5140</v>
      </c>
      <c r="I808" t="s">
        <v>5141</v>
      </c>
      <c r="J808">
        <v>114398</v>
      </c>
      <c r="K808" t="s">
        <v>1733</v>
      </c>
      <c r="L808" t="s">
        <v>5165</v>
      </c>
      <c r="M808" t="s">
        <v>46</v>
      </c>
      <c r="N808">
        <v>45657</v>
      </c>
      <c r="O808">
        <v>1625</v>
      </c>
      <c r="P808" t="s">
        <v>29</v>
      </c>
      <c r="Q808">
        <v>2</v>
      </c>
      <c r="R808" t="s">
        <v>5116</v>
      </c>
      <c r="S808" t="s">
        <v>21</v>
      </c>
      <c r="T808" t="s">
        <v>20</v>
      </c>
    </row>
    <row r="809" spans="1:20" x14ac:dyDescent="0.3">
      <c r="A809" t="s">
        <v>1734</v>
      </c>
      <c r="B809" t="s">
        <v>99</v>
      </c>
      <c r="C809" t="s">
        <v>197</v>
      </c>
      <c r="D809" t="s">
        <v>5156</v>
      </c>
      <c r="E809" t="s">
        <v>193</v>
      </c>
      <c r="F809" t="s">
        <v>194</v>
      </c>
      <c r="G809" t="s">
        <v>16</v>
      </c>
      <c r="H809" t="s">
        <v>5138</v>
      </c>
      <c r="I809" t="s">
        <v>5139</v>
      </c>
      <c r="J809">
        <v>182765</v>
      </c>
      <c r="K809" t="s">
        <v>1735</v>
      </c>
      <c r="L809" t="s">
        <v>5165</v>
      </c>
      <c r="M809" t="s">
        <v>72</v>
      </c>
      <c r="N809">
        <v>45701</v>
      </c>
      <c r="O809">
        <v>3527</v>
      </c>
      <c r="P809" t="s">
        <v>29</v>
      </c>
      <c r="Q809">
        <v>6</v>
      </c>
      <c r="R809" t="s">
        <v>52</v>
      </c>
      <c r="S809" t="s">
        <v>53</v>
      </c>
      <c r="T809" t="s">
        <v>29</v>
      </c>
    </row>
    <row r="810" spans="1:20" x14ac:dyDescent="0.3">
      <c r="A810" t="s">
        <v>1736</v>
      </c>
      <c r="B810" t="s">
        <v>215</v>
      </c>
      <c r="C810" t="s">
        <v>166</v>
      </c>
      <c r="D810" t="s">
        <v>104</v>
      </c>
      <c r="E810" t="s">
        <v>5129</v>
      </c>
      <c r="F810" t="s">
        <v>5130</v>
      </c>
      <c r="G810" t="s">
        <v>16</v>
      </c>
      <c r="H810" t="s">
        <v>5138</v>
      </c>
      <c r="I810" t="s">
        <v>5139</v>
      </c>
      <c r="J810">
        <v>245207</v>
      </c>
      <c r="K810" t="s">
        <v>1737</v>
      </c>
      <c r="L810" t="s">
        <v>5165</v>
      </c>
      <c r="M810" t="s">
        <v>46</v>
      </c>
      <c r="N810">
        <v>45527</v>
      </c>
      <c r="O810">
        <v>2596</v>
      </c>
      <c r="P810" t="s">
        <v>20</v>
      </c>
      <c r="Q810">
        <v>6</v>
      </c>
      <c r="R810" t="s">
        <v>76</v>
      </c>
      <c r="S810" t="s">
        <v>21</v>
      </c>
      <c r="T810" t="s">
        <v>20</v>
      </c>
    </row>
    <row r="811" spans="1:20" x14ac:dyDescent="0.3">
      <c r="A811" t="s">
        <v>1738</v>
      </c>
      <c r="B811" t="s">
        <v>136</v>
      </c>
      <c r="C811" t="s">
        <v>172</v>
      </c>
      <c r="D811" t="s">
        <v>57</v>
      </c>
      <c r="E811" t="s">
        <v>209</v>
      </c>
      <c r="F811" t="s">
        <v>210</v>
      </c>
      <c r="G811" t="s">
        <v>36</v>
      </c>
      <c r="H811" t="s">
        <v>5142</v>
      </c>
      <c r="I811" t="s">
        <v>5143</v>
      </c>
      <c r="J811">
        <v>125845</v>
      </c>
      <c r="K811" t="s">
        <v>1739</v>
      </c>
      <c r="L811" t="s">
        <v>87</v>
      </c>
      <c r="M811" t="s">
        <v>72</v>
      </c>
      <c r="N811">
        <v>45417</v>
      </c>
      <c r="O811">
        <v>220</v>
      </c>
      <c r="P811" t="s">
        <v>92</v>
      </c>
      <c r="Q811">
        <v>4</v>
      </c>
      <c r="R811" t="s">
        <v>40</v>
      </c>
      <c r="S811" t="s">
        <v>53</v>
      </c>
      <c r="T811" t="s">
        <v>29</v>
      </c>
    </row>
    <row r="812" spans="1:20" x14ac:dyDescent="0.3">
      <c r="A812" t="s">
        <v>1740</v>
      </c>
      <c r="B812" t="s">
        <v>55</v>
      </c>
      <c r="C812" t="s">
        <v>13</v>
      </c>
      <c r="D812" t="s">
        <v>104</v>
      </c>
      <c r="E812" t="s">
        <v>26</v>
      </c>
      <c r="F812" t="s">
        <v>27</v>
      </c>
      <c r="G812" t="s">
        <v>50</v>
      </c>
      <c r="H812" t="s">
        <v>5140</v>
      </c>
      <c r="I812" t="s">
        <v>5141</v>
      </c>
      <c r="J812">
        <v>106299</v>
      </c>
      <c r="K812" t="s">
        <v>1741</v>
      </c>
      <c r="L812" t="s">
        <v>134</v>
      </c>
      <c r="M812" t="s">
        <v>46</v>
      </c>
      <c r="N812">
        <v>45419</v>
      </c>
      <c r="O812">
        <v>1003</v>
      </c>
      <c r="P812" t="s">
        <v>29</v>
      </c>
      <c r="Q812">
        <v>2</v>
      </c>
      <c r="R812" t="s">
        <v>52</v>
      </c>
      <c r="S812" t="s">
        <v>41</v>
      </c>
      <c r="T812" t="s">
        <v>20</v>
      </c>
    </row>
    <row r="813" spans="1:20" x14ac:dyDescent="0.3">
      <c r="A813" t="s">
        <v>1742</v>
      </c>
      <c r="B813" t="s">
        <v>229</v>
      </c>
      <c r="C813" t="s">
        <v>94</v>
      </c>
      <c r="D813" t="s">
        <v>25</v>
      </c>
      <c r="E813" t="s">
        <v>5131</v>
      </c>
      <c r="F813" t="s">
        <v>5125</v>
      </c>
      <c r="G813" t="s">
        <v>16</v>
      </c>
      <c r="H813" t="s">
        <v>5136</v>
      </c>
      <c r="I813" t="s">
        <v>5137</v>
      </c>
      <c r="J813">
        <v>64459</v>
      </c>
      <c r="K813" t="s">
        <v>1743</v>
      </c>
      <c r="L813" t="s">
        <v>5165</v>
      </c>
      <c r="M813" t="s">
        <v>19</v>
      </c>
      <c r="N813">
        <v>45513</v>
      </c>
      <c r="O813">
        <v>3810</v>
      </c>
      <c r="P813" t="s">
        <v>92</v>
      </c>
      <c r="Q813">
        <v>0</v>
      </c>
      <c r="R813" t="s">
        <v>76</v>
      </c>
      <c r="S813" t="s">
        <v>21</v>
      </c>
      <c r="T813" t="s">
        <v>29</v>
      </c>
    </row>
    <row r="814" spans="1:20" x14ac:dyDescent="0.3">
      <c r="A814" t="s">
        <v>1744</v>
      </c>
      <c r="B814" t="s">
        <v>84</v>
      </c>
      <c r="C814" t="s">
        <v>94</v>
      </c>
      <c r="D814" t="s">
        <v>44</v>
      </c>
      <c r="E814" t="s">
        <v>26</v>
      </c>
      <c r="F814" t="s">
        <v>27</v>
      </c>
      <c r="G814" t="s">
        <v>36</v>
      </c>
      <c r="H814" t="s">
        <v>5142</v>
      </c>
      <c r="I814" t="s">
        <v>5143</v>
      </c>
      <c r="J814">
        <v>189068</v>
      </c>
      <c r="K814" t="s">
        <v>1745</v>
      </c>
      <c r="L814" t="s">
        <v>5165</v>
      </c>
      <c r="M814" t="s">
        <v>19</v>
      </c>
      <c r="N814">
        <v>45376</v>
      </c>
      <c r="O814">
        <v>624</v>
      </c>
      <c r="P814" t="s">
        <v>20</v>
      </c>
      <c r="Q814">
        <v>4</v>
      </c>
      <c r="R814" t="s">
        <v>52</v>
      </c>
      <c r="S814" t="s">
        <v>53</v>
      </c>
      <c r="T814" t="s">
        <v>20</v>
      </c>
    </row>
    <row r="815" spans="1:20" x14ac:dyDescent="0.3">
      <c r="A815" t="s">
        <v>1746</v>
      </c>
      <c r="B815" t="s">
        <v>55</v>
      </c>
      <c r="C815" t="s">
        <v>109</v>
      </c>
      <c r="D815" t="s">
        <v>167</v>
      </c>
      <c r="E815" t="s">
        <v>5132</v>
      </c>
      <c r="F815" t="s">
        <v>5125</v>
      </c>
      <c r="G815" t="s">
        <v>36</v>
      </c>
      <c r="H815" t="s">
        <v>5136</v>
      </c>
      <c r="I815" t="s">
        <v>5137</v>
      </c>
      <c r="J815">
        <v>72476</v>
      </c>
      <c r="K815" t="s">
        <v>1747</v>
      </c>
      <c r="L815" t="s">
        <v>5165</v>
      </c>
      <c r="M815" t="s">
        <v>46</v>
      </c>
      <c r="N815">
        <v>45308</v>
      </c>
      <c r="O815">
        <v>175</v>
      </c>
      <c r="P815" t="s">
        <v>29</v>
      </c>
      <c r="Q815">
        <v>0</v>
      </c>
      <c r="R815" t="s">
        <v>40</v>
      </c>
      <c r="S815" t="s">
        <v>21</v>
      </c>
      <c r="T815" t="s">
        <v>29</v>
      </c>
    </row>
    <row r="816" spans="1:20" x14ac:dyDescent="0.3">
      <c r="A816" t="s">
        <v>1748</v>
      </c>
      <c r="B816" t="s">
        <v>136</v>
      </c>
      <c r="C816" t="s">
        <v>185</v>
      </c>
      <c r="D816" t="s">
        <v>44</v>
      </c>
      <c r="E816" t="s">
        <v>5127</v>
      </c>
      <c r="F816" t="s">
        <v>5125</v>
      </c>
      <c r="G816" t="s">
        <v>36</v>
      </c>
      <c r="H816" t="s">
        <v>5136</v>
      </c>
      <c r="I816" t="s">
        <v>5137</v>
      </c>
      <c r="J816">
        <v>83001</v>
      </c>
      <c r="K816" t="s">
        <v>1749</v>
      </c>
      <c r="L816" t="s">
        <v>5165</v>
      </c>
      <c r="M816" t="s">
        <v>19</v>
      </c>
      <c r="N816">
        <v>45712</v>
      </c>
      <c r="O816">
        <v>2530</v>
      </c>
      <c r="P816" t="s">
        <v>20</v>
      </c>
      <c r="Q816">
        <v>0</v>
      </c>
      <c r="R816" t="s">
        <v>5116</v>
      </c>
      <c r="S816" t="s">
        <v>53</v>
      </c>
      <c r="T816" t="s">
        <v>29</v>
      </c>
    </row>
    <row r="817" spans="1:20" x14ac:dyDescent="0.3">
      <c r="A817" t="s">
        <v>1750</v>
      </c>
      <c r="B817" t="s">
        <v>63</v>
      </c>
      <c r="C817" t="s">
        <v>43</v>
      </c>
      <c r="D817" t="s">
        <v>118</v>
      </c>
      <c r="E817" t="s">
        <v>209</v>
      </c>
      <c r="F817" t="s">
        <v>210</v>
      </c>
      <c r="G817" t="s">
        <v>50</v>
      </c>
      <c r="H817" t="s">
        <v>5138</v>
      </c>
      <c r="I817" t="s">
        <v>5139</v>
      </c>
      <c r="J817">
        <v>146519</v>
      </c>
      <c r="K817" t="s">
        <v>1751</v>
      </c>
      <c r="L817" t="s">
        <v>38</v>
      </c>
      <c r="M817" t="s">
        <v>46</v>
      </c>
      <c r="N817">
        <v>45372</v>
      </c>
      <c r="O817">
        <v>1479</v>
      </c>
      <c r="P817" t="s">
        <v>92</v>
      </c>
      <c r="Q817">
        <v>6</v>
      </c>
      <c r="R817" t="s">
        <v>40</v>
      </c>
      <c r="S817" t="s">
        <v>21</v>
      </c>
      <c r="T817" t="s">
        <v>20</v>
      </c>
    </row>
    <row r="818" spans="1:20" x14ac:dyDescent="0.3">
      <c r="A818" t="s">
        <v>1752</v>
      </c>
      <c r="B818" t="s">
        <v>130</v>
      </c>
      <c r="C818" t="s">
        <v>125</v>
      </c>
      <c r="D818" t="s">
        <v>44</v>
      </c>
      <c r="E818" t="s">
        <v>26</v>
      </c>
      <c r="F818" t="s">
        <v>27</v>
      </c>
      <c r="G818" t="s">
        <v>36</v>
      </c>
      <c r="H818" t="s">
        <v>5138</v>
      </c>
      <c r="I818" t="s">
        <v>5139</v>
      </c>
      <c r="J818">
        <v>209613</v>
      </c>
      <c r="K818" t="s">
        <v>1753</v>
      </c>
      <c r="L818" t="s">
        <v>61</v>
      </c>
      <c r="M818" t="s">
        <v>19</v>
      </c>
      <c r="N818">
        <v>45725</v>
      </c>
      <c r="O818">
        <v>614</v>
      </c>
      <c r="P818" t="s">
        <v>29</v>
      </c>
      <c r="Q818">
        <v>6</v>
      </c>
      <c r="R818" t="s">
        <v>52</v>
      </c>
      <c r="S818" t="s">
        <v>21</v>
      </c>
      <c r="T818" t="s">
        <v>20</v>
      </c>
    </row>
    <row r="819" spans="1:20" x14ac:dyDescent="0.3">
      <c r="A819" t="s">
        <v>1754</v>
      </c>
      <c r="B819" t="s">
        <v>74</v>
      </c>
      <c r="C819" t="s">
        <v>172</v>
      </c>
      <c r="D819" t="s">
        <v>33</v>
      </c>
      <c r="E819" t="s">
        <v>5124</v>
      </c>
      <c r="F819" t="s">
        <v>5125</v>
      </c>
      <c r="G819" t="s">
        <v>36</v>
      </c>
      <c r="H819" t="s">
        <v>5142</v>
      </c>
      <c r="I819" t="s">
        <v>5143</v>
      </c>
      <c r="J819">
        <v>174020</v>
      </c>
      <c r="K819" t="s">
        <v>1755</v>
      </c>
      <c r="L819" t="s">
        <v>18</v>
      </c>
      <c r="M819" t="s">
        <v>39</v>
      </c>
      <c r="N819">
        <v>45659</v>
      </c>
      <c r="O819">
        <v>1501</v>
      </c>
      <c r="P819" t="s">
        <v>29</v>
      </c>
      <c r="Q819">
        <v>4</v>
      </c>
      <c r="R819" t="s">
        <v>47</v>
      </c>
      <c r="S819" t="s">
        <v>21</v>
      </c>
      <c r="T819" t="s">
        <v>29</v>
      </c>
    </row>
    <row r="820" spans="1:20" x14ac:dyDescent="0.3">
      <c r="A820" t="s">
        <v>1756</v>
      </c>
      <c r="B820" t="s">
        <v>31</v>
      </c>
      <c r="C820" t="s">
        <v>175</v>
      </c>
      <c r="D820" t="s">
        <v>140</v>
      </c>
      <c r="E820" t="s">
        <v>95</v>
      </c>
      <c r="F820" t="s">
        <v>96</v>
      </c>
      <c r="G820" t="s">
        <v>50</v>
      </c>
      <c r="H820" t="s">
        <v>5138</v>
      </c>
      <c r="I820" t="s">
        <v>5139</v>
      </c>
      <c r="J820">
        <v>202962</v>
      </c>
      <c r="K820" t="s">
        <v>1757</v>
      </c>
      <c r="L820" t="s">
        <v>5165</v>
      </c>
      <c r="M820" t="s">
        <v>46</v>
      </c>
      <c r="N820">
        <v>45529</v>
      </c>
      <c r="O820">
        <v>40</v>
      </c>
      <c r="P820" t="s">
        <v>92</v>
      </c>
      <c r="Q820">
        <v>6</v>
      </c>
      <c r="R820" t="s">
        <v>47</v>
      </c>
      <c r="S820" t="s">
        <v>41</v>
      </c>
      <c r="T820" t="s">
        <v>29</v>
      </c>
    </row>
    <row r="821" spans="1:20" x14ac:dyDescent="0.3">
      <c r="A821" t="s">
        <v>1758</v>
      </c>
      <c r="B821" t="s">
        <v>89</v>
      </c>
      <c r="C821" t="s">
        <v>100</v>
      </c>
      <c r="D821" t="s">
        <v>118</v>
      </c>
      <c r="E821" t="s">
        <v>58</v>
      </c>
      <c r="F821" t="s">
        <v>59</v>
      </c>
      <c r="G821" t="s">
        <v>16</v>
      </c>
      <c r="H821" t="s">
        <v>5142</v>
      </c>
      <c r="I821" t="s">
        <v>5143</v>
      </c>
      <c r="J821">
        <v>178767</v>
      </c>
      <c r="K821" t="s">
        <v>1759</v>
      </c>
      <c r="L821" t="s">
        <v>5165</v>
      </c>
      <c r="M821" t="s">
        <v>46</v>
      </c>
      <c r="N821">
        <v>45363</v>
      </c>
      <c r="O821">
        <v>2596</v>
      </c>
      <c r="P821" t="s">
        <v>20</v>
      </c>
      <c r="Q821">
        <v>4</v>
      </c>
      <c r="R821" t="s">
        <v>40</v>
      </c>
      <c r="S821" t="s">
        <v>53</v>
      </c>
      <c r="T821" t="s">
        <v>29</v>
      </c>
    </row>
    <row r="822" spans="1:20" x14ac:dyDescent="0.3">
      <c r="A822" t="s">
        <v>1760</v>
      </c>
      <c r="B822" t="s">
        <v>144</v>
      </c>
      <c r="C822" t="s">
        <v>100</v>
      </c>
      <c r="D822" t="s">
        <v>68</v>
      </c>
      <c r="E822" t="s">
        <v>152</v>
      </c>
      <c r="F822" t="s">
        <v>153</v>
      </c>
      <c r="G822" t="s">
        <v>36</v>
      </c>
      <c r="H822" t="s">
        <v>5136</v>
      </c>
      <c r="I822" t="s">
        <v>5137</v>
      </c>
      <c r="J822">
        <v>63482</v>
      </c>
      <c r="K822" t="s">
        <v>1761</v>
      </c>
      <c r="L822" t="s">
        <v>5165</v>
      </c>
      <c r="M822" t="s">
        <v>19</v>
      </c>
      <c r="N822">
        <v>45548</v>
      </c>
      <c r="O822">
        <v>3653</v>
      </c>
      <c r="P822" t="s">
        <v>20</v>
      </c>
      <c r="Q822">
        <v>0</v>
      </c>
      <c r="R822" t="s">
        <v>76</v>
      </c>
      <c r="S822" t="s">
        <v>21</v>
      </c>
      <c r="T822" t="s">
        <v>20</v>
      </c>
    </row>
    <row r="823" spans="1:20" x14ac:dyDescent="0.3">
      <c r="A823" t="s">
        <v>1762</v>
      </c>
      <c r="B823" t="s">
        <v>322</v>
      </c>
      <c r="C823" t="s">
        <v>90</v>
      </c>
      <c r="D823" t="s">
        <v>44</v>
      </c>
      <c r="E823" t="s">
        <v>34</v>
      </c>
      <c r="F823" t="s">
        <v>35</v>
      </c>
      <c r="G823" t="s">
        <v>50</v>
      </c>
      <c r="H823" t="s">
        <v>5136</v>
      </c>
      <c r="I823" t="s">
        <v>5137</v>
      </c>
      <c r="J823">
        <v>87757</v>
      </c>
      <c r="K823" t="s">
        <v>1763</v>
      </c>
      <c r="L823" t="s">
        <v>18</v>
      </c>
      <c r="M823" t="s">
        <v>46</v>
      </c>
      <c r="N823">
        <v>45594</v>
      </c>
      <c r="O823">
        <v>3815</v>
      </c>
      <c r="P823" t="s">
        <v>20</v>
      </c>
      <c r="Q823">
        <v>0</v>
      </c>
      <c r="R823" t="s">
        <v>76</v>
      </c>
      <c r="S823" t="s">
        <v>21</v>
      </c>
      <c r="T823" t="s">
        <v>20</v>
      </c>
    </row>
    <row r="824" spans="1:20" x14ac:dyDescent="0.3">
      <c r="A824" t="s">
        <v>1764</v>
      </c>
      <c r="B824" t="s">
        <v>136</v>
      </c>
      <c r="C824" t="s">
        <v>166</v>
      </c>
      <c r="D824" t="s">
        <v>140</v>
      </c>
      <c r="E824" t="s">
        <v>34</v>
      </c>
      <c r="F824" t="s">
        <v>35</v>
      </c>
      <c r="G824" t="s">
        <v>16</v>
      </c>
      <c r="H824" t="s">
        <v>5140</v>
      </c>
      <c r="I824" t="s">
        <v>5141</v>
      </c>
      <c r="J824">
        <v>155518</v>
      </c>
      <c r="K824" t="s">
        <v>1765</v>
      </c>
      <c r="L824" t="s">
        <v>5165</v>
      </c>
      <c r="M824" t="s">
        <v>19</v>
      </c>
      <c r="N824">
        <v>45625</v>
      </c>
      <c r="O824">
        <v>948</v>
      </c>
      <c r="P824" t="s">
        <v>29</v>
      </c>
      <c r="Q824">
        <v>2</v>
      </c>
      <c r="R824" t="s">
        <v>52</v>
      </c>
      <c r="S824" t="s">
        <v>21</v>
      </c>
      <c r="T824" t="s">
        <v>29</v>
      </c>
    </row>
    <row r="825" spans="1:20" x14ac:dyDescent="0.3">
      <c r="A825" t="s">
        <v>1766</v>
      </c>
      <c r="B825" t="s">
        <v>222</v>
      </c>
      <c r="C825" t="s">
        <v>64</v>
      </c>
      <c r="D825" t="s">
        <v>104</v>
      </c>
      <c r="E825" t="s">
        <v>14</v>
      </c>
      <c r="F825" t="s">
        <v>15</v>
      </c>
      <c r="G825" t="s">
        <v>36</v>
      </c>
      <c r="H825" t="s">
        <v>5136</v>
      </c>
      <c r="I825" t="s">
        <v>5137</v>
      </c>
      <c r="J825">
        <v>65428</v>
      </c>
      <c r="K825" t="s">
        <v>1767</v>
      </c>
      <c r="L825" t="s">
        <v>5165</v>
      </c>
      <c r="M825" t="s">
        <v>46</v>
      </c>
      <c r="N825">
        <v>45571</v>
      </c>
      <c r="O825">
        <v>2386</v>
      </c>
      <c r="P825" t="s">
        <v>29</v>
      </c>
      <c r="Q825">
        <v>0</v>
      </c>
      <c r="R825" t="s">
        <v>76</v>
      </c>
      <c r="S825" t="s">
        <v>21</v>
      </c>
      <c r="T825" t="s">
        <v>29</v>
      </c>
    </row>
    <row r="826" spans="1:20" x14ac:dyDescent="0.3">
      <c r="A826" t="s">
        <v>1768</v>
      </c>
      <c r="B826" t="s">
        <v>84</v>
      </c>
      <c r="C826" t="s">
        <v>117</v>
      </c>
      <c r="D826" t="s">
        <v>44</v>
      </c>
      <c r="E826" t="s">
        <v>126</v>
      </c>
      <c r="F826" t="s">
        <v>127</v>
      </c>
      <c r="G826" t="s">
        <v>36</v>
      </c>
      <c r="H826" t="s">
        <v>5138</v>
      </c>
      <c r="I826" t="s">
        <v>5139</v>
      </c>
      <c r="J826">
        <v>183961</v>
      </c>
      <c r="K826" t="s">
        <v>1769</v>
      </c>
      <c r="L826" t="s">
        <v>82</v>
      </c>
      <c r="M826" t="s">
        <v>19</v>
      </c>
      <c r="N826">
        <v>45382</v>
      </c>
      <c r="O826">
        <v>702</v>
      </c>
      <c r="P826" t="s">
        <v>20</v>
      </c>
      <c r="Q826">
        <v>6</v>
      </c>
      <c r="R826" t="s">
        <v>40</v>
      </c>
      <c r="S826" t="s">
        <v>21</v>
      </c>
      <c r="T826" t="s">
        <v>20</v>
      </c>
    </row>
    <row r="827" spans="1:20" x14ac:dyDescent="0.3">
      <c r="A827" t="s">
        <v>1770</v>
      </c>
      <c r="B827" t="s">
        <v>99</v>
      </c>
      <c r="C827" t="s">
        <v>121</v>
      </c>
      <c r="D827" t="s">
        <v>5156</v>
      </c>
      <c r="E827" t="s">
        <v>5133</v>
      </c>
      <c r="F827" t="s">
        <v>5125</v>
      </c>
      <c r="G827" t="s">
        <v>16</v>
      </c>
      <c r="H827" t="s">
        <v>5140</v>
      </c>
      <c r="I827" t="s">
        <v>5141</v>
      </c>
      <c r="J827">
        <v>138777</v>
      </c>
      <c r="K827" t="s">
        <v>1771</v>
      </c>
      <c r="L827" t="s">
        <v>5165</v>
      </c>
      <c r="M827" t="s">
        <v>72</v>
      </c>
      <c r="N827">
        <v>45439</v>
      </c>
      <c r="O827">
        <v>3199</v>
      </c>
      <c r="P827" t="s">
        <v>20</v>
      </c>
      <c r="Q827">
        <v>2</v>
      </c>
      <c r="R827" t="s">
        <v>40</v>
      </c>
      <c r="S827" t="s">
        <v>41</v>
      </c>
      <c r="T827" t="s">
        <v>29</v>
      </c>
    </row>
    <row r="828" spans="1:20" x14ac:dyDescent="0.3">
      <c r="A828" t="s">
        <v>1772</v>
      </c>
      <c r="B828" t="s">
        <v>165</v>
      </c>
      <c r="C828" t="s">
        <v>219</v>
      </c>
      <c r="D828" t="s">
        <v>44</v>
      </c>
      <c r="E828" t="s">
        <v>5129</v>
      </c>
      <c r="F828" t="s">
        <v>5130</v>
      </c>
      <c r="G828" t="s">
        <v>36</v>
      </c>
      <c r="H828" t="s">
        <v>5142</v>
      </c>
      <c r="I828" t="s">
        <v>5143</v>
      </c>
      <c r="J828">
        <v>192648</v>
      </c>
      <c r="K828" t="s">
        <v>1773</v>
      </c>
      <c r="L828" t="s">
        <v>5165</v>
      </c>
      <c r="M828" t="s">
        <v>46</v>
      </c>
      <c r="N828">
        <v>45719</v>
      </c>
      <c r="O828">
        <v>3313</v>
      </c>
      <c r="P828" t="s">
        <v>29</v>
      </c>
      <c r="Q828">
        <v>4</v>
      </c>
      <c r="R828" t="s">
        <v>40</v>
      </c>
      <c r="S828" t="s">
        <v>53</v>
      </c>
      <c r="T828" t="s">
        <v>20</v>
      </c>
    </row>
    <row r="829" spans="1:20" x14ac:dyDescent="0.3">
      <c r="A829" t="s">
        <v>1774</v>
      </c>
      <c r="B829" t="s">
        <v>78</v>
      </c>
      <c r="C829" t="s">
        <v>117</v>
      </c>
      <c r="D829" t="s">
        <v>167</v>
      </c>
      <c r="E829" t="s">
        <v>5128</v>
      </c>
      <c r="F829" t="s">
        <v>5125</v>
      </c>
      <c r="G829" t="s">
        <v>16</v>
      </c>
      <c r="H829" t="s">
        <v>5136</v>
      </c>
      <c r="I829" t="s">
        <v>5137</v>
      </c>
      <c r="J829">
        <v>63411</v>
      </c>
      <c r="K829" t="s">
        <v>1775</v>
      </c>
      <c r="L829" t="s">
        <v>38</v>
      </c>
      <c r="M829" t="s">
        <v>39</v>
      </c>
      <c r="N829">
        <v>45467</v>
      </c>
      <c r="O829">
        <v>434</v>
      </c>
      <c r="P829" t="s">
        <v>20</v>
      </c>
      <c r="Q829">
        <v>0</v>
      </c>
      <c r="R829" t="s">
        <v>52</v>
      </c>
      <c r="S829" t="s">
        <v>21</v>
      </c>
      <c r="T829" t="s">
        <v>29</v>
      </c>
    </row>
    <row r="830" spans="1:20" x14ac:dyDescent="0.3">
      <c r="A830" t="s">
        <v>1776</v>
      </c>
      <c r="B830" t="s">
        <v>89</v>
      </c>
      <c r="C830" t="s">
        <v>125</v>
      </c>
      <c r="D830" t="s">
        <v>57</v>
      </c>
      <c r="E830" t="s">
        <v>26</v>
      </c>
      <c r="F830" t="s">
        <v>27</v>
      </c>
      <c r="G830" t="s">
        <v>50</v>
      </c>
      <c r="H830" t="s">
        <v>5136</v>
      </c>
      <c r="I830" t="s">
        <v>5137</v>
      </c>
      <c r="J830">
        <v>64705</v>
      </c>
      <c r="K830" t="s">
        <v>1777</v>
      </c>
      <c r="L830" t="s">
        <v>179</v>
      </c>
      <c r="M830" t="s">
        <v>19</v>
      </c>
      <c r="N830">
        <v>45691</v>
      </c>
      <c r="O830">
        <v>80</v>
      </c>
      <c r="P830" t="s">
        <v>92</v>
      </c>
      <c r="Q830">
        <v>0</v>
      </c>
      <c r="R830" t="s">
        <v>40</v>
      </c>
      <c r="S830" t="s">
        <v>21</v>
      </c>
      <c r="T830" t="s">
        <v>29</v>
      </c>
    </row>
    <row r="831" spans="1:20" x14ac:dyDescent="0.3">
      <c r="A831" t="s">
        <v>1778</v>
      </c>
      <c r="B831" t="s">
        <v>144</v>
      </c>
      <c r="C831" t="s">
        <v>32</v>
      </c>
      <c r="D831" t="s">
        <v>118</v>
      </c>
      <c r="E831" t="s">
        <v>34</v>
      </c>
      <c r="F831" t="s">
        <v>35</v>
      </c>
      <c r="G831" t="s">
        <v>16</v>
      </c>
      <c r="H831" t="s">
        <v>5142</v>
      </c>
      <c r="I831" t="s">
        <v>5143</v>
      </c>
      <c r="J831">
        <v>142391</v>
      </c>
      <c r="K831" t="s">
        <v>1779</v>
      </c>
      <c r="L831" t="s">
        <v>5165</v>
      </c>
      <c r="M831" t="s">
        <v>46</v>
      </c>
      <c r="N831">
        <v>45723</v>
      </c>
      <c r="O831">
        <v>500</v>
      </c>
      <c r="P831" t="s">
        <v>20</v>
      </c>
      <c r="Q831">
        <v>4</v>
      </c>
      <c r="R831" t="s">
        <v>5116</v>
      </c>
      <c r="S831" t="s">
        <v>53</v>
      </c>
      <c r="T831" t="s">
        <v>20</v>
      </c>
    </row>
    <row r="832" spans="1:20" x14ac:dyDescent="0.3">
      <c r="A832" t="s">
        <v>1780</v>
      </c>
      <c r="B832" t="s">
        <v>84</v>
      </c>
      <c r="C832" t="s">
        <v>43</v>
      </c>
      <c r="D832" t="s">
        <v>118</v>
      </c>
      <c r="E832" t="s">
        <v>126</v>
      </c>
      <c r="F832" t="s">
        <v>127</v>
      </c>
      <c r="G832" t="s">
        <v>50</v>
      </c>
      <c r="H832" t="s">
        <v>5142</v>
      </c>
      <c r="I832" t="s">
        <v>5143</v>
      </c>
      <c r="J832">
        <v>113699</v>
      </c>
      <c r="K832" t="s">
        <v>1781</v>
      </c>
      <c r="L832" t="s">
        <v>5165</v>
      </c>
      <c r="M832" t="s">
        <v>46</v>
      </c>
      <c r="N832">
        <v>45442</v>
      </c>
      <c r="O832">
        <v>636</v>
      </c>
      <c r="P832" t="s">
        <v>20</v>
      </c>
      <c r="Q832">
        <v>4</v>
      </c>
      <c r="R832" t="s">
        <v>52</v>
      </c>
      <c r="S832" t="s">
        <v>41</v>
      </c>
      <c r="T832" t="s">
        <v>20</v>
      </c>
    </row>
    <row r="833" spans="1:20" x14ac:dyDescent="0.3">
      <c r="A833" t="s">
        <v>1782</v>
      </c>
      <c r="B833" t="s">
        <v>218</v>
      </c>
      <c r="C833" t="s">
        <v>232</v>
      </c>
      <c r="D833" t="s">
        <v>68</v>
      </c>
      <c r="E833" t="s">
        <v>152</v>
      </c>
      <c r="F833" t="s">
        <v>153</v>
      </c>
      <c r="G833" t="s">
        <v>16</v>
      </c>
      <c r="H833" t="s">
        <v>5136</v>
      </c>
      <c r="I833" t="s">
        <v>5137</v>
      </c>
      <c r="J833">
        <v>58424</v>
      </c>
      <c r="K833" t="s">
        <v>1783</v>
      </c>
      <c r="L833" t="s">
        <v>61</v>
      </c>
      <c r="M833" t="s">
        <v>46</v>
      </c>
      <c r="N833">
        <v>45445</v>
      </c>
      <c r="O833">
        <v>1494</v>
      </c>
      <c r="P833" t="s">
        <v>29</v>
      </c>
      <c r="Q833">
        <v>0</v>
      </c>
      <c r="R833" t="s">
        <v>40</v>
      </c>
      <c r="S833" t="s">
        <v>53</v>
      </c>
      <c r="T833" t="s">
        <v>29</v>
      </c>
    </row>
    <row r="834" spans="1:20" x14ac:dyDescent="0.3">
      <c r="A834" t="s">
        <v>1784</v>
      </c>
      <c r="B834" t="s">
        <v>12</v>
      </c>
      <c r="C834" t="s">
        <v>64</v>
      </c>
      <c r="D834" t="s">
        <v>68</v>
      </c>
      <c r="E834" t="s">
        <v>193</v>
      </c>
      <c r="F834" t="s">
        <v>194</v>
      </c>
      <c r="G834" t="s">
        <v>16</v>
      </c>
      <c r="H834" t="s">
        <v>5140</v>
      </c>
      <c r="I834" t="s">
        <v>5141</v>
      </c>
      <c r="J834">
        <v>90118</v>
      </c>
      <c r="K834" t="s">
        <v>1785</v>
      </c>
      <c r="L834" t="s">
        <v>87</v>
      </c>
      <c r="M834" t="s">
        <v>72</v>
      </c>
      <c r="N834">
        <v>45701</v>
      </c>
      <c r="O834">
        <v>3334</v>
      </c>
      <c r="P834" t="s">
        <v>20</v>
      </c>
      <c r="Q834">
        <v>2</v>
      </c>
      <c r="R834" t="s">
        <v>76</v>
      </c>
      <c r="S834" t="s">
        <v>53</v>
      </c>
      <c r="T834" t="s">
        <v>20</v>
      </c>
    </row>
    <row r="835" spans="1:20" x14ac:dyDescent="0.3">
      <c r="A835" t="s">
        <v>1786</v>
      </c>
      <c r="B835" t="s">
        <v>23</v>
      </c>
      <c r="C835" t="s">
        <v>166</v>
      </c>
      <c r="D835" t="s">
        <v>5156</v>
      </c>
      <c r="E835" t="s">
        <v>5129</v>
      </c>
      <c r="F835" t="s">
        <v>5130</v>
      </c>
      <c r="G835" t="s">
        <v>50</v>
      </c>
      <c r="H835" t="s">
        <v>5142</v>
      </c>
      <c r="I835" t="s">
        <v>5143</v>
      </c>
      <c r="J835">
        <v>129269</v>
      </c>
      <c r="K835" t="s">
        <v>1787</v>
      </c>
      <c r="L835" t="s">
        <v>38</v>
      </c>
      <c r="M835" t="s">
        <v>19</v>
      </c>
      <c r="N835">
        <v>45677</v>
      </c>
      <c r="O835">
        <v>3897</v>
      </c>
      <c r="P835" t="s">
        <v>92</v>
      </c>
      <c r="Q835">
        <v>4</v>
      </c>
      <c r="R835" t="s">
        <v>5116</v>
      </c>
      <c r="S835" t="s">
        <v>21</v>
      </c>
      <c r="T835" t="s">
        <v>20</v>
      </c>
    </row>
    <row r="836" spans="1:20" x14ac:dyDescent="0.3">
      <c r="A836" t="s">
        <v>1788</v>
      </c>
      <c r="B836" t="s">
        <v>89</v>
      </c>
      <c r="C836" t="s">
        <v>160</v>
      </c>
      <c r="D836" t="s">
        <v>118</v>
      </c>
      <c r="E836" t="s">
        <v>5126</v>
      </c>
      <c r="F836" t="s">
        <v>5125</v>
      </c>
      <c r="G836" t="s">
        <v>36</v>
      </c>
      <c r="H836" t="s">
        <v>5142</v>
      </c>
      <c r="I836" t="s">
        <v>5143</v>
      </c>
      <c r="J836">
        <v>149063</v>
      </c>
      <c r="K836" t="s">
        <v>1789</v>
      </c>
      <c r="L836" t="s">
        <v>38</v>
      </c>
      <c r="M836" t="s">
        <v>46</v>
      </c>
      <c r="N836">
        <v>45427</v>
      </c>
      <c r="O836">
        <v>2593</v>
      </c>
      <c r="P836" t="s">
        <v>20</v>
      </c>
      <c r="Q836">
        <v>4</v>
      </c>
      <c r="R836" t="s">
        <v>52</v>
      </c>
      <c r="S836" t="s">
        <v>21</v>
      </c>
      <c r="T836" t="s">
        <v>20</v>
      </c>
    </row>
    <row r="837" spans="1:20" x14ac:dyDescent="0.3">
      <c r="A837" t="s">
        <v>1790</v>
      </c>
      <c r="B837" t="s">
        <v>215</v>
      </c>
      <c r="C837" t="s">
        <v>85</v>
      </c>
      <c r="D837" t="s">
        <v>5156</v>
      </c>
      <c r="E837" t="s">
        <v>5131</v>
      </c>
      <c r="F837" t="s">
        <v>5125</v>
      </c>
      <c r="G837" t="s">
        <v>16</v>
      </c>
      <c r="H837" t="s">
        <v>5140</v>
      </c>
      <c r="I837" t="s">
        <v>5141</v>
      </c>
      <c r="J837">
        <v>114637</v>
      </c>
      <c r="K837" t="s">
        <v>1791</v>
      </c>
      <c r="L837" t="s">
        <v>87</v>
      </c>
      <c r="M837" t="s">
        <v>46</v>
      </c>
      <c r="N837">
        <v>45559</v>
      </c>
      <c r="O837">
        <v>798</v>
      </c>
      <c r="P837" t="s">
        <v>20</v>
      </c>
      <c r="Q837">
        <v>2</v>
      </c>
      <c r="R837" t="s">
        <v>40</v>
      </c>
      <c r="S837" t="s">
        <v>21</v>
      </c>
      <c r="T837" t="s">
        <v>29</v>
      </c>
    </row>
    <row r="838" spans="1:20" x14ac:dyDescent="0.3">
      <c r="A838" t="s">
        <v>1792</v>
      </c>
      <c r="B838" t="s">
        <v>136</v>
      </c>
      <c r="C838" t="s">
        <v>49</v>
      </c>
      <c r="D838" t="s">
        <v>104</v>
      </c>
      <c r="E838" t="s">
        <v>193</v>
      </c>
      <c r="F838" t="s">
        <v>194</v>
      </c>
      <c r="G838" t="s">
        <v>16</v>
      </c>
      <c r="H838" t="s">
        <v>5138</v>
      </c>
      <c r="I838" t="s">
        <v>5139</v>
      </c>
      <c r="J838">
        <v>255818</v>
      </c>
      <c r="K838" t="s">
        <v>1793</v>
      </c>
      <c r="L838" t="s">
        <v>142</v>
      </c>
      <c r="M838" t="s">
        <v>19</v>
      </c>
      <c r="N838">
        <v>45419</v>
      </c>
      <c r="O838">
        <v>2841</v>
      </c>
      <c r="P838" t="s">
        <v>29</v>
      </c>
      <c r="Q838">
        <v>6</v>
      </c>
      <c r="R838" t="s">
        <v>47</v>
      </c>
      <c r="S838" t="s">
        <v>53</v>
      </c>
      <c r="T838" t="s">
        <v>20</v>
      </c>
    </row>
    <row r="839" spans="1:20" x14ac:dyDescent="0.3">
      <c r="A839" t="s">
        <v>1794</v>
      </c>
      <c r="B839" t="s">
        <v>84</v>
      </c>
      <c r="C839" t="s">
        <v>166</v>
      </c>
      <c r="D839" t="s">
        <v>44</v>
      </c>
      <c r="E839" t="s">
        <v>5127</v>
      </c>
      <c r="F839" t="s">
        <v>5125</v>
      </c>
      <c r="G839" t="s">
        <v>16</v>
      </c>
      <c r="H839" t="s">
        <v>5140</v>
      </c>
      <c r="I839" t="s">
        <v>5141</v>
      </c>
      <c r="J839">
        <v>90232</v>
      </c>
      <c r="K839" t="s">
        <v>1795</v>
      </c>
      <c r="L839" t="s">
        <v>238</v>
      </c>
      <c r="M839" t="s">
        <v>46</v>
      </c>
      <c r="N839">
        <v>45419</v>
      </c>
      <c r="O839">
        <v>2947</v>
      </c>
      <c r="P839" t="s">
        <v>29</v>
      </c>
      <c r="Q839">
        <v>2</v>
      </c>
      <c r="R839" t="s">
        <v>5116</v>
      </c>
      <c r="S839" t="s">
        <v>21</v>
      </c>
      <c r="T839" t="s">
        <v>29</v>
      </c>
    </row>
    <row r="840" spans="1:20" x14ac:dyDescent="0.3">
      <c r="A840" t="s">
        <v>1796</v>
      </c>
      <c r="B840" t="s">
        <v>165</v>
      </c>
      <c r="C840" t="s">
        <v>49</v>
      </c>
      <c r="D840" t="s">
        <v>68</v>
      </c>
      <c r="E840" t="s">
        <v>58</v>
      </c>
      <c r="F840" t="s">
        <v>59</v>
      </c>
      <c r="G840" t="s">
        <v>36</v>
      </c>
      <c r="H840" t="s">
        <v>5140</v>
      </c>
      <c r="I840" t="s">
        <v>5141</v>
      </c>
      <c r="J840">
        <v>129489</v>
      </c>
      <c r="K840" t="s">
        <v>1797</v>
      </c>
      <c r="L840" t="s">
        <v>5165</v>
      </c>
      <c r="M840" t="s">
        <v>46</v>
      </c>
      <c r="N840">
        <v>45694</v>
      </c>
      <c r="O840">
        <v>2726</v>
      </c>
      <c r="P840" t="s">
        <v>29</v>
      </c>
      <c r="Q840">
        <v>2</v>
      </c>
      <c r="R840" t="s">
        <v>47</v>
      </c>
      <c r="S840" t="s">
        <v>21</v>
      </c>
      <c r="T840" t="s">
        <v>29</v>
      </c>
    </row>
    <row r="841" spans="1:20" x14ac:dyDescent="0.3">
      <c r="A841" t="s">
        <v>1798</v>
      </c>
      <c r="B841" t="s">
        <v>84</v>
      </c>
      <c r="C841" t="s">
        <v>151</v>
      </c>
      <c r="D841" t="s">
        <v>5156</v>
      </c>
      <c r="E841" t="s">
        <v>152</v>
      </c>
      <c r="F841" t="s">
        <v>153</v>
      </c>
      <c r="G841" t="s">
        <v>50</v>
      </c>
      <c r="H841" t="s">
        <v>5138</v>
      </c>
      <c r="I841" t="s">
        <v>5139</v>
      </c>
      <c r="J841">
        <v>192296</v>
      </c>
      <c r="K841" t="s">
        <v>1799</v>
      </c>
      <c r="L841" t="s">
        <v>179</v>
      </c>
      <c r="M841" t="s">
        <v>39</v>
      </c>
      <c r="N841">
        <v>45515</v>
      </c>
      <c r="O841">
        <v>1194</v>
      </c>
      <c r="P841" t="s">
        <v>29</v>
      </c>
      <c r="Q841">
        <v>6</v>
      </c>
      <c r="R841" t="s">
        <v>5116</v>
      </c>
      <c r="S841" t="s">
        <v>53</v>
      </c>
      <c r="T841" t="s">
        <v>29</v>
      </c>
    </row>
    <row r="842" spans="1:20" x14ac:dyDescent="0.3">
      <c r="A842" t="s">
        <v>1800</v>
      </c>
      <c r="B842" t="s">
        <v>31</v>
      </c>
      <c r="C842" t="s">
        <v>109</v>
      </c>
      <c r="D842" t="s">
        <v>57</v>
      </c>
      <c r="E842" t="s">
        <v>5131</v>
      </c>
      <c r="F842" t="s">
        <v>5125</v>
      </c>
      <c r="G842" t="s">
        <v>36</v>
      </c>
      <c r="H842" t="s">
        <v>5140</v>
      </c>
      <c r="I842" t="s">
        <v>5141</v>
      </c>
      <c r="J842">
        <v>109020</v>
      </c>
      <c r="K842" t="s">
        <v>1801</v>
      </c>
      <c r="L842" t="s">
        <v>113</v>
      </c>
      <c r="M842" t="s">
        <v>72</v>
      </c>
      <c r="N842">
        <v>45534</v>
      </c>
      <c r="O842">
        <v>667</v>
      </c>
      <c r="P842" t="s">
        <v>20</v>
      </c>
      <c r="Q842">
        <v>2</v>
      </c>
      <c r="R842" t="s">
        <v>52</v>
      </c>
      <c r="S842" t="s">
        <v>53</v>
      </c>
      <c r="T842" t="s">
        <v>29</v>
      </c>
    </row>
    <row r="843" spans="1:20" x14ac:dyDescent="0.3">
      <c r="A843" t="s">
        <v>1802</v>
      </c>
      <c r="B843" t="s">
        <v>84</v>
      </c>
      <c r="C843" t="s">
        <v>166</v>
      </c>
      <c r="D843" t="s">
        <v>68</v>
      </c>
      <c r="E843" t="s">
        <v>5126</v>
      </c>
      <c r="F843" t="s">
        <v>5125</v>
      </c>
      <c r="G843" t="s">
        <v>16</v>
      </c>
      <c r="H843" t="s">
        <v>5138</v>
      </c>
      <c r="I843" t="s">
        <v>5139</v>
      </c>
      <c r="J843">
        <v>224293</v>
      </c>
      <c r="K843" t="s">
        <v>1803</v>
      </c>
      <c r="L843" t="s">
        <v>142</v>
      </c>
      <c r="M843" t="s">
        <v>39</v>
      </c>
      <c r="N843">
        <v>45574</v>
      </c>
      <c r="O843">
        <v>93</v>
      </c>
      <c r="P843" t="s">
        <v>29</v>
      </c>
      <c r="Q843">
        <v>6</v>
      </c>
      <c r="R843" t="s">
        <v>5116</v>
      </c>
      <c r="S843" t="s">
        <v>21</v>
      </c>
      <c r="T843" t="s">
        <v>29</v>
      </c>
    </row>
    <row r="844" spans="1:20" x14ac:dyDescent="0.3">
      <c r="A844" t="s">
        <v>1804</v>
      </c>
      <c r="B844" t="s">
        <v>84</v>
      </c>
      <c r="C844" t="s">
        <v>13</v>
      </c>
      <c r="D844" t="s">
        <v>104</v>
      </c>
      <c r="E844" t="s">
        <v>152</v>
      </c>
      <c r="F844" t="s">
        <v>153</v>
      </c>
      <c r="G844" t="s">
        <v>50</v>
      </c>
      <c r="H844" t="s">
        <v>5140</v>
      </c>
      <c r="I844" t="s">
        <v>5141</v>
      </c>
      <c r="J844">
        <v>87770</v>
      </c>
      <c r="K844" t="s">
        <v>1805</v>
      </c>
      <c r="L844" t="s">
        <v>5165</v>
      </c>
      <c r="M844" t="s">
        <v>46</v>
      </c>
      <c r="N844">
        <v>45293</v>
      </c>
      <c r="O844">
        <v>802</v>
      </c>
      <c r="P844" t="s">
        <v>29</v>
      </c>
      <c r="Q844">
        <v>2</v>
      </c>
      <c r="R844" t="s">
        <v>40</v>
      </c>
      <c r="S844" t="s">
        <v>53</v>
      </c>
      <c r="T844" t="s">
        <v>29</v>
      </c>
    </row>
    <row r="845" spans="1:20" x14ac:dyDescent="0.3">
      <c r="A845" t="s">
        <v>1806</v>
      </c>
      <c r="B845" t="s">
        <v>31</v>
      </c>
      <c r="C845" t="s">
        <v>24</v>
      </c>
      <c r="D845" t="s">
        <v>5156</v>
      </c>
      <c r="E845" t="s">
        <v>5126</v>
      </c>
      <c r="F845" t="s">
        <v>5125</v>
      </c>
      <c r="G845" t="s">
        <v>36</v>
      </c>
      <c r="H845" t="s">
        <v>5140</v>
      </c>
      <c r="I845" t="s">
        <v>5141</v>
      </c>
      <c r="J845">
        <v>117571</v>
      </c>
      <c r="K845" t="s">
        <v>1807</v>
      </c>
      <c r="L845" t="s">
        <v>5165</v>
      </c>
      <c r="M845" t="s">
        <v>39</v>
      </c>
      <c r="N845">
        <v>45600</v>
      </c>
      <c r="O845">
        <v>1940</v>
      </c>
      <c r="P845" t="s">
        <v>20</v>
      </c>
      <c r="Q845">
        <v>2</v>
      </c>
      <c r="R845" t="s">
        <v>76</v>
      </c>
      <c r="S845" t="s">
        <v>21</v>
      </c>
      <c r="T845" t="s">
        <v>29</v>
      </c>
    </row>
    <row r="846" spans="1:20" x14ac:dyDescent="0.3">
      <c r="A846" t="s">
        <v>1808</v>
      </c>
      <c r="B846" t="s">
        <v>23</v>
      </c>
      <c r="C846" t="s">
        <v>100</v>
      </c>
      <c r="D846" t="s">
        <v>44</v>
      </c>
      <c r="E846" t="s">
        <v>5128</v>
      </c>
      <c r="F846" t="s">
        <v>5125</v>
      </c>
      <c r="G846" t="s">
        <v>16</v>
      </c>
      <c r="H846" t="s">
        <v>5136</v>
      </c>
      <c r="I846" t="s">
        <v>5137</v>
      </c>
      <c r="J846">
        <v>72097</v>
      </c>
      <c r="K846" t="s">
        <v>1809</v>
      </c>
      <c r="L846" t="s">
        <v>87</v>
      </c>
      <c r="M846" t="s">
        <v>19</v>
      </c>
      <c r="N846">
        <v>45362</v>
      </c>
      <c r="O846">
        <v>2952</v>
      </c>
      <c r="P846" t="s">
        <v>29</v>
      </c>
      <c r="Q846">
        <v>0</v>
      </c>
      <c r="R846" t="s">
        <v>47</v>
      </c>
      <c r="S846" t="s">
        <v>21</v>
      </c>
      <c r="T846" t="s">
        <v>29</v>
      </c>
    </row>
    <row r="847" spans="1:20" x14ac:dyDescent="0.3">
      <c r="A847" t="s">
        <v>1810</v>
      </c>
      <c r="B847" t="s">
        <v>31</v>
      </c>
      <c r="C847" t="s">
        <v>151</v>
      </c>
      <c r="D847" t="s">
        <v>104</v>
      </c>
      <c r="E847" t="s">
        <v>193</v>
      </c>
      <c r="F847" t="s">
        <v>194</v>
      </c>
      <c r="G847" t="s">
        <v>16</v>
      </c>
      <c r="H847" t="s">
        <v>5136</v>
      </c>
      <c r="I847" t="s">
        <v>5137</v>
      </c>
      <c r="J847">
        <v>76204</v>
      </c>
      <c r="K847" t="s">
        <v>1811</v>
      </c>
      <c r="L847" t="s">
        <v>113</v>
      </c>
      <c r="M847" t="s">
        <v>46</v>
      </c>
      <c r="N847">
        <v>45435</v>
      </c>
      <c r="O847">
        <v>190</v>
      </c>
      <c r="P847" t="s">
        <v>20</v>
      </c>
      <c r="Q847">
        <v>0</v>
      </c>
      <c r="R847" t="s">
        <v>40</v>
      </c>
      <c r="S847" t="s">
        <v>21</v>
      </c>
      <c r="T847" t="s">
        <v>20</v>
      </c>
    </row>
    <row r="848" spans="1:20" x14ac:dyDescent="0.3">
      <c r="A848" t="s">
        <v>1812</v>
      </c>
      <c r="B848" t="s">
        <v>144</v>
      </c>
      <c r="C848" t="s">
        <v>166</v>
      </c>
      <c r="D848" t="s">
        <v>5156</v>
      </c>
      <c r="E848" t="s">
        <v>80</v>
      </c>
      <c r="F848" t="s">
        <v>80</v>
      </c>
      <c r="G848" t="s">
        <v>36</v>
      </c>
      <c r="H848" t="s">
        <v>5138</v>
      </c>
      <c r="I848" t="s">
        <v>5139</v>
      </c>
      <c r="J848">
        <v>210410</v>
      </c>
      <c r="K848" t="s">
        <v>1813</v>
      </c>
      <c r="L848" t="s">
        <v>5165</v>
      </c>
      <c r="M848" t="s">
        <v>46</v>
      </c>
      <c r="N848">
        <v>45746</v>
      </c>
      <c r="O848">
        <v>3838</v>
      </c>
      <c r="P848" t="s">
        <v>20</v>
      </c>
      <c r="Q848">
        <v>6</v>
      </c>
      <c r="R848" t="s">
        <v>52</v>
      </c>
      <c r="S848" t="s">
        <v>21</v>
      </c>
      <c r="T848" t="s">
        <v>29</v>
      </c>
    </row>
    <row r="849" spans="1:20" x14ac:dyDescent="0.3">
      <c r="A849" t="s">
        <v>1814</v>
      </c>
      <c r="B849" t="s">
        <v>12</v>
      </c>
      <c r="C849" t="s">
        <v>197</v>
      </c>
      <c r="D849" t="s">
        <v>118</v>
      </c>
      <c r="E849" t="s">
        <v>14</v>
      </c>
      <c r="F849" t="s">
        <v>15</v>
      </c>
      <c r="G849" t="s">
        <v>16</v>
      </c>
      <c r="H849" t="s">
        <v>5136</v>
      </c>
      <c r="I849" t="s">
        <v>5137</v>
      </c>
      <c r="J849">
        <v>100936</v>
      </c>
      <c r="K849" t="s">
        <v>1815</v>
      </c>
      <c r="L849" t="s">
        <v>238</v>
      </c>
      <c r="M849" t="s">
        <v>19</v>
      </c>
      <c r="N849">
        <v>45713</v>
      </c>
      <c r="O849">
        <v>2720</v>
      </c>
      <c r="P849" t="s">
        <v>20</v>
      </c>
      <c r="Q849">
        <v>0</v>
      </c>
      <c r="R849" t="s">
        <v>76</v>
      </c>
      <c r="S849" t="s">
        <v>21</v>
      </c>
      <c r="T849" t="s">
        <v>29</v>
      </c>
    </row>
    <row r="850" spans="1:20" x14ac:dyDescent="0.3">
      <c r="A850" t="s">
        <v>1816</v>
      </c>
      <c r="B850" t="s">
        <v>99</v>
      </c>
      <c r="C850" t="s">
        <v>117</v>
      </c>
      <c r="D850" t="s">
        <v>118</v>
      </c>
      <c r="E850" t="s">
        <v>223</v>
      </c>
      <c r="F850" t="s">
        <v>224</v>
      </c>
      <c r="G850" t="s">
        <v>50</v>
      </c>
      <c r="H850" t="s">
        <v>5142</v>
      </c>
      <c r="I850" t="s">
        <v>5143</v>
      </c>
      <c r="J850">
        <v>132781</v>
      </c>
      <c r="K850" t="s">
        <v>1817</v>
      </c>
      <c r="L850" t="s">
        <v>134</v>
      </c>
      <c r="M850" t="s">
        <v>46</v>
      </c>
      <c r="N850">
        <v>45513</v>
      </c>
      <c r="O850">
        <v>727</v>
      </c>
      <c r="P850" t="s">
        <v>20</v>
      </c>
      <c r="Q850">
        <v>4</v>
      </c>
      <c r="R850" t="s">
        <v>52</v>
      </c>
      <c r="S850" t="s">
        <v>21</v>
      </c>
      <c r="T850" t="s">
        <v>20</v>
      </c>
    </row>
    <row r="851" spans="1:20" x14ac:dyDescent="0.3">
      <c r="A851" t="s">
        <v>1818</v>
      </c>
      <c r="B851" t="s">
        <v>99</v>
      </c>
      <c r="C851" t="s">
        <v>175</v>
      </c>
      <c r="D851" t="s">
        <v>68</v>
      </c>
      <c r="E851" t="s">
        <v>58</v>
      </c>
      <c r="F851" t="s">
        <v>59</v>
      </c>
      <c r="G851" t="s">
        <v>16</v>
      </c>
      <c r="H851" t="s">
        <v>5136</v>
      </c>
      <c r="I851" t="s">
        <v>5137</v>
      </c>
      <c r="J851">
        <v>63309</v>
      </c>
      <c r="K851" t="s">
        <v>1819</v>
      </c>
      <c r="L851" t="s">
        <v>5165</v>
      </c>
      <c r="M851" t="s">
        <v>39</v>
      </c>
      <c r="N851">
        <v>45514</v>
      </c>
      <c r="O851">
        <v>3901</v>
      </c>
      <c r="P851" t="s">
        <v>92</v>
      </c>
      <c r="Q851">
        <v>0</v>
      </c>
      <c r="R851" t="s">
        <v>76</v>
      </c>
      <c r="S851" t="s">
        <v>53</v>
      </c>
      <c r="T851" t="s">
        <v>20</v>
      </c>
    </row>
    <row r="852" spans="1:20" x14ac:dyDescent="0.3">
      <c r="A852" t="s">
        <v>1820</v>
      </c>
      <c r="B852" t="s">
        <v>229</v>
      </c>
      <c r="C852" t="s">
        <v>139</v>
      </c>
      <c r="D852" t="s">
        <v>25</v>
      </c>
      <c r="E852" t="s">
        <v>95</v>
      </c>
      <c r="F852" t="s">
        <v>96</v>
      </c>
      <c r="G852" t="s">
        <v>50</v>
      </c>
      <c r="H852" t="s">
        <v>5138</v>
      </c>
      <c r="I852" t="s">
        <v>5139</v>
      </c>
      <c r="J852">
        <v>177566</v>
      </c>
      <c r="K852" t="s">
        <v>1821</v>
      </c>
      <c r="L852" t="s">
        <v>5165</v>
      </c>
      <c r="M852" t="s">
        <v>46</v>
      </c>
      <c r="N852">
        <v>45596</v>
      </c>
      <c r="O852">
        <v>3803</v>
      </c>
      <c r="P852" t="s">
        <v>20</v>
      </c>
      <c r="Q852">
        <v>6</v>
      </c>
      <c r="R852" t="s">
        <v>5116</v>
      </c>
      <c r="S852" t="s">
        <v>21</v>
      </c>
      <c r="T852" t="s">
        <v>29</v>
      </c>
    </row>
    <row r="853" spans="1:20" x14ac:dyDescent="0.3">
      <c r="A853" t="s">
        <v>1822</v>
      </c>
      <c r="B853" t="s">
        <v>23</v>
      </c>
      <c r="C853" t="s">
        <v>121</v>
      </c>
      <c r="D853" t="s">
        <v>44</v>
      </c>
      <c r="E853" t="s">
        <v>5128</v>
      </c>
      <c r="F853" t="s">
        <v>5125</v>
      </c>
      <c r="G853" t="s">
        <v>50</v>
      </c>
      <c r="H853" t="s">
        <v>5138</v>
      </c>
      <c r="I853" t="s">
        <v>5139</v>
      </c>
      <c r="J853">
        <v>180002</v>
      </c>
      <c r="K853" t="s">
        <v>1823</v>
      </c>
      <c r="L853" t="s">
        <v>5165</v>
      </c>
      <c r="M853" t="s">
        <v>46</v>
      </c>
      <c r="N853">
        <v>45351</v>
      </c>
      <c r="O853">
        <v>3734</v>
      </c>
      <c r="P853" t="s">
        <v>20</v>
      </c>
      <c r="Q853">
        <v>6</v>
      </c>
      <c r="R853" t="s">
        <v>47</v>
      </c>
      <c r="S853" t="s">
        <v>21</v>
      </c>
      <c r="T853" t="s">
        <v>29</v>
      </c>
    </row>
    <row r="854" spans="1:20" x14ac:dyDescent="0.3">
      <c r="A854" t="s">
        <v>1824</v>
      </c>
      <c r="B854" t="s">
        <v>84</v>
      </c>
      <c r="C854" t="s">
        <v>166</v>
      </c>
      <c r="D854" t="s">
        <v>25</v>
      </c>
      <c r="E854" t="s">
        <v>26</v>
      </c>
      <c r="F854" t="s">
        <v>27</v>
      </c>
      <c r="G854" t="s">
        <v>50</v>
      </c>
      <c r="H854" t="s">
        <v>5140</v>
      </c>
      <c r="I854" t="s">
        <v>5141</v>
      </c>
      <c r="J854">
        <v>97379</v>
      </c>
      <c r="K854" t="s">
        <v>1825</v>
      </c>
      <c r="L854" t="s">
        <v>142</v>
      </c>
      <c r="M854" t="s">
        <v>46</v>
      </c>
      <c r="N854">
        <v>45552</v>
      </c>
      <c r="O854">
        <v>3401</v>
      </c>
      <c r="P854" t="s">
        <v>29</v>
      </c>
      <c r="Q854">
        <v>2</v>
      </c>
      <c r="R854" t="s">
        <v>52</v>
      </c>
      <c r="S854" t="s">
        <v>21</v>
      </c>
      <c r="T854" t="s">
        <v>20</v>
      </c>
    </row>
    <row r="855" spans="1:20" x14ac:dyDescent="0.3">
      <c r="A855" t="s">
        <v>1826</v>
      </c>
      <c r="B855" t="s">
        <v>55</v>
      </c>
      <c r="C855" t="s">
        <v>24</v>
      </c>
      <c r="D855" t="s">
        <v>57</v>
      </c>
      <c r="E855" t="s">
        <v>5128</v>
      </c>
      <c r="F855" t="s">
        <v>5125</v>
      </c>
      <c r="G855" t="s">
        <v>36</v>
      </c>
      <c r="H855" t="s">
        <v>5140</v>
      </c>
      <c r="I855" t="s">
        <v>5141</v>
      </c>
      <c r="J855">
        <v>133542</v>
      </c>
      <c r="K855" t="s">
        <v>1827</v>
      </c>
      <c r="L855" t="s">
        <v>5165</v>
      </c>
      <c r="M855" t="s">
        <v>19</v>
      </c>
      <c r="N855">
        <v>45611</v>
      </c>
      <c r="O855">
        <v>3480</v>
      </c>
      <c r="P855" t="s">
        <v>20</v>
      </c>
      <c r="Q855">
        <v>2</v>
      </c>
      <c r="R855" t="s">
        <v>5116</v>
      </c>
      <c r="S855" t="s">
        <v>53</v>
      </c>
      <c r="T855" t="s">
        <v>20</v>
      </c>
    </row>
    <row r="856" spans="1:20" x14ac:dyDescent="0.3">
      <c r="A856" t="s">
        <v>1828</v>
      </c>
      <c r="B856" t="s">
        <v>144</v>
      </c>
      <c r="C856" t="s">
        <v>67</v>
      </c>
      <c r="D856" t="s">
        <v>167</v>
      </c>
      <c r="E856" t="s">
        <v>5128</v>
      </c>
      <c r="F856" t="s">
        <v>5125</v>
      </c>
      <c r="G856" t="s">
        <v>16</v>
      </c>
      <c r="H856" t="s">
        <v>5136</v>
      </c>
      <c r="I856" t="s">
        <v>5137</v>
      </c>
      <c r="J856">
        <v>87898</v>
      </c>
      <c r="K856" t="s">
        <v>1829</v>
      </c>
      <c r="L856" t="s">
        <v>5165</v>
      </c>
      <c r="M856" t="s">
        <v>19</v>
      </c>
      <c r="N856">
        <v>45679</v>
      </c>
      <c r="O856">
        <v>2955</v>
      </c>
      <c r="P856" t="s">
        <v>29</v>
      </c>
      <c r="Q856">
        <v>0</v>
      </c>
      <c r="R856" t="s">
        <v>40</v>
      </c>
      <c r="S856" t="s">
        <v>21</v>
      </c>
      <c r="T856" t="s">
        <v>20</v>
      </c>
    </row>
    <row r="857" spans="1:20" x14ac:dyDescent="0.3">
      <c r="A857" t="s">
        <v>1830</v>
      </c>
      <c r="B857" t="s">
        <v>124</v>
      </c>
      <c r="C857" t="s">
        <v>232</v>
      </c>
      <c r="D857" t="s">
        <v>44</v>
      </c>
      <c r="E857" t="s">
        <v>223</v>
      </c>
      <c r="F857" t="s">
        <v>224</v>
      </c>
      <c r="G857" t="s">
        <v>16</v>
      </c>
      <c r="H857" t="s">
        <v>5142</v>
      </c>
      <c r="I857" t="s">
        <v>5143</v>
      </c>
      <c r="J857">
        <v>134589</v>
      </c>
      <c r="K857" t="s">
        <v>1831</v>
      </c>
      <c r="L857" t="s">
        <v>87</v>
      </c>
      <c r="M857" t="s">
        <v>19</v>
      </c>
      <c r="N857">
        <v>45335</v>
      </c>
      <c r="O857">
        <v>2063</v>
      </c>
      <c r="P857" t="s">
        <v>20</v>
      </c>
      <c r="Q857">
        <v>4</v>
      </c>
      <c r="R857" t="s">
        <v>5116</v>
      </c>
      <c r="S857" t="s">
        <v>21</v>
      </c>
      <c r="T857" t="s">
        <v>20</v>
      </c>
    </row>
    <row r="858" spans="1:20" x14ac:dyDescent="0.3">
      <c r="A858" t="s">
        <v>1832</v>
      </c>
      <c r="B858" t="s">
        <v>124</v>
      </c>
      <c r="C858" t="s">
        <v>49</v>
      </c>
      <c r="D858" t="s">
        <v>167</v>
      </c>
      <c r="E858" t="s">
        <v>34</v>
      </c>
      <c r="F858" t="s">
        <v>35</v>
      </c>
      <c r="G858" t="s">
        <v>16</v>
      </c>
      <c r="H858" t="s">
        <v>5138</v>
      </c>
      <c r="I858" t="s">
        <v>5139</v>
      </c>
      <c r="J858">
        <v>170035</v>
      </c>
      <c r="K858" t="s">
        <v>1833</v>
      </c>
      <c r="L858" t="s">
        <v>5165</v>
      </c>
      <c r="M858" t="s">
        <v>46</v>
      </c>
      <c r="N858">
        <v>45598</v>
      </c>
      <c r="O858">
        <v>1490</v>
      </c>
      <c r="P858" t="s">
        <v>20</v>
      </c>
      <c r="Q858">
        <v>6</v>
      </c>
      <c r="R858" t="s">
        <v>40</v>
      </c>
      <c r="S858" t="s">
        <v>21</v>
      </c>
      <c r="T858" t="s">
        <v>29</v>
      </c>
    </row>
    <row r="859" spans="1:20" x14ac:dyDescent="0.3">
      <c r="A859" t="s">
        <v>1834</v>
      </c>
      <c r="B859" t="s">
        <v>136</v>
      </c>
      <c r="C859" t="s">
        <v>109</v>
      </c>
      <c r="D859" t="s">
        <v>118</v>
      </c>
      <c r="E859" t="s">
        <v>26</v>
      </c>
      <c r="F859" t="s">
        <v>27</v>
      </c>
      <c r="G859" t="s">
        <v>16</v>
      </c>
      <c r="H859" t="s">
        <v>5136</v>
      </c>
      <c r="I859" t="s">
        <v>5137</v>
      </c>
      <c r="J859">
        <v>75939</v>
      </c>
      <c r="K859" t="s">
        <v>1835</v>
      </c>
      <c r="L859" t="s">
        <v>113</v>
      </c>
      <c r="M859" t="s">
        <v>39</v>
      </c>
      <c r="N859">
        <v>45700</v>
      </c>
      <c r="O859">
        <v>2998</v>
      </c>
      <c r="P859" t="s">
        <v>29</v>
      </c>
      <c r="Q859">
        <v>0</v>
      </c>
      <c r="R859" t="s">
        <v>5116</v>
      </c>
      <c r="S859" t="s">
        <v>21</v>
      </c>
      <c r="T859" t="s">
        <v>29</v>
      </c>
    </row>
    <row r="860" spans="1:20" x14ac:dyDescent="0.3">
      <c r="A860" t="s">
        <v>1836</v>
      </c>
      <c r="B860" t="s">
        <v>99</v>
      </c>
      <c r="C860" t="s">
        <v>121</v>
      </c>
      <c r="D860" t="s">
        <v>68</v>
      </c>
      <c r="E860" t="s">
        <v>5131</v>
      </c>
      <c r="F860" t="s">
        <v>5125</v>
      </c>
      <c r="G860" t="s">
        <v>36</v>
      </c>
      <c r="H860" t="s">
        <v>5140</v>
      </c>
      <c r="I860" t="s">
        <v>5141</v>
      </c>
      <c r="J860">
        <v>99065</v>
      </c>
      <c r="K860" t="s">
        <v>1837</v>
      </c>
      <c r="L860" t="s">
        <v>5165</v>
      </c>
      <c r="M860" t="s">
        <v>19</v>
      </c>
      <c r="N860">
        <v>45606</v>
      </c>
      <c r="O860">
        <v>258</v>
      </c>
      <c r="P860" t="s">
        <v>20</v>
      </c>
      <c r="Q860">
        <v>2</v>
      </c>
      <c r="R860" t="s">
        <v>5116</v>
      </c>
      <c r="S860" t="s">
        <v>41</v>
      </c>
      <c r="T860" t="s">
        <v>20</v>
      </c>
    </row>
    <row r="861" spans="1:20" x14ac:dyDescent="0.3">
      <c r="A861" t="s">
        <v>1838</v>
      </c>
      <c r="B861" t="s">
        <v>31</v>
      </c>
      <c r="C861" t="s">
        <v>67</v>
      </c>
      <c r="D861" t="s">
        <v>57</v>
      </c>
      <c r="E861" t="s">
        <v>126</v>
      </c>
      <c r="F861" t="s">
        <v>127</v>
      </c>
      <c r="G861" t="s">
        <v>50</v>
      </c>
      <c r="H861" t="s">
        <v>5136</v>
      </c>
      <c r="I861" t="s">
        <v>5137</v>
      </c>
      <c r="J861">
        <v>77974</v>
      </c>
      <c r="K861" t="s">
        <v>1839</v>
      </c>
      <c r="L861" t="s">
        <v>61</v>
      </c>
      <c r="M861" t="s">
        <v>46</v>
      </c>
      <c r="N861">
        <v>45670</v>
      </c>
      <c r="O861">
        <v>2122</v>
      </c>
      <c r="P861" t="s">
        <v>29</v>
      </c>
      <c r="Q861">
        <v>0</v>
      </c>
      <c r="R861" t="s">
        <v>47</v>
      </c>
      <c r="S861" t="s">
        <v>21</v>
      </c>
      <c r="T861" t="s">
        <v>29</v>
      </c>
    </row>
    <row r="862" spans="1:20" x14ac:dyDescent="0.3">
      <c r="A862" t="s">
        <v>1840</v>
      </c>
      <c r="B862" t="s">
        <v>31</v>
      </c>
      <c r="C862" t="s">
        <v>13</v>
      </c>
      <c r="D862" t="s">
        <v>25</v>
      </c>
      <c r="E862" t="s">
        <v>58</v>
      </c>
      <c r="F862" t="s">
        <v>59</v>
      </c>
      <c r="G862" t="s">
        <v>36</v>
      </c>
      <c r="H862" t="s">
        <v>5140</v>
      </c>
      <c r="I862" t="s">
        <v>5141</v>
      </c>
      <c r="J862">
        <v>114017</v>
      </c>
      <c r="K862" t="s">
        <v>1841</v>
      </c>
      <c r="L862" t="s">
        <v>113</v>
      </c>
      <c r="M862" t="s">
        <v>19</v>
      </c>
      <c r="N862">
        <v>45364</v>
      </c>
      <c r="O862">
        <v>3612</v>
      </c>
      <c r="P862" t="s">
        <v>20</v>
      </c>
      <c r="Q862">
        <v>2</v>
      </c>
      <c r="R862" t="s">
        <v>47</v>
      </c>
      <c r="S862" t="s">
        <v>21</v>
      </c>
      <c r="T862" t="s">
        <v>20</v>
      </c>
    </row>
    <row r="863" spans="1:20" x14ac:dyDescent="0.3">
      <c r="A863" t="s">
        <v>1842</v>
      </c>
      <c r="B863" t="s">
        <v>124</v>
      </c>
      <c r="C863" t="s">
        <v>160</v>
      </c>
      <c r="D863" t="s">
        <v>167</v>
      </c>
      <c r="E863" t="s">
        <v>80</v>
      </c>
      <c r="F863" t="s">
        <v>80</v>
      </c>
      <c r="G863" t="s">
        <v>16</v>
      </c>
      <c r="H863" t="s">
        <v>5138</v>
      </c>
      <c r="I863" t="s">
        <v>5139</v>
      </c>
      <c r="J863">
        <v>145433</v>
      </c>
      <c r="K863" t="s">
        <v>1843</v>
      </c>
      <c r="L863" t="s">
        <v>134</v>
      </c>
      <c r="M863" t="s">
        <v>72</v>
      </c>
      <c r="N863">
        <v>45690</v>
      </c>
      <c r="O863">
        <v>3113</v>
      </c>
      <c r="P863" t="s">
        <v>20</v>
      </c>
      <c r="Q863">
        <v>6</v>
      </c>
      <c r="R863" t="s">
        <v>5116</v>
      </c>
      <c r="S863" t="s">
        <v>21</v>
      </c>
      <c r="T863" t="s">
        <v>20</v>
      </c>
    </row>
    <row r="864" spans="1:20" x14ac:dyDescent="0.3">
      <c r="A864" t="s">
        <v>1844</v>
      </c>
      <c r="B864" t="s">
        <v>218</v>
      </c>
      <c r="C864" t="s">
        <v>172</v>
      </c>
      <c r="D864" t="s">
        <v>140</v>
      </c>
      <c r="E864" t="s">
        <v>126</v>
      </c>
      <c r="F864" t="s">
        <v>127</v>
      </c>
      <c r="G864" t="s">
        <v>36</v>
      </c>
      <c r="H864" t="s">
        <v>5142</v>
      </c>
      <c r="I864" t="s">
        <v>5143</v>
      </c>
      <c r="J864">
        <v>191782</v>
      </c>
      <c r="K864" t="s">
        <v>1845</v>
      </c>
      <c r="L864" t="s">
        <v>134</v>
      </c>
      <c r="M864" t="s">
        <v>39</v>
      </c>
      <c r="N864">
        <v>45442</v>
      </c>
      <c r="O864">
        <v>2111</v>
      </c>
      <c r="P864" t="s">
        <v>20</v>
      </c>
      <c r="Q864">
        <v>4</v>
      </c>
      <c r="R864" t="s">
        <v>76</v>
      </c>
      <c r="S864" t="s">
        <v>21</v>
      </c>
      <c r="T864" t="s">
        <v>20</v>
      </c>
    </row>
    <row r="865" spans="1:20" x14ac:dyDescent="0.3">
      <c r="A865" t="s">
        <v>1846</v>
      </c>
      <c r="B865" t="s">
        <v>84</v>
      </c>
      <c r="C865" t="s">
        <v>43</v>
      </c>
      <c r="D865" t="s">
        <v>167</v>
      </c>
      <c r="E865" t="s">
        <v>5133</v>
      </c>
      <c r="F865" t="s">
        <v>5125</v>
      </c>
      <c r="G865" t="s">
        <v>16</v>
      </c>
      <c r="H865" t="s">
        <v>5136</v>
      </c>
      <c r="I865" t="s">
        <v>5137</v>
      </c>
      <c r="J865">
        <v>92628</v>
      </c>
      <c r="K865" t="s">
        <v>1847</v>
      </c>
      <c r="L865" t="s">
        <v>179</v>
      </c>
      <c r="M865" t="s">
        <v>19</v>
      </c>
      <c r="N865">
        <v>45649</v>
      </c>
      <c r="O865">
        <v>3503</v>
      </c>
      <c r="P865" t="s">
        <v>20</v>
      </c>
      <c r="Q865">
        <v>0</v>
      </c>
      <c r="R865" t="s">
        <v>47</v>
      </c>
      <c r="S865" t="s">
        <v>53</v>
      </c>
      <c r="T865" t="s">
        <v>29</v>
      </c>
    </row>
    <row r="866" spans="1:20" x14ac:dyDescent="0.3">
      <c r="A866" t="s">
        <v>1848</v>
      </c>
      <c r="B866" t="s">
        <v>218</v>
      </c>
      <c r="C866" t="s">
        <v>151</v>
      </c>
      <c r="D866" t="s">
        <v>44</v>
      </c>
      <c r="E866" t="s">
        <v>69</v>
      </c>
      <c r="F866" t="s">
        <v>70</v>
      </c>
      <c r="G866" t="s">
        <v>16</v>
      </c>
      <c r="H866" t="s">
        <v>5140</v>
      </c>
      <c r="I866" t="s">
        <v>5141</v>
      </c>
      <c r="J866">
        <v>97866</v>
      </c>
      <c r="K866" t="s">
        <v>1849</v>
      </c>
      <c r="L866" t="s">
        <v>5165</v>
      </c>
      <c r="M866" t="s">
        <v>19</v>
      </c>
      <c r="N866">
        <v>45453</v>
      </c>
      <c r="O866">
        <v>2165</v>
      </c>
      <c r="P866" t="s">
        <v>20</v>
      </c>
      <c r="Q866">
        <v>2</v>
      </c>
      <c r="R866" t="s">
        <v>5116</v>
      </c>
      <c r="S866" t="s">
        <v>21</v>
      </c>
      <c r="T866" t="s">
        <v>20</v>
      </c>
    </row>
    <row r="867" spans="1:20" x14ac:dyDescent="0.3">
      <c r="A867" t="s">
        <v>1850</v>
      </c>
      <c r="B867" t="s">
        <v>99</v>
      </c>
      <c r="C867" t="s">
        <v>125</v>
      </c>
      <c r="D867" t="s">
        <v>140</v>
      </c>
      <c r="E867" t="s">
        <v>193</v>
      </c>
      <c r="F867" t="s">
        <v>194</v>
      </c>
      <c r="G867" t="s">
        <v>16</v>
      </c>
      <c r="H867" t="s">
        <v>5140</v>
      </c>
      <c r="I867" t="s">
        <v>5141</v>
      </c>
      <c r="J867">
        <v>102323</v>
      </c>
      <c r="K867" t="s">
        <v>1851</v>
      </c>
      <c r="L867" t="s">
        <v>238</v>
      </c>
      <c r="M867" t="s">
        <v>39</v>
      </c>
      <c r="N867">
        <v>45639</v>
      </c>
      <c r="O867">
        <v>3926</v>
      </c>
      <c r="P867" t="s">
        <v>29</v>
      </c>
      <c r="Q867">
        <v>2</v>
      </c>
      <c r="R867" t="s">
        <v>76</v>
      </c>
      <c r="S867" t="s">
        <v>53</v>
      </c>
      <c r="T867" t="s">
        <v>20</v>
      </c>
    </row>
    <row r="868" spans="1:20" x14ac:dyDescent="0.3">
      <c r="A868" t="s">
        <v>1852</v>
      </c>
      <c r="B868" t="s">
        <v>229</v>
      </c>
      <c r="C868" t="s">
        <v>197</v>
      </c>
      <c r="D868" t="s">
        <v>5156</v>
      </c>
      <c r="E868" t="s">
        <v>5129</v>
      </c>
      <c r="F868" t="s">
        <v>5130</v>
      </c>
      <c r="G868" t="s">
        <v>36</v>
      </c>
      <c r="H868" t="s">
        <v>5138</v>
      </c>
      <c r="I868" t="s">
        <v>5139</v>
      </c>
      <c r="J868">
        <v>210291</v>
      </c>
      <c r="K868" t="s">
        <v>1853</v>
      </c>
      <c r="L868" t="s">
        <v>5165</v>
      </c>
      <c r="M868" t="s">
        <v>72</v>
      </c>
      <c r="N868">
        <v>45548</v>
      </c>
      <c r="O868">
        <v>2410</v>
      </c>
      <c r="P868" t="s">
        <v>29</v>
      </c>
      <c r="Q868">
        <v>6</v>
      </c>
      <c r="R868" t="s">
        <v>52</v>
      </c>
      <c r="S868" t="s">
        <v>21</v>
      </c>
      <c r="T868" t="s">
        <v>29</v>
      </c>
    </row>
    <row r="869" spans="1:20" x14ac:dyDescent="0.3">
      <c r="A869" t="s">
        <v>1854</v>
      </c>
      <c r="B869" t="s">
        <v>78</v>
      </c>
      <c r="C869" t="s">
        <v>188</v>
      </c>
      <c r="D869" t="s">
        <v>44</v>
      </c>
      <c r="E869" t="s">
        <v>26</v>
      </c>
      <c r="F869" t="s">
        <v>27</v>
      </c>
      <c r="G869" t="s">
        <v>36</v>
      </c>
      <c r="H869" t="s">
        <v>5136</v>
      </c>
      <c r="I869" t="s">
        <v>5137</v>
      </c>
      <c r="J869">
        <v>74214</v>
      </c>
      <c r="K869" t="s">
        <v>1855</v>
      </c>
      <c r="L869" t="s">
        <v>5165</v>
      </c>
      <c r="M869" t="s">
        <v>72</v>
      </c>
      <c r="N869">
        <v>45462</v>
      </c>
      <c r="O869">
        <v>3764</v>
      </c>
      <c r="P869" t="s">
        <v>29</v>
      </c>
      <c r="Q869">
        <v>0</v>
      </c>
      <c r="R869" t="s">
        <v>76</v>
      </c>
      <c r="S869" t="s">
        <v>21</v>
      </c>
      <c r="T869" t="s">
        <v>29</v>
      </c>
    </row>
    <row r="870" spans="1:20" x14ac:dyDescent="0.3">
      <c r="A870" t="s">
        <v>1856</v>
      </c>
      <c r="B870" t="s">
        <v>78</v>
      </c>
      <c r="C870" t="s">
        <v>172</v>
      </c>
      <c r="D870" t="s">
        <v>44</v>
      </c>
      <c r="E870" t="s">
        <v>58</v>
      </c>
      <c r="F870" t="s">
        <v>59</v>
      </c>
      <c r="G870" t="s">
        <v>50</v>
      </c>
      <c r="H870" t="s">
        <v>5142</v>
      </c>
      <c r="I870" t="s">
        <v>5143</v>
      </c>
      <c r="J870">
        <v>167780</v>
      </c>
      <c r="K870" t="s">
        <v>1857</v>
      </c>
      <c r="L870" t="s">
        <v>18</v>
      </c>
      <c r="M870" t="s">
        <v>46</v>
      </c>
      <c r="N870">
        <v>45331</v>
      </c>
      <c r="O870">
        <v>957</v>
      </c>
      <c r="P870" t="s">
        <v>20</v>
      </c>
      <c r="Q870">
        <v>4</v>
      </c>
      <c r="R870" t="s">
        <v>52</v>
      </c>
      <c r="S870" t="s">
        <v>21</v>
      </c>
      <c r="T870" t="s">
        <v>29</v>
      </c>
    </row>
    <row r="871" spans="1:20" x14ac:dyDescent="0.3">
      <c r="A871" t="s">
        <v>1858</v>
      </c>
      <c r="B871" t="s">
        <v>55</v>
      </c>
      <c r="C871" t="s">
        <v>166</v>
      </c>
      <c r="D871" t="s">
        <v>167</v>
      </c>
      <c r="E871" t="s">
        <v>80</v>
      </c>
      <c r="F871" t="s">
        <v>80</v>
      </c>
      <c r="G871" t="s">
        <v>16</v>
      </c>
      <c r="H871" t="s">
        <v>5138</v>
      </c>
      <c r="I871" t="s">
        <v>5139</v>
      </c>
      <c r="J871">
        <v>272367</v>
      </c>
      <c r="K871" t="s">
        <v>1859</v>
      </c>
      <c r="L871" t="s">
        <v>82</v>
      </c>
      <c r="M871" t="s">
        <v>46</v>
      </c>
      <c r="N871">
        <v>45662</v>
      </c>
      <c r="O871">
        <v>387</v>
      </c>
      <c r="P871" t="s">
        <v>20</v>
      </c>
      <c r="Q871">
        <v>6</v>
      </c>
      <c r="R871" t="s">
        <v>5116</v>
      </c>
      <c r="S871" t="s">
        <v>21</v>
      </c>
      <c r="T871" t="s">
        <v>20</v>
      </c>
    </row>
    <row r="872" spans="1:20" x14ac:dyDescent="0.3">
      <c r="A872" t="s">
        <v>1860</v>
      </c>
      <c r="B872" t="s">
        <v>74</v>
      </c>
      <c r="C872" t="s">
        <v>85</v>
      </c>
      <c r="D872" t="s">
        <v>57</v>
      </c>
      <c r="E872" t="s">
        <v>69</v>
      </c>
      <c r="F872" t="s">
        <v>70</v>
      </c>
      <c r="G872" t="s">
        <v>36</v>
      </c>
      <c r="H872" t="s">
        <v>5140</v>
      </c>
      <c r="I872" t="s">
        <v>5141</v>
      </c>
      <c r="J872">
        <v>106496</v>
      </c>
      <c r="K872" t="s">
        <v>1861</v>
      </c>
      <c r="L872" t="s">
        <v>38</v>
      </c>
      <c r="M872" t="s">
        <v>72</v>
      </c>
      <c r="N872">
        <v>45674</v>
      </c>
      <c r="O872">
        <v>1793</v>
      </c>
      <c r="P872" t="s">
        <v>92</v>
      </c>
      <c r="Q872">
        <v>2</v>
      </c>
      <c r="R872" t="s">
        <v>5116</v>
      </c>
      <c r="S872" t="s">
        <v>21</v>
      </c>
      <c r="T872" t="s">
        <v>29</v>
      </c>
    </row>
    <row r="873" spans="1:20" x14ac:dyDescent="0.3">
      <c r="A873" t="s">
        <v>1862</v>
      </c>
      <c r="B873" t="s">
        <v>55</v>
      </c>
      <c r="C873" t="s">
        <v>79</v>
      </c>
      <c r="D873" t="s">
        <v>104</v>
      </c>
      <c r="E873" t="s">
        <v>5132</v>
      </c>
      <c r="F873" t="s">
        <v>5125</v>
      </c>
      <c r="G873" t="s">
        <v>50</v>
      </c>
      <c r="H873" t="s">
        <v>5138</v>
      </c>
      <c r="I873" t="s">
        <v>5139</v>
      </c>
      <c r="J873">
        <v>171261</v>
      </c>
      <c r="K873" t="s">
        <v>1863</v>
      </c>
      <c r="L873" t="s">
        <v>134</v>
      </c>
      <c r="M873" t="s">
        <v>19</v>
      </c>
      <c r="N873">
        <v>45390</v>
      </c>
      <c r="O873">
        <v>1592</v>
      </c>
      <c r="P873" t="s">
        <v>29</v>
      </c>
      <c r="Q873">
        <v>6</v>
      </c>
      <c r="R873" t="s">
        <v>52</v>
      </c>
      <c r="S873" t="s">
        <v>21</v>
      </c>
      <c r="T873" t="s">
        <v>20</v>
      </c>
    </row>
    <row r="874" spans="1:20" x14ac:dyDescent="0.3">
      <c r="A874" t="s">
        <v>1864</v>
      </c>
      <c r="B874" t="s">
        <v>99</v>
      </c>
      <c r="C874" t="s">
        <v>32</v>
      </c>
      <c r="D874" t="s">
        <v>44</v>
      </c>
      <c r="E874" t="s">
        <v>95</v>
      </c>
      <c r="F874" t="s">
        <v>96</v>
      </c>
      <c r="G874" t="s">
        <v>36</v>
      </c>
      <c r="H874" t="s">
        <v>5136</v>
      </c>
      <c r="I874" t="s">
        <v>5137</v>
      </c>
      <c r="J874">
        <v>52620</v>
      </c>
      <c r="K874" t="s">
        <v>1865</v>
      </c>
      <c r="L874" t="s">
        <v>134</v>
      </c>
      <c r="M874" t="s">
        <v>46</v>
      </c>
      <c r="N874">
        <v>45422</v>
      </c>
      <c r="O874">
        <v>1748</v>
      </c>
      <c r="P874" t="s">
        <v>20</v>
      </c>
      <c r="Q874">
        <v>0</v>
      </c>
      <c r="R874" t="s">
        <v>47</v>
      </c>
      <c r="S874" t="s">
        <v>21</v>
      </c>
      <c r="T874" t="s">
        <v>20</v>
      </c>
    </row>
    <row r="875" spans="1:20" x14ac:dyDescent="0.3">
      <c r="A875" t="s">
        <v>1866</v>
      </c>
      <c r="B875" t="s">
        <v>31</v>
      </c>
      <c r="C875" t="s">
        <v>121</v>
      </c>
      <c r="D875" t="s">
        <v>68</v>
      </c>
      <c r="E875" t="s">
        <v>5127</v>
      </c>
      <c r="F875" t="s">
        <v>5125</v>
      </c>
      <c r="G875" t="s">
        <v>16</v>
      </c>
      <c r="H875" t="s">
        <v>5142</v>
      </c>
      <c r="I875" t="s">
        <v>5143</v>
      </c>
      <c r="J875">
        <v>130264</v>
      </c>
      <c r="K875" t="s">
        <v>1867</v>
      </c>
      <c r="L875" t="s">
        <v>82</v>
      </c>
      <c r="M875" t="s">
        <v>39</v>
      </c>
      <c r="N875">
        <v>45447</v>
      </c>
      <c r="O875">
        <v>569</v>
      </c>
      <c r="P875" t="s">
        <v>20</v>
      </c>
      <c r="Q875">
        <v>4</v>
      </c>
      <c r="R875" t="s">
        <v>47</v>
      </c>
      <c r="S875" t="s">
        <v>21</v>
      </c>
      <c r="T875" t="s">
        <v>29</v>
      </c>
    </row>
    <row r="876" spans="1:20" x14ac:dyDescent="0.3">
      <c r="A876" t="s">
        <v>1868</v>
      </c>
      <c r="B876" t="s">
        <v>12</v>
      </c>
      <c r="C876" t="s">
        <v>32</v>
      </c>
      <c r="D876" t="s">
        <v>44</v>
      </c>
      <c r="E876" t="s">
        <v>5129</v>
      </c>
      <c r="F876" t="s">
        <v>5130</v>
      </c>
      <c r="G876" t="s">
        <v>36</v>
      </c>
      <c r="H876" t="s">
        <v>5136</v>
      </c>
      <c r="I876" t="s">
        <v>5137</v>
      </c>
      <c r="J876">
        <v>69582</v>
      </c>
      <c r="K876" t="s">
        <v>1869</v>
      </c>
      <c r="L876" t="s">
        <v>18</v>
      </c>
      <c r="M876" t="s">
        <v>39</v>
      </c>
      <c r="N876">
        <v>45523</v>
      </c>
      <c r="O876">
        <v>2361</v>
      </c>
      <c r="P876" t="s">
        <v>29</v>
      </c>
      <c r="Q876">
        <v>0</v>
      </c>
      <c r="R876" t="s">
        <v>5116</v>
      </c>
      <c r="S876" t="s">
        <v>53</v>
      </c>
      <c r="T876" t="s">
        <v>20</v>
      </c>
    </row>
    <row r="877" spans="1:20" x14ac:dyDescent="0.3">
      <c r="A877" t="s">
        <v>1870</v>
      </c>
      <c r="B877" t="s">
        <v>31</v>
      </c>
      <c r="C877" t="s">
        <v>43</v>
      </c>
      <c r="D877" t="s">
        <v>25</v>
      </c>
      <c r="E877" t="s">
        <v>5126</v>
      </c>
      <c r="F877" t="s">
        <v>5125</v>
      </c>
      <c r="G877" t="s">
        <v>36</v>
      </c>
      <c r="H877" t="s">
        <v>5140</v>
      </c>
      <c r="I877" t="s">
        <v>5141</v>
      </c>
      <c r="J877">
        <v>145532</v>
      </c>
      <c r="K877" t="s">
        <v>1871</v>
      </c>
      <c r="L877" t="s">
        <v>5165</v>
      </c>
      <c r="M877" t="s">
        <v>39</v>
      </c>
      <c r="N877">
        <v>45653</v>
      </c>
      <c r="O877">
        <v>377</v>
      </c>
      <c r="P877" t="s">
        <v>92</v>
      </c>
      <c r="Q877">
        <v>2</v>
      </c>
      <c r="R877" t="s">
        <v>40</v>
      </c>
      <c r="S877" t="s">
        <v>21</v>
      </c>
      <c r="T877" t="s">
        <v>20</v>
      </c>
    </row>
    <row r="878" spans="1:20" x14ac:dyDescent="0.3">
      <c r="A878" t="s">
        <v>1872</v>
      </c>
      <c r="B878" t="s">
        <v>136</v>
      </c>
      <c r="C878" t="s">
        <v>160</v>
      </c>
      <c r="D878" t="s">
        <v>33</v>
      </c>
      <c r="E878" t="s">
        <v>193</v>
      </c>
      <c r="F878" t="s">
        <v>194</v>
      </c>
      <c r="G878" t="s">
        <v>16</v>
      </c>
      <c r="H878" t="s">
        <v>5138</v>
      </c>
      <c r="I878" t="s">
        <v>5139</v>
      </c>
      <c r="J878">
        <v>181365</v>
      </c>
      <c r="K878" t="s">
        <v>1873</v>
      </c>
      <c r="L878" t="s">
        <v>238</v>
      </c>
      <c r="M878" t="s">
        <v>19</v>
      </c>
      <c r="N878">
        <v>45461</v>
      </c>
      <c r="O878">
        <v>1215</v>
      </c>
      <c r="P878" t="s">
        <v>20</v>
      </c>
      <c r="Q878">
        <v>6</v>
      </c>
      <c r="R878" t="s">
        <v>52</v>
      </c>
      <c r="S878" t="s">
        <v>21</v>
      </c>
      <c r="T878" t="s">
        <v>20</v>
      </c>
    </row>
    <row r="879" spans="1:20" x14ac:dyDescent="0.3">
      <c r="A879" t="s">
        <v>1874</v>
      </c>
      <c r="B879" t="s">
        <v>222</v>
      </c>
      <c r="C879" t="s">
        <v>117</v>
      </c>
      <c r="D879" t="s">
        <v>57</v>
      </c>
      <c r="E879" t="s">
        <v>209</v>
      </c>
      <c r="F879" t="s">
        <v>210</v>
      </c>
      <c r="G879" t="s">
        <v>36</v>
      </c>
      <c r="H879" t="s">
        <v>5138</v>
      </c>
      <c r="I879" t="s">
        <v>5139</v>
      </c>
      <c r="J879">
        <v>208056</v>
      </c>
      <c r="K879" t="s">
        <v>1875</v>
      </c>
      <c r="L879" t="s">
        <v>5165</v>
      </c>
      <c r="M879" t="s">
        <v>19</v>
      </c>
      <c r="N879">
        <v>45577</v>
      </c>
      <c r="O879">
        <v>1277</v>
      </c>
      <c r="P879" t="s">
        <v>20</v>
      </c>
      <c r="Q879">
        <v>6</v>
      </c>
      <c r="R879" t="s">
        <v>47</v>
      </c>
      <c r="S879" t="s">
        <v>21</v>
      </c>
      <c r="T879" t="s">
        <v>29</v>
      </c>
    </row>
    <row r="880" spans="1:20" x14ac:dyDescent="0.3">
      <c r="A880" t="s">
        <v>1876</v>
      </c>
      <c r="B880" t="s">
        <v>78</v>
      </c>
      <c r="C880" t="s">
        <v>109</v>
      </c>
      <c r="D880" t="s">
        <v>5156</v>
      </c>
      <c r="E880" t="s">
        <v>26</v>
      </c>
      <c r="F880" t="s">
        <v>27</v>
      </c>
      <c r="G880" t="s">
        <v>50</v>
      </c>
      <c r="H880" t="s">
        <v>5142</v>
      </c>
      <c r="I880" t="s">
        <v>5143</v>
      </c>
      <c r="J880">
        <v>149556</v>
      </c>
      <c r="K880" t="s">
        <v>1877</v>
      </c>
      <c r="L880" t="s">
        <v>113</v>
      </c>
      <c r="M880" t="s">
        <v>39</v>
      </c>
      <c r="N880">
        <v>45558</v>
      </c>
      <c r="O880">
        <v>3644</v>
      </c>
      <c r="P880" t="s">
        <v>20</v>
      </c>
      <c r="Q880">
        <v>4</v>
      </c>
      <c r="R880" t="s">
        <v>47</v>
      </c>
      <c r="S880" t="s">
        <v>53</v>
      </c>
      <c r="T880" t="s">
        <v>20</v>
      </c>
    </row>
    <row r="881" spans="1:20" x14ac:dyDescent="0.3">
      <c r="A881" t="s">
        <v>1878</v>
      </c>
      <c r="B881" t="s">
        <v>322</v>
      </c>
      <c r="C881" t="s">
        <v>13</v>
      </c>
      <c r="D881" t="s">
        <v>25</v>
      </c>
      <c r="E881" t="s">
        <v>5132</v>
      </c>
      <c r="F881" t="s">
        <v>5125</v>
      </c>
      <c r="G881" t="s">
        <v>36</v>
      </c>
      <c r="H881" t="s">
        <v>5142</v>
      </c>
      <c r="I881" t="s">
        <v>5143</v>
      </c>
      <c r="J881">
        <v>182086</v>
      </c>
      <c r="K881" t="s">
        <v>1879</v>
      </c>
      <c r="L881" t="s">
        <v>61</v>
      </c>
      <c r="M881" t="s">
        <v>19</v>
      </c>
      <c r="N881">
        <v>45726</v>
      </c>
      <c r="O881">
        <v>2356</v>
      </c>
      <c r="P881" t="s">
        <v>20</v>
      </c>
      <c r="Q881">
        <v>4</v>
      </c>
      <c r="R881" t="s">
        <v>52</v>
      </c>
      <c r="S881" t="s">
        <v>21</v>
      </c>
      <c r="T881" t="s">
        <v>20</v>
      </c>
    </row>
    <row r="882" spans="1:20" x14ac:dyDescent="0.3">
      <c r="A882" t="s">
        <v>1880</v>
      </c>
      <c r="B882" t="s">
        <v>99</v>
      </c>
      <c r="C882" t="s">
        <v>151</v>
      </c>
      <c r="D882" t="s">
        <v>68</v>
      </c>
      <c r="E882" t="s">
        <v>126</v>
      </c>
      <c r="F882" t="s">
        <v>127</v>
      </c>
      <c r="G882" t="s">
        <v>36</v>
      </c>
      <c r="H882" t="s">
        <v>5136</v>
      </c>
      <c r="I882" t="s">
        <v>5137</v>
      </c>
      <c r="J882">
        <v>101839</v>
      </c>
      <c r="K882" t="s">
        <v>1881</v>
      </c>
      <c r="L882" t="s">
        <v>238</v>
      </c>
      <c r="M882" t="s">
        <v>46</v>
      </c>
      <c r="N882">
        <v>45510</v>
      </c>
      <c r="O882">
        <v>3793</v>
      </c>
      <c r="P882" t="s">
        <v>20</v>
      </c>
      <c r="Q882">
        <v>0</v>
      </c>
      <c r="R882" t="s">
        <v>40</v>
      </c>
      <c r="S882" t="s">
        <v>53</v>
      </c>
      <c r="T882" t="s">
        <v>20</v>
      </c>
    </row>
    <row r="883" spans="1:20" x14ac:dyDescent="0.3">
      <c r="A883" t="s">
        <v>1882</v>
      </c>
      <c r="B883" t="s">
        <v>130</v>
      </c>
      <c r="C883" t="s">
        <v>109</v>
      </c>
      <c r="D883" t="s">
        <v>118</v>
      </c>
      <c r="E883" t="s">
        <v>26</v>
      </c>
      <c r="F883" t="s">
        <v>27</v>
      </c>
      <c r="G883" t="s">
        <v>36</v>
      </c>
      <c r="H883" t="s">
        <v>5140</v>
      </c>
      <c r="I883" t="s">
        <v>5141</v>
      </c>
      <c r="J883">
        <v>99488</v>
      </c>
      <c r="K883" t="s">
        <v>1883</v>
      </c>
      <c r="L883" t="s">
        <v>179</v>
      </c>
      <c r="M883" t="s">
        <v>46</v>
      </c>
      <c r="N883">
        <v>45687</v>
      </c>
      <c r="O883">
        <v>14</v>
      </c>
      <c r="P883" t="s">
        <v>29</v>
      </c>
      <c r="Q883">
        <v>2</v>
      </c>
      <c r="R883" t="s">
        <v>76</v>
      </c>
      <c r="S883" t="s">
        <v>21</v>
      </c>
      <c r="T883" t="s">
        <v>29</v>
      </c>
    </row>
    <row r="884" spans="1:20" x14ac:dyDescent="0.3">
      <c r="A884" t="s">
        <v>1884</v>
      </c>
      <c r="B884" t="s">
        <v>130</v>
      </c>
      <c r="C884" t="s">
        <v>24</v>
      </c>
      <c r="D884" t="s">
        <v>5156</v>
      </c>
      <c r="E884" t="s">
        <v>5127</v>
      </c>
      <c r="F884" t="s">
        <v>5125</v>
      </c>
      <c r="G884" t="s">
        <v>16</v>
      </c>
      <c r="H884" t="s">
        <v>5136</v>
      </c>
      <c r="I884" t="s">
        <v>5137</v>
      </c>
      <c r="J884">
        <v>63833</v>
      </c>
      <c r="K884" t="s">
        <v>1885</v>
      </c>
      <c r="L884" t="s">
        <v>5165</v>
      </c>
      <c r="M884" t="s">
        <v>19</v>
      </c>
      <c r="N884">
        <v>45682</v>
      </c>
      <c r="O884">
        <v>1546</v>
      </c>
      <c r="P884" t="s">
        <v>20</v>
      </c>
      <c r="Q884">
        <v>0</v>
      </c>
      <c r="R884" t="s">
        <v>76</v>
      </c>
      <c r="S884" t="s">
        <v>21</v>
      </c>
      <c r="T884" t="s">
        <v>29</v>
      </c>
    </row>
    <row r="885" spans="1:20" x14ac:dyDescent="0.3">
      <c r="A885" t="s">
        <v>1886</v>
      </c>
      <c r="B885" t="s">
        <v>78</v>
      </c>
      <c r="C885" t="s">
        <v>139</v>
      </c>
      <c r="D885" t="s">
        <v>140</v>
      </c>
      <c r="E885" t="s">
        <v>5124</v>
      </c>
      <c r="F885" t="s">
        <v>5125</v>
      </c>
      <c r="G885" t="s">
        <v>16</v>
      </c>
      <c r="H885" t="s">
        <v>5136</v>
      </c>
      <c r="I885" t="s">
        <v>5137</v>
      </c>
      <c r="J885">
        <v>83156</v>
      </c>
      <c r="K885" t="s">
        <v>1887</v>
      </c>
      <c r="L885" t="s">
        <v>5165</v>
      </c>
      <c r="M885" t="s">
        <v>46</v>
      </c>
      <c r="N885">
        <v>45500</v>
      </c>
      <c r="O885">
        <v>2999</v>
      </c>
      <c r="P885" t="s">
        <v>20</v>
      </c>
      <c r="Q885">
        <v>0</v>
      </c>
      <c r="R885" t="s">
        <v>40</v>
      </c>
      <c r="S885" t="s">
        <v>21</v>
      </c>
      <c r="T885" t="s">
        <v>20</v>
      </c>
    </row>
    <row r="886" spans="1:20" x14ac:dyDescent="0.3">
      <c r="A886" t="s">
        <v>1888</v>
      </c>
      <c r="B886" t="s">
        <v>165</v>
      </c>
      <c r="C886" t="s">
        <v>64</v>
      </c>
      <c r="D886" t="s">
        <v>140</v>
      </c>
      <c r="E886" t="s">
        <v>209</v>
      </c>
      <c r="F886" t="s">
        <v>210</v>
      </c>
      <c r="G886" t="s">
        <v>16</v>
      </c>
      <c r="H886" t="s">
        <v>5138</v>
      </c>
      <c r="I886" t="s">
        <v>5139</v>
      </c>
      <c r="J886">
        <v>224548</v>
      </c>
      <c r="K886" t="s">
        <v>1889</v>
      </c>
      <c r="L886" t="s">
        <v>134</v>
      </c>
      <c r="M886" t="s">
        <v>46</v>
      </c>
      <c r="N886">
        <v>45375</v>
      </c>
      <c r="O886">
        <v>1421</v>
      </c>
      <c r="P886" t="s">
        <v>29</v>
      </c>
      <c r="Q886">
        <v>6</v>
      </c>
      <c r="R886" t="s">
        <v>5116</v>
      </c>
      <c r="S886" t="s">
        <v>53</v>
      </c>
      <c r="T886" t="s">
        <v>20</v>
      </c>
    </row>
    <row r="887" spans="1:20" x14ac:dyDescent="0.3">
      <c r="A887" t="s">
        <v>1890</v>
      </c>
      <c r="B887" t="s">
        <v>89</v>
      </c>
      <c r="C887" t="s">
        <v>166</v>
      </c>
      <c r="D887" t="s">
        <v>44</v>
      </c>
      <c r="E887" t="s">
        <v>5127</v>
      </c>
      <c r="F887" t="s">
        <v>5125</v>
      </c>
      <c r="G887" t="s">
        <v>50</v>
      </c>
      <c r="H887" t="s">
        <v>5138</v>
      </c>
      <c r="I887" t="s">
        <v>5139</v>
      </c>
      <c r="J887">
        <v>266481</v>
      </c>
      <c r="K887" t="s">
        <v>1891</v>
      </c>
      <c r="L887" t="s">
        <v>5165</v>
      </c>
      <c r="M887" t="s">
        <v>72</v>
      </c>
      <c r="N887">
        <v>45581</v>
      </c>
      <c r="O887">
        <v>840</v>
      </c>
      <c r="P887" t="s">
        <v>20</v>
      </c>
      <c r="Q887">
        <v>6</v>
      </c>
      <c r="R887" t="s">
        <v>5116</v>
      </c>
      <c r="S887" t="s">
        <v>41</v>
      </c>
      <c r="T887" t="s">
        <v>20</v>
      </c>
    </row>
    <row r="888" spans="1:20" x14ac:dyDescent="0.3">
      <c r="A888" t="s">
        <v>1892</v>
      </c>
      <c r="B888" t="s">
        <v>229</v>
      </c>
      <c r="C888" t="s">
        <v>121</v>
      </c>
      <c r="D888" t="s">
        <v>118</v>
      </c>
      <c r="E888" t="s">
        <v>95</v>
      </c>
      <c r="F888" t="s">
        <v>96</v>
      </c>
      <c r="G888" t="s">
        <v>16</v>
      </c>
      <c r="H888" t="s">
        <v>5142</v>
      </c>
      <c r="I888" t="s">
        <v>5143</v>
      </c>
      <c r="J888">
        <v>165766</v>
      </c>
      <c r="K888" t="s">
        <v>1893</v>
      </c>
      <c r="L888" t="s">
        <v>238</v>
      </c>
      <c r="M888" t="s">
        <v>46</v>
      </c>
      <c r="N888">
        <v>45497</v>
      </c>
      <c r="O888">
        <v>2479</v>
      </c>
      <c r="P888" t="s">
        <v>29</v>
      </c>
      <c r="Q888">
        <v>4</v>
      </c>
      <c r="R888" t="s">
        <v>52</v>
      </c>
      <c r="S888" t="s">
        <v>21</v>
      </c>
      <c r="T888" t="s">
        <v>20</v>
      </c>
    </row>
    <row r="889" spans="1:20" x14ac:dyDescent="0.3">
      <c r="A889" t="s">
        <v>1894</v>
      </c>
      <c r="B889" t="s">
        <v>84</v>
      </c>
      <c r="C889" t="s">
        <v>67</v>
      </c>
      <c r="D889" t="s">
        <v>25</v>
      </c>
      <c r="E889" t="s">
        <v>58</v>
      </c>
      <c r="F889" t="s">
        <v>59</v>
      </c>
      <c r="G889" t="s">
        <v>36</v>
      </c>
      <c r="H889" t="s">
        <v>5142</v>
      </c>
      <c r="I889" t="s">
        <v>5143</v>
      </c>
      <c r="J889">
        <v>140299</v>
      </c>
      <c r="K889" t="s">
        <v>1895</v>
      </c>
      <c r="L889" t="s">
        <v>5165</v>
      </c>
      <c r="M889" t="s">
        <v>46</v>
      </c>
      <c r="N889">
        <v>45571</v>
      </c>
      <c r="O889">
        <v>2983</v>
      </c>
      <c r="P889" t="s">
        <v>92</v>
      </c>
      <c r="Q889">
        <v>4</v>
      </c>
      <c r="R889" t="s">
        <v>76</v>
      </c>
      <c r="S889" t="s">
        <v>21</v>
      </c>
      <c r="T889" t="s">
        <v>29</v>
      </c>
    </row>
    <row r="890" spans="1:20" x14ac:dyDescent="0.3">
      <c r="A890" t="s">
        <v>1896</v>
      </c>
      <c r="B890" t="s">
        <v>130</v>
      </c>
      <c r="C890" t="s">
        <v>85</v>
      </c>
      <c r="D890" t="s">
        <v>57</v>
      </c>
      <c r="E890" t="s">
        <v>69</v>
      </c>
      <c r="F890" t="s">
        <v>70</v>
      </c>
      <c r="G890" t="s">
        <v>16</v>
      </c>
      <c r="H890" t="s">
        <v>5142</v>
      </c>
      <c r="I890" t="s">
        <v>5143</v>
      </c>
      <c r="J890">
        <v>165947</v>
      </c>
      <c r="K890" t="s">
        <v>1897</v>
      </c>
      <c r="L890" t="s">
        <v>5165</v>
      </c>
      <c r="M890" t="s">
        <v>19</v>
      </c>
      <c r="N890">
        <v>45710</v>
      </c>
      <c r="O890">
        <v>3417</v>
      </c>
      <c r="P890" t="s">
        <v>29</v>
      </c>
      <c r="Q890">
        <v>4</v>
      </c>
      <c r="R890" t="s">
        <v>52</v>
      </c>
      <c r="S890" t="s">
        <v>21</v>
      </c>
      <c r="T890" t="s">
        <v>20</v>
      </c>
    </row>
    <row r="891" spans="1:20" x14ac:dyDescent="0.3">
      <c r="A891" t="s">
        <v>1898</v>
      </c>
      <c r="B891" t="s">
        <v>165</v>
      </c>
      <c r="C891" t="s">
        <v>79</v>
      </c>
      <c r="D891" t="s">
        <v>104</v>
      </c>
      <c r="E891" t="s">
        <v>69</v>
      </c>
      <c r="F891" t="s">
        <v>70</v>
      </c>
      <c r="G891" t="s">
        <v>16</v>
      </c>
      <c r="H891" t="s">
        <v>5138</v>
      </c>
      <c r="I891" t="s">
        <v>5139</v>
      </c>
      <c r="J891">
        <v>239913</v>
      </c>
      <c r="K891" t="s">
        <v>1899</v>
      </c>
      <c r="L891" t="s">
        <v>82</v>
      </c>
      <c r="M891" t="s">
        <v>46</v>
      </c>
      <c r="N891">
        <v>45387</v>
      </c>
      <c r="O891">
        <v>429</v>
      </c>
      <c r="P891" t="s">
        <v>20</v>
      </c>
      <c r="Q891">
        <v>6</v>
      </c>
      <c r="R891" t="s">
        <v>40</v>
      </c>
      <c r="S891" t="s">
        <v>21</v>
      </c>
      <c r="T891" t="s">
        <v>20</v>
      </c>
    </row>
    <row r="892" spans="1:20" x14ac:dyDescent="0.3">
      <c r="A892" t="s">
        <v>1900</v>
      </c>
      <c r="B892" t="s">
        <v>215</v>
      </c>
      <c r="C892" t="s">
        <v>121</v>
      </c>
      <c r="D892" t="s">
        <v>68</v>
      </c>
      <c r="E892" t="s">
        <v>152</v>
      </c>
      <c r="F892" t="s">
        <v>153</v>
      </c>
      <c r="G892" t="s">
        <v>36</v>
      </c>
      <c r="H892" t="s">
        <v>5142</v>
      </c>
      <c r="I892" t="s">
        <v>5143</v>
      </c>
      <c r="J892">
        <v>172153</v>
      </c>
      <c r="K892" t="s">
        <v>1901</v>
      </c>
      <c r="L892" t="s">
        <v>5165</v>
      </c>
      <c r="M892" t="s">
        <v>19</v>
      </c>
      <c r="N892">
        <v>45643</v>
      </c>
      <c r="O892">
        <v>1682</v>
      </c>
      <c r="P892" t="s">
        <v>29</v>
      </c>
      <c r="Q892">
        <v>4</v>
      </c>
      <c r="R892" t="s">
        <v>47</v>
      </c>
      <c r="S892" t="s">
        <v>21</v>
      </c>
      <c r="T892" t="s">
        <v>29</v>
      </c>
    </row>
    <row r="893" spans="1:20" x14ac:dyDescent="0.3">
      <c r="A893" t="s">
        <v>1902</v>
      </c>
      <c r="B893" t="s">
        <v>144</v>
      </c>
      <c r="C893" t="s">
        <v>85</v>
      </c>
      <c r="D893" t="s">
        <v>140</v>
      </c>
      <c r="E893" t="s">
        <v>193</v>
      </c>
      <c r="F893" t="s">
        <v>194</v>
      </c>
      <c r="G893" t="s">
        <v>36</v>
      </c>
      <c r="H893" t="s">
        <v>5138</v>
      </c>
      <c r="I893" t="s">
        <v>5139</v>
      </c>
      <c r="J893">
        <v>218261</v>
      </c>
      <c r="K893" t="s">
        <v>1903</v>
      </c>
      <c r="L893" t="s">
        <v>82</v>
      </c>
      <c r="M893" t="s">
        <v>46</v>
      </c>
      <c r="N893">
        <v>45617</v>
      </c>
      <c r="O893">
        <v>3532</v>
      </c>
      <c r="P893" t="s">
        <v>20</v>
      </c>
      <c r="Q893">
        <v>6</v>
      </c>
      <c r="R893" t="s">
        <v>40</v>
      </c>
      <c r="S893" t="s">
        <v>53</v>
      </c>
      <c r="T893" t="s">
        <v>29</v>
      </c>
    </row>
    <row r="894" spans="1:20" x14ac:dyDescent="0.3">
      <c r="A894" t="s">
        <v>1904</v>
      </c>
      <c r="B894" t="s">
        <v>55</v>
      </c>
      <c r="C894" t="s">
        <v>43</v>
      </c>
      <c r="D894" t="s">
        <v>167</v>
      </c>
      <c r="E894" t="s">
        <v>95</v>
      </c>
      <c r="F894" t="s">
        <v>96</v>
      </c>
      <c r="G894" t="s">
        <v>16</v>
      </c>
      <c r="H894" t="s">
        <v>5136</v>
      </c>
      <c r="I894" t="s">
        <v>5137</v>
      </c>
      <c r="J894">
        <v>83440</v>
      </c>
      <c r="K894" t="s">
        <v>1905</v>
      </c>
      <c r="L894" t="s">
        <v>5165</v>
      </c>
      <c r="M894" t="s">
        <v>19</v>
      </c>
      <c r="N894">
        <v>45614</v>
      </c>
      <c r="O894">
        <v>2218</v>
      </c>
      <c r="P894" t="s">
        <v>92</v>
      </c>
      <c r="Q894">
        <v>0</v>
      </c>
      <c r="R894" t="s">
        <v>5116</v>
      </c>
      <c r="S894" t="s">
        <v>21</v>
      </c>
      <c r="T894" t="s">
        <v>29</v>
      </c>
    </row>
    <row r="895" spans="1:20" x14ac:dyDescent="0.3">
      <c r="A895" t="s">
        <v>1906</v>
      </c>
      <c r="B895" t="s">
        <v>55</v>
      </c>
      <c r="C895" t="s">
        <v>64</v>
      </c>
      <c r="D895" t="s">
        <v>104</v>
      </c>
      <c r="E895" t="s">
        <v>69</v>
      </c>
      <c r="F895" t="s">
        <v>70</v>
      </c>
      <c r="G895" t="s">
        <v>36</v>
      </c>
      <c r="H895" t="s">
        <v>5136</v>
      </c>
      <c r="I895" t="s">
        <v>5137</v>
      </c>
      <c r="J895">
        <v>84733</v>
      </c>
      <c r="K895" t="s">
        <v>1907</v>
      </c>
      <c r="L895" t="s">
        <v>82</v>
      </c>
      <c r="M895" t="s">
        <v>72</v>
      </c>
      <c r="N895">
        <v>45381</v>
      </c>
      <c r="O895">
        <v>3174</v>
      </c>
      <c r="P895" t="s">
        <v>20</v>
      </c>
      <c r="Q895">
        <v>0</v>
      </c>
      <c r="R895" t="s">
        <v>47</v>
      </c>
      <c r="S895" t="s">
        <v>21</v>
      </c>
      <c r="T895" t="s">
        <v>20</v>
      </c>
    </row>
    <row r="896" spans="1:20" x14ac:dyDescent="0.3">
      <c r="A896" t="s">
        <v>1908</v>
      </c>
      <c r="B896" t="s">
        <v>74</v>
      </c>
      <c r="C896" t="s">
        <v>13</v>
      </c>
      <c r="D896" t="s">
        <v>104</v>
      </c>
      <c r="E896" t="s">
        <v>95</v>
      </c>
      <c r="F896" t="s">
        <v>96</v>
      </c>
      <c r="G896" t="s">
        <v>16</v>
      </c>
      <c r="H896" t="s">
        <v>5136</v>
      </c>
      <c r="I896" t="s">
        <v>5137</v>
      </c>
      <c r="J896">
        <v>87415</v>
      </c>
      <c r="K896" t="s">
        <v>1909</v>
      </c>
      <c r="L896" t="s">
        <v>87</v>
      </c>
      <c r="M896" t="s">
        <v>39</v>
      </c>
      <c r="N896">
        <v>45311</v>
      </c>
      <c r="O896">
        <v>2088</v>
      </c>
      <c r="P896" t="s">
        <v>92</v>
      </c>
      <c r="Q896">
        <v>0</v>
      </c>
      <c r="R896" t="s">
        <v>47</v>
      </c>
      <c r="S896" t="s">
        <v>21</v>
      </c>
      <c r="T896" t="s">
        <v>20</v>
      </c>
    </row>
    <row r="897" spans="1:20" x14ac:dyDescent="0.3">
      <c r="A897" t="s">
        <v>1910</v>
      </c>
      <c r="B897" t="s">
        <v>78</v>
      </c>
      <c r="C897" t="s">
        <v>232</v>
      </c>
      <c r="D897" t="s">
        <v>118</v>
      </c>
      <c r="E897" t="s">
        <v>5128</v>
      </c>
      <c r="F897" t="s">
        <v>5125</v>
      </c>
      <c r="G897" t="s">
        <v>16</v>
      </c>
      <c r="H897" t="s">
        <v>5136</v>
      </c>
      <c r="I897" t="s">
        <v>5137</v>
      </c>
      <c r="J897">
        <v>78173</v>
      </c>
      <c r="K897" t="s">
        <v>1911</v>
      </c>
      <c r="L897" t="s">
        <v>38</v>
      </c>
      <c r="M897" t="s">
        <v>19</v>
      </c>
      <c r="N897">
        <v>45523</v>
      </c>
      <c r="O897">
        <v>1843</v>
      </c>
      <c r="P897" t="s">
        <v>20</v>
      </c>
      <c r="Q897">
        <v>0</v>
      </c>
      <c r="R897" t="s">
        <v>47</v>
      </c>
      <c r="S897" t="s">
        <v>21</v>
      </c>
      <c r="T897" t="s">
        <v>20</v>
      </c>
    </row>
    <row r="898" spans="1:20" x14ac:dyDescent="0.3">
      <c r="A898" t="s">
        <v>1912</v>
      </c>
      <c r="B898" t="s">
        <v>215</v>
      </c>
      <c r="C898" t="s">
        <v>185</v>
      </c>
      <c r="D898" t="s">
        <v>104</v>
      </c>
      <c r="E898" t="s">
        <v>209</v>
      </c>
      <c r="F898" t="s">
        <v>210</v>
      </c>
      <c r="G898" t="s">
        <v>36</v>
      </c>
      <c r="H898" t="s">
        <v>5136</v>
      </c>
      <c r="I898" t="s">
        <v>5137</v>
      </c>
      <c r="J898">
        <v>67894</v>
      </c>
      <c r="K898" t="s">
        <v>1913</v>
      </c>
      <c r="L898" t="s">
        <v>82</v>
      </c>
      <c r="M898" t="s">
        <v>46</v>
      </c>
      <c r="N898">
        <v>45486</v>
      </c>
      <c r="O898">
        <v>2229</v>
      </c>
      <c r="P898" t="s">
        <v>29</v>
      </c>
      <c r="Q898">
        <v>0</v>
      </c>
      <c r="R898" t="s">
        <v>76</v>
      </c>
      <c r="S898" t="s">
        <v>21</v>
      </c>
      <c r="T898" t="s">
        <v>29</v>
      </c>
    </row>
    <row r="899" spans="1:20" x14ac:dyDescent="0.3">
      <c r="A899" t="s">
        <v>1914</v>
      </c>
      <c r="B899" t="s">
        <v>89</v>
      </c>
      <c r="C899" t="s">
        <v>43</v>
      </c>
      <c r="D899" t="s">
        <v>68</v>
      </c>
      <c r="E899" t="s">
        <v>58</v>
      </c>
      <c r="F899" t="s">
        <v>59</v>
      </c>
      <c r="G899" t="s">
        <v>16</v>
      </c>
      <c r="H899" t="s">
        <v>5140</v>
      </c>
      <c r="I899" t="s">
        <v>5141</v>
      </c>
      <c r="J899">
        <v>112904</v>
      </c>
      <c r="K899" t="s">
        <v>1915</v>
      </c>
      <c r="L899" t="s">
        <v>38</v>
      </c>
      <c r="M899" t="s">
        <v>19</v>
      </c>
      <c r="N899">
        <v>45587</v>
      </c>
      <c r="O899">
        <v>2804</v>
      </c>
      <c r="P899" t="s">
        <v>20</v>
      </c>
      <c r="Q899">
        <v>2</v>
      </c>
      <c r="R899" t="s">
        <v>47</v>
      </c>
      <c r="S899" t="s">
        <v>21</v>
      </c>
      <c r="T899" t="s">
        <v>20</v>
      </c>
    </row>
    <row r="900" spans="1:20" x14ac:dyDescent="0.3">
      <c r="A900" t="s">
        <v>1916</v>
      </c>
      <c r="B900" t="s">
        <v>144</v>
      </c>
      <c r="C900" t="s">
        <v>160</v>
      </c>
      <c r="D900" t="s">
        <v>25</v>
      </c>
      <c r="E900" t="s">
        <v>5126</v>
      </c>
      <c r="F900" t="s">
        <v>5125</v>
      </c>
      <c r="G900" t="s">
        <v>16</v>
      </c>
      <c r="H900" t="s">
        <v>5142</v>
      </c>
      <c r="I900" t="s">
        <v>5143</v>
      </c>
      <c r="J900">
        <v>182575</v>
      </c>
      <c r="K900" t="s">
        <v>1917</v>
      </c>
      <c r="L900" t="s">
        <v>5165</v>
      </c>
      <c r="M900" t="s">
        <v>39</v>
      </c>
      <c r="N900">
        <v>45609</v>
      </c>
      <c r="O900">
        <v>3198</v>
      </c>
      <c r="P900" t="s">
        <v>20</v>
      </c>
      <c r="Q900">
        <v>4</v>
      </c>
      <c r="R900" t="s">
        <v>40</v>
      </c>
      <c r="S900" t="s">
        <v>21</v>
      </c>
      <c r="T900" t="s">
        <v>29</v>
      </c>
    </row>
    <row r="901" spans="1:20" x14ac:dyDescent="0.3">
      <c r="A901" t="s">
        <v>1918</v>
      </c>
      <c r="B901" t="s">
        <v>124</v>
      </c>
      <c r="C901" t="s">
        <v>90</v>
      </c>
      <c r="D901" t="s">
        <v>118</v>
      </c>
      <c r="E901" t="s">
        <v>34</v>
      </c>
      <c r="F901" t="s">
        <v>35</v>
      </c>
      <c r="G901" t="s">
        <v>36</v>
      </c>
      <c r="H901" t="s">
        <v>5138</v>
      </c>
      <c r="I901" t="s">
        <v>5139</v>
      </c>
      <c r="J901">
        <v>170590</v>
      </c>
      <c r="K901" t="s">
        <v>1919</v>
      </c>
      <c r="L901" t="s">
        <v>238</v>
      </c>
      <c r="M901" t="s">
        <v>46</v>
      </c>
      <c r="N901">
        <v>45392</v>
      </c>
      <c r="O901">
        <v>3243</v>
      </c>
      <c r="P901" t="s">
        <v>20</v>
      </c>
      <c r="Q901">
        <v>6</v>
      </c>
      <c r="R901" t="s">
        <v>47</v>
      </c>
      <c r="S901" t="s">
        <v>53</v>
      </c>
      <c r="T901" t="s">
        <v>29</v>
      </c>
    </row>
    <row r="902" spans="1:20" x14ac:dyDescent="0.3">
      <c r="A902" t="s">
        <v>1920</v>
      </c>
      <c r="B902" t="s">
        <v>136</v>
      </c>
      <c r="C902" t="s">
        <v>100</v>
      </c>
      <c r="D902" t="s">
        <v>57</v>
      </c>
      <c r="E902" t="s">
        <v>5124</v>
      </c>
      <c r="F902" t="s">
        <v>5125</v>
      </c>
      <c r="G902" t="s">
        <v>16</v>
      </c>
      <c r="H902" t="s">
        <v>5136</v>
      </c>
      <c r="I902" t="s">
        <v>5137</v>
      </c>
      <c r="J902">
        <v>74645</v>
      </c>
      <c r="K902" t="s">
        <v>1921</v>
      </c>
      <c r="L902" t="s">
        <v>38</v>
      </c>
      <c r="M902" t="s">
        <v>19</v>
      </c>
      <c r="N902">
        <v>45425</v>
      </c>
      <c r="O902">
        <v>1603</v>
      </c>
      <c r="P902" t="s">
        <v>29</v>
      </c>
      <c r="Q902">
        <v>0</v>
      </c>
      <c r="R902" t="s">
        <v>76</v>
      </c>
      <c r="S902" t="s">
        <v>21</v>
      </c>
      <c r="T902" t="s">
        <v>20</v>
      </c>
    </row>
    <row r="903" spans="1:20" x14ac:dyDescent="0.3">
      <c r="A903" t="s">
        <v>1922</v>
      </c>
      <c r="B903" t="s">
        <v>84</v>
      </c>
      <c r="C903" t="s">
        <v>219</v>
      </c>
      <c r="D903" t="s">
        <v>167</v>
      </c>
      <c r="E903" t="s">
        <v>5124</v>
      </c>
      <c r="F903" t="s">
        <v>5125</v>
      </c>
      <c r="G903" t="s">
        <v>36</v>
      </c>
      <c r="H903" t="s">
        <v>5140</v>
      </c>
      <c r="I903" t="s">
        <v>5141</v>
      </c>
      <c r="J903">
        <v>102211</v>
      </c>
      <c r="K903" t="s">
        <v>1923</v>
      </c>
      <c r="L903" t="s">
        <v>5165</v>
      </c>
      <c r="M903" t="s">
        <v>19</v>
      </c>
      <c r="N903">
        <v>45692</v>
      </c>
      <c r="O903">
        <v>2135</v>
      </c>
      <c r="P903" t="s">
        <v>20</v>
      </c>
      <c r="Q903">
        <v>2</v>
      </c>
      <c r="R903" t="s">
        <v>52</v>
      </c>
      <c r="S903" t="s">
        <v>41</v>
      </c>
      <c r="T903" t="s">
        <v>20</v>
      </c>
    </row>
    <row r="904" spans="1:20" x14ac:dyDescent="0.3">
      <c r="A904" t="s">
        <v>1924</v>
      </c>
      <c r="B904" t="s">
        <v>144</v>
      </c>
      <c r="C904" t="s">
        <v>109</v>
      </c>
      <c r="D904" t="s">
        <v>104</v>
      </c>
      <c r="E904" t="s">
        <v>152</v>
      </c>
      <c r="F904" t="s">
        <v>153</v>
      </c>
      <c r="G904" t="s">
        <v>36</v>
      </c>
      <c r="H904" t="s">
        <v>5142</v>
      </c>
      <c r="I904" t="s">
        <v>5143</v>
      </c>
      <c r="J904">
        <v>150776</v>
      </c>
      <c r="K904" t="s">
        <v>1925</v>
      </c>
      <c r="L904" t="s">
        <v>87</v>
      </c>
      <c r="M904" t="s">
        <v>19</v>
      </c>
      <c r="N904">
        <v>45439</v>
      </c>
      <c r="O904">
        <v>3753</v>
      </c>
      <c r="P904" t="s">
        <v>20</v>
      </c>
      <c r="Q904">
        <v>4</v>
      </c>
      <c r="R904" t="s">
        <v>52</v>
      </c>
      <c r="S904" t="s">
        <v>21</v>
      </c>
      <c r="T904" t="s">
        <v>29</v>
      </c>
    </row>
    <row r="905" spans="1:20" x14ac:dyDescent="0.3">
      <c r="A905" t="s">
        <v>1926</v>
      </c>
      <c r="B905" t="s">
        <v>229</v>
      </c>
      <c r="C905" t="s">
        <v>24</v>
      </c>
      <c r="D905" t="s">
        <v>167</v>
      </c>
      <c r="E905" t="s">
        <v>14</v>
      </c>
      <c r="F905" t="s">
        <v>15</v>
      </c>
      <c r="G905" t="s">
        <v>36</v>
      </c>
      <c r="H905" t="s">
        <v>5140</v>
      </c>
      <c r="I905" t="s">
        <v>5141</v>
      </c>
      <c r="J905">
        <v>135313</v>
      </c>
      <c r="K905" t="s">
        <v>1927</v>
      </c>
      <c r="L905" t="s">
        <v>142</v>
      </c>
      <c r="M905" t="s">
        <v>19</v>
      </c>
      <c r="N905">
        <v>45336</v>
      </c>
      <c r="O905">
        <v>2995</v>
      </c>
      <c r="P905" t="s">
        <v>29</v>
      </c>
      <c r="Q905">
        <v>2</v>
      </c>
      <c r="R905" t="s">
        <v>76</v>
      </c>
      <c r="S905" t="s">
        <v>53</v>
      </c>
      <c r="T905" t="s">
        <v>20</v>
      </c>
    </row>
    <row r="906" spans="1:20" x14ac:dyDescent="0.3">
      <c r="A906" t="s">
        <v>1928</v>
      </c>
      <c r="B906" t="s">
        <v>89</v>
      </c>
      <c r="C906" t="s">
        <v>172</v>
      </c>
      <c r="D906" t="s">
        <v>44</v>
      </c>
      <c r="E906" t="s">
        <v>26</v>
      </c>
      <c r="F906" t="s">
        <v>27</v>
      </c>
      <c r="G906" t="s">
        <v>36</v>
      </c>
      <c r="H906" t="s">
        <v>5136</v>
      </c>
      <c r="I906" t="s">
        <v>5137</v>
      </c>
      <c r="J906">
        <v>72407</v>
      </c>
      <c r="K906" t="s">
        <v>1929</v>
      </c>
      <c r="L906" t="s">
        <v>142</v>
      </c>
      <c r="M906" t="s">
        <v>19</v>
      </c>
      <c r="N906">
        <v>45521</v>
      </c>
      <c r="O906">
        <v>736</v>
      </c>
      <c r="P906" t="s">
        <v>20</v>
      </c>
      <c r="Q906">
        <v>0</v>
      </c>
      <c r="R906" t="s">
        <v>76</v>
      </c>
      <c r="S906" t="s">
        <v>21</v>
      </c>
      <c r="T906" t="s">
        <v>20</v>
      </c>
    </row>
    <row r="907" spans="1:20" x14ac:dyDescent="0.3">
      <c r="A907" t="s">
        <v>1930</v>
      </c>
      <c r="B907" t="s">
        <v>136</v>
      </c>
      <c r="C907" t="s">
        <v>121</v>
      </c>
      <c r="D907" t="s">
        <v>68</v>
      </c>
      <c r="E907" t="s">
        <v>126</v>
      </c>
      <c r="F907" t="s">
        <v>127</v>
      </c>
      <c r="G907" t="s">
        <v>16</v>
      </c>
      <c r="H907" t="s">
        <v>5138</v>
      </c>
      <c r="I907" t="s">
        <v>5139</v>
      </c>
      <c r="J907">
        <v>201671</v>
      </c>
      <c r="K907" t="s">
        <v>1931</v>
      </c>
      <c r="L907" t="s">
        <v>238</v>
      </c>
      <c r="M907" t="s">
        <v>46</v>
      </c>
      <c r="N907">
        <v>45667</v>
      </c>
      <c r="O907">
        <v>1657</v>
      </c>
      <c r="P907" t="s">
        <v>29</v>
      </c>
      <c r="Q907">
        <v>6</v>
      </c>
      <c r="R907" t="s">
        <v>47</v>
      </c>
      <c r="S907" t="s">
        <v>41</v>
      </c>
      <c r="T907" t="s">
        <v>20</v>
      </c>
    </row>
    <row r="908" spans="1:20" x14ac:dyDescent="0.3">
      <c r="A908" t="s">
        <v>1932</v>
      </c>
      <c r="B908" t="s">
        <v>322</v>
      </c>
      <c r="C908" t="s">
        <v>202</v>
      </c>
      <c r="D908" t="s">
        <v>57</v>
      </c>
      <c r="E908" t="s">
        <v>5127</v>
      </c>
      <c r="F908" t="s">
        <v>5125</v>
      </c>
      <c r="G908" t="s">
        <v>50</v>
      </c>
      <c r="H908" t="s">
        <v>5138</v>
      </c>
      <c r="I908" t="s">
        <v>5139</v>
      </c>
      <c r="J908">
        <v>151045</v>
      </c>
      <c r="K908" t="s">
        <v>1933</v>
      </c>
      <c r="L908" t="s">
        <v>61</v>
      </c>
      <c r="M908" t="s">
        <v>39</v>
      </c>
      <c r="N908">
        <v>45734</v>
      </c>
      <c r="O908">
        <v>1391</v>
      </c>
      <c r="P908" t="s">
        <v>92</v>
      </c>
      <c r="Q908">
        <v>6</v>
      </c>
      <c r="R908" t="s">
        <v>40</v>
      </c>
      <c r="S908" t="s">
        <v>21</v>
      </c>
      <c r="T908" t="s">
        <v>29</v>
      </c>
    </row>
    <row r="909" spans="1:20" x14ac:dyDescent="0.3">
      <c r="A909" t="s">
        <v>1934</v>
      </c>
      <c r="B909" t="s">
        <v>136</v>
      </c>
      <c r="C909" t="s">
        <v>151</v>
      </c>
      <c r="D909" t="s">
        <v>140</v>
      </c>
      <c r="E909" t="s">
        <v>5133</v>
      </c>
      <c r="F909" t="s">
        <v>5125</v>
      </c>
      <c r="G909" t="s">
        <v>36</v>
      </c>
      <c r="H909" t="s">
        <v>5138</v>
      </c>
      <c r="I909" t="s">
        <v>5139</v>
      </c>
      <c r="J909">
        <v>226865</v>
      </c>
      <c r="K909" t="s">
        <v>1935</v>
      </c>
      <c r="L909" t="s">
        <v>5165</v>
      </c>
      <c r="M909" t="s">
        <v>72</v>
      </c>
      <c r="N909">
        <v>45454</v>
      </c>
      <c r="O909">
        <v>567</v>
      </c>
      <c r="P909" t="s">
        <v>92</v>
      </c>
      <c r="Q909">
        <v>6</v>
      </c>
      <c r="R909" t="s">
        <v>5116</v>
      </c>
      <c r="S909" t="s">
        <v>53</v>
      </c>
      <c r="T909" t="s">
        <v>29</v>
      </c>
    </row>
    <row r="910" spans="1:20" x14ac:dyDescent="0.3">
      <c r="A910" t="s">
        <v>1936</v>
      </c>
      <c r="B910" t="s">
        <v>74</v>
      </c>
      <c r="C910" t="s">
        <v>79</v>
      </c>
      <c r="D910" t="s">
        <v>44</v>
      </c>
      <c r="E910" t="s">
        <v>26</v>
      </c>
      <c r="F910" t="s">
        <v>27</v>
      </c>
      <c r="G910" t="s">
        <v>36</v>
      </c>
      <c r="H910" t="s">
        <v>5142</v>
      </c>
      <c r="I910" t="s">
        <v>5143</v>
      </c>
      <c r="J910">
        <v>167428</v>
      </c>
      <c r="K910" t="s">
        <v>1937</v>
      </c>
      <c r="L910" t="s">
        <v>5165</v>
      </c>
      <c r="M910" t="s">
        <v>39</v>
      </c>
      <c r="N910">
        <v>45741</v>
      </c>
      <c r="O910">
        <v>293</v>
      </c>
      <c r="P910" t="s">
        <v>29</v>
      </c>
      <c r="Q910">
        <v>4</v>
      </c>
      <c r="R910" t="s">
        <v>40</v>
      </c>
      <c r="S910" t="s">
        <v>21</v>
      </c>
      <c r="T910" t="s">
        <v>29</v>
      </c>
    </row>
    <row r="911" spans="1:20" x14ac:dyDescent="0.3">
      <c r="A911" t="s">
        <v>1938</v>
      </c>
      <c r="B911" t="s">
        <v>99</v>
      </c>
      <c r="C911" t="s">
        <v>49</v>
      </c>
      <c r="D911" t="s">
        <v>104</v>
      </c>
      <c r="E911" t="s">
        <v>126</v>
      </c>
      <c r="F911" t="s">
        <v>127</v>
      </c>
      <c r="G911" t="s">
        <v>36</v>
      </c>
      <c r="H911" t="s">
        <v>5138</v>
      </c>
      <c r="I911" t="s">
        <v>5139</v>
      </c>
      <c r="J911">
        <v>277877</v>
      </c>
      <c r="K911" t="s">
        <v>1939</v>
      </c>
      <c r="L911" t="s">
        <v>134</v>
      </c>
      <c r="M911" t="s">
        <v>46</v>
      </c>
      <c r="N911">
        <v>45641</v>
      </c>
      <c r="O911">
        <v>600</v>
      </c>
      <c r="P911" t="s">
        <v>20</v>
      </c>
      <c r="Q911">
        <v>6</v>
      </c>
      <c r="R911" t="s">
        <v>47</v>
      </c>
      <c r="S911" t="s">
        <v>21</v>
      </c>
      <c r="T911" t="s">
        <v>20</v>
      </c>
    </row>
    <row r="912" spans="1:20" x14ac:dyDescent="0.3">
      <c r="A912" t="s">
        <v>1940</v>
      </c>
      <c r="B912" t="s">
        <v>165</v>
      </c>
      <c r="C912" t="s">
        <v>232</v>
      </c>
      <c r="D912" t="s">
        <v>167</v>
      </c>
      <c r="E912" t="s">
        <v>5131</v>
      </c>
      <c r="F912" t="s">
        <v>5125</v>
      </c>
      <c r="G912" t="s">
        <v>16</v>
      </c>
      <c r="H912" t="s">
        <v>5142</v>
      </c>
      <c r="I912" t="s">
        <v>5143</v>
      </c>
      <c r="J912">
        <v>141689</v>
      </c>
      <c r="K912" t="s">
        <v>1941</v>
      </c>
      <c r="L912" t="s">
        <v>5165</v>
      </c>
      <c r="M912" t="s">
        <v>19</v>
      </c>
      <c r="N912">
        <v>45295</v>
      </c>
      <c r="O912">
        <v>2163</v>
      </c>
      <c r="P912" t="s">
        <v>29</v>
      </c>
      <c r="Q912">
        <v>4</v>
      </c>
      <c r="R912" t="s">
        <v>47</v>
      </c>
      <c r="S912" t="s">
        <v>53</v>
      </c>
      <c r="T912" t="s">
        <v>20</v>
      </c>
    </row>
    <row r="913" spans="1:20" x14ac:dyDescent="0.3">
      <c r="A913" t="s">
        <v>1942</v>
      </c>
      <c r="B913" t="s">
        <v>12</v>
      </c>
      <c r="C913" t="s">
        <v>188</v>
      </c>
      <c r="D913" t="s">
        <v>44</v>
      </c>
      <c r="E913" t="s">
        <v>80</v>
      </c>
      <c r="F913" t="s">
        <v>80</v>
      </c>
      <c r="G913" t="s">
        <v>50</v>
      </c>
      <c r="H913" t="s">
        <v>5140</v>
      </c>
      <c r="I913" t="s">
        <v>5141</v>
      </c>
      <c r="J913">
        <v>114339</v>
      </c>
      <c r="K913" t="s">
        <v>1943</v>
      </c>
      <c r="L913" t="s">
        <v>113</v>
      </c>
      <c r="M913" t="s">
        <v>19</v>
      </c>
      <c r="N913">
        <v>45356</v>
      </c>
      <c r="O913">
        <v>3636</v>
      </c>
      <c r="P913" t="s">
        <v>29</v>
      </c>
      <c r="Q913">
        <v>2</v>
      </c>
      <c r="R913" t="s">
        <v>47</v>
      </c>
      <c r="S913" t="s">
        <v>21</v>
      </c>
      <c r="T913" t="s">
        <v>20</v>
      </c>
    </row>
    <row r="914" spans="1:20" x14ac:dyDescent="0.3">
      <c r="A914" t="s">
        <v>1944</v>
      </c>
      <c r="B914" t="s">
        <v>99</v>
      </c>
      <c r="C914" t="s">
        <v>79</v>
      </c>
      <c r="D914" t="s">
        <v>167</v>
      </c>
      <c r="E914" t="s">
        <v>5133</v>
      </c>
      <c r="F914" t="s">
        <v>5125</v>
      </c>
      <c r="G914" t="s">
        <v>16</v>
      </c>
      <c r="H914" t="s">
        <v>5138</v>
      </c>
      <c r="I914" t="s">
        <v>5139</v>
      </c>
      <c r="J914">
        <v>208977</v>
      </c>
      <c r="K914" t="s">
        <v>1945</v>
      </c>
      <c r="L914" t="s">
        <v>61</v>
      </c>
      <c r="M914" t="s">
        <v>46</v>
      </c>
      <c r="N914">
        <v>45376</v>
      </c>
      <c r="O914">
        <v>1076</v>
      </c>
      <c r="P914" t="s">
        <v>20</v>
      </c>
      <c r="Q914">
        <v>6</v>
      </c>
      <c r="R914" t="s">
        <v>40</v>
      </c>
      <c r="S914" t="s">
        <v>21</v>
      </c>
      <c r="T914" t="s">
        <v>29</v>
      </c>
    </row>
    <row r="915" spans="1:20" x14ac:dyDescent="0.3">
      <c r="A915" t="s">
        <v>1946</v>
      </c>
      <c r="B915" t="s">
        <v>55</v>
      </c>
      <c r="C915" t="s">
        <v>43</v>
      </c>
      <c r="D915" t="s">
        <v>57</v>
      </c>
      <c r="E915" t="s">
        <v>58</v>
      </c>
      <c r="F915" t="s">
        <v>59</v>
      </c>
      <c r="G915" t="s">
        <v>50</v>
      </c>
      <c r="H915" t="s">
        <v>5138</v>
      </c>
      <c r="I915" t="s">
        <v>5139</v>
      </c>
      <c r="J915">
        <v>256788</v>
      </c>
      <c r="K915" t="s">
        <v>1947</v>
      </c>
      <c r="L915" t="s">
        <v>5165</v>
      </c>
      <c r="M915" t="s">
        <v>46</v>
      </c>
      <c r="N915">
        <v>45308</v>
      </c>
      <c r="O915">
        <v>2998</v>
      </c>
      <c r="P915" t="s">
        <v>29</v>
      </c>
      <c r="Q915">
        <v>6</v>
      </c>
      <c r="R915" t="s">
        <v>5116</v>
      </c>
      <c r="S915" t="s">
        <v>21</v>
      </c>
      <c r="T915" t="s">
        <v>29</v>
      </c>
    </row>
    <row r="916" spans="1:20" x14ac:dyDescent="0.3">
      <c r="A916" t="s">
        <v>1948</v>
      </c>
      <c r="B916" t="s">
        <v>165</v>
      </c>
      <c r="C916" t="s">
        <v>232</v>
      </c>
      <c r="D916" t="s">
        <v>104</v>
      </c>
      <c r="E916" t="s">
        <v>152</v>
      </c>
      <c r="F916" t="s">
        <v>153</v>
      </c>
      <c r="G916" t="s">
        <v>16</v>
      </c>
      <c r="H916" t="s">
        <v>5136</v>
      </c>
      <c r="I916" t="s">
        <v>5137</v>
      </c>
      <c r="J916">
        <v>68799</v>
      </c>
      <c r="K916" t="s">
        <v>1949</v>
      </c>
      <c r="L916" t="s">
        <v>5165</v>
      </c>
      <c r="M916" t="s">
        <v>46</v>
      </c>
      <c r="N916">
        <v>45526</v>
      </c>
      <c r="O916">
        <v>3928</v>
      </c>
      <c r="P916" t="s">
        <v>20</v>
      </c>
      <c r="Q916">
        <v>0</v>
      </c>
      <c r="R916" t="s">
        <v>5116</v>
      </c>
      <c r="S916" t="s">
        <v>21</v>
      </c>
      <c r="T916" t="s">
        <v>29</v>
      </c>
    </row>
    <row r="917" spans="1:20" x14ac:dyDescent="0.3">
      <c r="A917" t="s">
        <v>1950</v>
      </c>
      <c r="B917" t="s">
        <v>136</v>
      </c>
      <c r="C917" t="s">
        <v>67</v>
      </c>
      <c r="D917" t="s">
        <v>118</v>
      </c>
      <c r="E917" t="s">
        <v>5131</v>
      </c>
      <c r="F917" t="s">
        <v>5125</v>
      </c>
      <c r="G917" t="s">
        <v>50</v>
      </c>
      <c r="H917" t="s">
        <v>5140</v>
      </c>
      <c r="I917" t="s">
        <v>5141</v>
      </c>
      <c r="J917">
        <v>115524</v>
      </c>
      <c r="K917" t="s">
        <v>1951</v>
      </c>
      <c r="L917" t="s">
        <v>87</v>
      </c>
      <c r="M917" t="s">
        <v>19</v>
      </c>
      <c r="N917">
        <v>45343</v>
      </c>
      <c r="O917">
        <v>1341</v>
      </c>
      <c r="P917" t="s">
        <v>20</v>
      </c>
      <c r="Q917">
        <v>2</v>
      </c>
      <c r="R917" t="s">
        <v>47</v>
      </c>
      <c r="S917" t="s">
        <v>53</v>
      </c>
      <c r="T917" t="s">
        <v>20</v>
      </c>
    </row>
    <row r="918" spans="1:20" x14ac:dyDescent="0.3">
      <c r="A918" t="s">
        <v>1952</v>
      </c>
      <c r="B918" t="s">
        <v>23</v>
      </c>
      <c r="C918" t="s">
        <v>85</v>
      </c>
      <c r="D918" t="s">
        <v>118</v>
      </c>
      <c r="E918" t="s">
        <v>5124</v>
      </c>
      <c r="F918" t="s">
        <v>5125</v>
      </c>
      <c r="G918" t="s">
        <v>36</v>
      </c>
      <c r="H918" t="s">
        <v>5140</v>
      </c>
      <c r="I918" t="s">
        <v>5141</v>
      </c>
      <c r="J918">
        <v>122036</v>
      </c>
      <c r="K918" t="s">
        <v>1953</v>
      </c>
      <c r="L918" t="s">
        <v>82</v>
      </c>
      <c r="M918" t="s">
        <v>39</v>
      </c>
      <c r="N918">
        <v>45449</v>
      </c>
      <c r="O918">
        <v>1022</v>
      </c>
      <c r="P918" t="s">
        <v>92</v>
      </c>
      <c r="Q918">
        <v>2</v>
      </c>
      <c r="R918" t="s">
        <v>76</v>
      </c>
      <c r="S918" t="s">
        <v>21</v>
      </c>
      <c r="T918" t="s">
        <v>20</v>
      </c>
    </row>
    <row r="919" spans="1:20" x14ac:dyDescent="0.3">
      <c r="A919" t="s">
        <v>1954</v>
      </c>
      <c r="B919" t="s">
        <v>136</v>
      </c>
      <c r="C919" t="s">
        <v>32</v>
      </c>
      <c r="D919" t="s">
        <v>57</v>
      </c>
      <c r="E919" t="s">
        <v>209</v>
      </c>
      <c r="F919" t="s">
        <v>210</v>
      </c>
      <c r="G919" t="s">
        <v>36</v>
      </c>
      <c r="H919" t="s">
        <v>5138</v>
      </c>
      <c r="I919" t="s">
        <v>5139</v>
      </c>
      <c r="J919">
        <v>206717</v>
      </c>
      <c r="K919" t="s">
        <v>1955</v>
      </c>
      <c r="L919" t="s">
        <v>5165</v>
      </c>
      <c r="M919" t="s">
        <v>19</v>
      </c>
      <c r="N919">
        <v>45351</v>
      </c>
      <c r="O919">
        <v>1812</v>
      </c>
      <c r="P919" t="s">
        <v>29</v>
      </c>
      <c r="Q919">
        <v>6</v>
      </c>
      <c r="R919" t="s">
        <v>5116</v>
      </c>
      <c r="S919" t="s">
        <v>21</v>
      </c>
      <c r="T919" t="s">
        <v>20</v>
      </c>
    </row>
    <row r="920" spans="1:20" x14ac:dyDescent="0.3">
      <c r="A920" t="s">
        <v>1956</v>
      </c>
      <c r="B920" t="s">
        <v>78</v>
      </c>
      <c r="C920" t="s">
        <v>24</v>
      </c>
      <c r="D920" t="s">
        <v>118</v>
      </c>
      <c r="E920" t="s">
        <v>69</v>
      </c>
      <c r="F920" t="s">
        <v>70</v>
      </c>
      <c r="G920" t="s">
        <v>50</v>
      </c>
      <c r="H920" t="s">
        <v>5138</v>
      </c>
      <c r="I920" t="s">
        <v>5139</v>
      </c>
      <c r="J920">
        <v>183928</v>
      </c>
      <c r="K920" t="s">
        <v>1957</v>
      </c>
      <c r="L920" t="s">
        <v>5165</v>
      </c>
      <c r="M920" t="s">
        <v>46</v>
      </c>
      <c r="N920">
        <v>45660</v>
      </c>
      <c r="O920">
        <v>1005</v>
      </c>
      <c r="P920" t="s">
        <v>29</v>
      </c>
      <c r="Q920">
        <v>6</v>
      </c>
      <c r="R920" t="s">
        <v>5116</v>
      </c>
      <c r="S920" t="s">
        <v>53</v>
      </c>
      <c r="T920" t="s">
        <v>20</v>
      </c>
    </row>
    <row r="921" spans="1:20" x14ac:dyDescent="0.3">
      <c r="A921" t="s">
        <v>1958</v>
      </c>
      <c r="B921" t="s">
        <v>12</v>
      </c>
      <c r="C921" t="s">
        <v>166</v>
      </c>
      <c r="D921" t="s">
        <v>68</v>
      </c>
      <c r="E921" t="s">
        <v>5133</v>
      </c>
      <c r="F921" t="s">
        <v>5125</v>
      </c>
      <c r="G921" t="s">
        <v>16</v>
      </c>
      <c r="H921" t="s">
        <v>5140</v>
      </c>
      <c r="I921" t="s">
        <v>5141</v>
      </c>
      <c r="J921">
        <v>113842</v>
      </c>
      <c r="K921" t="s">
        <v>1959</v>
      </c>
      <c r="L921" t="s">
        <v>179</v>
      </c>
      <c r="M921" t="s">
        <v>46</v>
      </c>
      <c r="N921">
        <v>45696</v>
      </c>
      <c r="O921">
        <v>2134</v>
      </c>
      <c r="P921" t="s">
        <v>20</v>
      </c>
      <c r="Q921">
        <v>2</v>
      </c>
      <c r="R921" t="s">
        <v>76</v>
      </c>
      <c r="S921" t="s">
        <v>21</v>
      </c>
      <c r="T921" t="s">
        <v>20</v>
      </c>
    </row>
    <row r="922" spans="1:20" x14ac:dyDescent="0.3">
      <c r="A922" t="s">
        <v>1960</v>
      </c>
      <c r="B922" t="s">
        <v>218</v>
      </c>
      <c r="C922" t="s">
        <v>172</v>
      </c>
      <c r="D922" t="s">
        <v>33</v>
      </c>
      <c r="E922" t="s">
        <v>95</v>
      </c>
      <c r="F922" t="s">
        <v>96</v>
      </c>
      <c r="G922" t="s">
        <v>16</v>
      </c>
      <c r="H922" t="s">
        <v>5142</v>
      </c>
      <c r="I922" t="s">
        <v>5143</v>
      </c>
      <c r="J922">
        <v>178988</v>
      </c>
      <c r="K922" t="s">
        <v>1961</v>
      </c>
      <c r="L922" t="s">
        <v>113</v>
      </c>
      <c r="M922" t="s">
        <v>72</v>
      </c>
      <c r="N922">
        <v>45565</v>
      </c>
      <c r="O922">
        <v>3346</v>
      </c>
      <c r="P922" t="s">
        <v>20</v>
      </c>
      <c r="Q922">
        <v>4</v>
      </c>
      <c r="R922" t="s">
        <v>76</v>
      </c>
      <c r="S922" t="s">
        <v>21</v>
      </c>
      <c r="T922" t="s">
        <v>20</v>
      </c>
    </row>
    <row r="923" spans="1:20" x14ac:dyDescent="0.3">
      <c r="A923" t="s">
        <v>1962</v>
      </c>
      <c r="B923" t="s">
        <v>218</v>
      </c>
      <c r="C923" t="s">
        <v>64</v>
      </c>
      <c r="D923" t="s">
        <v>104</v>
      </c>
      <c r="E923" t="s">
        <v>80</v>
      </c>
      <c r="F923" t="s">
        <v>80</v>
      </c>
      <c r="G923" t="s">
        <v>50</v>
      </c>
      <c r="H923" t="s">
        <v>5140</v>
      </c>
      <c r="I923" t="s">
        <v>5141</v>
      </c>
      <c r="J923">
        <v>89674</v>
      </c>
      <c r="K923" t="s">
        <v>1963</v>
      </c>
      <c r="L923" t="s">
        <v>61</v>
      </c>
      <c r="M923" t="s">
        <v>39</v>
      </c>
      <c r="N923">
        <v>45584</v>
      </c>
      <c r="O923">
        <v>388</v>
      </c>
      <c r="P923" t="s">
        <v>20</v>
      </c>
      <c r="Q923">
        <v>2</v>
      </c>
      <c r="R923" t="s">
        <v>52</v>
      </c>
      <c r="S923" t="s">
        <v>21</v>
      </c>
      <c r="T923" t="s">
        <v>20</v>
      </c>
    </row>
    <row r="924" spans="1:20" x14ac:dyDescent="0.3">
      <c r="A924" t="s">
        <v>1964</v>
      </c>
      <c r="B924" t="s">
        <v>124</v>
      </c>
      <c r="C924" t="s">
        <v>185</v>
      </c>
      <c r="D924" t="s">
        <v>44</v>
      </c>
      <c r="E924" t="s">
        <v>5127</v>
      </c>
      <c r="F924" t="s">
        <v>5125</v>
      </c>
      <c r="G924" t="s">
        <v>36</v>
      </c>
      <c r="H924" t="s">
        <v>5140</v>
      </c>
      <c r="I924" t="s">
        <v>5141</v>
      </c>
      <c r="J924">
        <v>112632</v>
      </c>
      <c r="K924" t="s">
        <v>1965</v>
      </c>
      <c r="L924" t="s">
        <v>18</v>
      </c>
      <c r="M924" t="s">
        <v>46</v>
      </c>
      <c r="N924">
        <v>45392</v>
      </c>
      <c r="O924">
        <v>604</v>
      </c>
      <c r="P924" t="s">
        <v>20</v>
      </c>
      <c r="Q924">
        <v>2</v>
      </c>
      <c r="R924" t="s">
        <v>47</v>
      </c>
      <c r="S924" t="s">
        <v>53</v>
      </c>
      <c r="T924" t="s">
        <v>29</v>
      </c>
    </row>
    <row r="925" spans="1:20" x14ac:dyDescent="0.3">
      <c r="A925" t="s">
        <v>1966</v>
      </c>
      <c r="B925" t="s">
        <v>215</v>
      </c>
      <c r="C925" t="s">
        <v>103</v>
      </c>
      <c r="D925" t="s">
        <v>44</v>
      </c>
      <c r="E925" t="s">
        <v>34</v>
      </c>
      <c r="F925" t="s">
        <v>35</v>
      </c>
      <c r="G925" t="s">
        <v>16</v>
      </c>
      <c r="H925" t="s">
        <v>5136</v>
      </c>
      <c r="I925" t="s">
        <v>5137</v>
      </c>
      <c r="J925">
        <v>61178</v>
      </c>
      <c r="K925" t="s">
        <v>1967</v>
      </c>
      <c r="L925" t="s">
        <v>5165</v>
      </c>
      <c r="M925" t="s">
        <v>19</v>
      </c>
      <c r="N925">
        <v>45677</v>
      </c>
      <c r="O925">
        <v>438</v>
      </c>
      <c r="P925" t="s">
        <v>29</v>
      </c>
      <c r="Q925">
        <v>0</v>
      </c>
      <c r="R925" t="s">
        <v>47</v>
      </c>
      <c r="S925" t="s">
        <v>21</v>
      </c>
      <c r="T925" t="s">
        <v>20</v>
      </c>
    </row>
    <row r="926" spans="1:20" x14ac:dyDescent="0.3">
      <c r="A926" t="s">
        <v>1968</v>
      </c>
      <c r="B926" t="s">
        <v>222</v>
      </c>
      <c r="C926" t="s">
        <v>197</v>
      </c>
      <c r="D926" t="s">
        <v>140</v>
      </c>
      <c r="E926" t="s">
        <v>58</v>
      </c>
      <c r="F926" t="s">
        <v>59</v>
      </c>
      <c r="G926" t="s">
        <v>36</v>
      </c>
      <c r="H926" t="s">
        <v>5138</v>
      </c>
      <c r="I926" t="s">
        <v>5139</v>
      </c>
      <c r="J926">
        <v>243021</v>
      </c>
      <c r="K926" t="s">
        <v>1969</v>
      </c>
      <c r="L926" t="s">
        <v>18</v>
      </c>
      <c r="M926" t="s">
        <v>46</v>
      </c>
      <c r="N926">
        <v>45630</v>
      </c>
      <c r="O926">
        <v>2206</v>
      </c>
      <c r="P926" t="s">
        <v>29</v>
      </c>
      <c r="Q926">
        <v>6</v>
      </c>
      <c r="R926" t="s">
        <v>47</v>
      </c>
      <c r="S926" t="s">
        <v>21</v>
      </c>
      <c r="T926" t="s">
        <v>20</v>
      </c>
    </row>
    <row r="927" spans="1:20" x14ac:dyDescent="0.3">
      <c r="A927" t="s">
        <v>1970</v>
      </c>
      <c r="B927" t="s">
        <v>74</v>
      </c>
      <c r="C927" t="s">
        <v>43</v>
      </c>
      <c r="D927" t="s">
        <v>140</v>
      </c>
      <c r="E927" t="s">
        <v>58</v>
      </c>
      <c r="F927" t="s">
        <v>59</v>
      </c>
      <c r="G927" t="s">
        <v>36</v>
      </c>
      <c r="H927" t="s">
        <v>5136</v>
      </c>
      <c r="I927" t="s">
        <v>5137</v>
      </c>
      <c r="J927">
        <v>50807</v>
      </c>
      <c r="K927" t="s">
        <v>1971</v>
      </c>
      <c r="L927" t="s">
        <v>5165</v>
      </c>
      <c r="M927" t="s">
        <v>46</v>
      </c>
      <c r="N927">
        <v>45436</v>
      </c>
      <c r="O927">
        <v>3786</v>
      </c>
      <c r="P927" t="s">
        <v>20</v>
      </c>
      <c r="Q927">
        <v>0</v>
      </c>
      <c r="R927" t="s">
        <v>5116</v>
      </c>
      <c r="S927" t="s">
        <v>21</v>
      </c>
      <c r="T927" t="s">
        <v>29</v>
      </c>
    </row>
    <row r="928" spans="1:20" x14ac:dyDescent="0.3">
      <c r="A928" t="s">
        <v>1972</v>
      </c>
      <c r="B928" t="s">
        <v>55</v>
      </c>
      <c r="C928" t="s">
        <v>219</v>
      </c>
      <c r="D928" t="s">
        <v>167</v>
      </c>
      <c r="E928" t="s">
        <v>209</v>
      </c>
      <c r="F928" t="s">
        <v>210</v>
      </c>
      <c r="G928" t="s">
        <v>16</v>
      </c>
      <c r="H928" t="s">
        <v>5140</v>
      </c>
      <c r="I928" t="s">
        <v>5141</v>
      </c>
      <c r="J928">
        <v>98933</v>
      </c>
      <c r="K928" t="s">
        <v>1973</v>
      </c>
      <c r="L928" t="s">
        <v>5165</v>
      </c>
      <c r="M928" t="s">
        <v>39</v>
      </c>
      <c r="N928">
        <v>45357</v>
      </c>
      <c r="O928">
        <v>3329</v>
      </c>
      <c r="P928" t="s">
        <v>20</v>
      </c>
      <c r="Q928">
        <v>2</v>
      </c>
      <c r="R928" t="s">
        <v>5116</v>
      </c>
      <c r="S928" t="s">
        <v>53</v>
      </c>
      <c r="T928" t="s">
        <v>29</v>
      </c>
    </row>
    <row r="929" spans="1:20" x14ac:dyDescent="0.3">
      <c r="A929" t="s">
        <v>1974</v>
      </c>
      <c r="B929" t="s">
        <v>136</v>
      </c>
      <c r="C929" t="s">
        <v>197</v>
      </c>
      <c r="D929" t="s">
        <v>140</v>
      </c>
      <c r="E929" t="s">
        <v>58</v>
      </c>
      <c r="F929" t="s">
        <v>59</v>
      </c>
      <c r="G929" t="s">
        <v>36</v>
      </c>
      <c r="H929" t="s">
        <v>5142</v>
      </c>
      <c r="I929" t="s">
        <v>5143</v>
      </c>
      <c r="J929">
        <v>160184</v>
      </c>
      <c r="K929" t="s">
        <v>1975</v>
      </c>
      <c r="L929" t="s">
        <v>113</v>
      </c>
      <c r="M929" t="s">
        <v>72</v>
      </c>
      <c r="N929">
        <v>45590</v>
      </c>
      <c r="O929">
        <v>2220</v>
      </c>
      <c r="P929" t="s">
        <v>20</v>
      </c>
      <c r="Q929">
        <v>4</v>
      </c>
      <c r="R929" t="s">
        <v>40</v>
      </c>
      <c r="S929" t="s">
        <v>53</v>
      </c>
      <c r="T929" t="s">
        <v>29</v>
      </c>
    </row>
    <row r="930" spans="1:20" x14ac:dyDescent="0.3">
      <c r="A930" t="s">
        <v>1976</v>
      </c>
      <c r="B930" t="s">
        <v>144</v>
      </c>
      <c r="C930" t="s">
        <v>188</v>
      </c>
      <c r="D930" t="s">
        <v>118</v>
      </c>
      <c r="E930" t="s">
        <v>5128</v>
      </c>
      <c r="F930" t="s">
        <v>5125</v>
      </c>
      <c r="G930" t="s">
        <v>50</v>
      </c>
      <c r="H930" t="s">
        <v>5142</v>
      </c>
      <c r="I930" t="s">
        <v>5143</v>
      </c>
      <c r="J930">
        <v>192269</v>
      </c>
      <c r="K930" t="s">
        <v>1977</v>
      </c>
      <c r="L930" t="s">
        <v>38</v>
      </c>
      <c r="M930" t="s">
        <v>46</v>
      </c>
      <c r="N930">
        <v>45690</v>
      </c>
      <c r="O930">
        <v>1148</v>
      </c>
      <c r="P930" t="s">
        <v>29</v>
      </c>
      <c r="Q930">
        <v>4</v>
      </c>
      <c r="R930" t="s">
        <v>76</v>
      </c>
      <c r="S930" t="s">
        <v>21</v>
      </c>
      <c r="T930" t="s">
        <v>29</v>
      </c>
    </row>
    <row r="931" spans="1:20" x14ac:dyDescent="0.3">
      <c r="A931" t="s">
        <v>1978</v>
      </c>
      <c r="B931" t="s">
        <v>63</v>
      </c>
      <c r="C931" t="s">
        <v>94</v>
      </c>
      <c r="D931" t="s">
        <v>167</v>
      </c>
      <c r="E931" t="s">
        <v>5131</v>
      </c>
      <c r="F931" t="s">
        <v>5125</v>
      </c>
      <c r="G931" t="s">
        <v>50</v>
      </c>
      <c r="H931" t="s">
        <v>5138</v>
      </c>
      <c r="I931" t="s">
        <v>5139</v>
      </c>
      <c r="J931">
        <v>197632</v>
      </c>
      <c r="K931" t="s">
        <v>1979</v>
      </c>
      <c r="L931" t="s">
        <v>5165</v>
      </c>
      <c r="M931" t="s">
        <v>46</v>
      </c>
      <c r="N931">
        <v>45303</v>
      </c>
      <c r="O931">
        <v>3400</v>
      </c>
      <c r="P931" t="s">
        <v>92</v>
      </c>
      <c r="Q931">
        <v>6</v>
      </c>
      <c r="R931" t="s">
        <v>5116</v>
      </c>
      <c r="S931" t="s">
        <v>21</v>
      </c>
      <c r="T931" t="s">
        <v>20</v>
      </c>
    </row>
    <row r="932" spans="1:20" x14ac:dyDescent="0.3">
      <c r="A932" t="s">
        <v>1980</v>
      </c>
      <c r="B932" t="s">
        <v>74</v>
      </c>
      <c r="C932" t="s">
        <v>188</v>
      </c>
      <c r="D932" t="s">
        <v>44</v>
      </c>
      <c r="E932" t="s">
        <v>26</v>
      </c>
      <c r="F932" t="s">
        <v>27</v>
      </c>
      <c r="G932" t="s">
        <v>16</v>
      </c>
      <c r="H932" t="s">
        <v>5136</v>
      </c>
      <c r="I932" t="s">
        <v>5137</v>
      </c>
      <c r="J932">
        <v>63004</v>
      </c>
      <c r="K932" t="s">
        <v>1981</v>
      </c>
      <c r="L932" t="s">
        <v>113</v>
      </c>
      <c r="M932" t="s">
        <v>46</v>
      </c>
      <c r="N932">
        <v>45300</v>
      </c>
      <c r="O932">
        <v>1533</v>
      </c>
      <c r="P932" t="s">
        <v>20</v>
      </c>
      <c r="Q932">
        <v>0</v>
      </c>
      <c r="R932" t="s">
        <v>47</v>
      </c>
      <c r="S932" t="s">
        <v>41</v>
      </c>
      <c r="T932" t="s">
        <v>29</v>
      </c>
    </row>
    <row r="933" spans="1:20" x14ac:dyDescent="0.3">
      <c r="A933" t="s">
        <v>1982</v>
      </c>
      <c r="B933" t="s">
        <v>12</v>
      </c>
      <c r="C933" t="s">
        <v>94</v>
      </c>
      <c r="D933" t="s">
        <v>5156</v>
      </c>
      <c r="E933" t="s">
        <v>14</v>
      </c>
      <c r="F933" t="s">
        <v>15</v>
      </c>
      <c r="G933" t="s">
        <v>36</v>
      </c>
      <c r="H933" t="s">
        <v>5140</v>
      </c>
      <c r="I933" t="s">
        <v>5141</v>
      </c>
      <c r="J933">
        <v>147246</v>
      </c>
      <c r="K933" t="s">
        <v>1983</v>
      </c>
      <c r="L933" t="s">
        <v>87</v>
      </c>
      <c r="M933" t="s">
        <v>19</v>
      </c>
      <c r="N933">
        <v>45293</v>
      </c>
      <c r="O933">
        <v>2278</v>
      </c>
      <c r="P933" t="s">
        <v>29</v>
      </c>
      <c r="Q933">
        <v>2</v>
      </c>
      <c r="R933" t="s">
        <v>52</v>
      </c>
      <c r="S933" t="s">
        <v>21</v>
      </c>
      <c r="T933" t="s">
        <v>20</v>
      </c>
    </row>
    <row r="934" spans="1:20" x14ac:dyDescent="0.3">
      <c r="A934" t="s">
        <v>1984</v>
      </c>
      <c r="B934" t="s">
        <v>63</v>
      </c>
      <c r="C934" t="s">
        <v>32</v>
      </c>
      <c r="D934" t="s">
        <v>5156</v>
      </c>
      <c r="E934" t="s">
        <v>95</v>
      </c>
      <c r="F934" t="s">
        <v>96</v>
      </c>
      <c r="G934" t="s">
        <v>16</v>
      </c>
      <c r="H934" t="s">
        <v>5138</v>
      </c>
      <c r="I934" t="s">
        <v>5139</v>
      </c>
      <c r="J934">
        <v>147871</v>
      </c>
      <c r="K934" t="s">
        <v>1985</v>
      </c>
      <c r="L934" t="s">
        <v>61</v>
      </c>
      <c r="M934" t="s">
        <v>39</v>
      </c>
      <c r="N934">
        <v>45313</v>
      </c>
      <c r="O934">
        <v>4000</v>
      </c>
      <c r="P934" t="s">
        <v>20</v>
      </c>
      <c r="Q934">
        <v>6</v>
      </c>
      <c r="R934" t="s">
        <v>5116</v>
      </c>
      <c r="S934" t="s">
        <v>21</v>
      </c>
      <c r="T934" t="s">
        <v>29</v>
      </c>
    </row>
    <row r="935" spans="1:20" x14ac:dyDescent="0.3">
      <c r="A935" t="s">
        <v>1986</v>
      </c>
      <c r="B935" t="s">
        <v>222</v>
      </c>
      <c r="C935" t="s">
        <v>166</v>
      </c>
      <c r="D935" t="s">
        <v>57</v>
      </c>
      <c r="E935" t="s">
        <v>34</v>
      </c>
      <c r="F935" t="s">
        <v>35</v>
      </c>
      <c r="G935" t="s">
        <v>16</v>
      </c>
      <c r="H935" t="s">
        <v>5138</v>
      </c>
      <c r="I935" t="s">
        <v>5139</v>
      </c>
      <c r="J935">
        <v>120842</v>
      </c>
      <c r="K935" t="s">
        <v>1987</v>
      </c>
      <c r="L935" t="s">
        <v>87</v>
      </c>
      <c r="M935" t="s">
        <v>46</v>
      </c>
      <c r="N935">
        <v>45319</v>
      </c>
      <c r="O935">
        <v>726</v>
      </c>
      <c r="P935" t="s">
        <v>29</v>
      </c>
      <c r="Q935">
        <v>6</v>
      </c>
      <c r="R935" t="s">
        <v>47</v>
      </c>
      <c r="S935" t="s">
        <v>21</v>
      </c>
      <c r="T935" t="s">
        <v>20</v>
      </c>
    </row>
    <row r="936" spans="1:20" x14ac:dyDescent="0.3">
      <c r="A936" t="s">
        <v>1988</v>
      </c>
      <c r="B936" t="s">
        <v>215</v>
      </c>
      <c r="C936" t="s">
        <v>94</v>
      </c>
      <c r="D936" t="s">
        <v>68</v>
      </c>
      <c r="E936" t="s">
        <v>126</v>
      </c>
      <c r="F936" t="s">
        <v>127</v>
      </c>
      <c r="G936" t="s">
        <v>50</v>
      </c>
      <c r="H936" t="s">
        <v>5142</v>
      </c>
      <c r="I936" t="s">
        <v>5143</v>
      </c>
      <c r="J936">
        <v>161880</v>
      </c>
      <c r="K936" t="s">
        <v>1989</v>
      </c>
      <c r="L936" t="s">
        <v>238</v>
      </c>
      <c r="M936" t="s">
        <v>19</v>
      </c>
      <c r="N936">
        <v>45638</v>
      </c>
      <c r="O936">
        <v>2758</v>
      </c>
      <c r="P936" t="s">
        <v>20</v>
      </c>
      <c r="Q936">
        <v>4</v>
      </c>
      <c r="R936" t="s">
        <v>47</v>
      </c>
      <c r="S936" t="s">
        <v>21</v>
      </c>
      <c r="T936" t="s">
        <v>29</v>
      </c>
    </row>
    <row r="937" spans="1:20" x14ac:dyDescent="0.3">
      <c r="A937" t="s">
        <v>1990</v>
      </c>
      <c r="B937" t="s">
        <v>165</v>
      </c>
      <c r="C937" t="s">
        <v>175</v>
      </c>
      <c r="D937" t="s">
        <v>57</v>
      </c>
      <c r="E937" t="s">
        <v>5131</v>
      </c>
      <c r="F937" t="s">
        <v>5125</v>
      </c>
      <c r="G937" t="s">
        <v>50</v>
      </c>
      <c r="H937" t="s">
        <v>5142</v>
      </c>
      <c r="I937" t="s">
        <v>5143</v>
      </c>
      <c r="J937">
        <v>136444</v>
      </c>
      <c r="K937" t="s">
        <v>1991</v>
      </c>
      <c r="L937" t="s">
        <v>61</v>
      </c>
      <c r="M937" t="s">
        <v>19</v>
      </c>
      <c r="N937">
        <v>45515</v>
      </c>
      <c r="O937">
        <v>1099</v>
      </c>
      <c r="P937" t="s">
        <v>20</v>
      </c>
      <c r="Q937">
        <v>4</v>
      </c>
      <c r="R937" t="s">
        <v>52</v>
      </c>
      <c r="S937" t="s">
        <v>21</v>
      </c>
      <c r="T937" t="s">
        <v>20</v>
      </c>
    </row>
    <row r="938" spans="1:20" x14ac:dyDescent="0.3">
      <c r="A938" t="s">
        <v>1992</v>
      </c>
      <c r="B938" t="s">
        <v>136</v>
      </c>
      <c r="C938" t="s">
        <v>32</v>
      </c>
      <c r="D938" t="s">
        <v>33</v>
      </c>
      <c r="E938" t="s">
        <v>5128</v>
      </c>
      <c r="F938" t="s">
        <v>5125</v>
      </c>
      <c r="G938" t="s">
        <v>36</v>
      </c>
      <c r="H938" t="s">
        <v>5136</v>
      </c>
      <c r="I938" t="s">
        <v>5137</v>
      </c>
      <c r="J938">
        <v>57132</v>
      </c>
      <c r="K938" t="s">
        <v>1993</v>
      </c>
      <c r="L938" t="s">
        <v>113</v>
      </c>
      <c r="M938" t="s">
        <v>46</v>
      </c>
      <c r="N938">
        <v>45317</v>
      </c>
      <c r="O938">
        <v>3370</v>
      </c>
      <c r="P938" t="s">
        <v>20</v>
      </c>
      <c r="Q938">
        <v>0</v>
      </c>
      <c r="R938" t="s">
        <v>40</v>
      </c>
      <c r="S938" t="s">
        <v>21</v>
      </c>
      <c r="T938" t="s">
        <v>29</v>
      </c>
    </row>
    <row r="939" spans="1:20" x14ac:dyDescent="0.3">
      <c r="A939" t="s">
        <v>1994</v>
      </c>
      <c r="B939" t="s">
        <v>63</v>
      </c>
      <c r="C939" t="s">
        <v>232</v>
      </c>
      <c r="D939" t="s">
        <v>140</v>
      </c>
      <c r="E939" t="s">
        <v>95</v>
      </c>
      <c r="F939" t="s">
        <v>96</v>
      </c>
      <c r="G939" t="s">
        <v>16</v>
      </c>
      <c r="H939" t="s">
        <v>5142</v>
      </c>
      <c r="I939" t="s">
        <v>5143</v>
      </c>
      <c r="J939">
        <v>169125</v>
      </c>
      <c r="K939" t="s">
        <v>1995</v>
      </c>
      <c r="L939" t="s">
        <v>5165</v>
      </c>
      <c r="M939" t="s">
        <v>39</v>
      </c>
      <c r="N939">
        <v>45604</v>
      </c>
      <c r="O939">
        <v>2028</v>
      </c>
      <c r="P939" t="s">
        <v>20</v>
      </c>
      <c r="Q939">
        <v>4</v>
      </c>
      <c r="R939" t="s">
        <v>5116</v>
      </c>
      <c r="S939" t="s">
        <v>21</v>
      </c>
      <c r="T939" t="s">
        <v>20</v>
      </c>
    </row>
    <row r="940" spans="1:20" x14ac:dyDescent="0.3">
      <c r="A940" t="s">
        <v>1996</v>
      </c>
      <c r="B940" t="s">
        <v>12</v>
      </c>
      <c r="C940" t="s">
        <v>185</v>
      </c>
      <c r="D940" t="s">
        <v>57</v>
      </c>
      <c r="E940" t="s">
        <v>5126</v>
      </c>
      <c r="F940" t="s">
        <v>5125</v>
      </c>
      <c r="G940" t="s">
        <v>36</v>
      </c>
      <c r="H940" t="s">
        <v>5138</v>
      </c>
      <c r="I940" t="s">
        <v>5139</v>
      </c>
      <c r="J940">
        <v>208776</v>
      </c>
      <c r="K940" t="s">
        <v>1997</v>
      </c>
      <c r="L940" t="s">
        <v>179</v>
      </c>
      <c r="M940" t="s">
        <v>46</v>
      </c>
      <c r="N940">
        <v>45675</v>
      </c>
      <c r="O940">
        <v>965</v>
      </c>
      <c r="P940" t="s">
        <v>20</v>
      </c>
      <c r="Q940">
        <v>6</v>
      </c>
      <c r="R940" t="s">
        <v>40</v>
      </c>
      <c r="S940" t="s">
        <v>21</v>
      </c>
      <c r="T940" t="s">
        <v>29</v>
      </c>
    </row>
    <row r="941" spans="1:20" x14ac:dyDescent="0.3">
      <c r="A941" t="s">
        <v>1998</v>
      </c>
      <c r="B941" t="s">
        <v>124</v>
      </c>
      <c r="C941" t="s">
        <v>121</v>
      </c>
      <c r="D941" t="s">
        <v>118</v>
      </c>
      <c r="E941" t="s">
        <v>193</v>
      </c>
      <c r="F941" t="s">
        <v>194</v>
      </c>
      <c r="G941" t="s">
        <v>36</v>
      </c>
      <c r="H941" t="s">
        <v>5142</v>
      </c>
      <c r="I941" t="s">
        <v>5143</v>
      </c>
      <c r="J941">
        <v>134769</v>
      </c>
      <c r="K941" t="s">
        <v>1999</v>
      </c>
      <c r="L941" t="s">
        <v>5165</v>
      </c>
      <c r="M941" t="s">
        <v>19</v>
      </c>
      <c r="N941">
        <v>45350</v>
      </c>
      <c r="O941">
        <v>218</v>
      </c>
      <c r="P941" t="s">
        <v>20</v>
      </c>
      <c r="Q941">
        <v>4</v>
      </c>
      <c r="R941" t="s">
        <v>76</v>
      </c>
      <c r="S941" t="s">
        <v>53</v>
      </c>
      <c r="T941" t="s">
        <v>29</v>
      </c>
    </row>
    <row r="942" spans="1:20" x14ac:dyDescent="0.3">
      <c r="A942" t="s">
        <v>2000</v>
      </c>
      <c r="B942" t="s">
        <v>322</v>
      </c>
      <c r="C942" t="s">
        <v>121</v>
      </c>
      <c r="D942" t="s">
        <v>68</v>
      </c>
      <c r="E942" t="s">
        <v>95</v>
      </c>
      <c r="F942" t="s">
        <v>96</v>
      </c>
      <c r="G942" t="s">
        <v>36</v>
      </c>
      <c r="H942" t="s">
        <v>5136</v>
      </c>
      <c r="I942" t="s">
        <v>5137</v>
      </c>
      <c r="J942">
        <v>53868</v>
      </c>
      <c r="K942" t="s">
        <v>2001</v>
      </c>
      <c r="L942" t="s">
        <v>142</v>
      </c>
      <c r="M942" t="s">
        <v>72</v>
      </c>
      <c r="N942">
        <v>45629</v>
      </c>
      <c r="O942">
        <v>973</v>
      </c>
      <c r="P942" t="s">
        <v>20</v>
      </c>
      <c r="Q942">
        <v>0</v>
      </c>
      <c r="R942" t="s">
        <v>76</v>
      </c>
      <c r="S942" t="s">
        <v>21</v>
      </c>
      <c r="T942" t="s">
        <v>20</v>
      </c>
    </row>
    <row r="943" spans="1:20" x14ac:dyDescent="0.3">
      <c r="A943" t="s">
        <v>2002</v>
      </c>
      <c r="B943" t="s">
        <v>136</v>
      </c>
      <c r="C943" t="s">
        <v>232</v>
      </c>
      <c r="D943" t="s">
        <v>68</v>
      </c>
      <c r="E943" t="s">
        <v>58</v>
      </c>
      <c r="F943" t="s">
        <v>59</v>
      </c>
      <c r="G943" t="s">
        <v>50</v>
      </c>
      <c r="H943" t="s">
        <v>5138</v>
      </c>
      <c r="I943" t="s">
        <v>5139</v>
      </c>
      <c r="J943">
        <v>231408</v>
      </c>
      <c r="K943" t="s">
        <v>2003</v>
      </c>
      <c r="L943" t="s">
        <v>113</v>
      </c>
      <c r="M943" t="s">
        <v>19</v>
      </c>
      <c r="N943">
        <v>45334</v>
      </c>
      <c r="O943">
        <v>3985</v>
      </c>
      <c r="P943" t="s">
        <v>20</v>
      </c>
      <c r="Q943">
        <v>6</v>
      </c>
      <c r="R943" t="s">
        <v>52</v>
      </c>
      <c r="S943" t="s">
        <v>53</v>
      </c>
      <c r="T943" t="s">
        <v>29</v>
      </c>
    </row>
    <row r="944" spans="1:20" x14ac:dyDescent="0.3">
      <c r="A944" t="s">
        <v>2004</v>
      </c>
      <c r="B944" t="s">
        <v>55</v>
      </c>
      <c r="C944" t="s">
        <v>219</v>
      </c>
      <c r="D944" t="s">
        <v>57</v>
      </c>
      <c r="E944" t="s">
        <v>5129</v>
      </c>
      <c r="F944" t="s">
        <v>5130</v>
      </c>
      <c r="G944" t="s">
        <v>36</v>
      </c>
      <c r="H944" t="s">
        <v>5140</v>
      </c>
      <c r="I944" t="s">
        <v>5141</v>
      </c>
      <c r="J944">
        <v>122873</v>
      </c>
      <c r="K944" t="s">
        <v>2005</v>
      </c>
      <c r="L944" t="s">
        <v>5165</v>
      </c>
      <c r="M944" t="s">
        <v>72</v>
      </c>
      <c r="N944">
        <v>45742</v>
      </c>
      <c r="O944">
        <v>262</v>
      </c>
      <c r="P944" t="s">
        <v>20</v>
      </c>
      <c r="Q944">
        <v>2</v>
      </c>
      <c r="R944" t="s">
        <v>40</v>
      </c>
      <c r="S944" t="s">
        <v>21</v>
      </c>
      <c r="T944" t="s">
        <v>29</v>
      </c>
    </row>
    <row r="945" spans="1:20" x14ac:dyDescent="0.3">
      <c r="A945" t="s">
        <v>2006</v>
      </c>
      <c r="B945" t="s">
        <v>229</v>
      </c>
      <c r="C945" t="s">
        <v>64</v>
      </c>
      <c r="D945" t="s">
        <v>44</v>
      </c>
      <c r="E945" t="s">
        <v>5128</v>
      </c>
      <c r="F945" t="s">
        <v>5125</v>
      </c>
      <c r="G945" t="s">
        <v>50</v>
      </c>
      <c r="H945" t="s">
        <v>5138</v>
      </c>
      <c r="I945" t="s">
        <v>5139</v>
      </c>
      <c r="J945">
        <v>196429</v>
      </c>
      <c r="K945" t="s">
        <v>2007</v>
      </c>
      <c r="L945" t="s">
        <v>142</v>
      </c>
      <c r="M945" t="s">
        <v>72</v>
      </c>
      <c r="N945">
        <v>45384</v>
      </c>
      <c r="O945">
        <v>3659</v>
      </c>
      <c r="P945" t="s">
        <v>20</v>
      </c>
      <c r="Q945">
        <v>6</v>
      </c>
      <c r="R945" t="s">
        <v>76</v>
      </c>
      <c r="S945" t="s">
        <v>21</v>
      </c>
      <c r="T945" t="s">
        <v>29</v>
      </c>
    </row>
    <row r="946" spans="1:20" x14ac:dyDescent="0.3">
      <c r="A946" t="s">
        <v>2008</v>
      </c>
      <c r="B946" t="s">
        <v>322</v>
      </c>
      <c r="C946" t="s">
        <v>85</v>
      </c>
      <c r="D946" t="s">
        <v>44</v>
      </c>
      <c r="E946" t="s">
        <v>34</v>
      </c>
      <c r="F946" t="s">
        <v>35</v>
      </c>
      <c r="G946" t="s">
        <v>36</v>
      </c>
      <c r="H946" t="s">
        <v>5140</v>
      </c>
      <c r="I946" t="s">
        <v>5141</v>
      </c>
      <c r="J946">
        <v>146563</v>
      </c>
      <c r="K946" t="s">
        <v>2009</v>
      </c>
      <c r="L946" t="s">
        <v>38</v>
      </c>
      <c r="M946" t="s">
        <v>19</v>
      </c>
      <c r="N946">
        <v>45492</v>
      </c>
      <c r="O946">
        <v>3246</v>
      </c>
      <c r="P946" t="s">
        <v>20</v>
      </c>
      <c r="Q946">
        <v>2</v>
      </c>
      <c r="R946" t="s">
        <v>5116</v>
      </c>
      <c r="S946" t="s">
        <v>21</v>
      </c>
      <c r="T946" t="s">
        <v>29</v>
      </c>
    </row>
    <row r="947" spans="1:20" x14ac:dyDescent="0.3">
      <c r="A947" t="s">
        <v>2010</v>
      </c>
      <c r="B947" t="s">
        <v>23</v>
      </c>
      <c r="C947" t="s">
        <v>139</v>
      </c>
      <c r="D947" t="s">
        <v>104</v>
      </c>
      <c r="E947" t="s">
        <v>95</v>
      </c>
      <c r="F947" t="s">
        <v>96</v>
      </c>
      <c r="G947" t="s">
        <v>36</v>
      </c>
      <c r="H947" t="s">
        <v>5140</v>
      </c>
      <c r="I947" t="s">
        <v>5141</v>
      </c>
      <c r="J947">
        <v>88812</v>
      </c>
      <c r="K947" t="s">
        <v>2011</v>
      </c>
      <c r="L947" t="s">
        <v>5165</v>
      </c>
      <c r="M947" t="s">
        <v>39</v>
      </c>
      <c r="N947">
        <v>45637</v>
      </c>
      <c r="O947">
        <v>754</v>
      </c>
      <c r="P947" t="s">
        <v>20</v>
      </c>
      <c r="Q947">
        <v>2</v>
      </c>
      <c r="R947" t="s">
        <v>5116</v>
      </c>
      <c r="S947" t="s">
        <v>53</v>
      </c>
      <c r="T947" t="s">
        <v>20</v>
      </c>
    </row>
    <row r="948" spans="1:20" x14ac:dyDescent="0.3">
      <c r="A948" t="s">
        <v>2012</v>
      </c>
      <c r="B948" t="s">
        <v>74</v>
      </c>
      <c r="C948" t="s">
        <v>103</v>
      </c>
      <c r="D948" t="s">
        <v>57</v>
      </c>
      <c r="E948" t="s">
        <v>5126</v>
      </c>
      <c r="F948" t="s">
        <v>5125</v>
      </c>
      <c r="G948" t="s">
        <v>36</v>
      </c>
      <c r="H948" t="s">
        <v>5138</v>
      </c>
      <c r="I948" t="s">
        <v>5139</v>
      </c>
      <c r="J948">
        <v>145081</v>
      </c>
      <c r="K948" t="s">
        <v>2013</v>
      </c>
      <c r="L948" t="s">
        <v>61</v>
      </c>
      <c r="M948" t="s">
        <v>19</v>
      </c>
      <c r="N948">
        <v>45660</v>
      </c>
      <c r="O948">
        <v>428</v>
      </c>
      <c r="P948" t="s">
        <v>20</v>
      </c>
      <c r="Q948">
        <v>6</v>
      </c>
      <c r="R948" t="s">
        <v>47</v>
      </c>
      <c r="S948" t="s">
        <v>41</v>
      </c>
      <c r="T948" t="s">
        <v>29</v>
      </c>
    </row>
    <row r="949" spans="1:20" x14ac:dyDescent="0.3">
      <c r="A949" t="s">
        <v>2014</v>
      </c>
      <c r="B949" t="s">
        <v>84</v>
      </c>
      <c r="C949" t="s">
        <v>166</v>
      </c>
      <c r="D949" t="s">
        <v>68</v>
      </c>
      <c r="E949" t="s">
        <v>14</v>
      </c>
      <c r="F949" t="s">
        <v>15</v>
      </c>
      <c r="G949" t="s">
        <v>36</v>
      </c>
      <c r="H949" t="s">
        <v>5138</v>
      </c>
      <c r="I949" t="s">
        <v>5139</v>
      </c>
      <c r="J949">
        <v>175091</v>
      </c>
      <c r="K949" t="s">
        <v>2015</v>
      </c>
      <c r="L949" t="s">
        <v>5165</v>
      </c>
      <c r="M949" t="s">
        <v>46</v>
      </c>
      <c r="N949">
        <v>45356</v>
      </c>
      <c r="O949">
        <v>943</v>
      </c>
      <c r="P949" t="s">
        <v>20</v>
      </c>
      <c r="Q949">
        <v>6</v>
      </c>
      <c r="R949" t="s">
        <v>52</v>
      </c>
      <c r="S949" t="s">
        <v>21</v>
      </c>
      <c r="T949" t="s">
        <v>29</v>
      </c>
    </row>
    <row r="950" spans="1:20" x14ac:dyDescent="0.3">
      <c r="A950" t="s">
        <v>2016</v>
      </c>
      <c r="B950" t="s">
        <v>89</v>
      </c>
      <c r="C950" t="s">
        <v>103</v>
      </c>
      <c r="D950" t="s">
        <v>25</v>
      </c>
      <c r="E950" t="s">
        <v>69</v>
      </c>
      <c r="F950" t="s">
        <v>70</v>
      </c>
      <c r="G950" t="s">
        <v>16</v>
      </c>
      <c r="H950" t="s">
        <v>5140</v>
      </c>
      <c r="I950" t="s">
        <v>5141</v>
      </c>
      <c r="J950">
        <v>109097</v>
      </c>
      <c r="K950" t="s">
        <v>2017</v>
      </c>
      <c r="L950" t="s">
        <v>5165</v>
      </c>
      <c r="M950" t="s">
        <v>19</v>
      </c>
      <c r="N950">
        <v>45586</v>
      </c>
      <c r="O950">
        <v>2412</v>
      </c>
      <c r="P950" t="s">
        <v>92</v>
      </c>
      <c r="Q950">
        <v>2</v>
      </c>
      <c r="R950" t="s">
        <v>47</v>
      </c>
      <c r="S950" t="s">
        <v>21</v>
      </c>
      <c r="T950" t="s">
        <v>20</v>
      </c>
    </row>
    <row r="951" spans="1:20" x14ac:dyDescent="0.3">
      <c r="A951" t="s">
        <v>2018</v>
      </c>
      <c r="B951" t="s">
        <v>78</v>
      </c>
      <c r="C951" t="s">
        <v>24</v>
      </c>
      <c r="D951" t="s">
        <v>118</v>
      </c>
      <c r="E951" t="s">
        <v>80</v>
      </c>
      <c r="F951" t="s">
        <v>80</v>
      </c>
      <c r="G951" t="s">
        <v>36</v>
      </c>
      <c r="H951" t="s">
        <v>5140</v>
      </c>
      <c r="I951" t="s">
        <v>5141</v>
      </c>
      <c r="J951">
        <v>114818</v>
      </c>
      <c r="K951" t="s">
        <v>2019</v>
      </c>
      <c r="L951" t="s">
        <v>5165</v>
      </c>
      <c r="M951" t="s">
        <v>72</v>
      </c>
      <c r="N951">
        <v>45347</v>
      </c>
      <c r="O951">
        <v>3771</v>
      </c>
      <c r="P951" t="s">
        <v>20</v>
      </c>
      <c r="Q951">
        <v>2</v>
      </c>
      <c r="R951" t="s">
        <v>76</v>
      </c>
      <c r="S951" t="s">
        <v>21</v>
      </c>
      <c r="T951" t="s">
        <v>29</v>
      </c>
    </row>
    <row r="952" spans="1:20" x14ac:dyDescent="0.3">
      <c r="A952" t="s">
        <v>2020</v>
      </c>
      <c r="B952" t="s">
        <v>144</v>
      </c>
      <c r="C952" t="s">
        <v>90</v>
      </c>
      <c r="D952" t="s">
        <v>5156</v>
      </c>
      <c r="E952" t="s">
        <v>5133</v>
      </c>
      <c r="F952" t="s">
        <v>5125</v>
      </c>
      <c r="G952" t="s">
        <v>50</v>
      </c>
      <c r="H952" t="s">
        <v>5140</v>
      </c>
      <c r="I952" t="s">
        <v>5141</v>
      </c>
      <c r="J952">
        <v>105223</v>
      </c>
      <c r="K952" t="s">
        <v>2021</v>
      </c>
      <c r="L952" t="s">
        <v>38</v>
      </c>
      <c r="M952" t="s">
        <v>39</v>
      </c>
      <c r="N952">
        <v>45434</v>
      </c>
      <c r="O952">
        <v>1130</v>
      </c>
      <c r="P952" t="s">
        <v>29</v>
      </c>
      <c r="Q952">
        <v>2</v>
      </c>
      <c r="R952" t="s">
        <v>76</v>
      </c>
      <c r="S952" t="s">
        <v>21</v>
      </c>
      <c r="T952" t="s">
        <v>20</v>
      </c>
    </row>
    <row r="953" spans="1:20" x14ac:dyDescent="0.3">
      <c r="A953" t="s">
        <v>2022</v>
      </c>
      <c r="B953" t="s">
        <v>89</v>
      </c>
      <c r="C953" t="s">
        <v>232</v>
      </c>
      <c r="D953" t="s">
        <v>5156</v>
      </c>
      <c r="E953" t="s">
        <v>5128</v>
      </c>
      <c r="F953" t="s">
        <v>5125</v>
      </c>
      <c r="G953" t="s">
        <v>36</v>
      </c>
      <c r="H953" t="s">
        <v>5138</v>
      </c>
      <c r="I953" t="s">
        <v>5139</v>
      </c>
      <c r="J953">
        <v>212673</v>
      </c>
      <c r="K953" t="s">
        <v>2023</v>
      </c>
      <c r="L953" t="s">
        <v>87</v>
      </c>
      <c r="M953" t="s">
        <v>39</v>
      </c>
      <c r="N953">
        <v>45356</v>
      </c>
      <c r="O953">
        <v>3423</v>
      </c>
      <c r="P953" t="s">
        <v>20</v>
      </c>
      <c r="Q953">
        <v>6</v>
      </c>
      <c r="R953" t="s">
        <v>5116</v>
      </c>
      <c r="S953" t="s">
        <v>21</v>
      </c>
      <c r="T953" t="s">
        <v>29</v>
      </c>
    </row>
    <row r="954" spans="1:20" x14ac:dyDescent="0.3">
      <c r="A954" t="s">
        <v>2024</v>
      </c>
      <c r="B954" t="s">
        <v>322</v>
      </c>
      <c r="C954" t="s">
        <v>188</v>
      </c>
      <c r="D954" t="s">
        <v>33</v>
      </c>
      <c r="E954" t="s">
        <v>26</v>
      </c>
      <c r="F954" t="s">
        <v>27</v>
      </c>
      <c r="G954" t="s">
        <v>50</v>
      </c>
      <c r="H954" t="s">
        <v>5136</v>
      </c>
      <c r="I954" t="s">
        <v>5137</v>
      </c>
      <c r="J954">
        <v>54230</v>
      </c>
      <c r="K954" t="s">
        <v>2025</v>
      </c>
      <c r="L954" t="s">
        <v>87</v>
      </c>
      <c r="M954" t="s">
        <v>46</v>
      </c>
      <c r="N954">
        <v>45610</v>
      </c>
      <c r="O954">
        <v>2862</v>
      </c>
      <c r="P954" t="s">
        <v>20</v>
      </c>
      <c r="Q954">
        <v>0</v>
      </c>
      <c r="R954" t="s">
        <v>52</v>
      </c>
      <c r="S954" t="s">
        <v>21</v>
      </c>
      <c r="T954" t="s">
        <v>20</v>
      </c>
    </row>
    <row r="955" spans="1:20" x14ac:dyDescent="0.3">
      <c r="A955" t="s">
        <v>2026</v>
      </c>
      <c r="B955" t="s">
        <v>136</v>
      </c>
      <c r="C955" t="s">
        <v>100</v>
      </c>
      <c r="D955" t="s">
        <v>104</v>
      </c>
      <c r="E955" t="s">
        <v>5128</v>
      </c>
      <c r="F955" t="s">
        <v>5125</v>
      </c>
      <c r="G955" t="s">
        <v>16</v>
      </c>
      <c r="H955" t="s">
        <v>5142</v>
      </c>
      <c r="I955" t="s">
        <v>5143</v>
      </c>
      <c r="J955">
        <v>188981</v>
      </c>
      <c r="K955" t="s">
        <v>2027</v>
      </c>
      <c r="L955" t="s">
        <v>61</v>
      </c>
      <c r="M955" t="s">
        <v>46</v>
      </c>
      <c r="N955">
        <v>45593</v>
      </c>
      <c r="O955">
        <v>3470</v>
      </c>
      <c r="P955" t="s">
        <v>20</v>
      </c>
      <c r="Q955">
        <v>4</v>
      </c>
      <c r="R955" t="s">
        <v>52</v>
      </c>
      <c r="S955" t="s">
        <v>41</v>
      </c>
      <c r="T955" t="s">
        <v>29</v>
      </c>
    </row>
    <row r="956" spans="1:20" x14ac:dyDescent="0.3">
      <c r="A956" t="s">
        <v>2028</v>
      </c>
      <c r="B956" t="s">
        <v>130</v>
      </c>
      <c r="C956" t="s">
        <v>67</v>
      </c>
      <c r="D956" t="s">
        <v>68</v>
      </c>
      <c r="E956" t="s">
        <v>5133</v>
      </c>
      <c r="F956" t="s">
        <v>5125</v>
      </c>
      <c r="G956" t="s">
        <v>16</v>
      </c>
      <c r="H956" t="s">
        <v>5136</v>
      </c>
      <c r="I956" t="s">
        <v>5137</v>
      </c>
      <c r="J956">
        <v>68964</v>
      </c>
      <c r="K956" t="s">
        <v>2029</v>
      </c>
      <c r="L956" t="s">
        <v>18</v>
      </c>
      <c r="M956" t="s">
        <v>39</v>
      </c>
      <c r="N956">
        <v>45534</v>
      </c>
      <c r="O956">
        <v>1735</v>
      </c>
      <c r="P956" t="s">
        <v>20</v>
      </c>
      <c r="Q956">
        <v>0</v>
      </c>
      <c r="R956" t="s">
        <v>52</v>
      </c>
      <c r="S956" t="s">
        <v>41</v>
      </c>
      <c r="T956" t="s">
        <v>20</v>
      </c>
    </row>
    <row r="957" spans="1:20" x14ac:dyDescent="0.3">
      <c r="A957" t="s">
        <v>2030</v>
      </c>
      <c r="B957" t="s">
        <v>12</v>
      </c>
      <c r="C957" t="s">
        <v>172</v>
      </c>
      <c r="D957" t="s">
        <v>118</v>
      </c>
      <c r="E957" t="s">
        <v>5124</v>
      </c>
      <c r="F957" t="s">
        <v>5125</v>
      </c>
      <c r="G957" t="s">
        <v>16</v>
      </c>
      <c r="H957" t="s">
        <v>5142</v>
      </c>
      <c r="I957" t="s">
        <v>5143</v>
      </c>
      <c r="J957">
        <v>180166</v>
      </c>
      <c r="K957" t="s">
        <v>2031</v>
      </c>
      <c r="L957" t="s">
        <v>5165</v>
      </c>
      <c r="M957" t="s">
        <v>19</v>
      </c>
      <c r="N957">
        <v>45320</v>
      </c>
      <c r="O957">
        <v>742</v>
      </c>
      <c r="P957" t="s">
        <v>29</v>
      </c>
      <c r="Q957">
        <v>4</v>
      </c>
      <c r="R957" t="s">
        <v>52</v>
      </c>
      <c r="S957" t="s">
        <v>41</v>
      </c>
      <c r="T957" t="s">
        <v>20</v>
      </c>
    </row>
    <row r="958" spans="1:20" x14ac:dyDescent="0.3">
      <c r="A958" t="s">
        <v>2032</v>
      </c>
      <c r="B958" t="s">
        <v>31</v>
      </c>
      <c r="C958" t="s">
        <v>232</v>
      </c>
      <c r="D958" t="s">
        <v>25</v>
      </c>
      <c r="E958" t="s">
        <v>5131</v>
      </c>
      <c r="F958" t="s">
        <v>5125</v>
      </c>
      <c r="G958" t="s">
        <v>36</v>
      </c>
      <c r="H958" t="s">
        <v>5138</v>
      </c>
      <c r="I958" t="s">
        <v>5139</v>
      </c>
      <c r="J958">
        <v>212338</v>
      </c>
      <c r="K958" t="s">
        <v>2033</v>
      </c>
      <c r="L958" t="s">
        <v>5165</v>
      </c>
      <c r="M958" t="s">
        <v>46</v>
      </c>
      <c r="N958">
        <v>45317</v>
      </c>
      <c r="O958">
        <v>2017</v>
      </c>
      <c r="P958" t="s">
        <v>20</v>
      </c>
      <c r="Q958">
        <v>6</v>
      </c>
      <c r="R958" t="s">
        <v>40</v>
      </c>
      <c r="S958" t="s">
        <v>21</v>
      </c>
      <c r="T958" t="s">
        <v>29</v>
      </c>
    </row>
    <row r="959" spans="1:20" x14ac:dyDescent="0.3">
      <c r="A959" t="s">
        <v>2034</v>
      </c>
      <c r="B959" t="s">
        <v>165</v>
      </c>
      <c r="C959" t="s">
        <v>79</v>
      </c>
      <c r="D959" t="s">
        <v>140</v>
      </c>
      <c r="E959" t="s">
        <v>5124</v>
      </c>
      <c r="F959" t="s">
        <v>5125</v>
      </c>
      <c r="G959" t="s">
        <v>50</v>
      </c>
      <c r="H959" t="s">
        <v>5142</v>
      </c>
      <c r="I959" t="s">
        <v>5143</v>
      </c>
      <c r="J959">
        <v>162332</v>
      </c>
      <c r="K959" t="s">
        <v>2035</v>
      </c>
      <c r="L959" t="s">
        <v>134</v>
      </c>
      <c r="M959" t="s">
        <v>39</v>
      </c>
      <c r="N959">
        <v>45390</v>
      </c>
      <c r="O959">
        <v>3165</v>
      </c>
      <c r="P959" t="s">
        <v>20</v>
      </c>
      <c r="Q959">
        <v>4</v>
      </c>
      <c r="R959" t="s">
        <v>40</v>
      </c>
      <c r="S959" t="s">
        <v>21</v>
      </c>
      <c r="T959" t="s">
        <v>29</v>
      </c>
    </row>
    <row r="960" spans="1:20" x14ac:dyDescent="0.3">
      <c r="A960" t="s">
        <v>2036</v>
      </c>
      <c r="B960" t="s">
        <v>229</v>
      </c>
      <c r="C960" t="s">
        <v>13</v>
      </c>
      <c r="D960" t="s">
        <v>57</v>
      </c>
      <c r="E960" t="s">
        <v>26</v>
      </c>
      <c r="F960" t="s">
        <v>27</v>
      </c>
      <c r="G960" t="s">
        <v>50</v>
      </c>
      <c r="H960" t="s">
        <v>5142</v>
      </c>
      <c r="I960" t="s">
        <v>5143</v>
      </c>
      <c r="J960">
        <v>165383</v>
      </c>
      <c r="K960" t="s">
        <v>2037</v>
      </c>
      <c r="L960" t="s">
        <v>82</v>
      </c>
      <c r="M960" t="s">
        <v>46</v>
      </c>
      <c r="N960">
        <v>45296</v>
      </c>
      <c r="O960">
        <v>1282</v>
      </c>
      <c r="P960" t="s">
        <v>20</v>
      </c>
      <c r="Q960">
        <v>4</v>
      </c>
      <c r="R960" t="s">
        <v>40</v>
      </c>
      <c r="S960" t="s">
        <v>21</v>
      </c>
      <c r="T960" t="s">
        <v>29</v>
      </c>
    </row>
    <row r="961" spans="1:20" x14ac:dyDescent="0.3">
      <c r="A961" t="s">
        <v>2038</v>
      </c>
      <c r="B961" t="s">
        <v>12</v>
      </c>
      <c r="C961" t="s">
        <v>166</v>
      </c>
      <c r="D961" t="s">
        <v>68</v>
      </c>
      <c r="E961" t="s">
        <v>95</v>
      </c>
      <c r="F961" t="s">
        <v>96</v>
      </c>
      <c r="G961" t="s">
        <v>16</v>
      </c>
      <c r="H961" t="s">
        <v>5136</v>
      </c>
      <c r="I961" t="s">
        <v>5137</v>
      </c>
      <c r="J961">
        <v>75641</v>
      </c>
      <c r="K961" t="s">
        <v>2039</v>
      </c>
      <c r="L961" t="s">
        <v>5165</v>
      </c>
      <c r="M961" t="s">
        <v>39</v>
      </c>
      <c r="N961">
        <v>45343</v>
      </c>
      <c r="O961">
        <v>255</v>
      </c>
      <c r="P961" t="s">
        <v>29</v>
      </c>
      <c r="Q961">
        <v>0</v>
      </c>
      <c r="R961" t="s">
        <v>76</v>
      </c>
      <c r="S961" t="s">
        <v>21</v>
      </c>
      <c r="T961" t="s">
        <v>20</v>
      </c>
    </row>
    <row r="962" spans="1:20" x14ac:dyDescent="0.3">
      <c r="A962" t="s">
        <v>2040</v>
      </c>
      <c r="B962" t="s">
        <v>124</v>
      </c>
      <c r="C962" t="s">
        <v>139</v>
      </c>
      <c r="D962" t="s">
        <v>5156</v>
      </c>
      <c r="E962" t="s">
        <v>152</v>
      </c>
      <c r="F962" t="s">
        <v>153</v>
      </c>
      <c r="G962" t="s">
        <v>36</v>
      </c>
      <c r="H962" t="s">
        <v>5138</v>
      </c>
      <c r="I962" t="s">
        <v>5139</v>
      </c>
      <c r="J962">
        <v>223138</v>
      </c>
      <c r="K962" t="s">
        <v>2041</v>
      </c>
      <c r="L962" t="s">
        <v>38</v>
      </c>
      <c r="M962" t="s">
        <v>72</v>
      </c>
      <c r="N962">
        <v>45578</v>
      </c>
      <c r="O962">
        <v>1837</v>
      </c>
      <c r="P962" t="s">
        <v>29</v>
      </c>
      <c r="Q962">
        <v>6</v>
      </c>
      <c r="R962" t="s">
        <v>52</v>
      </c>
      <c r="S962" t="s">
        <v>53</v>
      </c>
      <c r="T962" t="s">
        <v>20</v>
      </c>
    </row>
    <row r="963" spans="1:20" x14ac:dyDescent="0.3">
      <c r="A963" t="s">
        <v>2042</v>
      </c>
      <c r="B963" t="s">
        <v>322</v>
      </c>
      <c r="C963" t="s">
        <v>24</v>
      </c>
      <c r="D963" t="s">
        <v>33</v>
      </c>
      <c r="E963" t="s">
        <v>58</v>
      </c>
      <c r="F963" t="s">
        <v>59</v>
      </c>
      <c r="G963" t="s">
        <v>36</v>
      </c>
      <c r="H963" t="s">
        <v>5136</v>
      </c>
      <c r="I963" t="s">
        <v>5137</v>
      </c>
      <c r="J963">
        <v>86747</v>
      </c>
      <c r="K963" t="s">
        <v>2043</v>
      </c>
      <c r="L963" t="s">
        <v>82</v>
      </c>
      <c r="M963" t="s">
        <v>46</v>
      </c>
      <c r="N963">
        <v>45376</v>
      </c>
      <c r="O963">
        <v>3558</v>
      </c>
      <c r="P963" t="s">
        <v>20</v>
      </c>
      <c r="Q963">
        <v>0</v>
      </c>
      <c r="R963" t="s">
        <v>5116</v>
      </c>
      <c r="S963" t="s">
        <v>21</v>
      </c>
      <c r="T963" t="s">
        <v>29</v>
      </c>
    </row>
    <row r="964" spans="1:20" x14ac:dyDescent="0.3">
      <c r="A964" t="s">
        <v>2044</v>
      </c>
      <c r="B964" t="s">
        <v>215</v>
      </c>
      <c r="C964" t="s">
        <v>56</v>
      </c>
      <c r="D964" t="s">
        <v>167</v>
      </c>
      <c r="E964" t="s">
        <v>14</v>
      </c>
      <c r="F964" t="s">
        <v>15</v>
      </c>
      <c r="G964" t="s">
        <v>50</v>
      </c>
      <c r="H964" t="s">
        <v>5142</v>
      </c>
      <c r="I964" t="s">
        <v>5143</v>
      </c>
      <c r="J964">
        <v>155306</v>
      </c>
      <c r="K964" t="s">
        <v>2045</v>
      </c>
      <c r="L964" t="s">
        <v>5165</v>
      </c>
      <c r="M964" t="s">
        <v>39</v>
      </c>
      <c r="N964">
        <v>45381</v>
      </c>
      <c r="O964">
        <v>3274</v>
      </c>
      <c r="P964" t="s">
        <v>20</v>
      </c>
      <c r="Q964">
        <v>4</v>
      </c>
      <c r="R964" t="s">
        <v>40</v>
      </c>
      <c r="S964" t="s">
        <v>21</v>
      </c>
      <c r="T964" t="s">
        <v>20</v>
      </c>
    </row>
    <row r="965" spans="1:20" x14ac:dyDescent="0.3">
      <c r="A965" t="s">
        <v>2046</v>
      </c>
      <c r="B965" t="s">
        <v>322</v>
      </c>
      <c r="C965" t="s">
        <v>202</v>
      </c>
      <c r="D965" t="s">
        <v>57</v>
      </c>
      <c r="E965" t="s">
        <v>223</v>
      </c>
      <c r="F965" t="s">
        <v>224</v>
      </c>
      <c r="G965" t="s">
        <v>36</v>
      </c>
      <c r="H965" t="s">
        <v>5142</v>
      </c>
      <c r="I965" t="s">
        <v>5143</v>
      </c>
      <c r="J965">
        <v>169143</v>
      </c>
      <c r="K965" t="s">
        <v>2047</v>
      </c>
      <c r="L965" t="s">
        <v>238</v>
      </c>
      <c r="M965" t="s">
        <v>19</v>
      </c>
      <c r="N965">
        <v>45438</v>
      </c>
      <c r="O965">
        <v>2528</v>
      </c>
      <c r="P965" t="s">
        <v>20</v>
      </c>
      <c r="Q965">
        <v>4</v>
      </c>
      <c r="R965" t="s">
        <v>52</v>
      </c>
      <c r="S965" t="s">
        <v>21</v>
      </c>
      <c r="T965" t="s">
        <v>20</v>
      </c>
    </row>
    <row r="966" spans="1:20" x14ac:dyDescent="0.3">
      <c r="A966" t="s">
        <v>2048</v>
      </c>
      <c r="B966" t="s">
        <v>63</v>
      </c>
      <c r="C966" t="s">
        <v>185</v>
      </c>
      <c r="D966" t="s">
        <v>118</v>
      </c>
      <c r="E966" t="s">
        <v>34</v>
      </c>
      <c r="F966" t="s">
        <v>35</v>
      </c>
      <c r="G966" t="s">
        <v>50</v>
      </c>
      <c r="H966" t="s">
        <v>5138</v>
      </c>
      <c r="I966" t="s">
        <v>5139</v>
      </c>
      <c r="J966">
        <v>196769</v>
      </c>
      <c r="K966" t="s">
        <v>2049</v>
      </c>
      <c r="L966" t="s">
        <v>61</v>
      </c>
      <c r="M966" t="s">
        <v>19</v>
      </c>
      <c r="N966">
        <v>45495</v>
      </c>
      <c r="O966">
        <v>2816</v>
      </c>
      <c r="P966" t="s">
        <v>29</v>
      </c>
      <c r="Q966">
        <v>6</v>
      </c>
      <c r="R966" t="s">
        <v>5116</v>
      </c>
      <c r="S966" t="s">
        <v>53</v>
      </c>
      <c r="T966" t="s">
        <v>29</v>
      </c>
    </row>
    <row r="967" spans="1:20" x14ac:dyDescent="0.3">
      <c r="A967" t="s">
        <v>2050</v>
      </c>
      <c r="B967" t="s">
        <v>144</v>
      </c>
      <c r="C967" t="s">
        <v>197</v>
      </c>
      <c r="D967" t="s">
        <v>5156</v>
      </c>
      <c r="E967" t="s">
        <v>5128</v>
      </c>
      <c r="F967" t="s">
        <v>5125</v>
      </c>
      <c r="G967" t="s">
        <v>36</v>
      </c>
      <c r="H967" t="s">
        <v>5136</v>
      </c>
      <c r="I967" t="s">
        <v>5137</v>
      </c>
      <c r="J967">
        <v>88145</v>
      </c>
      <c r="K967" t="s">
        <v>2051</v>
      </c>
      <c r="L967" t="s">
        <v>5165</v>
      </c>
      <c r="M967" t="s">
        <v>46</v>
      </c>
      <c r="N967">
        <v>45490</v>
      </c>
      <c r="O967">
        <v>1341</v>
      </c>
      <c r="P967" t="s">
        <v>20</v>
      </c>
      <c r="Q967">
        <v>0</v>
      </c>
      <c r="R967" t="s">
        <v>76</v>
      </c>
      <c r="S967" t="s">
        <v>53</v>
      </c>
      <c r="T967" t="s">
        <v>29</v>
      </c>
    </row>
    <row r="968" spans="1:20" x14ac:dyDescent="0.3">
      <c r="A968" t="s">
        <v>2052</v>
      </c>
      <c r="B968" t="s">
        <v>84</v>
      </c>
      <c r="C968" t="s">
        <v>56</v>
      </c>
      <c r="D968" t="s">
        <v>44</v>
      </c>
      <c r="E968" t="s">
        <v>26</v>
      </c>
      <c r="F968" t="s">
        <v>27</v>
      </c>
      <c r="G968" t="s">
        <v>50</v>
      </c>
      <c r="H968" t="s">
        <v>5142</v>
      </c>
      <c r="I968" t="s">
        <v>5143</v>
      </c>
      <c r="J968">
        <v>131737</v>
      </c>
      <c r="K968" t="s">
        <v>2053</v>
      </c>
      <c r="L968" t="s">
        <v>142</v>
      </c>
      <c r="M968" t="s">
        <v>39</v>
      </c>
      <c r="N968">
        <v>45298</v>
      </c>
      <c r="O968">
        <v>1814</v>
      </c>
      <c r="P968" t="s">
        <v>20</v>
      </c>
      <c r="Q968">
        <v>4</v>
      </c>
      <c r="R968" t="s">
        <v>40</v>
      </c>
      <c r="S968" t="s">
        <v>21</v>
      </c>
      <c r="T968" t="s">
        <v>29</v>
      </c>
    </row>
    <row r="969" spans="1:20" x14ac:dyDescent="0.3">
      <c r="A969" t="s">
        <v>2054</v>
      </c>
      <c r="B969" t="s">
        <v>322</v>
      </c>
      <c r="C969" t="s">
        <v>79</v>
      </c>
      <c r="D969" t="s">
        <v>167</v>
      </c>
      <c r="E969" t="s">
        <v>95</v>
      </c>
      <c r="F969" t="s">
        <v>96</v>
      </c>
      <c r="G969" t="s">
        <v>16</v>
      </c>
      <c r="H969" t="s">
        <v>5142</v>
      </c>
      <c r="I969" t="s">
        <v>5143</v>
      </c>
      <c r="J969">
        <v>198625</v>
      </c>
      <c r="K969" t="s">
        <v>2055</v>
      </c>
      <c r="L969" t="s">
        <v>87</v>
      </c>
      <c r="M969" t="s">
        <v>46</v>
      </c>
      <c r="N969">
        <v>45422</v>
      </c>
      <c r="O969">
        <v>2478</v>
      </c>
      <c r="P969" t="s">
        <v>20</v>
      </c>
      <c r="Q969">
        <v>4</v>
      </c>
      <c r="R969" t="s">
        <v>52</v>
      </c>
      <c r="S969" t="s">
        <v>53</v>
      </c>
      <c r="T969" t="s">
        <v>20</v>
      </c>
    </row>
    <row r="970" spans="1:20" x14ac:dyDescent="0.3">
      <c r="A970" t="s">
        <v>2056</v>
      </c>
      <c r="B970" t="s">
        <v>144</v>
      </c>
      <c r="C970" t="s">
        <v>100</v>
      </c>
      <c r="D970" t="s">
        <v>140</v>
      </c>
      <c r="E970" t="s">
        <v>26</v>
      </c>
      <c r="F970" t="s">
        <v>27</v>
      </c>
      <c r="G970" t="s">
        <v>36</v>
      </c>
      <c r="H970" t="s">
        <v>5142</v>
      </c>
      <c r="I970" t="s">
        <v>5143</v>
      </c>
      <c r="J970">
        <v>148915</v>
      </c>
      <c r="K970" t="s">
        <v>2057</v>
      </c>
      <c r="L970" t="s">
        <v>87</v>
      </c>
      <c r="M970" t="s">
        <v>39</v>
      </c>
      <c r="N970">
        <v>45355</v>
      </c>
      <c r="O970">
        <v>2411</v>
      </c>
      <c r="P970" t="s">
        <v>20</v>
      </c>
      <c r="Q970">
        <v>4</v>
      </c>
      <c r="R970" t="s">
        <v>47</v>
      </c>
      <c r="S970" t="s">
        <v>53</v>
      </c>
      <c r="T970" t="s">
        <v>20</v>
      </c>
    </row>
    <row r="971" spans="1:20" x14ac:dyDescent="0.3">
      <c r="A971" t="s">
        <v>2058</v>
      </c>
      <c r="B971" t="s">
        <v>78</v>
      </c>
      <c r="C971" t="s">
        <v>43</v>
      </c>
      <c r="D971" t="s">
        <v>118</v>
      </c>
      <c r="E971" t="s">
        <v>223</v>
      </c>
      <c r="F971" t="s">
        <v>224</v>
      </c>
      <c r="G971" t="s">
        <v>50</v>
      </c>
      <c r="H971" t="s">
        <v>5136</v>
      </c>
      <c r="I971" t="s">
        <v>5137</v>
      </c>
      <c r="J971">
        <v>51972</v>
      </c>
      <c r="K971" t="s">
        <v>2059</v>
      </c>
      <c r="L971" t="s">
        <v>5165</v>
      </c>
      <c r="M971" t="s">
        <v>19</v>
      </c>
      <c r="N971">
        <v>45453</v>
      </c>
      <c r="O971">
        <v>159</v>
      </c>
      <c r="P971" t="s">
        <v>20</v>
      </c>
      <c r="Q971">
        <v>0</v>
      </c>
      <c r="R971" t="s">
        <v>76</v>
      </c>
      <c r="S971" t="s">
        <v>21</v>
      </c>
      <c r="T971" t="s">
        <v>20</v>
      </c>
    </row>
    <row r="972" spans="1:20" x14ac:dyDescent="0.3">
      <c r="A972" t="s">
        <v>2060</v>
      </c>
      <c r="B972" t="s">
        <v>31</v>
      </c>
      <c r="C972" t="s">
        <v>202</v>
      </c>
      <c r="D972" t="s">
        <v>44</v>
      </c>
      <c r="E972" t="s">
        <v>14</v>
      </c>
      <c r="F972" t="s">
        <v>15</v>
      </c>
      <c r="G972" t="s">
        <v>16</v>
      </c>
      <c r="H972" t="s">
        <v>5140</v>
      </c>
      <c r="I972" t="s">
        <v>5141</v>
      </c>
      <c r="J972">
        <v>112536</v>
      </c>
      <c r="K972" t="s">
        <v>2061</v>
      </c>
      <c r="L972" t="s">
        <v>142</v>
      </c>
      <c r="M972" t="s">
        <v>72</v>
      </c>
      <c r="N972">
        <v>45396</v>
      </c>
      <c r="O972">
        <v>133</v>
      </c>
      <c r="P972" t="s">
        <v>20</v>
      </c>
      <c r="Q972">
        <v>2</v>
      </c>
      <c r="R972" t="s">
        <v>47</v>
      </c>
      <c r="S972" t="s">
        <v>41</v>
      </c>
      <c r="T972" t="s">
        <v>20</v>
      </c>
    </row>
    <row r="973" spans="1:20" x14ac:dyDescent="0.3">
      <c r="A973" t="s">
        <v>2062</v>
      </c>
      <c r="B973" t="s">
        <v>215</v>
      </c>
      <c r="C973" t="s">
        <v>85</v>
      </c>
      <c r="D973" t="s">
        <v>118</v>
      </c>
      <c r="E973" t="s">
        <v>193</v>
      </c>
      <c r="F973" t="s">
        <v>194</v>
      </c>
      <c r="G973" t="s">
        <v>36</v>
      </c>
      <c r="H973" t="s">
        <v>5136</v>
      </c>
      <c r="I973" t="s">
        <v>5137</v>
      </c>
      <c r="J973">
        <v>61418</v>
      </c>
      <c r="K973" t="s">
        <v>2063</v>
      </c>
      <c r="L973" t="s">
        <v>61</v>
      </c>
      <c r="M973" t="s">
        <v>39</v>
      </c>
      <c r="N973">
        <v>45400</v>
      </c>
      <c r="O973">
        <v>268</v>
      </c>
      <c r="P973" t="s">
        <v>20</v>
      </c>
      <c r="Q973">
        <v>0</v>
      </c>
      <c r="R973" t="s">
        <v>52</v>
      </c>
      <c r="S973" t="s">
        <v>21</v>
      </c>
      <c r="T973" t="s">
        <v>29</v>
      </c>
    </row>
    <row r="974" spans="1:20" x14ac:dyDescent="0.3">
      <c r="A974" t="s">
        <v>2064</v>
      </c>
      <c r="B974" t="s">
        <v>222</v>
      </c>
      <c r="C974" t="s">
        <v>197</v>
      </c>
      <c r="D974" t="s">
        <v>167</v>
      </c>
      <c r="E974" t="s">
        <v>69</v>
      </c>
      <c r="F974" t="s">
        <v>70</v>
      </c>
      <c r="G974" t="s">
        <v>50</v>
      </c>
      <c r="H974" t="s">
        <v>5136</v>
      </c>
      <c r="I974" t="s">
        <v>5137</v>
      </c>
      <c r="J974">
        <v>80592</v>
      </c>
      <c r="K974" t="s">
        <v>2065</v>
      </c>
      <c r="L974" t="s">
        <v>113</v>
      </c>
      <c r="M974" t="s">
        <v>46</v>
      </c>
      <c r="N974">
        <v>45597</v>
      </c>
      <c r="O974">
        <v>1192</v>
      </c>
      <c r="P974" t="s">
        <v>29</v>
      </c>
      <c r="Q974">
        <v>0</v>
      </c>
      <c r="R974" t="s">
        <v>47</v>
      </c>
      <c r="S974" t="s">
        <v>53</v>
      </c>
      <c r="T974" t="s">
        <v>29</v>
      </c>
    </row>
    <row r="975" spans="1:20" x14ac:dyDescent="0.3">
      <c r="A975" t="s">
        <v>2066</v>
      </c>
      <c r="B975" t="s">
        <v>229</v>
      </c>
      <c r="C975" t="s">
        <v>90</v>
      </c>
      <c r="D975" t="s">
        <v>118</v>
      </c>
      <c r="E975" t="s">
        <v>5128</v>
      </c>
      <c r="F975" t="s">
        <v>5125</v>
      </c>
      <c r="G975" t="s">
        <v>36</v>
      </c>
      <c r="H975" t="s">
        <v>5140</v>
      </c>
      <c r="I975" t="s">
        <v>5141</v>
      </c>
      <c r="J975">
        <v>97078</v>
      </c>
      <c r="K975" t="s">
        <v>2067</v>
      </c>
      <c r="L975" t="s">
        <v>87</v>
      </c>
      <c r="M975" t="s">
        <v>19</v>
      </c>
      <c r="N975">
        <v>45678</v>
      </c>
      <c r="O975">
        <v>1683</v>
      </c>
      <c r="P975" t="s">
        <v>92</v>
      </c>
      <c r="Q975">
        <v>2</v>
      </c>
      <c r="R975" t="s">
        <v>76</v>
      </c>
      <c r="S975" t="s">
        <v>21</v>
      </c>
      <c r="T975" t="s">
        <v>20</v>
      </c>
    </row>
    <row r="976" spans="1:20" x14ac:dyDescent="0.3">
      <c r="A976" t="s">
        <v>2068</v>
      </c>
      <c r="B976" t="s">
        <v>12</v>
      </c>
      <c r="C976" t="s">
        <v>117</v>
      </c>
      <c r="D976" t="s">
        <v>167</v>
      </c>
      <c r="E976" t="s">
        <v>5132</v>
      </c>
      <c r="F976" t="s">
        <v>5125</v>
      </c>
      <c r="G976" t="s">
        <v>16</v>
      </c>
      <c r="H976" t="s">
        <v>5136</v>
      </c>
      <c r="I976" t="s">
        <v>5137</v>
      </c>
      <c r="J976">
        <v>64378</v>
      </c>
      <c r="K976" t="s">
        <v>2069</v>
      </c>
      <c r="L976" t="s">
        <v>61</v>
      </c>
      <c r="M976" t="s">
        <v>39</v>
      </c>
      <c r="N976">
        <v>45687</v>
      </c>
      <c r="O976">
        <v>3874</v>
      </c>
      <c r="P976" t="s">
        <v>20</v>
      </c>
      <c r="Q976">
        <v>0</v>
      </c>
      <c r="R976" t="s">
        <v>76</v>
      </c>
      <c r="S976" t="s">
        <v>21</v>
      </c>
      <c r="T976" t="s">
        <v>20</v>
      </c>
    </row>
    <row r="977" spans="1:20" x14ac:dyDescent="0.3">
      <c r="A977" t="s">
        <v>2070</v>
      </c>
      <c r="B977" t="s">
        <v>229</v>
      </c>
      <c r="C977" t="s">
        <v>172</v>
      </c>
      <c r="D977" t="s">
        <v>44</v>
      </c>
      <c r="E977" t="s">
        <v>5127</v>
      </c>
      <c r="F977" t="s">
        <v>5125</v>
      </c>
      <c r="G977" t="s">
        <v>16</v>
      </c>
      <c r="H977" t="s">
        <v>5136</v>
      </c>
      <c r="I977" t="s">
        <v>5137</v>
      </c>
      <c r="J977">
        <v>50000</v>
      </c>
      <c r="K977" t="s">
        <v>2071</v>
      </c>
      <c r="L977" t="s">
        <v>38</v>
      </c>
      <c r="M977" t="s">
        <v>39</v>
      </c>
      <c r="N977">
        <v>45634</v>
      </c>
      <c r="O977">
        <v>1165</v>
      </c>
      <c r="P977" t="s">
        <v>29</v>
      </c>
      <c r="Q977">
        <v>0</v>
      </c>
      <c r="R977" t="s">
        <v>52</v>
      </c>
      <c r="S977" t="s">
        <v>21</v>
      </c>
      <c r="T977" t="s">
        <v>29</v>
      </c>
    </row>
    <row r="978" spans="1:20" x14ac:dyDescent="0.3">
      <c r="A978" t="s">
        <v>2072</v>
      </c>
      <c r="B978" t="s">
        <v>78</v>
      </c>
      <c r="C978" t="s">
        <v>172</v>
      </c>
      <c r="D978" t="s">
        <v>68</v>
      </c>
      <c r="E978" t="s">
        <v>209</v>
      </c>
      <c r="F978" t="s">
        <v>210</v>
      </c>
      <c r="G978" t="s">
        <v>36</v>
      </c>
      <c r="H978" t="s">
        <v>5142</v>
      </c>
      <c r="I978" t="s">
        <v>5143</v>
      </c>
      <c r="J978">
        <v>137787</v>
      </c>
      <c r="K978" t="s">
        <v>2073</v>
      </c>
      <c r="L978" t="s">
        <v>238</v>
      </c>
      <c r="M978" t="s">
        <v>19</v>
      </c>
      <c r="N978">
        <v>45559</v>
      </c>
      <c r="O978">
        <v>2982</v>
      </c>
      <c r="P978" t="s">
        <v>20</v>
      </c>
      <c r="Q978">
        <v>4</v>
      </c>
      <c r="R978" t="s">
        <v>76</v>
      </c>
      <c r="S978" t="s">
        <v>21</v>
      </c>
      <c r="T978" t="s">
        <v>29</v>
      </c>
    </row>
    <row r="979" spans="1:20" x14ac:dyDescent="0.3">
      <c r="A979" t="s">
        <v>2074</v>
      </c>
      <c r="B979" t="s">
        <v>165</v>
      </c>
      <c r="C979" t="s">
        <v>43</v>
      </c>
      <c r="D979" t="s">
        <v>57</v>
      </c>
      <c r="E979" t="s">
        <v>69</v>
      </c>
      <c r="F979" t="s">
        <v>70</v>
      </c>
      <c r="G979" t="s">
        <v>16</v>
      </c>
      <c r="H979" t="s">
        <v>5136</v>
      </c>
      <c r="I979" t="s">
        <v>5137</v>
      </c>
      <c r="J979">
        <v>50000</v>
      </c>
      <c r="K979" t="s">
        <v>2075</v>
      </c>
      <c r="L979" t="s">
        <v>5165</v>
      </c>
      <c r="M979" t="s">
        <v>39</v>
      </c>
      <c r="N979">
        <v>45513</v>
      </c>
      <c r="O979">
        <v>1501</v>
      </c>
      <c r="P979" t="s">
        <v>29</v>
      </c>
      <c r="Q979">
        <v>0</v>
      </c>
      <c r="R979" t="s">
        <v>76</v>
      </c>
      <c r="S979" t="s">
        <v>21</v>
      </c>
      <c r="T979" t="s">
        <v>29</v>
      </c>
    </row>
    <row r="980" spans="1:20" x14ac:dyDescent="0.3">
      <c r="A980" t="s">
        <v>2076</v>
      </c>
      <c r="B980" t="s">
        <v>63</v>
      </c>
      <c r="C980" t="s">
        <v>64</v>
      </c>
      <c r="D980" t="s">
        <v>167</v>
      </c>
      <c r="E980" t="s">
        <v>5126</v>
      </c>
      <c r="F980" t="s">
        <v>5125</v>
      </c>
      <c r="G980" t="s">
        <v>16</v>
      </c>
      <c r="H980" t="s">
        <v>5138</v>
      </c>
      <c r="I980" t="s">
        <v>5139</v>
      </c>
      <c r="J980">
        <v>142979</v>
      </c>
      <c r="K980" t="s">
        <v>2077</v>
      </c>
      <c r="L980" t="s">
        <v>5165</v>
      </c>
      <c r="M980" t="s">
        <v>46</v>
      </c>
      <c r="N980">
        <v>45596</v>
      </c>
      <c r="O980">
        <v>2374</v>
      </c>
      <c r="P980" t="s">
        <v>20</v>
      </c>
      <c r="Q980">
        <v>6</v>
      </c>
      <c r="R980" t="s">
        <v>47</v>
      </c>
      <c r="S980" t="s">
        <v>21</v>
      </c>
      <c r="T980" t="s">
        <v>29</v>
      </c>
    </row>
    <row r="981" spans="1:20" x14ac:dyDescent="0.3">
      <c r="A981" t="s">
        <v>2078</v>
      </c>
      <c r="B981" t="s">
        <v>63</v>
      </c>
      <c r="C981" t="s">
        <v>94</v>
      </c>
      <c r="D981" t="s">
        <v>57</v>
      </c>
      <c r="E981" t="s">
        <v>193</v>
      </c>
      <c r="F981" t="s">
        <v>194</v>
      </c>
      <c r="G981" t="s">
        <v>16</v>
      </c>
      <c r="H981" t="s">
        <v>5136</v>
      </c>
      <c r="I981" t="s">
        <v>5137</v>
      </c>
      <c r="J981">
        <v>79581</v>
      </c>
      <c r="K981" t="s">
        <v>2079</v>
      </c>
      <c r="L981" t="s">
        <v>38</v>
      </c>
      <c r="M981" t="s">
        <v>46</v>
      </c>
      <c r="N981">
        <v>45363</v>
      </c>
      <c r="O981">
        <v>2902</v>
      </c>
      <c r="P981" t="s">
        <v>29</v>
      </c>
      <c r="Q981">
        <v>0</v>
      </c>
      <c r="R981" t="s">
        <v>47</v>
      </c>
      <c r="S981" t="s">
        <v>21</v>
      </c>
      <c r="T981" t="s">
        <v>29</v>
      </c>
    </row>
    <row r="982" spans="1:20" x14ac:dyDescent="0.3">
      <c r="A982" t="s">
        <v>2080</v>
      </c>
      <c r="B982" t="s">
        <v>215</v>
      </c>
      <c r="C982" t="s">
        <v>13</v>
      </c>
      <c r="D982" t="s">
        <v>25</v>
      </c>
      <c r="E982" t="s">
        <v>5129</v>
      </c>
      <c r="F982" t="s">
        <v>5130</v>
      </c>
      <c r="G982" t="s">
        <v>36</v>
      </c>
      <c r="H982" t="s">
        <v>5136</v>
      </c>
      <c r="I982" t="s">
        <v>5137</v>
      </c>
      <c r="J982">
        <v>79901</v>
      </c>
      <c r="K982" t="s">
        <v>2081</v>
      </c>
      <c r="L982" t="s">
        <v>5165</v>
      </c>
      <c r="M982" t="s">
        <v>19</v>
      </c>
      <c r="N982">
        <v>45700</v>
      </c>
      <c r="O982">
        <v>2480</v>
      </c>
      <c r="P982" t="s">
        <v>92</v>
      </c>
      <c r="Q982">
        <v>0</v>
      </c>
      <c r="R982" t="s">
        <v>40</v>
      </c>
      <c r="S982" t="s">
        <v>21</v>
      </c>
      <c r="T982" t="s">
        <v>29</v>
      </c>
    </row>
    <row r="983" spans="1:20" x14ac:dyDescent="0.3">
      <c r="A983" t="s">
        <v>2082</v>
      </c>
      <c r="B983" t="s">
        <v>222</v>
      </c>
      <c r="C983" t="s">
        <v>219</v>
      </c>
      <c r="D983" t="s">
        <v>57</v>
      </c>
      <c r="E983" t="s">
        <v>5133</v>
      </c>
      <c r="F983" t="s">
        <v>5125</v>
      </c>
      <c r="G983" t="s">
        <v>16</v>
      </c>
      <c r="H983" t="s">
        <v>5142</v>
      </c>
      <c r="I983" t="s">
        <v>5143</v>
      </c>
      <c r="J983">
        <v>161487</v>
      </c>
      <c r="K983" t="s">
        <v>2083</v>
      </c>
      <c r="L983" t="s">
        <v>5165</v>
      </c>
      <c r="M983" t="s">
        <v>39</v>
      </c>
      <c r="N983">
        <v>45359</v>
      </c>
      <c r="O983">
        <v>1316</v>
      </c>
      <c r="P983" t="s">
        <v>20</v>
      </c>
      <c r="Q983">
        <v>4</v>
      </c>
      <c r="R983" t="s">
        <v>76</v>
      </c>
      <c r="S983" t="s">
        <v>21</v>
      </c>
      <c r="T983" t="s">
        <v>20</v>
      </c>
    </row>
    <row r="984" spans="1:20" x14ac:dyDescent="0.3">
      <c r="A984" t="s">
        <v>2084</v>
      </c>
      <c r="B984" t="s">
        <v>55</v>
      </c>
      <c r="C984" t="s">
        <v>79</v>
      </c>
      <c r="D984" t="s">
        <v>167</v>
      </c>
      <c r="E984" t="s">
        <v>5133</v>
      </c>
      <c r="F984" t="s">
        <v>5125</v>
      </c>
      <c r="G984" t="s">
        <v>36</v>
      </c>
      <c r="H984" t="s">
        <v>5140</v>
      </c>
      <c r="I984" t="s">
        <v>5141</v>
      </c>
      <c r="J984">
        <v>90853</v>
      </c>
      <c r="K984" t="s">
        <v>2085</v>
      </c>
      <c r="L984" t="s">
        <v>5165</v>
      </c>
      <c r="M984" t="s">
        <v>46</v>
      </c>
      <c r="N984">
        <v>45292</v>
      </c>
      <c r="O984">
        <v>1891</v>
      </c>
      <c r="P984" t="s">
        <v>29</v>
      </c>
      <c r="Q984">
        <v>2</v>
      </c>
      <c r="R984" t="s">
        <v>47</v>
      </c>
      <c r="S984" t="s">
        <v>21</v>
      </c>
      <c r="T984" t="s">
        <v>20</v>
      </c>
    </row>
    <row r="985" spans="1:20" x14ac:dyDescent="0.3">
      <c r="A985" t="s">
        <v>2086</v>
      </c>
      <c r="B985" t="s">
        <v>215</v>
      </c>
      <c r="C985" t="s">
        <v>232</v>
      </c>
      <c r="D985" t="s">
        <v>68</v>
      </c>
      <c r="E985" t="s">
        <v>126</v>
      </c>
      <c r="F985" t="s">
        <v>127</v>
      </c>
      <c r="G985" t="s">
        <v>36</v>
      </c>
      <c r="H985" t="s">
        <v>5140</v>
      </c>
      <c r="I985" t="s">
        <v>5141</v>
      </c>
      <c r="J985">
        <v>109055</v>
      </c>
      <c r="K985" t="s">
        <v>2087</v>
      </c>
      <c r="L985" t="s">
        <v>5165</v>
      </c>
      <c r="M985" t="s">
        <v>19</v>
      </c>
      <c r="N985">
        <v>45746</v>
      </c>
      <c r="O985">
        <v>2947</v>
      </c>
      <c r="P985" t="s">
        <v>20</v>
      </c>
      <c r="Q985">
        <v>2</v>
      </c>
      <c r="R985" t="s">
        <v>5116</v>
      </c>
      <c r="S985" t="s">
        <v>21</v>
      </c>
      <c r="T985" t="s">
        <v>29</v>
      </c>
    </row>
    <row r="986" spans="1:20" x14ac:dyDescent="0.3">
      <c r="A986" t="s">
        <v>2088</v>
      </c>
      <c r="B986" t="s">
        <v>130</v>
      </c>
      <c r="C986" t="s">
        <v>219</v>
      </c>
      <c r="D986" t="s">
        <v>5156</v>
      </c>
      <c r="E986" t="s">
        <v>5132</v>
      </c>
      <c r="F986" t="s">
        <v>5125</v>
      </c>
      <c r="G986" t="s">
        <v>36</v>
      </c>
      <c r="H986" t="s">
        <v>5142</v>
      </c>
      <c r="I986" t="s">
        <v>5143</v>
      </c>
      <c r="J986">
        <v>149902</v>
      </c>
      <c r="K986" t="s">
        <v>2089</v>
      </c>
      <c r="L986" t="s">
        <v>18</v>
      </c>
      <c r="M986" t="s">
        <v>46</v>
      </c>
      <c r="N986">
        <v>45322</v>
      </c>
      <c r="O986">
        <v>3638</v>
      </c>
      <c r="P986" t="s">
        <v>20</v>
      </c>
      <c r="Q986">
        <v>4</v>
      </c>
      <c r="R986" t="s">
        <v>5116</v>
      </c>
      <c r="S986" t="s">
        <v>21</v>
      </c>
      <c r="T986" t="s">
        <v>29</v>
      </c>
    </row>
    <row r="987" spans="1:20" x14ac:dyDescent="0.3">
      <c r="A987" t="s">
        <v>2090</v>
      </c>
      <c r="B987" t="s">
        <v>222</v>
      </c>
      <c r="C987" t="s">
        <v>151</v>
      </c>
      <c r="D987" t="s">
        <v>140</v>
      </c>
      <c r="E987" t="s">
        <v>26</v>
      </c>
      <c r="F987" t="s">
        <v>27</v>
      </c>
      <c r="G987" t="s">
        <v>50</v>
      </c>
      <c r="H987" t="s">
        <v>5142</v>
      </c>
      <c r="I987" t="s">
        <v>5143</v>
      </c>
      <c r="J987">
        <v>118724</v>
      </c>
      <c r="K987" t="s">
        <v>2091</v>
      </c>
      <c r="L987" t="s">
        <v>142</v>
      </c>
      <c r="M987" t="s">
        <v>46</v>
      </c>
      <c r="N987">
        <v>45733</v>
      </c>
      <c r="O987">
        <v>28</v>
      </c>
      <c r="P987" t="s">
        <v>92</v>
      </c>
      <c r="Q987">
        <v>4</v>
      </c>
      <c r="R987" t="s">
        <v>40</v>
      </c>
      <c r="S987" t="s">
        <v>53</v>
      </c>
      <c r="T987" t="s">
        <v>20</v>
      </c>
    </row>
    <row r="988" spans="1:20" x14ac:dyDescent="0.3">
      <c r="A988" t="s">
        <v>2092</v>
      </c>
      <c r="B988" t="s">
        <v>63</v>
      </c>
      <c r="C988" t="s">
        <v>32</v>
      </c>
      <c r="D988" t="s">
        <v>68</v>
      </c>
      <c r="E988" t="s">
        <v>126</v>
      </c>
      <c r="F988" t="s">
        <v>127</v>
      </c>
      <c r="G988" t="s">
        <v>36</v>
      </c>
      <c r="H988" t="s">
        <v>5142</v>
      </c>
      <c r="I988" t="s">
        <v>5143</v>
      </c>
      <c r="J988">
        <v>190591</v>
      </c>
      <c r="K988" t="s">
        <v>2093</v>
      </c>
      <c r="L988" t="s">
        <v>134</v>
      </c>
      <c r="M988" t="s">
        <v>46</v>
      </c>
      <c r="N988">
        <v>45649</v>
      </c>
      <c r="O988">
        <v>1421</v>
      </c>
      <c r="P988" t="s">
        <v>29</v>
      </c>
      <c r="Q988">
        <v>4</v>
      </c>
      <c r="R988" t="s">
        <v>40</v>
      </c>
      <c r="S988" t="s">
        <v>21</v>
      </c>
      <c r="T988" t="s">
        <v>20</v>
      </c>
    </row>
    <row r="989" spans="1:20" x14ac:dyDescent="0.3">
      <c r="A989" t="s">
        <v>2094</v>
      </c>
      <c r="B989" t="s">
        <v>12</v>
      </c>
      <c r="C989" t="s">
        <v>125</v>
      </c>
      <c r="D989" t="s">
        <v>25</v>
      </c>
      <c r="E989" t="s">
        <v>5128</v>
      </c>
      <c r="F989" t="s">
        <v>5125</v>
      </c>
      <c r="G989" t="s">
        <v>50</v>
      </c>
      <c r="H989" t="s">
        <v>5138</v>
      </c>
      <c r="I989" t="s">
        <v>5139</v>
      </c>
      <c r="J989">
        <v>231585</v>
      </c>
      <c r="K989" t="s">
        <v>2095</v>
      </c>
      <c r="L989" t="s">
        <v>142</v>
      </c>
      <c r="M989" t="s">
        <v>46</v>
      </c>
      <c r="N989">
        <v>45698</v>
      </c>
      <c r="O989">
        <v>1450</v>
      </c>
      <c r="P989" t="s">
        <v>20</v>
      </c>
      <c r="Q989">
        <v>6</v>
      </c>
      <c r="R989" t="s">
        <v>76</v>
      </c>
      <c r="S989" t="s">
        <v>21</v>
      </c>
      <c r="T989" t="s">
        <v>20</v>
      </c>
    </row>
    <row r="990" spans="1:20" x14ac:dyDescent="0.3">
      <c r="A990" t="s">
        <v>2096</v>
      </c>
      <c r="B990" t="s">
        <v>63</v>
      </c>
      <c r="C990" t="s">
        <v>24</v>
      </c>
      <c r="D990" t="s">
        <v>118</v>
      </c>
      <c r="E990" t="s">
        <v>223</v>
      </c>
      <c r="F990" t="s">
        <v>224</v>
      </c>
      <c r="G990" t="s">
        <v>16</v>
      </c>
      <c r="H990" t="s">
        <v>5138</v>
      </c>
      <c r="I990" t="s">
        <v>5139</v>
      </c>
      <c r="J990">
        <v>192045</v>
      </c>
      <c r="K990" t="s">
        <v>2097</v>
      </c>
      <c r="L990" t="s">
        <v>5165</v>
      </c>
      <c r="M990" t="s">
        <v>46</v>
      </c>
      <c r="N990">
        <v>45743</v>
      </c>
      <c r="O990">
        <v>1671</v>
      </c>
      <c r="P990" t="s">
        <v>92</v>
      </c>
      <c r="Q990">
        <v>6</v>
      </c>
      <c r="R990" t="s">
        <v>76</v>
      </c>
      <c r="S990" t="s">
        <v>21</v>
      </c>
      <c r="T990" t="s">
        <v>20</v>
      </c>
    </row>
    <row r="991" spans="1:20" x14ac:dyDescent="0.3">
      <c r="A991" t="s">
        <v>2098</v>
      </c>
      <c r="B991" t="s">
        <v>165</v>
      </c>
      <c r="C991" t="s">
        <v>24</v>
      </c>
      <c r="D991" t="s">
        <v>33</v>
      </c>
      <c r="E991" t="s">
        <v>193</v>
      </c>
      <c r="F991" t="s">
        <v>194</v>
      </c>
      <c r="G991" t="s">
        <v>36</v>
      </c>
      <c r="H991" t="s">
        <v>5140</v>
      </c>
      <c r="I991" t="s">
        <v>5141</v>
      </c>
      <c r="J991">
        <v>110532</v>
      </c>
      <c r="K991" t="s">
        <v>2099</v>
      </c>
      <c r="L991" t="s">
        <v>61</v>
      </c>
      <c r="M991" t="s">
        <v>46</v>
      </c>
      <c r="N991">
        <v>45659</v>
      </c>
      <c r="O991">
        <v>1672</v>
      </c>
      <c r="P991" t="s">
        <v>92</v>
      </c>
      <c r="Q991">
        <v>2</v>
      </c>
      <c r="R991" t="s">
        <v>76</v>
      </c>
      <c r="S991" t="s">
        <v>21</v>
      </c>
      <c r="T991" t="s">
        <v>29</v>
      </c>
    </row>
    <row r="992" spans="1:20" x14ac:dyDescent="0.3">
      <c r="A992" t="s">
        <v>2100</v>
      </c>
      <c r="B992" t="s">
        <v>165</v>
      </c>
      <c r="C992" t="s">
        <v>160</v>
      </c>
      <c r="D992" t="s">
        <v>33</v>
      </c>
      <c r="E992" t="s">
        <v>14</v>
      </c>
      <c r="F992" t="s">
        <v>15</v>
      </c>
      <c r="G992" t="s">
        <v>36</v>
      </c>
      <c r="H992" t="s">
        <v>5138</v>
      </c>
      <c r="I992" t="s">
        <v>5139</v>
      </c>
      <c r="J992">
        <v>207501</v>
      </c>
      <c r="K992" t="s">
        <v>2101</v>
      </c>
      <c r="L992" t="s">
        <v>134</v>
      </c>
      <c r="M992" t="s">
        <v>46</v>
      </c>
      <c r="N992">
        <v>45493</v>
      </c>
      <c r="O992">
        <v>2443</v>
      </c>
      <c r="P992" t="s">
        <v>29</v>
      </c>
      <c r="Q992">
        <v>6</v>
      </c>
      <c r="R992" t="s">
        <v>40</v>
      </c>
      <c r="S992" t="s">
        <v>53</v>
      </c>
      <c r="T992" t="s">
        <v>29</v>
      </c>
    </row>
    <row r="993" spans="1:20" x14ac:dyDescent="0.3">
      <c r="A993" t="s">
        <v>2102</v>
      </c>
      <c r="B993" t="s">
        <v>222</v>
      </c>
      <c r="C993" t="s">
        <v>94</v>
      </c>
      <c r="D993" t="s">
        <v>104</v>
      </c>
      <c r="E993" t="s">
        <v>223</v>
      </c>
      <c r="F993" t="s">
        <v>224</v>
      </c>
      <c r="G993" t="s">
        <v>36</v>
      </c>
      <c r="H993" t="s">
        <v>5138</v>
      </c>
      <c r="I993" t="s">
        <v>5139</v>
      </c>
      <c r="J993">
        <v>126497</v>
      </c>
      <c r="K993" t="s">
        <v>2103</v>
      </c>
      <c r="L993" t="s">
        <v>5165</v>
      </c>
      <c r="M993" t="s">
        <v>72</v>
      </c>
      <c r="N993">
        <v>45633</v>
      </c>
      <c r="O993">
        <v>592</v>
      </c>
      <c r="P993" t="s">
        <v>20</v>
      </c>
      <c r="Q993">
        <v>6</v>
      </c>
      <c r="R993" t="s">
        <v>40</v>
      </c>
      <c r="S993" t="s">
        <v>53</v>
      </c>
      <c r="T993" t="s">
        <v>29</v>
      </c>
    </row>
    <row r="994" spans="1:20" x14ac:dyDescent="0.3">
      <c r="A994" t="s">
        <v>2104</v>
      </c>
      <c r="B994" t="s">
        <v>130</v>
      </c>
      <c r="C994" t="s">
        <v>103</v>
      </c>
      <c r="D994" t="s">
        <v>118</v>
      </c>
      <c r="E994" t="s">
        <v>95</v>
      </c>
      <c r="F994" t="s">
        <v>96</v>
      </c>
      <c r="G994" t="s">
        <v>16</v>
      </c>
      <c r="H994" t="s">
        <v>5136</v>
      </c>
      <c r="I994" t="s">
        <v>5137</v>
      </c>
      <c r="J994">
        <v>66885</v>
      </c>
      <c r="K994" t="s">
        <v>2105</v>
      </c>
      <c r="L994" t="s">
        <v>5165</v>
      </c>
      <c r="M994" t="s">
        <v>72</v>
      </c>
      <c r="N994">
        <v>45304</v>
      </c>
      <c r="O994">
        <v>2741</v>
      </c>
      <c r="P994" t="s">
        <v>29</v>
      </c>
      <c r="Q994">
        <v>0</v>
      </c>
      <c r="R994" t="s">
        <v>52</v>
      </c>
      <c r="S994" t="s">
        <v>53</v>
      </c>
      <c r="T994" t="s">
        <v>20</v>
      </c>
    </row>
    <row r="995" spans="1:20" x14ac:dyDescent="0.3">
      <c r="A995" t="s">
        <v>2106</v>
      </c>
      <c r="B995" t="s">
        <v>136</v>
      </c>
      <c r="C995" t="s">
        <v>121</v>
      </c>
      <c r="D995" t="s">
        <v>118</v>
      </c>
      <c r="E995" t="s">
        <v>5127</v>
      </c>
      <c r="F995" t="s">
        <v>5125</v>
      </c>
      <c r="G995" t="s">
        <v>16</v>
      </c>
      <c r="H995" t="s">
        <v>5142</v>
      </c>
      <c r="I995" t="s">
        <v>5143</v>
      </c>
      <c r="J995">
        <v>131586</v>
      </c>
      <c r="K995" t="s">
        <v>2107</v>
      </c>
      <c r="L995" t="s">
        <v>238</v>
      </c>
      <c r="M995" t="s">
        <v>72</v>
      </c>
      <c r="N995">
        <v>45732</v>
      </c>
      <c r="O995">
        <v>3969</v>
      </c>
      <c r="P995" t="s">
        <v>20</v>
      </c>
      <c r="Q995">
        <v>4</v>
      </c>
      <c r="R995" t="s">
        <v>76</v>
      </c>
      <c r="S995" t="s">
        <v>21</v>
      </c>
      <c r="T995" t="s">
        <v>20</v>
      </c>
    </row>
    <row r="996" spans="1:20" x14ac:dyDescent="0.3">
      <c r="A996" t="s">
        <v>2108</v>
      </c>
      <c r="B996" t="s">
        <v>78</v>
      </c>
      <c r="C996" t="s">
        <v>125</v>
      </c>
      <c r="D996" t="s">
        <v>167</v>
      </c>
      <c r="E996" t="s">
        <v>5127</v>
      </c>
      <c r="F996" t="s">
        <v>5125</v>
      </c>
      <c r="G996" t="s">
        <v>16</v>
      </c>
      <c r="H996" t="s">
        <v>5142</v>
      </c>
      <c r="I996" t="s">
        <v>5143</v>
      </c>
      <c r="J996">
        <v>122956</v>
      </c>
      <c r="K996" t="s">
        <v>2109</v>
      </c>
      <c r="L996" t="s">
        <v>87</v>
      </c>
      <c r="M996" t="s">
        <v>39</v>
      </c>
      <c r="N996">
        <v>45314</v>
      </c>
      <c r="O996">
        <v>2647</v>
      </c>
      <c r="P996" t="s">
        <v>29</v>
      </c>
      <c r="Q996">
        <v>4</v>
      </c>
      <c r="R996" t="s">
        <v>47</v>
      </c>
      <c r="S996" t="s">
        <v>21</v>
      </c>
      <c r="T996" t="s">
        <v>20</v>
      </c>
    </row>
    <row r="997" spans="1:20" x14ac:dyDescent="0.3">
      <c r="A997" t="s">
        <v>2110</v>
      </c>
      <c r="B997" t="s">
        <v>222</v>
      </c>
      <c r="C997" t="s">
        <v>94</v>
      </c>
      <c r="D997" t="s">
        <v>5156</v>
      </c>
      <c r="E997" t="s">
        <v>5126</v>
      </c>
      <c r="F997" t="s">
        <v>5125</v>
      </c>
      <c r="G997" t="s">
        <v>16</v>
      </c>
      <c r="H997" t="s">
        <v>5136</v>
      </c>
      <c r="I997" t="s">
        <v>5137</v>
      </c>
      <c r="J997">
        <v>66458</v>
      </c>
      <c r="K997" t="s">
        <v>2111</v>
      </c>
      <c r="L997" t="s">
        <v>5165</v>
      </c>
      <c r="M997" t="s">
        <v>19</v>
      </c>
      <c r="N997">
        <v>45638</v>
      </c>
      <c r="O997">
        <v>3850</v>
      </c>
      <c r="P997" t="s">
        <v>29</v>
      </c>
      <c r="Q997">
        <v>0</v>
      </c>
      <c r="R997" t="s">
        <v>47</v>
      </c>
      <c r="S997" t="s">
        <v>21</v>
      </c>
      <c r="T997" t="s">
        <v>20</v>
      </c>
    </row>
    <row r="998" spans="1:20" x14ac:dyDescent="0.3">
      <c r="A998" t="s">
        <v>2112</v>
      </c>
      <c r="B998" t="s">
        <v>74</v>
      </c>
      <c r="C998" t="s">
        <v>219</v>
      </c>
      <c r="D998" t="s">
        <v>167</v>
      </c>
      <c r="E998" t="s">
        <v>5128</v>
      </c>
      <c r="F998" t="s">
        <v>5125</v>
      </c>
      <c r="G998" t="s">
        <v>36</v>
      </c>
      <c r="H998" t="s">
        <v>5136</v>
      </c>
      <c r="I998" t="s">
        <v>5137</v>
      </c>
      <c r="J998">
        <v>92650</v>
      </c>
      <c r="K998" t="s">
        <v>2113</v>
      </c>
      <c r="L998" t="s">
        <v>5165</v>
      </c>
      <c r="M998" t="s">
        <v>39</v>
      </c>
      <c r="N998">
        <v>45612</v>
      </c>
      <c r="O998">
        <v>3734</v>
      </c>
      <c r="P998" t="s">
        <v>20</v>
      </c>
      <c r="Q998">
        <v>0</v>
      </c>
      <c r="R998" t="s">
        <v>76</v>
      </c>
      <c r="S998" t="s">
        <v>21</v>
      </c>
      <c r="T998" t="s">
        <v>29</v>
      </c>
    </row>
    <row r="999" spans="1:20" x14ac:dyDescent="0.3">
      <c r="A999" t="s">
        <v>2114</v>
      </c>
      <c r="B999" t="s">
        <v>130</v>
      </c>
      <c r="C999" t="s">
        <v>232</v>
      </c>
      <c r="D999" t="s">
        <v>68</v>
      </c>
      <c r="E999" t="s">
        <v>5127</v>
      </c>
      <c r="F999" t="s">
        <v>5125</v>
      </c>
      <c r="G999" t="s">
        <v>16</v>
      </c>
      <c r="H999" t="s">
        <v>5136</v>
      </c>
      <c r="I999" t="s">
        <v>5137</v>
      </c>
      <c r="J999">
        <v>78074</v>
      </c>
      <c r="K999" t="s">
        <v>2115</v>
      </c>
      <c r="L999" t="s">
        <v>5165</v>
      </c>
      <c r="M999" t="s">
        <v>19</v>
      </c>
      <c r="N999">
        <v>45541</v>
      </c>
      <c r="O999">
        <v>2947</v>
      </c>
      <c r="P999" t="s">
        <v>20</v>
      </c>
      <c r="Q999">
        <v>0</v>
      </c>
      <c r="R999" t="s">
        <v>40</v>
      </c>
      <c r="S999" t="s">
        <v>21</v>
      </c>
      <c r="T999" t="s">
        <v>20</v>
      </c>
    </row>
    <row r="1000" spans="1:20" x14ac:dyDescent="0.3">
      <c r="A1000" t="s">
        <v>2116</v>
      </c>
      <c r="B1000" t="s">
        <v>84</v>
      </c>
      <c r="C1000" t="s">
        <v>172</v>
      </c>
      <c r="D1000" t="s">
        <v>104</v>
      </c>
      <c r="E1000" t="s">
        <v>69</v>
      </c>
      <c r="F1000" t="s">
        <v>70</v>
      </c>
      <c r="G1000" t="s">
        <v>16</v>
      </c>
      <c r="H1000" t="s">
        <v>5138</v>
      </c>
      <c r="I1000" t="s">
        <v>5139</v>
      </c>
      <c r="J1000">
        <v>179437</v>
      </c>
      <c r="K1000" t="s">
        <v>2117</v>
      </c>
      <c r="L1000" t="s">
        <v>113</v>
      </c>
      <c r="M1000" t="s">
        <v>46</v>
      </c>
      <c r="N1000">
        <v>45640</v>
      </c>
      <c r="O1000">
        <v>3540</v>
      </c>
      <c r="P1000" t="s">
        <v>29</v>
      </c>
      <c r="Q1000">
        <v>6</v>
      </c>
      <c r="R1000" t="s">
        <v>5116</v>
      </c>
      <c r="S1000" t="s">
        <v>21</v>
      </c>
      <c r="T1000" t="s">
        <v>20</v>
      </c>
    </row>
    <row r="1001" spans="1:20" x14ac:dyDescent="0.3">
      <c r="A1001" t="s">
        <v>2118</v>
      </c>
      <c r="B1001" t="s">
        <v>215</v>
      </c>
      <c r="C1001" t="s">
        <v>24</v>
      </c>
      <c r="D1001" t="s">
        <v>25</v>
      </c>
      <c r="E1001" t="s">
        <v>5124</v>
      </c>
      <c r="F1001" t="s">
        <v>5125</v>
      </c>
      <c r="G1001" t="s">
        <v>16</v>
      </c>
      <c r="H1001" t="s">
        <v>5142</v>
      </c>
      <c r="I1001" t="s">
        <v>5143</v>
      </c>
      <c r="J1001">
        <v>165459</v>
      </c>
      <c r="K1001" t="s">
        <v>2119</v>
      </c>
      <c r="L1001" t="s">
        <v>5165</v>
      </c>
      <c r="M1001" t="s">
        <v>19</v>
      </c>
      <c r="N1001">
        <v>45374</v>
      </c>
      <c r="O1001">
        <v>762</v>
      </c>
      <c r="P1001" t="s">
        <v>20</v>
      </c>
      <c r="Q1001">
        <v>4</v>
      </c>
      <c r="R1001" t="s">
        <v>52</v>
      </c>
      <c r="S1001" t="s">
        <v>21</v>
      </c>
      <c r="T1001" t="s">
        <v>29</v>
      </c>
    </row>
    <row r="1002" spans="1:20" x14ac:dyDescent="0.3">
      <c r="A1002" t="s">
        <v>2120</v>
      </c>
      <c r="B1002" t="s">
        <v>222</v>
      </c>
      <c r="C1002" t="s">
        <v>103</v>
      </c>
      <c r="D1002" t="s">
        <v>5156</v>
      </c>
      <c r="E1002" t="s">
        <v>193</v>
      </c>
      <c r="F1002" t="s">
        <v>194</v>
      </c>
      <c r="G1002" t="s">
        <v>36</v>
      </c>
      <c r="H1002" t="s">
        <v>5140</v>
      </c>
      <c r="I1002" t="s">
        <v>5141</v>
      </c>
      <c r="J1002">
        <v>137707</v>
      </c>
      <c r="K1002" t="s">
        <v>2121</v>
      </c>
      <c r="L1002" t="s">
        <v>5165</v>
      </c>
      <c r="M1002" t="s">
        <v>39</v>
      </c>
      <c r="N1002">
        <v>45368</v>
      </c>
      <c r="O1002">
        <v>2350</v>
      </c>
      <c r="P1002" t="s">
        <v>29</v>
      </c>
      <c r="Q1002">
        <v>2</v>
      </c>
      <c r="R1002" t="s">
        <v>52</v>
      </c>
      <c r="S1002" t="s">
        <v>53</v>
      </c>
      <c r="T1002" t="s">
        <v>29</v>
      </c>
    </row>
    <row r="1003" spans="1:20" x14ac:dyDescent="0.3">
      <c r="A1003" t="s">
        <v>2122</v>
      </c>
      <c r="B1003" t="s">
        <v>84</v>
      </c>
      <c r="C1003" t="s">
        <v>151</v>
      </c>
      <c r="D1003" t="s">
        <v>118</v>
      </c>
      <c r="E1003" t="s">
        <v>126</v>
      </c>
      <c r="F1003" t="s">
        <v>127</v>
      </c>
      <c r="G1003" t="s">
        <v>36</v>
      </c>
      <c r="H1003" t="s">
        <v>5136</v>
      </c>
      <c r="I1003" t="s">
        <v>5137</v>
      </c>
      <c r="J1003">
        <v>81650</v>
      </c>
      <c r="K1003" t="s">
        <v>2123</v>
      </c>
      <c r="L1003" t="s">
        <v>238</v>
      </c>
      <c r="M1003" t="s">
        <v>46</v>
      </c>
      <c r="N1003">
        <v>45503</v>
      </c>
      <c r="O1003">
        <v>1163</v>
      </c>
      <c r="P1003" t="s">
        <v>92</v>
      </c>
      <c r="Q1003">
        <v>0</v>
      </c>
      <c r="R1003" t="s">
        <v>40</v>
      </c>
      <c r="S1003" t="s">
        <v>41</v>
      </c>
      <c r="T1003" t="s">
        <v>20</v>
      </c>
    </row>
    <row r="1004" spans="1:20" x14ac:dyDescent="0.3">
      <c r="A1004" t="s">
        <v>2124</v>
      </c>
      <c r="B1004" t="s">
        <v>165</v>
      </c>
      <c r="C1004" t="s">
        <v>64</v>
      </c>
      <c r="D1004" t="s">
        <v>140</v>
      </c>
      <c r="E1004" t="s">
        <v>193</v>
      </c>
      <c r="F1004" t="s">
        <v>194</v>
      </c>
      <c r="G1004" t="s">
        <v>36</v>
      </c>
      <c r="H1004" t="s">
        <v>5142</v>
      </c>
      <c r="I1004" t="s">
        <v>5143</v>
      </c>
      <c r="J1004">
        <v>151610</v>
      </c>
      <c r="K1004" t="s">
        <v>2125</v>
      </c>
      <c r="L1004" t="s">
        <v>18</v>
      </c>
      <c r="M1004" t="s">
        <v>46</v>
      </c>
      <c r="N1004">
        <v>45570</v>
      </c>
      <c r="O1004">
        <v>200</v>
      </c>
      <c r="P1004" t="s">
        <v>29</v>
      </c>
      <c r="Q1004">
        <v>4</v>
      </c>
      <c r="R1004" t="s">
        <v>47</v>
      </c>
      <c r="S1004" t="s">
        <v>21</v>
      </c>
      <c r="T1004" t="s">
        <v>20</v>
      </c>
    </row>
    <row r="1005" spans="1:20" x14ac:dyDescent="0.3">
      <c r="A1005" t="s">
        <v>2126</v>
      </c>
      <c r="B1005" t="s">
        <v>215</v>
      </c>
      <c r="C1005" t="s">
        <v>232</v>
      </c>
      <c r="D1005" t="s">
        <v>57</v>
      </c>
      <c r="E1005" t="s">
        <v>58</v>
      </c>
      <c r="F1005" t="s">
        <v>59</v>
      </c>
      <c r="G1005" t="s">
        <v>36</v>
      </c>
      <c r="H1005" t="s">
        <v>5136</v>
      </c>
      <c r="I1005" t="s">
        <v>5137</v>
      </c>
      <c r="J1005">
        <v>61848</v>
      </c>
      <c r="K1005" t="s">
        <v>2127</v>
      </c>
      <c r="L1005" t="s">
        <v>179</v>
      </c>
      <c r="M1005" t="s">
        <v>19</v>
      </c>
      <c r="N1005">
        <v>45473</v>
      </c>
      <c r="O1005">
        <v>3458</v>
      </c>
      <c r="P1005" t="s">
        <v>29</v>
      </c>
      <c r="Q1005">
        <v>0</v>
      </c>
      <c r="R1005" t="s">
        <v>76</v>
      </c>
      <c r="S1005" t="s">
        <v>21</v>
      </c>
      <c r="T1005" t="s">
        <v>29</v>
      </c>
    </row>
    <row r="1006" spans="1:20" x14ac:dyDescent="0.3">
      <c r="A1006" t="s">
        <v>2128</v>
      </c>
      <c r="B1006" t="s">
        <v>215</v>
      </c>
      <c r="C1006" t="s">
        <v>232</v>
      </c>
      <c r="D1006" t="s">
        <v>57</v>
      </c>
      <c r="E1006" t="s">
        <v>209</v>
      </c>
      <c r="F1006" t="s">
        <v>210</v>
      </c>
      <c r="G1006" t="s">
        <v>36</v>
      </c>
      <c r="H1006" t="s">
        <v>5136</v>
      </c>
      <c r="I1006" t="s">
        <v>5137</v>
      </c>
      <c r="J1006">
        <v>78797</v>
      </c>
      <c r="K1006" t="s">
        <v>2129</v>
      </c>
      <c r="L1006" t="s">
        <v>18</v>
      </c>
      <c r="M1006" t="s">
        <v>39</v>
      </c>
      <c r="N1006">
        <v>45379</v>
      </c>
      <c r="O1006">
        <v>2326</v>
      </c>
      <c r="P1006" t="s">
        <v>29</v>
      </c>
      <c r="Q1006">
        <v>0</v>
      </c>
      <c r="R1006" t="s">
        <v>5116</v>
      </c>
      <c r="S1006" t="s">
        <v>53</v>
      </c>
      <c r="T1006" t="s">
        <v>20</v>
      </c>
    </row>
    <row r="1007" spans="1:20" x14ac:dyDescent="0.3">
      <c r="A1007" t="s">
        <v>2130</v>
      </c>
      <c r="B1007" t="s">
        <v>99</v>
      </c>
      <c r="C1007" t="s">
        <v>49</v>
      </c>
      <c r="D1007" t="s">
        <v>68</v>
      </c>
      <c r="E1007" t="s">
        <v>5124</v>
      </c>
      <c r="F1007" t="s">
        <v>5125</v>
      </c>
      <c r="G1007" t="s">
        <v>36</v>
      </c>
      <c r="H1007" t="s">
        <v>5142</v>
      </c>
      <c r="I1007" t="s">
        <v>5143</v>
      </c>
      <c r="J1007">
        <v>160624</v>
      </c>
      <c r="K1007" t="s">
        <v>2131</v>
      </c>
      <c r="L1007" t="s">
        <v>142</v>
      </c>
      <c r="M1007" t="s">
        <v>46</v>
      </c>
      <c r="N1007">
        <v>45333</v>
      </c>
      <c r="O1007">
        <v>3083</v>
      </c>
      <c r="P1007" t="s">
        <v>92</v>
      </c>
      <c r="Q1007">
        <v>4</v>
      </c>
      <c r="R1007" t="s">
        <v>40</v>
      </c>
      <c r="S1007" t="s">
        <v>53</v>
      </c>
      <c r="T1007" t="s">
        <v>20</v>
      </c>
    </row>
    <row r="1008" spans="1:20" x14ac:dyDescent="0.3">
      <c r="A1008" t="s">
        <v>2132</v>
      </c>
      <c r="B1008" t="s">
        <v>78</v>
      </c>
      <c r="C1008" t="s">
        <v>121</v>
      </c>
      <c r="D1008" t="s">
        <v>5156</v>
      </c>
      <c r="E1008" t="s">
        <v>5128</v>
      </c>
      <c r="F1008" t="s">
        <v>5125</v>
      </c>
      <c r="G1008" t="s">
        <v>36</v>
      </c>
      <c r="H1008" t="s">
        <v>5140</v>
      </c>
      <c r="I1008" t="s">
        <v>5141</v>
      </c>
      <c r="J1008">
        <v>127724</v>
      </c>
      <c r="K1008" t="s">
        <v>2133</v>
      </c>
      <c r="L1008" t="s">
        <v>113</v>
      </c>
      <c r="M1008" t="s">
        <v>46</v>
      </c>
      <c r="N1008">
        <v>45484</v>
      </c>
      <c r="O1008">
        <v>575</v>
      </c>
      <c r="P1008" t="s">
        <v>29</v>
      </c>
      <c r="Q1008">
        <v>2</v>
      </c>
      <c r="R1008" t="s">
        <v>52</v>
      </c>
      <c r="S1008" t="s">
        <v>21</v>
      </c>
      <c r="T1008" t="s">
        <v>29</v>
      </c>
    </row>
    <row r="1009" spans="1:20" x14ac:dyDescent="0.3">
      <c r="A1009" t="s">
        <v>2134</v>
      </c>
      <c r="B1009" t="s">
        <v>23</v>
      </c>
      <c r="C1009" t="s">
        <v>185</v>
      </c>
      <c r="D1009" t="s">
        <v>25</v>
      </c>
      <c r="E1009" t="s">
        <v>209</v>
      </c>
      <c r="F1009" t="s">
        <v>210</v>
      </c>
      <c r="G1009" t="s">
        <v>16</v>
      </c>
      <c r="H1009" t="s">
        <v>5140</v>
      </c>
      <c r="I1009" t="s">
        <v>5141</v>
      </c>
      <c r="J1009">
        <v>122576</v>
      </c>
      <c r="K1009" t="s">
        <v>2135</v>
      </c>
      <c r="L1009" t="s">
        <v>113</v>
      </c>
      <c r="M1009" t="s">
        <v>46</v>
      </c>
      <c r="N1009">
        <v>45357</v>
      </c>
      <c r="O1009">
        <v>3796</v>
      </c>
      <c r="P1009" t="s">
        <v>20</v>
      </c>
      <c r="Q1009">
        <v>2</v>
      </c>
      <c r="R1009" t="s">
        <v>76</v>
      </c>
      <c r="S1009" t="s">
        <v>53</v>
      </c>
      <c r="T1009" t="s">
        <v>29</v>
      </c>
    </row>
    <row r="1010" spans="1:20" x14ac:dyDescent="0.3">
      <c r="A1010" t="s">
        <v>2136</v>
      </c>
      <c r="B1010" t="s">
        <v>218</v>
      </c>
      <c r="C1010" t="s">
        <v>166</v>
      </c>
      <c r="D1010" t="s">
        <v>118</v>
      </c>
      <c r="E1010" t="s">
        <v>5132</v>
      </c>
      <c r="F1010" t="s">
        <v>5125</v>
      </c>
      <c r="G1010" t="s">
        <v>36</v>
      </c>
      <c r="H1010" t="s">
        <v>5140</v>
      </c>
      <c r="I1010" t="s">
        <v>5141</v>
      </c>
      <c r="J1010">
        <v>130781</v>
      </c>
      <c r="K1010" t="s">
        <v>2137</v>
      </c>
      <c r="L1010" t="s">
        <v>179</v>
      </c>
      <c r="M1010" t="s">
        <v>19</v>
      </c>
      <c r="N1010">
        <v>45668</v>
      </c>
      <c r="O1010">
        <v>544</v>
      </c>
      <c r="P1010" t="s">
        <v>20</v>
      </c>
      <c r="Q1010">
        <v>2</v>
      </c>
      <c r="R1010" t="s">
        <v>52</v>
      </c>
      <c r="S1010" t="s">
        <v>21</v>
      </c>
      <c r="T1010" t="s">
        <v>20</v>
      </c>
    </row>
    <row r="1011" spans="1:20" x14ac:dyDescent="0.3">
      <c r="A1011" t="s">
        <v>2138</v>
      </c>
      <c r="B1011" t="s">
        <v>12</v>
      </c>
      <c r="C1011" t="s">
        <v>13</v>
      </c>
      <c r="D1011" t="s">
        <v>25</v>
      </c>
      <c r="E1011" t="s">
        <v>5133</v>
      </c>
      <c r="F1011" t="s">
        <v>5125</v>
      </c>
      <c r="G1011" t="s">
        <v>36</v>
      </c>
      <c r="H1011" t="s">
        <v>5140</v>
      </c>
      <c r="I1011" t="s">
        <v>5141</v>
      </c>
      <c r="J1011">
        <v>99402</v>
      </c>
      <c r="K1011" t="s">
        <v>2139</v>
      </c>
      <c r="L1011" t="s">
        <v>5165</v>
      </c>
      <c r="M1011" t="s">
        <v>46</v>
      </c>
      <c r="N1011">
        <v>45313</v>
      </c>
      <c r="O1011">
        <v>2804</v>
      </c>
      <c r="P1011" t="s">
        <v>92</v>
      </c>
      <c r="Q1011">
        <v>2</v>
      </c>
      <c r="R1011" t="s">
        <v>5116</v>
      </c>
      <c r="S1011" t="s">
        <v>21</v>
      </c>
      <c r="T1011" t="s">
        <v>20</v>
      </c>
    </row>
    <row r="1012" spans="1:20" x14ac:dyDescent="0.3">
      <c r="A1012" t="s">
        <v>2140</v>
      </c>
      <c r="B1012" t="s">
        <v>84</v>
      </c>
      <c r="C1012" t="s">
        <v>188</v>
      </c>
      <c r="D1012" t="s">
        <v>44</v>
      </c>
      <c r="E1012" t="s">
        <v>34</v>
      </c>
      <c r="F1012" t="s">
        <v>35</v>
      </c>
      <c r="G1012" t="s">
        <v>36</v>
      </c>
      <c r="H1012" t="s">
        <v>5138</v>
      </c>
      <c r="I1012" t="s">
        <v>5139</v>
      </c>
      <c r="J1012">
        <v>247426</v>
      </c>
      <c r="K1012" t="s">
        <v>2141</v>
      </c>
      <c r="L1012" t="s">
        <v>61</v>
      </c>
      <c r="M1012" t="s">
        <v>46</v>
      </c>
      <c r="N1012">
        <v>45495</v>
      </c>
      <c r="O1012">
        <v>1933</v>
      </c>
      <c r="P1012" t="s">
        <v>20</v>
      </c>
      <c r="Q1012">
        <v>6</v>
      </c>
      <c r="R1012" t="s">
        <v>76</v>
      </c>
      <c r="S1012" t="s">
        <v>21</v>
      </c>
      <c r="T1012" t="s">
        <v>20</v>
      </c>
    </row>
    <row r="1013" spans="1:20" x14ac:dyDescent="0.3">
      <c r="A1013" t="s">
        <v>2142</v>
      </c>
      <c r="B1013" t="s">
        <v>136</v>
      </c>
      <c r="C1013" t="s">
        <v>49</v>
      </c>
      <c r="D1013" t="s">
        <v>118</v>
      </c>
      <c r="E1013" t="s">
        <v>5129</v>
      </c>
      <c r="F1013" t="s">
        <v>5130</v>
      </c>
      <c r="G1013" t="s">
        <v>50</v>
      </c>
      <c r="H1013" t="s">
        <v>5140</v>
      </c>
      <c r="I1013" t="s">
        <v>5141</v>
      </c>
      <c r="J1013">
        <v>113912</v>
      </c>
      <c r="K1013" t="s">
        <v>2143</v>
      </c>
      <c r="L1013" t="s">
        <v>134</v>
      </c>
      <c r="M1013" t="s">
        <v>19</v>
      </c>
      <c r="N1013">
        <v>45306</v>
      </c>
      <c r="O1013">
        <v>3292</v>
      </c>
      <c r="P1013" t="s">
        <v>92</v>
      </c>
      <c r="Q1013">
        <v>2</v>
      </c>
      <c r="R1013" t="s">
        <v>5116</v>
      </c>
      <c r="S1013" t="s">
        <v>21</v>
      </c>
      <c r="T1013" t="s">
        <v>29</v>
      </c>
    </row>
    <row r="1014" spans="1:20" x14ac:dyDescent="0.3">
      <c r="A1014" t="s">
        <v>2144</v>
      </c>
      <c r="B1014" t="s">
        <v>222</v>
      </c>
      <c r="C1014" t="s">
        <v>232</v>
      </c>
      <c r="D1014" t="s">
        <v>118</v>
      </c>
      <c r="E1014" t="s">
        <v>5126</v>
      </c>
      <c r="F1014" t="s">
        <v>5125</v>
      </c>
      <c r="G1014" t="s">
        <v>36</v>
      </c>
      <c r="H1014" t="s">
        <v>5142</v>
      </c>
      <c r="I1014" t="s">
        <v>5143</v>
      </c>
      <c r="J1014">
        <v>206032</v>
      </c>
      <c r="K1014" t="s">
        <v>2145</v>
      </c>
      <c r="L1014" t="s">
        <v>134</v>
      </c>
      <c r="M1014" t="s">
        <v>19</v>
      </c>
      <c r="N1014">
        <v>45480</v>
      </c>
      <c r="O1014">
        <v>3303</v>
      </c>
      <c r="P1014" t="s">
        <v>20</v>
      </c>
      <c r="Q1014">
        <v>4</v>
      </c>
      <c r="R1014" t="s">
        <v>40</v>
      </c>
      <c r="S1014" t="s">
        <v>21</v>
      </c>
      <c r="T1014" t="s">
        <v>20</v>
      </c>
    </row>
    <row r="1015" spans="1:20" x14ac:dyDescent="0.3">
      <c r="A1015" t="s">
        <v>2146</v>
      </c>
      <c r="B1015" t="s">
        <v>31</v>
      </c>
      <c r="C1015" t="s">
        <v>32</v>
      </c>
      <c r="D1015" t="s">
        <v>140</v>
      </c>
      <c r="E1015" t="s">
        <v>5127</v>
      </c>
      <c r="F1015" t="s">
        <v>5125</v>
      </c>
      <c r="G1015" t="s">
        <v>16</v>
      </c>
      <c r="H1015" t="s">
        <v>5142</v>
      </c>
      <c r="I1015" t="s">
        <v>5143</v>
      </c>
      <c r="J1015">
        <v>131391</v>
      </c>
      <c r="K1015" t="s">
        <v>2147</v>
      </c>
      <c r="L1015" t="s">
        <v>5165</v>
      </c>
      <c r="M1015" t="s">
        <v>46</v>
      </c>
      <c r="N1015">
        <v>45512</v>
      </c>
      <c r="O1015">
        <v>2661</v>
      </c>
      <c r="P1015" t="s">
        <v>20</v>
      </c>
      <c r="Q1015">
        <v>4</v>
      </c>
      <c r="R1015" t="s">
        <v>47</v>
      </c>
      <c r="S1015" t="s">
        <v>21</v>
      </c>
      <c r="T1015" t="s">
        <v>29</v>
      </c>
    </row>
    <row r="1016" spans="1:20" x14ac:dyDescent="0.3">
      <c r="A1016" t="s">
        <v>2148</v>
      </c>
      <c r="B1016" t="s">
        <v>215</v>
      </c>
      <c r="C1016" t="s">
        <v>43</v>
      </c>
      <c r="D1016" t="s">
        <v>118</v>
      </c>
      <c r="E1016" t="s">
        <v>58</v>
      </c>
      <c r="F1016" t="s">
        <v>59</v>
      </c>
      <c r="G1016" t="s">
        <v>16</v>
      </c>
      <c r="H1016" t="s">
        <v>5138</v>
      </c>
      <c r="I1016" t="s">
        <v>5139</v>
      </c>
      <c r="J1016">
        <v>262494</v>
      </c>
      <c r="K1016" t="s">
        <v>2149</v>
      </c>
      <c r="L1016" t="s">
        <v>134</v>
      </c>
      <c r="M1016" t="s">
        <v>72</v>
      </c>
      <c r="N1016">
        <v>45719</v>
      </c>
      <c r="O1016">
        <v>3863</v>
      </c>
      <c r="P1016" t="s">
        <v>20</v>
      </c>
      <c r="Q1016">
        <v>6</v>
      </c>
      <c r="R1016" t="s">
        <v>40</v>
      </c>
      <c r="S1016" t="s">
        <v>21</v>
      </c>
      <c r="T1016" t="s">
        <v>29</v>
      </c>
    </row>
    <row r="1017" spans="1:20" x14ac:dyDescent="0.3">
      <c r="A1017" t="s">
        <v>2150</v>
      </c>
      <c r="B1017" t="s">
        <v>124</v>
      </c>
      <c r="C1017" t="s">
        <v>232</v>
      </c>
      <c r="D1017" t="s">
        <v>44</v>
      </c>
      <c r="E1017" t="s">
        <v>126</v>
      </c>
      <c r="F1017" t="s">
        <v>127</v>
      </c>
      <c r="G1017" t="s">
        <v>36</v>
      </c>
      <c r="H1017" t="s">
        <v>5136</v>
      </c>
      <c r="I1017" t="s">
        <v>5137</v>
      </c>
      <c r="J1017">
        <v>72493</v>
      </c>
      <c r="K1017" t="s">
        <v>2151</v>
      </c>
      <c r="L1017" t="s">
        <v>5165</v>
      </c>
      <c r="M1017" t="s">
        <v>46</v>
      </c>
      <c r="N1017">
        <v>45596</v>
      </c>
      <c r="O1017">
        <v>1089</v>
      </c>
      <c r="P1017" t="s">
        <v>29</v>
      </c>
      <c r="Q1017">
        <v>0</v>
      </c>
      <c r="R1017" t="s">
        <v>76</v>
      </c>
      <c r="S1017" t="s">
        <v>21</v>
      </c>
      <c r="T1017" t="s">
        <v>29</v>
      </c>
    </row>
    <row r="1018" spans="1:20" x14ac:dyDescent="0.3">
      <c r="A1018" t="s">
        <v>2152</v>
      </c>
      <c r="B1018" t="s">
        <v>55</v>
      </c>
      <c r="C1018" t="s">
        <v>197</v>
      </c>
      <c r="D1018" t="s">
        <v>5156</v>
      </c>
      <c r="E1018" t="s">
        <v>34</v>
      </c>
      <c r="F1018" t="s">
        <v>35</v>
      </c>
      <c r="G1018" t="s">
        <v>50</v>
      </c>
      <c r="H1018" t="s">
        <v>5142</v>
      </c>
      <c r="I1018" t="s">
        <v>5143</v>
      </c>
      <c r="J1018">
        <v>132411</v>
      </c>
      <c r="K1018" t="s">
        <v>2153</v>
      </c>
      <c r="L1018" t="s">
        <v>113</v>
      </c>
      <c r="M1018" t="s">
        <v>39</v>
      </c>
      <c r="N1018">
        <v>45387</v>
      </c>
      <c r="O1018">
        <v>327</v>
      </c>
      <c r="P1018" t="s">
        <v>29</v>
      </c>
      <c r="Q1018">
        <v>4</v>
      </c>
      <c r="R1018" t="s">
        <v>40</v>
      </c>
      <c r="S1018" t="s">
        <v>53</v>
      </c>
      <c r="T1018" t="s">
        <v>20</v>
      </c>
    </row>
    <row r="1019" spans="1:20" x14ac:dyDescent="0.3">
      <c r="A1019" t="s">
        <v>2154</v>
      </c>
      <c r="B1019" t="s">
        <v>130</v>
      </c>
      <c r="C1019" t="s">
        <v>32</v>
      </c>
      <c r="D1019" t="s">
        <v>25</v>
      </c>
      <c r="E1019" t="s">
        <v>5133</v>
      </c>
      <c r="F1019" t="s">
        <v>5125</v>
      </c>
      <c r="G1019" t="s">
        <v>50</v>
      </c>
      <c r="H1019" t="s">
        <v>5136</v>
      </c>
      <c r="I1019" t="s">
        <v>5137</v>
      </c>
      <c r="J1019">
        <v>63903</v>
      </c>
      <c r="K1019" t="s">
        <v>2155</v>
      </c>
      <c r="L1019" t="s">
        <v>5165</v>
      </c>
      <c r="M1019" t="s">
        <v>46</v>
      </c>
      <c r="N1019">
        <v>45428</v>
      </c>
      <c r="O1019">
        <v>1654</v>
      </c>
      <c r="P1019" t="s">
        <v>20</v>
      </c>
      <c r="Q1019">
        <v>0</v>
      </c>
      <c r="R1019" t="s">
        <v>40</v>
      </c>
      <c r="S1019" t="s">
        <v>53</v>
      </c>
      <c r="T1019" t="s">
        <v>20</v>
      </c>
    </row>
    <row r="1020" spans="1:20" x14ac:dyDescent="0.3">
      <c r="A1020" t="s">
        <v>2156</v>
      </c>
      <c r="B1020" t="s">
        <v>229</v>
      </c>
      <c r="C1020" t="s">
        <v>64</v>
      </c>
      <c r="D1020" t="s">
        <v>68</v>
      </c>
      <c r="E1020" t="s">
        <v>5133</v>
      </c>
      <c r="F1020" t="s">
        <v>5125</v>
      </c>
      <c r="G1020" t="s">
        <v>50</v>
      </c>
      <c r="H1020" t="s">
        <v>5140</v>
      </c>
      <c r="I1020" t="s">
        <v>5141</v>
      </c>
      <c r="J1020">
        <v>103657</v>
      </c>
      <c r="K1020" t="s">
        <v>2157</v>
      </c>
      <c r="L1020" t="s">
        <v>18</v>
      </c>
      <c r="M1020" t="s">
        <v>46</v>
      </c>
      <c r="N1020">
        <v>45515</v>
      </c>
      <c r="O1020">
        <v>1774</v>
      </c>
      <c r="P1020" t="s">
        <v>29</v>
      </c>
      <c r="Q1020">
        <v>2</v>
      </c>
      <c r="R1020" t="s">
        <v>40</v>
      </c>
      <c r="S1020" t="s">
        <v>21</v>
      </c>
      <c r="T1020" t="s">
        <v>29</v>
      </c>
    </row>
    <row r="1021" spans="1:20" x14ac:dyDescent="0.3">
      <c r="A1021" t="s">
        <v>2158</v>
      </c>
      <c r="B1021" t="s">
        <v>74</v>
      </c>
      <c r="C1021" t="s">
        <v>188</v>
      </c>
      <c r="D1021" t="s">
        <v>118</v>
      </c>
      <c r="E1021" t="s">
        <v>5132</v>
      </c>
      <c r="F1021" t="s">
        <v>5125</v>
      </c>
      <c r="G1021" t="s">
        <v>36</v>
      </c>
      <c r="H1021" t="s">
        <v>5142</v>
      </c>
      <c r="I1021" t="s">
        <v>5143</v>
      </c>
      <c r="J1021">
        <v>161452</v>
      </c>
      <c r="K1021" t="s">
        <v>2159</v>
      </c>
      <c r="L1021" t="s">
        <v>134</v>
      </c>
      <c r="M1021" t="s">
        <v>46</v>
      </c>
      <c r="N1021">
        <v>45296</v>
      </c>
      <c r="O1021">
        <v>2368</v>
      </c>
      <c r="P1021" t="s">
        <v>20</v>
      </c>
      <c r="Q1021">
        <v>4</v>
      </c>
      <c r="R1021" t="s">
        <v>40</v>
      </c>
      <c r="S1021" t="s">
        <v>53</v>
      </c>
      <c r="T1021" t="s">
        <v>29</v>
      </c>
    </row>
    <row r="1022" spans="1:20" x14ac:dyDescent="0.3">
      <c r="A1022" t="s">
        <v>2160</v>
      </c>
      <c r="B1022" t="s">
        <v>84</v>
      </c>
      <c r="C1022" t="s">
        <v>166</v>
      </c>
      <c r="D1022" t="s">
        <v>118</v>
      </c>
      <c r="E1022" t="s">
        <v>34</v>
      </c>
      <c r="F1022" t="s">
        <v>35</v>
      </c>
      <c r="G1022" t="s">
        <v>50</v>
      </c>
      <c r="H1022" t="s">
        <v>5136</v>
      </c>
      <c r="I1022" t="s">
        <v>5137</v>
      </c>
      <c r="J1022">
        <v>76587</v>
      </c>
      <c r="K1022" t="s">
        <v>2161</v>
      </c>
      <c r="L1022" t="s">
        <v>142</v>
      </c>
      <c r="M1022" t="s">
        <v>46</v>
      </c>
      <c r="N1022">
        <v>45433</v>
      </c>
      <c r="O1022">
        <v>225</v>
      </c>
      <c r="P1022" t="s">
        <v>92</v>
      </c>
      <c r="Q1022">
        <v>0</v>
      </c>
      <c r="R1022" t="s">
        <v>40</v>
      </c>
      <c r="S1022" t="s">
        <v>21</v>
      </c>
      <c r="T1022" t="s">
        <v>20</v>
      </c>
    </row>
    <row r="1023" spans="1:20" x14ac:dyDescent="0.3">
      <c r="A1023" t="s">
        <v>2162</v>
      </c>
      <c r="B1023" t="s">
        <v>84</v>
      </c>
      <c r="C1023" t="s">
        <v>13</v>
      </c>
      <c r="D1023" t="s">
        <v>33</v>
      </c>
      <c r="E1023" t="s">
        <v>5131</v>
      </c>
      <c r="F1023" t="s">
        <v>5125</v>
      </c>
      <c r="G1023" t="s">
        <v>50</v>
      </c>
      <c r="H1023" t="s">
        <v>5140</v>
      </c>
      <c r="I1023" t="s">
        <v>5141</v>
      </c>
      <c r="J1023">
        <v>98640</v>
      </c>
      <c r="K1023" t="s">
        <v>2163</v>
      </c>
      <c r="L1023" t="s">
        <v>18</v>
      </c>
      <c r="M1023" t="s">
        <v>46</v>
      </c>
      <c r="N1023">
        <v>45446</v>
      </c>
      <c r="O1023">
        <v>935</v>
      </c>
      <c r="P1023" t="s">
        <v>29</v>
      </c>
      <c r="Q1023">
        <v>2</v>
      </c>
      <c r="R1023" t="s">
        <v>5116</v>
      </c>
      <c r="S1023" t="s">
        <v>21</v>
      </c>
      <c r="T1023" t="s">
        <v>20</v>
      </c>
    </row>
    <row r="1024" spans="1:20" x14ac:dyDescent="0.3">
      <c r="A1024" t="s">
        <v>2164</v>
      </c>
      <c r="B1024" t="s">
        <v>12</v>
      </c>
      <c r="C1024" t="s">
        <v>232</v>
      </c>
      <c r="D1024" t="s">
        <v>68</v>
      </c>
      <c r="E1024" t="s">
        <v>69</v>
      </c>
      <c r="F1024" t="s">
        <v>70</v>
      </c>
      <c r="G1024" t="s">
        <v>50</v>
      </c>
      <c r="H1024" t="s">
        <v>5138</v>
      </c>
      <c r="I1024" t="s">
        <v>5139</v>
      </c>
      <c r="J1024">
        <v>199123</v>
      </c>
      <c r="K1024" t="s">
        <v>2165</v>
      </c>
      <c r="L1024" t="s">
        <v>142</v>
      </c>
      <c r="M1024" t="s">
        <v>19</v>
      </c>
      <c r="N1024">
        <v>45377</v>
      </c>
      <c r="O1024">
        <v>866</v>
      </c>
      <c r="P1024" t="s">
        <v>20</v>
      </c>
      <c r="Q1024">
        <v>6</v>
      </c>
      <c r="R1024" t="s">
        <v>40</v>
      </c>
      <c r="S1024" t="s">
        <v>53</v>
      </c>
      <c r="T1024" t="s">
        <v>29</v>
      </c>
    </row>
    <row r="1025" spans="1:20" x14ac:dyDescent="0.3">
      <c r="A1025" t="s">
        <v>2166</v>
      </c>
      <c r="B1025" t="s">
        <v>124</v>
      </c>
      <c r="C1025" t="s">
        <v>232</v>
      </c>
      <c r="D1025" t="s">
        <v>5156</v>
      </c>
      <c r="E1025" t="s">
        <v>14</v>
      </c>
      <c r="F1025" t="s">
        <v>15</v>
      </c>
      <c r="G1025" t="s">
        <v>16</v>
      </c>
      <c r="H1025" t="s">
        <v>5138</v>
      </c>
      <c r="I1025" t="s">
        <v>5139</v>
      </c>
      <c r="J1025">
        <v>277121</v>
      </c>
      <c r="K1025" t="s">
        <v>2167</v>
      </c>
      <c r="L1025" t="s">
        <v>5165</v>
      </c>
      <c r="M1025" t="s">
        <v>46</v>
      </c>
      <c r="N1025">
        <v>45640</v>
      </c>
      <c r="O1025">
        <v>3273</v>
      </c>
      <c r="P1025" t="s">
        <v>20</v>
      </c>
      <c r="Q1025">
        <v>6</v>
      </c>
      <c r="R1025" t="s">
        <v>47</v>
      </c>
      <c r="S1025" t="s">
        <v>21</v>
      </c>
      <c r="T1025" t="s">
        <v>29</v>
      </c>
    </row>
    <row r="1026" spans="1:20" x14ac:dyDescent="0.3">
      <c r="A1026" t="s">
        <v>2168</v>
      </c>
      <c r="B1026" t="s">
        <v>165</v>
      </c>
      <c r="C1026" t="s">
        <v>90</v>
      </c>
      <c r="D1026" t="s">
        <v>5156</v>
      </c>
      <c r="E1026" t="s">
        <v>193</v>
      </c>
      <c r="F1026" t="s">
        <v>194</v>
      </c>
      <c r="G1026" t="s">
        <v>16</v>
      </c>
      <c r="H1026" t="s">
        <v>5140</v>
      </c>
      <c r="I1026" t="s">
        <v>5141</v>
      </c>
      <c r="J1026">
        <v>144205</v>
      </c>
      <c r="K1026" t="s">
        <v>2169</v>
      </c>
      <c r="L1026" t="s">
        <v>179</v>
      </c>
      <c r="M1026" t="s">
        <v>72</v>
      </c>
      <c r="N1026">
        <v>45641</v>
      </c>
      <c r="O1026">
        <v>3349</v>
      </c>
      <c r="P1026" t="s">
        <v>29</v>
      </c>
      <c r="Q1026">
        <v>2</v>
      </c>
      <c r="R1026" t="s">
        <v>52</v>
      </c>
      <c r="S1026" t="s">
        <v>41</v>
      </c>
      <c r="T1026" t="s">
        <v>29</v>
      </c>
    </row>
    <row r="1027" spans="1:20" x14ac:dyDescent="0.3">
      <c r="A1027" t="s">
        <v>2170</v>
      </c>
      <c r="B1027" t="s">
        <v>218</v>
      </c>
      <c r="C1027" t="s">
        <v>160</v>
      </c>
      <c r="D1027" t="s">
        <v>118</v>
      </c>
      <c r="E1027" t="s">
        <v>69</v>
      </c>
      <c r="F1027" t="s">
        <v>70</v>
      </c>
      <c r="G1027" t="s">
        <v>36</v>
      </c>
      <c r="H1027" t="s">
        <v>5142</v>
      </c>
      <c r="I1027" t="s">
        <v>5143</v>
      </c>
      <c r="J1027">
        <v>161780</v>
      </c>
      <c r="K1027" t="s">
        <v>2171</v>
      </c>
      <c r="L1027" t="s">
        <v>5165</v>
      </c>
      <c r="M1027" t="s">
        <v>19</v>
      </c>
      <c r="N1027">
        <v>45315</v>
      </c>
      <c r="O1027">
        <v>1319</v>
      </c>
      <c r="P1027" t="s">
        <v>20</v>
      </c>
      <c r="Q1027">
        <v>4</v>
      </c>
      <c r="R1027" t="s">
        <v>47</v>
      </c>
      <c r="S1027" t="s">
        <v>21</v>
      </c>
      <c r="T1027" t="s">
        <v>29</v>
      </c>
    </row>
    <row r="1028" spans="1:20" x14ac:dyDescent="0.3">
      <c r="A1028" t="s">
        <v>2172</v>
      </c>
      <c r="B1028" t="s">
        <v>74</v>
      </c>
      <c r="C1028" t="s">
        <v>185</v>
      </c>
      <c r="D1028" t="s">
        <v>118</v>
      </c>
      <c r="E1028" t="s">
        <v>193</v>
      </c>
      <c r="F1028" t="s">
        <v>194</v>
      </c>
      <c r="G1028" t="s">
        <v>36</v>
      </c>
      <c r="H1028" t="s">
        <v>5140</v>
      </c>
      <c r="I1028" t="s">
        <v>5141</v>
      </c>
      <c r="J1028">
        <v>110752</v>
      </c>
      <c r="K1028" t="s">
        <v>2173</v>
      </c>
      <c r="L1028" t="s">
        <v>142</v>
      </c>
      <c r="M1028" t="s">
        <v>72</v>
      </c>
      <c r="N1028">
        <v>45355</v>
      </c>
      <c r="O1028">
        <v>508</v>
      </c>
      <c r="P1028" t="s">
        <v>29</v>
      </c>
      <c r="Q1028">
        <v>2</v>
      </c>
      <c r="R1028" t="s">
        <v>76</v>
      </c>
      <c r="S1028" t="s">
        <v>21</v>
      </c>
      <c r="T1028" t="s">
        <v>20</v>
      </c>
    </row>
    <row r="1029" spans="1:20" x14ac:dyDescent="0.3">
      <c r="A1029" t="s">
        <v>2174</v>
      </c>
      <c r="B1029" t="s">
        <v>124</v>
      </c>
      <c r="C1029" t="s">
        <v>188</v>
      </c>
      <c r="D1029" t="s">
        <v>167</v>
      </c>
      <c r="E1029" t="s">
        <v>95</v>
      </c>
      <c r="F1029" t="s">
        <v>96</v>
      </c>
      <c r="G1029" t="s">
        <v>50</v>
      </c>
      <c r="H1029" t="s">
        <v>5138</v>
      </c>
      <c r="I1029" t="s">
        <v>5139</v>
      </c>
      <c r="J1029">
        <v>204321</v>
      </c>
      <c r="K1029" t="s">
        <v>2175</v>
      </c>
      <c r="L1029" t="s">
        <v>38</v>
      </c>
      <c r="M1029" t="s">
        <v>39</v>
      </c>
      <c r="N1029">
        <v>45305</v>
      </c>
      <c r="O1029">
        <v>3735</v>
      </c>
      <c r="P1029" t="s">
        <v>29</v>
      </c>
      <c r="Q1029">
        <v>6</v>
      </c>
      <c r="R1029" t="s">
        <v>47</v>
      </c>
      <c r="S1029" t="s">
        <v>21</v>
      </c>
      <c r="T1029" t="s">
        <v>20</v>
      </c>
    </row>
    <row r="1030" spans="1:20" x14ac:dyDescent="0.3">
      <c r="A1030" t="s">
        <v>2176</v>
      </c>
      <c r="B1030" t="s">
        <v>165</v>
      </c>
      <c r="C1030" t="s">
        <v>79</v>
      </c>
      <c r="D1030" t="s">
        <v>33</v>
      </c>
      <c r="E1030" t="s">
        <v>209</v>
      </c>
      <c r="F1030" t="s">
        <v>210</v>
      </c>
      <c r="G1030" t="s">
        <v>16</v>
      </c>
      <c r="H1030" t="s">
        <v>5140</v>
      </c>
      <c r="I1030" t="s">
        <v>5141</v>
      </c>
      <c r="J1030">
        <v>122147</v>
      </c>
      <c r="K1030" t="s">
        <v>2177</v>
      </c>
      <c r="L1030" t="s">
        <v>5165</v>
      </c>
      <c r="M1030" t="s">
        <v>39</v>
      </c>
      <c r="N1030">
        <v>45559</v>
      </c>
      <c r="O1030">
        <v>539</v>
      </c>
      <c r="P1030" t="s">
        <v>29</v>
      </c>
      <c r="Q1030">
        <v>2</v>
      </c>
      <c r="R1030" t="s">
        <v>52</v>
      </c>
      <c r="S1030" t="s">
        <v>21</v>
      </c>
      <c r="T1030" t="s">
        <v>29</v>
      </c>
    </row>
    <row r="1031" spans="1:20" x14ac:dyDescent="0.3">
      <c r="A1031" t="s">
        <v>2178</v>
      </c>
      <c r="B1031" t="s">
        <v>222</v>
      </c>
      <c r="C1031" t="s">
        <v>94</v>
      </c>
      <c r="D1031" t="s">
        <v>68</v>
      </c>
      <c r="E1031" t="s">
        <v>5126</v>
      </c>
      <c r="F1031" t="s">
        <v>5125</v>
      </c>
      <c r="G1031" t="s">
        <v>16</v>
      </c>
      <c r="H1031" t="s">
        <v>5138</v>
      </c>
      <c r="I1031" t="s">
        <v>5139</v>
      </c>
      <c r="J1031">
        <v>163179</v>
      </c>
      <c r="K1031" t="s">
        <v>2179</v>
      </c>
      <c r="L1031" t="s">
        <v>5165</v>
      </c>
      <c r="M1031" t="s">
        <v>39</v>
      </c>
      <c r="N1031">
        <v>45317</v>
      </c>
      <c r="O1031">
        <v>1571</v>
      </c>
      <c r="P1031" t="s">
        <v>29</v>
      </c>
      <c r="Q1031">
        <v>6</v>
      </c>
      <c r="R1031" t="s">
        <v>5116</v>
      </c>
      <c r="S1031" t="s">
        <v>21</v>
      </c>
      <c r="T1031" t="s">
        <v>29</v>
      </c>
    </row>
    <row r="1032" spans="1:20" x14ac:dyDescent="0.3">
      <c r="A1032" t="s">
        <v>2180</v>
      </c>
      <c r="B1032" t="s">
        <v>12</v>
      </c>
      <c r="C1032" t="s">
        <v>67</v>
      </c>
      <c r="D1032" t="s">
        <v>25</v>
      </c>
      <c r="E1032" t="s">
        <v>126</v>
      </c>
      <c r="F1032" t="s">
        <v>127</v>
      </c>
      <c r="G1032" t="s">
        <v>16</v>
      </c>
      <c r="H1032" t="s">
        <v>5142</v>
      </c>
      <c r="I1032" t="s">
        <v>5143</v>
      </c>
      <c r="J1032">
        <v>143050</v>
      </c>
      <c r="K1032" t="s">
        <v>2181</v>
      </c>
      <c r="L1032" t="s">
        <v>113</v>
      </c>
      <c r="M1032" t="s">
        <v>39</v>
      </c>
      <c r="N1032">
        <v>45577</v>
      </c>
      <c r="O1032">
        <v>830</v>
      </c>
      <c r="P1032" t="s">
        <v>20</v>
      </c>
      <c r="Q1032">
        <v>4</v>
      </c>
      <c r="R1032" t="s">
        <v>40</v>
      </c>
      <c r="S1032" t="s">
        <v>21</v>
      </c>
      <c r="T1032" t="s">
        <v>29</v>
      </c>
    </row>
    <row r="1033" spans="1:20" x14ac:dyDescent="0.3">
      <c r="A1033" t="s">
        <v>2182</v>
      </c>
      <c r="B1033" t="s">
        <v>99</v>
      </c>
      <c r="C1033" t="s">
        <v>219</v>
      </c>
      <c r="D1033" t="s">
        <v>68</v>
      </c>
      <c r="E1033" t="s">
        <v>58</v>
      </c>
      <c r="F1033" t="s">
        <v>59</v>
      </c>
      <c r="G1033" t="s">
        <v>50</v>
      </c>
      <c r="H1033" t="s">
        <v>5140</v>
      </c>
      <c r="I1033" t="s">
        <v>5141</v>
      </c>
      <c r="J1033">
        <v>76962</v>
      </c>
      <c r="K1033" t="s">
        <v>2183</v>
      </c>
      <c r="L1033" t="s">
        <v>5165</v>
      </c>
      <c r="M1033" t="s">
        <v>72</v>
      </c>
      <c r="N1033">
        <v>45656</v>
      </c>
      <c r="O1033">
        <v>2948</v>
      </c>
      <c r="P1033" t="s">
        <v>20</v>
      </c>
      <c r="Q1033">
        <v>2</v>
      </c>
      <c r="R1033" t="s">
        <v>47</v>
      </c>
      <c r="S1033" t="s">
        <v>21</v>
      </c>
      <c r="T1033" t="s">
        <v>20</v>
      </c>
    </row>
    <row r="1034" spans="1:20" x14ac:dyDescent="0.3">
      <c r="A1034" t="s">
        <v>2184</v>
      </c>
      <c r="B1034" t="s">
        <v>130</v>
      </c>
      <c r="C1034" t="s">
        <v>90</v>
      </c>
      <c r="D1034" t="s">
        <v>57</v>
      </c>
      <c r="E1034" t="s">
        <v>5126</v>
      </c>
      <c r="F1034" t="s">
        <v>5125</v>
      </c>
      <c r="G1034" t="s">
        <v>16</v>
      </c>
      <c r="H1034" t="s">
        <v>5136</v>
      </c>
      <c r="I1034" t="s">
        <v>5137</v>
      </c>
      <c r="J1034">
        <v>75030</v>
      </c>
      <c r="K1034" t="s">
        <v>2185</v>
      </c>
      <c r="L1034" t="s">
        <v>5165</v>
      </c>
      <c r="M1034" t="s">
        <v>39</v>
      </c>
      <c r="N1034">
        <v>45746</v>
      </c>
      <c r="O1034">
        <v>283</v>
      </c>
      <c r="P1034" t="s">
        <v>92</v>
      </c>
      <c r="Q1034">
        <v>0</v>
      </c>
      <c r="R1034" t="s">
        <v>5116</v>
      </c>
      <c r="S1034" t="s">
        <v>21</v>
      </c>
      <c r="T1034" t="s">
        <v>29</v>
      </c>
    </row>
    <row r="1035" spans="1:20" x14ac:dyDescent="0.3">
      <c r="A1035" t="s">
        <v>2186</v>
      </c>
      <c r="B1035" t="s">
        <v>89</v>
      </c>
      <c r="C1035" t="s">
        <v>24</v>
      </c>
      <c r="D1035" t="s">
        <v>118</v>
      </c>
      <c r="E1035" t="s">
        <v>5129</v>
      </c>
      <c r="F1035" t="s">
        <v>5130</v>
      </c>
      <c r="G1035" t="s">
        <v>50</v>
      </c>
      <c r="H1035" t="s">
        <v>5142</v>
      </c>
      <c r="I1035" t="s">
        <v>5143</v>
      </c>
      <c r="J1035">
        <v>167474</v>
      </c>
      <c r="K1035" t="s">
        <v>2187</v>
      </c>
      <c r="L1035" t="s">
        <v>5165</v>
      </c>
      <c r="M1035" t="s">
        <v>19</v>
      </c>
      <c r="N1035">
        <v>45295</v>
      </c>
      <c r="O1035">
        <v>910</v>
      </c>
      <c r="P1035" t="s">
        <v>20</v>
      </c>
      <c r="Q1035">
        <v>4</v>
      </c>
      <c r="R1035" t="s">
        <v>47</v>
      </c>
      <c r="S1035" t="s">
        <v>21</v>
      </c>
      <c r="T1035" t="s">
        <v>29</v>
      </c>
    </row>
    <row r="1036" spans="1:20" x14ac:dyDescent="0.3">
      <c r="A1036" t="s">
        <v>2188</v>
      </c>
      <c r="B1036" t="s">
        <v>74</v>
      </c>
      <c r="C1036" t="s">
        <v>125</v>
      </c>
      <c r="D1036" t="s">
        <v>167</v>
      </c>
      <c r="E1036" t="s">
        <v>26</v>
      </c>
      <c r="F1036" t="s">
        <v>27</v>
      </c>
      <c r="G1036" t="s">
        <v>36</v>
      </c>
      <c r="H1036" t="s">
        <v>5138</v>
      </c>
      <c r="I1036" t="s">
        <v>5139</v>
      </c>
      <c r="J1036">
        <v>182605</v>
      </c>
      <c r="K1036" t="s">
        <v>2189</v>
      </c>
      <c r="L1036" t="s">
        <v>82</v>
      </c>
      <c r="M1036" t="s">
        <v>46</v>
      </c>
      <c r="N1036">
        <v>45660</v>
      </c>
      <c r="O1036">
        <v>3283</v>
      </c>
      <c r="P1036" t="s">
        <v>29</v>
      </c>
      <c r="Q1036">
        <v>6</v>
      </c>
      <c r="R1036" t="s">
        <v>5116</v>
      </c>
      <c r="S1036" t="s">
        <v>21</v>
      </c>
      <c r="T1036" t="s">
        <v>29</v>
      </c>
    </row>
    <row r="1037" spans="1:20" x14ac:dyDescent="0.3">
      <c r="A1037" t="s">
        <v>2190</v>
      </c>
      <c r="B1037" t="s">
        <v>31</v>
      </c>
      <c r="C1037" t="s">
        <v>103</v>
      </c>
      <c r="D1037" t="s">
        <v>104</v>
      </c>
      <c r="E1037" t="s">
        <v>5128</v>
      </c>
      <c r="F1037" t="s">
        <v>5125</v>
      </c>
      <c r="G1037" t="s">
        <v>36</v>
      </c>
      <c r="H1037" t="s">
        <v>5136</v>
      </c>
      <c r="I1037" t="s">
        <v>5137</v>
      </c>
      <c r="J1037">
        <v>89832</v>
      </c>
      <c r="K1037" t="s">
        <v>2191</v>
      </c>
      <c r="L1037" t="s">
        <v>5165</v>
      </c>
      <c r="M1037" t="s">
        <v>39</v>
      </c>
      <c r="N1037">
        <v>45636</v>
      </c>
      <c r="O1037">
        <v>2430</v>
      </c>
      <c r="P1037" t="s">
        <v>20</v>
      </c>
      <c r="Q1037">
        <v>0</v>
      </c>
      <c r="R1037" t="s">
        <v>76</v>
      </c>
      <c r="S1037" t="s">
        <v>21</v>
      </c>
      <c r="T1037" t="s">
        <v>20</v>
      </c>
    </row>
    <row r="1038" spans="1:20" x14ac:dyDescent="0.3">
      <c r="A1038" t="s">
        <v>2192</v>
      </c>
      <c r="B1038" t="s">
        <v>222</v>
      </c>
      <c r="C1038" t="s">
        <v>94</v>
      </c>
      <c r="D1038" t="s">
        <v>118</v>
      </c>
      <c r="E1038" t="s">
        <v>5132</v>
      </c>
      <c r="F1038" t="s">
        <v>5125</v>
      </c>
      <c r="G1038" t="s">
        <v>50</v>
      </c>
      <c r="H1038" t="s">
        <v>5138</v>
      </c>
      <c r="I1038" t="s">
        <v>5139</v>
      </c>
      <c r="J1038">
        <v>155872</v>
      </c>
      <c r="K1038" t="s">
        <v>2193</v>
      </c>
      <c r="L1038" t="s">
        <v>82</v>
      </c>
      <c r="M1038" t="s">
        <v>39</v>
      </c>
      <c r="N1038">
        <v>45301</v>
      </c>
      <c r="O1038">
        <v>623</v>
      </c>
      <c r="P1038" t="s">
        <v>20</v>
      </c>
      <c r="Q1038">
        <v>6</v>
      </c>
      <c r="R1038" t="s">
        <v>47</v>
      </c>
      <c r="S1038" t="s">
        <v>21</v>
      </c>
      <c r="T1038" t="s">
        <v>20</v>
      </c>
    </row>
    <row r="1039" spans="1:20" x14ac:dyDescent="0.3">
      <c r="A1039" t="s">
        <v>2194</v>
      </c>
      <c r="B1039" t="s">
        <v>322</v>
      </c>
      <c r="C1039" t="s">
        <v>185</v>
      </c>
      <c r="D1039" t="s">
        <v>57</v>
      </c>
      <c r="E1039" t="s">
        <v>34</v>
      </c>
      <c r="F1039" t="s">
        <v>35</v>
      </c>
      <c r="G1039" t="s">
        <v>36</v>
      </c>
      <c r="H1039" t="s">
        <v>5138</v>
      </c>
      <c r="I1039" t="s">
        <v>5139</v>
      </c>
      <c r="J1039">
        <v>147282</v>
      </c>
      <c r="K1039" t="s">
        <v>2195</v>
      </c>
      <c r="L1039" t="s">
        <v>134</v>
      </c>
      <c r="M1039" t="s">
        <v>19</v>
      </c>
      <c r="N1039">
        <v>45623</v>
      </c>
      <c r="O1039">
        <v>550</v>
      </c>
      <c r="P1039" t="s">
        <v>20</v>
      </c>
      <c r="Q1039">
        <v>6</v>
      </c>
      <c r="R1039" t="s">
        <v>52</v>
      </c>
      <c r="S1039" t="s">
        <v>21</v>
      </c>
      <c r="T1039" t="s">
        <v>29</v>
      </c>
    </row>
    <row r="1040" spans="1:20" x14ac:dyDescent="0.3">
      <c r="A1040" t="s">
        <v>2196</v>
      </c>
      <c r="B1040" t="s">
        <v>229</v>
      </c>
      <c r="C1040" t="s">
        <v>175</v>
      </c>
      <c r="D1040" t="s">
        <v>25</v>
      </c>
      <c r="E1040" t="s">
        <v>126</v>
      </c>
      <c r="F1040" t="s">
        <v>127</v>
      </c>
      <c r="G1040" t="s">
        <v>16</v>
      </c>
      <c r="H1040" t="s">
        <v>5138</v>
      </c>
      <c r="I1040" t="s">
        <v>5139</v>
      </c>
      <c r="J1040">
        <v>208080</v>
      </c>
      <c r="K1040" t="s">
        <v>2197</v>
      </c>
      <c r="L1040" t="s">
        <v>5165</v>
      </c>
      <c r="M1040" t="s">
        <v>19</v>
      </c>
      <c r="N1040">
        <v>45413</v>
      </c>
      <c r="O1040">
        <v>2590</v>
      </c>
      <c r="P1040" t="s">
        <v>20</v>
      </c>
      <c r="Q1040">
        <v>6</v>
      </c>
      <c r="R1040" t="s">
        <v>40</v>
      </c>
      <c r="S1040" t="s">
        <v>21</v>
      </c>
      <c r="T1040" t="s">
        <v>29</v>
      </c>
    </row>
    <row r="1041" spans="1:20" x14ac:dyDescent="0.3">
      <c r="A1041" t="s">
        <v>2198</v>
      </c>
      <c r="B1041" t="s">
        <v>124</v>
      </c>
      <c r="C1041" t="s">
        <v>64</v>
      </c>
      <c r="D1041" t="s">
        <v>167</v>
      </c>
      <c r="E1041" t="s">
        <v>95</v>
      </c>
      <c r="F1041" t="s">
        <v>96</v>
      </c>
      <c r="G1041" t="s">
        <v>16</v>
      </c>
      <c r="H1041" t="s">
        <v>5142</v>
      </c>
      <c r="I1041" t="s">
        <v>5143</v>
      </c>
      <c r="J1041">
        <v>178271</v>
      </c>
      <c r="K1041" t="s">
        <v>2199</v>
      </c>
      <c r="L1041" t="s">
        <v>179</v>
      </c>
      <c r="M1041" t="s">
        <v>46</v>
      </c>
      <c r="N1041">
        <v>45366</v>
      </c>
      <c r="O1041">
        <v>1125</v>
      </c>
      <c r="P1041" t="s">
        <v>92</v>
      </c>
      <c r="Q1041">
        <v>4</v>
      </c>
      <c r="R1041" t="s">
        <v>76</v>
      </c>
      <c r="S1041" t="s">
        <v>21</v>
      </c>
      <c r="T1041" t="s">
        <v>20</v>
      </c>
    </row>
    <row r="1042" spans="1:20" x14ac:dyDescent="0.3">
      <c r="A1042" t="s">
        <v>2200</v>
      </c>
      <c r="B1042" t="s">
        <v>74</v>
      </c>
      <c r="C1042" t="s">
        <v>43</v>
      </c>
      <c r="D1042" t="s">
        <v>140</v>
      </c>
      <c r="E1042" t="s">
        <v>5132</v>
      </c>
      <c r="F1042" t="s">
        <v>5125</v>
      </c>
      <c r="G1042" t="s">
        <v>36</v>
      </c>
      <c r="H1042" t="s">
        <v>5138</v>
      </c>
      <c r="I1042" t="s">
        <v>5139</v>
      </c>
      <c r="J1042">
        <v>260621</v>
      </c>
      <c r="K1042" t="s">
        <v>2201</v>
      </c>
      <c r="L1042" t="s">
        <v>87</v>
      </c>
      <c r="M1042" t="s">
        <v>46</v>
      </c>
      <c r="N1042">
        <v>45292</v>
      </c>
      <c r="O1042">
        <v>2354</v>
      </c>
      <c r="P1042" t="s">
        <v>20</v>
      </c>
      <c r="Q1042">
        <v>6</v>
      </c>
      <c r="R1042" t="s">
        <v>52</v>
      </c>
      <c r="S1042" t="s">
        <v>41</v>
      </c>
      <c r="T1042" t="s">
        <v>20</v>
      </c>
    </row>
    <row r="1043" spans="1:20" x14ac:dyDescent="0.3">
      <c r="A1043" t="s">
        <v>2202</v>
      </c>
      <c r="B1043" t="s">
        <v>63</v>
      </c>
      <c r="C1043" t="s">
        <v>24</v>
      </c>
      <c r="D1043" t="s">
        <v>33</v>
      </c>
      <c r="E1043" t="s">
        <v>80</v>
      </c>
      <c r="F1043" t="s">
        <v>80</v>
      </c>
      <c r="G1043" t="s">
        <v>16</v>
      </c>
      <c r="H1043" t="s">
        <v>5138</v>
      </c>
      <c r="I1043" t="s">
        <v>5139</v>
      </c>
      <c r="J1043">
        <v>183480</v>
      </c>
      <c r="K1043" t="s">
        <v>2203</v>
      </c>
      <c r="L1043" t="s">
        <v>38</v>
      </c>
      <c r="M1043" t="s">
        <v>46</v>
      </c>
      <c r="N1043">
        <v>45469</v>
      </c>
      <c r="O1043">
        <v>2421</v>
      </c>
      <c r="P1043" t="s">
        <v>20</v>
      </c>
      <c r="Q1043">
        <v>6</v>
      </c>
      <c r="R1043" t="s">
        <v>40</v>
      </c>
      <c r="S1043" t="s">
        <v>21</v>
      </c>
      <c r="T1043" t="s">
        <v>20</v>
      </c>
    </row>
    <row r="1044" spans="1:20" x14ac:dyDescent="0.3">
      <c r="A1044" t="s">
        <v>2204</v>
      </c>
      <c r="B1044" t="s">
        <v>165</v>
      </c>
      <c r="C1044" t="s">
        <v>175</v>
      </c>
      <c r="D1044" t="s">
        <v>167</v>
      </c>
      <c r="E1044" t="s">
        <v>5128</v>
      </c>
      <c r="F1044" t="s">
        <v>5125</v>
      </c>
      <c r="G1044" t="s">
        <v>16</v>
      </c>
      <c r="H1044" t="s">
        <v>5138</v>
      </c>
      <c r="I1044" t="s">
        <v>5139</v>
      </c>
      <c r="J1044">
        <v>238832</v>
      </c>
      <c r="K1044" t="s">
        <v>2205</v>
      </c>
      <c r="L1044" t="s">
        <v>179</v>
      </c>
      <c r="M1044" t="s">
        <v>46</v>
      </c>
      <c r="N1044">
        <v>45617</v>
      </c>
      <c r="O1044">
        <v>744</v>
      </c>
      <c r="P1044" t="s">
        <v>20</v>
      </c>
      <c r="Q1044">
        <v>6</v>
      </c>
      <c r="R1044" t="s">
        <v>5116</v>
      </c>
      <c r="S1044" t="s">
        <v>21</v>
      </c>
      <c r="T1044" t="s">
        <v>29</v>
      </c>
    </row>
    <row r="1045" spans="1:20" x14ac:dyDescent="0.3">
      <c r="A1045" t="s">
        <v>2206</v>
      </c>
      <c r="B1045" t="s">
        <v>322</v>
      </c>
      <c r="C1045" t="s">
        <v>64</v>
      </c>
      <c r="D1045" t="s">
        <v>167</v>
      </c>
      <c r="E1045" t="s">
        <v>5131</v>
      </c>
      <c r="F1045" t="s">
        <v>5125</v>
      </c>
      <c r="G1045" t="s">
        <v>16</v>
      </c>
      <c r="H1045" t="s">
        <v>5140</v>
      </c>
      <c r="I1045" t="s">
        <v>5141</v>
      </c>
      <c r="J1045">
        <v>109237</v>
      </c>
      <c r="K1045" t="s">
        <v>2207</v>
      </c>
      <c r="L1045" t="s">
        <v>5165</v>
      </c>
      <c r="M1045" t="s">
        <v>46</v>
      </c>
      <c r="N1045">
        <v>45332</v>
      </c>
      <c r="O1045">
        <v>3788</v>
      </c>
      <c r="P1045" t="s">
        <v>20</v>
      </c>
      <c r="Q1045">
        <v>2</v>
      </c>
      <c r="R1045" t="s">
        <v>52</v>
      </c>
      <c r="S1045" t="s">
        <v>21</v>
      </c>
      <c r="T1045" t="s">
        <v>20</v>
      </c>
    </row>
    <row r="1046" spans="1:20" x14ac:dyDescent="0.3">
      <c r="A1046" t="s">
        <v>2208</v>
      </c>
      <c r="B1046" t="s">
        <v>31</v>
      </c>
      <c r="C1046" t="s">
        <v>32</v>
      </c>
      <c r="D1046" t="s">
        <v>104</v>
      </c>
      <c r="E1046" t="s">
        <v>26</v>
      </c>
      <c r="F1046" t="s">
        <v>27</v>
      </c>
      <c r="G1046" t="s">
        <v>16</v>
      </c>
      <c r="H1046" t="s">
        <v>5142</v>
      </c>
      <c r="I1046" t="s">
        <v>5143</v>
      </c>
      <c r="J1046">
        <v>145339</v>
      </c>
      <c r="K1046" t="s">
        <v>2209</v>
      </c>
      <c r="L1046" t="s">
        <v>134</v>
      </c>
      <c r="M1046" t="s">
        <v>46</v>
      </c>
      <c r="N1046">
        <v>45423</v>
      </c>
      <c r="O1046">
        <v>3425</v>
      </c>
      <c r="P1046" t="s">
        <v>20</v>
      </c>
      <c r="Q1046">
        <v>4</v>
      </c>
      <c r="R1046" t="s">
        <v>40</v>
      </c>
      <c r="S1046" t="s">
        <v>21</v>
      </c>
      <c r="T1046" t="s">
        <v>20</v>
      </c>
    </row>
    <row r="1047" spans="1:20" x14ac:dyDescent="0.3">
      <c r="A1047" t="s">
        <v>2210</v>
      </c>
      <c r="B1047" t="s">
        <v>84</v>
      </c>
      <c r="C1047" t="s">
        <v>100</v>
      </c>
      <c r="D1047" t="s">
        <v>57</v>
      </c>
      <c r="E1047" t="s">
        <v>5131</v>
      </c>
      <c r="F1047" t="s">
        <v>5125</v>
      </c>
      <c r="G1047" t="s">
        <v>16</v>
      </c>
      <c r="H1047" t="s">
        <v>5142</v>
      </c>
      <c r="I1047" t="s">
        <v>5143</v>
      </c>
      <c r="J1047">
        <v>173858</v>
      </c>
      <c r="K1047" t="s">
        <v>2211</v>
      </c>
      <c r="L1047" t="s">
        <v>18</v>
      </c>
      <c r="M1047" t="s">
        <v>39</v>
      </c>
      <c r="N1047">
        <v>45561</v>
      </c>
      <c r="O1047">
        <v>2367</v>
      </c>
      <c r="P1047" t="s">
        <v>20</v>
      </c>
      <c r="Q1047">
        <v>4</v>
      </c>
      <c r="R1047" t="s">
        <v>76</v>
      </c>
      <c r="S1047" t="s">
        <v>21</v>
      </c>
      <c r="T1047" t="s">
        <v>20</v>
      </c>
    </row>
    <row r="1048" spans="1:20" x14ac:dyDescent="0.3">
      <c r="A1048" t="s">
        <v>2212</v>
      </c>
      <c r="B1048" t="s">
        <v>136</v>
      </c>
      <c r="C1048" t="s">
        <v>175</v>
      </c>
      <c r="D1048" t="s">
        <v>118</v>
      </c>
      <c r="E1048" t="s">
        <v>5129</v>
      </c>
      <c r="F1048" t="s">
        <v>5130</v>
      </c>
      <c r="G1048" t="s">
        <v>16</v>
      </c>
      <c r="H1048" t="s">
        <v>5142</v>
      </c>
      <c r="I1048" t="s">
        <v>5143</v>
      </c>
      <c r="J1048">
        <v>167612</v>
      </c>
      <c r="K1048" t="s">
        <v>2213</v>
      </c>
      <c r="L1048" t="s">
        <v>179</v>
      </c>
      <c r="M1048" t="s">
        <v>19</v>
      </c>
      <c r="N1048">
        <v>45345</v>
      </c>
      <c r="O1048">
        <v>3129</v>
      </c>
      <c r="P1048" t="s">
        <v>29</v>
      </c>
      <c r="Q1048">
        <v>4</v>
      </c>
      <c r="R1048" t="s">
        <v>40</v>
      </c>
      <c r="S1048" t="s">
        <v>21</v>
      </c>
      <c r="T1048" t="s">
        <v>20</v>
      </c>
    </row>
    <row r="1049" spans="1:20" x14ac:dyDescent="0.3">
      <c r="A1049" t="s">
        <v>2214</v>
      </c>
      <c r="B1049" t="s">
        <v>218</v>
      </c>
      <c r="C1049" t="s">
        <v>202</v>
      </c>
      <c r="D1049" t="s">
        <v>5156</v>
      </c>
      <c r="E1049" t="s">
        <v>223</v>
      </c>
      <c r="F1049" t="s">
        <v>224</v>
      </c>
      <c r="G1049" t="s">
        <v>36</v>
      </c>
      <c r="H1049" t="s">
        <v>5140</v>
      </c>
      <c r="I1049" t="s">
        <v>5141</v>
      </c>
      <c r="J1049">
        <v>78787</v>
      </c>
      <c r="K1049" t="s">
        <v>2215</v>
      </c>
      <c r="L1049" t="s">
        <v>5165</v>
      </c>
      <c r="M1049" t="s">
        <v>19</v>
      </c>
      <c r="N1049">
        <v>45693</v>
      </c>
      <c r="O1049">
        <v>1246</v>
      </c>
      <c r="P1049" t="s">
        <v>20</v>
      </c>
      <c r="Q1049">
        <v>2</v>
      </c>
      <c r="R1049" t="s">
        <v>52</v>
      </c>
      <c r="S1049" t="s">
        <v>53</v>
      </c>
      <c r="T1049" t="s">
        <v>29</v>
      </c>
    </row>
    <row r="1050" spans="1:20" x14ac:dyDescent="0.3">
      <c r="A1050" t="s">
        <v>2216</v>
      </c>
      <c r="B1050" t="s">
        <v>63</v>
      </c>
      <c r="C1050" t="s">
        <v>94</v>
      </c>
      <c r="D1050" t="s">
        <v>118</v>
      </c>
      <c r="E1050" t="s">
        <v>209</v>
      </c>
      <c r="F1050" t="s">
        <v>210</v>
      </c>
      <c r="G1050" t="s">
        <v>16</v>
      </c>
      <c r="H1050" t="s">
        <v>5140</v>
      </c>
      <c r="I1050" t="s">
        <v>5141</v>
      </c>
      <c r="J1050">
        <v>139235</v>
      </c>
      <c r="K1050" t="s">
        <v>2217</v>
      </c>
      <c r="L1050" t="s">
        <v>5165</v>
      </c>
      <c r="M1050" t="s">
        <v>39</v>
      </c>
      <c r="N1050">
        <v>45319</v>
      </c>
      <c r="O1050">
        <v>3015</v>
      </c>
      <c r="P1050" t="s">
        <v>92</v>
      </c>
      <c r="Q1050">
        <v>2</v>
      </c>
      <c r="R1050" t="s">
        <v>40</v>
      </c>
      <c r="S1050" t="s">
        <v>53</v>
      </c>
      <c r="T1050" t="s">
        <v>20</v>
      </c>
    </row>
    <row r="1051" spans="1:20" x14ac:dyDescent="0.3">
      <c r="A1051" t="s">
        <v>2218</v>
      </c>
      <c r="B1051" t="s">
        <v>124</v>
      </c>
      <c r="C1051" t="s">
        <v>166</v>
      </c>
      <c r="D1051" t="s">
        <v>167</v>
      </c>
      <c r="E1051" t="s">
        <v>80</v>
      </c>
      <c r="F1051" t="s">
        <v>80</v>
      </c>
      <c r="G1051" t="s">
        <v>16</v>
      </c>
      <c r="H1051" t="s">
        <v>5138</v>
      </c>
      <c r="I1051" t="s">
        <v>5139</v>
      </c>
      <c r="J1051">
        <v>249683</v>
      </c>
      <c r="K1051" t="s">
        <v>2219</v>
      </c>
      <c r="L1051" t="s">
        <v>142</v>
      </c>
      <c r="M1051" t="s">
        <v>46</v>
      </c>
      <c r="N1051">
        <v>45464</v>
      </c>
      <c r="O1051">
        <v>1072</v>
      </c>
      <c r="P1051" t="s">
        <v>20</v>
      </c>
      <c r="Q1051">
        <v>6</v>
      </c>
      <c r="R1051" t="s">
        <v>52</v>
      </c>
      <c r="S1051" t="s">
        <v>21</v>
      </c>
      <c r="T1051" t="s">
        <v>29</v>
      </c>
    </row>
    <row r="1052" spans="1:20" x14ac:dyDescent="0.3">
      <c r="A1052" t="s">
        <v>2220</v>
      </c>
      <c r="B1052" t="s">
        <v>84</v>
      </c>
      <c r="C1052" t="s">
        <v>100</v>
      </c>
      <c r="D1052" t="s">
        <v>118</v>
      </c>
      <c r="E1052" t="s">
        <v>5127</v>
      </c>
      <c r="F1052" t="s">
        <v>5125</v>
      </c>
      <c r="G1052" t="s">
        <v>50</v>
      </c>
      <c r="H1052" t="s">
        <v>5142</v>
      </c>
      <c r="I1052" t="s">
        <v>5143</v>
      </c>
      <c r="J1052">
        <v>133109</v>
      </c>
      <c r="K1052" t="s">
        <v>2221</v>
      </c>
      <c r="L1052" t="s">
        <v>5165</v>
      </c>
      <c r="M1052" t="s">
        <v>19</v>
      </c>
      <c r="N1052">
        <v>45443</v>
      </c>
      <c r="O1052">
        <v>808</v>
      </c>
      <c r="P1052" t="s">
        <v>20</v>
      </c>
      <c r="Q1052">
        <v>4</v>
      </c>
      <c r="R1052" t="s">
        <v>40</v>
      </c>
      <c r="S1052" t="s">
        <v>21</v>
      </c>
      <c r="T1052" t="s">
        <v>29</v>
      </c>
    </row>
    <row r="1053" spans="1:20" x14ac:dyDescent="0.3">
      <c r="A1053" t="s">
        <v>2222</v>
      </c>
      <c r="B1053" t="s">
        <v>12</v>
      </c>
      <c r="C1053" t="s">
        <v>67</v>
      </c>
      <c r="D1053" t="s">
        <v>5156</v>
      </c>
      <c r="E1053" t="s">
        <v>223</v>
      </c>
      <c r="F1053" t="s">
        <v>224</v>
      </c>
      <c r="G1053" t="s">
        <v>16</v>
      </c>
      <c r="H1053" t="s">
        <v>5136</v>
      </c>
      <c r="I1053" t="s">
        <v>5137</v>
      </c>
      <c r="J1053">
        <v>74987</v>
      </c>
      <c r="K1053" t="s">
        <v>2223</v>
      </c>
      <c r="L1053" t="s">
        <v>5165</v>
      </c>
      <c r="M1053" t="s">
        <v>19</v>
      </c>
      <c r="N1053">
        <v>45522</v>
      </c>
      <c r="O1053">
        <v>2921</v>
      </c>
      <c r="P1053" t="s">
        <v>20</v>
      </c>
      <c r="Q1053">
        <v>0</v>
      </c>
      <c r="R1053" t="s">
        <v>47</v>
      </c>
      <c r="S1053" t="s">
        <v>21</v>
      </c>
      <c r="T1053" t="s">
        <v>29</v>
      </c>
    </row>
    <row r="1054" spans="1:20" x14ac:dyDescent="0.3">
      <c r="A1054" t="s">
        <v>2224</v>
      </c>
      <c r="B1054" t="s">
        <v>136</v>
      </c>
      <c r="C1054" t="s">
        <v>103</v>
      </c>
      <c r="D1054" t="s">
        <v>57</v>
      </c>
      <c r="E1054" t="s">
        <v>58</v>
      </c>
      <c r="F1054" t="s">
        <v>59</v>
      </c>
      <c r="G1054" t="s">
        <v>50</v>
      </c>
      <c r="H1054" t="s">
        <v>5136</v>
      </c>
      <c r="I1054" t="s">
        <v>5137</v>
      </c>
      <c r="J1054">
        <v>76224</v>
      </c>
      <c r="K1054" t="s">
        <v>2225</v>
      </c>
      <c r="L1054" t="s">
        <v>113</v>
      </c>
      <c r="M1054" t="s">
        <v>19</v>
      </c>
      <c r="N1054">
        <v>45626</v>
      </c>
      <c r="O1054">
        <v>1247</v>
      </c>
      <c r="P1054" t="s">
        <v>29</v>
      </c>
      <c r="Q1054">
        <v>0</v>
      </c>
      <c r="R1054" t="s">
        <v>40</v>
      </c>
      <c r="S1054" t="s">
        <v>21</v>
      </c>
      <c r="T1054" t="s">
        <v>29</v>
      </c>
    </row>
    <row r="1055" spans="1:20" x14ac:dyDescent="0.3">
      <c r="A1055" t="s">
        <v>2226</v>
      </c>
      <c r="B1055" t="s">
        <v>218</v>
      </c>
      <c r="C1055" t="s">
        <v>64</v>
      </c>
      <c r="D1055" t="s">
        <v>118</v>
      </c>
      <c r="E1055" t="s">
        <v>95</v>
      </c>
      <c r="F1055" t="s">
        <v>96</v>
      </c>
      <c r="G1055" t="s">
        <v>16</v>
      </c>
      <c r="H1055" t="s">
        <v>5136</v>
      </c>
      <c r="I1055" t="s">
        <v>5137</v>
      </c>
      <c r="J1055">
        <v>73284</v>
      </c>
      <c r="K1055" t="s">
        <v>2227</v>
      </c>
      <c r="L1055" t="s">
        <v>5165</v>
      </c>
      <c r="M1055" t="s">
        <v>19</v>
      </c>
      <c r="N1055">
        <v>45578</v>
      </c>
      <c r="O1055">
        <v>2141</v>
      </c>
      <c r="P1055" t="s">
        <v>92</v>
      </c>
      <c r="Q1055">
        <v>0</v>
      </c>
      <c r="R1055" t="s">
        <v>76</v>
      </c>
      <c r="S1055" t="s">
        <v>53</v>
      </c>
      <c r="T1055" t="s">
        <v>29</v>
      </c>
    </row>
    <row r="1056" spans="1:20" x14ac:dyDescent="0.3">
      <c r="A1056" t="s">
        <v>2228</v>
      </c>
      <c r="B1056" t="s">
        <v>144</v>
      </c>
      <c r="C1056" t="s">
        <v>166</v>
      </c>
      <c r="D1056" t="s">
        <v>140</v>
      </c>
      <c r="E1056" t="s">
        <v>5124</v>
      </c>
      <c r="F1056" t="s">
        <v>5125</v>
      </c>
      <c r="G1056" t="s">
        <v>16</v>
      </c>
      <c r="H1056" t="s">
        <v>5140</v>
      </c>
      <c r="I1056" t="s">
        <v>5141</v>
      </c>
      <c r="J1056">
        <v>99103</v>
      </c>
      <c r="K1056" t="s">
        <v>2229</v>
      </c>
      <c r="L1056" t="s">
        <v>238</v>
      </c>
      <c r="M1056" t="s">
        <v>46</v>
      </c>
      <c r="N1056">
        <v>45347</v>
      </c>
      <c r="O1056">
        <v>3016</v>
      </c>
      <c r="P1056" t="s">
        <v>20</v>
      </c>
      <c r="Q1056">
        <v>2</v>
      </c>
      <c r="R1056" t="s">
        <v>52</v>
      </c>
      <c r="S1056" t="s">
        <v>53</v>
      </c>
      <c r="T1056" t="s">
        <v>29</v>
      </c>
    </row>
    <row r="1057" spans="1:20" x14ac:dyDescent="0.3">
      <c r="A1057" t="s">
        <v>2230</v>
      </c>
      <c r="B1057" t="s">
        <v>144</v>
      </c>
      <c r="C1057" t="s">
        <v>197</v>
      </c>
      <c r="D1057" t="s">
        <v>5156</v>
      </c>
      <c r="E1057" t="s">
        <v>5131</v>
      </c>
      <c r="F1057" t="s">
        <v>5125</v>
      </c>
      <c r="G1057" t="s">
        <v>16</v>
      </c>
      <c r="H1057" t="s">
        <v>5138</v>
      </c>
      <c r="I1057" t="s">
        <v>5139</v>
      </c>
      <c r="J1057">
        <v>175821</v>
      </c>
      <c r="K1057" t="s">
        <v>2231</v>
      </c>
      <c r="L1057" t="s">
        <v>38</v>
      </c>
      <c r="M1057" t="s">
        <v>19</v>
      </c>
      <c r="N1057">
        <v>45536</v>
      </c>
      <c r="O1057">
        <v>3738</v>
      </c>
      <c r="P1057" t="s">
        <v>29</v>
      </c>
      <c r="Q1057">
        <v>6</v>
      </c>
      <c r="R1057" t="s">
        <v>76</v>
      </c>
      <c r="S1057" t="s">
        <v>21</v>
      </c>
      <c r="T1057" t="s">
        <v>29</v>
      </c>
    </row>
    <row r="1058" spans="1:20" x14ac:dyDescent="0.3">
      <c r="A1058" t="s">
        <v>2232</v>
      </c>
      <c r="B1058" t="s">
        <v>89</v>
      </c>
      <c r="C1058" t="s">
        <v>151</v>
      </c>
      <c r="D1058" t="s">
        <v>5156</v>
      </c>
      <c r="E1058" t="s">
        <v>26</v>
      </c>
      <c r="F1058" t="s">
        <v>27</v>
      </c>
      <c r="G1058" t="s">
        <v>16</v>
      </c>
      <c r="H1058" t="s">
        <v>5140</v>
      </c>
      <c r="I1058" t="s">
        <v>5141</v>
      </c>
      <c r="J1058">
        <v>109494</v>
      </c>
      <c r="K1058" t="s">
        <v>2233</v>
      </c>
      <c r="L1058" t="s">
        <v>18</v>
      </c>
      <c r="M1058" t="s">
        <v>19</v>
      </c>
      <c r="N1058">
        <v>45430</v>
      </c>
      <c r="O1058">
        <v>3932</v>
      </c>
      <c r="P1058" t="s">
        <v>29</v>
      </c>
      <c r="Q1058">
        <v>2</v>
      </c>
      <c r="R1058" t="s">
        <v>47</v>
      </c>
      <c r="S1058" t="s">
        <v>21</v>
      </c>
      <c r="T1058" t="s">
        <v>20</v>
      </c>
    </row>
    <row r="1059" spans="1:20" x14ac:dyDescent="0.3">
      <c r="A1059" t="s">
        <v>2234</v>
      </c>
      <c r="B1059" t="s">
        <v>222</v>
      </c>
      <c r="C1059" t="s">
        <v>24</v>
      </c>
      <c r="D1059" t="s">
        <v>25</v>
      </c>
      <c r="E1059" t="s">
        <v>5131</v>
      </c>
      <c r="F1059" t="s">
        <v>5125</v>
      </c>
      <c r="G1059" t="s">
        <v>50</v>
      </c>
      <c r="H1059" t="s">
        <v>5138</v>
      </c>
      <c r="I1059" t="s">
        <v>5139</v>
      </c>
      <c r="J1059">
        <v>242218</v>
      </c>
      <c r="K1059" t="s">
        <v>2235</v>
      </c>
      <c r="L1059" t="s">
        <v>5165</v>
      </c>
      <c r="M1059" t="s">
        <v>46</v>
      </c>
      <c r="N1059">
        <v>45424</v>
      </c>
      <c r="O1059">
        <v>3801</v>
      </c>
      <c r="P1059" t="s">
        <v>20</v>
      </c>
      <c r="Q1059">
        <v>6</v>
      </c>
      <c r="R1059" t="s">
        <v>52</v>
      </c>
      <c r="S1059" t="s">
        <v>21</v>
      </c>
      <c r="T1059" t="s">
        <v>20</v>
      </c>
    </row>
    <row r="1060" spans="1:20" x14ac:dyDescent="0.3">
      <c r="A1060" t="s">
        <v>2236</v>
      </c>
      <c r="B1060" t="s">
        <v>23</v>
      </c>
      <c r="C1060" t="s">
        <v>188</v>
      </c>
      <c r="D1060" t="s">
        <v>5156</v>
      </c>
      <c r="E1060" t="s">
        <v>58</v>
      </c>
      <c r="F1060" t="s">
        <v>59</v>
      </c>
      <c r="G1060" t="s">
        <v>36</v>
      </c>
      <c r="H1060" t="s">
        <v>5138</v>
      </c>
      <c r="I1060" t="s">
        <v>5139</v>
      </c>
      <c r="J1060">
        <v>219569</v>
      </c>
      <c r="K1060" t="s">
        <v>2237</v>
      </c>
      <c r="L1060" t="s">
        <v>38</v>
      </c>
      <c r="M1060" t="s">
        <v>39</v>
      </c>
      <c r="N1060">
        <v>45532</v>
      </c>
      <c r="O1060">
        <v>1588</v>
      </c>
      <c r="P1060" t="s">
        <v>20</v>
      </c>
      <c r="Q1060">
        <v>6</v>
      </c>
      <c r="R1060" t="s">
        <v>76</v>
      </c>
      <c r="S1060" t="s">
        <v>21</v>
      </c>
      <c r="T1060" t="s">
        <v>29</v>
      </c>
    </row>
    <row r="1061" spans="1:20" x14ac:dyDescent="0.3">
      <c r="A1061" t="s">
        <v>2238</v>
      </c>
      <c r="B1061" t="s">
        <v>124</v>
      </c>
      <c r="C1061" t="s">
        <v>94</v>
      </c>
      <c r="D1061" t="s">
        <v>118</v>
      </c>
      <c r="E1061" t="s">
        <v>26</v>
      </c>
      <c r="F1061" t="s">
        <v>27</v>
      </c>
      <c r="G1061" t="s">
        <v>36</v>
      </c>
      <c r="H1061" t="s">
        <v>5140</v>
      </c>
      <c r="I1061" t="s">
        <v>5141</v>
      </c>
      <c r="J1061">
        <v>102661</v>
      </c>
      <c r="K1061" t="s">
        <v>2239</v>
      </c>
      <c r="L1061" t="s">
        <v>5165</v>
      </c>
      <c r="M1061" t="s">
        <v>19</v>
      </c>
      <c r="N1061">
        <v>45613</v>
      </c>
      <c r="O1061">
        <v>498</v>
      </c>
      <c r="P1061" t="s">
        <v>20</v>
      </c>
      <c r="Q1061">
        <v>2</v>
      </c>
      <c r="R1061" t="s">
        <v>76</v>
      </c>
      <c r="S1061" t="s">
        <v>21</v>
      </c>
      <c r="T1061" t="s">
        <v>20</v>
      </c>
    </row>
    <row r="1062" spans="1:20" x14ac:dyDescent="0.3">
      <c r="A1062" t="s">
        <v>2240</v>
      </c>
      <c r="B1062" t="s">
        <v>23</v>
      </c>
      <c r="C1062" t="s">
        <v>188</v>
      </c>
      <c r="D1062" t="s">
        <v>118</v>
      </c>
      <c r="E1062" t="s">
        <v>209</v>
      </c>
      <c r="F1062" t="s">
        <v>210</v>
      </c>
      <c r="G1062" t="s">
        <v>16</v>
      </c>
      <c r="H1062" t="s">
        <v>5138</v>
      </c>
      <c r="I1062" t="s">
        <v>5139</v>
      </c>
      <c r="J1062">
        <v>227781</v>
      </c>
      <c r="K1062" t="s">
        <v>2241</v>
      </c>
      <c r="L1062" t="s">
        <v>238</v>
      </c>
      <c r="M1062" t="s">
        <v>46</v>
      </c>
      <c r="N1062">
        <v>45329</v>
      </c>
      <c r="O1062">
        <v>2854</v>
      </c>
      <c r="P1062" t="s">
        <v>20</v>
      </c>
      <c r="Q1062">
        <v>6</v>
      </c>
      <c r="R1062" t="s">
        <v>76</v>
      </c>
      <c r="S1062" t="s">
        <v>21</v>
      </c>
      <c r="T1062" t="s">
        <v>20</v>
      </c>
    </row>
    <row r="1063" spans="1:20" x14ac:dyDescent="0.3">
      <c r="A1063" t="s">
        <v>2242</v>
      </c>
      <c r="B1063" t="s">
        <v>12</v>
      </c>
      <c r="C1063" t="s">
        <v>117</v>
      </c>
      <c r="D1063" t="s">
        <v>167</v>
      </c>
      <c r="E1063" t="s">
        <v>5129</v>
      </c>
      <c r="F1063" t="s">
        <v>5130</v>
      </c>
      <c r="G1063" t="s">
        <v>16</v>
      </c>
      <c r="H1063" t="s">
        <v>5138</v>
      </c>
      <c r="I1063" t="s">
        <v>5139</v>
      </c>
      <c r="J1063">
        <v>97452</v>
      </c>
      <c r="K1063" t="s">
        <v>2243</v>
      </c>
      <c r="L1063" t="s">
        <v>61</v>
      </c>
      <c r="M1063" t="s">
        <v>39</v>
      </c>
      <c r="N1063">
        <v>45364</v>
      </c>
      <c r="O1063">
        <v>601</v>
      </c>
      <c r="P1063" t="s">
        <v>29</v>
      </c>
      <c r="Q1063">
        <v>6</v>
      </c>
      <c r="R1063" t="s">
        <v>47</v>
      </c>
      <c r="S1063" t="s">
        <v>21</v>
      </c>
      <c r="T1063" t="s">
        <v>29</v>
      </c>
    </row>
    <row r="1064" spans="1:20" x14ac:dyDescent="0.3">
      <c r="A1064" t="s">
        <v>2244</v>
      </c>
      <c r="B1064" t="s">
        <v>31</v>
      </c>
      <c r="C1064" t="s">
        <v>172</v>
      </c>
      <c r="D1064" t="s">
        <v>25</v>
      </c>
      <c r="E1064" t="s">
        <v>80</v>
      </c>
      <c r="F1064" t="s">
        <v>80</v>
      </c>
      <c r="G1064" t="s">
        <v>50</v>
      </c>
      <c r="H1064" t="s">
        <v>5138</v>
      </c>
      <c r="I1064" t="s">
        <v>5139</v>
      </c>
      <c r="J1064">
        <v>241355</v>
      </c>
      <c r="K1064" t="s">
        <v>2245</v>
      </c>
      <c r="L1064" t="s">
        <v>113</v>
      </c>
      <c r="M1064" t="s">
        <v>46</v>
      </c>
      <c r="N1064">
        <v>45670</v>
      </c>
      <c r="O1064">
        <v>1258</v>
      </c>
      <c r="P1064" t="s">
        <v>20</v>
      </c>
      <c r="Q1064">
        <v>6</v>
      </c>
      <c r="R1064" t="s">
        <v>76</v>
      </c>
      <c r="S1064" t="s">
        <v>21</v>
      </c>
      <c r="T1064" t="s">
        <v>20</v>
      </c>
    </row>
    <row r="1065" spans="1:20" x14ac:dyDescent="0.3">
      <c r="A1065" t="s">
        <v>2246</v>
      </c>
      <c r="B1065" t="s">
        <v>229</v>
      </c>
      <c r="C1065" t="s">
        <v>64</v>
      </c>
      <c r="D1065" t="s">
        <v>68</v>
      </c>
      <c r="E1065" t="s">
        <v>14</v>
      </c>
      <c r="F1065" t="s">
        <v>15</v>
      </c>
      <c r="G1065" t="s">
        <v>36</v>
      </c>
      <c r="H1065" t="s">
        <v>5136</v>
      </c>
      <c r="I1065" t="s">
        <v>5137</v>
      </c>
      <c r="J1065">
        <v>50000</v>
      </c>
      <c r="K1065" t="s">
        <v>2247</v>
      </c>
      <c r="L1065" t="s">
        <v>5165</v>
      </c>
      <c r="M1065" t="s">
        <v>46</v>
      </c>
      <c r="N1065">
        <v>45703</v>
      </c>
      <c r="O1065">
        <v>2517</v>
      </c>
      <c r="P1065" t="s">
        <v>20</v>
      </c>
      <c r="Q1065">
        <v>0</v>
      </c>
      <c r="R1065" t="s">
        <v>40</v>
      </c>
      <c r="S1065" t="s">
        <v>21</v>
      </c>
      <c r="T1065" t="s">
        <v>20</v>
      </c>
    </row>
    <row r="1066" spans="1:20" x14ac:dyDescent="0.3">
      <c r="A1066" t="s">
        <v>2248</v>
      </c>
      <c r="B1066" t="s">
        <v>89</v>
      </c>
      <c r="C1066" t="s">
        <v>13</v>
      </c>
      <c r="D1066" t="s">
        <v>33</v>
      </c>
      <c r="E1066" t="s">
        <v>209</v>
      </c>
      <c r="F1066" t="s">
        <v>210</v>
      </c>
      <c r="G1066" t="s">
        <v>36</v>
      </c>
      <c r="H1066" t="s">
        <v>5142</v>
      </c>
      <c r="I1066" t="s">
        <v>5143</v>
      </c>
      <c r="J1066">
        <v>140214</v>
      </c>
      <c r="K1066" t="s">
        <v>2249</v>
      </c>
      <c r="L1066" t="s">
        <v>5165</v>
      </c>
      <c r="M1066" t="s">
        <v>19</v>
      </c>
      <c r="N1066">
        <v>45385</v>
      </c>
      <c r="O1066">
        <v>3783</v>
      </c>
      <c r="P1066" t="s">
        <v>20</v>
      </c>
      <c r="Q1066">
        <v>4</v>
      </c>
      <c r="R1066" t="s">
        <v>40</v>
      </c>
      <c r="S1066" t="s">
        <v>53</v>
      </c>
      <c r="T1066" t="s">
        <v>29</v>
      </c>
    </row>
    <row r="1067" spans="1:20" x14ac:dyDescent="0.3">
      <c r="A1067" t="s">
        <v>2250</v>
      </c>
      <c r="B1067" t="s">
        <v>218</v>
      </c>
      <c r="C1067" t="s">
        <v>32</v>
      </c>
      <c r="D1067" t="s">
        <v>118</v>
      </c>
      <c r="E1067" t="s">
        <v>5132</v>
      </c>
      <c r="F1067" t="s">
        <v>5125</v>
      </c>
      <c r="G1067" t="s">
        <v>16</v>
      </c>
      <c r="H1067" t="s">
        <v>5140</v>
      </c>
      <c r="I1067" t="s">
        <v>5141</v>
      </c>
      <c r="J1067">
        <v>87830</v>
      </c>
      <c r="K1067" t="s">
        <v>2251</v>
      </c>
      <c r="L1067" t="s">
        <v>38</v>
      </c>
      <c r="M1067" t="s">
        <v>19</v>
      </c>
      <c r="N1067">
        <v>45745</v>
      </c>
      <c r="O1067">
        <v>489</v>
      </c>
      <c r="P1067" t="s">
        <v>29</v>
      </c>
      <c r="Q1067">
        <v>2</v>
      </c>
      <c r="R1067" t="s">
        <v>52</v>
      </c>
      <c r="S1067" t="s">
        <v>21</v>
      </c>
      <c r="T1067" t="s">
        <v>29</v>
      </c>
    </row>
    <row r="1068" spans="1:20" x14ac:dyDescent="0.3">
      <c r="A1068" t="s">
        <v>2252</v>
      </c>
      <c r="B1068" t="s">
        <v>229</v>
      </c>
      <c r="C1068" t="s">
        <v>160</v>
      </c>
      <c r="D1068" t="s">
        <v>104</v>
      </c>
      <c r="E1068" t="s">
        <v>193</v>
      </c>
      <c r="F1068" t="s">
        <v>194</v>
      </c>
      <c r="G1068" t="s">
        <v>16</v>
      </c>
      <c r="H1068" t="s">
        <v>5142</v>
      </c>
      <c r="I1068" t="s">
        <v>5143</v>
      </c>
      <c r="J1068">
        <v>115043</v>
      </c>
      <c r="K1068" t="s">
        <v>2253</v>
      </c>
      <c r="L1068" t="s">
        <v>134</v>
      </c>
      <c r="M1068" t="s">
        <v>39</v>
      </c>
      <c r="N1068">
        <v>45515</v>
      </c>
      <c r="O1068">
        <v>185</v>
      </c>
      <c r="P1068" t="s">
        <v>20</v>
      </c>
      <c r="Q1068">
        <v>4</v>
      </c>
      <c r="R1068" t="s">
        <v>5116</v>
      </c>
      <c r="S1068" t="s">
        <v>21</v>
      </c>
      <c r="T1068" t="s">
        <v>29</v>
      </c>
    </row>
    <row r="1069" spans="1:20" x14ac:dyDescent="0.3">
      <c r="A1069" t="s">
        <v>2254</v>
      </c>
      <c r="B1069" t="s">
        <v>124</v>
      </c>
      <c r="C1069" t="s">
        <v>125</v>
      </c>
      <c r="D1069" t="s">
        <v>25</v>
      </c>
      <c r="E1069" t="s">
        <v>126</v>
      </c>
      <c r="F1069" t="s">
        <v>127</v>
      </c>
      <c r="G1069" t="s">
        <v>16</v>
      </c>
      <c r="H1069" t="s">
        <v>5136</v>
      </c>
      <c r="I1069" t="s">
        <v>5137</v>
      </c>
      <c r="J1069">
        <v>84626</v>
      </c>
      <c r="K1069" t="s">
        <v>2255</v>
      </c>
      <c r="L1069" t="s">
        <v>179</v>
      </c>
      <c r="M1069" t="s">
        <v>46</v>
      </c>
      <c r="N1069">
        <v>45391</v>
      </c>
      <c r="O1069">
        <v>2895</v>
      </c>
      <c r="P1069" t="s">
        <v>92</v>
      </c>
      <c r="Q1069">
        <v>0</v>
      </c>
      <c r="R1069" t="s">
        <v>5116</v>
      </c>
      <c r="S1069" t="s">
        <v>53</v>
      </c>
      <c r="T1069" t="s">
        <v>29</v>
      </c>
    </row>
    <row r="1070" spans="1:20" x14ac:dyDescent="0.3">
      <c r="A1070" t="s">
        <v>2256</v>
      </c>
      <c r="B1070" t="s">
        <v>55</v>
      </c>
      <c r="C1070" t="s">
        <v>121</v>
      </c>
      <c r="D1070" t="s">
        <v>140</v>
      </c>
      <c r="E1070" t="s">
        <v>95</v>
      </c>
      <c r="F1070" t="s">
        <v>96</v>
      </c>
      <c r="G1070" t="s">
        <v>36</v>
      </c>
      <c r="H1070" t="s">
        <v>5136</v>
      </c>
      <c r="I1070" t="s">
        <v>5137</v>
      </c>
      <c r="J1070">
        <v>64106</v>
      </c>
      <c r="K1070" t="s">
        <v>2257</v>
      </c>
      <c r="L1070" t="s">
        <v>61</v>
      </c>
      <c r="M1070" t="s">
        <v>46</v>
      </c>
      <c r="N1070">
        <v>45482</v>
      </c>
      <c r="O1070">
        <v>2055</v>
      </c>
      <c r="P1070" t="s">
        <v>92</v>
      </c>
      <c r="Q1070">
        <v>0</v>
      </c>
      <c r="R1070" t="s">
        <v>40</v>
      </c>
      <c r="S1070" t="s">
        <v>53</v>
      </c>
      <c r="T1070" t="s">
        <v>29</v>
      </c>
    </row>
    <row r="1071" spans="1:20" x14ac:dyDescent="0.3">
      <c r="A1071" t="s">
        <v>2258</v>
      </c>
      <c r="B1071" t="s">
        <v>136</v>
      </c>
      <c r="C1071" t="s">
        <v>160</v>
      </c>
      <c r="D1071" t="s">
        <v>104</v>
      </c>
      <c r="E1071" t="s">
        <v>69</v>
      </c>
      <c r="F1071" t="s">
        <v>70</v>
      </c>
      <c r="G1071" t="s">
        <v>16</v>
      </c>
      <c r="H1071" t="s">
        <v>5136</v>
      </c>
      <c r="I1071" t="s">
        <v>5137</v>
      </c>
      <c r="J1071">
        <v>74365</v>
      </c>
      <c r="K1071" t="s">
        <v>2259</v>
      </c>
      <c r="L1071" t="s">
        <v>134</v>
      </c>
      <c r="M1071" t="s">
        <v>72</v>
      </c>
      <c r="N1071">
        <v>45576</v>
      </c>
      <c r="O1071">
        <v>1821</v>
      </c>
      <c r="P1071" t="s">
        <v>20</v>
      </c>
      <c r="Q1071">
        <v>0</v>
      </c>
      <c r="R1071" t="s">
        <v>52</v>
      </c>
      <c r="S1071" t="s">
        <v>21</v>
      </c>
      <c r="T1071" t="s">
        <v>29</v>
      </c>
    </row>
    <row r="1072" spans="1:20" x14ac:dyDescent="0.3">
      <c r="A1072" t="s">
        <v>2260</v>
      </c>
      <c r="B1072" t="s">
        <v>229</v>
      </c>
      <c r="C1072" t="s">
        <v>197</v>
      </c>
      <c r="D1072" t="s">
        <v>25</v>
      </c>
      <c r="E1072" t="s">
        <v>5126</v>
      </c>
      <c r="F1072" t="s">
        <v>5125</v>
      </c>
      <c r="G1072" t="s">
        <v>16</v>
      </c>
      <c r="H1072" t="s">
        <v>5138</v>
      </c>
      <c r="I1072" t="s">
        <v>5139</v>
      </c>
      <c r="J1072">
        <v>198310</v>
      </c>
      <c r="K1072" t="s">
        <v>2261</v>
      </c>
      <c r="L1072" t="s">
        <v>61</v>
      </c>
      <c r="M1072" t="s">
        <v>46</v>
      </c>
      <c r="N1072">
        <v>45737</v>
      </c>
      <c r="O1072">
        <v>2510</v>
      </c>
      <c r="P1072" t="s">
        <v>29</v>
      </c>
      <c r="Q1072">
        <v>6</v>
      </c>
      <c r="R1072" t="s">
        <v>52</v>
      </c>
      <c r="S1072" t="s">
        <v>53</v>
      </c>
      <c r="T1072" t="s">
        <v>29</v>
      </c>
    </row>
    <row r="1073" spans="1:20" x14ac:dyDescent="0.3">
      <c r="A1073" t="s">
        <v>2262</v>
      </c>
      <c r="B1073" t="s">
        <v>99</v>
      </c>
      <c r="C1073" t="s">
        <v>151</v>
      </c>
      <c r="D1073" t="s">
        <v>44</v>
      </c>
      <c r="E1073" t="s">
        <v>5132</v>
      </c>
      <c r="F1073" t="s">
        <v>5125</v>
      </c>
      <c r="G1073" t="s">
        <v>16</v>
      </c>
      <c r="H1073" t="s">
        <v>5140</v>
      </c>
      <c r="I1073" t="s">
        <v>5141</v>
      </c>
      <c r="J1073">
        <v>119445</v>
      </c>
      <c r="K1073" t="s">
        <v>2263</v>
      </c>
      <c r="L1073" t="s">
        <v>238</v>
      </c>
      <c r="M1073" t="s">
        <v>19</v>
      </c>
      <c r="N1073">
        <v>45324</v>
      </c>
      <c r="O1073">
        <v>3850</v>
      </c>
      <c r="P1073" t="s">
        <v>20</v>
      </c>
      <c r="Q1073">
        <v>2</v>
      </c>
      <c r="R1073" t="s">
        <v>76</v>
      </c>
      <c r="S1073" t="s">
        <v>53</v>
      </c>
      <c r="T1073" t="s">
        <v>20</v>
      </c>
    </row>
    <row r="1074" spans="1:20" x14ac:dyDescent="0.3">
      <c r="A1074" t="s">
        <v>2264</v>
      </c>
      <c r="B1074" t="s">
        <v>12</v>
      </c>
      <c r="C1074" t="s">
        <v>166</v>
      </c>
      <c r="D1074" t="s">
        <v>104</v>
      </c>
      <c r="E1074" t="s">
        <v>152</v>
      </c>
      <c r="F1074" t="s">
        <v>153</v>
      </c>
      <c r="G1074" t="s">
        <v>50</v>
      </c>
      <c r="H1074" t="s">
        <v>5136</v>
      </c>
      <c r="I1074" t="s">
        <v>5137</v>
      </c>
      <c r="J1074">
        <v>70967</v>
      </c>
      <c r="K1074" t="s">
        <v>2265</v>
      </c>
      <c r="L1074" t="s">
        <v>18</v>
      </c>
      <c r="M1074" t="s">
        <v>46</v>
      </c>
      <c r="N1074">
        <v>45520</v>
      </c>
      <c r="O1074">
        <v>2679</v>
      </c>
      <c r="P1074" t="s">
        <v>29</v>
      </c>
      <c r="Q1074">
        <v>0</v>
      </c>
      <c r="R1074" t="s">
        <v>47</v>
      </c>
      <c r="S1074" t="s">
        <v>21</v>
      </c>
      <c r="T1074" t="s">
        <v>20</v>
      </c>
    </row>
    <row r="1075" spans="1:20" x14ac:dyDescent="0.3">
      <c r="A1075" t="s">
        <v>2266</v>
      </c>
      <c r="B1075" t="s">
        <v>222</v>
      </c>
      <c r="C1075" t="s">
        <v>100</v>
      </c>
      <c r="D1075" t="s">
        <v>118</v>
      </c>
      <c r="E1075" t="s">
        <v>5131</v>
      </c>
      <c r="F1075" t="s">
        <v>5125</v>
      </c>
      <c r="G1075" t="s">
        <v>16</v>
      </c>
      <c r="H1075" t="s">
        <v>5140</v>
      </c>
      <c r="I1075" t="s">
        <v>5141</v>
      </c>
      <c r="J1075">
        <v>84596</v>
      </c>
      <c r="K1075" t="s">
        <v>2267</v>
      </c>
      <c r="L1075" t="s">
        <v>5165</v>
      </c>
      <c r="M1075" t="s">
        <v>46</v>
      </c>
      <c r="N1075">
        <v>45302</v>
      </c>
      <c r="O1075">
        <v>2238</v>
      </c>
      <c r="P1075" t="s">
        <v>20</v>
      </c>
      <c r="Q1075">
        <v>2</v>
      </c>
      <c r="R1075" t="s">
        <v>5116</v>
      </c>
      <c r="S1075" t="s">
        <v>21</v>
      </c>
      <c r="T1075" t="s">
        <v>20</v>
      </c>
    </row>
    <row r="1076" spans="1:20" x14ac:dyDescent="0.3">
      <c r="A1076" t="s">
        <v>2268</v>
      </c>
      <c r="B1076" t="s">
        <v>229</v>
      </c>
      <c r="C1076" t="s">
        <v>232</v>
      </c>
      <c r="D1076" t="s">
        <v>140</v>
      </c>
      <c r="E1076" t="s">
        <v>14</v>
      </c>
      <c r="F1076" t="s">
        <v>15</v>
      </c>
      <c r="G1076" t="s">
        <v>16</v>
      </c>
      <c r="H1076" t="s">
        <v>5140</v>
      </c>
      <c r="I1076" t="s">
        <v>5141</v>
      </c>
      <c r="J1076">
        <v>129726</v>
      </c>
      <c r="K1076" t="s">
        <v>2269</v>
      </c>
      <c r="L1076" t="s">
        <v>61</v>
      </c>
      <c r="M1076" t="s">
        <v>39</v>
      </c>
      <c r="N1076">
        <v>45563</v>
      </c>
      <c r="O1076">
        <v>2713</v>
      </c>
      <c r="P1076" t="s">
        <v>20</v>
      </c>
      <c r="Q1076">
        <v>2</v>
      </c>
      <c r="R1076" t="s">
        <v>76</v>
      </c>
      <c r="S1076" t="s">
        <v>21</v>
      </c>
      <c r="T1076" t="s">
        <v>20</v>
      </c>
    </row>
    <row r="1077" spans="1:20" x14ac:dyDescent="0.3">
      <c r="A1077" t="s">
        <v>2270</v>
      </c>
      <c r="B1077" t="s">
        <v>23</v>
      </c>
      <c r="C1077" t="s">
        <v>56</v>
      </c>
      <c r="D1077" t="s">
        <v>104</v>
      </c>
      <c r="E1077" t="s">
        <v>95</v>
      </c>
      <c r="F1077" t="s">
        <v>96</v>
      </c>
      <c r="G1077" t="s">
        <v>50</v>
      </c>
      <c r="H1077" t="s">
        <v>5138</v>
      </c>
      <c r="I1077" t="s">
        <v>5139</v>
      </c>
      <c r="J1077">
        <v>182224</v>
      </c>
      <c r="K1077" t="s">
        <v>2271</v>
      </c>
      <c r="L1077" t="s">
        <v>5165</v>
      </c>
      <c r="M1077" t="s">
        <v>39</v>
      </c>
      <c r="N1077">
        <v>45679</v>
      </c>
      <c r="O1077">
        <v>888</v>
      </c>
      <c r="P1077" t="s">
        <v>20</v>
      </c>
      <c r="Q1077">
        <v>6</v>
      </c>
      <c r="R1077" t="s">
        <v>52</v>
      </c>
      <c r="S1077" t="s">
        <v>53</v>
      </c>
      <c r="T1077" t="s">
        <v>29</v>
      </c>
    </row>
    <row r="1078" spans="1:20" x14ac:dyDescent="0.3">
      <c r="A1078" t="s">
        <v>2272</v>
      </c>
      <c r="B1078" t="s">
        <v>229</v>
      </c>
      <c r="C1078" t="s">
        <v>117</v>
      </c>
      <c r="D1078" t="s">
        <v>44</v>
      </c>
      <c r="E1078" t="s">
        <v>126</v>
      </c>
      <c r="F1078" t="s">
        <v>127</v>
      </c>
      <c r="G1078" t="s">
        <v>50</v>
      </c>
      <c r="H1078" t="s">
        <v>5136</v>
      </c>
      <c r="I1078" t="s">
        <v>5137</v>
      </c>
      <c r="J1078">
        <v>50387</v>
      </c>
      <c r="K1078" t="s">
        <v>2273</v>
      </c>
      <c r="L1078" t="s">
        <v>142</v>
      </c>
      <c r="M1078" t="s">
        <v>19</v>
      </c>
      <c r="N1078">
        <v>45676</v>
      </c>
      <c r="O1078">
        <v>3250</v>
      </c>
      <c r="P1078" t="s">
        <v>29</v>
      </c>
      <c r="Q1078">
        <v>0</v>
      </c>
      <c r="R1078" t="s">
        <v>47</v>
      </c>
      <c r="S1078" t="s">
        <v>53</v>
      </c>
      <c r="T1078" t="s">
        <v>29</v>
      </c>
    </row>
    <row r="1079" spans="1:20" x14ac:dyDescent="0.3">
      <c r="A1079" t="s">
        <v>2274</v>
      </c>
      <c r="B1079" t="s">
        <v>23</v>
      </c>
      <c r="C1079" t="s">
        <v>100</v>
      </c>
      <c r="D1079" t="s">
        <v>5156</v>
      </c>
      <c r="E1079" t="s">
        <v>5133</v>
      </c>
      <c r="F1079" t="s">
        <v>5125</v>
      </c>
      <c r="G1079" t="s">
        <v>50</v>
      </c>
      <c r="H1079" t="s">
        <v>5140</v>
      </c>
      <c r="I1079" t="s">
        <v>5141</v>
      </c>
      <c r="J1079">
        <v>101523</v>
      </c>
      <c r="K1079" t="s">
        <v>2275</v>
      </c>
      <c r="L1079" t="s">
        <v>5165</v>
      </c>
      <c r="M1079" t="s">
        <v>46</v>
      </c>
      <c r="N1079">
        <v>45528</v>
      </c>
      <c r="O1079">
        <v>2029</v>
      </c>
      <c r="P1079" t="s">
        <v>20</v>
      </c>
      <c r="Q1079">
        <v>2</v>
      </c>
      <c r="R1079" t="s">
        <v>5116</v>
      </c>
      <c r="S1079" t="s">
        <v>21</v>
      </c>
      <c r="T1079" t="s">
        <v>20</v>
      </c>
    </row>
    <row r="1080" spans="1:20" x14ac:dyDescent="0.3">
      <c r="A1080" t="s">
        <v>2276</v>
      </c>
      <c r="B1080" t="s">
        <v>218</v>
      </c>
      <c r="C1080" t="s">
        <v>139</v>
      </c>
      <c r="D1080" t="s">
        <v>140</v>
      </c>
      <c r="E1080" t="s">
        <v>5132</v>
      </c>
      <c r="F1080" t="s">
        <v>5125</v>
      </c>
      <c r="G1080" t="s">
        <v>36</v>
      </c>
      <c r="H1080" t="s">
        <v>5140</v>
      </c>
      <c r="I1080" t="s">
        <v>5141</v>
      </c>
      <c r="J1080">
        <v>139715</v>
      </c>
      <c r="K1080" t="s">
        <v>2277</v>
      </c>
      <c r="L1080" t="s">
        <v>18</v>
      </c>
      <c r="M1080" t="s">
        <v>19</v>
      </c>
      <c r="N1080">
        <v>45567</v>
      </c>
      <c r="O1080">
        <v>2855</v>
      </c>
      <c r="P1080" t="s">
        <v>29</v>
      </c>
      <c r="Q1080">
        <v>2</v>
      </c>
      <c r="R1080" t="s">
        <v>76</v>
      </c>
      <c r="S1080" t="s">
        <v>21</v>
      </c>
      <c r="T1080" t="s">
        <v>20</v>
      </c>
    </row>
    <row r="1081" spans="1:20" x14ac:dyDescent="0.3">
      <c r="A1081" t="s">
        <v>2278</v>
      </c>
      <c r="B1081" t="s">
        <v>84</v>
      </c>
      <c r="C1081" t="s">
        <v>49</v>
      </c>
      <c r="D1081" t="s">
        <v>167</v>
      </c>
      <c r="E1081" t="s">
        <v>5133</v>
      </c>
      <c r="F1081" t="s">
        <v>5125</v>
      </c>
      <c r="G1081" t="s">
        <v>36</v>
      </c>
      <c r="H1081" t="s">
        <v>5142</v>
      </c>
      <c r="I1081" t="s">
        <v>5143</v>
      </c>
      <c r="J1081">
        <v>172955</v>
      </c>
      <c r="K1081" t="s">
        <v>2279</v>
      </c>
      <c r="L1081" t="s">
        <v>134</v>
      </c>
      <c r="M1081" t="s">
        <v>46</v>
      </c>
      <c r="N1081">
        <v>45383</v>
      </c>
      <c r="O1081">
        <v>2196</v>
      </c>
      <c r="P1081" t="s">
        <v>20</v>
      </c>
      <c r="Q1081">
        <v>4</v>
      </c>
      <c r="R1081" t="s">
        <v>47</v>
      </c>
      <c r="S1081" t="s">
        <v>21</v>
      </c>
      <c r="T1081" t="s">
        <v>29</v>
      </c>
    </row>
    <row r="1082" spans="1:20" x14ac:dyDescent="0.3">
      <c r="A1082" t="s">
        <v>2280</v>
      </c>
      <c r="B1082" t="s">
        <v>12</v>
      </c>
      <c r="C1082" t="s">
        <v>90</v>
      </c>
      <c r="D1082" t="s">
        <v>5156</v>
      </c>
      <c r="E1082" t="s">
        <v>5124</v>
      </c>
      <c r="F1082" t="s">
        <v>5125</v>
      </c>
      <c r="G1082" t="s">
        <v>16</v>
      </c>
      <c r="H1082" t="s">
        <v>5140</v>
      </c>
      <c r="I1082" t="s">
        <v>5141</v>
      </c>
      <c r="J1082">
        <v>103096</v>
      </c>
      <c r="K1082" t="s">
        <v>2281</v>
      </c>
      <c r="L1082" t="s">
        <v>134</v>
      </c>
      <c r="M1082" t="s">
        <v>39</v>
      </c>
      <c r="N1082">
        <v>45449</v>
      </c>
      <c r="O1082">
        <v>3641</v>
      </c>
      <c r="P1082" t="s">
        <v>29</v>
      </c>
      <c r="Q1082">
        <v>2</v>
      </c>
      <c r="R1082" t="s">
        <v>76</v>
      </c>
      <c r="S1082" t="s">
        <v>21</v>
      </c>
      <c r="T1082" t="s">
        <v>29</v>
      </c>
    </row>
    <row r="1083" spans="1:20" x14ac:dyDescent="0.3">
      <c r="A1083" t="s">
        <v>2282</v>
      </c>
      <c r="B1083" t="s">
        <v>89</v>
      </c>
      <c r="C1083" t="s">
        <v>67</v>
      </c>
      <c r="D1083" t="s">
        <v>5156</v>
      </c>
      <c r="E1083" t="s">
        <v>209</v>
      </c>
      <c r="F1083" t="s">
        <v>210</v>
      </c>
      <c r="G1083" t="s">
        <v>16</v>
      </c>
      <c r="H1083" t="s">
        <v>5140</v>
      </c>
      <c r="I1083" t="s">
        <v>5141</v>
      </c>
      <c r="J1083">
        <v>103084</v>
      </c>
      <c r="K1083" t="s">
        <v>2283</v>
      </c>
      <c r="L1083" t="s">
        <v>179</v>
      </c>
      <c r="M1083" t="s">
        <v>46</v>
      </c>
      <c r="N1083">
        <v>45594</v>
      </c>
      <c r="O1083">
        <v>1267</v>
      </c>
      <c r="P1083" t="s">
        <v>20</v>
      </c>
      <c r="Q1083">
        <v>2</v>
      </c>
      <c r="R1083" t="s">
        <v>52</v>
      </c>
      <c r="S1083" t="s">
        <v>21</v>
      </c>
      <c r="T1083" t="s">
        <v>29</v>
      </c>
    </row>
    <row r="1084" spans="1:20" x14ac:dyDescent="0.3">
      <c r="A1084" t="s">
        <v>2284</v>
      </c>
      <c r="B1084" t="s">
        <v>78</v>
      </c>
      <c r="C1084" t="s">
        <v>139</v>
      </c>
      <c r="D1084" t="s">
        <v>33</v>
      </c>
      <c r="E1084" t="s">
        <v>5126</v>
      </c>
      <c r="F1084" t="s">
        <v>5125</v>
      </c>
      <c r="G1084" t="s">
        <v>16</v>
      </c>
      <c r="H1084" t="s">
        <v>5142</v>
      </c>
      <c r="I1084" t="s">
        <v>5143</v>
      </c>
      <c r="J1084">
        <v>141315</v>
      </c>
      <c r="K1084" t="s">
        <v>2285</v>
      </c>
      <c r="L1084" t="s">
        <v>134</v>
      </c>
      <c r="M1084" t="s">
        <v>19</v>
      </c>
      <c r="N1084">
        <v>45552</v>
      </c>
      <c r="O1084">
        <v>2135</v>
      </c>
      <c r="P1084" t="s">
        <v>92</v>
      </c>
      <c r="Q1084">
        <v>4</v>
      </c>
      <c r="R1084" t="s">
        <v>40</v>
      </c>
      <c r="S1084" t="s">
        <v>21</v>
      </c>
      <c r="T1084" t="s">
        <v>20</v>
      </c>
    </row>
    <row r="1085" spans="1:20" x14ac:dyDescent="0.3">
      <c r="A1085" t="s">
        <v>2286</v>
      </c>
      <c r="B1085" t="s">
        <v>23</v>
      </c>
      <c r="C1085" t="s">
        <v>56</v>
      </c>
      <c r="D1085" t="s">
        <v>140</v>
      </c>
      <c r="E1085" t="s">
        <v>5126</v>
      </c>
      <c r="F1085" t="s">
        <v>5125</v>
      </c>
      <c r="G1085" t="s">
        <v>16</v>
      </c>
      <c r="H1085" t="s">
        <v>5136</v>
      </c>
      <c r="I1085" t="s">
        <v>5137</v>
      </c>
      <c r="J1085">
        <v>96167</v>
      </c>
      <c r="K1085" t="s">
        <v>2287</v>
      </c>
      <c r="L1085" t="s">
        <v>5165</v>
      </c>
      <c r="M1085" t="s">
        <v>39</v>
      </c>
      <c r="N1085">
        <v>45591</v>
      </c>
      <c r="O1085">
        <v>3962</v>
      </c>
      <c r="P1085" t="s">
        <v>29</v>
      </c>
      <c r="Q1085">
        <v>0</v>
      </c>
      <c r="R1085" t="s">
        <v>5116</v>
      </c>
      <c r="S1085" t="s">
        <v>21</v>
      </c>
      <c r="T1085" t="s">
        <v>29</v>
      </c>
    </row>
    <row r="1086" spans="1:20" x14ac:dyDescent="0.3">
      <c r="A1086" t="s">
        <v>2288</v>
      </c>
      <c r="B1086" t="s">
        <v>165</v>
      </c>
      <c r="C1086" t="s">
        <v>219</v>
      </c>
      <c r="D1086" t="s">
        <v>68</v>
      </c>
      <c r="E1086" t="s">
        <v>5126</v>
      </c>
      <c r="F1086" t="s">
        <v>5125</v>
      </c>
      <c r="G1086" t="s">
        <v>16</v>
      </c>
      <c r="H1086" t="s">
        <v>5136</v>
      </c>
      <c r="I1086" t="s">
        <v>5137</v>
      </c>
      <c r="J1086">
        <v>74812</v>
      </c>
      <c r="K1086" t="s">
        <v>2289</v>
      </c>
      <c r="L1086" t="s">
        <v>5165</v>
      </c>
      <c r="M1086" t="s">
        <v>19</v>
      </c>
      <c r="N1086">
        <v>45575</v>
      </c>
      <c r="O1086">
        <v>12</v>
      </c>
      <c r="P1086" t="s">
        <v>20</v>
      </c>
      <c r="Q1086">
        <v>0</v>
      </c>
      <c r="R1086" t="s">
        <v>76</v>
      </c>
      <c r="S1086" t="s">
        <v>21</v>
      </c>
      <c r="T1086" t="s">
        <v>29</v>
      </c>
    </row>
    <row r="1087" spans="1:20" x14ac:dyDescent="0.3">
      <c r="A1087" t="s">
        <v>2290</v>
      </c>
      <c r="B1087" t="s">
        <v>222</v>
      </c>
      <c r="C1087" t="s">
        <v>100</v>
      </c>
      <c r="D1087" t="s">
        <v>44</v>
      </c>
      <c r="E1087" t="s">
        <v>152</v>
      </c>
      <c r="F1087" t="s">
        <v>153</v>
      </c>
      <c r="G1087" t="s">
        <v>16</v>
      </c>
      <c r="H1087" t="s">
        <v>5142</v>
      </c>
      <c r="I1087" t="s">
        <v>5143</v>
      </c>
      <c r="J1087">
        <v>161611</v>
      </c>
      <c r="K1087" t="s">
        <v>2291</v>
      </c>
      <c r="L1087" t="s">
        <v>5165</v>
      </c>
      <c r="M1087" t="s">
        <v>46</v>
      </c>
      <c r="N1087">
        <v>45709</v>
      </c>
      <c r="O1087">
        <v>3555</v>
      </c>
      <c r="P1087" t="s">
        <v>29</v>
      </c>
      <c r="Q1087">
        <v>4</v>
      </c>
      <c r="R1087" t="s">
        <v>47</v>
      </c>
      <c r="S1087" t="s">
        <v>41</v>
      </c>
      <c r="T1087" t="s">
        <v>29</v>
      </c>
    </row>
    <row r="1088" spans="1:20" x14ac:dyDescent="0.3">
      <c r="A1088" t="s">
        <v>2292</v>
      </c>
      <c r="B1088" t="s">
        <v>218</v>
      </c>
      <c r="C1088" t="s">
        <v>219</v>
      </c>
      <c r="D1088" t="s">
        <v>33</v>
      </c>
      <c r="E1088" t="s">
        <v>5127</v>
      </c>
      <c r="F1088" t="s">
        <v>5125</v>
      </c>
      <c r="G1088" t="s">
        <v>16</v>
      </c>
      <c r="H1088" t="s">
        <v>5136</v>
      </c>
      <c r="I1088" t="s">
        <v>5137</v>
      </c>
      <c r="J1088">
        <v>82981</v>
      </c>
      <c r="K1088" t="s">
        <v>2293</v>
      </c>
      <c r="L1088" t="s">
        <v>18</v>
      </c>
      <c r="M1088" t="s">
        <v>19</v>
      </c>
      <c r="N1088">
        <v>45315</v>
      </c>
      <c r="O1088">
        <v>1596</v>
      </c>
      <c r="P1088" t="s">
        <v>20</v>
      </c>
      <c r="Q1088">
        <v>0</v>
      </c>
      <c r="R1088" t="s">
        <v>76</v>
      </c>
      <c r="S1088" t="s">
        <v>21</v>
      </c>
      <c r="T1088" t="s">
        <v>20</v>
      </c>
    </row>
    <row r="1089" spans="1:20" x14ac:dyDescent="0.3">
      <c r="A1089" t="s">
        <v>2294</v>
      </c>
      <c r="B1089" t="s">
        <v>165</v>
      </c>
      <c r="C1089" t="s">
        <v>79</v>
      </c>
      <c r="D1089" t="s">
        <v>5156</v>
      </c>
      <c r="E1089" t="s">
        <v>5131</v>
      </c>
      <c r="F1089" t="s">
        <v>5125</v>
      </c>
      <c r="G1089" t="s">
        <v>16</v>
      </c>
      <c r="H1089" t="s">
        <v>5142</v>
      </c>
      <c r="I1089" t="s">
        <v>5143</v>
      </c>
      <c r="J1089">
        <v>156447</v>
      </c>
      <c r="K1089" t="s">
        <v>2295</v>
      </c>
      <c r="L1089" t="s">
        <v>134</v>
      </c>
      <c r="M1089" t="s">
        <v>19</v>
      </c>
      <c r="N1089">
        <v>45318</v>
      </c>
      <c r="O1089">
        <v>1761</v>
      </c>
      <c r="P1089" t="s">
        <v>20</v>
      </c>
      <c r="Q1089">
        <v>4</v>
      </c>
      <c r="R1089" t="s">
        <v>5116</v>
      </c>
      <c r="S1089" t="s">
        <v>21</v>
      </c>
      <c r="T1089" t="s">
        <v>29</v>
      </c>
    </row>
    <row r="1090" spans="1:20" x14ac:dyDescent="0.3">
      <c r="A1090" t="s">
        <v>2296</v>
      </c>
      <c r="B1090" t="s">
        <v>74</v>
      </c>
      <c r="C1090" t="s">
        <v>13</v>
      </c>
      <c r="D1090" t="s">
        <v>68</v>
      </c>
      <c r="E1090" t="s">
        <v>14</v>
      </c>
      <c r="F1090" t="s">
        <v>15</v>
      </c>
      <c r="G1090" t="s">
        <v>16</v>
      </c>
      <c r="H1090" t="s">
        <v>5142</v>
      </c>
      <c r="I1090" t="s">
        <v>5143</v>
      </c>
      <c r="J1090">
        <v>143005</v>
      </c>
      <c r="K1090" t="s">
        <v>2297</v>
      </c>
      <c r="L1090" t="s">
        <v>5165</v>
      </c>
      <c r="M1090" t="s">
        <v>72</v>
      </c>
      <c r="N1090">
        <v>45596</v>
      </c>
      <c r="O1090">
        <v>3362</v>
      </c>
      <c r="P1090" t="s">
        <v>92</v>
      </c>
      <c r="Q1090">
        <v>4</v>
      </c>
      <c r="R1090" t="s">
        <v>47</v>
      </c>
      <c r="S1090" t="s">
        <v>21</v>
      </c>
      <c r="T1090" t="s">
        <v>29</v>
      </c>
    </row>
    <row r="1091" spans="1:20" x14ac:dyDescent="0.3">
      <c r="A1091" t="s">
        <v>2298</v>
      </c>
      <c r="B1091" t="s">
        <v>55</v>
      </c>
      <c r="C1091" t="s">
        <v>94</v>
      </c>
      <c r="D1091" t="s">
        <v>104</v>
      </c>
      <c r="E1091" t="s">
        <v>5129</v>
      </c>
      <c r="F1091" t="s">
        <v>5130</v>
      </c>
      <c r="G1091" t="s">
        <v>16</v>
      </c>
      <c r="H1091" t="s">
        <v>5140</v>
      </c>
      <c r="I1091" t="s">
        <v>5141</v>
      </c>
      <c r="J1091">
        <v>106112</v>
      </c>
      <c r="K1091" t="s">
        <v>2299</v>
      </c>
      <c r="L1091" t="s">
        <v>61</v>
      </c>
      <c r="M1091" t="s">
        <v>19</v>
      </c>
      <c r="N1091">
        <v>45468</v>
      </c>
      <c r="O1091">
        <v>892</v>
      </c>
      <c r="P1091" t="s">
        <v>92</v>
      </c>
      <c r="Q1091">
        <v>2</v>
      </c>
      <c r="R1091" t="s">
        <v>40</v>
      </c>
      <c r="S1091" t="s">
        <v>21</v>
      </c>
      <c r="T1091" t="s">
        <v>29</v>
      </c>
    </row>
    <row r="1092" spans="1:20" x14ac:dyDescent="0.3">
      <c r="A1092" t="s">
        <v>2300</v>
      </c>
      <c r="B1092" t="s">
        <v>89</v>
      </c>
      <c r="C1092" t="s">
        <v>160</v>
      </c>
      <c r="D1092" t="s">
        <v>44</v>
      </c>
      <c r="E1092" t="s">
        <v>152</v>
      </c>
      <c r="F1092" t="s">
        <v>153</v>
      </c>
      <c r="G1092" t="s">
        <v>50</v>
      </c>
      <c r="H1092" t="s">
        <v>5142</v>
      </c>
      <c r="I1092" t="s">
        <v>5143</v>
      </c>
      <c r="J1092">
        <v>148066</v>
      </c>
      <c r="K1092" t="s">
        <v>2301</v>
      </c>
      <c r="L1092" t="s">
        <v>38</v>
      </c>
      <c r="M1092" t="s">
        <v>39</v>
      </c>
      <c r="N1092">
        <v>45447</v>
      </c>
      <c r="O1092">
        <v>2198</v>
      </c>
      <c r="P1092" t="s">
        <v>29</v>
      </c>
      <c r="Q1092">
        <v>4</v>
      </c>
      <c r="R1092" t="s">
        <v>5116</v>
      </c>
      <c r="S1092" t="s">
        <v>21</v>
      </c>
      <c r="T1092" t="s">
        <v>29</v>
      </c>
    </row>
    <row r="1093" spans="1:20" x14ac:dyDescent="0.3">
      <c r="A1093" t="s">
        <v>2302</v>
      </c>
      <c r="B1093" t="s">
        <v>55</v>
      </c>
      <c r="C1093" t="s">
        <v>188</v>
      </c>
      <c r="D1093" t="s">
        <v>5156</v>
      </c>
      <c r="E1093" t="s">
        <v>5124</v>
      </c>
      <c r="F1093" t="s">
        <v>5125</v>
      </c>
      <c r="G1093" t="s">
        <v>36</v>
      </c>
      <c r="H1093" t="s">
        <v>5142</v>
      </c>
      <c r="I1093" t="s">
        <v>5143</v>
      </c>
      <c r="J1093">
        <v>148994</v>
      </c>
      <c r="K1093" t="s">
        <v>2303</v>
      </c>
      <c r="L1093" t="s">
        <v>5165</v>
      </c>
      <c r="M1093" t="s">
        <v>19</v>
      </c>
      <c r="N1093">
        <v>45403</v>
      </c>
      <c r="O1093">
        <v>1625</v>
      </c>
      <c r="P1093" t="s">
        <v>29</v>
      </c>
      <c r="Q1093">
        <v>4</v>
      </c>
      <c r="R1093" t="s">
        <v>47</v>
      </c>
      <c r="S1093" t="s">
        <v>41</v>
      </c>
      <c r="T1093" t="s">
        <v>20</v>
      </c>
    </row>
    <row r="1094" spans="1:20" x14ac:dyDescent="0.3">
      <c r="A1094" t="s">
        <v>2304</v>
      </c>
      <c r="B1094" t="s">
        <v>63</v>
      </c>
      <c r="C1094" t="s">
        <v>67</v>
      </c>
      <c r="D1094" t="s">
        <v>68</v>
      </c>
      <c r="E1094" t="s">
        <v>26</v>
      </c>
      <c r="F1094" t="s">
        <v>27</v>
      </c>
      <c r="G1094" t="s">
        <v>50</v>
      </c>
      <c r="H1094" t="s">
        <v>5138</v>
      </c>
      <c r="I1094" t="s">
        <v>5139</v>
      </c>
      <c r="J1094">
        <v>226194</v>
      </c>
      <c r="K1094" t="s">
        <v>2305</v>
      </c>
      <c r="L1094" t="s">
        <v>113</v>
      </c>
      <c r="M1094" t="s">
        <v>39</v>
      </c>
      <c r="N1094">
        <v>45619</v>
      </c>
      <c r="O1094">
        <v>2286</v>
      </c>
      <c r="P1094" t="s">
        <v>20</v>
      </c>
      <c r="Q1094">
        <v>6</v>
      </c>
      <c r="R1094" t="s">
        <v>40</v>
      </c>
      <c r="S1094" t="s">
        <v>21</v>
      </c>
      <c r="T1094" t="s">
        <v>29</v>
      </c>
    </row>
    <row r="1095" spans="1:20" x14ac:dyDescent="0.3">
      <c r="A1095" t="s">
        <v>2306</v>
      </c>
      <c r="B1095" t="s">
        <v>136</v>
      </c>
      <c r="C1095" t="s">
        <v>24</v>
      </c>
      <c r="D1095" t="s">
        <v>57</v>
      </c>
      <c r="E1095" t="s">
        <v>95</v>
      </c>
      <c r="F1095" t="s">
        <v>96</v>
      </c>
      <c r="G1095" t="s">
        <v>36</v>
      </c>
      <c r="H1095" t="s">
        <v>5142</v>
      </c>
      <c r="I1095" t="s">
        <v>5143</v>
      </c>
      <c r="J1095">
        <v>151402</v>
      </c>
      <c r="K1095" t="s">
        <v>2307</v>
      </c>
      <c r="L1095" t="s">
        <v>87</v>
      </c>
      <c r="M1095" t="s">
        <v>46</v>
      </c>
      <c r="N1095">
        <v>45469</v>
      </c>
      <c r="O1095">
        <v>1847</v>
      </c>
      <c r="P1095" t="s">
        <v>29</v>
      </c>
      <c r="Q1095">
        <v>4</v>
      </c>
      <c r="R1095" t="s">
        <v>40</v>
      </c>
      <c r="S1095" t="s">
        <v>53</v>
      </c>
      <c r="T1095" t="s">
        <v>20</v>
      </c>
    </row>
    <row r="1096" spans="1:20" x14ac:dyDescent="0.3">
      <c r="A1096" t="s">
        <v>2308</v>
      </c>
      <c r="B1096" t="s">
        <v>222</v>
      </c>
      <c r="C1096" t="s">
        <v>64</v>
      </c>
      <c r="D1096" t="s">
        <v>118</v>
      </c>
      <c r="E1096" t="s">
        <v>223</v>
      </c>
      <c r="F1096" t="s">
        <v>224</v>
      </c>
      <c r="G1096" t="s">
        <v>36</v>
      </c>
      <c r="H1096" t="s">
        <v>5142</v>
      </c>
      <c r="I1096" t="s">
        <v>5143</v>
      </c>
      <c r="J1096">
        <v>169781</v>
      </c>
      <c r="K1096" t="s">
        <v>2309</v>
      </c>
      <c r="L1096" t="s">
        <v>38</v>
      </c>
      <c r="M1096" t="s">
        <v>19</v>
      </c>
      <c r="N1096">
        <v>45424</v>
      </c>
      <c r="O1096">
        <v>3007</v>
      </c>
      <c r="P1096" t="s">
        <v>20</v>
      </c>
      <c r="Q1096">
        <v>4</v>
      </c>
      <c r="R1096" t="s">
        <v>40</v>
      </c>
      <c r="S1096" t="s">
        <v>21</v>
      </c>
      <c r="T1096" t="s">
        <v>20</v>
      </c>
    </row>
    <row r="1097" spans="1:20" x14ac:dyDescent="0.3">
      <c r="A1097" t="s">
        <v>2310</v>
      </c>
      <c r="B1097" t="s">
        <v>165</v>
      </c>
      <c r="C1097" t="s">
        <v>56</v>
      </c>
      <c r="D1097" t="s">
        <v>68</v>
      </c>
      <c r="E1097" t="s">
        <v>5133</v>
      </c>
      <c r="F1097" t="s">
        <v>5125</v>
      </c>
      <c r="G1097" t="s">
        <v>36</v>
      </c>
      <c r="H1097" t="s">
        <v>5136</v>
      </c>
      <c r="I1097" t="s">
        <v>5137</v>
      </c>
      <c r="J1097">
        <v>68982</v>
      </c>
      <c r="K1097" t="s">
        <v>2311</v>
      </c>
      <c r="L1097" t="s">
        <v>82</v>
      </c>
      <c r="M1097" t="s">
        <v>19</v>
      </c>
      <c r="N1097">
        <v>45651</v>
      </c>
      <c r="O1097">
        <v>521</v>
      </c>
      <c r="P1097" t="s">
        <v>20</v>
      </c>
      <c r="Q1097">
        <v>0</v>
      </c>
      <c r="R1097" t="s">
        <v>52</v>
      </c>
      <c r="S1097" t="s">
        <v>21</v>
      </c>
      <c r="T1097" t="s">
        <v>20</v>
      </c>
    </row>
    <row r="1098" spans="1:20" x14ac:dyDescent="0.3">
      <c r="A1098" t="s">
        <v>2312</v>
      </c>
      <c r="B1098" t="s">
        <v>99</v>
      </c>
      <c r="C1098" t="s">
        <v>67</v>
      </c>
      <c r="D1098" t="s">
        <v>44</v>
      </c>
      <c r="E1098" t="s">
        <v>69</v>
      </c>
      <c r="F1098" t="s">
        <v>70</v>
      </c>
      <c r="G1098" t="s">
        <v>50</v>
      </c>
      <c r="H1098" t="s">
        <v>5140</v>
      </c>
      <c r="I1098" t="s">
        <v>5141</v>
      </c>
      <c r="J1098">
        <v>111556</v>
      </c>
      <c r="K1098" t="s">
        <v>2313</v>
      </c>
      <c r="L1098" t="s">
        <v>5165</v>
      </c>
      <c r="M1098" t="s">
        <v>46</v>
      </c>
      <c r="N1098">
        <v>45385</v>
      </c>
      <c r="O1098">
        <v>1975</v>
      </c>
      <c r="P1098" t="s">
        <v>20</v>
      </c>
      <c r="Q1098">
        <v>2</v>
      </c>
      <c r="R1098" t="s">
        <v>47</v>
      </c>
      <c r="S1098" t="s">
        <v>21</v>
      </c>
      <c r="T1098" t="s">
        <v>20</v>
      </c>
    </row>
    <row r="1099" spans="1:20" x14ac:dyDescent="0.3">
      <c r="A1099" t="s">
        <v>2314</v>
      </c>
      <c r="B1099" t="s">
        <v>322</v>
      </c>
      <c r="C1099" t="s">
        <v>232</v>
      </c>
      <c r="D1099" t="s">
        <v>167</v>
      </c>
      <c r="E1099" t="s">
        <v>5124</v>
      </c>
      <c r="F1099" t="s">
        <v>5125</v>
      </c>
      <c r="G1099" t="s">
        <v>36</v>
      </c>
      <c r="H1099" t="s">
        <v>5140</v>
      </c>
      <c r="I1099" t="s">
        <v>5141</v>
      </c>
      <c r="J1099">
        <v>70435</v>
      </c>
      <c r="K1099" t="s">
        <v>2315</v>
      </c>
      <c r="L1099" t="s">
        <v>238</v>
      </c>
      <c r="M1099" t="s">
        <v>39</v>
      </c>
      <c r="N1099">
        <v>45452</v>
      </c>
      <c r="O1099">
        <v>3336</v>
      </c>
      <c r="P1099" t="s">
        <v>20</v>
      </c>
      <c r="Q1099">
        <v>2</v>
      </c>
      <c r="R1099" t="s">
        <v>76</v>
      </c>
      <c r="S1099" t="s">
        <v>21</v>
      </c>
      <c r="T1099" t="s">
        <v>20</v>
      </c>
    </row>
    <row r="1100" spans="1:20" x14ac:dyDescent="0.3">
      <c r="A1100" t="s">
        <v>2316</v>
      </c>
      <c r="B1100" t="s">
        <v>12</v>
      </c>
      <c r="C1100" t="s">
        <v>139</v>
      </c>
      <c r="D1100" t="s">
        <v>140</v>
      </c>
      <c r="E1100" t="s">
        <v>5131</v>
      </c>
      <c r="F1100" t="s">
        <v>5125</v>
      </c>
      <c r="G1100" t="s">
        <v>36</v>
      </c>
      <c r="H1100" t="s">
        <v>5142</v>
      </c>
      <c r="I1100" t="s">
        <v>5143</v>
      </c>
      <c r="J1100">
        <v>174740</v>
      </c>
      <c r="K1100" t="s">
        <v>2317</v>
      </c>
      <c r="L1100" t="s">
        <v>5165</v>
      </c>
      <c r="M1100" t="s">
        <v>72</v>
      </c>
      <c r="N1100">
        <v>45388</v>
      </c>
      <c r="O1100">
        <v>2421</v>
      </c>
      <c r="P1100" t="s">
        <v>92</v>
      </c>
      <c r="Q1100">
        <v>4</v>
      </c>
      <c r="R1100" t="s">
        <v>40</v>
      </c>
      <c r="S1100" t="s">
        <v>21</v>
      </c>
      <c r="T1100" t="s">
        <v>20</v>
      </c>
    </row>
    <row r="1101" spans="1:20" x14ac:dyDescent="0.3">
      <c r="A1101" t="s">
        <v>2318</v>
      </c>
      <c r="B1101" t="s">
        <v>55</v>
      </c>
      <c r="C1101" t="s">
        <v>175</v>
      </c>
      <c r="D1101" t="s">
        <v>5156</v>
      </c>
      <c r="E1101" t="s">
        <v>5126</v>
      </c>
      <c r="F1101" t="s">
        <v>5125</v>
      </c>
      <c r="G1101" t="s">
        <v>36</v>
      </c>
      <c r="H1101" t="s">
        <v>5142</v>
      </c>
      <c r="I1101" t="s">
        <v>5143</v>
      </c>
      <c r="J1101">
        <v>159355</v>
      </c>
      <c r="K1101" t="s">
        <v>2319</v>
      </c>
      <c r="L1101" t="s">
        <v>179</v>
      </c>
      <c r="M1101" t="s">
        <v>19</v>
      </c>
      <c r="N1101">
        <v>45512</v>
      </c>
      <c r="O1101">
        <v>2449</v>
      </c>
      <c r="P1101" t="s">
        <v>20</v>
      </c>
      <c r="Q1101">
        <v>4</v>
      </c>
      <c r="R1101" t="s">
        <v>52</v>
      </c>
      <c r="S1101" t="s">
        <v>21</v>
      </c>
      <c r="T1101" t="s">
        <v>29</v>
      </c>
    </row>
    <row r="1102" spans="1:20" x14ac:dyDescent="0.3">
      <c r="A1102" t="s">
        <v>2320</v>
      </c>
      <c r="B1102" t="s">
        <v>84</v>
      </c>
      <c r="C1102" t="s">
        <v>49</v>
      </c>
      <c r="D1102" t="s">
        <v>25</v>
      </c>
      <c r="E1102" t="s">
        <v>95</v>
      </c>
      <c r="F1102" t="s">
        <v>96</v>
      </c>
      <c r="G1102" t="s">
        <v>16</v>
      </c>
      <c r="H1102" t="s">
        <v>5142</v>
      </c>
      <c r="I1102" t="s">
        <v>5143</v>
      </c>
      <c r="J1102">
        <v>176946</v>
      </c>
      <c r="K1102" t="s">
        <v>2321</v>
      </c>
      <c r="L1102" t="s">
        <v>5165</v>
      </c>
      <c r="M1102" t="s">
        <v>39</v>
      </c>
      <c r="N1102">
        <v>45335</v>
      </c>
      <c r="O1102">
        <v>3190</v>
      </c>
      <c r="P1102" t="s">
        <v>20</v>
      </c>
      <c r="Q1102">
        <v>4</v>
      </c>
      <c r="R1102" t="s">
        <v>76</v>
      </c>
      <c r="S1102" t="s">
        <v>53</v>
      </c>
      <c r="T1102" t="s">
        <v>20</v>
      </c>
    </row>
    <row r="1103" spans="1:20" x14ac:dyDescent="0.3">
      <c r="A1103" t="s">
        <v>2322</v>
      </c>
      <c r="B1103" t="s">
        <v>78</v>
      </c>
      <c r="C1103" t="s">
        <v>219</v>
      </c>
      <c r="D1103" t="s">
        <v>68</v>
      </c>
      <c r="E1103" t="s">
        <v>193</v>
      </c>
      <c r="F1103" t="s">
        <v>194</v>
      </c>
      <c r="G1103" t="s">
        <v>16</v>
      </c>
      <c r="H1103" t="s">
        <v>5138</v>
      </c>
      <c r="I1103" t="s">
        <v>5139</v>
      </c>
      <c r="J1103">
        <v>95734</v>
      </c>
      <c r="K1103" t="s">
        <v>2323</v>
      </c>
      <c r="L1103" t="s">
        <v>5165</v>
      </c>
      <c r="M1103" t="s">
        <v>19</v>
      </c>
      <c r="N1103">
        <v>45379</v>
      </c>
      <c r="O1103">
        <v>3048</v>
      </c>
      <c r="P1103" t="s">
        <v>29</v>
      </c>
      <c r="Q1103">
        <v>6</v>
      </c>
      <c r="R1103" t="s">
        <v>76</v>
      </c>
      <c r="S1103" t="s">
        <v>21</v>
      </c>
      <c r="T1103" t="s">
        <v>29</v>
      </c>
    </row>
    <row r="1104" spans="1:20" x14ac:dyDescent="0.3">
      <c r="A1104" t="s">
        <v>2324</v>
      </c>
      <c r="B1104" t="s">
        <v>165</v>
      </c>
      <c r="C1104" t="s">
        <v>90</v>
      </c>
      <c r="D1104" t="s">
        <v>104</v>
      </c>
      <c r="E1104" t="s">
        <v>126</v>
      </c>
      <c r="F1104" t="s">
        <v>127</v>
      </c>
      <c r="G1104" t="s">
        <v>36</v>
      </c>
      <c r="H1104" t="s">
        <v>5138</v>
      </c>
      <c r="I1104" t="s">
        <v>5139</v>
      </c>
      <c r="J1104">
        <v>275181</v>
      </c>
      <c r="K1104" t="s">
        <v>2325</v>
      </c>
      <c r="L1104" t="s">
        <v>238</v>
      </c>
      <c r="M1104" t="s">
        <v>72</v>
      </c>
      <c r="N1104">
        <v>45631</v>
      </c>
      <c r="O1104">
        <v>3691</v>
      </c>
      <c r="P1104" t="s">
        <v>29</v>
      </c>
      <c r="Q1104">
        <v>6</v>
      </c>
      <c r="R1104" t="s">
        <v>5116</v>
      </c>
      <c r="S1104" t="s">
        <v>41</v>
      </c>
      <c r="T1104" t="s">
        <v>20</v>
      </c>
    </row>
    <row r="1105" spans="1:20" x14ac:dyDescent="0.3">
      <c r="A1105" t="s">
        <v>2326</v>
      </c>
      <c r="B1105" t="s">
        <v>124</v>
      </c>
      <c r="C1105" t="s">
        <v>56</v>
      </c>
      <c r="D1105" t="s">
        <v>140</v>
      </c>
      <c r="E1105" t="s">
        <v>14</v>
      </c>
      <c r="F1105" t="s">
        <v>15</v>
      </c>
      <c r="G1105" t="s">
        <v>50</v>
      </c>
      <c r="H1105" t="s">
        <v>5142</v>
      </c>
      <c r="I1105" t="s">
        <v>5143</v>
      </c>
      <c r="J1105">
        <v>146231</v>
      </c>
      <c r="K1105" t="s">
        <v>2327</v>
      </c>
      <c r="L1105" t="s">
        <v>61</v>
      </c>
      <c r="M1105" t="s">
        <v>72</v>
      </c>
      <c r="N1105">
        <v>45707</v>
      </c>
      <c r="O1105">
        <v>349</v>
      </c>
      <c r="P1105" t="s">
        <v>29</v>
      </c>
      <c r="Q1105">
        <v>4</v>
      </c>
      <c r="R1105" t="s">
        <v>47</v>
      </c>
      <c r="S1105" t="s">
        <v>21</v>
      </c>
      <c r="T1105" t="s">
        <v>29</v>
      </c>
    </row>
    <row r="1106" spans="1:20" x14ac:dyDescent="0.3">
      <c r="A1106" t="s">
        <v>2328</v>
      </c>
      <c r="B1106" t="s">
        <v>124</v>
      </c>
      <c r="C1106" t="s">
        <v>185</v>
      </c>
      <c r="D1106" t="s">
        <v>68</v>
      </c>
      <c r="E1106" t="s">
        <v>5131</v>
      </c>
      <c r="F1106" t="s">
        <v>5125</v>
      </c>
      <c r="G1106" t="s">
        <v>50</v>
      </c>
      <c r="H1106" t="s">
        <v>5142</v>
      </c>
      <c r="I1106" t="s">
        <v>5143</v>
      </c>
      <c r="J1106">
        <v>179920</v>
      </c>
      <c r="K1106" t="s">
        <v>2329</v>
      </c>
      <c r="L1106" t="s">
        <v>5165</v>
      </c>
      <c r="M1106" t="s">
        <v>19</v>
      </c>
      <c r="N1106">
        <v>45350</v>
      </c>
      <c r="O1106">
        <v>2371</v>
      </c>
      <c r="P1106" t="s">
        <v>29</v>
      </c>
      <c r="Q1106">
        <v>4</v>
      </c>
      <c r="R1106" t="s">
        <v>5116</v>
      </c>
      <c r="S1106" t="s">
        <v>53</v>
      </c>
      <c r="T1106" t="s">
        <v>20</v>
      </c>
    </row>
    <row r="1107" spans="1:20" x14ac:dyDescent="0.3">
      <c r="A1107" t="s">
        <v>2330</v>
      </c>
      <c r="B1107" t="s">
        <v>136</v>
      </c>
      <c r="C1107" t="s">
        <v>232</v>
      </c>
      <c r="D1107" t="s">
        <v>140</v>
      </c>
      <c r="E1107" t="s">
        <v>5129</v>
      </c>
      <c r="F1107" t="s">
        <v>5130</v>
      </c>
      <c r="G1107" t="s">
        <v>16</v>
      </c>
      <c r="H1107" t="s">
        <v>5140</v>
      </c>
      <c r="I1107" t="s">
        <v>5141</v>
      </c>
      <c r="J1107">
        <v>89409</v>
      </c>
      <c r="K1107" t="s">
        <v>2331</v>
      </c>
      <c r="L1107" t="s">
        <v>134</v>
      </c>
      <c r="M1107" t="s">
        <v>46</v>
      </c>
      <c r="N1107">
        <v>45587</v>
      </c>
      <c r="O1107">
        <v>3381</v>
      </c>
      <c r="P1107" t="s">
        <v>20</v>
      </c>
      <c r="Q1107">
        <v>2</v>
      </c>
      <c r="R1107" t="s">
        <v>5116</v>
      </c>
      <c r="S1107" t="s">
        <v>21</v>
      </c>
      <c r="T1107" t="s">
        <v>20</v>
      </c>
    </row>
    <row r="1108" spans="1:20" x14ac:dyDescent="0.3">
      <c r="A1108" t="s">
        <v>2332</v>
      </c>
      <c r="B1108" t="s">
        <v>124</v>
      </c>
      <c r="C1108" t="s">
        <v>94</v>
      </c>
      <c r="D1108" t="s">
        <v>44</v>
      </c>
      <c r="E1108" t="s">
        <v>34</v>
      </c>
      <c r="F1108" t="s">
        <v>35</v>
      </c>
      <c r="G1108" t="s">
        <v>50</v>
      </c>
      <c r="H1108" t="s">
        <v>5136</v>
      </c>
      <c r="I1108" t="s">
        <v>5137</v>
      </c>
      <c r="J1108">
        <v>77720</v>
      </c>
      <c r="K1108" t="s">
        <v>2333</v>
      </c>
      <c r="L1108" t="s">
        <v>5165</v>
      </c>
      <c r="M1108" t="s">
        <v>46</v>
      </c>
      <c r="N1108">
        <v>45298</v>
      </c>
      <c r="O1108">
        <v>52</v>
      </c>
      <c r="P1108" t="s">
        <v>29</v>
      </c>
      <c r="Q1108">
        <v>0</v>
      </c>
      <c r="R1108" t="s">
        <v>76</v>
      </c>
      <c r="S1108" t="s">
        <v>21</v>
      </c>
      <c r="T1108" t="s">
        <v>20</v>
      </c>
    </row>
    <row r="1109" spans="1:20" x14ac:dyDescent="0.3">
      <c r="A1109" t="s">
        <v>2334</v>
      </c>
      <c r="B1109" t="s">
        <v>89</v>
      </c>
      <c r="C1109" t="s">
        <v>24</v>
      </c>
      <c r="D1109" t="s">
        <v>68</v>
      </c>
      <c r="E1109" t="s">
        <v>58</v>
      </c>
      <c r="F1109" t="s">
        <v>59</v>
      </c>
      <c r="G1109" t="s">
        <v>36</v>
      </c>
      <c r="H1109" t="s">
        <v>5142</v>
      </c>
      <c r="I1109" t="s">
        <v>5143</v>
      </c>
      <c r="J1109">
        <v>121557</v>
      </c>
      <c r="K1109" t="s">
        <v>2335</v>
      </c>
      <c r="L1109" t="s">
        <v>87</v>
      </c>
      <c r="M1109" t="s">
        <v>39</v>
      </c>
      <c r="N1109">
        <v>45453</v>
      </c>
      <c r="O1109">
        <v>2947</v>
      </c>
      <c r="P1109" t="s">
        <v>29</v>
      </c>
      <c r="Q1109">
        <v>4</v>
      </c>
      <c r="R1109" t="s">
        <v>40</v>
      </c>
      <c r="S1109" t="s">
        <v>21</v>
      </c>
      <c r="T1109" t="s">
        <v>20</v>
      </c>
    </row>
    <row r="1110" spans="1:20" x14ac:dyDescent="0.3">
      <c r="A1110" t="s">
        <v>2336</v>
      </c>
      <c r="B1110" t="s">
        <v>74</v>
      </c>
      <c r="C1110" t="s">
        <v>202</v>
      </c>
      <c r="D1110" t="s">
        <v>57</v>
      </c>
      <c r="E1110" t="s">
        <v>34</v>
      </c>
      <c r="F1110" t="s">
        <v>35</v>
      </c>
      <c r="G1110" t="s">
        <v>16</v>
      </c>
      <c r="H1110" t="s">
        <v>5140</v>
      </c>
      <c r="I1110" t="s">
        <v>5141</v>
      </c>
      <c r="J1110">
        <v>97649</v>
      </c>
      <c r="K1110" t="s">
        <v>2337</v>
      </c>
      <c r="L1110" t="s">
        <v>134</v>
      </c>
      <c r="M1110" t="s">
        <v>19</v>
      </c>
      <c r="N1110">
        <v>45327</v>
      </c>
      <c r="O1110">
        <v>2097</v>
      </c>
      <c r="P1110" t="s">
        <v>20</v>
      </c>
      <c r="Q1110">
        <v>2</v>
      </c>
      <c r="R1110" t="s">
        <v>52</v>
      </c>
      <c r="S1110" t="s">
        <v>21</v>
      </c>
      <c r="T1110" t="s">
        <v>29</v>
      </c>
    </row>
    <row r="1111" spans="1:20" x14ac:dyDescent="0.3">
      <c r="A1111" t="s">
        <v>2338</v>
      </c>
      <c r="B1111" t="s">
        <v>84</v>
      </c>
      <c r="C1111" t="s">
        <v>139</v>
      </c>
      <c r="D1111" t="s">
        <v>33</v>
      </c>
      <c r="E1111" t="s">
        <v>5132</v>
      </c>
      <c r="F1111" t="s">
        <v>5125</v>
      </c>
      <c r="G1111" t="s">
        <v>36</v>
      </c>
      <c r="H1111" t="s">
        <v>5136</v>
      </c>
      <c r="I1111" t="s">
        <v>5137</v>
      </c>
      <c r="J1111">
        <v>94116</v>
      </c>
      <c r="K1111" t="s">
        <v>2339</v>
      </c>
      <c r="L1111" t="s">
        <v>113</v>
      </c>
      <c r="M1111" t="s">
        <v>19</v>
      </c>
      <c r="N1111">
        <v>45570</v>
      </c>
      <c r="O1111">
        <v>3535</v>
      </c>
      <c r="P1111" t="s">
        <v>20</v>
      </c>
      <c r="Q1111">
        <v>0</v>
      </c>
      <c r="R1111" t="s">
        <v>52</v>
      </c>
      <c r="S1111" t="s">
        <v>21</v>
      </c>
      <c r="T1111" t="s">
        <v>20</v>
      </c>
    </row>
    <row r="1112" spans="1:20" x14ac:dyDescent="0.3">
      <c r="A1112" t="s">
        <v>2340</v>
      </c>
      <c r="B1112" t="s">
        <v>215</v>
      </c>
      <c r="C1112" t="s">
        <v>125</v>
      </c>
      <c r="D1112" t="s">
        <v>118</v>
      </c>
      <c r="E1112" t="s">
        <v>5133</v>
      </c>
      <c r="F1112" t="s">
        <v>5125</v>
      </c>
      <c r="G1112" t="s">
        <v>36</v>
      </c>
      <c r="H1112" t="s">
        <v>5142</v>
      </c>
      <c r="I1112" t="s">
        <v>5143</v>
      </c>
      <c r="J1112">
        <v>144851</v>
      </c>
      <c r="K1112" t="s">
        <v>2341</v>
      </c>
      <c r="L1112" t="s">
        <v>18</v>
      </c>
      <c r="M1112" t="s">
        <v>39</v>
      </c>
      <c r="N1112">
        <v>45351</v>
      </c>
      <c r="O1112">
        <v>1941</v>
      </c>
      <c r="P1112" t="s">
        <v>20</v>
      </c>
      <c r="Q1112">
        <v>4</v>
      </c>
      <c r="R1112" t="s">
        <v>52</v>
      </c>
      <c r="S1112" t="s">
        <v>21</v>
      </c>
      <c r="T1112" t="s">
        <v>29</v>
      </c>
    </row>
    <row r="1113" spans="1:20" x14ac:dyDescent="0.3">
      <c r="A1113" t="s">
        <v>2342</v>
      </c>
      <c r="B1113" t="s">
        <v>78</v>
      </c>
      <c r="C1113" t="s">
        <v>166</v>
      </c>
      <c r="D1113" t="s">
        <v>44</v>
      </c>
      <c r="E1113" t="s">
        <v>5126</v>
      </c>
      <c r="F1113" t="s">
        <v>5125</v>
      </c>
      <c r="G1113" t="s">
        <v>16</v>
      </c>
      <c r="H1113" t="s">
        <v>5138</v>
      </c>
      <c r="I1113" t="s">
        <v>5139</v>
      </c>
      <c r="J1113">
        <v>207827</v>
      </c>
      <c r="K1113" t="s">
        <v>2343</v>
      </c>
      <c r="L1113" t="s">
        <v>113</v>
      </c>
      <c r="M1113" t="s">
        <v>39</v>
      </c>
      <c r="N1113">
        <v>45467</v>
      </c>
      <c r="O1113">
        <v>323</v>
      </c>
      <c r="P1113" t="s">
        <v>29</v>
      </c>
      <c r="Q1113">
        <v>6</v>
      </c>
      <c r="R1113" t="s">
        <v>5116</v>
      </c>
      <c r="S1113" t="s">
        <v>21</v>
      </c>
      <c r="T1113" t="s">
        <v>20</v>
      </c>
    </row>
    <row r="1114" spans="1:20" x14ac:dyDescent="0.3">
      <c r="A1114" t="s">
        <v>2344</v>
      </c>
      <c r="B1114" t="s">
        <v>229</v>
      </c>
      <c r="C1114" t="s">
        <v>125</v>
      </c>
      <c r="D1114" t="s">
        <v>33</v>
      </c>
      <c r="E1114" t="s">
        <v>5124</v>
      </c>
      <c r="F1114" t="s">
        <v>5125</v>
      </c>
      <c r="G1114" t="s">
        <v>36</v>
      </c>
      <c r="H1114" t="s">
        <v>5140</v>
      </c>
      <c r="I1114" t="s">
        <v>5141</v>
      </c>
      <c r="J1114">
        <v>127227</v>
      </c>
      <c r="K1114" t="s">
        <v>2345</v>
      </c>
      <c r="L1114" t="s">
        <v>5165</v>
      </c>
      <c r="M1114" t="s">
        <v>46</v>
      </c>
      <c r="N1114">
        <v>45710</v>
      </c>
      <c r="O1114">
        <v>564</v>
      </c>
      <c r="P1114" t="s">
        <v>20</v>
      </c>
      <c r="Q1114">
        <v>2</v>
      </c>
      <c r="R1114" t="s">
        <v>47</v>
      </c>
      <c r="S1114" t="s">
        <v>21</v>
      </c>
      <c r="T1114" t="s">
        <v>29</v>
      </c>
    </row>
    <row r="1115" spans="1:20" x14ac:dyDescent="0.3">
      <c r="A1115" t="s">
        <v>2346</v>
      </c>
      <c r="B1115" t="s">
        <v>322</v>
      </c>
      <c r="C1115" t="s">
        <v>64</v>
      </c>
      <c r="D1115" t="s">
        <v>104</v>
      </c>
      <c r="E1115" t="s">
        <v>5131</v>
      </c>
      <c r="F1115" t="s">
        <v>5125</v>
      </c>
      <c r="G1115" t="s">
        <v>16</v>
      </c>
      <c r="H1115" t="s">
        <v>5140</v>
      </c>
      <c r="I1115" t="s">
        <v>5141</v>
      </c>
      <c r="J1115">
        <v>119814</v>
      </c>
      <c r="K1115" t="s">
        <v>2347</v>
      </c>
      <c r="L1115" t="s">
        <v>87</v>
      </c>
      <c r="M1115" t="s">
        <v>19</v>
      </c>
      <c r="N1115">
        <v>45730</v>
      </c>
      <c r="O1115">
        <v>3263</v>
      </c>
      <c r="P1115" t="s">
        <v>29</v>
      </c>
      <c r="Q1115">
        <v>2</v>
      </c>
      <c r="R1115" t="s">
        <v>5116</v>
      </c>
      <c r="S1115" t="s">
        <v>21</v>
      </c>
      <c r="T1115" t="s">
        <v>20</v>
      </c>
    </row>
    <row r="1116" spans="1:20" x14ac:dyDescent="0.3">
      <c r="A1116" t="s">
        <v>2348</v>
      </c>
      <c r="B1116" t="s">
        <v>222</v>
      </c>
      <c r="C1116" t="s">
        <v>188</v>
      </c>
      <c r="D1116" t="s">
        <v>68</v>
      </c>
      <c r="E1116" t="s">
        <v>152</v>
      </c>
      <c r="F1116" t="s">
        <v>153</v>
      </c>
      <c r="G1116" t="s">
        <v>16</v>
      </c>
      <c r="H1116" t="s">
        <v>5138</v>
      </c>
      <c r="I1116" t="s">
        <v>5139</v>
      </c>
      <c r="J1116">
        <v>205415</v>
      </c>
      <c r="K1116" t="s">
        <v>2349</v>
      </c>
      <c r="L1116" t="s">
        <v>113</v>
      </c>
      <c r="M1116" t="s">
        <v>46</v>
      </c>
      <c r="N1116">
        <v>45647</v>
      </c>
      <c r="O1116">
        <v>3578</v>
      </c>
      <c r="P1116" t="s">
        <v>20</v>
      </c>
      <c r="Q1116">
        <v>6</v>
      </c>
      <c r="R1116" t="s">
        <v>40</v>
      </c>
      <c r="S1116" t="s">
        <v>21</v>
      </c>
      <c r="T1116" t="s">
        <v>20</v>
      </c>
    </row>
    <row r="1117" spans="1:20" x14ac:dyDescent="0.3">
      <c r="A1117" t="s">
        <v>2350</v>
      </c>
      <c r="B1117" t="s">
        <v>229</v>
      </c>
      <c r="C1117" t="s">
        <v>94</v>
      </c>
      <c r="D1117" t="s">
        <v>44</v>
      </c>
      <c r="E1117" t="s">
        <v>58</v>
      </c>
      <c r="F1117" t="s">
        <v>59</v>
      </c>
      <c r="G1117" t="s">
        <v>50</v>
      </c>
      <c r="H1117" t="s">
        <v>5138</v>
      </c>
      <c r="I1117" t="s">
        <v>5139</v>
      </c>
      <c r="J1117">
        <v>213138</v>
      </c>
      <c r="K1117" t="s">
        <v>2351</v>
      </c>
      <c r="L1117" t="s">
        <v>5165</v>
      </c>
      <c r="M1117" t="s">
        <v>39</v>
      </c>
      <c r="N1117">
        <v>45355</v>
      </c>
      <c r="O1117">
        <v>3187</v>
      </c>
      <c r="P1117" t="s">
        <v>20</v>
      </c>
      <c r="Q1117">
        <v>6</v>
      </c>
      <c r="R1117" t="s">
        <v>5116</v>
      </c>
      <c r="S1117" t="s">
        <v>21</v>
      </c>
      <c r="T1117" t="s">
        <v>20</v>
      </c>
    </row>
    <row r="1118" spans="1:20" x14ac:dyDescent="0.3">
      <c r="A1118" t="s">
        <v>2352</v>
      </c>
      <c r="B1118" t="s">
        <v>136</v>
      </c>
      <c r="C1118" t="s">
        <v>197</v>
      </c>
      <c r="D1118" t="s">
        <v>140</v>
      </c>
      <c r="E1118" t="s">
        <v>69</v>
      </c>
      <c r="F1118" t="s">
        <v>70</v>
      </c>
      <c r="G1118" t="s">
        <v>36</v>
      </c>
      <c r="H1118" t="s">
        <v>5136</v>
      </c>
      <c r="I1118" t="s">
        <v>5137</v>
      </c>
      <c r="J1118">
        <v>100283</v>
      </c>
      <c r="K1118" t="s">
        <v>2353</v>
      </c>
      <c r="L1118" t="s">
        <v>5165</v>
      </c>
      <c r="M1118" t="s">
        <v>19</v>
      </c>
      <c r="N1118">
        <v>45572</v>
      </c>
      <c r="O1118">
        <v>1851</v>
      </c>
      <c r="P1118" t="s">
        <v>29</v>
      </c>
      <c r="Q1118">
        <v>0</v>
      </c>
      <c r="R1118" t="s">
        <v>40</v>
      </c>
      <c r="S1118" t="s">
        <v>21</v>
      </c>
      <c r="T1118" t="s">
        <v>20</v>
      </c>
    </row>
    <row r="1119" spans="1:20" x14ac:dyDescent="0.3">
      <c r="A1119" t="s">
        <v>2354</v>
      </c>
      <c r="B1119" t="s">
        <v>78</v>
      </c>
      <c r="C1119" t="s">
        <v>160</v>
      </c>
      <c r="D1119" t="s">
        <v>68</v>
      </c>
      <c r="E1119" t="s">
        <v>209</v>
      </c>
      <c r="F1119" t="s">
        <v>210</v>
      </c>
      <c r="G1119" t="s">
        <v>50</v>
      </c>
      <c r="H1119" t="s">
        <v>5136</v>
      </c>
      <c r="I1119" t="s">
        <v>5137</v>
      </c>
      <c r="J1119">
        <v>69274</v>
      </c>
      <c r="K1119" t="s">
        <v>2355</v>
      </c>
      <c r="L1119" t="s">
        <v>179</v>
      </c>
      <c r="M1119" t="s">
        <v>19</v>
      </c>
      <c r="N1119">
        <v>45470</v>
      </c>
      <c r="O1119">
        <v>1438</v>
      </c>
      <c r="P1119" t="s">
        <v>20</v>
      </c>
      <c r="Q1119">
        <v>0</v>
      </c>
      <c r="R1119" t="s">
        <v>47</v>
      </c>
      <c r="S1119" t="s">
        <v>41</v>
      </c>
      <c r="T1119" t="s">
        <v>20</v>
      </c>
    </row>
    <row r="1120" spans="1:20" x14ac:dyDescent="0.3">
      <c r="A1120" t="s">
        <v>2356</v>
      </c>
      <c r="B1120" t="s">
        <v>63</v>
      </c>
      <c r="C1120" t="s">
        <v>117</v>
      </c>
      <c r="D1120" t="s">
        <v>25</v>
      </c>
      <c r="E1120" t="s">
        <v>26</v>
      </c>
      <c r="F1120" t="s">
        <v>27</v>
      </c>
      <c r="G1120" t="s">
        <v>50</v>
      </c>
      <c r="H1120" t="s">
        <v>5140</v>
      </c>
      <c r="I1120" t="s">
        <v>5141</v>
      </c>
      <c r="J1120">
        <v>113981</v>
      </c>
      <c r="K1120" t="s">
        <v>2357</v>
      </c>
      <c r="L1120" t="s">
        <v>61</v>
      </c>
      <c r="M1120" t="s">
        <v>39</v>
      </c>
      <c r="N1120">
        <v>45604</v>
      </c>
      <c r="O1120">
        <v>90</v>
      </c>
      <c r="P1120" t="s">
        <v>29</v>
      </c>
      <c r="Q1120">
        <v>2</v>
      </c>
      <c r="R1120" t="s">
        <v>52</v>
      </c>
      <c r="S1120" t="s">
        <v>21</v>
      </c>
      <c r="T1120" t="s">
        <v>20</v>
      </c>
    </row>
    <row r="1121" spans="1:20" x14ac:dyDescent="0.3">
      <c r="A1121" t="s">
        <v>2358</v>
      </c>
      <c r="B1121" t="s">
        <v>31</v>
      </c>
      <c r="C1121" t="s">
        <v>185</v>
      </c>
      <c r="D1121" t="s">
        <v>104</v>
      </c>
      <c r="E1121" t="s">
        <v>193</v>
      </c>
      <c r="F1121" t="s">
        <v>194</v>
      </c>
      <c r="G1121" t="s">
        <v>16</v>
      </c>
      <c r="H1121" t="s">
        <v>5136</v>
      </c>
      <c r="I1121" t="s">
        <v>5137</v>
      </c>
      <c r="J1121">
        <v>83238</v>
      </c>
      <c r="K1121" t="s">
        <v>2359</v>
      </c>
      <c r="L1121" t="s">
        <v>18</v>
      </c>
      <c r="M1121" t="s">
        <v>46</v>
      </c>
      <c r="N1121">
        <v>45430</v>
      </c>
      <c r="O1121">
        <v>600</v>
      </c>
      <c r="P1121" t="s">
        <v>20</v>
      </c>
      <c r="Q1121">
        <v>0</v>
      </c>
      <c r="R1121" t="s">
        <v>76</v>
      </c>
      <c r="S1121" t="s">
        <v>41</v>
      </c>
      <c r="T1121" t="s">
        <v>29</v>
      </c>
    </row>
    <row r="1122" spans="1:20" x14ac:dyDescent="0.3">
      <c r="A1122" t="s">
        <v>2360</v>
      </c>
      <c r="B1122" t="s">
        <v>23</v>
      </c>
      <c r="C1122" t="s">
        <v>151</v>
      </c>
      <c r="D1122" t="s">
        <v>118</v>
      </c>
      <c r="E1122" t="s">
        <v>58</v>
      </c>
      <c r="F1122" t="s">
        <v>59</v>
      </c>
      <c r="G1122" t="s">
        <v>36</v>
      </c>
      <c r="H1122" t="s">
        <v>5138</v>
      </c>
      <c r="I1122" t="s">
        <v>5139</v>
      </c>
      <c r="J1122">
        <v>239798</v>
      </c>
      <c r="K1122" t="s">
        <v>2361</v>
      </c>
      <c r="L1122" t="s">
        <v>5165</v>
      </c>
      <c r="M1122" t="s">
        <v>19</v>
      </c>
      <c r="N1122">
        <v>45422</v>
      </c>
      <c r="O1122">
        <v>1095</v>
      </c>
      <c r="P1122" t="s">
        <v>20</v>
      </c>
      <c r="Q1122">
        <v>6</v>
      </c>
      <c r="R1122" t="s">
        <v>47</v>
      </c>
      <c r="S1122" t="s">
        <v>21</v>
      </c>
      <c r="T1122" t="s">
        <v>29</v>
      </c>
    </row>
    <row r="1123" spans="1:20" x14ac:dyDescent="0.3">
      <c r="A1123" t="s">
        <v>2362</v>
      </c>
      <c r="B1123" t="s">
        <v>23</v>
      </c>
      <c r="C1123" t="s">
        <v>49</v>
      </c>
      <c r="D1123" t="s">
        <v>57</v>
      </c>
      <c r="E1123" t="s">
        <v>5127</v>
      </c>
      <c r="F1123" t="s">
        <v>5125</v>
      </c>
      <c r="G1123" t="s">
        <v>16</v>
      </c>
      <c r="H1123" t="s">
        <v>5136</v>
      </c>
      <c r="I1123" t="s">
        <v>5137</v>
      </c>
      <c r="J1123">
        <v>84956</v>
      </c>
      <c r="K1123" t="s">
        <v>2363</v>
      </c>
      <c r="L1123" t="s">
        <v>87</v>
      </c>
      <c r="M1123" t="s">
        <v>46</v>
      </c>
      <c r="N1123">
        <v>45487</v>
      </c>
      <c r="O1123">
        <v>239</v>
      </c>
      <c r="P1123" t="s">
        <v>92</v>
      </c>
      <c r="Q1123">
        <v>0</v>
      </c>
      <c r="R1123" t="s">
        <v>47</v>
      </c>
      <c r="S1123" t="s">
        <v>53</v>
      </c>
      <c r="T1123" t="s">
        <v>29</v>
      </c>
    </row>
    <row r="1124" spans="1:20" x14ac:dyDescent="0.3">
      <c r="A1124" t="s">
        <v>2364</v>
      </c>
      <c r="B1124" t="s">
        <v>229</v>
      </c>
      <c r="C1124" t="s">
        <v>32</v>
      </c>
      <c r="D1124" t="s">
        <v>5156</v>
      </c>
      <c r="E1124" t="s">
        <v>5126</v>
      </c>
      <c r="F1124" t="s">
        <v>5125</v>
      </c>
      <c r="G1124" t="s">
        <v>50</v>
      </c>
      <c r="H1124" t="s">
        <v>5140</v>
      </c>
      <c r="I1124" t="s">
        <v>5141</v>
      </c>
      <c r="J1124">
        <v>122646</v>
      </c>
      <c r="K1124" t="s">
        <v>2365</v>
      </c>
      <c r="L1124" t="s">
        <v>87</v>
      </c>
      <c r="M1124" t="s">
        <v>19</v>
      </c>
      <c r="N1124">
        <v>45504</v>
      </c>
      <c r="O1124">
        <v>1958</v>
      </c>
      <c r="P1124" t="s">
        <v>20</v>
      </c>
      <c r="Q1124">
        <v>2</v>
      </c>
      <c r="R1124" t="s">
        <v>5116</v>
      </c>
      <c r="S1124" t="s">
        <v>21</v>
      </c>
      <c r="T1124" t="s">
        <v>20</v>
      </c>
    </row>
    <row r="1125" spans="1:20" x14ac:dyDescent="0.3">
      <c r="A1125" t="s">
        <v>2366</v>
      </c>
      <c r="B1125" t="s">
        <v>55</v>
      </c>
      <c r="C1125" t="s">
        <v>160</v>
      </c>
      <c r="D1125" t="s">
        <v>118</v>
      </c>
      <c r="E1125" t="s">
        <v>193</v>
      </c>
      <c r="F1125" t="s">
        <v>194</v>
      </c>
      <c r="G1125" t="s">
        <v>50</v>
      </c>
      <c r="H1125" t="s">
        <v>5142</v>
      </c>
      <c r="I1125" t="s">
        <v>5143</v>
      </c>
      <c r="J1125">
        <v>119138</v>
      </c>
      <c r="K1125" t="s">
        <v>2367</v>
      </c>
      <c r="L1125" t="s">
        <v>5165</v>
      </c>
      <c r="M1125" t="s">
        <v>19</v>
      </c>
      <c r="N1125">
        <v>45305</v>
      </c>
      <c r="O1125">
        <v>2224</v>
      </c>
      <c r="P1125" t="s">
        <v>20</v>
      </c>
      <c r="Q1125">
        <v>4</v>
      </c>
      <c r="R1125" t="s">
        <v>76</v>
      </c>
      <c r="S1125" t="s">
        <v>21</v>
      </c>
      <c r="T1125" t="s">
        <v>20</v>
      </c>
    </row>
    <row r="1126" spans="1:20" x14ac:dyDescent="0.3">
      <c r="A1126" t="s">
        <v>2368</v>
      </c>
      <c r="B1126" t="s">
        <v>63</v>
      </c>
      <c r="C1126" t="s">
        <v>100</v>
      </c>
      <c r="D1126" t="s">
        <v>140</v>
      </c>
      <c r="E1126" t="s">
        <v>152</v>
      </c>
      <c r="F1126" t="s">
        <v>153</v>
      </c>
      <c r="G1126" t="s">
        <v>16</v>
      </c>
      <c r="H1126" t="s">
        <v>5138</v>
      </c>
      <c r="I1126" t="s">
        <v>5139</v>
      </c>
      <c r="J1126">
        <v>258803</v>
      </c>
      <c r="K1126" t="s">
        <v>2369</v>
      </c>
      <c r="L1126" t="s">
        <v>113</v>
      </c>
      <c r="M1126" t="s">
        <v>39</v>
      </c>
      <c r="N1126">
        <v>45353</v>
      </c>
      <c r="O1126">
        <v>464</v>
      </c>
      <c r="P1126" t="s">
        <v>20</v>
      </c>
      <c r="Q1126">
        <v>6</v>
      </c>
      <c r="R1126" t="s">
        <v>76</v>
      </c>
      <c r="S1126" t="s">
        <v>53</v>
      </c>
      <c r="T1126" t="s">
        <v>20</v>
      </c>
    </row>
    <row r="1127" spans="1:20" x14ac:dyDescent="0.3">
      <c r="A1127" t="s">
        <v>2370</v>
      </c>
      <c r="B1127" t="s">
        <v>89</v>
      </c>
      <c r="C1127" t="s">
        <v>160</v>
      </c>
      <c r="D1127" t="s">
        <v>167</v>
      </c>
      <c r="E1127" t="s">
        <v>34</v>
      </c>
      <c r="F1127" t="s">
        <v>35</v>
      </c>
      <c r="G1127" t="s">
        <v>16</v>
      </c>
      <c r="H1127" t="s">
        <v>5136</v>
      </c>
      <c r="I1127" t="s">
        <v>5137</v>
      </c>
      <c r="J1127">
        <v>55556</v>
      </c>
      <c r="K1127" t="s">
        <v>2371</v>
      </c>
      <c r="L1127" t="s">
        <v>61</v>
      </c>
      <c r="M1127" t="s">
        <v>19</v>
      </c>
      <c r="N1127">
        <v>45417</v>
      </c>
      <c r="O1127">
        <v>73</v>
      </c>
      <c r="P1127" t="s">
        <v>29</v>
      </c>
      <c r="Q1127">
        <v>0</v>
      </c>
      <c r="R1127" t="s">
        <v>47</v>
      </c>
      <c r="S1127" t="s">
        <v>21</v>
      </c>
      <c r="T1127" t="s">
        <v>20</v>
      </c>
    </row>
    <row r="1128" spans="1:20" x14ac:dyDescent="0.3">
      <c r="A1128" t="s">
        <v>2372</v>
      </c>
      <c r="B1128" t="s">
        <v>63</v>
      </c>
      <c r="C1128" t="s">
        <v>13</v>
      </c>
      <c r="D1128" t="s">
        <v>167</v>
      </c>
      <c r="E1128" t="s">
        <v>5132</v>
      </c>
      <c r="F1128" t="s">
        <v>5125</v>
      </c>
      <c r="G1128" t="s">
        <v>36</v>
      </c>
      <c r="H1128" t="s">
        <v>5140</v>
      </c>
      <c r="I1128" t="s">
        <v>5141</v>
      </c>
      <c r="J1128">
        <v>115992</v>
      </c>
      <c r="K1128" t="s">
        <v>2373</v>
      </c>
      <c r="L1128" t="s">
        <v>61</v>
      </c>
      <c r="M1128" t="s">
        <v>46</v>
      </c>
      <c r="N1128">
        <v>45448</v>
      </c>
      <c r="O1128">
        <v>3790</v>
      </c>
      <c r="P1128" t="s">
        <v>29</v>
      </c>
      <c r="Q1128">
        <v>2</v>
      </c>
      <c r="R1128" t="s">
        <v>52</v>
      </c>
      <c r="S1128" t="s">
        <v>21</v>
      </c>
      <c r="T1128" t="s">
        <v>20</v>
      </c>
    </row>
    <row r="1129" spans="1:20" x14ac:dyDescent="0.3">
      <c r="A1129" t="s">
        <v>2374</v>
      </c>
      <c r="B1129" t="s">
        <v>74</v>
      </c>
      <c r="C1129" t="s">
        <v>94</v>
      </c>
      <c r="D1129" t="s">
        <v>104</v>
      </c>
      <c r="E1129" t="s">
        <v>58</v>
      </c>
      <c r="F1129" t="s">
        <v>59</v>
      </c>
      <c r="G1129" t="s">
        <v>16</v>
      </c>
      <c r="H1129" t="s">
        <v>5136</v>
      </c>
      <c r="I1129" t="s">
        <v>5137</v>
      </c>
      <c r="J1129">
        <v>60496</v>
      </c>
      <c r="K1129" t="s">
        <v>2375</v>
      </c>
      <c r="L1129" t="s">
        <v>142</v>
      </c>
      <c r="M1129" t="s">
        <v>46</v>
      </c>
      <c r="N1129">
        <v>45468</v>
      </c>
      <c r="O1129">
        <v>3922</v>
      </c>
      <c r="P1129" t="s">
        <v>92</v>
      </c>
      <c r="Q1129">
        <v>0</v>
      </c>
      <c r="R1129" t="s">
        <v>76</v>
      </c>
      <c r="S1129" t="s">
        <v>41</v>
      </c>
      <c r="T1129" t="s">
        <v>29</v>
      </c>
    </row>
    <row r="1130" spans="1:20" x14ac:dyDescent="0.3">
      <c r="A1130" t="s">
        <v>2376</v>
      </c>
      <c r="B1130" t="s">
        <v>322</v>
      </c>
      <c r="C1130" t="s">
        <v>202</v>
      </c>
      <c r="D1130" t="s">
        <v>33</v>
      </c>
      <c r="E1130" t="s">
        <v>223</v>
      </c>
      <c r="F1130" t="s">
        <v>224</v>
      </c>
      <c r="G1130" t="s">
        <v>36</v>
      </c>
      <c r="H1130" t="s">
        <v>5138</v>
      </c>
      <c r="I1130" t="s">
        <v>5139</v>
      </c>
      <c r="J1130">
        <v>197691</v>
      </c>
      <c r="K1130" t="s">
        <v>2377</v>
      </c>
      <c r="L1130" t="s">
        <v>5165</v>
      </c>
      <c r="M1130" t="s">
        <v>46</v>
      </c>
      <c r="N1130">
        <v>45702</v>
      </c>
      <c r="O1130">
        <v>3728</v>
      </c>
      <c r="P1130" t="s">
        <v>29</v>
      </c>
      <c r="Q1130">
        <v>6</v>
      </c>
      <c r="R1130" t="s">
        <v>76</v>
      </c>
      <c r="S1130" t="s">
        <v>21</v>
      </c>
      <c r="T1130" t="s">
        <v>20</v>
      </c>
    </row>
    <row r="1131" spans="1:20" x14ac:dyDescent="0.3">
      <c r="A1131" t="s">
        <v>2378</v>
      </c>
      <c r="B1131" t="s">
        <v>144</v>
      </c>
      <c r="C1131" t="s">
        <v>121</v>
      </c>
      <c r="D1131" t="s">
        <v>104</v>
      </c>
      <c r="E1131" t="s">
        <v>34</v>
      </c>
      <c r="F1131" t="s">
        <v>35</v>
      </c>
      <c r="G1131" t="s">
        <v>50</v>
      </c>
      <c r="H1131" t="s">
        <v>5140</v>
      </c>
      <c r="I1131" t="s">
        <v>5141</v>
      </c>
      <c r="J1131">
        <v>116509</v>
      </c>
      <c r="K1131" t="s">
        <v>2379</v>
      </c>
      <c r="L1131" t="s">
        <v>18</v>
      </c>
      <c r="M1131" t="s">
        <v>19</v>
      </c>
      <c r="N1131">
        <v>45577</v>
      </c>
      <c r="O1131">
        <v>1241</v>
      </c>
      <c r="P1131" t="s">
        <v>29</v>
      </c>
      <c r="Q1131">
        <v>2</v>
      </c>
      <c r="R1131" t="s">
        <v>52</v>
      </c>
      <c r="S1131" t="s">
        <v>21</v>
      </c>
      <c r="T1131" t="s">
        <v>20</v>
      </c>
    </row>
    <row r="1132" spans="1:20" x14ac:dyDescent="0.3">
      <c r="A1132" t="s">
        <v>2380</v>
      </c>
      <c r="B1132" t="s">
        <v>124</v>
      </c>
      <c r="C1132" t="s">
        <v>166</v>
      </c>
      <c r="D1132" t="s">
        <v>68</v>
      </c>
      <c r="E1132" t="s">
        <v>5126</v>
      </c>
      <c r="F1132" t="s">
        <v>5125</v>
      </c>
      <c r="G1132" t="s">
        <v>36</v>
      </c>
      <c r="H1132" t="s">
        <v>5140</v>
      </c>
      <c r="I1132" t="s">
        <v>5141</v>
      </c>
      <c r="J1132">
        <v>116362</v>
      </c>
      <c r="K1132" t="s">
        <v>2381</v>
      </c>
      <c r="L1132" t="s">
        <v>5165</v>
      </c>
      <c r="M1132" t="s">
        <v>19</v>
      </c>
      <c r="N1132">
        <v>45665</v>
      </c>
      <c r="O1132">
        <v>1117</v>
      </c>
      <c r="P1132" t="s">
        <v>20</v>
      </c>
      <c r="Q1132">
        <v>2</v>
      </c>
      <c r="R1132" t="s">
        <v>5116</v>
      </c>
      <c r="S1132" t="s">
        <v>21</v>
      </c>
      <c r="T1132" t="s">
        <v>29</v>
      </c>
    </row>
    <row r="1133" spans="1:20" x14ac:dyDescent="0.3">
      <c r="A1133" t="s">
        <v>2382</v>
      </c>
      <c r="B1133" t="s">
        <v>136</v>
      </c>
      <c r="C1133" t="s">
        <v>197</v>
      </c>
      <c r="D1133" t="s">
        <v>57</v>
      </c>
      <c r="E1133" t="s">
        <v>5124</v>
      </c>
      <c r="F1133" t="s">
        <v>5125</v>
      </c>
      <c r="G1133" t="s">
        <v>16</v>
      </c>
      <c r="H1133" t="s">
        <v>5138</v>
      </c>
      <c r="I1133" t="s">
        <v>5139</v>
      </c>
      <c r="J1133">
        <v>215189</v>
      </c>
      <c r="K1133" t="s">
        <v>2383</v>
      </c>
      <c r="L1133" t="s">
        <v>61</v>
      </c>
      <c r="M1133" t="s">
        <v>46</v>
      </c>
      <c r="N1133">
        <v>45387</v>
      </c>
      <c r="O1133">
        <v>3558</v>
      </c>
      <c r="P1133" t="s">
        <v>29</v>
      </c>
      <c r="Q1133">
        <v>6</v>
      </c>
      <c r="R1133" t="s">
        <v>40</v>
      </c>
      <c r="S1133" t="s">
        <v>21</v>
      </c>
      <c r="T1133" t="s">
        <v>29</v>
      </c>
    </row>
    <row r="1134" spans="1:20" x14ac:dyDescent="0.3">
      <c r="A1134" t="s">
        <v>2384</v>
      </c>
      <c r="B1134" t="s">
        <v>99</v>
      </c>
      <c r="C1134" t="s">
        <v>94</v>
      </c>
      <c r="D1134" t="s">
        <v>104</v>
      </c>
      <c r="E1134" t="s">
        <v>5127</v>
      </c>
      <c r="F1134" t="s">
        <v>5125</v>
      </c>
      <c r="G1134" t="s">
        <v>16</v>
      </c>
      <c r="H1134" t="s">
        <v>5136</v>
      </c>
      <c r="I1134" t="s">
        <v>5137</v>
      </c>
      <c r="J1134">
        <v>90332</v>
      </c>
      <c r="K1134" t="s">
        <v>2385</v>
      </c>
      <c r="L1134" t="s">
        <v>18</v>
      </c>
      <c r="M1134" t="s">
        <v>19</v>
      </c>
      <c r="N1134">
        <v>45572</v>
      </c>
      <c r="O1134">
        <v>2144</v>
      </c>
      <c r="P1134" t="s">
        <v>20</v>
      </c>
      <c r="Q1134">
        <v>0</v>
      </c>
      <c r="R1134" t="s">
        <v>76</v>
      </c>
      <c r="S1134" t="s">
        <v>41</v>
      </c>
      <c r="T1134" t="s">
        <v>29</v>
      </c>
    </row>
    <row r="1135" spans="1:20" x14ac:dyDescent="0.3">
      <c r="A1135" t="s">
        <v>2386</v>
      </c>
      <c r="B1135" t="s">
        <v>12</v>
      </c>
      <c r="C1135" t="s">
        <v>202</v>
      </c>
      <c r="D1135" t="s">
        <v>33</v>
      </c>
      <c r="E1135" t="s">
        <v>5132</v>
      </c>
      <c r="F1135" t="s">
        <v>5125</v>
      </c>
      <c r="G1135" t="s">
        <v>16</v>
      </c>
      <c r="H1135" t="s">
        <v>5138</v>
      </c>
      <c r="I1135" t="s">
        <v>5139</v>
      </c>
      <c r="J1135">
        <v>216327</v>
      </c>
      <c r="K1135" t="s">
        <v>2387</v>
      </c>
      <c r="L1135" t="s">
        <v>5165</v>
      </c>
      <c r="M1135" t="s">
        <v>19</v>
      </c>
      <c r="N1135">
        <v>45730</v>
      </c>
      <c r="O1135">
        <v>835</v>
      </c>
      <c r="P1135" t="s">
        <v>92</v>
      </c>
      <c r="Q1135">
        <v>6</v>
      </c>
      <c r="R1135" t="s">
        <v>76</v>
      </c>
      <c r="S1135" t="s">
        <v>21</v>
      </c>
      <c r="T1135" t="s">
        <v>20</v>
      </c>
    </row>
    <row r="1136" spans="1:20" x14ac:dyDescent="0.3">
      <c r="A1136" t="s">
        <v>2388</v>
      </c>
      <c r="B1136" t="s">
        <v>136</v>
      </c>
      <c r="C1136" t="s">
        <v>49</v>
      </c>
      <c r="D1136" t="s">
        <v>33</v>
      </c>
      <c r="E1136" t="s">
        <v>209</v>
      </c>
      <c r="F1136" t="s">
        <v>210</v>
      </c>
      <c r="G1136" t="s">
        <v>16</v>
      </c>
      <c r="H1136" t="s">
        <v>5138</v>
      </c>
      <c r="I1136" t="s">
        <v>5139</v>
      </c>
      <c r="J1136">
        <v>191210</v>
      </c>
      <c r="K1136" t="s">
        <v>2389</v>
      </c>
      <c r="L1136" t="s">
        <v>113</v>
      </c>
      <c r="M1136" t="s">
        <v>19</v>
      </c>
      <c r="N1136">
        <v>45296</v>
      </c>
      <c r="O1136">
        <v>3783</v>
      </c>
      <c r="P1136" t="s">
        <v>20</v>
      </c>
      <c r="Q1136">
        <v>6</v>
      </c>
      <c r="R1136" t="s">
        <v>76</v>
      </c>
      <c r="S1136" t="s">
        <v>21</v>
      </c>
      <c r="T1136" t="s">
        <v>20</v>
      </c>
    </row>
    <row r="1137" spans="1:20" x14ac:dyDescent="0.3">
      <c r="A1137" t="s">
        <v>2390</v>
      </c>
      <c r="B1137" t="s">
        <v>84</v>
      </c>
      <c r="C1137" t="s">
        <v>24</v>
      </c>
      <c r="D1137" t="s">
        <v>44</v>
      </c>
      <c r="E1137" t="s">
        <v>5129</v>
      </c>
      <c r="F1137" t="s">
        <v>5130</v>
      </c>
      <c r="G1137" t="s">
        <v>50</v>
      </c>
      <c r="H1137" t="s">
        <v>5138</v>
      </c>
      <c r="I1137" t="s">
        <v>5139</v>
      </c>
      <c r="J1137">
        <v>234707</v>
      </c>
      <c r="K1137" t="s">
        <v>2391</v>
      </c>
      <c r="L1137" t="s">
        <v>5165</v>
      </c>
      <c r="M1137" t="s">
        <v>46</v>
      </c>
      <c r="N1137">
        <v>45662</v>
      </c>
      <c r="O1137">
        <v>2853</v>
      </c>
      <c r="P1137" t="s">
        <v>20</v>
      </c>
      <c r="Q1137">
        <v>6</v>
      </c>
      <c r="R1137" t="s">
        <v>76</v>
      </c>
      <c r="S1137" t="s">
        <v>21</v>
      </c>
      <c r="T1137" t="s">
        <v>20</v>
      </c>
    </row>
    <row r="1138" spans="1:20" x14ac:dyDescent="0.3">
      <c r="A1138" t="s">
        <v>2392</v>
      </c>
      <c r="B1138" t="s">
        <v>74</v>
      </c>
      <c r="C1138" t="s">
        <v>166</v>
      </c>
      <c r="D1138" t="s">
        <v>140</v>
      </c>
      <c r="E1138" t="s">
        <v>5132</v>
      </c>
      <c r="F1138" t="s">
        <v>5125</v>
      </c>
      <c r="G1138" t="s">
        <v>16</v>
      </c>
      <c r="H1138" t="s">
        <v>5140</v>
      </c>
      <c r="I1138" t="s">
        <v>5141</v>
      </c>
      <c r="J1138">
        <v>133551</v>
      </c>
      <c r="K1138" t="s">
        <v>2393</v>
      </c>
      <c r="L1138" t="s">
        <v>238</v>
      </c>
      <c r="M1138" t="s">
        <v>46</v>
      </c>
      <c r="N1138">
        <v>45425</v>
      </c>
      <c r="O1138">
        <v>1327</v>
      </c>
      <c r="P1138" t="s">
        <v>20</v>
      </c>
      <c r="Q1138">
        <v>2</v>
      </c>
      <c r="R1138" t="s">
        <v>76</v>
      </c>
      <c r="S1138" t="s">
        <v>21</v>
      </c>
      <c r="T1138" t="s">
        <v>29</v>
      </c>
    </row>
    <row r="1139" spans="1:20" x14ac:dyDescent="0.3">
      <c r="A1139" t="s">
        <v>2394</v>
      </c>
      <c r="B1139" t="s">
        <v>136</v>
      </c>
      <c r="C1139" t="s">
        <v>151</v>
      </c>
      <c r="D1139" t="s">
        <v>118</v>
      </c>
      <c r="E1139" t="s">
        <v>5126</v>
      </c>
      <c r="F1139" t="s">
        <v>5125</v>
      </c>
      <c r="G1139" t="s">
        <v>16</v>
      </c>
      <c r="H1139" t="s">
        <v>5142</v>
      </c>
      <c r="I1139" t="s">
        <v>5143</v>
      </c>
      <c r="J1139">
        <v>116854</v>
      </c>
      <c r="K1139" t="s">
        <v>2395</v>
      </c>
      <c r="L1139" t="s">
        <v>179</v>
      </c>
      <c r="M1139" t="s">
        <v>39</v>
      </c>
      <c r="N1139">
        <v>45367</v>
      </c>
      <c r="O1139">
        <v>2830</v>
      </c>
      <c r="P1139" t="s">
        <v>20</v>
      </c>
      <c r="Q1139">
        <v>4</v>
      </c>
      <c r="R1139" t="s">
        <v>47</v>
      </c>
      <c r="S1139" t="s">
        <v>21</v>
      </c>
      <c r="T1139" t="s">
        <v>20</v>
      </c>
    </row>
    <row r="1140" spans="1:20" x14ac:dyDescent="0.3">
      <c r="A1140" t="s">
        <v>2396</v>
      </c>
      <c r="B1140" t="s">
        <v>78</v>
      </c>
      <c r="C1140" t="s">
        <v>175</v>
      </c>
      <c r="D1140" t="s">
        <v>167</v>
      </c>
      <c r="E1140" t="s">
        <v>5132</v>
      </c>
      <c r="F1140" t="s">
        <v>5125</v>
      </c>
      <c r="G1140" t="s">
        <v>16</v>
      </c>
      <c r="H1140" t="s">
        <v>5142</v>
      </c>
      <c r="I1140" t="s">
        <v>5143</v>
      </c>
      <c r="J1140">
        <v>166129</v>
      </c>
      <c r="K1140" t="s">
        <v>2397</v>
      </c>
      <c r="L1140" t="s">
        <v>113</v>
      </c>
      <c r="M1140" t="s">
        <v>72</v>
      </c>
      <c r="N1140">
        <v>45492</v>
      </c>
      <c r="O1140">
        <v>941</v>
      </c>
      <c r="P1140" t="s">
        <v>20</v>
      </c>
      <c r="Q1140">
        <v>4</v>
      </c>
      <c r="R1140" t="s">
        <v>40</v>
      </c>
      <c r="S1140" t="s">
        <v>21</v>
      </c>
      <c r="T1140" t="s">
        <v>29</v>
      </c>
    </row>
    <row r="1141" spans="1:20" x14ac:dyDescent="0.3">
      <c r="A1141" t="s">
        <v>2398</v>
      </c>
      <c r="B1141" t="s">
        <v>74</v>
      </c>
      <c r="C1141" t="s">
        <v>64</v>
      </c>
      <c r="D1141" t="s">
        <v>68</v>
      </c>
      <c r="E1141" t="s">
        <v>26</v>
      </c>
      <c r="F1141" t="s">
        <v>27</v>
      </c>
      <c r="G1141" t="s">
        <v>16</v>
      </c>
      <c r="H1141" t="s">
        <v>5140</v>
      </c>
      <c r="I1141" t="s">
        <v>5141</v>
      </c>
      <c r="J1141">
        <v>123883</v>
      </c>
      <c r="K1141" t="s">
        <v>2399</v>
      </c>
      <c r="L1141" t="s">
        <v>142</v>
      </c>
      <c r="M1141" t="s">
        <v>72</v>
      </c>
      <c r="N1141">
        <v>45524</v>
      </c>
      <c r="O1141">
        <v>449</v>
      </c>
      <c r="P1141" t="s">
        <v>20</v>
      </c>
      <c r="Q1141">
        <v>2</v>
      </c>
      <c r="R1141" t="s">
        <v>52</v>
      </c>
      <c r="S1141" t="s">
        <v>41</v>
      </c>
      <c r="T1141" t="s">
        <v>20</v>
      </c>
    </row>
    <row r="1142" spans="1:20" x14ac:dyDescent="0.3">
      <c r="A1142" t="s">
        <v>2400</v>
      </c>
      <c r="B1142" t="s">
        <v>229</v>
      </c>
      <c r="C1142" t="s">
        <v>13</v>
      </c>
      <c r="D1142" t="s">
        <v>140</v>
      </c>
      <c r="E1142" t="s">
        <v>193</v>
      </c>
      <c r="F1142" t="s">
        <v>194</v>
      </c>
      <c r="G1142" t="s">
        <v>16</v>
      </c>
      <c r="H1142" t="s">
        <v>5142</v>
      </c>
      <c r="I1142" t="s">
        <v>5143</v>
      </c>
      <c r="J1142">
        <v>141965</v>
      </c>
      <c r="K1142" t="s">
        <v>2401</v>
      </c>
      <c r="L1142" t="s">
        <v>113</v>
      </c>
      <c r="M1142" t="s">
        <v>19</v>
      </c>
      <c r="N1142">
        <v>45632</v>
      </c>
      <c r="O1142">
        <v>533</v>
      </c>
      <c r="P1142" t="s">
        <v>20</v>
      </c>
      <c r="Q1142">
        <v>4</v>
      </c>
      <c r="R1142" t="s">
        <v>76</v>
      </c>
      <c r="S1142" t="s">
        <v>21</v>
      </c>
      <c r="T1142" t="s">
        <v>29</v>
      </c>
    </row>
    <row r="1143" spans="1:20" x14ac:dyDescent="0.3">
      <c r="A1143" t="s">
        <v>2402</v>
      </c>
      <c r="B1143" t="s">
        <v>63</v>
      </c>
      <c r="C1143" t="s">
        <v>67</v>
      </c>
      <c r="D1143" t="s">
        <v>167</v>
      </c>
      <c r="E1143" t="s">
        <v>80</v>
      </c>
      <c r="F1143" t="s">
        <v>80</v>
      </c>
      <c r="G1143" t="s">
        <v>50</v>
      </c>
      <c r="H1143" t="s">
        <v>5140</v>
      </c>
      <c r="I1143" t="s">
        <v>5141</v>
      </c>
      <c r="J1143">
        <v>137238</v>
      </c>
      <c r="K1143" t="s">
        <v>2403</v>
      </c>
      <c r="L1143" t="s">
        <v>113</v>
      </c>
      <c r="M1143" t="s">
        <v>19</v>
      </c>
      <c r="N1143">
        <v>45357</v>
      </c>
      <c r="O1143">
        <v>1792</v>
      </c>
      <c r="P1143" t="s">
        <v>20</v>
      </c>
      <c r="Q1143">
        <v>2</v>
      </c>
      <c r="R1143" t="s">
        <v>47</v>
      </c>
      <c r="S1143" t="s">
        <v>41</v>
      </c>
      <c r="T1143" t="s">
        <v>20</v>
      </c>
    </row>
    <row r="1144" spans="1:20" x14ac:dyDescent="0.3">
      <c r="A1144" t="s">
        <v>2404</v>
      </c>
      <c r="B1144" t="s">
        <v>31</v>
      </c>
      <c r="C1144" t="s">
        <v>121</v>
      </c>
      <c r="D1144" t="s">
        <v>25</v>
      </c>
      <c r="E1144" t="s">
        <v>5126</v>
      </c>
      <c r="F1144" t="s">
        <v>5125</v>
      </c>
      <c r="G1144" t="s">
        <v>36</v>
      </c>
      <c r="H1144" t="s">
        <v>5142</v>
      </c>
      <c r="I1144" t="s">
        <v>5143</v>
      </c>
      <c r="J1144">
        <v>145948</v>
      </c>
      <c r="K1144" t="s">
        <v>2405</v>
      </c>
      <c r="L1144" t="s">
        <v>238</v>
      </c>
      <c r="M1144" t="s">
        <v>46</v>
      </c>
      <c r="N1144">
        <v>45740</v>
      </c>
      <c r="O1144">
        <v>448</v>
      </c>
      <c r="P1144" t="s">
        <v>20</v>
      </c>
      <c r="Q1144">
        <v>4</v>
      </c>
      <c r="R1144" t="s">
        <v>40</v>
      </c>
      <c r="S1144" t="s">
        <v>21</v>
      </c>
      <c r="T1144" t="s">
        <v>29</v>
      </c>
    </row>
    <row r="1145" spans="1:20" x14ac:dyDescent="0.3">
      <c r="A1145" t="s">
        <v>2406</v>
      </c>
      <c r="B1145" t="s">
        <v>99</v>
      </c>
      <c r="C1145" t="s">
        <v>67</v>
      </c>
      <c r="D1145" t="s">
        <v>118</v>
      </c>
      <c r="E1145" t="s">
        <v>152</v>
      </c>
      <c r="F1145" t="s">
        <v>153</v>
      </c>
      <c r="G1145" t="s">
        <v>50</v>
      </c>
      <c r="H1145" t="s">
        <v>5142</v>
      </c>
      <c r="I1145" t="s">
        <v>5143</v>
      </c>
      <c r="J1145">
        <v>153390</v>
      </c>
      <c r="K1145" t="s">
        <v>2407</v>
      </c>
      <c r="L1145" t="s">
        <v>134</v>
      </c>
      <c r="M1145" t="s">
        <v>19</v>
      </c>
      <c r="N1145">
        <v>45424</v>
      </c>
      <c r="O1145">
        <v>3110</v>
      </c>
      <c r="P1145" t="s">
        <v>29</v>
      </c>
      <c r="Q1145">
        <v>4</v>
      </c>
      <c r="R1145" t="s">
        <v>47</v>
      </c>
      <c r="S1145" t="s">
        <v>53</v>
      </c>
      <c r="T1145" t="s">
        <v>20</v>
      </c>
    </row>
    <row r="1146" spans="1:20" x14ac:dyDescent="0.3">
      <c r="A1146" t="s">
        <v>2408</v>
      </c>
      <c r="B1146" t="s">
        <v>215</v>
      </c>
      <c r="C1146" t="s">
        <v>151</v>
      </c>
      <c r="D1146" t="s">
        <v>140</v>
      </c>
      <c r="E1146" t="s">
        <v>34</v>
      </c>
      <c r="F1146" t="s">
        <v>35</v>
      </c>
      <c r="G1146" t="s">
        <v>50</v>
      </c>
      <c r="H1146" t="s">
        <v>5138</v>
      </c>
      <c r="I1146" t="s">
        <v>5139</v>
      </c>
      <c r="J1146">
        <v>193769</v>
      </c>
      <c r="K1146" t="s">
        <v>2409</v>
      </c>
      <c r="L1146" t="s">
        <v>5165</v>
      </c>
      <c r="M1146" t="s">
        <v>72</v>
      </c>
      <c r="N1146">
        <v>45552</v>
      </c>
      <c r="O1146">
        <v>1140</v>
      </c>
      <c r="P1146" t="s">
        <v>92</v>
      </c>
      <c r="Q1146">
        <v>6</v>
      </c>
      <c r="R1146" t="s">
        <v>76</v>
      </c>
      <c r="S1146" t="s">
        <v>53</v>
      </c>
      <c r="T1146" t="s">
        <v>20</v>
      </c>
    </row>
    <row r="1147" spans="1:20" x14ac:dyDescent="0.3">
      <c r="A1147" t="s">
        <v>2410</v>
      </c>
      <c r="B1147" t="s">
        <v>322</v>
      </c>
      <c r="C1147" t="s">
        <v>219</v>
      </c>
      <c r="D1147" t="s">
        <v>5156</v>
      </c>
      <c r="E1147" t="s">
        <v>69</v>
      </c>
      <c r="F1147" t="s">
        <v>70</v>
      </c>
      <c r="G1147" t="s">
        <v>50</v>
      </c>
      <c r="H1147" t="s">
        <v>5138</v>
      </c>
      <c r="I1147" t="s">
        <v>5139</v>
      </c>
      <c r="J1147">
        <v>200560</v>
      </c>
      <c r="K1147" t="s">
        <v>2411</v>
      </c>
      <c r="L1147" t="s">
        <v>238</v>
      </c>
      <c r="M1147" t="s">
        <v>19</v>
      </c>
      <c r="N1147">
        <v>45430</v>
      </c>
      <c r="O1147">
        <v>3312</v>
      </c>
      <c r="P1147" t="s">
        <v>20</v>
      </c>
      <c r="Q1147">
        <v>6</v>
      </c>
      <c r="R1147" t="s">
        <v>76</v>
      </c>
      <c r="S1147" t="s">
        <v>21</v>
      </c>
      <c r="T1147" t="s">
        <v>20</v>
      </c>
    </row>
    <row r="1148" spans="1:20" x14ac:dyDescent="0.3">
      <c r="A1148" t="s">
        <v>2412</v>
      </c>
      <c r="B1148" t="s">
        <v>55</v>
      </c>
      <c r="C1148" t="s">
        <v>64</v>
      </c>
      <c r="D1148" t="s">
        <v>140</v>
      </c>
      <c r="E1148" t="s">
        <v>26</v>
      </c>
      <c r="F1148" t="s">
        <v>27</v>
      </c>
      <c r="G1148" t="s">
        <v>16</v>
      </c>
      <c r="H1148" t="s">
        <v>5140</v>
      </c>
      <c r="I1148" t="s">
        <v>5141</v>
      </c>
      <c r="J1148">
        <v>88293</v>
      </c>
      <c r="K1148" t="s">
        <v>2413</v>
      </c>
      <c r="L1148" t="s">
        <v>5165</v>
      </c>
      <c r="M1148" t="s">
        <v>46</v>
      </c>
      <c r="N1148">
        <v>45431</v>
      </c>
      <c r="O1148">
        <v>627</v>
      </c>
      <c r="P1148" t="s">
        <v>29</v>
      </c>
      <c r="Q1148">
        <v>2</v>
      </c>
      <c r="R1148" t="s">
        <v>52</v>
      </c>
      <c r="S1148" t="s">
        <v>53</v>
      </c>
      <c r="T1148" t="s">
        <v>20</v>
      </c>
    </row>
    <row r="1149" spans="1:20" x14ac:dyDescent="0.3">
      <c r="A1149" t="s">
        <v>2414</v>
      </c>
      <c r="B1149" t="s">
        <v>218</v>
      </c>
      <c r="C1149" t="s">
        <v>90</v>
      </c>
      <c r="D1149" t="s">
        <v>44</v>
      </c>
      <c r="E1149" t="s">
        <v>5133</v>
      </c>
      <c r="F1149" t="s">
        <v>5125</v>
      </c>
      <c r="G1149" t="s">
        <v>16</v>
      </c>
      <c r="H1149" t="s">
        <v>5140</v>
      </c>
      <c r="I1149" t="s">
        <v>5141</v>
      </c>
      <c r="J1149">
        <v>81486</v>
      </c>
      <c r="K1149" t="s">
        <v>2415</v>
      </c>
      <c r="L1149" t="s">
        <v>113</v>
      </c>
      <c r="M1149" t="s">
        <v>39</v>
      </c>
      <c r="N1149">
        <v>45694</v>
      </c>
      <c r="O1149">
        <v>2756</v>
      </c>
      <c r="P1149" t="s">
        <v>20</v>
      </c>
      <c r="Q1149">
        <v>2</v>
      </c>
      <c r="R1149" t="s">
        <v>52</v>
      </c>
      <c r="S1149" t="s">
        <v>53</v>
      </c>
      <c r="T1149" t="s">
        <v>20</v>
      </c>
    </row>
    <row r="1150" spans="1:20" x14ac:dyDescent="0.3">
      <c r="A1150" t="s">
        <v>2416</v>
      </c>
      <c r="B1150" t="s">
        <v>63</v>
      </c>
      <c r="C1150" t="s">
        <v>56</v>
      </c>
      <c r="D1150" t="s">
        <v>68</v>
      </c>
      <c r="E1150" t="s">
        <v>34</v>
      </c>
      <c r="F1150" t="s">
        <v>35</v>
      </c>
      <c r="G1150" t="s">
        <v>16</v>
      </c>
      <c r="H1150" t="s">
        <v>5140</v>
      </c>
      <c r="I1150" t="s">
        <v>5141</v>
      </c>
      <c r="J1150">
        <v>141571</v>
      </c>
      <c r="K1150" t="s">
        <v>2417</v>
      </c>
      <c r="L1150" t="s">
        <v>5165</v>
      </c>
      <c r="M1150" t="s">
        <v>39</v>
      </c>
      <c r="N1150">
        <v>45730</v>
      </c>
      <c r="O1150">
        <v>2173</v>
      </c>
      <c r="P1150" t="s">
        <v>20</v>
      </c>
      <c r="Q1150">
        <v>2</v>
      </c>
      <c r="R1150" t="s">
        <v>76</v>
      </c>
      <c r="S1150" t="s">
        <v>53</v>
      </c>
      <c r="T1150" t="s">
        <v>20</v>
      </c>
    </row>
    <row r="1151" spans="1:20" x14ac:dyDescent="0.3">
      <c r="A1151" t="s">
        <v>2418</v>
      </c>
      <c r="B1151" t="s">
        <v>130</v>
      </c>
      <c r="C1151" t="s">
        <v>172</v>
      </c>
      <c r="D1151" t="s">
        <v>33</v>
      </c>
      <c r="E1151" t="s">
        <v>14</v>
      </c>
      <c r="F1151" t="s">
        <v>15</v>
      </c>
      <c r="G1151" t="s">
        <v>50</v>
      </c>
      <c r="H1151" t="s">
        <v>5138</v>
      </c>
      <c r="I1151" t="s">
        <v>5139</v>
      </c>
      <c r="J1151">
        <v>169509</v>
      </c>
      <c r="K1151" t="s">
        <v>2419</v>
      </c>
      <c r="L1151" t="s">
        <v>38</v>
      </c>
      <c r="M1151" t="s">
        <v>46</v>
      </c>
      <c r="N1151">
        <v>45301</v>
      </c>
      <c r="O1151">
        <v>346</v>
      </c>
      <c r="P1151" t="s">
        <v>20</v>
      </c>
      <c r="Q1151">
        <v>6</v>
      </c>
      <c r="R1151" t="s">
        <v>47</v>
      </c>
      <c r="S1151" t="s">
        <v>21</v>
      </c>
      <c r="T1151" t="s">
        <v>29</v>
      </c>
    </row>
    <row r="1152" spans="1:20" x14ac:dyDescent="0.3">
      <c r="A1152" t="s">
        <v>2420</v>
      </c>
      <c r="B1152" t="s">
        <v>130</v>
      </c>
      <c r="C1152" t="s">
        <v>90</v>
      </c>
      <c r="D1152" t="s">
        <v>68</v>
      </c>
      <c r="E1152" t="s">
        <v>223</v>
      </c>
      <c r="F1152" t="s">
        <v>224</v>
      </c>
      <c r="G1152" t="s">
        <v>36</v>
      </c>
      <c r="H1152" t="s">
        <v>5136</v>
      </c>
      <c r="I1152" t="s">
        <v>5137</v>
      </c>
      <c r="J1152">
        <v>57508</v>
      </c>
      <c r="K1152" t="s">
        <v>2421</v>
      </c>
      <c r="L1152" t="s">
        <v>5165</v>
      </c>
      <c r="M1152" t="s">
        <v>46</v>
      </c>
      <c r="N1152">
        <v>45562</v>
      </c>
      <c r="O1152">
        <v>839</v>
      </c>
      <c r="P1152" t="s">
        <v>29</v>
      </c>
      <c r="Q1152">
        <v>0</v>
      </c>
      <c r="R1152" t="s">
        <v>47</v>
      </c>
      <c r="S1152" t="s">
        <v>21</v>
      </c>
      <c r="T1152" t="s">
        <v>29</v>
      </c>
    </row>
    <row r="1153" spans="1:20" x14ac:dyDescent="0.3">
      <c r="A1153" t="s">
        <v>2422</v>
      </c>
      <c r="B1153" t="s">
        <v>136</v>
      </c>
      <c r="C1153" t="s">
        <v>185</v>
      </c>
      <c r="D1153" t="s">
        <v>44</v>
      </c>
      <c r="E1153" t="s">
        <v>5128</v>
      </c>
      <c r="F1153" t="s">
        <v>5125</v>
      </c>
      <c r="G1153" t="s">
        <v>16</v>
      </c>
      <c r="H1153" t="s">
        <v>5136</v>
      </c>
      <c r="I1153" t="s">
        <v>5137</v>
      </c>
      <c r="J1153">
        <v>50000</v>
      </c>
      <c r="K1153" t="s">
        <v>2423</v>
      </c>
      <c r="L1153" t="s">
        <v>5165</v>
      </c>
      <c r="M1153" t="s">
        <v>19</v>
      </c>
      <c r="N1153">
        <v>45433</v>
      </c>
      <c r="O1153">
        <v>3071</v>
      </c>
      <c r="P1153" t="s">
        <v>29</v>
      </c>
      <c r="Q1153">
        <v>0</v>
      </c>
      <c r="R1153" t="s">
        <v>52</v>
      </c>
      <c r="S1153" t="s">
        <v>53</v>
      </c>
      <c r="T1153" t="s">
        <v>20</v>
      </c>
    </row>
    <row r="1154" spans="1:20" x14ac:dyDescent="0.3">
      <c r="A1154" t="s">
        <v>2424</v>
      </c>
      <c r="B1154" t="s">
        <v>222</v>
      </c>
      <c r="C1154" t="s">
        <v>166</v>
      </c>
      <c r="D1154" t="s">
        <v>44</v>
      </c>
      <c r="E1154" t="s">
        <v>5126</v>
      </c>
      <c r="F1154" t="s">
        <v>5125</v>
      </c>
      <c r="G1154" t="s">
        <v>50</v>
      </c>
      <c r="H1154" t="s">
        <v>5136</v>
      </c>
      <c r="I1154" t="s">
        <v>5137</v>
      </c>
      <c r="J1154">
        <v>61949</v>
      </c>
      <c r="K1154" t="s">
        <v>2425</v>
      </c>
      <c r="L1154" t="s">
        <v>5165</v>
      </c>
      <c r="M1154" t="s">
        <v>46</v>
      </c>
      <c r="N1154">
        <v>45371</v>
      </c>
      <c r="O1154">
        <v>3472</v>
      </c>
      <c r="P1154" t="s">
        <v>92</v>
      </c>
      <c r="Q1154">
        <v>0</v>
      </c>
      <c r="R1154" t="s">
        <v>52</v>
      </c>
      <c r="S1154" t="s">
        <v>53</v>
      </c>
      <c r="T1154" t="s">
        <v>29</v>
      </c>
    </row>
    <row r="1155" spans="1:20" x14ac:dyDescent="0.3">
      <c r="A1155" t="s">
        <v>2426</v>
      </c>
      <c r="B1155" t="s">
        <v>218</v>
      </c>
      <c r="C1155" t="s">
        <v>232</v>
      </c>
      <c r="D1155" t="s">
        <v>118</v>
      </c>
      <c r="E1155" t="s">
        <v>5129</v>
      </c>
      <c r="F1155" t="s">
        <v>5130</v>
      </c>
      <c r="G1155" t="s">
        <v>16</v>
      </c>
      <c r="H1155" t="s">
        <v>5136</v>
      </c>
      <c r="I1155" t="s">
        <v>5137</v>
      </c>
      <c r="J1155">
        <v>53329</v>
      </c>
      <c r="K1155" t="s">
        <v>2427</v>
      </c>
      <c r="L1155" t="s">
        <v>82</v>
      </c>
      <c r="M1155" t="s">
        <v>46</v>
      </c>
      <c r="N1155">
        <v>45516</v>
      </c>
      <c r="O1155">
        <v>2150</v>
      </c>
      <c r="P1155" t="s">
        <v>20</v>
      </c>
      <c r="Q1155">
        <v>0</v>
      </c>
      <c r="R1155" t="s">
        <v>52</v>
      </c>
      <c r="S1155" t="s">
        <v>21</v>
      </c>
      <c r="T1155" t="s">
        <v>20</v>
      </c>
    </row>
    <row r="1156" spans="1:20" x14ac:dyDescent="0.3">
      <c r="A1156" t="s">
        <v>2428</v>
      </c>
      <c r="B1156" t="s">
        <v>222</v>
      </c>
      <c r="C1156" t="s">
        <v>94</v>
      </c>
      <c r="D1156" t="s">
        <v>104</v>
      </c>
      <c r="E1156" t="s">
        <v>34</v>
      </c>
      <c r="F1156" t="s">
        <v>35</v>
      </c>
      <c r="G1156" t="s">
        <v>16</v>
      </c>
      <c r="H1156" t="s">
        <v>5140</v>
      </c>
      <c r="I1156" t="s">
        <v>5141</v>
      </c>
      <c r="J1156">
        <v>142511</v>
      </c>
      <c r="K1156" t="s">
        <v>2429</v>
      </c>
      <c r="L1156" t="s">
        <v>5165</v>
      </c>
      <c r="M1156" t="s">
        <v>46</v>
      </c>
      <c r="N1156">
        <v>45504</v>
      </c>
      <c r="O1156">
        <v>541</v>
      </c>
      <c r="P1156" t="s">
        <v>92</v>
      </c>
      <c r="Q1156">
        <v>2</v>
      </c>
      <c r="R1156" t="s">
        <v>76</v>
      </c>
      <c r="S1156" t="s">
        <v>53</v>
      </c>
      <c r="T1156" t="s">
        <v>20</v>
      </c>
    </row>
    <row r="1157" spans="1:20" x14ac:dyDescent="0.3">
      <c r="A1157" t="s">
        <v>2430</v>
      </c>
      <c r="B1157" t="s">
        <v>130</v>
      </c>
      <c r="C1157" t="s">
        <v>79</v>
      </c>
      <c r="D1157" t="s">
        <v>5156</v>
      </c>
      <c r="E1157" t="s">
        <v>152</v>
      </c>
      <c r="F1157" t="s">
        <v>153</v>
      </c>
      <c r="G1157" t="s">
        <v>36</v>
      </c>
      <c r="H1157" t="s">
        <v>5142</v>
      </c>
      <c r="I1157" t="s">
        <v>5143</v>
      </c>
      <c r="J1157">
        <v>177265</v>
      </c>
      <c r="K1157" t="s">
        <v>2431</v>
      </c>
      <c r="L1157" t="s">
        <v>142</v>
      </c>
      <c r="M1157" t="s">
        <v>19</v>
      </c>
      <c r="N1157">
        <v>45353</v>
      </c>
      <c r="O1157">
        <v>2250</v>
      </c>
      <c r="P1157" t="s">
        <v>29</v>
      </c>
      <c r="Q1157">
        <v>4</v>
      </c>
      <c r="R1157" t="s">
        <v>76</v>
      </c>
      <c r="S1157" t="s">
        <v>21</v>
      </c>
      <c r="T1157" t="s">
        <v>29</v>
      </c>
    </row>
    <row r="1158" spans="1:20" x14ac:dyDescent="0.3">
      <c r="A1158" t="s">
        <v>2432</v>
      </c>
      <c r="B1158" t="s">
        <v>124</v>
      </c>
      <c r="C1158" t="s">
        <v>160</v>
      </c>
      <c r="D1158" t="s">
        <v>44</v>
      </c>
      <c r="E1158" t="s">
        <v>5132</v>
      </c>
      <c r="F1158" t="s">
        <v>5125</v>
      </c>
      <c r="G1158" t="s">
        <v>16</v>
      </c>
      <c r="H1158" t="s">
        <v>5136</v>
      </c>
      <c r="I1158" t="s">
        <v>5137</v>
      </c>
      <c r="J1158">
        <v>61329</v>
      </c>
      <c r="K1158" t="s">
        <v>2433</v>
      </c>
      <c r="L1158" t="s">
        <v>61</v>
      </c>
      <c r="M1158" t="s">
        <v>46</v>
      </c>
      <c r="N1158">
        <v>45423</v>
      </c>
      <c r="O1158">
        <v>3243</v>
      </c>
      <c r="P1158" t="s">
        <v>92</v>
      </c>
      <c r="Q1158">
        <v>0</v>
      </c>
      <c r="R1158" t="s">
        <v>76</v>
      </c>
      <c r="S1158" t="s">
        <v>21</v>
      </c>
      <c r="T1158" t="s">
        <v>29</v>
      </c>
    </row>
    <row r="1159" spans="1:20" x14ac:dyDescent="0.3">
      <c r="A1159" t="s">
        <v>2434</v>
      </c>
      <c r="B1159" t="s">
        <v>218</v>
      </c>
      <c r="C1159" t="s">
        <v>219</v>
      </c>
      <c r="D1159" t="s">
        <v>44</v>
      </c>
      <c r="E1159" t="s">
        <v>14</v>
      </c>
      <c r="F1159" t="s">
        <v>15</v>
      </c>
      <c r="G1159" t="s">
        <v>16</v>
      </c>
      <c r="H1159" t="s">
        <v>5138</v>
      </c>
      <c r="I1159" t="s">
        <v>5139</v>
      </c>
      <c r="J1159">
        <v>281087</v>
      </c>
      <c r="K1159" t="s">
        <v>2435</v>
      </c>
      <c r="L1159" t="s">
        <v>5165</v>
      </c>
      <c r="M1159" t="s">
        <v>46</v>
      </c>
      <c r="N1159">
        <v>45533</v>
      </c>
      <c r="O1159">
        <v>1017</v>
      </c>
      <c r="P1159" t="s">
        <v>20</v>
      </c>
      <c r="Q1159">
        <v>6</v>
      </c>
      <c r="R1159" t="s">
        <v>40</v>
      </c>
      <c r="S1159" t="s">
        <v>21</v>
      </c>
      <c r="T1159" t="s">
        <v>20</v>
      </c>
    </row>
    <row r="1160" spans="1:20" x14ac:dyDescent="0.3">
      <c r="A1160" t="s">
        <v>2436</v>
      </c>
      <c r="B1160" t="s">
        <v>55</v>
      </c>
      <c r="C1160" t="s">
        <v>197</v>
      </c>
      <c r="D1160" t="s">
        <v>33</v>
      </c>
      <c r="E1160" t="s">
        <v>5124</v>
      </c>
      <c r="F1160" t="s">
        <v>5125</v>
      </c>
      <c r="G1160" t="s">
        <v>16</v>
      </c>
      <c r="H1160" t="s">
        <v>5136</v>
      </c>
      <c r="I1160" t="s">
        <v>5137</v>
      </c>
      <c r="J1160">
        <v>82370</v>
      </c>
      <c r="K1160" t="s">
        <v>2437</v>
      </c>
      <c r="L1160" t="s">
        <v>179</v>
      </c>
      <c r="M1160" t="s">
        <v>46</v>
      </c>
      <c r="N1160">
        <v>45351</v>
      </c>
      <c r="O1160">
        <v>3150</v>
      </c>
      <c r="P1160" t="s">
        <v>20</v>
      </c>
      <c r="Q1160">
        <v>0</v>
      </c>
      <c r="R1160" t="s">
        <v>47</v>
      </c>
      <c r="S1160" t="s">
        <v>21</v>
      </c>
      <c r="T1160" t="s">
        <v>29</v>
      </c>
    </row>
    <row r="1161" spans="1:20" x14ac:dyDescent="0.3">
      <c r="A1161" t="s">
        <v>2438</v>
      </c>
      <c r="B1161" t="s">
        <v>12</v>
      </c>
      <c r="C1161" t="s">
        <v>100</v>
      </c>
      <c r="D1161" t="s">
        <v>140</v>
      </c>
      <c r="E1161" t="s">
        <v>193</v>
      </c>
      <c r="F1161" t="s">
        <v>194</v>
      </c>
      <c r="G1161" t="s">
        <v>16</v>
      </c>
      <c r="H1161" t="s">
        <v>5140</v>
      </c>
      <c r="I1161" t="s">
        <v>5141</v>
      </c>
      <c r="J1161">
        <v>103568</v>
      </c>
      <c r="K1161" t="s">
        <v>2439</v>
      </c>
      <c r="L1161" t="s">
        <v>5165</v>
      </c>
      <c r="M1161" t="s">
        <v>46</v>
      </c>
      <c r="N1161">
        <v>45569</v>
      </c>
      <c r="O1161">
        <v>3344</v>
      </c>
      <c r="P1161" t="s">
        <v>29</v>
      </c>
      <c r="Q1161">
        <v>2</v>
      </c>
      <c r="R1161" t="s">
        <v>47</v>
      </c>
      <c r="S1161" t="s">
        <v>21</v>
      </c>
      <c r="T1161" t="s">
        <v>29</v>
      </c>
    </row>
    <row r="1162" spans="1:20" x14ac:dyDescent="0.3">
      <c r="A1162" t="s">
        <v>2440</v>
      </c>
      <c r="B1162" t="s">
        <v>63</v>
      </c>
      <c r="C1162" t="s">
        <v>232</v>
      </c>
      <c r="D1162" t="s">
        <v>104</v>
      </c>
      <c r="E1162" t="s">
        <v>152</v>
      </c>
      <c r="F1162" t="s">
        <v>153</v>
      </c>
      <c r="G1162" t="s">
        <v>36</v>
      </c>
      <c r="H1162" t="s">
        <v>5138</v>
      </c>
      <c r="I1162" t="s">
        <v>5139</v>
      </c>
      <c r="J1162">
        <v>110021</v>
      </c>
      <c r="K1162" t="s">
        <v>2441</v>
      </c>
      <c r="L1162" t="s">
        <v>5165</v>
      </c>
      <c r="M1162" t="s">
        <v>39</v>
      </c>
      <c r="N1162">
        <v>45682</v>
      </c>
      <c r="O1162">
        <v>1279</v>
      </c>
      <c r="P1162" t="s">
        <v>20</v>
      </c>
      <c r="Q1162">
        <v>6</v>
      </c>
      <c r="R1162" t="s">
        <v>5116</v>
      </c>
      <c r="S1162" t="s">
        <v>21</v>
      </c>
      <c r="T1162" t="s">
        <v>29</v>
      </c>
    </row>
    <row r="1163" spans="1:20" x14ac:dyDescent="0.3">
      <c r="A1163" t="s">
        <v>2442</v>
      </c>
      <c r="B1163" t="s">
        <v>12</v>
      </c>
      <c r="C1163" t="s">
        <v>121</v>
      </c>
      <c r="D1163" t="s">
        <v>44</v>
      </c>
      <c r="E1163" t="s">
        <v>152</v>
      </c>
      <c r="F1163" t="s">
        <v>153</v>
      </c>
      <c r="G1163" t="s">
        <v>16</v>
      </c>
      <c r="H1163" t="s">
        <v>5142</v>
      </c>
      <c r="I1163" t="s">
        <v>5143</v>
      </c>
      <c r="J1163">
        <v>211855</v>
      </c>
      <c r="K1163" t="s">
        <v>2443</v>
      </c>
      <c r="L1163" t="s">
        <v>134</v>
      </c>
      <c r="M1163" t="s">
        <v>46</v>
      </c>
      <c r="N1163">
        <v>45685</v>
      </c>
      <c r="O1163">
        <v>2270</v>
      </c>
      <c r="P1163" t="s">
        <v>20</v>
      </c>
      <c r="Q1163">
        <v>4</v>
      </c>
      <c r="R1163" t="s">
        <v>5116</v>
      </c>
      <c r="S1163" t="s">
        <v>21</v>
      </c>
      <c r="T1163" t="s">
        <v>20</v>
      </c>
    </row>
    <row r="1164" spans="1:20" x14ac:dyDescent="0.3">
      <c r="A1164" t="s">
        <v>2444</v>
      </c>
      <c r="B1164" t="s">
        <v>165</v>
      </c>
      <c r="C1164" t="s">
        <v>219</v>
      </c>
      <c r="D1164" t="s">
        <v>25</v>
      </c>
      <c r="E1164" t="s">
        <v>5124</v>
      </c>
      <c r="F1164" t="s">
        <v>5125</v>
      </c>
      <c r="G1164" t="s">
        <v>50</v>
      </c>
      <c r="H1164" t="s">
        <v>5138</v>
      </c>
      <c r="I1164" t="s">
        <v>5139</v>
      </c>
      <c r="J1164">
        <v>149975</v>
      </c>
      <c r="K1164" t="s">
        <v>2445</v>
      </c>
      <c r="L1164" t="s">
        <v>38</v>
      </c>
      <c r="M1164" t="s">
        <v>19</v>
      </c>
      <c r="N1164">
        <v>45360</v>
      </c>
      <c r="O1164">
        <v>3132</v>
      </c>
      <c r="P1164" t="s">
        <v>20</v>
      </c>
      <c r="Q1164">
        <v>6</v>
      </c>
      <c r="R1164" t="s">
        <v>76</v>
      </c>
      <c r="S1164" t="s">
        <v>21</v>
      </c>
      <c r="T1164" t="s">
        <v>29</v>
      </c>
    </row>
    <row r="1165" spans="1:20" x14ac:dyDescent="0.3">
      <c r="A1165" t="s">
        <v>2446</v>
      </c>
      <c r="B1165" t="s">
        <v>130</v>
      </c>
      <c r="C1165" t="s">
        <v>139</v>
      </c>
      <c r="D1165" t="s">
        <v>118</v>
      </c>
      <c r="E1165" t="s">
        <v>58</v>
      </c>
      <c r="F1165" t="s">
        <v>59</v>
      </c>
      <c r="G1165" t="s">
        <v>16</v>
      </c>
      <c r="H1165" t="s">
        <v>5136</v>
      </c>
      <c r="I1165" t="s">
        <v>5137</v>
      </c>
      <c r="J1165">
        <v>50000</v>
      </c>
      <c r="K1165" t="s">
        <v>2447</v>
      </c>
      <c r="L1165" t="s">
        <v>82</v>
      </c>
      <c r="M1165" t="s">
        <v>19</v>
      </c>
      <c r="N1165">
        <v>45441</v>
      </c>
      <c r="O1165">
        <v>1818</v>
      </c>
      <c r="P1165" t="s">
        <v>29</v>
      </c>
      <c r="Q1165">
        <v>0</v>
      </c>
      <c r="R1165" t="s">
        <v>52</v>
      </c>
      <c r="S1165" t="s">
        <v>21</v>
      </c>
      <c r="T1165" t="s">
        <v>20</v>
      </c>
    </row>
    <row r="1166" spans="1:20" x14ac:dyDescent="0.3">
      <c r="A1166" t="s">
        <v>2448</v>
      </c>
      <c r="B1166" t="s">
        <v>165</v>
      </c>
      <c r="C1166" t="s">
        <v>197</v>
      </c>
      <c r="D1166" t="s">
        <v>44</v>
      </c>
      <c r="E1166" t="s">
        <v>5133</v>
      </c>
      <c r="F1166" t="s">
        <v>5125</v>
      </c>
      <c r="G1166" t="s">
        <v>16</v>
      </c>
      <c r="H1166" t="s">
        <v>5136</v>
      </c>
      <c r="I1166" t="s">
        <v>5137</v>
      </c>
      <c r="J1166">
        <v>82884</v>
      </c>
      <c r="K1166" t="s">
        <v>2449</v>
      </c>
      <c r="L1166" t="s">
        <v>5165</v>
      </c>
      <c r="M1166" t="s">
        <v>46</v>
      </c>
      <c r="N1166">
        <v>45426</v>
      </c>
      <c r="O1166">
        <v>944</v>
      </c>
      <c r="P1166" t="s">
        <v>20</v>
      </c>
      <c r="Q1166">
        <v>0</v>
      </c>
      <c r="R1166" t="s">
        <v>47</v>
      </c>
      <c r="S1166" t="s">
        <v>53</v>
      </c>
      <c r="T1166" t="s">
        <v>29</v>
      </c>
    </row>
    <row r="1167" spans="1:20" x14ac:dyDescent="0.3">
      <c r="A1167" t="s">
        <v>2450</v>
      </c>
      <c r="B1167" t="s">
        <v>63</v>
      </c>
      <c r="C1167" t="s">
        <v>64</v>
      </c>
      <c r="D1167" t="s">
        <v>140</v>
      </c>
      <c r="E1167" t="s">
        <v>69</v>
      </c>
      <c r="F1167" t="s">
        <v>70</v>
      </c>
      <c r="G1167" t="s">
        <v>50</v>
      </c>
      <c r="H1167" t="s">
        <v>5142</v>
      </c>
      <c r="I1167" t="s">
        <v>5143</v>
      </c>
      <c r="J1167">
        <v>215873</v>
      </c>
      <c r="K1167" t="s">
        <v>2451</v>
      </c>
      <c r="L1167" t="s">
        <v>113</v>
      </c>
      <c r="M1167" t="s">
        <v>46</v>
      </c>
      <c r="N1167">
        <v>45653</v>
      </c>
      <c r="O1167">
        <v>614</v>
      </c>
      <c r="P1167" t="s">
        <v>92</v>
      </c>
      <c r="Q1167">
        <v>4</v>
      </c>
      <c r="R1167" t="s">
        <v>47</v>
      </c>
      <c r="S1167" t="s">
        <v>21</v>
      </c>
      <c r="T1167" t="s">
        <v>20</v>
      </c>
    </row>
    <row r="1168" spans="1:20" x14ac:dyDescent="0.3">
      <c r="A1168" t="s">
        <v>2452</v>
      </c>
      <c r="B1168" t="s">
        <v>222</v>
      </c>
      <c r="C1168" t="s">
        <v>202</v>
      </c>
      <c r="D1168" t="s">
        <v>57</v>
      </c>
      <c r="E1168" t="s">
        <v>5131</v>
      </c>
      <c r="F1168" t="s">
        <v>5125</v>
      </c>
      <c r="G1168" t="s">
        <v>16</v>
      </c>
      <c r="H1168" t="s">
        <v>5138</v>
      </c>
      <c r="I1168" t="s">
        <v>5139</v>
      </c>
      <c r="J1168">
        <v>249833</v>
      </c>
      <c r="K1168" t="s">
        <v>2453</v>
      </c>
      <c r="L1168" t="s">
        <v>238</v>
      </c>
      <c r="M1168" t="s">
        <v>72</v>
      </c>
      <c r="N1168">
        <v>45361</v>
      </c>
      <c r="O1168">
        <v>3872</v>
      </c>
      <c r="P1168" t="s">
        <v>20</v>
      </c>
      <c r="Q1168">
        <v>6</v>
      </c>
      <c r="R1168" t="s">
        <v>76</v>
      </c>
      <c r="S1168" t="s">
        <v>41</v>
      </c>
      <c r="T1168" t="s">
        <v>29</v>
      </c>
    </row>
    <row r="1169" spans="1:20" x14ac:dyDescent="0.3">
      <c r="A1169" t="s">
        <v>2454</v>
      </c>
      <c r="B1169" t="s">
        <v>322</v>
      </c>
      <c r="C1169" t="s">
        <v>175</v>
      </c>
      <c r="D1169" t="s">
        <v>5156</v>
      </c>
      <c r="E1169" t="s">
        <v>5133</v>
      </c>
      <c r="F1169" t="s">
        <v>5125</v>
      </c>
      <c r="G1169" t="s">
        <v>36</v>
      </c>
      <c r="H1169" t="s">
        <v>5140</v>
      </c>
      <c r="I1169" t="s">
        <v>5141</v>
      </c>
      <c r="J1169">
        <v>121165</v>
      </c>
      <c r="K1169" t="s">
        <v>2455</v>
      </c>
      <c r="L1169" t="s">
        <v>5165</v>
      </c>
      <c r="M1169" t="s">
        <v>39</v>
      </c>
      <c r="N1169">
        <v>45403</v>
      </c>
      <c r="O1169">
        <v>3772</v>
      </c>
      <c r="P1169" t="s">
        <v>92</v>
      </c>
      <c r="Q1169">
        <v>2</v>
      </c>
      <c r="R1169" t="s">
        <v>52</v>
      </c>
      <c r="S1169" t="s">
        <v>21</v>
      </c>
      <c r="T1169" t="s">
        <v>29</v>
      </c>
    </row>
    <row r="1170" spans="1:20" x14ac:dyDescent="0.3">
      <c r="A1170" t="s">
        <v>2456</v>
      </c>
      <c r="B1170" t="s">
        <v>222</v>
      </c>
      <c r="C1170" t="s">
        <v>109</v>
      </c>
      <c r="D1170" t="s">
        <v>104</v>
      </c>
      <c r="E1170" t="s">
        <v>5133</v>
      </c>
      <c r="F1170" t="s">
        <v>5125</v>
      </c>
      <c r="G1170" t="s">
        <v>36</v>
      </c>
      <c r="H1170" t="s">
        <v>5142</v>
      </c>
      <c r="I1170" t="s">
        <v>5143</v>
      </c>
      <c r="J1170">
        <v>166058</v>
      </c>
      <c r="K1170" t="s">
        <v>2457</v>
      </c>
      <c r="L1170" t="s">
        <v>5165</v>
      </c>
      <c r="M1170" t="s">
        <v>39</v>
      </c>
      <c r="N1170">
        <v>45424</v>
      </c>
      <c r="O1170">
        <v>829</v>
      </c>
      <c r="P1170" t="s">
        <v>20</v>
      </c>
      <c r="Q1170">
        <v>4</v>
      </c>
      <c r="R1170" t="s">
        <v>5116</v>
      </c>
      <c r="S1170" t="s">
        <v>41</v>
      </c>
      <c r="T1170" t="s">
        <v>29</v>
      </c>
    </row>
    <row r="1171" spans="1:20" x14ac:dyDescent="0.3">
      <c r="A1171" t="s">
        <v>2458</v>
      </c>
      <c r="B1171" t="s">
        <v>165</v>
      </c>
      <c r="C1171" t="s">
        <v>100</v>
      </c>
      <c r="D1171" t="s">
        <v>57</v>
      </c>
      <c r="E1171" t="s">
        <v>14</v>
      </c>
      <c r="F1171" t="s">
        <v>15</v>
      </c>
      <c r="G1171" t="s">
        <v>36</v>
      </c>
      <c r="H1171" t="s">
        <v>5138</v>
      </c>
      <c r="I1171" t="s">
        <v>5139</v>
      </c>
      <c r="J1171">
        <v>230722</v>
      </c>
      <c r="K1171" t="s">
        <v>2459</v>
      </c>
      <c r="L1171" t="s">
        <v>179</v>
      </c>
      <c r="M1171" t="s">
        <v>46</v>
      </c>
      <c r="N1171">
        <v>45452</v>
      </c>
      <c r="O1171">
        <v>2057</v>
      </c>
      <c r="P1171" t="s">
        <v>20</v>
      </c>
      <c r="Q1171">
        <v>6</v>
      </c>
      <c r="R1171" t="s">
        <v>40</v>
      </c>
      <c r="S1171" t="s">
        <v>21</v>
      </c>
      <c r="T1171" t="s">
        <v>29</v>
      </c>
    </row>
    <row r="1172" spans="1:20" x14ac:dyDescent="0.3">
      <c r="A1172" t="s">
        <v>2460</v>
      </c>
      <c r="B1172" t="s">
        <v>63</v>
      </c>
      <c r="C1172" t="s">
        <v>100</v>
      </c>
      <c r="D1172" t="s">
        <v>118</v>
      </c>
      <c r="E1172" t="s">
        <v>26</v>
      </c>
      <c r="F1172" t="s">
        <v>27</v>
      </c>
      <c r="G1172" t="s">
        <v>50</v>
      </c>
      <c r="H1172" t="s">
        <v>5136</v>
      </c>
      <c r="I1172" t="s">
        <v>5137</v>
      </c>
      <c r="J1172">
        <v>79562</v>
      </c>
      <c r="K1172" t="s">
        <v>2461</v>
      </c>
      <c r="L1172" t="s">
        <v>5165</v>
      </c>
      <c r="M1172" t="s">
        <v>46</v>
      </c>
      <c r="N1172">
        <v>45561</v>
      </c>
      <c r="O1172">
        <v>748</v>
      </c>
      <c r="P1172" t="s">
        <v>29</v>
      </c>
      <c r="Q1172">
        <v>0</v>
      </c>
      <c r="R1172" t="s">
        <v>47</v>
      </c>
      <c r="S1172" t="s">
        <v>21</v>
      </c>
      <c r="T1172" t="s">
        <v>20</v>
      </c>
    </row>
    <row r="1173" spans="1:20" x14ac:dyDescent="0.3">
      <c r="A1173" t="s">
        <v>2462</v>
      </c>
      <c r="B1173" t="s">
        <v>89</v>
      </c>
      <c r="C1173" t="s">
        <v>94</v>
      </c>
      <c r="D1173" t="s">
        <v>140</v>
      </c>
      <c r="E1173" t="s">
        <v>5129</v>
      </c>
      <c r="F1173" t="s">
        <v>5130</v>
      </c>
      <c r="G1173" t="s">
        <v>36</v>
      </c>
      <c r="H1173" t="s">
        <v>5136</v>
      </c>
      <c r="I1173" t="s">
        <v>5137</v>
      </c>
      <c r="J1173">
        <v>73543</v>
      </c>
      <c r="K1173" t="s">
        <v>2463</v>
      </c>
      <c r="L1173" t="s">
        <v>82</v>
      </c>
      <c r="M1173" t="s">
        <v>19</v>
      </c>
      <c r="N1173">
        <v>45719</v>
      </c>
      <c r="O1173">
        <v>655</v>
      </c>
      <c r="P1173" t="s">
        <v>20</v>
      </c>
      <c r="Q1173">
        <v>0</v>
      </c>
      <c r="R1173" t="s">
        <v>76</v>
      </c>
      <c r="S1173" t="s">
        <v>21</v>
      </c>
      <c r="T1173" t="s">
        <v>29</v>
      </c>
    </row>
    <row r="1174" spans="1:20" x14ac:dyDescent="0.3">
      <c r="A1174" t="s">
        <v>2464</v>
      </c>
      <c r="B1174" t="s">
        <v>23</v>
      </c>
      <c r="C1174" t="s">
        <v>121</v>
      </c>
      <c r="D1174" t="s">
        <v>118</v>
      </c>
      <c r="E1174" t="s">
        <v>193</v>
      </c>
      <c r="F1174" t="s">
        <v>194</v>
      </c>
      <c r="G1174" t="s">
        <v>36</v>
      </c>
      <c r="H1174" t="s">
        <v>5138</v>
      </c>
      <c r="I1174" t="s">
        <v>5139</v>
      </c>
      <c r="J1174">
        <v>203751</v>
      </c>
      <c r="K1174" t="s">
        <v>2465</v>
      </c>
      <c r="L1174" t="s">
        <v>18</v>
      </c>
      <c r="M1174" t="s">
        <v>19</v>
      </c>
      <c r="N1174">
        <v>45308</v>
      </c>
      <c r="O1174">
        <v>3069</v>
      </c>
      <c r="P1174" t="s">
        <v>20</v>
      </c>
      <c r="Q1174">
        <v>6</v>
      </c>
      <c r="R1174" t="s">
        <v>76</v>
      </c>
      <c r="S1174" t="s">
        <v>53</v>
      </c>
      <c r="T1174" t="s">
        <v>29</v>
      </c>
    </row>
    <row r="1175" spans="1:20" x14ac:dyDescent="0.3">
      <c r="A1175" t="s">
        <v>2466</v>
      </c>
      <c r="B1175" t="s">
        <v>31</v>
      </c>
      <c r="C1175" t="s">
        <v>139</v>
      </c>
      <c r="D1175" t="s">
        <v>57</v>
      </c>
      <c r="E1175" t="s">
        <v>5126</v>
      </c>
      <c r="F1175" t="s">
        <v>5125</v>
      </c>
      <c r="G1175" t="s">
        <v>16</v>
      </c>
      <c r="H1175" t="s">
        <v>5140</v>
      </c>
      <c r="I1175" t="s">
        <v>5141</v>
      </c>
      <c r="J1175">
        <v>108760</v>
      </c>
      <c r="K1175" t="s">
        <v>2467</v>
      </c>
      <c r="L1175" t="s">
        <v>142</v>
      </c>
      <c r="M1175" t="s">
        <v>39</v>
      </c>
      <c r="N1175">
        <v>45716</v>
      </c>
      <c r="O1175">
        <v>3784</v>
      </c>
      <c r="P1175" t="s">
        <v>29</v>
      </c>
      <c r="Q1175">
        <v>2</v>
      </c>
      <c r="R1175" t="s">
        <v>5116</v>
      </c>
      <c r="S1175" t="s">
        <v>21</v>
      </c>
      <c r="T1175" t="s">
        <v>29</v>
      </c>
    </row>
    <row r="1176" spans="1:20" x14ac:dyDescent="0.3">
      <c r="A1176" t="s">
        <v>2468</v>
      </c>
      <c r="B1176" t="s">
        <v>222</v>
      </c>
      <c r="C1176" t="s">
        <v>49</v>
      </c>
      <c r="D1176" t="s">
        <v>104</v>
      </c>
      <c r="E1176" t="s">
        <v>5132</v>
      </c>
      <c r="F1176" t="s">
        <v>5125</v>
      </c>
      <c r="G1176" t="s">
        <v>50</v>
      </c>
      <c r="H1176" t="s">
        <v>5142</v>
      </c>
      <c r="I1176" t="s">
        <v>5143</v>
      </c>
      <c r="J1176">
        <v>129642</v>
      </c>
      <c r="K1176" t="s">
        <v>2469</v>
      </c>
      <c r="L1176" t="s">
        <v>5165</v>
      </c>
      <c r="M1176" t="s">
        <v>19</v>
      </c>
      <c r="N1176">
        <v>45441</v>
      </c>
      <c r="O1176">
        <v>3544</v>
      </c>
      <c r="P1176" t="s">
        <v>20</v>
      </c>
      <c r="Q1176">
        <v>4</v>
      </c>
      <c r="R1176" t="s">
        <v>47</v>
      </c>
      <c r="S1176" t="s">
        <v>21</v>
      </c>
      <c r="T1176" t="s">
        <v>20</v>
      </c>
    </row>
    <row r="1177" spans="1:20" x14ac:dyDescent="0.3">
      <c r="A1177" t="s">
        <v>2470</v>
      </c>
      <c r="B1177" t="s">
        <v>322</v>
      </c>
      <c r="C1177" t="s">
        <v>188</v>
      </c>
      <c r="D1177" t="s">
        <v>104</v>
      </c>
      <c r="E1177" t="s">
        <v>126</v>
      </c>
      <c r="F1177" t="s">
        <v>127</v>
      </c>
      <c r="G1177" t="s">
        <v>16</v>
      </c>
      <c r="H1177" t="s">
        <v>5140</v>
      </c>
      <c r="I1177" t="s">
        <v>5141</v>
      </c>
      <c r="J1177">
        <v>104442</v>
      </c>
      <c r="K1177" t="s">
        <v>2471</v>
      </c>
      <c r="L1177" t="s">
        <v>38</v>
      </c>
      <c r="M1177" t="s">
        <v>39</v>
      </c>
      <c r="N1177">
        <v>45405</v>
      </c>
      <c r="O1177">
        <v>455</v>
      </c>
      <c r="P1177" t="s">
        <v>20</v>
      </c>
      <c r="Q1177">
        <v>2</v>
      </c>
      <c r="R1177" t="s">
        <v>47</v>
      </c>
      <c r="S1177" t="s">
        <v>53</v>
      </c>
      <c r="T1177" t="s">
        <v>29</v>
      </c>
    </row>
    <row r="1178" spans="1:20" x14ac:dyDescent="0.3">
      <c r="A1178" t="s">
        <v>2472</v>
      </c>
      <c r="B1178" t="s">
        <v>165</v>
      </c>
      <c r="C1178" t="s">
        <v>85</v>
      </c>
      <c r="D1178" t="s">
        <v>167</v>
      </c>
      <c r="E1178" t="s">
        <v>152</v>
      </c>
      <c r="F1178" t="s">
        <v>153</v>
      </c>
      <c r="G1178" t="s">
        <v>16</v>
      </c>
      <c r="H1178" t="s">
        <v>5140</v>
      </c>
      <c r="I1178" t="s">
        <v>5141</v>
      </c>
      <c r="J1178">
        <v>76479</v>
      </c>
      <c r="K1178" t="s">
        <v>2473</v>
      </c>
      <c r="L1178" t="s">
        <v>134</v>
      </c>
      <c r="M1178" t="s">
        <v>46</v>
      </c>
      <c r="N1178">
        <v>45732</v>
      </c>
      <c r="O1178">
        <v>3173</v>
      </c>
      <c r="P1178" t="s">
        <v>20</v>
      </c>
      <c r="Q1178">
        <v>2</v>
      </c>
      <c r="R1178" t="s">
        <v>52</v>
      </c>
      <c r="S1178" t="s">
        <v>21</v>
      </c>
      <c r="T1178" t="s">
        <v>20</v>
      </c>
    </row>
    <row r="1179" spans="1:20" x14ac:dyDescent="0.3">
      <c r="A1179" t="s">
        <v>2474</v>
      </c>
      <c r="B1179" t="s">
        <v>322</v>
      </c>
      <c r="C1179" t="s">
        <v>197</v>
      </c>
      <c r="D1179" t="s">
        <v>104</v>
      </c>
      <c r="E1179" t="s">
        <v>5126</v>
      </c>
      <c r="F1179" t="s">
        <v>5125</v>
      </c>
      <c r="G1179" t="s">
        <v>36</v>
      </c>
      <c r="H1179" t="s">
        <v>5138</v>
      </c>
      <c r="I1179" t="s">
        <v>5139</v>
      </c>
      <c r="J1179">
        <v>196459</v>
      </c>
      <c r="K1179" t="s">
        <v>2475</v>
      </c>
      <c r="L1179" t="s">
        <v>38</v>
      </c>
      <c r="M1179" t="s">
        <v>46</v>
      </c>
      <c r="N1179">
        <v>45713</v>
      </c>
      <c r="O1179">
        <v>105</v>
      </c>
      <c r="P1179" t="s">
        <v>20</v>
      </c>
      <c r="Q1179">
        <v>6</v>
      </c>
      <c r="R1179" t="s">
        <v>5116</v>
      </c>
      <c r="S1179" t="s">
        <v>21</v>
      </c>
      <c r="T1179" t="s">
        <v>20</v>
      </c>
    </row>
    <row r="1180" spans="1:20" x14ac:dyDescent="0.3">
      <c r="A1180" t="s">
        <v>2476</v>
      </c>
      <c r="B1180" t="s">
        <v>74</v>
      </c>
      <c r="C1180" t="s">
        <v>32</v>
      </c>
      <c r="D1180" t="s">
        <v>118</v>
      </c>
      <c r="E1180" t="s">
        <v>5131</v>
      </c>
      <c r="F1180" t="s">
        <v>5125</v>
      </c>
      <c r="G1180" t="s">
        <v>36</v>
      </c>
      <c r="H1180" t="s">
        <v>5136</v>
      </c>
      <c r="I1180" t="s">
        <v>5137</v>
      </c>
      <c r="J1180">
        <v>57543</v>
      </c>
      <c r="K1180" t="s">
        <v>2477</v>
      </c>
      <c r="L1180" t="s">
        <v>142</v>
      </c>
      <c r="M1180" t="s">
        <v>46</v>
      </c>
      <c r="N1180">
        <v>45478</v>
      </c>
      <c r="O1180">
        <v>772</v>
      </c>
      <c r="P1180" t="s">
        <v>20</v>
      </c>
      <c r="Q1180">
        <v>0</v>
      </c>
      <c r="R1180" t="s">
        <v>40</v>
      </c>
      <c r="S1180" t="s">
        <v>53</v>
      </c>
      <c r="T1180" t="s">
        <v>20</v>
      </c>
    </row>
    <row r="1181" spans="1:20" x14ac:dyDescent="0.3">
      <c r="A1181" t="s">
        <v>2478</v>
      </c>
      <c r="B1181" t="s">
        <v>84</v>
      </c>
      <c r="C1181" t="s">
        <v>219</v>
      </c>
      <c r="D1181" t="s">
        <v>33</v>
      </c>
      <c r="E1181" t="s">
        <v>14</v>
      </c>
      <c r="F1181" t="s">
        <v>15</v>
      </c>
      <c r="G1181" t="s">
        <v>16</v>
      </c>
      <c r="H1181" t="s">
        <v>5136</v>
      </c>
      <c r="I1181" t="s">
        <v>5137</v>
      </c>
      <c r="J1181">
        <v>56094</v>
      </c>
      <c r="K1181" t="s">
        <v>2479</v>
      </c>
      <c r="L1181" t="s">
        <v>5165</v>
      </c>
      <c r="M1181" t="s">
        <v>19</v>
      </c>
      <c r="N1181">
        <v>45585</v>
      </c>
      <c r="O1181">
        <v>36</v>
      </c>
      <c r="P1181" t="s">
        <v>92</v>
      </c>
      <c r="Q1181">
        <v>0</v>
      </c>
      <c r="R1181" t="s">
        <v>47</v>
      </c>
      <c r="S1181" t="s">
        <v>21</v>
      </c>
      <c r="T1181" t="s">
        <v>29</v>
      </c>
    </row>
    <row r="1182" spans="1:20" x14ac:dyDescent="0.3">
      <c r="A1182" t="s">
        <v>2480</v>
      </c>
      <c r="B1182" t="s">
        <v>218</v>
      </c>
      <c r="C1182" t="s">
        <v>172</v>
      </c>
      <c r="D1182" t="s">
        <v>167</v>
      </c>
      <c r="E1182" t="s">
        <v>5133</v>
      </c>
      <c r="F1182" t="s">
        <v>5125</v>
      </c>
      <c r="G1182" t="s">
        <v>50</v>
      </c>
      <c r="H1182" t="s">
        <v>5142</v>
      </c>
      <c r="I1182" t="s">
        <v>5143</v>
      </c>
      <c r="J1182">
        <v>154857</v>
      </c>
      <c r="K1182" t="s">
        <v>2481</v>
      </c>
      <c r="L1182" t="s">
        <v>38</v>
      </c>
      <c r="M1182" t="s">
        <v>39</v>
      </c>
      <c r="N1182">
        <v>45322</v>
      </c>
      <c r="O1182">
        <v>935</v>
      </c>
      <c r="P1182" t="s">
        <v>92</v>
      </c>
      <c r="Q1182">
        <v>4</v>
      </c>
      <c r="R1182" t="s">
        <v>76</v>
      </c>
      <c r="S1182" t="s">
        <v>21</v>
      </c>
      <c r="T1182" t="s">
        <v>20</v>
      </c>
    </row>
    <row r="1183" spans="1:20" x14ac:dyDescent="0.3">
      <c r="A1183" t="s">
        <v>2482</v>
      </c>
      <c r="B1183" t="s">
        <v>23</v>
      </c>
      <c r="C1183" t="s">
        <v>49</v>
      </c>
      <c r="D1183" t="s">
        <v>118</v>
      </c>
      <c r="E1183" t="s">
        <v>80</v>
      </c>
      <c r="F1183" t="s">
        <v>80</v>
      </c>
      <c r="G1183" t="s">
        <v>36</v>
      </c>
      <c r="H1183" t="s">
        <v>5142</v>
      </c>
      <c r="I1183" t="s">
        <v>5143</v>
      </c>
      <c r="J1183">
        <v>187584</v>
      </c>
      <c r="K1183" t="s">
        <v>2483</v>
      </c>
      <c r="L1183" t="s">
        <v>5165</v>
      </c>
      <c r="M1183" t="s">
        <v>46</v>
      </c>
      <c r="N1183">
        <v>45678</v>
      </c>
      <c r="O1183">
        <v>39</v>
      </c>
      <c r="P1183" t="s">
        <v>20</v>
      </c>
      <c r="Q1183">
        <v>4</v>
      </c>
      <c r="R1183" t="s">
        <v>5116</v>
      </c>
      <c r="S1183" t="s">
        <v>21</v>
      </c>
      <c r="T1183" t="s">
        <v>20</v>
      </c>
    </row>
    <row r="1184" spans="1:20" x14ac:dyDescent="0.3">
      <c r="A1184" t="s">
        <v>2484</v>
      </c>
      <c r="B1184" t="s">
        <v>23</v>
      </c>
      <c r="C1184" t="s">
        <v>64</v>
      </c>
      <c r="D1184" t="s">
        <v>167</v>
      </c>
      <c r="E1184" t="s">
        <v>5129</v>
      </c>
      <c r="F1184" t="s">
        <v>5130</v>
      </c>
      <c r="G1184" t="s">
        <v>16</v>
      </c>
      <c r="H1184" t="s">
        <v>5140</v>
      </c>
      <c r="I1184" t="s">
        <v>5141</v>
      </c>
      <c r="J1184">
        <v>128182</v>
      </c>
      <c r="K1184" t="s">
        <v>2485</v>
      </c>
      <c r="L1184" t="s">
        <v>82</v>
      </c>
      <c r="M1184" t="s">
        <v>39</v>
      </c>
      <c r="N1184">
        <v>45695</v>
      </c>
      <c r="O1184">
        <v>1292</v>
      </c>
      <c r="P1184" t="s">
        <v>92</v>
      </c>
      <c r="Q1184">
        <v>2</v>
      </c>
      <c r="R1184" t="s">
        <v>76</v>
      </c>
      <c r="S1184" t="s">
        <v>21</v>
      </c>
      <c r="T1184" t="s">
        <v>29</v>
      </c>
    </row>
    <row r="1185" spans="1:20" x14ac:dyDescent="0.3">
      <c r="A1185" t="s">
        <v>2486</v>
      </c>
      <c r="B1185" t="s">
        <v>222</v>
      </c>
      <c r="C1185" t="s">
        <v>103</v>
      </c>
      <c r="D1185" t="s">
        <v>5156</v>
      </c>
      <c r="E1185" t="s">
        <v>58</v>
      </c>
      <c r="F1185" t="s">
        <v>59</v>
      </c>
      <c r="G1185" t="s">
        <v>16</v>
      </c>
      <c r="H1185" t="s">
        <v>5136</v>
      </c>
      <c r="I1185" t="s">
        <v>5137</v>
      </c>
      <c r="J1185">
        <v>50211</v>
      </c>
      <c r="K1185" t="s">
        <v>2487</v>
      </c>
      <c r="L1185" t="s">
        <v>61</v>
      </c>
      <c r="M1185" t="s">
        <v>46</v>
      </c>
      <c r="N1185">
        <v>45546</v>
      </c>
      <c r="O1185">
        <v>2635</v>
      </c>
      <c r="P1185" t="s">
        <v>29</v>
      </c>
      <c r="Q1185">
        <v>0</v>
      </c>
      <c r="R1185" t="s">
        <v>47</v>
      </c>
      <c r="S1185" t="s">
        <v>53</v>
      </c>
      <c r="T1185" t="s">
        <v>29</v>
      </c>
    </row>
    <row r="1186" spans="1:20" x14ac:dyDescent="0.3">
      <c r="A1186" t="s">
        <v>2488</v>
      </c>
      <c r="B1186" t="s">
        <v>12</v>
      </c>
      <c r="C1186" t="s">
        <v>202</v>
      </c>
      <c r="D1186" t="s">
        <v>140</v>
      </c>
      <c r="E1186" t="s">
        <v>95</v>
      </c>
      <c r="F1186" t="s">
        <v>96</v>
      </c>
      <c r="G1186" t="s">
        <v>16</v>
      </c>
      <c r="H1186" t="s">
        <v>5140</v>
      </c>
      <c r="I1186" t="s">
        <v>5141</v>
      </c>
      <c r="J1186">
        <v>90405</v>
      </c>
      <c r="K1186" t="s">
        <v>2489</v>
      </c>
      <c r="L1186" t="s">
        <v>5165</v>
      </c>
      <c r="M1186" t="s">
        <v>39</v>
      </c>
      <c r="N1186">
        <v>45330</v>
      </c>
      <c r="O1186">
        <v>1949</v>
      </c>
      <c r="P1186" t="s">
        <v>20</v>
      </c>
      <c r="Q1186">
        <v>2</v>
      </c>
      <c r="R1186" t="s">
        <v>76</v>
      </c>
      <c r="S1186" t="s">
        <v>21</v>
      </c>
      <c r="T1186" t="s">
        <v>29</v>
      </c>
    </row>
    <row r="1187" spans="1:20" x14ac:dyDescent="0.3">
      <c r="A1187" t="s">
        <v>2490</v>
      </c>
      <c r="B1187" t="s">
        <v>130</v>
      </c>
      <c r="C1187" t="s">
        <v>160</v>
      </c>
      <c r="D1187" t="s">
        <v>68</v>
      </c>
      <c r="E1187" t="s">
        <v>58</v>
      </c>
      <c r="F1187" t="s">
        <v>59</v>
      </c>
      <c r="G1187" t="s">
        <v>36</v>
      </c>
      <c r="H1187" t="s">
        <v>5136</v>
      </c>
      <c r="I1187" t="s">
        <v>5137</v>
      </c>
      <c r="J1187">
        <v>81853</v>
      </c>
      <c r="K1187" t="s">
        <v>2491</v>
      </c>
      <c r="L1187" t="s">
        <v>18</v>
      </c>
      <c r="M1187" t="s">
        <v>72</v>
      </c>
      <c r="N1187">
        <v>45747</v>
      </c>
      <c r="O1187">
        <v>3592</v>
      </c>
      <c r="P1187" t="s">
        <v>29</v>
      </c>
      <c r="Q1187">
        <v>0</v>
      </c>
      <c r="R1187" t="s">
        <v>5116</v>
      </c>
      <c r="S1187" t="s">
        <v>21</v>
      </c>
      <c r="T1187" t="s">
        <v>20</v>
      </c>
    </row>
    <row r="1188" spans="1:20" x14ac:dyDescent="0.3">
      <c r="A1188" t="s">
        <v>2492</v>
      </c>
      <c r="B1188" t="s">
        <v>63</v>
      </c>
      <c r="C1188" t="s">
        <v>94</v>
      </c>
      <c r="D1188" t="s">
        <v>104</v>
      </c>
      <c r="E1188" t="s">
        <v>26</v>
      </c>
      <c r="F1188" t="s">
        <v>27</v>
      </c>
      <c r="G1188" t="s">
        <v>50</v>
      </c>
      <c r="H1188" t="s">
        <v>5142</v>
      </c>
      <c r="I1188" t="s">
        <v>5143</v>
      </c>
      <c r="J1188">
        <v>123472</v>
      </c>
      <c r="K1188" t="s">
        <v>2493</v>
      </c>
      <c r="L1188" t="s">
        <v>61</v>
      </c>
      <c r="M1188" t="s">
        <v>46</v>
      </c>
      <c r="N1188">
        <v>45473</v>
      </c>
      <c r="O1188">
        <v>983</v>
      </c>
      <c r="P1188" t="s">
        <v>20</v>
      </c>
      <c r="Q1188">
        <v>4</v>
      </c>
      <c r="R1188" t="s">
        <v>5116</v>
      </c>
      <c r="S1188" t="s">
        <v>21</v>
      </c>
      <c r="T1188" t="s">
        <v>29</v>
      </c>
    </row>
    <row r="1189" spans="1:20" x14ac:dyDescent="0.3">
      <c r="A1189" t="s">
        <v>2494</v>
      </c>
      <c r="B1189" t="s">
        <v>136</v>
      </c>
      <c r="C1189" t="s">
        <v>202</v>
      </c>
      <c r="D1189" t="s">
        <v>44</v>
      </c>
      <c r="E1189" t="s">
        <v>58</v>
      </c>
      <c r="F1189" t="s">
        <v>59</v>
      </c>
      <c r="G1189" t="s">
        <v>16</v>
      </c>
      <c r="H1189" t="s">
        <v>5138</v>
      </c>
      <c r="I1189" t="s">
        <v>5139</v>
      </c>
      <c r="J1189">
        <v>191913</v>
      </c>
      <c r="K1189" t="s">
        <v>2495</v>
      </c>
      <c r="L1189" t="s">
        <v>5165</v>
      </c>
      <c r="M1189" t="s">
        <v>46</v>
      </c>
      <c r="N1189">
        <v>45601</v>
      </c>
      <c r="O1189">
        <v>2910</v>
      </c>
      <c r="P1189" t="s">
        <v>20</v>
      </c>
      <c r="Q1189">
        <v>6</v>
      </c>
      <c r="R1189" t="s">
        <v>40</v>
      </c>
      <c r="S1189" t="s">
        <v>53</v>
      </c>
      <c r="T1189" t="s">
        <v>20</v>
      </c>
    </row>
    <row r="1190" spans="1:20" x14ac:dyDescent="0.3">
      <c r="A1190" t="s">
        <v>2496</v>
      </c>
      <c r="B1190" t="s">
        <v>12</v>
      </c>
      <c r="C1190" t="s">
        <v>197</v>
      </c>
      <c r="D1190" t="s">
        <v>33</v>
      </c>
      <c r="E1190" t="s">
        <v>5132</v>
      </c>
      <c r="F1190" t="s">
        <v>5125</v>
      </c>
      <c r="G1190" t="s">
        <v>16</v>
      </c>
      <c r="H1190" t="s">
        <v>5140</v>
      </c>
      <c r="I1190" t="s">
        <v>5141</v>
      </c>
      <c r="J1190">
        <v>120891</v>
      </c>
      <c r="K1190" t="s">
        <v>2497</v>
      </c>
      <c r="L1190" t="s">
        <v>5165</v>
      </c>
      <c r="M1190" t="s">
        <v>39</v>
      </c>
      <c r="N1190">
        <v>45569</v>
      </c>
      <c r="O1190">
        <v>2422</v>
      </c>
      <c r="P1190" t="s">
        <v>20</v>
      </c>
      <c r="Q1190">
        <v>2</v>
      </c>
      <c r="R1190" t="s">
        <v>76</v>
      </c>
      <c r="S1190" t="s">
        <v>21</v>
      </c>
      <c r="T1190" t="s">
        <v>29</v>
      </c>
    </row>
    <row r="1191" spans="1:20" x14ac:dyDescent="0.3">
      <c r="A1191" t="s">
        <v>2498</v>
      </c>
      <c r="B1191" t="s">
        <v>78</v>
      </c>
      <c r="C1191" t="s">
        <v>100</v>
      </c>
      <c r="D1191" t="s">
        <v>68</v>
      </c>
      <c r="E1191" t="s">
        <v>95</v>
      </c>
      <c r="F1191" t="s">
        <v>96</v>
      </c>
      <c r="G1191" t="s">
        <v>16</v>
      </c>
      <c r="H1191" t="s">
        <v>5136</v>
      </c>
      <c r="I1191" t="s">
        <v>5137</v>
      </c>
      <c r="J1191">
        <v>57798</v>
      </c>
      <c r="K1191" t="s">
        <v>2499</v>
      </c>
      <c r="L1191" t="s">
        <v>38</v>
      </c>
      <c r="M1191" t="s">
        <v>46</v>
      </c>
      <c r="N1191">
        <v>45658</v>
      </c>
      <c r="O1191">
        <v>3994</v>
      </c>
      <c r="P1191" t="s">
        <v>20</v>
      </c>
      <c r="Q1191">
        <v>0</v>
      </c>
      <c r="R1191" t="s">
        <v>52</v>
      </c>
      <c r="S1191" t="s">
        <v>53</v>
      </c>
      <c r="T1191" t="s">
        <v>20</v>
      </c>
    </row>
    <row r="1192" spans="1:20" x14ac:dyDescent="0.3">
      <c r="A1192" t="s">
        <v>2500</v>
      </c>
      <c r="B1192" t="s">
        <v>130</v>
      </c>
      <c r="C1192" t="s">
        <v>121</v>
      </c>
      <c r="D1192" t="s">
        <v>167</v>
      </c>
      <c r="E1192" t="s">
        <v>5132</v>
      </c>
      <c r="F1192" t="s">
        <v>5125</v>
      </c>
      <c r="G1192" t="s">
        <v>36</v>
      </c>
      <c r="H1192" t="s">
        <v>5140</v>
      </c>
      <c r="I1192" t="s">
        <v>5141</v>
      </c>
      <c r="J1192">
        <v>112086</v>
      </c>
      <c r="K1192" t="s">
        <v>2501</v>
      </c>
      <c r="L1192" t="s">
        <v>238</v>
      </c>
      <c r="M1192" t="s">
        <v>39</v>
      </c>
      <c r="N1192">
        <v>45428</v>
      </c>
      <c r="O1192">
        <v>3228</v>
      </c>
      <c r="P1192" t="s">
        <v>20</v>
      </c>
      <c r="Q1192">
        <v>2</v>
      </c>
      <c r="R1192" t="s">
        <v>47</v>
      </c>
      <c r="S1192" t="s">
        <v>21</v>
      </c>
      <c r="T1192" t="s">
        <v>29</v>
      </c>
    </row>
    <row r="1193" spans="1:20" x14ac:dyDescent="0.3">
      <c r="A1193" t="s">
        <v>2502</v>
      </c>
      <c r="B1193" t="s">
        <v>218</v>
      </c>
      <c r="C1193" t="s">
        <v>64</v>
      </c>
      <c r="D1193" t="s">
        <v>25</v>
      </c>
      <c r="E1193" t="s">
        <v>5129</v>
      </c>
      <c r="F1193" t="s">
        <v>5130</v>
      </c>
      <c r="G1193" t="s">
        <v>36</v>
      </c>
      <c r="H1193" t="s">
        <v>5136</v>
      </c>
      <c r="I1193" t="s">
        <v>5137</v>
      </c>
      <c r="J1193">
        <v>53191</v>
      </c>
      <c r="K1193" t="s">
        <v>2503</v>
      </c>
      <c r="L1193" t="s">
        <v>18</v>
      </c>
      <c r="M1193" t="s">
        <v>39</v>
      </c>
      <c r="N1193">
        <v>45472</v>
      </c>
      <c r="O1193">
        <v>381</v>
      </c>
      <c r="P1193" t="s">
        <v>92</v>
      </c>
      <c r="Q1193">
        <v>0</v>
      </c>
      <c r="R1193" t="s">
        <v>47</v>
      </c>
      <c r="S1193" t="s">
        <v>53</v>
      </c>
      <c r="T1193" t="s">
        <v>29</v>
      </c>
    </row>
    <row r="1194" spans="1:20" x14ac:dyDescent="0.3">
      <c r="A1194" t="s">
        <v>2504</v>
      </c>
      <c r="B1194" t="s">
        <v>31</v>
      </c>
      <c r="C1194" t="s">
        <v>125</v>
      </c>
      <c r="D1194" t="s">
        <v>118</v>
      </c>
      <c r="E1194" t="s">
        <v>223</v>
      </c>
      <c r="F1194" t="s">
        <v>224</v>
      </c>
      <c r="G1194" t="s">
        <v>36</v>
      </c>
      <c r="H1194" t="s">
        <v>5136</v>
      </c>
      <c r="I1194" t="s">
        <v>5137</v>
      </c>
      <c r="J1194">
        <v>62422</v>
      </c>
      <c r="K1194" t="s">
        <v>2505</v>
      </c>
      <c r="L1194" t="s">
        <v>82</v>
      </c>
      <c r="M1194" t="s">
        <v>46</v>
      </c>
      <c r="N1194">
        <v>45381</v>
      </c>
      <c r="O1194">
        <v>1084</v>
      </c>
      <c r="P1194" t="s">
        <v>92</v>
      </c>
      <c r="Q1194">
        <v>0</v>
      </c>
      <c r="R1194" t="s">
        <v>40</v>
      </c>
      <c r="S1194" t="s">
        <v>53</v>
      </c>
      <c r="T1194" t="s">
        <v>29</v>
      </c>
    </row>
    <row r="1195" spans="1:20" x14ac:dyDescent="0.3">
      <c r="A1195" t="s">
        <v>2506</v>
      </c>
      <c r="B1195" t="s">
        <v>136</v>
      </c>
      <c r="C1195" t="s">
        <v>125</v>
      </c>
      <c r="D1195" t="s">
        <v>44</v>
      </c>
      <c r="E1195" t="s">
        <v>5131</v>
      </c>
      <c r="F1195" t="s">
        <v>5125</v>
      </c>
      <c r="G1195" t="s">
        <v>16</v>
      </c>
      <c r="H1195" t="s">
        <v>5142</v>
      </c>
      <c r="I1195" t="s">
        <v>5143</v>
      </c>
      <c r="J1195">
        <v>158634</v>
      </c>
      <c r="K1195" t="s">
        <v>2507</v>
      </c>
      <c r="L1195" t="s">
        <v>142</v>
      </c>
      <c r="M1195" t="s">
        <v>46</v>
      </c>
      <c r="N1195">
        <v>45326</v>
      </c>
      <c r="O1195">
        <v>1528</v>
      </c>
      <c r="P1195" t="s">
        <v>20</v>
      </c>
      <c r="Q1195">
        <v>4</v>
      </c>
      <c r="R1195" t="s">
        <v>76</v>
      </c>
      <c r="S1195" t="s">
        <v>21</v>
      </c>
      <c r="T1195" t="s">
        <v>29</v>
      </c>
    </row>
    <row r="1196" spans="1:20" x14ac:dyDescent="0.3">
      <c r="A1196" t="s">
        <v>2508</v>
      </c>
      <c r="B1196" t="s">
        <v>74</v>
      </c>
      <c r="C1196" t="s">
        <v>232</v>
      </c>
      <c r="D1196" t="s">
        <v>68</v>
      </c>
      <c r="E1196" t="s">
        <v>5128</v>
      </c>
      <c r="F1196" t="s">
        <v>5125</v>
      </c>
      <c r="G1196" t="s">
        <v>16</v>
      </c>
      <c r="H1196" t="s">
        <v>5138</v>
      </c>
      <c r="I1196" t="s">
        <v>5139</v>
      </c>
      <c r="J1196">
        <v>142652</v>
      </c>
      <c r="K1196" t="s">
        <v>2509</v>
      </c>
      <c r="L1196" t="s">
        <v>179</v>
      </c>
      <c r="M1196" t="s">
        <v>19</v>
      </c>
      <c r="N1196">
        <v>45595</v>
      </c>
      <c r="O1196">
        <v>2709</v>
      </c>
      <c r="P1196" t="s">
        <v>29</v>
      </c>
      <c r="Q1196">
        <v>6</v>
      </c>
      <c r="R1196" t="s">
        <v>52</v>
      </c>
      <c r="S1196" t="s">
        <v>21</v>
      </c>
      <c r="T1196" t="s">
        <v>29</v>
      </c>
    </row>
    <row r="1197" spans="1:20" x14ac:dyDescent="0.3">
      <c r="A1197" t="s">
        <v>2510</v>
      </c>
      <c r="B1197" t="s">
        <v>322</v>
      </c>
      <c r="C1197" t="s">
        <v>117</v>
      </c>
      <c r="D1197" t="s">
        <v>5156</v>
      </c>
      <c r="E1197" t="s">
        <v>152</v>
      </c>
      <c r="F1197" t="s">
        <v>153</v>
      </c>
      <c r="G1197" t="s">
        <v>50</v>
      </c>
      <c r="H1197" t="s">
        <v>5136</v>
      </c>
      <c r="I1197" t="s">
        <v>5137</v>
      </c>
      <c r="J1197">
        <v>75549</v>
      </c>
      <c r="K1197" t="s">
        <v>2511</v>
      </c>
      <c r="L1197" t="s">
        <v>38</v>
      </c>
      <c r="M1197" t="s">
        <v>46</v>
      </c>
      <c r="N1197">
        <v>45737</v>
      </c>
      <c r="O1197">
        <v>1906</v>
      </c>
      <c r="P1197" t="s">
        <v>29</v>
      </c>
      <c r="Q1197">
        <v>0</v>
      </c>
      <c r="R1197" t="s">
        <v>40</v>
      </c>
      <c r="S1197" t="s">
        <v>21</v>
      </c>
      <c r="T1197" t="s">
        <v>29</v>
      </c>
    </row>
    <row r="1198" spans="1:20" x14ac:dyDescent="0.3">
      <c r="A1198" t="s">
        <v>2512</v>
      </c>
      <c r="B1198" t="s">
        <v>322</v>
      </c>
      <c r="C1198" t="s">
        <v>166</v>
      </c>
      <c r="D1198" t="s">
        <v>25</v>
      </c>
      <c r="E1198" t="s">
        <v>26</v>
      </c>
      <c r="F1198" t="s">
        <v>27</v>
      </c>
      <c r="G1198" t="s">
        <v>36</v>
      </c>
      <c r="H1198" t="s">
        <v>5140</v>
      </c>
      <c r="I1198" t="s">
        <v>5141</v>
      </c>
      <c r="J1198">
        <v>109611</v>
      </c>
      <c r="K1198" t="s">
        <v>2513</v>
      </c>
      <c r="L1198" t="s">
        <v>18</v>
      </c>
      <c r="M1198" t="s">
        <v>39</v>
      </c>
      <c r="N1198">
        <v>45397</v>
      </c>
      <c r="O1198">
        <v>1237</v>
      </c>
      <c r="P1198" t="s">
        <v>29</v>
      </c>
      <c r="Q1198">
        <v>2</v>
      </c>
      <c r="R1198" t="s">
        <v>47</v>
      </c>
      <c r="S1198" t="s">
        <v>53</v>
      </c>
      <c r="T1198" t="s">
        <v>29</v>
      </c>
    </row>
    <row r="1199" spans="1:20" x14ac:dyDescent="0.3">
      <c r="A1199" t="s">
        <v>2514</v>
      </c>
      <c r="B1199" t="s">
        <v>31</v>
      </c>
      <c r="C1199" t="s">
        <v>79</v>
      </c>
      <c r="D1199" t="s">
        <v>5156</v>
      </c>
      <c r="E1199" t="s">
        <v>5129</v>
      </c>
      <c r="F1199" t="s">
        <v>5130</v>
      </c>
      <c r="G1199" t="s">
        <v>50</v>
      </c>
      <c r="H1199" t="s">
        <v>5142</v>
      </c>
      <c r="I1199" t="s">
        <v>5143</v>
      </c>
      <c r="J1199">
        <v>164917</v>
      </c>
      <c r="K1199" t="s">
        <v>2515</v>
      </c>
      <c r="L1199" t="s">
        <v>134</v>
      </c>
      <c r="M1199" t="s">
        <v>46</v>
      </c>
      <c r="N1199">
        <v>45392</v>
      </c>
      <c r="O1199">
        <v>3246</v>
      </c>
      <c r="P1199" t="s">
        <v>20</v>
      </c>
      <c r="Q1199">
        <v>4</v>
      </c>
      <c r="R1199" t="s">
        <v>40</v>
      </c>
      <c r="S1199" t="s">
        <v>21</v>
      </c>
      <c r="T1199" t="s">
        <v>20</v>
      </c>
    </row>
    <row r="1200" spans="1:20" x14ac:dyDescent="0.3">
      <c r="A1200" t="s">
        <v>2516</v>
      </c>
      <c r="B1200" t="s">
        <v>31</v>
      </c>
      <c r="C1200" t="s">
        <v>109</v>
      </c>
      <c r="D1200" t="s">
        <v>57</v>
      </c>
      <c r="E1200" t="s">
        <v>5128</v>
      </c>
      <c r="F1200" t="s">
        <v>5125</v>
      </c>
      <c r="G1200" t="s">
        <v>36</v>
      </c>
      <c r="H1200" t="s">
        <v>5138</v>
      </c>
      <c r="I1200" t="s">
        <v>5139</v>
      </c>
      <c r="J1200">
        <v>208060</v>
      </c>
      <c r="K1200" t="s">
        <v>2517</v>
      </c>
      <c r="L1200" t="s">
        <v>5165</v>
      </c>
      <c r="M1200" t="s">
        <v>46</v>
      </c>
      <c r="N1200">
        <v>45731</v>
      </c>
      <c r="O1200">
        <v>716</v>
      </c>
      <c r="P1200" t="s">
        <v>20</v>
      </c>
      <c r="Q1200">
        <v>6</v>
      </c>
      <c r="R1200" t="s">
        <v>47</v>
      </c>
      <c r="S1200" t="s">
        <v>21</v>
      </c>
      <c r="T1200" t="s">
        <v>29</v>
      </c>
    </row>
    <row r="1201" spans="1:20" x14ac:dyDescent="0.3">
      <c r="A1201" t="s">
        <v>2518</v>
      </c>
      <c r="B1201" t="s">
        <v>23</v>
      </c>
      <c r="C1201" t="s">
        <v>64</v>
      </c>
      <c r="D1201" t="s">
        <v>167</v>
      </c>
      <c r="E1201" t="s">
        <v>34</v>
      </c>
      <c r="F1201" t="s">
        <v>35</v>
      </c>
      <c r="G1201" t="s">
        <v>16</v>
      </c>
      <c r="H1201" t="s">
        <v>5140</v>
      </c>
      <c r="I1201" t="s">
        <v>5141</v>
      </c>
      <c r="J1201">
        <v>137009</v>
      </c>
      <c r="K1201" t="s">
        <v>2519</v>
      </c>
      <c r="L1201" t="s">
        <v>134</v>
      </c>
      <c r="M1201" t="s">
        <v>39</v>
      </c>
      <c r="N1201">
        <v>45687</v>
      </c>
      <c r="O1201">
        <v>3384</v>
      </c>
      <c r="P1201" t="s">
        <v>20</v>
      </c>
      <c r="Q1201">
        <v>2</v>
      </c>
      <c r="R1201" t="s">
        <v>40</v>
      </c>
      <c r="S1201" t="s">
        <v>21</v>
      </c>
      <c r="T1201" t="s">
        <v>20</v>
      </c>
    </row>
    <row r="1202" spans="1:20" x14ac:dyDescent="0.3">
      <c r="A1202" t="s">
        <v>2520</v>
      </c>
      <c r="B1202" t="s">
        <v>144</v>
      </c>
      <c r="C1202" t="s">
        <v>166</v>
      </c>
      <c r="D1202" t="s">
        <v>57</v>
      </c>
      <c r="E1202" t="s">
        <v>5133</v>
      </c>
      <c r="F1202" t="s">
        <v>5125</v>
      </c>
      <c r="G1202" t="s">
        <v>50</v>
      </c>
      <c r="H1202" t="s">
        <v>5140</v>
      </c>
      <c r="I1202" t="s">
        <v>5141</v>
      </c>
      <c r="J1202">
        <v>112479</v>
      </c>
      <c r="K1202" t="s">
        <v>2521</v>
      </c>
      <c r="L1202" t="s">
        <v>179</v>
      </c>
      <c r="M1202" t="s">
        <v>19</v>
      </c>
      <c r="N1202">
        <v>45687</v>
      </c>
      <c r="O1202">
        <v>1787</v>
      </c>
      <c r="P1202" t="s">
        <v>20</v>
      </c>
      <c r="Q1202">
        <v>2</v>
      </c>
      <c r="R1202" t="s">
        <v>40</v>
      </c>
      <c r="S1202" t="s">
        <v>21</v>
      </c>
      <c r="T1202" t="s">
        <v>29</v>
      </c>
    </row>
    <row r="1203" spans="1:20" x14ac:dyDescent="0.3">
      <c r="A1203" t="s">
        <v>2522</v>
      </c>
      <c r="B1203" t="s">
        <v>144</v>
      </c>
      <c r="C1203" t="s">
        <v>85</v>
      </c>
      <c r="D1203" t="s">
        <v>167</v>
      </c>
      <c r="E1203" t="s">
        <v>26</v>
      </c>
      <c r="F1203" t="s">
        <v>27</v>
      </c>
      <c r="G1203" t="s">
        <v>36</v>
      </c>
      <c r="H1203" t="s">
        <v>5142</v>
      </c>
      <c r="I1203" t="s">
        <v>5143</v>
      </c>
      <c r="J1203">
        <v>138406</v>
      </c>
      <c r="K1203" t="s">
        <v>2523</v>
      </c>
      <c r="L1203" t="s">
        <v>113</v>
      </c>
      <c r="M1203" t="s">
        <v>39</v>
      </c>
      <c r="N1203">
        <v>45464</v>
      </c>
      <c r="O1203">
        <v>3431</v>
      </c>
      <c r="P1203" t="s">
        <v>20</v>
      </c>
      <c r="Q1203">
        <v>4</v>
      </c>
      <c r="R1203" t="s">
        <v>76</v>
      </c>
      <c r="S1203" t="s">
        <v>53</v>
      </c>
      <c r="T1203" t="s">
        <v>20</v>
      </c>
    </row>
    <row r="1204" spans="1:20" x14ac:dyDescent="0.3">
      <c r="A1204" t="s">
        <v>2524</v>
      </c>
      <c r="B1204" t="s">
        <v>63</v>
      </c>
      <c r="C1204" t="s">
        <v>56</v>
      </c>
      <c r="D1204" t="s">
        <v>25</v>
      </c>
      <c r="E1204" t="s">
        <v>5131</v>
      </c>
      <c r="F1204" t="s">
        <v>5125</v>
      </c>
      <c r="G1204" t="s">
        <v>16</v>
      </c>
      <c r="H1204" t="s">
        <v>5142</v>
      </c>
      <c r="I1204" t="s">
        <v>5143</v>
      </c>
      <c r="J1204">
        <v>153302</v>
      </c>
      <c r="K1204" t="s">
        <v>2525</v>
      </c>
      <c r="L1204" t="s">
        <v>5165</v>
      </c>
      <c r="M1204" t="s">
        <v>19</v>
      </c>
      <c r="N1204">
        <v>45542</v>
      </c>
      <c r="O1204">
        <v>219</v>
      </c>
      <c r="P1204" t="s">
        <v>20</v>
      </c>
      <c r="Q1204">
        <v>4</v>
      </c>
      <c r="R1204" t="s">
        <v>52</v>
      </c>
      <c r="S1204" t="s">
        <v>21</v>
      </c>
      <c r="T1204" t="s">
        <v>20</v>
      </c>
    </row>
    <row r="1205" spans="1:20" x14ac:dyDescent="0.3">
      <c r="A1205" t="s">
        <v>2526</v>
      </c>
      <c r="B1205" t="s">
        <v>218</v>
      </c>
      <c r="C1205" t="s">
        <v>219</v>
      </c>
      <c r="D1205" t="s">
        <v>25</v>
      </c>
      <c r="E1205" t="s">
        <v>14</v>
      </c>
      <c r="F1205" t="s">
        <v>15</v>
      </c>
      <c r="G1205" t="s">
        <v>50</v>
      </c>
      <c r="H1205" t="s">
        <v>5138</v>
      </c>
      <c r="I1205" t="s">
        <v>5139</v>
      </c>
      <c r="J1205">
        <v>219558</v>
      </c>
      <c r="K1205" t="s">
        <v>2527</v>
      </c>
      <c r="L1205" t="s">
        <v>142</v>
      </c>
      <c r="M1205" t="s">
        <v>39</v>
      </c>
      <c r="N1205">
        <v>45726</v>
      </c>
      <c r="O1205">
        <v>2137</v>
      </c>
      <c r="P1205" t="s">
        <v>20</v>
      </c>
      <c r="Q1205">
        <v>6</v>
      </c>
      <c r="R1205" t="s">
        <v>76</v>
      </c>
      <c r="S1205" t="s">
        <v>53</v>
      </c>
      <c r="T1205" t="s">
        <v>20</v>
      </c>
    </row>
    <row r="1206" spans="1:20" x14ac:dyDescent="0.3">
      <c r="A1206" t="s">
        <v>2528</v>
      </c>
      <c r="B1206" t="s">
        <v>222</v>
      </c>
      <c r="C1206" t="s">
        <v>172</v>
      </c>
      <c r="D1206" t="s">
        <v>167</v>
      </c>
      <c r="E1206" t="s">
        <v>34</v>
      </c>
      <c r="F1206" t="s">
        <v>35</v>
      </c>
      <c r="G1206" t="s">
        <v>36</v>
      </c>
      <c r="H1206" t="s">
        <v>5140</v>
      </c>
      <c r="I1206" t="s">
        <v>5141</v>
      </c>
      <c r="J1206">
        <v>110967</v>
      </c>
      <c r="K1206" t="s">
        <v>2529</v>
      </c>
      <c r="L1206" t="s">
        <v>5165</v>
      </c>
      <c r="M1206" t="s">
        <v>19</v>
      </c>
      <c r="N1206">
        <v>45648</v>
      </c>
      <c r="O1206">
        <v>2671</v>
      </c>
      <c r="P1206" t="s">
        <v>20</v>
      </c>
      <c r="Q1206">
        <v>2</v>
      </c>
      <c r="R1206" t="s">
        <v>76</v>
      </c>
      <c r="S1206" t="s">
        <v>21</v>
      </c>
      <c r="T1206" t="s">
        <v>29</v>
      </c>
    </row>
    <row r="1207" spans="1:20" x14ac:dyDescent="0.3">
      <c r="A1207" t="s">
        <v>2530</v>
      </c>
      <c r="B1207" t="s">
        <v>84</v>
      </c>
      <c r="C1207" t="s">
        <v>139</v>
      </c>
      <c r="D1207" t="s">
        <v>25</v>
      </c>
      <c r="E1207" t="s">
        <v>5131</v>
      </c>
      <c r="F1207" t="s">
        <v>5125</v>
      </c>
      <c r="G1207" t="s">
        <v>36</v>
      </c>
      <c r="H1207" t="s">
        <v>5142</v>
      </c>
      <c r="I1207" t="s">
        <v>5143</v>
      </c>
      <c r="J1207">
        <v>151095</v>
      </c>
      <c r="K1207" t="s">
        <v>2531</v>
      </c>
      <c r="L1207" t="s">
        <v>238</v>
      </c>
      <c r="M1207" t="s">
        <v>72</v>
      </c>
      <c r="N1207">
        <v>45511</v>
      </c>
      <c r="O1207">
        <v>1016</v>
      </c>
      <c r="P1207" t="s">
        <v>29</v>
      </c>
      <c r="Q1207">
        <v>4</v>
      </c>
      <c r="R1207" t="s">
        <v>52</v>
      </c>
      <c r="S1207" t="s">
        <v>21</v>
      </c>
      <c r="T1207" t="s">
        <v>29</v>
      </c>
    </row>
    <row r="1208" spans="1:20" x14ac:dyDescent="0.3">
      <c r="A1208" t="s">
        <v>2532</v>
      </c>
      <c r="B1208" t="s">
        <v>99</v>
      </c>
      <c r="C1208" t="s">
        <v>13</v>
      </c>
      <c r="D1208" t="s">
        <v>140</v>
      </c>
      <c r="E1208" t="s">
        <v>5126</v>
      </c>
      <c r="F1208" t="s">
        <v>5125</v>
      </c>
      <c r="G1208" t="s">
        <v>36</v>
      </c>
      <c r="H1208" t="s">
        <v>5136</v>
      </c>
      <c r="I1208" t="s">
        <v>5137</v>
      </c>
      <c r="J1208">
        <v>61154</v>
      </c>
      <c r="K1208" t="s">
        <v>2533</v>
      </c>
      <c r="L1208" t="s">
        <v>5165</v>
      </c>
      <c r="M1208" t="s">
        <v>39</v>
      </c>
      <c r="N1208">
        <v>45697</v>
      </c>
      <c r="O1208">
        <v>3742</v>
      </c>
      <c r="P1208" t="s">
        <v>20</v>
      </c>
      <c r="Q1208">
        <v>0</v>
      </c>
      <c r="R1208" t="s">
        <v>40</v>
      </c>
      <c r="S1208" t="s">
        <v>53</v>
      </c>
      <c r="T1208" t="s">
        <v>20</v>
      </c>
    </row>
    <row r="1209" spans="1:20" x14ac:dyDescent="0.3">
      <c r="A1209" t="s">
        <v>2534</v>
      </c>
      <c r="B1209" t="s">
        <v>124</v>
      </c>
      <c r="C1209" t="s">
        <v>49</v>
      </c>
      <c r="D1209" t="s">
        <v>57</v>
      </c>
      <c r="E1209" t="s">
        <v>69</v>
      </c>
      <c r="F1209" t="s">
        <v>70</v>
      </c>
      <c r="G1209" t="s">
        <v>36</v>
      </c>
      <c r="H1209" t="s">
        <v>5138</v>
      </c>
      <c r="I1209" t="s">
        <v>5139</v>
      </c>
      <c r="J1209">
        <v>176135</v>
      </c>
      <c r="K1209" t="s">
        <v>2535</v>
      </c>
      <c r="L1209" t="s">
        <v>179</v>
      </c>
      <c r="M1209" t="s">
        <v>39</v>
      </c>
      <c r="N1209">
        <v>45512</v>
      </c>
      <c r="O1209">
        <v>847</v>
      </c>
      <c r="P1209" t="s">
        <v>20</v>
      </c>
      <c r="Q1209">
        <v>6</v>
      </c>
      <c r="R1209" t="s">
        <v>47</v>
      </c>
      <c r="S1209" t="s">
        <v>21</v>
      </c>
      <c r="T1209" t="s">
        <v>20</v>
      </c>
    </row>
    <row r="1210" spans="1:20" x14ac:dyDescent="0.3">
      <c r="A1210" t="s">
        <v>2536</v>
      </c>
      <c r="B1210" t="s">
        <v>124</v>
      </c>
      <c r="C1210" t="s">
        <v>90</v>
      </c>
      <c r="D1210" t="s">
        <v>25</v>
      </c>
      <c r="E1210" t="s">
        <v>5126</v>
      </c>
      <c r="F1210" t="s">
        <v>5125</v>
      </c>
      <c r="G1210" t="s">
        <v>16</v>
      </c>
      <c r="H1210" t="s">
        <v>5138</v>
      </c>
      <c r="I1210" t="s">
        <v>5139</v>
      </c>
      <c r="J1210">
        <v>149506</v>
      </c>
      <c r="K1210" t="s">
        <v>2537</v>
      </c>
      <c r="L1210" t="s">
        <v>5165</v>
      </c>
      <c r="M1210" t="s">
        <v>46</v>
      </c>
      <c r="N1210">
        <v>45724</v>
      </c>
      <c r="O1210">
        <v>3403</v>
      </c>
      <c r="P1210" t="s">
        <v>29</v>
      </c>
      <c r="Q1210">
        <v>6</v>
      </c>
      <c r="R1210" t="s">
        <v>52</v>
      </c>
      <c r="S1210" t="s">
        <v>21</v>
      </c>
      <c r="T1210" t="s">
        <v>20</v>
      </c>
    </row>
    <row r="1211" spans="1:20" x14ac:dyDescent="0.3">
      <c r="A1211" t="s">
        <v>2538</v>
      </c>
      <c r="B1211" t="s">
        <v>23</v>
      </c>
      <c r="C1211" t="s">
        <v>49</v>
      </c>
      <c r="D1211" t="s">
        <v>118</v>
      </c>
      <c r="E1211" t="s">
        <v>5128</v>
      </c>
      <c r="F1211" t="s">
        <v>5125</v>
      </c>
      <c r="G1211" t="s">
        <v>36</v>
      </c>
      <c r="H1211" t="s">
        <v>5138</v>
      </c>
      <c r="I1211" t="s">
        <v>5139</v>
      </c>
      <c r="J1211">
        <v>262984</v>
      </c>
      <c r="K1211" t="s">
        <v>2539</v>
      </c>
      <c r="L1211" t="s">
        <v>5165</v>
      </c>
      <c r="M1211" t="s">
        <v>46</v>
      </c>
      <c r="N1211">
        <v>45497</v>
      </c>
      <c r="O1211">
        <v>1953</v>
      </c>
      <c r="P1211" t="s">
        <v>29</v>
      </c>
      <c r="Q1211">
        <v>6</v>
      </c>
      <c r="R1211" t="s">
        <v>76</v>
      </c>
      <c r="S1211" t="s">
        <v>21</v>
      </c>
      <c r="T1211" t="s">
        <v>20</v>
      </c>
    </row>
    <row r="1212" spans="1:20" x14ac:dyDescent="0.3">
      <c r="A1212" t="s">
        <v>2540</v>
      </c>
      <c r="B1212" t="s">
        <v>124</v>
      </c>
      <c r="C1212" t="s">
        <v>64</v>
      </c>
      <c r="D1212" t="s">
        <v>33</v>
      </c>
      <c r="E1212" t="s">
        <v>193</v>
      </c>
      <c r="F1212" t="s">
        <v>194</v>
      </c>
      <c r="G1212" t="s">
        <v>50</v>
      </c>
      <c r="H1212" t="s">
        <v>5136</v>
      </c>
      <c r="I1212" t="s">
        <v>5137</v>
      </c>
      <c r="J1212">
        <v>54327</v>
      </c>
      <c r="K1212" t="s">
        <v>2541</v>
      </c>
      <c r="L1212" t="s">
        <v>5165</v>
      </c>
      <c r="M1212" t="s">
        <v>39</v>
      </c>
      <c r="N1212">
        <v>45373</v>
      </c>
      <c r="O1212">
        <v>1909</v>
      </c>
      <c r="P1212" t="s">
        <v>29</v>
      </c>
      <c r="Q1212">
        <v>0</v>
      </c>
      <c r="R1212" t="s">
        <v>5116</v>
      </c>
      <c r="S1212" t="s">
        <v>21</v>
      </c>
      <c r="T1212" t="s">
        <v>20</v>
      </c>
    </row>
    <row r="1213" spans="1:20" x14ac:dyDescent="0.3">
      <c r="A1213" t="s">
        <v>2542</v>
      </c>
      <c r="B1213" t="s">
        <v>74</v>
      </c>
      <c r="C1213" t="s">
        <v>79</v>
      </c>
      <c r="D1213" t="s">
        <v>44</v>
      </c>
      <c r="E1213" t="s">
        <v>95</v>
      </c>
      <c r="F1213" t="s">
        <v>96</v>
      </c>
      <c r="G1213" t="s">
        <v>16</v>
      </c>
      <c r="H1213" t="s">
        <v>5142</v>
      </c>
      <c r="I1213" t="s">
        <v>5143</v>
      </c>
      <c r="J1213">
        <v>131291</v>
      </c>
      <c r="K1213" t="s">
        <v>2543</v>
      </c>
      <c r="L1213" t="s">
        <v>238</v>
      </c>
      <c r="M1213" t="s">
        <v>46</v>
      </c>
      <c r="N1213">
        <v>45441</v>
      </c>
      <c r="O1213">
        <v>3932</v>
      </c>
      <c r="P1213" t="s">
        <v>20</v>
      </c>
      <c r="Q1213">
        <v>4</v>
      </c>
      <c r="R1213" t="s">
        <v>76</v>
      </c>
      <c r="S1213" t="s">
        <v>21</v>
      </c>
      <c r="T1213" t="s">
        <v>29</v>
      </c>
    </row>
    <row r="1214" spans="1:20" x14ac:dyDescent="0.3">
      <c r="A1214" t="s">
        <v>2544</v>
      </c>
      <c r="B1214" t="s">
        <v>218</v>
      </c>
      <c r="C1214" t="s">
        <v>188</v>
      </c>
      <c r="D1214" t="s">
        <v>68</v>
      </c>
      <c r="E1214" t="s">
        <v>34</v>
      </c>
      <c r="F1214" t="s">
        <v>35</v>
      </c>
      <c r="G1214" t="s">
        <v>16</v>
      </c>
      <c r="H1214" t="s">
        <v>5138</v>
      </c>
      <c r="I1214" t="s">
        <v>5139</v>
      </c>
      <c r="J1214">
        <v>174137</v>
      </c>
      <c r="K1214" t="s">
        <v>2545</v>
      </c>
      <c r="L1214" t="s">
        <v>113</v>
      </c>
      <c r="M1214" t="s">
        <v>19</v>
      </c>
      <c r="N1214">
        <v>45486</v>
      </c>
      <c r="O1214">
        <v>960</v>
      </c>
      <c r="P1214" t="s">
        <v>20</v>
      </c>
      <c r="Q1214">
        <v>6</v>
      </c>
      <c r="R1214" t="s">
        <v>76</v>
      </c>
      <c r="S1214" t="s">
        <v>53</v>
      </c>
      <c r="T1214" t="s">
        <v>29</v>
      </c>
    </row>
    <row r="1215" spans="1:20" x14ac:dyDescent="0.3">
      <c r="A1215" t="s">
        <v>2546</v>
      </c>
      <c r="B1215" t="s">
        <v>84</v>
      </c>
      <c r="C1215" t="s">
        <v>56</v>
      </c>
      <c r="D1215" t="s">
        <v>5156</v>
      </c>
      <c r="E1215" t="s">
        <v>58</v>
      </c>
      <c r="F1215" t="s">
        <v>59</v>
      </c>
      <c r="G1215" t="s">
        <v>36</v>
      </c>
      <c r="H1215" t="s">
        <v>5136</v>
      </c>
      <c r="I1215" t="s">
        <v>5137</v>
      </c>
      <c r="J1215">
        <v>81276</v>
      </c>
      <c r="K1215" t="s">
        <v>2547</v>
      </c>
      <c r="L1215" t="s">
        <v>82</v>
      </c>
      <c r="M1215" t="s">
        <v>46</v>
      </c>
      <c r="N1215">
        <v>45647</v>
      </c>
      <c r="O1215">
        <v>3916</v>
      </c>
      <c r="P1215" t="s">
        <v>20</v>
      </c>
      <c r="Q1215">
        <v>0</v>
      </c>
      <c r="R1215" t="s">
        <v>47</v>
      </c>
      <c r="S1215" t="s">
        <v>21</v>
      </c>
      <c r="T1215" t="s">
        <v>29</v>
      </c>
    </row>
    <row r="1216" spans="1:20" x14ac:dyDescent="0.3">
      <c r="A1216" t="s">
        <v>2548</v>
      </c>
      <c r="B1216" t="s">
        <v>124</v>
      </c>
      <c r="C1216" t="s">
        <v>103</v>
      </c>
      <c r="D1216" t="s">
        <v>167</v>
      </c>
      <c r="E1216" t="s">
        <v>5129</v>
      </c>
      <c r="F1216" t="s">
        <v>5130</v>
      </c>
      <c r="G1216" t="s">
        <v>16</v>
      </c>
      <c r="H1216" t="s">
        <v>5136</v>
      </c>
      <c r="I1216" t="s">
        <v>5137</v>
      </c>
      <c r="J1216">
        <v>66283</v>
      </c>
      <c r="K1216" t="s">
        <v>2549</v>
      </c>
      <c r="L1216" t="s">
        <v>87</v>
      </c>
      <c r="M1216" t="s">
        <v>19</v>
      </c>
      <c r="N1216">
        <v>45727</v>
      </c>
      <c r="O1216">
        <v>3183</v>
      </c>
      <c r="P1216" t="s">
        <v>29</v>
      </c>
      <c r="Q1216">
        <v>0</v>
      </c>
      <c r="R1216" t="s">
        <v>52</v>
      </c>
      <c r="S1216" t="s">
        <v>21</v>
      </c>
      <c r="T1216" t="s">
        <v>20</v>
      </c>
    </row>
    <row r="1217" spans="1:20" x14ac:dyDescent="0.3">
      <c r="A1217" t="s">
        <v>2550</v>
      </c>
      <c r="B1217" t="s">
        <v>55</v>
      </c>
      <c r="C1217" t="s">
        <v>56</v>
      </c>
      <c r="D1217" t="s">
        <v>44</v>
      </c>
      <c r="E1217" t="s">
        <v>223</v>
      </c>
      <c r="F1217" t="s">
        <v>224</v>
      </c>
      <c r="G1217" t="s">
        <v>16</v>
      </c>
      <c r="H1217" t="s">
        <v>5138</v>
      </c>
      <c r="I1217" t="s">
        <v>5139</v>
      </c>
      <c r="J1217">
        <v>244918</v>
      </c>
      <c r="K1217" t="s">
        <v>2551</v>
      </c>
      <c r="L1217" t="s">
        <v>179</v>
      </c>
      <c r="M1217" t="s">
        <v>46</v>
      </c>
      <c r="N1217">
        <v>45742</v>
      </c>
      <c r="O1217">
        <v>625</v>
      </c>
      <c r="P1217" t="s">
        <v>20</v>
      </c>
      <c r="Q1217">
        <v>6</v>
      </c>
      <c r="R1217" t="s">
        <v>76</v>
      </c>
      <c r="S1217" t="s">
        <v>41</v>
      </c>
      <c r="T1217" t="s">
        <v>20</v>
      </c>
    </row>
    <row r="1218" spans="1:20" x14ac:dyDescent="0.3">
      <c r="A1218" t="s">
        <v>2552</v>
      </c>
      <c r="B1218" t="s">
        <v>74</v>
      </c>
      <c r="C1218" t="s">
        <v>24</v>
      </c>
      <c r="D1218" t="s">
        <v>104</v>
      </c>
      <c r="E1218" t="s">
        <v>69</v>
      </c>
      <c r="F1218" t="s">
        <v>70</v>
      </c>
      <c r="G1218" t="s">
        <v>16</v>
      </c>
      <c r="H1218" t="s">
        <v>5142</v>
      </c>
      <c r="I1218" t="s">
        <v>5143</v>
      </c>
      <c r="J1218">
        <v>131815</v>
      </c>
      <c r="K1218" t="s">
        <v>345</v>
      </c>
      <c r="L1218" t="s">
        <v>18</v>
      </c>
      <c r="M1218" t="s">
        <v>19</v>
      </c>
      <c r="N1218">
        <v>45307</v>
      </c>
      <c r="O1218">
        <v>2595</v>
      </c>
      <c r="P1218" t="s">
        <v>20</v>
      </c>
      <c r="Q1218">
        <v>4</v>
      </c>
      <c r="R1218" t="s">
        <v>5116</v>
      </c>
      <c r="S1218" t="s">
        <v>21</v>
      </c>
      <c r="T1218" t="s">
        <v>29</v>
      </c>
    </row>
    <row r="1219" spans="1:20" x14ac:dyDescent="0.3">
      <c r="A1219" t="s">
        <v>2553</v>
      </c>
      <c r="B1219" t="s">
        <v>136</v>
      </c>
      <c r="C1219" t="s">
        <v>117</v>
      </c>
      <c r="D1219" t="s">
        <v>68</v>
      </c>
      <c r="E1219" t="s">
        <v>209</v>
      </c>
      <c r="F1219" t="s">
        <v>210</v>
      </c>
      <c r="G1219" t="s">
        <v>50</v>
      </c>
      <c r="H1219" t="s">
        <v>5136</v>
      </c>
      <c r="I1219" t="s">
        <v>5137</v>
      </c>
      <c r="J1219">
        <v>73515</v>
      </c>
      <c r="K1219" t="s">
        <v>2554</v>
      </c>
      <c r="L1219" t="s">
        <v>61</v>
      </c>
      <c r="M1219" t="s">
        <v>19</v>
      </c>
      <c r="N1219">
        <v>45489</v>
      </c>
      <c r="O1219">
        <v>3453</v>
      </c>
      <c r="P1219" t="s">
        <v>29</v>
      </c>
      <c r="Q1219">
        <v>0</v>
      </c>
      <c r="R1219" t="s">
        <v>76</v>
      </c>
      <c r="S1219" t="s">
        <v>21</v>
      </c>
      <c r="T1219" t="s">
        <v>29</v>
      </c>
    </row>
    <row r="1220" spans="1:20" x14ac:dyDescent="0.3">
      <c r="A1220" t="s">
        <v>2555</v>
      </c>
      <c r="B1220" t="s">
        <v>215</v>
      </c>
      <c r="C1220" t="s">
        <v>90</v>
      </c>
      <c r="D1220" t="s">
        <v>25</v>
      </c>
      <c r="E1220" t="s">
        <v>80</v>
      </c>
      <c r="F1220" t="s">
        <v>80</v>
      </c>
      <c r="G1220" t="s">
        <v>36</v>
      </c>
      <c r="H1220" t="s">
        <v>5138</v>
      </c>
      <c r="I1220" t="s">
        <v>5139</v>
      </c>
      <c r="J1220">
        <v>169927</v>
      </c>
      <c r="K1220" t="s">
        <v>2556</v>
      </c>
      <c r="L1220" t="s">
        <v>61</v>
      </c>
      <c r="M1220" t="s">
        <v>46</v>
      </c>
      <c r="N1220">
        <v>45743</v>
      </c>
      <c r="O1220">
        <v>2797</v>
      </c>
      <c r="P1220" t="s">
        <v>20</v>
      </c>
      <c r="Q1220">
        <v>6</v>
      </c>
      <c r="R1220" t="s">
        <v>52</v>
      </c>
      <c r="S1220" t="s">
        <v>53</v>
      </c>
      <c r="T1220" t="s">
        <v>29</v>
      </c>
    </row>
    <row r="1221" spans="1:20" x14ac:dyDescent="0.3">
      <c r="A1221" t="s">
        <v>2557</v>
      </c>
      <c r="B1221" t="s">
        <v>144</v>
      </c>
      <c r="C1221" t="s">
        <v>85</v>
      </c>
      <c r="D1221" t="s">
        <v>57</v>
      </c>
      <c r="E1221" t="s">
        <v>58</v>
      </c>
      <c r="F1221" t="s">
        <v>59</v>
      </c>
      <c r="G1221" t="s">
        <v>16</v>
      </c>
      <c r="H1221" t="s">
        <v>5142</v>
      </c>
      <c r="I1221" t="s">
        <v>5143</v>
      </c>
      <c r="J1221">
        <v>207919</v>
      </c>
      <c r="K1221" t="s">
        <v>2558</v>
      </c>
      <c r="L1221" t="s">
        <v>61</v>
      </c>
      <c r="M1221" t="s">
        <v>46</v>
      </c>
      <c r="N1221">
        <v>45628</v>
      </c>
      <c r="O1221">
        <v>758</v>
      </c>
      <c r="P1221" t="s">
        <v>20</v>
      </c>
      <c r="Q1221">
        <v>4</v>
      </c>
      <c r="R1221" t="s">
        <v>40</v>
      </c>
      <c r="S1221" t="s">
        <v>21</v>
      </c>
      <c r="T1221" t="s">
        <v>29</v>
      </c>
    </row>
    <row r="1222" spans="1:20" x14ac:dyDescent="0.3">
      <c r="A1222" t="s">
        <v>2559</v>
      </c>
      <c r="B1222" t="s">
        <v>222</v>
      </c>
      <c r="C1222" t="s">
        <v>125</v>
      </c>
      <c r="D1222" t="s">
        <v>167</v>
      </c>
      <c r="E1222" t="s">
        <v>209</v>
      </c>
      <c r="F1222" t="s">
        <v>210</v>
      </c>
      <c r="G1222" t="s">
        <v>16</v>
      </c>
      <c r="H1222" t="s">
        <v>5140</v>
      </c>
      <c r="I1222" t="s">
        <v>5141</v>
      </c>
      <c r="J1222">
        <v>86485</v>
      </c>
      <c r="K1222" t="s">
        <v>2560</v>
      </c>
      <c r="L1222" t="s">
        <v>113</v>
      </c>
      <c r="M1222" t="s">
        <v>46</v>
      </c>
      <c r="N1222">
        <v>45681</v>
      </c>
      <c r="O1222">
        <v>1057</v>
      </c>
      <c r="P1222" t="s">
        <v>20</v>
      </c>
      <c r="Q1222">
        <v>2</v>
      </c>
      <c r="R1222" t="s">
        <v>5116</v>
      </c>
      <c r="S1222" t="s">
        <v>21</v>
      </c>
      <c r="T1222" t="s">
        <v>20</v>
      </c>
    </row>
    <row r="1223" spans="1:20" x14ac:dyDescent="0.3">
      <c r="A1223" t="s">
        <v>2561</v>
      </c>
      <c r="B1223" t="s">
        <v>218</v>
      </c>
      <c r="C1223" t="s">
        <v>139</v>
      </c>
      <c r="D1223" t="s">
        <v>57</v>
      </c>
      <c r="E1223" t="s">
        <v>5132</v>
      </c>
      <c r="F1223" t="s">
        <v>5125</v>
      </c>
      <c r="G1223" t="s">
        <v>50</v>
      </c>
      <c r="H1223" t="s">
        <v>5142</v>
      </c>
      <c r="I1223" t="s">
        <v>5143</v>
      </c>
      <c r="J1223">
        <v>158365</v>
      </c>
      <c r="K1223" t="s">
        <v>2562</v>
      </c>
      <c r="L1223" t="s">
        <v>18</v>
      </c>
      <c r="M1223" t="s">
        <v>19</v>
      </c>
      <c r="N1223">
        <v>45739</v>
      </c>
      <c r="O1223">
        <v>1142</v>
      </c>
      <c r="P1223" t="s">
        <v>92</v>
      </c>
      <c r="Q1223">
        <v>4</v>
      </c>
      <c r="R1223" t="s">
        <v>52</v>
      </c>
      <c r="S1223" t="s">
        <v>21</v>
      </c>
      <c r="T1223" t="s">
        <v>20</v>
      </c>
    </row>
    <row r="1224" spans="1:20" x14ac:dyDescent="0.3">
      <c r="A1224" t="s">
        <v>2563</v>
      </c>
      <c r="B1224" t="s">
        <v>55</v>
      </c>
      <c r="C1224" t="s">
        <v>219</v>
      </c>
      <c r="D1224" t="s">
        <v>104</v>
      </c>
      <c r="E1224" t="s">
        <v>5131</v>
      </c>
      <c r="F1224" t="s">
        <v>5125</v>
      </c>
      <c r="G1224" t="s">
        <v>16</v>
      </c>
      <c r="H1224" t="s">
        <v>5140</v>
      </c>
      <c r="I1224" t="s">
        <v>5141</v>
      </c>
      <c r="J1224">
        <v>122548</v>
      </c>
      <c r="K1224" t="s">
        <v>2564</v>
      </c>
      <c r="L1224" t="s">
        <v>61</v>
      </c>
      <c r="M1224" t="s">
        <v>46</v>
      </c>
      <c r="N1224">
        <v>45498</v>
      </c>
      <c r="O1224">
        <v>3974</v>
      </c>
      <c r="P1224" t="s">
        <v>92</v>
      </c>
      <c r="Q1224">
        <v>2</v>
      </c>
      <c r="R1224" t="s">
        <v>47</v>
      </c>
      <c r="S1224" t="s">
        <v>21</v>
      </c>
      <c r="T1224" t="s">
        <v>29</v>
      </c>
    </row>
    <row r="1225" spans="1:20" x14ac:dyDescent="0.3">
      <c r="A1225" t="s">
        <v>2565</v>
      </c>
      <c r="B1225" t="s">
        <v>31</v>
      </c>
      <c r="C1225" t="s">
        <v>49</v>
      </c>
      <c r="D1225" t="s">
        <v>44</v>
      </c>
      <c r="E1225" t="s">
        <v>209</v>
      </c>
      <c r="F1225" t="s">
        <v>210</v>
      </c>
      <c r="G1225" t="s">
        <v>36</v>
      </c>
      <c r="H1225" t="s">
        <v>5140</v>
      </c>
      <c r="I1225" t="s">
        <v>5141</v>
      </c>
      <c r="J1225">
        <v>118193</v>
      </c>
      <c r="K1225" t="s">
        <v>2566</v>
      </c>
      <c r="L1225" t="s">
        <v>134</v>
      </c>
      <c r="M1225" t="s">
        <v>72</v>
      </c>
      <c r="N1225">
        <v>45386</v>
      </c>
      <c r="O1225">
        <v>734</v>
      </c>
      <c r="P1225" t="s">
        <v>29</v>
      </c>
      <c r="Q1225">
        <v>2</v>
      </c>
      <c r="R1225" t="s">
        <v>40</v>
      </c>
      <c r="S1225" t="s">
        <v>21</v>
      </c>
      <c r="T1225" t="s">
        <v>20</v>
      </c>
    </row>
    <row r="1226" spans="1:20" x14ac:dyDescent="0.3">
      <c r="A1226" t="s">
        <v>2567</v>
      </c>
      <c r="B1226" t="s">
        <v>78</v>
      </c>
      <c r="C1226" t="s">
        <v>49</v>
      </c>
      <c r="D1226" t="s">
        <v>68</v>
      </c>
      <c r="E1226" t="s">
        <v>193</v>
      </c>
      <c r="F1226" t="s">
        <v>194</v>
      </c>
      <c r="G1226" t="s">
        <v>50</v>
      </c>
      <c r="H1226" t="s">
        <v>5140</v>
      </c>
      <c r="I1226" t="s">
        <v>5141</v>
      </c>
      <c r="J1226">
        <v>106331</v>
      </c>
      <c r="K1226" t="s">
        <v>2568</v>
      </c>
      <c r="L1226" t="s">
        <v>5165</v>
      </c>
      <c r="M1226" t="s">
        <v>46</v>
      </c>
      <c r="N1226">
        <v>45600</v>
      </c>
      <c r="O1226">
        <v>1857</v>
      </c>
      <c r="P1226" t="s">
        <v>20</v>
      </c>
      <c r="Q1226">
        <v>2</v>
      </c>
      <c r="R1226" t="s">
        <v>40</v>
      </c>
      <c r="S1226" t="s">
        <v>53</v>
      </c>
      <c r="T1226" t="s">
        <v>29</v>
      </c>
    </row>
    <row r="1227" spans="1:20" x14ac:dyDescent="0.3">
      <c r="A1227" t="s">
        <v>2569</v>
      </c>
      <c r="B1227" t="s">
        <v>74</v>
      </c>
      <c r="C1227" t="s">
        <v>109</v>
      </c>
      <c r="D1227" t="s">
        <v>33</v>
      </c>
      <c r="E1227" t="s">
        <v>26</v>
      </c>
      <c r="F1227" t="s">
        <v>27</v>
      </c>
      <c r="G1227" t="s">
        <v>16</v>
      </c>
      <c r="H1227" t="s">
        <v>5136</v>
      </c>
      <c r="I1227" t="s">
        <v>5137</v>
      </c>
      <c r="J1227">
        <v>68364</v>
      </c>
      <c r="K1227" t="s">
        <v>2570</v>
      </c>
      <c r="L1227" t="s">
        <v>18</v>
      </c>
      <c r="M1227" t="s">
        <v>19</v>
      </c>
      <c r="N1227">
        <v>45380</v>
      </c>
      <c r="O1227">
        <v>2480</v>
      </c>
      <c r="P1227" t="s">
        <v>20</v>
      </c>
      <c r="Q1227">
        <v>0</v>
      </c>
      <c r="R1227" t="s">
        <v>47</v>
      </c>
      <c r="S1227" t="s">
        <v>41</v>
      </c>
      <c r="T1227" t="s">
        <v>20</v>
      </c>
    </row>
    <row r="1228" spans="1:20" x14ac:dyDescent="0.3">
      <c r="A1228" t="s">
        <v>2571</v>
      </c>
      <c r="B1228" t="s">
        <v>55</v>
      </c>
      <c r="C1228" t="s">
        <v>175</v>
      </c>
      <c r="D1228" t="s">
        <v>57</v>
      </c>
      <c r="E1228" t="s">
        <v>5126</v>
      </c>
      <c r="F1228" t="s">
        <v>5125</v>
      </c>
      <c r="G1228" t="s">
        <v>16</v>
      </c>
      <c r="H1228" t="s">
        <v>5140</v>
      </c>
      <c r="I1228" t="s">
        <v>5141</v>
      </c>
      <c r="J1228">
        <v>110867</v>
      </c>
      <c r="K1228" t="s">
        <v>2572</v>
      </c>
      <c r="L1228" t="s">
        <v>5165</v>
      </c>
      <c r="M1228" t="s">
        <v>72</v>
      </c>
      <c r="N1228">
        <v>45294</v>
      </c>
      <c r="O1228">
        <v>3450</v>
      </c>
      <c r="P1228" t="s">
        <v>20</v>
      </c>
      <c r="Q1228">
        <v>2</v>
      </c>
      <c r="R1228" t="s">
        <v>5116</v>
      </c>
      <c r="S1228" t="s">
        <v>41</v>
      </c>
      <c r="T1228" t="s">
        <v>29</v>
      </c>
    </row>
    <row r="1229" spans="1:20" x14ac:dyDescent="0.3">
      <c r="A1229" t="s">
        <v>2573</v>
      </c>
      <c r="B1229" t="s">
        <v>84</v>
      </c>
      <c r="C1229" t="s">
        <v>151</v>
      </c>
      <c r="D1229" t="s">
        <v>104</v>
      </c>
      <c r="E1229" t="s">
        <v>223</v>
      </c>
      <c r="F1229" t="s">
        <v>224</v>
      </c>
      <c r="G1229" t="s">
        <v>36</v>
      </c>
      <c r="H1229" t="s">
        <v>5136</v>
      </c>
      <c r="I1229" t="s">
        <v>5137</v>
      </c>
      <c r="J1229">
        <v>68147</v>
      </c>
      <c r="K1229" t="s">
        <v>2574</v>
      </c>
      <c r="L1229" t="s">
        <v>87</v>
      </c>
      <c r="M1229" t="s">
        <v>46</v>
      </c>
      <c r="N1229">
        <v>45580</v>
      </c>
      <c r="O1229">
        <v>3701</v>
      </c>
      <c r="P1229" t="s">
        <v>20</v>
      </c>
      <c r="Q1229">
        <v>0</v>
      </c>
      <c r="R1229" t="s">
        <v>76</v>
      </c>
      <c r="S1229" t="s">
        <v>21</v>
      </c>
      <c r="T1229" t="s">
        <v>29</v>
      </c>
    </row>
    <row r="1230" spans="1:20" x14ac:dyDescent="0.3">
      <c r="A1230" t="s">
        <v>2575</v>
      </c>
      <c r="B1230" t="s">
        <v>78</v>
      </c>
      <c r="C1230" t="s">
        <v>24</v>
      </c>
      <c r="D1230" t="s">
        <v>104</v>
      </c>
      <c r="E1230" t="s">
        <v>5124</v>
      </c>
      <c r="F1230" t="s">
        <v>5125</v>
      </c>
      <c r="G1230" t="s">
        <v>50</v>
      </c>
      <c r="H1230" t="s">
        <v>5138</v>
      </c>
      <c r="I1230" t="s">
        <v>5139</v>
      </c>
      <c r="J1230">
        <v>234699</v>
      </c>
      <c r="K1230" t="s">
        <v>2576</v>
      </c>
      <c r="L1230" t="s">
        <v>179</v>
      </c>
      <c r="M1230" t="s">
        <v>72</v>
      </c>
      <c r="N1230">
        <v>45488</v>
      </c>
      <c r="O1230">
        <v>237</v>
      </c>
      <c r="P1230" t="s">
        <v>20</v>
      </c>
      <c r="Q1230">
        <v>6</v>
      </c>
      <c r="R1230" t="s">
        <v>47</v>
      </c>
      <c r="S1230" t="s">
        <v>21</v>
      </c>
      <c r="T1230" t="s">
        <v>29</v>
      </c>
    </row>
    <row r="1231" spans="1:20" x14ac:dyDescent="0.3">
      <c r="A1231" t="s">
        <v>2577</v>
      </c>
      <c r="B1231" t="s">
        <v>136</v>
      </c>
      <c r="C1231" t="s">
        <v>49</v>
      </c>
      <c r="D1231" t="s">
        <v>118</v>
      </c>
      <c r="E1231" t="s">
        <v>5131</v>
      </c>
      <c r="F1231" t="s">
        <v>5125</v>
      </c>
      <c r="G1231" t="s">
        <v>16</v>
      </c>
      <c r="H1231" t="s">
        <v>5138</v>
      </c>
      <c r="I1231" t="s">
        <v>5139</v>
      </c>
      <c r="J1231">
        <v>279578</v>
      </c>
      <c r="K1231" t="s">
        <v>2578</v>
      </c>
      <c r="L1231" t="s">
        <v>5165</v>
      </c>
      <c r="M1231" t="s">
        <v>72</v>
      </c>
      <c r="N1231">
        <v>45701</v>
      </c>
      <c r="O1231">
        <v>2668</v>
      </c>
      <c r="P1231" t="s">
        <v>92</v>
      </c>
      <c r="Q1231">
        <v>6</v>
      </c>
      <c r="R1231" t="s">
        <v>40</v>
      </c>
      <c r="S1231" t="s">
        <v>21</v>
      </c>
      <c r="T1231" t="s">
        <v>29</v>
      </c>
    </row>
    <row r="1232" spans="1:20" x14ac:dyDescent="0.3">
      <c r="A1232" t="s">
        <v>2579</v>
      </c>
      <c r="B1232" t="s">
        <v>144</v>
      </c>
      <c r="C1232" t="s">
        <v>13</v>
      </c>
      <c r="D1232" t="s">
        <v>104</v>
      </c>
      <c r="E1232" t="s">
        <v>152</v>
      </c>
      <c r="F1232" t="s">
        <v>153</v>
      </c>
      <c r="G1232" t="s">
        <v>36</v>
      </c>
      <c r="H1232" t="s">
        <v>5136</v>
      </c>
      <c r="I1232" t="s">
        <v>5137</v>
      </c>
      <c r="J1232">
        <v>62975</v>
      </c>
      <c r="K1232" t="s">
        <v>2580</v>
      </c>
      <c r="L1232" t="s">
        <v>87</v>
      </c>
      <c r="M1232" t="s">
        <v>46</v>
      </c>
      <c r="N1232">
        <v>45417</v>
      </c>
      <c r="O1232">
        <v>636</v>
      </c>
      <c r="P1232" t="s">
        <v>20</v>
      </c>
      <c r="Q1232">
        <v>0</v>
      </c>
      <c r="R1232" t="s">
        <v>40</v>
      </c>
      <c r="S1232" t="s">
        <v>53</v>
      </c>
      <c r="T1232" t="s">
        <v>29</v>
      </c>
    </row>
    <row r="1233" spans="1:20" x14ac:dyDescent="0.3">
      <c r="A1233" t="s">
        <v>2581</v>
      </c>
      <c r="B1233" t="s">
        <v>84</v>
      </c>
      <c r="C1233" t="s">
        <v>24</v>
      </c>
      <c r="D1233" t="s">
        <v>140</v>
      </c>
      <c r="E1233" t="s">
        <v>152</v>
      </c>
      <c r="F1233" t="s">
        <v>153</v>
      </c>
      <c r="G1233" t="s">
        <v>16</v>
      </c>
      <c r="H1233" t="s">
        <v>5142</v>
      </c>
      <c r="I1233" t="s">
        <v>5143</v>
      </c>
      <c r="J1233">
        <v>113015</v>
      </c>
      <c r="K1233" t="s">
        <v>2582</v>
      </c>
      <c r="L1233" t="s">
        <v>18</v>
      </c>
      <c r="M1233" t="s">
        <v>19</v>
      </c>
      <c r="N1233">
        <v>45655</v>
      </c>
      <c r="O1233">
        <v>2042</v>
      </c>
      <c r="P1233" t="s">
        <v>20</v>
      </c>
      <c r="Q1233">
        <v>4</v>
      </c>
      <c r="R1233" t="s">
        <v>47</v>
      </c>
      <c r="S1233" t="s">
        <v>21</v>
      </c>
      <c r="T1233" t="s">
        <v>29</v>
      </c>
    </row>
    <row r="1234" spans="1:20" x14ac:dyDescent="0.3">
      <c r="A1234" t="s">
        <v>2583</v>
      </c>
      <c r="B1234" t="s">
        <v>218</v>
      </c>
      <c r="C1234" t="s">
        <v>100</v>
      </c>
      <c r="D1234" t="s">
        <v>104</v>
      </c>
      <c r="E1234" t="s">
        <v>26</v>
      </c>
      <c r="F1234" t="s">
        <v>27</v>
      </c>
      <c r="G1234" t="s">
        <v>16</v>
      </c>
      <c r="H1234" t="s">
        <v>5136</v>
      </c>
      <c r="I1234" t="s">
        <v>5137</v>
      </c>
      <c r="J1234">
        <v>68887</v>
      </c>
      <c r="K1234" t="s">
        <v>2584</v>
      </c>
      <c r="L1234" t="s">
        <v>5165</v>
      </c>
      <c r="M1234" t="s">
        <v>46</v>
      </c>
      <c r="N1234">
        <v>45679</v>
      </c>
      <c r="O1234">
        <v>2429</v>
      </c>
      <c r="P1234" t="s">
        <v>29</v>
      </c>
      <c r="Q1234">
        <v>0</v>
      </c>
      <c r="R1234" t="s">
        <v>52</v>
      </c>
      <c r="S1234" t="s">
        <v>21</v>
      </c>
      <c r="T1234" t="s">
        <v>20</v>
      </c>
    </row>
    <row r="1235" spans="1:20" x14ac:dyDescent="0.3">
      <c r="A1235" t="s">
        <v>2585</v>
      </c>
      <c r="B1235" t="s">
        <v>99</v>
      </c>
      <c r="C1235" t="s">
        <v>185</v>
      </c>
      <c r="D1235" t="s">
        <v>140</v>
      </c>
      <c r="E1235" t="s">
        <v>95</v>
      </c>
      <c r="F1235" t="s">
        <v>96</v>
      </c>
      <c r="G1235" t="s">
        <v>50</v>
      </c>
      <c r="H1235" t="s">
        <v>5142</v>
      </c>
      <c r="I1235" t="s">
        <v>5143</v>
      </c>
      <c r="J1235">
        <v>219652</v>
      </c>
      <c r="K1235" t="s">
        <v>2586</v>
      </c>
      <c r="L1235" t="s">
        <v>113</v>
      </c>
      <c r="M1235" t="s">
        <v>19</v>
      </c>
      <c r="N1235">
        <v>45728</v>
      </c>
      <c r="O1235">
        <v>1713</v>
      </c>
      <c r="P1235" t="s">
        <v>92</v>
      </c>
      <c r="Q1235">
        <v>4</v>
      </c>
      <c r="R1235" t="s">
        <v>47</v>
      </c>
      <c r="S1235" t="s">
        <v>21</v>
      </c>
      <c r="T1235" t="s">
        <v>29</v>
      </c>
    </row>
    <row r="1236" spans="1:20" x14ac:dyDescent="0.3">
      <c r="A1236" t="s">
        <v>2587</v>
      </c>
      <c r="B1236" t="s">
        <v>144</v>
      </c>
      <c r="C1236" t="s">
        <v>219</v>
      </c>
      <c r="D1236" t="s">
        <v>44</v>
      </c>
      <c r="E1236" t="s">
        <v>5131</v>
      </c>
      <c r="F1236" t="s">
        <v>5125</v>
      </c>
      <c r="G1236" t="s">
        <v>16</v>
      </c>
      <c r="H1236" t="s">
        <v>5138</v>
      </c>
      <c r="I1236" t="s">
        <v>5139</v>
      </c>
      <c r="J1236">
        <v>171067</v>
      </c>
      <c r="K1236" t="s">
        <v>2588</v>
      </c>
      <c r="L1236" t="s">
        <v>5165</v>
      </c>
      <c r="M1236" t="s">
        <v>46</v>
      </c>
      <c r="N1236">
        <v>45690</v>
      </c>
      <c r="O1236">
        <v>3946</v>
      </c>
      <c r="P1236" t="s">
        <v>20</v>
      </c>
      <c r="Q1236">
        <v>6</v>
      </c>
      <c r="R1236" t="s">
        <v>76</v>
      </c>
      <c r="S1236" t="s">
        <v>21</v>
      </c>
      <c r="T1236" t="s">
        <v>29</v>
      </c>
    </row>
    <row r="1237" spans="1:20" x14ac:dyDescent="0.3">
      <c r="A1237" t="s">
        <v>2589</v>
      </c>
      <c r="B1237" t="s">
        <v>218</v>
      </c>
      <c r="C1237" t="s">
        <v>100</v>
      </c>
      <c r="D1237" t="s">
        <v>44</v>
      </c>
      <c r="E1237" t="s">
        <v>80</v>
      </c>
      <c r="F1237" t="s">
        <v>80</v>
      </c>
      <c r="G1237" t="s">
        <v>50</v>
      </c>
      <c r="H1237" t="s">
        <v>5138</v>
      </c>
      <c r="I1237" t="s">
        <v>5139</v>
      </c>
      <c r="J1237">
        <v>259008</v>
      </c>
      <c r="K1237" t="s">
        <v>2590</v>
      </c>
      <c r="L1237" t="s">
        <v>87</v>
      </c>
      <c r="M1237" t="s">
        <v>39</v>
      </c>
      <c r="N1237">
        <v>45310</v>
      </c>
      <c r="O1237">
        <v>1324</v>
      </c>
      <c r="P1237" t="s">
        <v>92</v>
      </c>
      <c r="Q1237">
        <v>6</v>
      </c>
      <c r="R1237" t="s">
        <v>52</v>
      </c>
      <c r="S1237" t="s">
        <v>21</v>
      </c>
      <c r="T1237" t="s">
        <v>20</v>
      </c>
    </row>
    <row r="1238" spans="1:20" x14ac:dyDescent="0.3">
      <c r="A1238" t="s">
        <v>2591</v>
      </c>
      <c r="B1238" t="s">
        <v>78</v>
      </c>
      <c r="C1238" t="s">
        <v>117</v>
      </c>
      <c r="D1238" t="s">
        <v>5156</v>
      </c>
      <c r="E1238" t="s">
        <v>5133</v>
      </c>
      <c r="F1238" t="s">
        <v>5125</v>
      </c>
      <c r="G1238" t="s">
        <v>16</v>
      </c>
      <c r="H1238" t="s">
        <v>5138</v>
      </c>
      <c r="I1238" t="s">
        <v>5139</v>
      </c>
      <c r="J1238">
        <v>260397</v>
      </c>
      <c r="K1238" t="s">
        <v>2592</v>
      </c>
      <c r="L1238" t="s">
        <v>82</v>
      </c>
      <c r="M1238" t="s">
        <v>19</v>
      </c>
      <c r="N1238">
        <v>45633</v>
      </c>
      <c r="O1238">
        <v>3664</v>
      </c>
      <c r="P1238" t="s">
        <v>20</v>
      </c>
      <c r="Q1238">
        <v>6</v>
      </c>
      <c r="R1238" t="s">
        <v>5116</v>
      </c>
      <c r="S1238" t="s">
        <v>53</v>
      </c>
      <c r="T1238" t="s">
        <v>29</v>
      </c>
    </row>
    <row r="1239" spans="1:20" x14ac:dyDescent="0.3">
      <c r="A1239" t="s">
        <v>2593</v>
      </c>
      <c r="B1239" t="s">
        <v>74</v>
      </c>
      <c r="C1239" t="s">
        <v>151</v>
      </c>
      <c r="D1239" t="s">
        <v>68</v>
      </c>
      <c r="E1239" t="s">
        <v>126</v>
      </c>
      <c r="F1239" t="s">
        <v>127</v>
      </c>
      <c r="G1239" t="s">
        <v>16</v>
      </c>
      <c r="H1239" t="s">
        <v>5136</v>
      </c>
      <c r="I1239" t="s">
        <v>5137</v>
      </c>
      <c r="J1239">
        <v>63024</v>
      </c>
      <c r="K1239" t="s">
        <v>2594</v>
      </c>
      <c r="L1239" t="s">
        <v>142</v>
      </c>
      <c r="M1239" t="s">
        <v>19</v>
      </c>
      <c r="N1239">
        <v>45301</v>
      </c>
      <c r="O1239">
        <v>2420</v>
      </c>
      <c r="P1239" t="s">
        <v>20</v>
      </c>
      <c r="Q1239">
        <v>0</v>
      </c>
      <c r="R1239" t="s">
        <v>47</v>
      </c>
      <c r="S1239" t="s">
        <v>53</v>
      </c>
      <c r="T1239" t="s">
        <v>20</v>
      </c>
    </row>
    <row r="1240" spans="1:20" x14ac:dyDescent="0.3">
      <c r="A1240" t="s">
        <v>2595</v>
      </c>
      <c r="B1240" t="s">
        <v>222</v>
      </c>
      <c r="C1240" t="s">
        <v>67</v>
      </c>
      <c r="D1240" t="s">
        <v>68</v>
      </c>
      <c r="E1240" t="s">
        <v>69</v>
      </c>
      <c r="F1240" t="s">
        <v>70</v>
      </c>
      <c r="G1240" t="s">
        <v>16</v>
      </c>
      <c r="H1240" t="s">
        <v>5140</v>
      </c>
      <c r="I1240" t="s">
        <v>5141</v>
      </c>
      <c r="J1240">
        <v>121265</v>
      </c>
      <c r="K1240" t="s">
        <v>2596</v>
      </c>
      <c r="L1240" t="s">
        <v>5165</v>
      </c>
      <c r="M1240" t="s">
        <v>19</v>
      </c>
      <c r="N1240">
        <v>45712</v>
      </c>
      <c r="O1240">
        <v>1327</v>
      </c>
      <c r="P1240" t="s">
        <v>29</v>
      </c>
      <c r="Q1240">
        <v>2</v>
      </c>
      <c r="R1240" t="s">
        <v>40</v>
      </c>
      <c r="S1240" t="s">
        <v>21</v>
      </c>
      <c r="T1240" t="s">
        <v>20</v>
      </c>
    </row>
    <row r="1241" spans="1:20" x14ac:dyDescent="0.3">
      <c r="A1241" t="s">
        <v>2597</v>
      </c>
      <c r="B1241" t="s">
        <v>74</v>
      </c>
      <c r="C1241" t="s">
        <v>188</v>
      </c>
      <c r="D1241" t="s">
        <v>57</v>
      </c>
      <c r="E1241" t="s">
        <v>209</v>
      </c>
      <c r="F1241" t="s">
        <v>210</v>
      </c>
      <c r="G1241" t="s">
        <v>16</v>
      </c>
      <c r="H1241" t="s">
        <v>5138</v>
      </c>
      <c r="I1241" t="s">
        <v>5139</v>
      </c>
      <c r="J1241">
        <v>258622</v>
      </c>
      <c r="K1241" t="s">
        <v>2598</v>
      </c>
      <c r="L1241" t="s">
        <v>238</v>
      </c>
      <c r="M1241" t="s">
        <v>19</v>
      </c>
      <c r="N1241">
        <v>45396</v>
      </c>
      <c r="O1241">
        <v>2070</v>
      </c>
      <c r="P1241" t="s">
        <v>92</v>
      </c>
      <c r="Q1241">
        <v>6</v>
      </c>
      <c r="R1241" t="s">
        <v>5116</v>
      </c>
      <c r="S1241" t="s">
        <v>53</v>
      </c>
      <c r="T1241" t="s">
        <v>20</v>
      </c>
    </row>
    <row r="1242" spans="1:20" x14ac:dyDescent="0.3">
      <c r="A1242" t="s">
        <v>2599</v>
      </c>
      <c r="B1242" t="s">
        <v>89</v>
      </c>
      <c r="C1242" t="s">
        <v>103</v>
      </c>
      <c r="D1242" t="s">
        <v>68</v>
      </c>
      <c r="E1242" t="s">
        <v>69</v>
      </c>
      <c r="F1242" t="s">
        <v>70</v>
      </c>
      <c r="G1242" t="s">
        <v>36</v>
      </c>
      <c r="H1242" t="s">
        <v>5136</v>
      </c>
      <c r="I1242" t="s">
        <v>5137</v>
      </c>
      <c r="J1242">
        <v>65222</v>
      </c>
      <c r="K1242" t="s">
        <v>2600</v>
      </c>
      <c r="L1242" t="s">
        <v>18</v>
      </c>
      <c r="M1242" t="s">
        <v>39</v>
      </c>
      <c r="N1242">
        <v>45601</v>
      </c>
      <c r="O1242">
        <v>3555</v>
      </c>
      <c r="P1242" t="s">
        <v>29</v>
      </c>
      <c r="Q1242">
        <v>0</v>
      </c>
      <c r="R1242" t="s">
        <v>5116</v>
      </c>
      <c r="S1242" t="s">
        <v>21</v>
      </c>
      <c r="T1242" t="s">
        <v>20</v>
      </c>
    </row>
    <row r="1243" spans="1:20" x14ac:dyDescent="0.3">
      <c r="A1243" t="s">
        <v>2601</v>
      </c>
      <c r="B1243" t="s">
        <v>55</v>
      </c>
      <c r="C1243" t="s">
        <v>85</v>
      </c>
      <c r="D1243" t="s">
        <v>118</v>
      </c>
      <c r="E1243" t="s">
        <v>5126</v>
      </c>
      <c r="F1243" t="s">
        <v>5125</v>
      </c>
      <c r="G1243" t="s">
        <v>16</v>
      </c>
      <c r="H1243" t="s">
        <v>5138</v>
      </c>
      <c r="I1243" t="s">
        <v>5139</v>
      </c>
      <c r="J1243">
        <v>192671</v>
      </c>
      <c r="K1243" t="s">
        <v>2602</v>
      </c>
      <c r="L1243" t="s">
        <v>5165</v>
      </c>
      <c r="M1243" t="s">
        <v>46</v>
      </c>
      <c r="N1243">
        <v>45463</v>
      </c>
      <c r="O1243">
        <v>2443</v>
      </c>
      <c r="P1243" t="s">
        <v>20</v>
      </c>
      <c r="Q1243">
        <v>6</v>
      </c>
      <c r="R1243" t="s">
        <v>5116</v>
      </c>
      <c r="S1243" t="s">
        <v>21</v>
      </c>
      <c r="T1243" t="s">
        <v>20</v>
      </c>
    </row>
    <row r="1244" spans="1:20" x14ac:dyDescent="0.3">
      <c r="A1244" t="s">
        <v>2603</v>
      </c>
      <c r="B1244" t="s">
        <v>215</v>
      </c>
      <c r="C1244" t="s">
        <v>172</v>
      </c>
      <c r="D1244" t="s">
        <v>57</v>
      </c>
      <c r="E1244" t="s">
        <v>5132</v>
      </c>
      <c r="F1244" t="s">
        <v>5125</v>
      </c>
      <c r="G1244" t="s">
        <v>16</v>
      </c>
      <c r="H1244" t="s">
        <v>5140</v>
      </c>
      <c r="I1244" t="s">
        <v>5141</v>
      </c>
      <c r="J1244">
        <v>98482</v>
      </c>
      <c r="K1244" t="s">
        <v>2604</v>
      </c>
      <c r="L1244" t="s">
        <v>5165</v>
      </c>
      <c r="M1244" t="s">
        <v>39</v>
      </c>
      <c r="N1244">
        <v>45599</v>
      </c>
      <c r="O1244">
        <v>3547</v>
      </c>
      <c r="P1244" t="s">
        <v>20</v>
      </c>
      <c r="Q1244">
        <v>2</v>
      </c>
      <c r="R1244" t="s">
        <v>47</v>
      </c>
      <c r="S1244" t="s">
        <v>53</v>
      </c>
      <c r="T1244" t="s">
        <v>20</v>
      </c>
    </row>
    <row r="1245" spans="1:20" x14ac:dyDescent="0.3">
      <c r="A1245" t="s">
        <v>2605</v>
      </c>
      <c r="B1245" t="s">
        <v>63</v>
      </c>
      <c r="C1245" t="s">
        <v>32</v>
      </c>
      <c r="D1245" t="s">
        <v>25</v>
      </c>
      <c r="E1245" t="s">
        <v>5128</v>
      </c>
      <c r="F1245" t="s">
        <v>5125</v>
      </c>
      <c r="G1245" t="s">
        <v>16</v>
      </c>
      <c r="H1245" t="s">
        <v>5138</v>
      </c>
      <c r="I1245" t="s">
        <v>5139</v>
      </c>
      <c r="J1245">
        <v>163468</v>
      </c>
      <c r="K1245" t="s">
        <v>2606</v>
      </c>
      <c r="L1245" t="s">
        <v>238</v>
      </c>
      <c r="M1245" t="s">
        <v>46</v>
      </c>
      <c r="N1245">
        <v>45673</v>
      </c>
      <c r="O1245">
        <v>3302</v>
      </c>
      <c r="P1245" t="s">
        <v>20</v>
      </c>
      <c r="Q1245">
        <v>6</v>
      </c>
      <c r="R1245" t="s">
        <v>52</v>
      </c>
      <c r="S1245" t="s">
        <v>21</v>
      </c>
      <c r="T1245" t="s">
        <v>29</v>
      </c>
    </row>
    <row r="1246" spans="1:20" x14ac:dyDescent="0.3">
      <c r="A1246" t="s">
        <v>2607</v>
      </c>
      <c r="B1246" t="s">
        <v>84</v>
      </c>
      <c r="C1246" t="s">
        <v>172</v>
      </c>
      <c r="D1246" t="s">
        <v>5156</v>
      </c>
      <c r="E1246" t="s">
        <v>193</v>
      </c>
      <c r="F1246" t="s">
        <v>194</v>
      </c>
      <c r="G1246" t="s">
        <v>16</v>
      </c>
      <c r="H1246" t="s">
        <v>5142</v>
      </c>
      <c r="I1246" t="s">
        <v>5143</v>
      </c>
      <c r="J1246">
        <v>132469</v>
      </c>
      <c r="K1246" t="s">
        <v>2608</v>
      </c>
      <c r="L1246" t="s">
        <v>87</v>
      </c>
      <c r="M1246" t="s">
        <v>19</v>
      </c>
      <c r="N1246">
        <v>45293</v>
      </c>
      <c r="O1246">
        <v>3339</v>
      </c>
      <c r="P1246" t="s">
        <v>20</v>
      </c>
      <c r="Q1246">
        <v>4</v>
      </c>
      <c r="R1246" t="s">
        <v>52</v>
      </c>
      <c r="S1246" t="s">
        <v>21</v>
      </c>
      <c r="T1246" t="s">
        <v>20</v>
      </c>
    </row>
    <row r="1247" spans="1:20" x14ac:dyDescent="0.3">
      <c r="A1247" t="s">
        <v>2609</v>
      </c>
      <c r="B1247" t="s">
        <v>124</v>
      </c>
      <c r="C1247" t="s">
        <v>13</v>
      </c>
      <c r="D1247" t="s">
        <v>5156</v>
      </c>
      <c r="E1247" t="s">
        <v>5127</v>
      </c>
      <c r="F1247" t="s">
        <v>5125</v>
      </c>
      <c r="G1247" t="s">
        <v>16</v>
      </c>
      <c r="H1247" t="s">
        <v>5138</v>
      </c>
      <c r="I1247" t="s">
        <v>5139</v>
      </c>
      <c r="J1247">
        <v>155938</v>
      </c>
      <c r="K1247" t="s">
        <v>2610</v>
      </c>
      <c r="L1247" t="s">
        <v>238</v>
      </c>
      <c r="M1247" t="s">
        <v>46</v>
      </c>
      <c r="N1247">
        <v>45708</v>
      </c>
      <c r="O1247">
        <v>3003</v>
      </c>
      <c r="P1247" t="s">
        <v>20</v>
      </c>
      <c r="Q1247">
        <v>6</v>
      </c>
      <c r="R1247" t="s">
        <v>5116</v>
      </c>
      <c r="S1247" t="s">
        <v>21</v>
      </c>
      <c r="T1247" t="s">
        <v>29</v>
      </c>
    </row>
    <row r="1248" spans="1:20" x14ac:dyDescent="0.3">
      <c r="A1248" t="s">
        <v>2611</v>
      </c>
      <c r="B1248" t="s">
        <v>144</v>
      </c>
      <c r="C1248" t="s">
        <v>90</v>
      </c>
      <c r="D1248" t="s">
        <v>5156</v>
      </c>
      <c r="E1248" t="s">
        <v>5132</v>
      </c>
      <c r="F1248" t="s">
        <v>5125</v>
      </c>
      <c r="G1248" t="s">
        <v>50</v>
      </c>
      <c r="H1248" t="s">
        <v>5136</v>
      </c>
      <c r="I1248" t="s">
        <v>5137</v>
      </c>
      <c r="J1248">
        <v>70429</v>
      </c>
      <c r="K1248" t="s">
        <v>2612</v>
      </c>
      <c r="L1248" t="s">
        <v>238</v>
      </c>
      <c r="M1248" t="s">
        <v>19</v>
      </c>
      <c r="N1248">
        <v>45592</v>
      </c>
      <c r="O1248">
        <v>105</v>
      </c>
      <c r="P1248" t="s">
        <v>20</v>
      </c>
      <c r="Q1248">
        <v>0</v>
      </c>
      <c r="R1248" t="s">
        <v>40</v>
      </c>
      <c r="S1248" t="s">
        <v>21</v>
      </c>
      <c r="T1248" t="s">
        <v>29</v>
      </c>
    </row>
    <row r="1249" spans="1:20" x14ac:dyDescent="0.3">
      <c r="A1249" t="s">
        <v>2613</v>
      </c>
      <c r="B1249" t="s">
        <v>165</v>
      </c>
      <c r="C1249" t="s">
        <v>49</v>
      </c>
      <c r="D1249" t="s">
        <v>5156</v>
      </c>
      <c r="E1249" t="s">
        <v>193</v>
      </c>
      <c r="F1249" t="s">
        <v>194</v>
      </c>
      <c r="G1249" t="s">
        <v>36</v>
      </c>
      <c r="H1249" t="s">
        <v>5142</v>
      </c>
      <c r="I1249" t="s">
        <v>5143</v>
      </c>
      <c r="J1249">
        <v>129210</v>
      </c>
      <c r="K1249" t="s">
        <v>2614</v>
      </c>
      <c r="L1249" t="s">
        <v>5165</v>
      </c>
      <c r="M1249" t="s">
        <v>19</v>
      </c>
      <c r="N1249">
        <v>45597</v>
      </c>
      <c r="O1249">
        <v>1772</v>
      </c>
      <c r="P1249" t="s">
        <v>29</v>
      </c>
      <c r="Q1249">
        <v>4</v>
      </c>
      <c r="R1249" t="s">
        <v>52</v>
      </c>
      <c r="S1249" t="s">
        <v>21</v>
      </c>
      <c r="T1249" t="s">
        <v>20</v>
      </c>
    </row>
    <row r="1250" spans="1:20" x14ac:dyDescent="0.3">
      <c r="A1250" t="s">
        <v>2615</v>
      </c>
      <c r="B1250" t="s">
        <v>89</v>
      </c>
      <c r="C1250" t="s">
        <v>232</v>
      </c>
      <c r="D1250" t="s">
        <v>167</v>
      </c>
      <c r="E1250" t="s">
        <v>5124</v>
      </c>
      <c r="F1250" t="s">
        <v>5125</v>
      </c>
      <c r="G1250" t="s">
        <v>16</v>
      </c>
      <c r="H1250" t="s">
        <v>5142</v>
      </c>
      <c r="I1250" t="s">
        <v>5143</v>
      </c>
      <c r="J1250">
        <v>156312</v>
      </c>
      <c r="K1250" t="s">
        <v>2616</v>
      </c>
      <c r="L1250" t="s">
        <v>113</v>
      </c>
      <c r="M1250" t="s">
        <v>19</v>
      </c>
      <c r="N1250">
        <v>45431</v>
      </c>
      <c r="O1250">
        <v>519</v>
      </c>
      <c r="P1250" t="s">
        <v>20</v>
      </c>
      <c r="Q1250">
        <v>4</v>
      </c>
      <c r="R1250" t="s">
        <v>76</v>
      </c>
      <c r="S1250" t="s">
        <v>21</v>
      </c>
      <c r="T1250" t="s">
        <v>20</v>
      </c>
    </row>
    <row r="1251" spans="1:20" x14ac:dyDescent="0.3">
      <c r="A1251" t="s">
        <v>2617</v>
      </c>
      <c r="B1251" t="s">
        <v>130</v>
      </c>
      <c r="C1251" t="s">
        <v>202</v>
      </c>
      <c r="D1251" t="s">
        <v>44</v>
      </c>
      <c r="E1251" t="s">
        <v>5133</v>
      </c>
      <c r="F1251" t="s">
        <v>5125</v>
      </c>
      <c r="G1251" t="s">
        <v>36</v>
      </c>
      <c r="H1251" t="s">
        <v>5142</v>
      </c>
      <c r="I1251" t="s">
        <v>5143</v>
      </c>
      <c r="J1251">
        <v>107990</v>
      </c>
      <c r="K1251" t="s">
        <v>2618</v>
      </c>
      <c r="L1251" t="s">
        <v>38</v>
      </c>
      <c r="M1251" t="s">
        <v>46</v>
      </c>
      <c r="N1251">
        <v>45437</v>
      </c>
      <c r="O1251">
        <v>224</v>
      </c>
      <c r="P1251" t="s">
        <v>20</v>
      </c>
      <c r="Q1251">
        <v>4</v>
      </c>
      <c r="R1251" t="s">
        <v>52</v>
      </c>
      <c r="S1251" t="s">
        <v>21</v>
      </c>
      <c r="T1251" t="s">
        <v>29</v>
      </c>
    </row>
    <row r="1252" spans="1:20" x14ac:dyDescent="0.3">
      <c r="A1252" t="s">
        <v>2619</v>
      </c>
      <c r="B1252" t="s">
        <v>322</v>
      </c>
      <c r="C1252" t="s">
        <v>79</v>
      </c>
      <c r="D1252" t="s">
        <v>140</v>
      </c>
      <c r="E1252" t="s">
        <v>5131</v>
      </c>
      <c r="F1252" t="s">
        <v>5125</v>
      </c>
      <c r="G1252" t="s">
        <v>50</v>
      </c>
      <c r="H1252" t="s">
        <v>5136</v>
      </c>
      <c r="I1252" t="s">
        <v>5137</v>
      </c>
      <c r="J1252">
        <v>74169</v>
      </c>
      <c r="K1252" t="s">
        <v>2620</v>
      </c>
      <c r="L1252" t="s">
        <v>134</v>
      </c>
      <c r="M1252" t="s">
        <v>19</v>
      </c>
      <c r="N1252">
        <v>45450</v>
      </c>
      <c r="O1252">
        <v>1457</v>
      </c>
      <c r="P1252" t="s">
        <v>20</v>
      </c>
      <c r="Q1252">
        <v>0</v>
      </c>
      <c r="R1252" t="s">
        <v>5116</v>
      </c>
      <c r="S1252" t="s">
        <v>21</v>
      </c>
      <c r="T1252" t="s">
        <v>29</v>
      </c>
    </row>
    <row r="1253" spans="1:20" x14ac:dyDescent="0.3">
      <c r="A1253" t="s">
        <v>2621</v>
      </c>
      <c r="B1253" t="s">
        <v>63</v>
      </c>
      <c r="C1253" t="s">
        <v>24</v>
      </c>
      <c r="D1253" t="s">
        <v>140</v>
      </c>
      <c r="E1253" t="s">
        <v>80</v>
      </c>
      <c r="F1253" t="s">
        <v>80</v>
      </c>
      <c r="G1253" t="s">
        <v>36</v>
      </c>
      <c r="H1253" t="s">
        <v>5142</v>
      </c>
      <c r="I1253" t="s">
        <v>5143</v>
      </c>
      <c r="J1253">
        <v>172505</v>
      </c>
      <c r="K1253" t="s">
        <v>2622</v>
      </c>
      <c r="L1253" t="s">
        <v>142</v>
      </c>
      <c r="M1253" t="s">
        <v>19</v>
      </c>
      <c r="N1253">
        <v>45326</v>
      </c>
      <c r="O1253">
        <v>1812</v>
      </c>
      <c r="P1253" t="s">
        <v>20</v>
      </c>
      <c r="Q1253">
        <v>4</v>
      </c>
      <c r="R1253" t="s">
        <v>40</v>
      </c>
      <c r="S1253" t="s">
        <v>21</v>
      </c>
      <c r="T1253" t="s">
        <v>29</v>
      </c>
    </row>
    <row r="1254" spans="1:20" x14ac:dyDescent="0.3">
      <c r="A1254" t="s">
        <v>2623</v>
      </c>
      <c r="B1254" t="s">
        <v>63</v>
      </c>
      <c r="C1254" t="s">
        <v>219</v>
      </c>
      <c r="D1254" t="s">
        <v>33</v>
      </c>
      <c r="E1254" t="s">
        <v>26</v>
      </c>
      <c r="F1254" t="s">
        <v>27</v>
      </c>
      <c r="G1254" t="s">
        <v>36</v>
      </c>
      <c r="H1254" t="s">
        <v>5140</v>
      </c>
      <c r="I1254" t="s">
        <v>5141</v>
      </c>
      <c r="J1254">
        <v>70524</v>
      </c>
      <c r="K1254" t="s">
        <v>2624</v>
      </c>
      <c r="L1254" t="s">
        <v>5165</v>
      </c>
      <c r="M1254" t="s">
        <v>19</v>
      </c>
      <c r="N1254">
        <v>45449</v>
      </c>
      <c r="O1254">
        <v>2854</v>
      </c>
      <c r="P1254" t="s">
        <v>92</v>
      </c>
      <c r="Q1254">
        <v>2</v>
      </c>
      <c r="R1254" t="s">
        <v>52</v>
      </c>
      <c r="S1254" t="s">
        <v>21</v>
      </c>
      <c r="T1254" t="s">
        <v>29</v>
      </c>
    </row>
    <row r="1255" spans="1:20" x14ac:dyDescent="0.3">
      <c r="A1255" t="s">
        <v>2625</v>
      </c>
      <c r="B1255" t="s">
        <v>165</v>
      </c>
      <c r="C1255" t="s">
        <v>49</v>
      </c>
      <c r="D1255" t="s">
        <v>104</v>
      </c>
      <c r="E1255" t="s">
        <v>193</v>
      </c>
      <c r="F1255" t="s">
        <v>194</v>
      </c>
      <c r="G1255" t="s">
        <v>50</v>
      </c>
      <c r="H1255" t="s">
        <v>5136</v>
      </c>
      <c r="I1255" t="s">
        <v>5137</v>
      </c>
      <c r="J1255">
        <v>74713</v>
      </c>
      <c r="K1255" t="s">
        <v>2626</v>
      </c>
      <c r="L1255" t="s">
        <v>5165</v>
      </c>
      <c r="M1255" t="s">
        <v>19</v>
      </c>
      <c r="N1255">
        <v>45332</v>
      </c>
      <c r="O1255">
        <v>1600</v>
      </c>
      <c r="P1255" t="s">
        <v>92</v>
      </c>
      <c r="Q1255">
        <v>0</v>
      </c>
      <c r="R1255" t="s">
        <v>76</v>
      </c>
      <c r="S1255" t="s">
        <v>21</v>
      </c>
      <c r="T1255" t="s">
        <v>20</v>
      </c>
    </row>
    <row r="1256" spans="1:20" x14ac:dyDescent="0.3">
      <c r="A1256" t="s">
        <v>2627</v>
      </c>
      <c r="B1256" t="s">
        <v>78</v>
      </c>
      <c r="C1256" t="s">
        <v>85</v>
      </c>
      <c r="D1256" t="s">
        <v>57</v>
      </c>
      <c r="E1256" t="s">
        <v>14</v>
      </c>
      <c r="F1256" t="s">
        <v>15</v>
      </c>
      <c r="G1256" t="s">
        <v>36</v>
      </c>
      <c r="H1256" t="s">
        <v>5138</v>
      </c>
      <c r="I1256" t="s">
        <v>5139</v>
      </c>
      <c r="J1256">
        <v>244196</v>
      </c>
      <c r="K1256" t="s">
        <v>2628</v>
      </c>
      <c r="L1256" t="s">
        <v>61</v>
      </c>
      <c r="M1256" t="s">
        <v>39</v>
      </c>
      <c r="N1256">
        <v>45578</v>
      </c>
      <c r="O1256">
        <v>2230</v>
      </c>
      <c r="P1256" t="s">
        <v>20</v>
      </c>
      <c r="Q1256">
        <v>6</v>
      </c>
      <c r="R1256" t="s">
        <v>5116</v>
      </c>
      <c r="S1256" t="s">
        <v>53</v>
      </c>
      <c r="T1256" t="s">
        <v>29</v>
      </c>
    </row>
    <row r="1257" spans="1:20" x14ac:dyDescent="0.3">
      <c r="A1257" t="s">
        <v>2629</v>
      </c>
      <c r="B1257" t="s">
        <v>215</v>
      </c>
      <c r="C1257" t="s">
        <v>197</v>
      </c>
      <c r="D1257" t="s">
        <v>118</v>
      </c>
      <c r="E1257" t="s">
        <v>5132</v>
      </c>
      <c r="F1257" t="s">
        <v>5125</v>
      </c>
      <c r="G1257" t="s">
        <v>36</v>
      </c>
      <c r="H1257" t="s">
        <v>5140</v>
      </c>
      <c r="I1257" t="s">
        <v>5141</v>
      </c>
      <c r="J1257">
        <v>86049</v>
      </c>
      <c r="K1257" t="s">
        <v>2630</v>
      </c>
      <c r="L1257" t="s">
        <v>82</v>
      </c>
      <c r="M1257" t="s">
        <v>19</v>
      </c>
      <c r="N1257">
        <v>45513</v>
      </c>
      <c r="O1257">
        <v>1194</v>
      </c>
      <c r="P1257" t="s">
        <v>20</v>
      </c>
      <c r="Q1257">
        <v>2</v>
      </c>
      <c r="R1257" t="s">
        <v>47</v>
      </c>
      <c r="S1257" t="s">
        <v>53</v>
      </c>
      <c r="T1257" t="s">
        <v>20</v>
      </c>
    </row>
    <row r="1258" spans="1:20" x14ac:dyDescent="0.3">
      <c r="A1258" t="s">
        <v>2631</v>
      </c>
      <c r="B1258" t="s">
        <v>229</v>
      </c>
      <c r="C1258" t="s">
        <v>232</v>
      </c>
      <c r="D1258" t="s">
        <v>33</v>
      </c>
      <c r="E1258" t="s">
        <v>95</v>
      </c>
      <c r="F1258" t="s">
        <v>96</v>
      </c>
      <c r="G1258" t="s">
        <v>50</v>
      </c>
      <c r="H1258" t="s">
        <v>5140</v>
      </c>
      <c r="I1258" t="s">
        <v>5141</v>
      </c>
      <c r="J1258">
        <v>143116</v>
      </c>
      <c r="K1258" t="s">
        <v>2632</v>
      </c>
      <c r="L1258" t="s">
        <v>82</v>
      </c>
      <c r="M1258" t="s">
        <v>46</v>
      </c>
      <c r="N1258">
        <v>45703</v>
      </c>
      <c r="O1258">
        <v>926</v>
      </c>
      <c r="P1258" t="s">
        <v>20</v>
      </c>
      <c r="Q1258">
        <v>2</v>
      </c>
      <c r="R1258" t="s">
        <v>40</v>
      </c>
      <c r="S1258" t="s">
        <v>21</v>
      </c>
      <c r="T1258" t="s">
        <v>29</v>
      </c>
    </row>
    <row r="1259" spans="1:20" x14ac:dyDescent="0.3">
      <c r="A1259" t="s">
        <v>2633</v>
      </c>
      <c r="B1259" t="s">
        <v>84</v>
      </c>
      <c r="C1259" t="s">
        <v>56</v>
      </c>
      <c r="D1259" t="s">
        <v>25</v>
      </c>
      <c r="E1259" t="s">
        <v>5132</v>
      </c>
      <c r="F1259" t="s">
        <v>5125</v>
      </c>
      <c r="G1259" t="s">
        <v>36</v>
      </c>
      <c r="H1259" t="s">
        <v>5140</v>
      </c>
      <c r="I1259" t="s">
        <v>5141</v>
      </c>
      <c r="J1259">
        <v>118296</v>
      </c>
      <c r="K1259" t="s">
        <v>2634</v>
      </c>
      <c r="L1259" t="s">
        <v>61</v>
      </c>
      <c r="M1259" t="s">
        <v>19</v>
      </c>
      <c r="N1259">
        <v>45420</v>
      </c>
      <c r="O1259">
        <v>3948</v>
      </c>
      <c r="P1259" t="s">
        <v>20</v>
      </c>
      <c r="Q1259">
        <v>2</v>
      </c>
      <c r="R1259" t="s">
        <v>5116</v>
      </c>
      <c r="S1259" t="s">
        <v>21</v>
      </c>
      <c r="T1259" t="s">
        <v>20</v>
      </c>
    </row>
    <row r="1260" spans="1:20" x14ac:dyDescent="0.3">
      <c r="A1260" t="s">
        <v>2635</v>
      </c>
      <c r="B1260" t="s">
        <v>78</v>
      </c>
      <c r="C1260" t="s">
        <v>202</v>
      </c>
      <c r="D1260" t="s">
        <v>140</v>
      </c>
      <c r="E1260" t="s">
        <v>152</v>
      </c>
      <c r="F1260" t="s">
        <v>153</v>
      </c>
      <c r="G1260" t="s">
        <v>16</v>
      </c>
      <c r="H1260" t="s">
        <v>5136</v>
      </c>
      <c r="I1260" t="s">
        <v>5137</v>
      </c>
      <c r="J1260">
        <v>61116</v>
      </c>
      <c r="K1260" t="s">
        <v>2636</v>
      </c>
      <c r="L1260" t="s">
        <v>5165</v>
      </c>
      <c r="M1260" t="s">
        <v>19</v>
      </c>
      <c r="N1260">
        <v>45456</v>
      </c>
      <c r="O1260">
        <v>1335</v>
      </c>
      <c r="P1260" t="s">
        <v>20</v>
      </c>
      <c r="Q1260">
        <v>0</v>
      </c>
      <c r="R1260" t="s">
        <v>76</v>
      </c>
      <c r="S1260" t="s">
        <v>21</v>
      </c>
      <c r="T1260" t="s">
        <v>29</v>
      </c>
    </row>
    <row r="1261" spans="1:20" x14ac:dyDescent="0.3">
      <c r="A1261" t="s">
        <v>2637</v>
      </c>
      <c r="B1261" t="s">
        <v>84</v>
      </c>
      <c r="C1261" t="s">
        <v>90</v>
      </c>
      <c r="D1261" t="s">
        <v>118</v>
      </c>
      <c r="E1261" t="s">
        <v>5132</v>
      </c>
      <c r="F1261" t="s">
        <v>5125</v>
      </c>
      <c r="G1261" t="s">
        <v>16</v>
      </c>
      <c r="H1261" t="s">
        <v>5136</v>
      </c>
      <c r="I1261" t="s">
        <v>5137</v>
      </c>
      <c r="J1261">
        <v>69297</v>
      </c>
      <c r="K1261" t="s">
        <v>2638</v>
      </c>
      <c r="L1261" t="s">
        <v>134</v>
      </c>
      <c r="M1261" t="s">
        <v>72</v>
      </c>
      <c r="N1261">
        <v>45718</v>
      </c>
      <c r="O1261">
        <v>1850</v>
      </c>
      <c r="P1261" t="s">
        <v>20</v>
      </c>
      <c r="Q1261">
        <v>0</v>
      </c>
      <c r="R1261" t="s">
        <v>47</v>
      </c>
      <c r="S1261" t="s">
        <v>21</v>
      </c>
      <c r="T1261" t="s">
        <v>29</v>
      </c>
    </row>
    <row r="1262" spans="1:20" x14ac:dyDescent="0.3">
      <c r="A1262" t="s">
        <v>2639</v>
      </c>
      <c r="B1262" t="s">
        <v>124</v>
      </c>
      <c r="C1262" t="s">
        <v>49</v>
      </c>
      <c r="D1262" t="s">
        <v>5156</v>
      </c>
      <c r="E1262" t="s">
        <v>5126</v>
      </c>
      <c r="F1262" t="s">
        <v>5125</v>
      </c>
      <c r="G1262" t="s">
        <v>16</v>
      </c>
      <c r="H1262" t="s">
        <v>5136</v>
      </c>
      <c r="I1262" t="s">
        <v>5137</v>
      </c>
      <c r="J1262">
        <v>77034</v>
      </c>
      <c r="K1262" t="s">
        <v>2640</v>
      </c>
      <c r="L1262" t="s">
        <v>238</v>
      </c>
      <c r="M1262" t="s">
        <v>46</v>
      </c>
      <c r="N1262">
        <v>45444</v>
      </c>
      <c r="O1262">
        <v>704</v>
      </c>
      <c r="P1262" t="s">
        <v>20</v>
      </c>
      <c r="Q1262">
        <v>0</v>
      </c>
      <c r="R1262" t="s">
        <v>40</v>
      </c>
      <c r="S1262" t="s">
        <v>21</v>
      </c>
      <c r="T1262" t="s">
        <v>29</v>
      </c>
    </row>
    <row r="1263" spans="1:20" x14ac:dyDescent="0.3">
      <c r="A1263" t="s">
        <v>2641</v>
      </c>
      <c r="B1263" t="s">
        <v>222</v>
      </c>
      <c r="C1263" t="s">
        <v>219</v>
      </c>
      <c r="D1263" t="s">
        <v>68</v>
      </c>
      <c r="E1263" t="s">
        <v>223</v>
      </c>
      <c r="F1263" t="s">
        <v>224</v>
      </c>
      <c r="G1263" t="s">
        <v>36</v>
      </c>
      <c r="H1263" t="s">
        <v>5138</v>
      </c>
      <c r="I1263" t="s">
        <v>5139</v>
      </c>
      <c r="J1263">
        <v>202736</v>
      </c>
      <c r="K1263" t="s">
        <v>2642</v>
      </c>
      <c r="L1263" t="s">
        <v>5165</v>
      </c>
      <c r="M1263" t="s">
        <v>19</v>
      </c>
      <c r="N1263">
        <v>45359</v>
      </c>
      <c r="O1263">
        <v>1731</v>
      </c>
      <c r="P1263" t="s">
        <v>29</v>
      </c>
      <c r="Q1263">
        <v>6</v>
      </c>
      <c r="R1263" t="s">
        <v>76</v>
      </c>
      <c r="S1263" t="s">
        <v>41</v>
      </c>
      <c r="T1263" t="s">
        <v>20</v>
      </c>
    </row>
    <row r="1264" spans="1:20" x14ac:dyDescent="0.3">
      <c r="A1264" t="s">
        <v>2643</v>
      </c>
      <c r="B1264" t="s">
        <v>322</v>
      </c>
      <c r="C1264" t="s">
        <v>151</v>
      </c>
      <c r="D1264" t="s">
        <v>140</v>
      </c>
      <c r="E1264" t="s">
        <v>5132</v>
      </c>
      <c r="F1264" t="s">
        <v>5125</v>
      </c>
      <c r="G1264" t="s">
        <v>50</v>
      </c>
      <c r="H1264" t="s">
        <v>5140</v>
      </c>
      <c r="I1264" t="s">
        <v>5141</v>
      </c>
      <c r="J1264">
        <v>120667</v>
      </c>
      <c r="K1264" t="s">
        <v>2644</v>
      </c>
      <c r="L1264" t="s">
        <v>5165</v>
      </c>
      <c r="M1264" t="s">
        <v>39</v>
      </c>
      <c r="N1264">
        <v>45417</v>
      </c>
      <c r="O1264">
        <v>3884</v>
      </c>
      <c r="P1264" t="s">
        <v>20</v>
      </c>
      <c r="Q1264">
        <v>2</v>
      </c>
      <c r="R1264" t="s">
        <v>5116</v>
      </c>
      <c r="S1264" t="s">
        <v>21</v>
      </c>
      <c r="T1264" t="s">
        <v>29</v>
      </c>
    </row>
    <row r="1265" spans="1:20" x14ac:dyDescent="0.3">
      <c r="A1265" t="s">
        <v>2645</v>
      </c>
      <c r="B1265" t="s">
        <v>229</v>
      </c>
      <c r="C1265" t="s">
        <v>109</v>
      </c>
      <c r="D1265" t="s">
        <v>68</v>
      </c>
      <c r="E1265" t="s">
        <v>193</v>
      </c>
      <c r="F1265" t="s">
        <v>194</v>
      </c>
      <c r="G1265" t="s">
        <v>16</v>
      </c>
      <c r="H1265" t="s">
        <v>5138</v>
      </c>
      <c r="I1265" t="s">
        <v>5139</v>
      </c>
      <c r="J1265">
        <v>166855</v>
      </c>
      <c r="K1265" t="s">
        <v>2646</v>
      </c>
      <c r="L1265" t="s">
        <v>18</v>
      </c>
      <c r="M1265" t="s">
        <v>39</v>
      </c>
      <c r="N1265">
        <v>45559</v>
      </c>
      <c r="O1265">
        <v>1065</v>
      </c>
      <c r="P1265" t="s">
        <v>20</v>
      </c>
      <c r="Q1265">
        <v>6</v>
      </c>
      <c r="R1265" t="s">
        <v>76</v>
      </c>
      <c r="S1265" t="s">
        <v>21</v>
      </c>
      <c r="T1265" t="s">
        <v>20</v>
      </c>
    </row>
    <row r="1266" spans="1:20" x14ac:dyDescent="0.3">
      <c r="A1266" t="s">
        <v>2647</v>
      </c>
      <c r="B1266" t="s">
        <v>78</v>
      </c>
      <c r="C1266" t="s">
        <v>202</v>
      </c>
      <c r="D1266" t="s">
        <v>33</v>
      </c>
      <c r="E1266" t="s">
        <v>5124</v>
      </c>
      <c r="F1266" t="s">
        <v>5125</v>
      </c>
      <c r="G1266" t="s">
        <v>16</v>
      </c>
      <c r="H1266" t="s">
        <v>5142</v>
      </c>
      <c r="I1266" t="s">
        <v>5143</v>
      </c>
      <c r="J1266">
        <v>154572</v>
      </c>
      <c r="K1266" t="s">
        <v>2648</v>
      </c>
      <c r="L1266" t="s">
        <v>61</v>
      </c>
      <c r="M1266" t="s">
        <v>72</v>
      </c>
      <c r="N1266">
        <v>45436</v>
      </c>
      <c r="O1266">
        <v>3668</v>
      </c>
      <c r="P1266" t="s">
        <v>20</v>
      </c>
      <c r="Q1266">
        <v>4</v>
      </c>
      <c r="R1266" t="s">
        <v>47</v>
      </c>
      <c r="S1266" t="s">
        <v>21</v>
      </c>
      <c r="T1266" t="s">
        <v>20</v>
      </c>
    </row>
    <row r="1267" spans="1:20" x14ac:dyDescent="0.3">
      <c r="A1267" t="s">
        <v>2649</v>
      </c>
      <c r="B1267" t="s">
        <v>136</v>
      </c>
      <c r="C1267" t="s">
        <v>13</v>
      </c>
      <c r="D1267" t="s">
        <v>118</v>
      </c>
      <c r="E1267" t="s">
        <v>5129</v>
      </c>
      <c r="F1267" t="s">
        <v>5130</v>
      </c>
      <c r="G1267" t="s">
        <v>16</v>
      </c>
      <c r="H1267" t="s">
        <v>5136</v>
      </c>
      <c r="I1267" t="s">
        <v>5137</v>
      </c>
      <c r="J1267">
        <v>52187</v>
      </c>
      <c r="K1267" t="s">
        <v>2650</v>
      </c>
      <c r="L1267" t="s">
        <v>82</v>
      </c>
      <c r="M1267" t="s">
        <v>19</v>
      </c>
      <c r="N1267">
        <v>45439</v>
      </c>
      <c r="O1267">
        <v>3354</v>
      </c>
      <c r="P1267" t="s">
        <v>20</v>
      </c>
      <c r="Q1267">
        <v>0</v>
      </c>
      <c r="R1267" t="s">
        <v>76</v>
      </c>
      <c r="S1267" t="s">
        <v>53</v>
      </c>
      <c r="T1267" t="s">
        <v>29</v>
      </c>
    </row>
    <row r="1268" spans="1:20" x14ac:dyDescent="0.3">
      <c r="A1268" t="s">
        <v>2651</v>
      </c>
      <c r="B1268" t="s">
        <v>89</v>
      </c>
      <c r="C1268" t="s">
        <v>175</v>
      </c>
      <c r="D1268" t="s">
        <v>57</v>
      </c>
      <c r="E1268" t="s">
        <v>95</v>
      </c>
      <c r="F1268" t="s">
        <v>96</v>
      </c>
      <c r="G1268" t="s">
        <v>50</v>
      </c>
      <c r="H1268" t="s">
        <v>5142</v>
      </c>
      <c r="I1268" t="s">
        <v>5143</v>
      </c>
      <c r="J1268">
        <v>146996</v>
      </c>
      <c r="K1268" t="s">
        <v>2652</v>
      </c>
      <c r="L1268" t="s">
        <v>5165</v>
      </c>
      <c r="M1268" t="s">
        <v>19</v>
      </c>
      <c r="N1268">
        <v>45618</v>
      </c>
      <c r="O1268">
        <v>3181</v>
      </c>
      <c r="P1268" t="s">
        <v>20</v>
      </c>
      <c r="Q1268">
        <v>4</v>
      </c>
      <c r="R1268" t="s">
        <v>47</v>
      </c>
      <c r="S1268" t="s">
        <v>53</v>
      </c>
      <c r="T1268" t="s">
        <v>29</v>
      </c>
    </row>
    <row r="1269" spans="1:20" x14ac:dyDescent="0.3">
      <c r="A1269" t="s">
        <v>2653</v>
      </c>
      <c r="B1269" t="s">
        <v>165</v>
      </c>
      <c r="C1269" t="s">
        <v>175</v>
      </c>
      <c r="D1269" t="s">
        <v>25</v>
      </c>
      <c r="E1269" t="s">
        <v>5127</v>
      </c>
      <c r="F1269" t="s">
        <v>5125</v>
      </c>
      <c r="G1269" t="s">
        <v>16</v>
      </c>
      <c r="H1269" t="s">
        <v>5138</v>
      </c>
      <c r="I1269" t="s">
        <v>5139</v>
      </c>
      <c r="J1269">
        <v>167459</v>
      </c>
      <c r="K1269" t="s">
        <v>2654</v>
      </c>
      <c r="L1269" t="s">
        <v>238</v>
      </c>
      <c r="M1269" t="s">
        <v>46</v>
      </c>
      <c r="N1269">
        <v>45571</v>
      </c>
      <c r="O1269">
        <v>1651</v>
      </c>
      <c r="P1269" t="s">
        <v>20</v>
      </c>
      <c r="Q1269">
        <v>6</v>
      </c>
      <c r="R1269" t="s">
        <v>76</v>
      </c>
      <c r="S1269" t="s">
        <v>21</v>
      </c>
      <c r="T1269" t="s">
        <v>20</v>
      </c>
    </row>
    <row r="1270" spans="1:20" x14ac:dyDescent="0.3">
      <c r="A1270" t="s">
        <v>2655</v>
      </c>
      <c r="B1270" t="s">
        <v>31</v>
      </c>
      <c r="C1270" t="s">
        <v>85</v>
      </c>
      <c r="D1270" t="s">
        <v>5156</v>
      </c>
      <c r="E1270" t="s">
        <v>5132</v>
      </c>
      <c r="F1270" t="s">
        <v>5125</v>
      </c>
      <c r="G1270" t="s">
        <v>36</v>
      </c>
      <c r="H1270" t="s">
        <v>5138</v>
      </c>
      <c r="I1270" t="s">
        <v>5139</v>
      </c>
      <c r="J1270">
        <v>173520</v>
      </c>
      <c r="K1270" t="s">
        <v>2656</v>
      </c>
      <c r="L1270" t="s">
        <v>87</v>
      </c>
      <c r="M1270" t="s">
        <v>39</v>
      </c>
      <c r="N1270">
        <v>45458</v>
      </c>
      <c r="O1270">
        <v>641</v>
      </c>
      <c r="P1270" t="s">
        <v>29</v>
      </c>
      <c r="Q1270">
        <v>6</v>
      </c>
      <c r="R1270" t="s">
        <v>5116</v>
      </c>
      <c r="S1270" t="s">
        <v>21</v>
      </c>
      <c r="T1270" t="s">
        <v>20</v>
      </c>
    </row>
    <row r="1271" spans="1:20" x14ac:dyDescent="0.3">
      <c r="A1271" t="s">
        <v>2657</v>
      </c>
      <c r="B1271" t="s">
        <v>136</v>
      </c>
      <c r="C1271" t="s">
        <v>100</v>
      </c>
      <c r="D1271" t="s">
        <v>57</v>
      </c>
      <c r="E1271" t="s">
        <v>5131</v>
      </c>
      <c r="F1271" t="s">
        <v>5125</v>
      </c>
      <c r="G1271" t="s">
        <v>16</v>
      </c>
      <c r="H1271" t="s">
        <v>5140</v>
      </c>
      <c r="I1271" t="s">
        <v>5141</v>
      </c>
      <c r="J1271">
        <v>134474</v>
      </c>
      <c r="K1271" t="s">
        <v>2658</v>
      </c>
      <c r="L1271" t="s">
        <v>38</v>
      </c>
      <c r="M1271" t="s">
        <v>46</v>
      </c>
      <c r="N1271">
        <v>45497</v>
      </c>
      <c r="O1271">
        <v>3905</v>
      </c>
      <c r="P1271" t="s">
        <v>20</v>
      </c>
      <c r="Q1271">
        <v>2</v>
      </c>
      <c r="R1271" t="s">
        <v>52</v>
      </c>
      <c r="S1271" t="s">
        <v>21</v>
      </c>
      <c r="T1271" t="s">
        <v>20</v>
      </c>
    </row>
    <row r="1272" spans="1:20" x14ac:dyDescent="0.3">
      <c r="A1272" t="s">
        <v>2659</v>
      </c>
      <c r="B1272" t="s">
        <v>130</v>
      </c>
      <c r="C1272" t="s">
        <v>125</v>
      </c>
      <c r="D1272" t="s">
        <v>140</v>
      </c>
      <c r="E1272" t="s">
        <v>5124</v>
      </c>
      <c r="F1272" t="s">
        <v>5125</v>
      </c>
      <c r="G1272" t="s">
        <v>36</v>
      </c>
      <c r="H1272" t="s">
        <v>5142</v>
      </c>
      <c r="I1272" t="s">
        <v>5143</v>
      </c>
      <c r="J1272">
        <v>179465</v>
      </c>
      <c r="K1272" t="s">
        <v>2660</v>
      </c>
      <c r="L1272" t="s">
        <v>179</v>
      </c>
      <c r="M1272" t="s">
        <v>46</v>
      </c>
      <c r="N1272">
        <v>45475</v>
      </c>
      <c r="O1272">
        <v>2144</v>
      </c>
      <c r="P1272" t="s">
        <v>20</v>
      </c>
      <c r="Q1272">
        <v>4</v>
      </c>
      <c r="R1272" t="s">
        <v>52</v>
      </c>
      <c r="S1272" t="s">
        <v>53</v>
      </c>
      <c r="T1272" t="s">
        <v>20</v>
      </c>
    </row>
    <row r="1273" spans="1:20" x14ac:dyDescent="0.3">
      <c r="A1273" t="s">
        <v>2661</v>
      </c>
      <c r="B1273" t="s">
        <v>74</v>
      </c>
      <c r="C1273" t="s">
        <v>121</v>
      </c>
      <c r="D1273" t="s">
        <v>25</v>
      </c>
      <c r="E1273" t="s">
        <v>5133</v>
      </c>
      <c r="F1273" t="s">
        <v>5125</v>
      </c>
      <c r="G1273" t="s">
        <v>16</v>
      </c>
      <c r="H1273" t="s">
        <v>5136</v>
      </c>
      <c r="I1273" t="s">
        <v>5137</v>
      </c>
      <c r="J1273">
        <v>77675</v>
      </c>
      <c r="K1273" t="s">
        <v>2662</v>
      </c>
      <c r="L1273" t="s">
        <v>5165</v>
      </c>
      <c r="M1273" t="s">
        <v>19</v>
      </c>
      <c r="N1273">
        <v>45487</v>
      </c>
      <c r="O1273">
        <v>2421</v>
      </c>
      <c r="P1273" t="s">
        <v>20</v>
      </c>
      <c r="Q1273">
        <v>0</v>
      </c>
      <c r="R1273" t="s">
        <v>40</v>
      </c>
      <c r="S1273" t="s">
        <v>21</v>
      </c>
      <c r="T1273" t="s">
        <v>20</v>
      </c>
    </row>
    <row r="1274" spans="1:20" x14ac:dyDescent="0.3">
      <c r="A1274" t="s">
        <v>2663</v>
      </c>
      <c r="B1274" t="s">
        <v>99</v>
      </c>
      <c r="C1274" t="s">
        <v>100</v>
      </c>
      <c r="D1274" t="s">
        <v>44</v>
      </c>
      <c r="E1274" t="s">
        <v>69</v>
      </c>
      <c r="F1274" t="s">
        <v>70</v>
      </c>
      <c r="G1274" t="s">
        <v>16</v>
      </c>
      <c r="H1274" t="s">
        <v>5140</v>
      </c>
      <c r="I1274" t="s">
        <v>5141</v>
      </c>
      <c r="J1274">
        <v>88372</v>
      </c>
      <c r="K1274" t="s">
        <v>2664</v>
      </c>
      <c r="L1274" t="s">
        <v>5165</v>
      </c>
      <c r="M1274" t="s">
        <v>46</v>
      </c>
      <c r="N1274">
        <v>45565</v>
      </c>
      <c r="O1274">
        <v>1682</v>
      </c>
      <c r="P1274" t="s">
        <v>29</v>
      </c>
      <c r="Q1274">
        <v>2</v>
      </c>
      <c r="R1274" t="s">
        <v>76</v>
      </c>
      <c r="S1274" t="s">
        <v>21</v>
      </c>
      <c r="T1274" t="s">
        <v>20</v>
      </c>
    </row>
    <row r="1275" spans="1:20" x14ac:dyDescent="0.3">
      <c r="A1275" t="s">
        <v>2665</v>
      </c>
      <c r="B1275" t="s">
        <v>55</v>
      </c>
      <c r="C1275" t="s">
        <v>67</v>
      </c>
      <c r="D1275" t="s">
        <v>104</v>
      </c>
      <c r="E1275" t="s">
        <v>69</v>
      </c>
      <c r="F1275" t="s">
        <v>70</v>
      </c>
      <c r="G1275" t="s">
        <v>36</v>
      </c>
      <c r="H1275" t="s">
        <v>5140</v>
      </c>
      <c r="I1275" t="s">
        <v>5141</v>
      </c>
      <c r="J1275">
        <v>103735</v>
      </c>
      <c r="K1275" t="s">
        <v>2666</v>
      </c>
      <c r="L1275" t="s">
        <v>5165</v>
      </c>
      <c r="M1275" t="s">
        <v>39</v>
      </c>
      <c r="N1275">
        <v>45323</v>
      </c>
      <c r="O1275">
        <v>134</v>
      </c>
      <c r="P1275" t="s">
        <v>92</v>
      </c>
      <c r="Q1275">
        <v>2</v>
      </c>
      <c r="R1275" t="s">
        <v>40</v>
      </c>
      <c r="S1275" t="s">
        <v>53</v>
      </c>
      <c r="T1275" t="s">
        <v>29</v>
      </c>
    </row>
    <row r="1276" spans="1:20" x14ac:dyDescent="0.3">
      <c r="A1276" t="s">
        <v>2667</v>
      </c>
      <c r="B1276" t="s">
        <v>136</v>
      </c>
      <c r="C1276" t="s">
        <v>79</v>
      </c>
      <c r="D1276" t="s">
        <v>57</v>
      </c>
      <c r="E1276" t="s">
        <v>193</v>
      </c>
      <c r="F1276" t="s">
        <v>194</v>
      </c>
      <c r="G1276" t="s">
        <v>36</v>
      </c>
      <c r="H1276" t="s">
        <v>5136</v>
      </c>
      <c r="I1276" t="s">
        <v>5137</v>
      </c>
      <c r="J1276">
        <v>85285</v>
      </c>
      <c r="K1276" t="s">
        <v>2668</v>
      </c>
      <c r="L1276" t="s">
        <v>18</v>
      </c>
      <c r="M1276" t="s">
        <v>19</v>
      </c>
      <c r="N1276">
        <v>45618</v>
      </c>
      <c r="O1276">
        <v>1388</v>
      </c>
      <c r="P1276" t="s">
        <v>92</v>
      </c>
      <c r="Q1276">
        <v>0</v>
      </c>
      <c r="R1276" t="s">
        <v>76</v>
      </c>
      <c r="S1276" t="s">
        <v>21</v>
      </c>
      <c r="T1276" t="s">
        <v>29</v>
      </c>
    </row>
    <row r="1277" spans="1:20" x14ac:dyDescent="0.3">
      <c r="A1277" t="s">
        <v>2669</v>
      </c>
      <c r="B1277" t="s">
        <v>130</v>
      </c>
      <c r="C1277" t="s">
        <v>49</v>
      </c>
      <c r="D1277" t="s">
        <v>57</v>
      </c>
      <c r="E1277" t="s">
        <v>69</v>
      </c>
      <c r="F1277" t="s">
        <v>70</v>
      </c>
      <c r="G1277" t="s">
        <v>16</v>
      </c>
      <c r="H1277" t="s">
        <v>5142</v>
      </c>
      <c r="I1277" t="s">
        <v>5143</v>
      </c>
      <c r="J1277">
        <v>153826</v>
      </c>
      <c r="K1277" t="s">
        <v>2670</v>
      </c>
      <c r="L1277" t="s">
        <v>5165</v>
      </c>
      <c r="M1277" t="s">
        <v>19</v>
      </c>
      <c r="N1277">
        <v>45454</v>
      </c>
      <c r="O1277">
        <v>3998</v>
      </c>
      <c r="P1277" t="s">
        <v>92</v>
      </c>
      <c r="Q1277">
        <v>4</v>
      </c>
      <c r="R1277" t="s">
        <v>76</v>
      </c>
      <c r="S1277" t="s">
        <v>21</v>
      </c>
      <c r="T1277" t="s">
        <v>20</v>
      </c>
    </row>
    <row r="1278" spans="1:20" x14ac:dyDescent="0.3">
      <c r="A1278" t="s">
        <v>2671</v>
      </c>
      <c r="B1278" t="s">
        <v>84</v>
      </c>
      <c r="C1278" t="s">
        <v>202</v>
      </c>
      <c r="D1278" t="s">
        <v>5156</v>
      </c>
      <c r="E1278" t="s">
        <v>5132</v>
      </c>
      <c r="F1278" t="s">
        <v>5125</v>
      </c>
      <c r="G1278" t="s">
        <v>50</v>
      </c>
      <c r="H1278" t="s">
        <v>5142</v>
      </c>
      <c r="I1278" t="s">
        <v>5143</v>
      </c>
      <c r="J1278">
        <v>212621</v>
      </c>
      <c r="K1278" t="s">
        <v>2672</v>
      </c>
      <c r="L1278" t="s">
        <v>113</v>
      </c>
      <c r="M1278" t="s">
        <v>39</v>
      </c>
      <c r="N1278">
        <v>45591</v>
      </c>
      <c r="O1278">
        <v>1459</v>
      </c>
      <c r="P1278" t="s">
        <v>92</v>
      </c>
      <c r="Q1278">
        <v>4</v>
      </c>
      <c r="R1278" t="s">
        <v>76</v>
      </c>
      <c r="S1278" t="s">
        <v>41</v>
      </c>
      <c r="T1278" t="s">
        <v>29</v>
      </c>
    </row>
    <row r="1279" spans="1:20" x14ac:dyDescent="0.3">
      <c r="A1279" t="s">
        <v>2673</v>
      </c>
      <c r="B1279" t="s">
        <v>124</v>
      </c>
      <c r="C1279" t="s">
        <v>43</v>
      </c>
      <c r="D1279" t="s">
        <v>57</v>
      </c>
      <c r="E1279" t="s">
        <v>209</v>
      </c>
      <c r="F1279" t="s">
        <v>210</v>
      </c>
      <c r="G1279" t="s">
        <v>50</v>
      </c>
      <c r="H1279" t="s">
        <v>5142</v>
      </c>
      <c r="I1279" t="s">
        <v>5143</v>
      </c>
      <c r="J1279">
        <v>160619</v>
      </c>
      <c r="K1279" t="s">
        <v>2674</v>
      </c>
      <c r="L1279" t="s">
        <v>82</v>
      </c>
      <c r="M1279" t="s">
        <v>46</v>
      </c>
      <c r="N1279">
        <v>45300</v>
      </c>
      <c r="O1279">
        <v>1799</v>
      </c>
      <c r="P1279" t="s">
        <v>20</v>
      </c>
      <c r="Q1279">
        <v>4</v>
      </c>
      <c r="R1279" t="s">
        <v>76</v>
      </c>
      <c r="S1279" t="s">
        <v>21</v>
      </c>
      <c r="T1279" t="s">
        <v>20</v>
      </c>
    </row>
    <row r="1280" spans="1:20" x14ac:dyDescent="0.3">
      <c r="A1280" t="s">
        <v>2675</v>
      </c>
      <c r="B1280" t="s">
        <v>74</v>
      </c>
      <c r="C1280" t="s">
        <v>64</v>
      </c>
      <c r="D1280" t="s">
        <v>118</v>
      </c>
      <c r="E1280" t="s">
        <v>69</v>
      </c>
      <c r="F1280" t="s">
        <v>70</v>
      </c>
      <c r="G1280" t="s">
        <v>50</v>
      </c>
      <c r="H1280" t="s">
        <v>5136</v>
      </c>
      <c r="I1280" t="s">
        <v>5137</v>
      </c>
      <c r="J1280">
        <v>72419</v>
      </c>
      <c r="K1280" t="s">
        <v>2676</v>
      </c>
      <c r="L1280" t="s">
        <v>87</v>
      </c>
      <c r="M1280" t="s">
        <v>39</v>
      </c>
      <c r="N1280">
        <v>45669</v>
      </c>
      <c r="O1280">
        <v>3232</v>
      </c>
      <c r="P1280" t="s">
        <v>20</v>
      </c>
      <c r="Q1280">
        <v>0</v>
      </c>
      <c r="R1280" t="s">
        <v>52</v>
      </c>
      <c r="S1280" t="s">
        <v>21</v>
      </c>
      <c r="T1280" t="s">
        <v>20</v>
      </c>
    </row>
    <row r="1281" spans="1:20" x14ac:dyDescent="0.3">
      <c r="A1281" t="s">
        <v>2677</v>
      </c>
      <c r="B1281" t="s">
        <v>31</v>
      </c>
      <c r="C1281" t="s">
        <v>219</v>
      </c>
      <c r="D1281" t="s">
        <v>68</v>
      </c>
      <c r="E1281" t="s">
        <v>193</v>
      </c>
      <c r="F1281" t="s">
        <v>194</v>
      </c>
      <c r="G1281" t="s">
        <v>16</v>
      </c>
      <c r="H1281" t="s">
        <v>5136</v>
      </c>
      <c r="I1281" t="s">
        <v>5137</v>
      </c>
      <c r="J1281">
        <v>66105</v>
      </c>
      <c r="K1281" t="s">
        <v>2678</v>
      </c>
      <c r="L1281" t="s">
        <v>5165</v>
      </c>
      <c r="M1281" t="s">
        <v>46</v>
      </c>
      <c r="N1281">
        <v>45417</v>
      </c>
      <c r="O1281">
        <v>688</v>
      </c>
      <c r="P1281" t="s">
        <v>20</v>
      </c>
      <c r="Q1281">
        <v>0</v>
      </c>
      <c r="R1281" t="s">
        <v>52</v>
      </c>
      <c r="S1281" t="s">
        <v>21</v>
      </c>
      <c r="T1281" t="s">
        <v>20</v>
      </c>
    </row>
    <row r="1282" spans="1:20" x14ac:dyDescent="0.3">
      <c r="A1282" t="s">
        <v>2679</v>
      </c>
      <c r="B1282" t="s">
        <v>12</v>
      </c>
      <c r="C1282" t="s">
        <v>103</v>
      </c>
      <c r="D1282" t="s">
        <v>167</v>
      </c>
      <c r="E1282" t="s">
        <v>80</v>
      </c>
      <c r="F1282" t="s">
        <v>80</v>
      </c>
      <c r="G1282" t="s">
        <v>36</v>
      </c>
      <c r="H1282" t="s">
        <v>5138</v>
      </c>
      <c r="I1282" t="s">
        <v>5139</v>
      </c>
      <c r="J1282">
        <v>204807</v>
      </c>
      <c r="K1282" t="s">
        <v>2680</v>
      </c>
      <c r="L1282" t="s">
        <v>5165</v>
      </c>
      <c r="M1282" t="s">
        <v>19</v>
      </c>
      <c r="N1282">
        <v>45488</v>
      </c>
      <c r="O1282">
        <v>3791</v>
      </c>
      <c r="P1282" t="s">
        <v>92</v>
      </c>
      <c r="Q1282">
        <v>6</v>
      </c>
      <c r="R1282" t="s">
        <v>5116</v>
      </c>
      <c r="S1282" t="s">
        <v>21</v>
      </c>
      <c r="T1282" t="s">
        <v>20</v>
      </c>
    </row>
    <row r="1283" spans="1:20" x14ac:dyDescent="0.3">
      <c r="A1283" t="s">
        <v>2681</v>
      </c>
      <c r="B1283" t="s">
        <v>74</v>
      </c>
      <c r="C1283" t="s">
        <v>232</v>
      </c>
      <c r="D1283" t="s">
        <v>140</v>
      </c>
      <c r="E1283" t="s">
        <v>5126</v>
      </c>
      <c r="F1283" t="s">
        <v>5125</v>
      </c>
      <c r="G1283" t="s">
        <v>50</v>
      </c>
      <c r="H1283" t="s">
        <v>5140</v>
      </c>
      <c r="I1283" t="s">
        <v>5141</v>
      </c>
      <c r="J1283">
        <v>106981</v>
      </c>
      <c r="K1283" t="s">
        <v>2682</v>
      </c>
      <c r="L1283" t="s">
        <v>179</v>
      </c>
      <c r="M1283" t="s">
        <v>72</v>
      </c>
      <c r="N1283">
        <v>45712</v>
      </c>
      <c r="O1283">
        <v>556</v>
      </c>
      <c r="P1283" t="s">
        <v>20</v>
      </c>
      <c r="Q1283">
        <v>2</v>
      </c>
      <c r="R1283" t="s">
        <v>47</v>
      </c>
      <c r="S1283" t="s">
        <v>21</v>
      </c>
      <c r="T1283" t="s">
        <v>20</v>
      </c>
    </row>
    <row r="1284" spans="1:20" x14ac:dyDescent="0.3">
      <c r="A1284" t="s">
        <v>2683</v>
      </c>
      <c r="B1284" t="s">
        <v>165</v>
      </c>
      <c r="C1284" t="s">
        <v>64</v>
      </c>
      <c r="D1284" t="s">
        <v>140</v>
      </c>
      <c r="E1284" t="s">
        <v>58</v>
      </c>
      <c r="F1284" t="s">
        <v>59</v>
      </c>
      <c r="G1284" t="s">
        <v>50</v>
      </c>
      <c r="H1284" t="s">
        <v>5136</v>
      </c>
      <c r="I1284" t="s">
        <v>5137</v>
      </c>
      <c r="J1284">
        <v>78922</v>
      </c>
      <c r="K1284" t="s">
        <v>2684</v>
      </c>
      <c r="L1284" t="s">
        <v>5165</v>
      </c>
      <c r="M1284" t="s">
        <v>46</v>
      </c>
      <c r="N1284">
        <v>45408</v>
      </c>
      <c r="O1284">
        <v>3585</v>
      </c>
      <c r="P1284" t="s">
        <v>20</v>
      </c>
      <c r="Q1284">
        <v>0</v>
      </c>
      <c r="R1284" t="s">
        <v>76</v>
      </c>
      <c r="S1284" t="s">
        <v>21</v>
      </c>
      <c r="T1284" t="s">
        <v>29</v>
      </c>
    </row>
    <row r="1285" spans="1:20" x14ac:dyDescent="0.3">
      <c r="A1285" t="s">
        <v>2685</v>
      </c>
      <c r="B1285" t="s">
        <v>23</v>
      </c>
      <c r="C1285" t="s">
        <v>24</v>
      </c>
      <c r="D1285" t="s">
        <v>167</v>
      </c>
      <c r="E1285" t="s">
        <v>34</v>
      </c>
      <c r="F1285" t="s">
        <v>35</v>
      </c>
      <c r="G1285" t="s">
        <v>50</v>
      </c>
      <c r="H1285" t="s">
        <v>5142</v>
      </c>
      <c r="I1285" t="s">
        <v>5143</v>
      </c>
      <c r="J1285">
        <v>175830</v>
      </c>
      <c r="K1285" t="s">
        <v>2686</v>
      </c>
      <c r="L1285" t="s">
        <v>82</v>
      </c>
      <c r="M1285" t="s">
        <v>19</v>
      </c>
      <c r="N1285">
        <v>45589</v>
      </c>
      <c r="O1285">
        <v>327</v>
      </c>
      <c r="P1285" t="s">
        <v>92</v>
      </c>
      <c r="Q1285">
        <v>4</v>
      </c>
      <c r="R1285" t="s">
        <v>76</v>
      </c>
      <c r="S1285" t="s">
        <v>21</v>
      </c>
      <c r="T1285" t="s">
        <v>20</v>
      </c>
    </row>
    <row r="1286" spans="1:20" x14ac:dyDescent="0.3">
      <c r="A1286" t="s">
        <v>2687</v>
      </c>
      <c r="B1286" t="s">
        <v>165</v>
      </c>
      <c r="C1286" t="s">
        <v>188</v>
      </c>
      <c r="D1286" t="s">
        <v>140</v>
      </c>
      <c r="E1286" t="s">
        <v>34</v>
      </c>
      <c r="F1286" t="s">
        <v>35</v>
      </c>
      <c r="G1286" t="s">
        <v>36</v>
      </c>
      <c r="H1286" t="s">
        <v>5140</v>
      </c>
      <c r="I1286" t="s">
        <v>5141</v>
      </c>
      <c r="J1286">
        <v>94437</v>
      </c>
      <c r="K1286" t="s">
        <v>2688</v>
      </c>
      <c r="L1286" t="s">
        <v>87</v>
      </c>
      <c r="M1286" t="s">
        <v>19</v>
      </c>
      <c r="N1286">
        <v>45472</v>
      </c>
      <c r="O1286">
        <v>2080</v>
      </c>
      <c r="P1286" t="s">
        <v>20</v>
      </c>
      <c r="Q1286">
        <v>2</v>
      </c>
      <c r="R1286" t="s">
        <v>76</v>
      </c>
      <c r="S1286" t="s">
        <v>21</v>
      </c>
      <c r="T1286" t="s">
        <v>29</v>
      </c>
    </row>
    <row r="1287" spans="1:20" x14ac:dyDescent="0.3">
      <c r="A1287" t="s">
        <v>2689</v>
      </c>
      <c r="B1287" t="s">
        <v>144</v>
      </c>
      <c r="C1287" t="s">
        <v>160</v>
      </c>
      <c r="D1287" t="s">
        <v>44</v>
      </c>
      <c r="E1287" t="s">
        <v>5132</v>
      </c>
      <c r="F1287" t="s">
        <v>5125</v>
      </c>
      <c r="G1287" t="s">
        <v>36</v>
      </c>
      <c r="H1287" t="s">
        <v>5140</v>
      </c>
      <c r="I1287" t="s">
        <v>5141</v>
      </c>
      <c r="J1287">
        <v>83641</v>
      </c>
      <c r="K1287" t="s">
        <v>2690</v>
      </c>
      <c r="L1287" t="s">
        <v>142</v>
      </c>
      <c r="M1287" t="s">
        <v>72</v>
      </c>
      <c r="N1287">
        <v>45496</v>
      </c>
      <c r="O1287">
        <v>2598</v>
      </c>
      <c r="P1287" t="s">
        <v>20</v>
      </c>
      <c r="Q1287">
        <v>2</v>
      </c>
      <c r="R1287" t="s">
        <v>5116</v>
      </c>
      <c r="S1287" t="s">
        <v>21</v>
      </c>
      <c r="T1287" t="s">
        <v>20</v>
      </c>
    </row>
    <row r="1288" spans="1:20" x14ac:dyDescent="0.3">
      <c r="A1288" t="s">
        <v>2691</v>
      </c>
      <c r="B1288" t="s">
        <v>12</v>
      </c>
      <c r="C1288" t="s">
        <v>109</v>
      </c>
      <c r="D1288" t="s">
        <v>5156</v>
      </c>
      <c r="E1288" t="s">
        <v>193</v>
      </c>
      <c r="F1288" t="s">
        <v>194</v>
      </c>
      <c r="G1288" t="s">
        <v>36</v>
      </c>
      <c r="H1288" t="s">
        <v>5140</v>
      </c>
      <c r="I1288" t="s">
        <v>5141</v>
      </c>
      <c r="J1288">
        <v>73643</v>
      </c>
      <c r="K1288" t="s">
        <v>2692</v>
      </c>
      <c r="L1288" t="s">
        <v>5165</v>
      </c>
      <c r="M1288" t="s">
        <v>46</v>
      </c>
      <c r="N1288">
        <v>45568</v>
      </c>
      <c r="O1288">
        <v>38</v>
      </c>
      <c r="P1288" t="s">
        <v>92</v>
      </c>
      <c r="Q1288">
        <v>2</v>
      </c>
      <c r="R1288" t="s">
        <v>52</v>
      </c>
      <c r="S1288" t="s">
        <v>53</v>
      </c>
      <c r="T1288" t="s">
        <v>20</v>
      </c>
    </row>
    <row r="1289" spans="1:20" x14ac:dyDescent="0.3">
      <c r="A1289" t="s">
        <v>2693</v>
      </c>
      <c r="B1289" t="s">
        <v>78</v>
      </c>
      <c r="C1289" t="s">
        <v>49</v>
      </c>
      <c r="D1289" t="s">
        <v>68</v>
      </c>
      <c r="E1289" t="s">
        <v>5129</v>
      </c>
      <c r="F1289" t="s">
        <v>5130</v>
      </c>
      <c r="G1289" t="s">
        <v>16</v>
      </c>
      <c r="H1289" t="s">
        <v>5136</v>
      </c>
      <c r="I1289" t="s">
        <v>5137</v>
      </c>
      <c r="J1289">
        <v>76400</v>
      </c>
      <c r="K1289" t="s">
        <v>2694</v>
      </c>
      <c r="L1289" t="s">
        <v>61</v>
      </c>
      <c r="M1289" t="s">
        <v>46</v>
      </c>
      <c r="N1289">
        <v>45592</v>
      </c>
      <c r="O1289">
        <v>927</v>
      </c>
      <c r="P1289" t="s">
        <v>20</v>
      </c>
      <c r="Q1289">
        <v>0</v>
      </c>
      <c r="R1289" t="s">
        <v>76</v>
      </c>
      <c r="S1289" t="s">
        <v>21</v>
      </c>
      <c r="T1289" t="s">
        <v>20</v>
      </c>
    </row>
    <row r="1290" spans="1:20" x14ac:dyDescent="0.3">
      <c r="A1290" t="s">
        <v>2695</v>
      </c>
      <c r="B1290" t="s">
        <v>74</v>
      </c>
      <c r="C1290" t="s">
        <v>13</v>
      </c>
      <c r="D1290" t="s">
        <v>68</v>
      </c>
      <c r="E1290" t="s">
        <v>5127</v>
      </c>
      <c r="F1290" t="s">
        <v>5125</v>
      </c>
      <c r="G1290" t="s">
        <v>16</v>
      </c>
      <c r="H1290" t="s">
        <v>5138</v>
      </c>
      <c r="I1290" t="s">
        <v>5139</v>
      </c>
      <c r="J1290">
        <v>160278</v>
      </c>
      <c r="K1290" t="s">
        <v>2696</v>
      </c>
      <c r="L1290" t="s">
        <v>18</v>
      </c>
      <c r="M1290" t="s">
        <v>39</v>
      </c>
      <c r="N1290">
        <v>45453</v>
      </c>
      <c r="O1290">
        <v>792</v>
      </c>
      <c r="P1290" t="s">
        <v>20</v>
      </c>
      <c r="Q1290">
        <v>6</v>
      </c>
      <c r="R1290" t="s">
        <v>52</v>
      </c>
      <c r="S1290" t="s">
        <v>21</v>
      </c>
      <c r="T1290" t="s">
        <v>20</v>
      </c>
    </row>
    <row r="1291" spans="1:20" x14ac:dyDescent="0.3">
      <c r="A1291" t="s">
        <v>2697</v>
      </c>
      <c r="B1291" t="s">
        <v>84</v>
      </c>
      <c r="C1291" t="s">
        <v>64</v>
      </c>
      <c r="D1291" t="s">
        <v>167</v>
      </c>
      <c r="E1291" t="s">
        <v>95</v>
      </c>
      <c r="F1291" t="s">
        <v>96</v>
      </c>
      <c r="G1291" t="s">
        <v>50</v>
      </c>
      <c r="H1291" t="s">
        <v>5136</v>
      </c>
      <c r="I1291" t="s">
        <v>5137</v>
      </c>
      <c r="J1291">
        <v>50000</v>
      </c>
      <c r="K1291" t="s">
        <v>2698</v>
      </c>
      <c r="L1291" t="s">
        <v>5165</v>
      </c>
      <c r="M1291" t="s">
        <v>46</v>
      </c>
      <c r="N1291">
        <v>45628</v>
      </c>
      <c r="O1291">
        <v>1474</v>
      </c>
      <c r="P1291" t="s">
        <v>29</v>
      </c>
      <c r="Q1291">
        <v>0</v>
      </c>
      <c r="R1291" t="s">
        <v>5116</v>
      </c>
      <c r="S1291" t="s">
        <v>21</v>
      </c>
      <c r="T1291" t="s">
        <v>20</v>
      </c>
    </row>
    <row r="1292" spans="1:20" x14ac:dyDescent="0.3">
      <c r="A1292" t="s">
        <v>2699</v>
      </c>
      <c r="B1292" t="s">
        <v>84</v>
      </c>
      <c r="C1292" t="s">
        <v>79</v>
      </c>
      <c r="D1292" t="s">
        <v>57</v>
      </c>
      <c r="E1292" t="s">
        <v>14</v>
      </c>
      <c r="F1292" t="s">
        <v>15</v>
      </c>
      <c r="G1292" t="s">
        <v>16</v>
      </c>
      <c r="H1292" t="s">
        <v>5142</v>
      </c>
      <c r="I1292" t="s">
        <v>5143</v>
      </c>
      <c r="J1292">
        <v>160491</v>
      </c>
      <c r="K1292" t="s">
        <v>2700</v>
      </c>
      <c r="L1292" t="s">
        <v>113</v>
      </c>
      <c r="M1292" t="s">
        <v>72</v>
      </c>
      <c r="N1292">
        <v>45451</v>
      </c>
      <c r="O1292">
        <v>3092</v>
      </c>
      <c r="P1292" t="s">
        <v>29</v>
      </c>
      <c r="Q1292">
        <v>4</v>
      </c>
      <c r="R1292" t="s">
        <v>47</v>
      </c>
      <c r="S1292" t="s">
        <v>41</v>
      </c>
      <c r="T1292" t="s">
        <v>20</v>
      </c>
    </row>
    <row r="1293" spans="1:20" x14ac:dyDescent="0.3">
      <c r="A1293" t="s">
        <v>2701</v>
      </c>
      <c r="B1293" t="s">
        <v>222</v>
      </c>
      <c r="C1293" t="s">
        <v>188</v>
      </c>
      <c r="D1293" t="s">
        <v>44</v>
      </c>
      <c r="E1293" t="s">
        <v>5126</v>
      </c>
      <c r="F1293" t="s">
        <v>5125</v>
      </c>
      <c r="G1293" t="s">
        <v>36</v>
      </c>
      <c r="H1293" t="s">
        <v>5140</v>
      </c>
      <c r="I1293" t="s">
        <v>5141</v>
      </c>
      <c r="J1293">
        <v>159361</v>
      </c>
      <c r="K1293" t="s">
        <v>2702</v>
      </c>
      <c r="L1293" t="s">
        <v>87</v>
      </c>
      <c r="M1293" t="s">
        <v>39</v>
      </c>
      <c r="N1293">
        <v>45519</v>
      </c>
      <c r="O1293">
        <v>3607</v>
      </c>
      <c r="P1293" t="s">
        <v>92</v>
      </c>
      <c r="Q1293">
        <v>2</v>
      </c>
      <c r="R1293" t="s">
        <v>76</v>
      </c>
      <c r="S1293" t="s">
        <v>21</v>
      </c>
      <c r="T1293" t="s">
        <v>29</v>
      </c>
    </row>
    <row r="1294" spans="1:20" x14ac:dyDescent="0.3">
      <c r="A1294" t="s">
        <v>2703</v>
      </c>
      <c r="B1294" t="s">
        <v>55</v>
      </c>
      <c r="C1294" t="s">
        <v>32</v>
      </c>
      <c r="D1294" t="s">
        <v>25</v>
      </c>
      <c r="E1294" t="s">
        <v>223</v>
      </c>
      <c r="F1294" t="s">
        <v>224</v>
      </c>
      <c r="G1294" t="s">
        <v>50</v>
      </c>
      <c r="H1294" t="s">
        <v>5140</v>
      </c>
      <c r="I1294" t="s">
        <v>5141</v>
      </c>
      <c r="J1294">
        <v>109879</v>
      </c>
      <c r="K1294" t="s">
        <v>2704</v>
      </c>
      <c r="L1294" t="s">
        <v>82</v>
      </c>
      <c r="M1294" t="s">
        <v>19</v>
      </c>
      <c r="N1294">
        <v>45613</v>
      </c>
      <c r="O1294">
        <v>3366</v>
      </c>
      <c r="P1294" t="s">
        <v>20</v>
      </c>
      <c r="Q1294">
        <v>2</v>
      </c>
      <c r="R1294" t="s">
        <v>52</v>
      </c>
      <c r="S1294" t="s">
        <v>41</v>
      </c>
      <c r="T1294" t="s">
        <v>20</v>
      </c>
    </row>
    <row r="1295" spans="1:20" x14ac:dyDescent="0.3">
      <c r="A1295" t="s">
        <v>2705</v>
      </c>
      <c r="B1295" t="s">
        <v>63</v>
      </c>
      <c r="C1295" t="s">
        <v>219</v>
      </c>
      <c r="D1295" t="s">
        <v>104</v>
      </c>
      <c r="E1295" t="s">
        <v>80</v>
      </c>
      <c r="F1295" t="s">
        <v>80</v>
      </c>
      <c r="G1295" t="s">
        <v>50</v>
      </c>
      <c r="H1295" t="s">
        <v>5138</v>
      </c>
      <c r="I1295" t="s">
        <v>5139</v>
      </c>
      <c r="J1295">
        <v>230185</v>
      </c>
      <c r="K1295" t="s">
        <v>2706</v>
      </c>
      <c r="L1295" t="s">
        <v>142</v>
      </c>
      <c r="M1295" t="s">
        <v>72</v>
      </c>
      <c r="N1295">
        <v>45605</v>
      </c>
      <c r="O1295">
        <v>1865</v>
      </c>
      <c r="P1295" t="s">
        <v>20</v>
      </c>
      <c r="Q1295">
        <v>6</v>
      </c>
      <c r="R1295" t="s">
        <v>47</v>
      </c>
      <c r="S1295" t="s">
        <v>21</v>
      </c>
      <c r="T1295" t="s">
        <v>20</v>
      </c>
    </row>
    <row r="1296" spans="1:20" x14ac:dyDescent="0.3">
      <c r="A1296" t="s">
        <v>2707</v>
      </c>
      <c r="B1296" t="s">
        <v>55</v>
      </c>
      <c r="C1296" t="s">
        <v>24</v>
      </c>
      <c r="D1296" t="s">
        <v>68</v>
      </c>
      <c r="E1296" t="s">
        <v>26</v>
      </c>
      <c r="F1296" t="s">
        <v>27</v>
      </c>
      <c r="G1296" t="s">
        <v>16</v>
      </c>
      <c r="H1296" t="s">
        <v>5138</v>
      </c>
      <c r="I1296" t="s">
        <v>5139</v>
      </c>
      <c r="J1296">
        <v>202945</v>
      </c>
      <c r="K1296" t="s">
        <v>2708</v>
      </c>
      <c r="L1296" t="s">
        <v>5165</v>
      </c>
      <c r="M1296" t="s">
        <v>46</v>
      </c>
      <c r="N1296">
        <v>45493</v>
      </c>
      <c r="O1296">
        <v>2641</v>
      </c>
      <c r="P1296" t="s">
        <v>29</v>
      </c>
      <c r="Q1296">
        <v>6</v>
      </c>
      <c r="R1296" t="s">
        <v>47</v>
      </c>
      <c r="S1296" t="s">
        <v>21</v>
      </c>
      <c r="T1296" t="s">
        <v>29</v>
      </c>
    </row>
    <row r="1297" spans="1:20" x14ac:dyDescent="0.3">
      <c r="A1297" t="s">
        <v>2709</v>
      </c>
      <c r="B1297" t="s">
        <v>130</v>
      </c>
      <c r="C1297" t="s">
        <v>232</v>
      </c>
      <c r="D1297" t="s">
        <v>33</v>
      </c>
      <c r="E1297" t="s">
        <v>5128</v>
      </c>
      <c r="F1297" t="s">
        <v>5125</v>
      </c>
      <c r="G1297" t="s">
        <v>36</v>
      </c>
      <c r="H1297" t="s">
        <v>5142</v>
      </c>
      <c r="I1297" t="s">
        <v>5143</v>
      </c>
      <c r="J1297">
        <v>147329</v>
      </c>
      <c r="K1297" t="s">
        <v>2710</v>
      </c>
      <c r="L1297" t="s">
        <v>82</v>
      </c>
      <c r="M1297" t="s">
        <v>19</v>
      </c>
      <c r="N1297">
        <v>45612</v>
      </c>
      <c r="O1297">
        <v>3477</v>
      </c>
      <c r="P1297" t="s">
        <v>20</v>
      </c>
      <c r="Q1297">
        <v>4</v>
      </c>
      <c r="R1297" t="s">
        <v>40</v>
      </c>
      <c r="S1297" t="s">
        <v>21</v>
      </c>
      <c r="T1297" t="s">
        <v>20</v>
      </c>
    </row>
    <row r="1298" spans="1:20" x14ac:dyDescent="0.3">
      <c r="A1298" t="s">
        <v>2711</v>
      </c>
      <c r="B1298" t="s">
        <v>218</v>
      </c>
      <c r="C1298" t="s">
        <v>117</v>
      </c>
      <c r="D1298" t="s">
        <v>118</v>
      </c>
      <c r="E1298" t="s">
        <v>126</v>
      </c>
      <c r="F1298" t="s">
        <v>127</v>
      </c>
      <c r="G1298" t="s">
        <v>16</v>
      </c>
      <c r="H1298" t="s">
        <v>5142</v>
      </c>
      <c r="I1298" t="s">
        <v>5143</v>
      </c>
      <c r="J1298">
        <v>174815</v>
      </c>
      <c r="K1298" t="s">
        <v>2712</v>
      </c>
      <c r="L1298" t="s">
        <v>38</v>
      </c>
      <c r="M1298" t="s">
        <v>39</v>
      </c>
      <c r="N1298">
        <v>45334</v>
      </c>
      <c r="O1298">
        <v>2113</v>
      </c>
      <c r="P1298" t="s">
        <v>20</v>
      </c>
      <c r="Q1298">
        <v>4</v>
      </c>
      <c r="R1298" t="s">
        <v>52</v>
      </c>
      <c r="S1298" t="s">
        <v>21</v>
      </c>
      <c r="T1298" t="s">
        <v>29</v>
      </c>
    </row>
    <row r="1299" spans="1:20" x14ac:dyDescent="0.3">
      <c r="A1299" t="s">
        <v>2713</v>
      </c>
      <c r="B1299" t="s">
        <v>74</v>
      </c>
      <c r="C1299" t="s">
        <v>166</v>
      </c>
      <c r="D1299" t="s">
        <v>68</v>
      </c>
      <c r="E1299" t="s">
        <v>26</v>
      </c>
      <c r="F1299" t="s">
        <v>27</v>
      </c>
      <c r="G1299" t="s">
        <v>36</v>
      </c>
      <c r="H1299" t="s">
        <v>5136</v>
      </c>
      <c r="I1299" t="s">
        <v>5137</v>
      </c>
      <c r="J1299">
        <v>66342</v>
      </c>
      <c r="K1299" t="s">
        <v>2714</v>
      </c>
      <c r="L1299" t="s">
        <v>18</v>
      </c>
      <c r="M1299" t="s">
        <v>19</v>
      </c>
      <c r="N1299">
        <v>45445</v>
      </c>
      <c r="O1299">
        <v>3331</v>
      </c>
      <c r="P1299" t="s">
        <v>20</v>
      </c>
      <c r="Q1299">
        <v>0</v>
      </c>
      <c r="R1299" t="s">
        <v>5116</v>
      </c>
      <c r="S1299" t="s">
        <v>53</v>
      </c>
      <c r="T1299" t="s">
        <v>29</v>
      </c>
    </row>
    <row r="1300" spans="1:20" x14ac:dyDescent="0.3">
      <c r="A1300" t="s">
        <v>2715</v>
      </c>
      <c r="B1300" t="s">
        <v>55</v>
      </c>
      <c r="C1300" t="s">
        <v>232</v>
      </c>
      <c r="D1300" t="s">
        <v>5156</v>
      </c>
      <c r="E1300" t="s">
        <v>223</v>
      </c>
      <c r="F1300" t="s">
        <v>224</v>
      </c>
      <c r="G1300" t="s">
        <v>36</v>
      </c>
      <c r="H1300" t="s">
        <v>5138</v>
      </c>
      <c r="I1300" t="s">
        <v>5139</v>
      </c>
      <c r="J1300">
        <v>209626</v>
      </c>
      <c r="K1300" t="s">
        <v>2716</v>
      </c>
      <c r="L1300" t="s">
        <v>38</v>
      </c>
      <c r="M1300" t="s">
        <v>46</v>
      </c>
      <c r="N1300">
        <v>45415</v>
      </c>
      <c r="O1300">
        <v>2906</v>
      </c>
      <c r="P1300" t="s">
        <v>20</v>
      </c>
      <c r="Q1300">
        <v>6</v>
      </c>
      <c r="R1300" t="s">
        <v>5116</v>
      </c>
      <c r="S1300" t="s">
        <v>21</v>
      </c>
      <c r="T1300" t="s">
        <v>29</v>
      </c>
    </row>
    <row r="1301" spans="1:20" x14ac:dyDescent="0.3">
      <c r="A1301" t="s">
        <v>2717</v>
      </c>
      <c r="B1301" t="s">
        <v>130</v>
      </c>
      <c r="C1301" t="s">
        <v>100</v>
      </c>
      <c r="D1301" t="s">
        <v>140</v>
      </c>
      <c r="E1301" t="s">
        <v>34</v>
      </c>
      <c r="F1301" t="s">
        <v>35</v>
      </c>
      <c r="G1301" t="s">
        <v>16</v>
      </c>
      <c r="H1301" t="s">
        <v>5138</v>
      </c>
      <c r="I1301" t="s">
        <v>5139</v>
      </c>
      <c r="J1301">
        <v>211581</v>
      </c>
      <c r="K1301" t="s">
        <v>2718</v>
      </c>
      <c r="L1301" t="s">
        <v>5165</v>
      </c>
      <c r="M1301" t="s">
        <v>72</v>
      </c>
      <c r="N1301">
        <v>45674</v>
      </c>
      <c r="O1301">
        <v>722</v>
      </c>
      <c r="P1301" t="s">
        <v>20</v>
      </c>
      <c r="Q1301">
        <v>6</v>
      </c>
      <c r="R1301" t="s">
        <v>5116</v>
      </c>
      <c r="S1301" t="s">
        <v>21</v>
      </c>
      <c r="T1301" t="s">
        <v>20</v>
      </c>
    </row>
    <row r="1302" spans="1:20" x14ac:dyDescent="0.3">
      <c r="A1302" t="s">
        <v>2719</v>
      </c>
      <c r="B1302" t="s">
        <v>55</v>
      </c>
      <c r="C1302" t="s">
        <v>185</v>
      </c>
      <c r="D1302" t="s">
        <v>167</v>
      </c>
      <c r="E1302" t="s">
        <v>26</v>
      </c>
      <c r="F1302" t="s">
        <v>27</v>
      </c>
      <c r="G1302" t="s">
        <v>16</v>
      </c>
      <c r="H1302" t="s">
        <v>5140</v>
      </c>
      <c r="I1302" t="s">
        <v>5141</v>
      </c>
      <c r="J1302">
        <v>96771</v>
      </c>
      <c r="K1302" t="s">
        <v>2720</v>
      </c>
      <c r="L1302" t="s">
        <v>134</v>
      </c>
      <c r="M1302" t="s">
        <v>46</v>
      </c>
      <c r="N1302">
        <v>45593</v>
      </c>
      <c r="O1302">
        <v>394</v>
      </c>
      <c r="P1302" t="s">
        <v>20</v>
      </c>
      <c r="Q1302">
        <v>2</v>
      </c>
      <c r="R1302" t="s">
        <v>52</v>
      </c>
      <c r="S1302" t="s">
        <v>21</v>
      </c>
      <c r="T1302" t="s">
        <v>29</v>
      </c>
    </row>
    <row r="1303" spans="1:20" x14ac:dyDescent="0.3">
      <c r="A1303" t="s">
        <v>2721</v>
      </c>
      <c r="B1303" t="s">
        <v>74</v>
      </c>
      <c r="C1303" t="s">
        <v>103</v>
      </c>
      <c r="D1303" t="s">
        <v>57</v>
      </c>
      <c r="E1303" t="s">
        <v>5126</v>
      </c>
      <c r="F1303" t="s">
        <v>5125</v>
      </c>
      <c r="G1303" t="s">
        <v>16</v>
      </c>
      <c r="H1303" t="s">
        <v>5142</v>
      </c>
      <c r="I1303" t="s">
        <v>5143</v>
      </c>
      <c r="J1303">
        <v>176785</v>
      </c>
      <c r="K1303" t="s">
        <v>2722</v>
      </c>
      <c r="L1303" t="s">
        <v>38</v>
      </c>
      <c r="M1303" t="s">
        <v>46</v>
      </c>
      <c r="N1303">
        <v>45442</v>
      </c>
      <c r="O1303">
        <v>3729</v>
      </c>
      <c r="P1303" t="s">
        <v>20</v>
      </c>
      <c r="Q1303">
        <v>4</v>
      </c>
      <c r="R1303" t="s">
        <v>40</v>
      </c>
      <c r="S1303" t="s">
        <v>21</v>
      </c>
      <c r="T1303" t="s">
        <v>20</v>
      </c>
    </row>
    <row r="1304" spans="1:20" x14ac:dyDescent="0.3">
      <c r="A1304" t="s">
        <v>2723</v>
      </c>
      <c r="B1304" t="s">
        <v>222</v>
      </c>
      <c r="C1304" t="s">
        <v>100</v>
      </c>
      <c r="D1304" t="s">
        <v>140</v>
      </c>
      <c r="E1304" t="s">
        <v>126</v>
      </c>
      <c r="F1304" t="s">
        <v>127</v>
      </c>
      <c r="G1304" t="s">
        <v>16</v>
      </c>
      <c r="H1304" t="s">
        <v>5136</v>
      </c>
      <c r="I1304" t="s">
        <v>5137</v>
      </c>
      <c r="J1304">
        <v>67795</v>
      </c>
      <c r="K1304" t="s">
        <v>2724</v>
      </c>
      <c r="L1304" t="s">
        <v>38</v>
      </c>
      <c r="M1304" t="s">
        <v>39</v>
      </c>
      <c r="N1304">
        <v>45542</v>
      </c>
      <c r="O1304">
        <v>1468</v>
      </c>
      <c r="P1304" t="s">
        <v>20</v>
      </c>
      <c r="Q1304">
        <v>0</v>
      </c>
      <c r="R1304" t="s">
        <v>47</v>
      </c>
      <c r="S1304" t="s">
        <v>21</v>
      </c>
      <c r="T1304" t="s">
        <v>20</v>
      </c>
    </row>
    <row r="1305" spans="1:20" x14ac:dyDescent="0.3">
      <c r="A1305" t="s">
        <v>2725</v>
      </c>
      <c r="B1305" t="s">
        <v>165</v>
      </c>
      <c r="C1305" t="s">
        <v>100</v>
      </c>
      <c r="D1305" t="s">
        <v>167</v>
      </c>
      <c r="E1305" t="s">
        <v>14</v>
      </c>
      <c r="F1305" t="s">
        <v>15</v>
      </c>
      <c r="G1305" t="s">
        <v>50</v>
      </c>
      <c r="H1305" t="s">
        <v>5138</v>
      </c>
      <c r="I1305" t="s">
        <v>5139</v>
      </c>
      <c r="J1305">
        <v>172793</v>
      </c>
      <c r="K1305" t="s">
        <v>2726</v>
      </c>
      <c r="L1305" t="s">
        <v>5165</v>
      </c>
      <c r="M1305" t="s">
        <v>46</v>
      </c>
      <c r="N1305">
        <v>45444</v>
      </c>
      <c r="O1305">
        <v>3416</v>
      </c>
      <c r="P1305" t="s">
        <v>92</v>
      </c>
      <c r="Q1305">
        <v>6</v>
      </c>
      <c r="R1305" t="s">
        <v>40</v>
      </c>
      <c r="S1305" t="s">
        <v>53</v>
      </c>
      <c r="T1305" t="s">
        <v>20</v>
      </c>
    </row>
    <row r="1306" spans="1:20" x14ac:dyDescent="0.3">
      <c r="A1306" t="s">
        <v>2727</v>
      </c>
      <c r="B1306" t="s">
        <v>31</v>
      </c>
      <c r="C1306" t="s">
        <v>166</v>
      </c>
      <c r="D1306" t="s">
        <v>140</v>
      </c>
      <c r="E1306" t="s">
        <v>152</v>
      </c>
      <c r="F1306" t="s">
        <v>153</v>
      </c>
      <c r="G1306" t="s">
        <v>16</v>
      </c>
      <c r="H1306" t="s">
        <v>5138</v>
      </c>
      <c r="I1306" t="s">
        <v>5139</v>
      </c>
      <c r="J1306">
        <v>219314</v>
      </c>
      <c r="K1306" t="s">
        <v>2728</v>
      </c>
      <c r="L1306" t="s">
        <v>38</v>
      </c>
      <c r="M1306" t="s">
        <v>39</v>
      </c>
      <c r="N1306">
        <v>45565</v>
      </c>
      <c r="O1306">
        <v>1541</v>
      </c>
      <c r="P1306" t="s">
        <v>20</v>
      </c>
      <c r="Q1306">
        <v>6</v>
      </c>
      <c r="R1306" t="s">
        <v>40</v>
      </c>
      <c r="S1306" t="s">
        <v>21</v>
      </c>
      <c r="T1306" t="s">
        <v>29</v>
      </c>
    </row>
    <row r="1307" spans="1:20" x14ac:dyDescent="0.3">
      <c r="A1307" t="s">
        <v>2729</v>
      </c>
      <c r="B1307" t="s">
        <v>218</v>
      </c>
      <c r="C1307" t="s">
        <v>172</v>
      </c>
      <c r="D1307" t="s">
        <v>5156</v>
      </c>
      <c r="E1307" t="s">
        <v>5129</v>
      </c>
      <c r="F1307" t="s">
        <v>5130</v>
      </c>
      <c r="G1307" t="s">
        <v>16</v>
      </c>
      <c r="H1307" t="s">
        <v>5136</v>
      </c>
      <c r="I1307" t="s">
        <v>5137</v>
      </c>
      <c r="J1307">
        <v>58679</v>
      </c>
      <c r="K1307" t="s">
        <v>2730</v>
      </c>
      <c r="L1307" t="s">
        <v>179</v>
      </c>
      <c r="M1307" t="s">
        <v>46</v>
      </c>
      <c r="N1307">
        <v>45692</v>
      </c>
      <c r="O1307">
        <v>1008</v>
      </c>
      <c r="P1307" t="s">
        <v>20</v>
      </c>
      <c r="Q1307">
        <v>0</v>
      </c>
      <c r="R1307" t="s">
        <v>52</v>
      </c>
      <c r="S1307" t="s">
        <v>21</v>
      </c>
      <c r="T1307" t="s">
        <v>20</v>
      </c>
    </row>
    <row r="1308" spans="1:20" x14ac:dyDescent="0.3">
      <c r="A1308" t="s">
        <v>2731</v>
      </c>
      <c r="B1308" t="s">
        <v>222</v>
      </c>
      <c r="C1308" t="s">
        <v>166</v>
      </c>
      <c r="D1308" t="s">
        <v>33</v>
      </c>
      <c r="E1308" t="s">
        <v>69</v>
      </c>
      <c r="F1308" t="s">
        <v>70</v>
      </c>
      <c r="G1308" t="s">
        <v>16</v>
      </c>
      <c r="H1308" t="s">
        <v>5142</v>
      </c>
      <c r="I1308" t="s">
        <v>5143</v>
      </c>
      <c r="J1308">
        <v>150760</v>
      </c>
      <c r="K1308" t="s">
        <v>2732</v>
      </c>
      <c r="L1308" t="s">
        <v>142</v>
      </c>
      <c r="M1308" t="s">
        <v>46</v>
      </c>
      <c r="N1308">
        <v>45343</v>
      </c>
      <c r="O1308">
        <v>1699</v>
      </c>
      <c r="P1308" t="s">
        <v>29</v>
      </c>
      <c r="Q1308">
        <v>4</v>
      </c>
      <c r="R1308" t="s">
        <v>5116</v>
      </c>
      <c r="S1308" t="s">
        <v>41</v>
      </c>
      <c r="T1308" t="s">
        <v>29</v>
      </c>
    </row>
    <row r="1309" spans="1:20" x14ac:dyDescent="0.3">
      <c r="A1309" t="s">
        <v>2733</v>
      </c>
      <c r="B1309" t="s">
        <v>23</v>
      </c>
      <c r="C1309" t="s">
        <v>109</v>
      </c>
      <c r="D1309" t="s">
        <v>5156</v>
      </c>
      <c r="E1309" t="s">
        <v>126</v>
      </c>
      <c r="F1309" t="s">
        <v>127</v>
      </c>
      <c r="G1309" t="s">
        <v>36</v>
      </c>
      <c r="H1309" t="s">
        <v>5136</v>
      </c>
      <c r="I1309" t="s">
        <v>5137</v>
      </c>
      <c r="J1309">
        <v>69885</v>
      </c>
      <c r="K1309" t="s">
        <v>2734</v>
      </c>
      <c r="L1309" t="s">
        <v>82</v>
      </c>
      <c r="M1309" t="s">
        <v>46</v>
      </c>
      <c r="N1309">
        <v>45315</v>
      </c>
      <c r="O1309">
        <v>594</v>
      </c>
      <c r="P1309" t="s">
        <v>92</v>
      </c>
      <c r="Q1309">
        <v>0</v>
      </c>
      <c r="R1309" t="s">
        <v>76</v>
      </c>
      <c r="S1309" t="s">
        <v>21</v>
      </c>
      <c r="T1309" t="s">
        <v>29</v>
      </c>
    </row>
    <row r="1310" spans="1:20" x14ac:dyDescent="0.3">
      <c r="A1310" t="s">
        <v>2735</v>
      </c>
      <c r="B1310" t="s">
        <v>63</v>
      </c>
      <c r="C1310" t="s">
        <v>56</v>
      </c>
      <c r="D1310" t="s">
        <v>140</v>
      </c>
      <c r="E1310" t="s">
        <v>14</v>
      </c>
      <c r="F1310" t="s">
        <v>15</v>
      </c>
      <c r="G1310" t="s">
        <v>16</v>
      </c>
      <c r="H1310" t="s">
        <v>5142</v>
      </c>
      <c r="I1310" t="s">
        <v>5143</v>
      </c>
      <c r="J1310">
        <v>179319</v>
      </c>
      <c r="K1310" t="s">
        <v>2736</v>
      </c>
      <c r="L1310" t="s">
        <v>61</v>
      </c>
      <c r="M1310" t="s">
        <v>39</v>
      </c>
      <c r="N1310">
        <v>45672</v>
      </c>
      <c r="O1310">
        <v>3737</v>
      </c>
      <c r="P1310" t="s">
        <v>20</v>
      </c>
      <c r="Q1310">
        <v>4</v>
      </c>
      <c r="R1310" t="s">
        <v>40</v>
      </c>
      <c r="S1310" t="s">
        <v>53</v>
      </c>
      <c r="T1310" t="s">
        <v>29</v>
      </c>
    </row>
    <row r="1311" spans="1:20" x14ac:dyDescent="0.3">
      <c r="A1311" t="s">
        <v>2737</v>
      </c>
      <c r="B1311" t="s">
        <v>74</v>
      </c>
      <c r="C1311" t="s">
        <v>103</v>
      </c>
      <c r="D1311" t="s">
        <v>25</v>
      </c>
      <c r="E1311" t="s">
        <v>5129</v>
      </c>
      <c r="F1311" t="s">
        <v>5130</v>
      </c>
      <c r="G1311" t="s">
        <v>16</v>
      </c>
      <c r="H1311" t="s">
        <v>5136</v>
      </c>
      <c r="I1311" t="s">
        <v>5137</v>
      </c>
      <c r="J1311">
        <v>75981</v>
      </c>
      <c r="K1311" t="s">
        <v>2738</v>
      </c>
      <c r="L1311" t="s">
        <v>38</v>
      </c>
      <c r="M1311" t="s">
        <v>46</v>
      </c>
      <c r="N1311">
        <v>45370</v>
      </c>
      <c r="O1311">
        <v>88</v>
      </c>
      <c r="P1311" t="s">
        <v>29</v>
      </c>
      <c r="Q1311">
        <v>0</v>
      </c>
      <c r="R1311" t="s">
        <v>52</v>
      </c>
      <c r="S1311" t="s">
        <v>21</v>
      </c>
      <c r="T1311" t="s">
        <v>29</v>
      </c>
    </row>
    <row r="1312" spans="1:20" x14ac:dyDescent="0.3">
      <c r="A1312" t="s">
        <v>2739</v>
      </c>
      <c r="B1312" t="s">
        <v>124</v>
      </c>
      <c r="C1312" t="s">
        <v>125</v>
      </c>
      <c r="D1312" t="s">
        <v>167</v>
      </c>
      <c r="E1312" t="s">
        <v>58</v>
      </c>
      <c r="F1312" t="s">
        <v>59</v>
      </c>
      <c r="G1312" t="s">
        <v>16</v>
      </c>
      <c r="H1312" t="s">
        <v>5140</v>
      </c>
      <c r="I1312" t="s">
        <v>5141</v>
      </c>
      <c r="J1312">
        <v>109504</v>
      </c>
      <c r="K1312" t="s">
        <v>2740</v>
      </c>
      <c r="L1312" t="s">
        <v>61</v>
      </c>
      <c r="M1312" t="s">
        <v>46</v>
      </c>
      <c r="N1312">
        <v>45361</v>
      </c>
      <c r="O1312">
        <v>401</v>
      </c>
      <c r="P1312" t="s">
        <v>92</v>
      </c>
      <c r="Q1312">
        <v>2</v>
      </c>
      <c r="R1312" t="s">
        <v>76</v>
      </c>
      <c r="S1312" t="s">
        <v>53</v>
      </c>
      <c r="T1312" t="s">
        <v>20</v>
      </c>
    </row>
    <row r="1313" spans="1:20" x14ac:dyDescent="0.3">
      <c r="A1313" t="s">
        <v>2741</v>
      </c>
      <c r="B1313" t="s">
        <v>12</v>
      </c>
      <c r="C1313" t="s">
        <v>160</v>
      </c>
      <c r="D1313" t="s">
        <v>68</v>
      </c>
      <c r="E1313" t="s">
        <v>14</v>
      </c>
      <c r="F1313" t="s">
        <v>15</v>
      </c>
      <c r="G1313" t="s">
        <v>36</v>
      </c>
      <c r="H1313" t="s">
        <v>5140</v>
      </c>
      <c r="I1313" t="s">
        <v>5141</v>
      </c>
      <c r="J1313">
        <v>126191</v>
      </c>
      <c r="K1313" t="s">
        <v>2742</v>
      </c>
      <c r="L1313" t="s">
        <v>38</v>
      </c>
      <c r="M1313" t="s">
        <v>46</v>
      </c>
      <c r="N1313">
        <v>45399</v>
      </c>
      <c r="O1313">
        <v>3272</v>
      </c>
      <c r="P1313" t="s">
        <v>29</v>
      </c>
      <c r="Q1313">
        <v>2</v>
      </c>
      <c r="R1313" t="s">
        <v>47</v>
      </c>
      <c r="S1313" t="s">
        <v>53</v>
      </c>
      <c r="T1313" t="s">
        <v>29</v>
      </c>
    </row>
    <row r="1314" spans="1:20" x14ac:dyDescent="0.3">
      <c r="A1314" t="s">
        <v>2743</v>
      </c>
      <c r="B1314" t="s">
        <v>322</v>
      </c>
      <c r="C1314" t="s">
        <v>188</v>
      </c>
      <c r="D1314" t="s">
        <v>57</v>
      </c>
      <c r="E1314" t="s">
        <v>5124</v>
      </c>
      <c r="F1314" t="s">
        <v>5125</v>
      </c>
      <c r="G1314" t="s">
        <v>16</v>
      </c>
      <c r="H1314" t="s">
        <v>5142</v>
      </c>
      <c r="I1314" t="s">
        <v>5143</v>
      </c>
      <c r="J1314">
        <v>187535</v>
      </c>
      <c r="K1314" t="s">
        <v>2744</v>
      </c>
      <c r="L1314" t="s">
        <v>5165</v>
      </c>
      <c r="M1314" t="s">
        <v>46</v>
      </c>
      <c r="N1314">
        <v>45447</v>
      </c>
      <c r="O1314">
        <v>719</v>
      </c>
      <c r="P1314" t="s">
        <v>20</v>
      </c>
      <c r="Q1314">
        <v>4</v>
      </c>
      <c r="R1314" t="s">
        <v>76</v>
      </c>
      <c r="S1314" t="s">
        <v>21</v>
      </c>
      <c r="T1314" t="s">
        <v>29</v>
      </c>
    </row>
    <row r="1315" spans="1:20" x14ac:dyDescent="0.3">
      <c r="A1315" t="s">
        <v>2745</v>
      </c>
      <c r="B1315" t="s">
        <v>215</v>
      </c>
      <c r="C1315" t="s">
        <v>109</v>
      </c>
      <c r="D1315" t="s">
        <v>33</v>
      </c>
      <c r="E1315" t="s">
        <v>193</v>
      </c>
      <c r="F1315" t="s">
        <v>194</v>
      </c>
      <c r="G1315" t="s">
        <v>50</v>
      </c>
      <c r="H1315" t="s">
        <v>5136</v>
      </c>
      <c r="I1315" t="s">
        <v>5137</v>
      </c>
      <c r="J1315">
        <v>77028</v>
      </c>
      <c r="K1315" t="s">
        <v>2746</v>
      </c>
      <c r="L1315" t="s">
        <v>5165</v>
      </c>
      <c r="M1315" t="s">
        <v>19</v>
      </c>
      <c r="N1315">
        <v>45418</v>
      </c>
      <c r="O1315">
        <v>736</v>
      </c>
      <c r="P1315" t="s">
        <v>20</v>
      </c>
      <c r="Q1315">
        <v>0</v>
      </c>
      <c r="R1315" t="s">
        <v>47</v>
      </c>
      <c r="S1315" t="s">
        <v>21</v>
      </c>
      <c r="T1315" t="s">
        <v>20</v>
      </c>
    </row>
    <row r="1316" spans="1:20" x14ac:dyDescent="0.3">
      <c r="A1316" t="s">
        <v>2747</v>
      </c>
      <c r="B1316" t="s">
        <v>63</v>
      </c>
      <c r="C1316" t="s">
        <v>160</v>
      </c>
      <c r="D1316" t="s">
        <v>167</v>
      </c>
      <c r="E1316" t="s">
        <v>95</v>
      </c>
      <c r="F1316" t="s">
        <v>96</v>
      </c>
      <c r="G1316" t="s">
        <v>50</v>
      </c>
      <c r="H1316" t="s">
        <v>5142</v>
      </c>
      <c r="I1316" t="s">
        <v>5143</v>
      </c>
      <c r="J1316">
        <v>150279</v>
      </c>
      <c r="K1316" t="s">
        <v>2748</v>
      </c>
      <c r="L1316" t="s">
        <v>134</v>
      </c>
      <c r="M1316" t="s">
        <v>39</v>
      </c>
      <c r="N1316">
        <v>45498</v>
      </c>
      <c r="O1316">
        <v>258</v>
      </c>
      <c r="P1316" t="s">
        <v>20</v>
      </c>
      <c r="Q1316">
        <v>4</v>
      </c>
      <c r="R1316" t="s">
        <v>52</v>
      </c>
      <c r="S1316" t="s">
        <v>21</v>
      </c>
      <c r="T1316" t="s">
        <v>29</v>
      </c>
    </row>
    <row r="1317" spans="1:20" x14ac:dyDescent="0.3">
      <c r="A1317" t="s">
        <v>2749</v>
      </c>
      <c r="B1317" t="s">
        <v>89</v>
      </c>
      <c r="C1317" t="s">
        <v>43</v>
      </c>
      <c r="D1317" t="s">
        <v>33</v>
      </c>
      <c r="E1317" t="s">
        <v>26</v>
      </c>
      <c r="F1317" t="s">
        <v>27</v>
      </c>
      <c r="G1317" t="s">
        <v>16</v>
      </c>
      <c r="H1317" t="s">
        <v>5142</v>
      </c>
      <c r="I1317" t="s">
        <v>5143</v>
      </c>
      <c r="J1317">
        <v>114580</v>
      </c>
      <c r="K1317" t="s">
        <v>2750</v>
      </c>
      <c r="L1317" t="s">
        <v>38</v>
      </c>
      <c r="M1317" t="s">
        <v>46</v>
      </c>
      <c r="N1317">
        <v>45726</v>
      </c>
      <c r="O1317">
        <v>531</v>
      </c>
      <c r="P1317" t="s">
        <v>20</v>
      </c>
      <c r="Q1317">
        <v>4</v>
      </c>
      <c r="R1317" t="s">
        <v>76</v>
      </c>
      <c r="S1317" t="s">
        <v>21</v>
      </c>
      <c r="T1317" t="s">
        <v>29</v>
      </c>
    </row>
    <row r="1318" spans="1:20" x14ac:dyDescent="0.3">
      <c r="A1318" t="s">
        <v>2751</v>
      </c>
      <c r="B1318" t="s">
        <v>84</v>
      </c>
      <c r="C1318" t="s">
        <v>90</v>
      </c>
      <c r="D1318" t="s">
        <v>57</v>
      </c>
      <c r="E1318" t="s">
        <v>223</v>
      </c>
      <c r="F1318" t="s">
        <v>224</v>
      </c>
      <c r="G1318" t="s">
        <v>16</v>
      </c>
      <c r="H1318" t="s">
        <v>5140</v>
      </c>
      <c r="I1318" t="s">
        <v>5141</v>
      </c>
      <c r="J1318">
        <v>88910</v>
      </c>
      <c r="K1318" t="s">
        <v>2752</v>
      </c>
      <c r="L1318" t="s">
        <v>61</v>
      </c>
      <c r="M1318" t="s">
        <v>39</v>
      </c>
      <c r="N1318">
        <v>45654</v>
      </c>
      <c r="O1318">
        <v>3904</v>
      </c>
      <c r="P1318" t="s">
        <v>29</v>
      </c>
      <c r="Q1318">
        <v>2</v>
      </c>
      <c r="R1318" t="s">
        <v>76</v>
      </c>
      <c r="S1318" t="s">
        <v>41</v>
      </c>
      <c r="T1318" t="s">
        <v>29</v>
      </c>
    </row>
    <row r="1319" spans="1:20" x14ac:dyDescent="0.3">
      <c r="A1319" t="s">
        <v>2753</v>
      </c>
      <c r="B1319" t="s">
        <v>99</v>
      </c>
      <c r="C1319" t="s">
        <v>202</v>
      </c>
      <c r="D1319" t="s">
        <v>25</v>
      </c>
      <c r="E1319" t="s">
        <v>5131</v>
      </c>
      <c r="F1319" t="s">
        <v>5125</v>
      </c>
      <c r="G1319" t="s">
        <v>36</v>
      </c>
      <c r="H1319" t="s">
        <v>5142</v>
      </c>
      <c r="I1319" t="s">
        <v>5143</v>
      </c>
      <c r="J1319">
        <v>141758</v>
      </c>
      <c r="K1319" t="s">
        <v>2754</v>
      </c>
      <c r="L1319" t="s">
        <v>87</v>
      </c>
      <c r="M1319" t="s">
        <v>46</v>
      </c>
      <c r="N1319">
        <v>45548</v>
      </c>
      <c r="O1319">
        <v>2532</v>
      </c>
      <c r="P1319" t="s">
        <v>20</v>
      </c>
      <c r="Q1319">
        <v>4</v>
      </c>
      <c r="R1319" t="s">
        <v>76</v>
      </c>
      <c r="S1319" t="s">
        <v>53</v>
      </c>
      <c r="T1319" t="s">
        <v>29</v>
      </c>
    </row>
    <row r="1320" spans="1:20" x14ac:dyDescent="0.3">
      <c r="A1320" t="s">
        <v>2755</v>
      </c>
      <c r="B1320" t="s">
        <v>12</v>
      </c>
      <c r="C1320" t="s">
        <v>90</v>
      </c>
      <c r="D1320" t="s">
        <v>33</v>
      </c>
      <c r="E1320" t="s">
        <v>26</v>
      </c>
      <c r="F1320" t="s">
        <v>27</v>
      </c>
      <c r="G1320" t="s">
        <v>36</v>
      </c>
      <c r="H1320" t="s">
        <v>5142</v>
      </c>
      <c r="I1320" t="s">
        <v>5143</v>
      </c>
      <c r="J1320">
        <v>133543</v>
      </c>
      <c r="K1320" t="s">
        <v>2756</v>
      </c>
      <c r="L1320" t="s">
        <v>5165</v>
      </c>
      <c r="M1320" t="s">
        <v>46</v>
      </c>
      <c r="N1320">
        <v>45548</v>
      </c>
      <c r="O1320">
        <v>129</v>
      </c>
      <c r="P1320" t="s">
        <v>29</v>
      </c>
      <c r="Q1320">
        <v>4</v>
      </c>
      <c r="R1320" t="s">
        <v>52</v>
      </c>
      <c r="S1320" t="s">
        <v>53</v>
      </c>
      <c r="T1320" t="s">
        <v>20</v>
      </c>
    </row>
    <row r="1321" spans="1:20" x14ac:dyDescent="0.3">
      <c r="A1321" t="s">
        <v>2757</v>
      </c>
      <c r="B1321" t="s">
        <v>130</v>
      </c>
      <c r="C1321" t="s">
        <v>67</v>
      </c>
      <c r="D1321" t="s">
        <v>5156</v>
      </c>
      <c r="E1321" t="s">
        <v>152</v>
      </c>
      <c r="F1321" t="s">
        <v>153</v>
      </c>
      <c r="G1321" t="s">
        <v>36</v>
      </c>
      <c r="H1321" t="s">
        <v>5136</v>
      </c>
      <c r="I1321" t="s">
        <v>5137</v>
      </c>
      <c r="J1321">
        <v>67644</v>
      </c>
      <c r="K1321" t="s">
        <v>2758</v>
      </c>
      <c r="L1321" t="s">
        <v>82</v>
      </c>
      <c r="M1321" t="s">
        <v>46</v>
      </c>
      <c r="N1321">
        <v>45688</v>
      </c>
      <c r="O1321">
        <v>1593</v>
      </c>
      <c r="P1321" t="s">
        <v>20</v>
      </c>
      <c r="Q1321">
        <v>0</v>
      </c>
      <c r="R1321" t="s">
        <v>76</v>
      </c>
      <c r="S1321" t="s">
        <v>21</v>
      </c>
      <c r="T1321" t="s">
        <v>29</v>
      </c>
    </row>
    <row r="1322" spans="1:20" x14ac:dyDescent="0.3">
      <c r="A1322" t="s">
        <v>2759</v>
      </c>
      <c r="B1322" t="s">
        <v>12</v>
      </c>
      <c r="C1322" t="s">
        <v>109</v>
      </c>
      <c r="D1322" t="s">
        <v>118</v>
      </c>
      <c r="E1322" t="s">
        <v>5126</v>
      </c>
      <c r="F1322" t="s">
        <v>5125</v>
      </c>
      <c r="G1322" t="s">
        <v>36</v>
      </c>
      <c r="H1322" t="s">
        <v>5142</v>
      </c>
      <c r="I1322" t="s">
        <v>5143</v>
      </c>
      <c r="J1322">
        <v>151529</v>
      </c>
      <c r="K1322" t="s">
        <v>2760</v>
      </c>
      <c r="L1322" t="s">
        <v>113</v>
      </c>
      <c r="M1322" t="s">
        <v>39</v>
      </c>
      <c r="N1322">
        <v>45595</v>
      </c>
      <c r="O1322">
        <v>1601</v>
      </c>
      <c r="P1322" t="s">
        <v>20</v>
      </c>
      <c r="Q1322">
        <v>4</v>
      </c>
      <c r="R1322" t="s">
        <v>40</v>
      </c>
      <c r="S1322" t="s">
        <v>21</v>
      </c>
      <c r="T1322" t="s">
        <v>29</v>
      </c>
    </row>
    <row r="1323" spans="1:20" x14ac:dyDescent="0.3">
      <c r="A1323" t="s">
        <v>2761</v>
      </c>
      <c r="B1323" t="s">
        <v>99</v>
      </c>
      <c r="C1323" t="s">
        <v>43</v>
      </c>
      <c r="D1323" t="s">
        <v>44</v>
      </c>
      <c r="E1323" t="s">
        <v>34</v>
      </c>
      <c r="F1323" t="s">
        <v>35</v>
      </c>
      <c r="G1323" t="s">
        <v>16</v>
      </c>
      <c r="H1323" t="s">
        <v>5136</v>
      </c>
      <c r="I1323" t="s">
        <v>5137</v>
      </c>
      <c r="J1323">
        <v>76674</v>
      </c>
      <c r="K1323" t="s">
        <v>2762</v>
      </c>
      <c r="L1323" t="s">
        <v>142</v>
      </c>
      <c r="M1323" t="s">
        <v>19</v>
      </c>
      <c r="N1323">
        <v>45591</v>
      </c>
      <c r="O1323">
        <v>2887</v>
      </c>
      <c r="P1323" t="s">
        <v>92</v>
      </c>
      <c r="Q1323">
        <v>0</v>
      </c>
      <c r="R1323" t="s">
        <v>40</v>
      </c>
      <c r="S1323" t="s">
        <v>21</v>
      </c>
      <c r="T1323" t="s">
        <v>29</v>
      </c>
    </row>
    <row r="1324" spans="1:20" x14ac:dyDescent="0.3">
      <c r="A1324" t="s">
        <v>2763</v>
      </c>
      <c r="B1324" t="s">
        <v>322</v>
      </c>
      <c r="C1324" t="s">
        <v>94</v>
      </c>
      <c r="D1324" t="s">
        <v>118</v>
      </c>
      <c r="E1324" t="s">
        <v>5132</v>
      </c>
      <c r="F1324" t="s">
        <v>5125</v>
      </c>
      <c r="G1324" t="s">
        <v>16</v>
      </c>
      <c r="H1324" t="s">
        <v>5138</v>
      </c>
      <c r="I1324" t="s">
        <v>5139</v>
      </c>
      <c r="J1324">
        <v>197462</v>
      </c>
      <c r="K1324" t="s">
        <v>2764</v>
      </c>
      <c r="L1324" t="s">
        <v>134</v>
      </c>
      <c r="M1324" t="s">
        <v>46</v>
      </c>
      <c r="N1324">
        <v>45747</v>
      </c>
      <c r="O1324">
        <v>475</v>
      </c>
      <c r="P1324" t="s">
        <v>20</v>
      </c>
      <c r="Q1324">
        <v>6</v>
      </c>
      <c r="R1324" t="s">
        <v>47</v>
      </c>
      <c r="S1324" t="s">
        <v>21</v>
      </c>
      <c r="T1324" t="s">
        <v>29</v>
      </c>
    </row>
    <row r="1325" spans="1:20" x14ac:dyDescent="0.3">
      <c r="A1325" t="s">
        <v>2765</v>
      </c>
      <c r="B1325" t="s">
        <v>136</v>
      </c>
      <c r="C1325" t="s">
        <v>43</v>
      </c>
      <c r="D1325" t="s">
        <v>33</v>
      </c>
      <c r="E1325" t="s">
        <v>5128</v>
      </c>
      <c r="F1325" t="s">
        <v>5125</v>
      </c>
      <c r="G1325" t="s">
        <v>16</v>
      </c>
      <c r="H1325" t="s">
        <v>5136</v>
      </c>
      <c r="I1325" t="s">
        <v>5137</v>
      </c>
      <c r="J1325">
        <v>76129</v>
      </c>
      <c r="K1325" t="s">
        <v>2766</v>
      </c>
      <c r="L1325" t="s">
        <v>5165</v>
      </c>
      <c r="M1325" t="s">
        <v>72</v>
      </c>
      <c r="N1325">
        <v>45410</v>
      </c>
      <c r="O1325">
        <v>2195</v>
      </c>
      <c r="P1325" t="s">
        <v>20</v>
      </c>
      <c r="Q1325">
        <v>0</v>
      </c>
      <c r="R1325" t="s">
        <v>40</v>
      </c>
      <c r="S1325" t="s">
        <v>21</v>
      </c>
      <c r="T1325" t="s">
        <v>20</v>
      </c>
    </row>
    <row r="1326" spans="1:20" x14ac:dyDescent="0.3">
      <c r="A1326" t="s">
        <v>2767</v>
      </c>
      <c r="B1326" t="s">
        <v>31</v>
      </c>
      <c r="C1326" t="s">
        <v>103</v>
      </c>
      <c r="D1326" t="s">
        <v>44</v>
      </c>
      <c r="E1326" t="s">
        <v>5127</v>
      </c>
      <c r="F1326" t="s">
        <v>5125</v>
      </c>
      <c r="G1326" t="s">
        <v>50</v>
      </c>
      <c r="H1326" t="s">
        <v>5136</v>
      </c>
      <c r="I1326" t="s">
        <v>5137</v>
      </c>
      <c r="J1326">
        <v>70812</v>
      </c>
      <c r="K1326" t="s">
        <v>2768</v>
      </c>
      <c r="L1326" t="s">
        <v>5165</v>
      </c>
      <c r="M1326" t="s">
        <v>46</v>
      </c>
      <c r="N1326">
        <v>45734</v>
      </c>
      <c r="O1326">
        <v>2378</v>
      </c>
      <c r="P1326" t="s">
        <v>20</v>
      </c>
      <c r="Q1326">
        <v>0</v>
      </c>
      <c r="R1326" t="s">
        <v>76</v>
      </c>
      <c r="S1326" t="s">
        <v>21</v>
      </c>
      <c r="T1326" t="s">
        <v>29</v>
      </c>
    </row>
    <row r="1327" spans="1:20" x14ac:dyDescent="0.3">
      <c r="A1327" t="s">
        <v>2769</v>
      </c>
      <c r="B1327" t="s">
        <v>144</v>
      </c>
      <c r="C1327" t="s">
        <v>13</v>
      </c>
      <c r="D1327" t="s">
        <v>140</v>
      </c>
      <c r="E1327" t="s">
        <v>223</v>
      </c>
      <c r="F1327" t="s">
        <v>224</v>
      </c>
      <c r="G1327" t="s">
        <v>36</v>
      </c>
      <c r="H1327" t="s">
        <v>5136</v>
      </c>
      <c r="I1327" t="s">
        <v>5137</v>
      </c>
      <c r="J1327">
        <v>50000</v>
      </c>
      <c r="K1327" t="s">
        <v>2770</v>
      </c>
      <c r="L1327" t="s">
        <v>5165</v>
      </c>
      <c r="M1327" t="s">
        <v>72</v>
      </c>
      <c r="N1327">
        <v>45374</v>
      </c>
      <c r="O1327">
        <v>3761</v>
      </c>
      <c r="P1327" t="s">
        <v>20</v>
      </c>
      <c r="Q1327">
        <v>0</v>
      </c>
      <c r="R1327" t="s">
        <v>5116</v>
      </c>
      <c r="S1327" t="s">
        <v>53</v>
      </c>
      <c r="T1327" t="s">
        <v>29</v>
      </c>
    </row>
    <row r="1328" spans="1:20" x14ac:dyDescent="0.3">
      <c r="A1328" t="s">
        <v>2771</v>
      </c>
      <c r="B1328" t="s">
        <v>78</v>
      </c>
      <c r="C1328" t="s">
        <v>172</v>
      </c>
      <c r="D1328" t="s">
        <v>68</v>
      </c>
      <c r="E1328" t="s">
        <v>26</v>
      </c>
      <c r="F1328" t="s">
        <v>27</v>
      </c>
      <c r="G1328" t="s">
        <v>16</v>
      </c>
      <c r="H1328" t="s">
        <v>5136</v>
      </c>
      <c r="I1328" t="s">
        <v>5137</v>
      </c>
      <c r="J1328">
        <v>58164</v>
      </c>
      <c r="K1328" t="s">
        <v>2772</v>
      </c>
      <c r="L1328" t="s">
        <v>5165</v>
      </c>
      <c r="M1328" t="s">
        <v>19</v>
      </c>
      <c r="N1328">
        <v>45354</v>
      </c>
      <c r="O1328">
        <v>255</v>
      </c>
      <c r="P1328" t="s">
        <v>29</v>
      </c>
      <c r="Q1328">
        <v>0</v>
      </c>
      <c r="R1328" t="s">
        <v>47</v>
      </c>
      <c r="S1328" t="s">
        <v>21</v>
      </c>
      <c r="T1328" t="s">
        <v>29</v>
      </c>
    </row>
    <row r="1329" spans="1:20" x14ac:dyDescent="0.3">
      <c r="A1329" t="s">
        <v>2773</v>
      </c>
      <c r="B1329" t="s">
        <v>89</v>
      </c>
      <c r="C1329" t="s">
        <v>151</v>
      </c>
      <c r="D1329" t="s">
        <v>57</v>
      </c>
      <c r="E1329" t="s">
        <v>152</v>
      </c>
      <c r="F1329" t="s">
        <v>153</v>
      </c>
      <c r="G1329" t="s">
        <v>50</v>
      </c>
      <c r="H1329" t="s">
        <v>5136</v>
      </c>
      <c r="I1329" t="s">
        <v>5137</v>
      </c>
      <c r="J1329">
        <v>68184</v>
      </c>
      <c r="K1329" t="s">
        <v>2774</v>
      </c>
      <c r="L1329" t="s">
        <v>38</v>
      </c>
      <c r="M1329" t="s">
        <v>19</v>
      </c>
      <c r="N1329">
        <v>45594</v>
      </c>
      <c r="O1329">
        <v>3248</v>
      </c>
      <c r="P1329" t="s">
        <v>20</v>
      </c>
      <c r="Q1329">
        <v>0</v>
      </c>
      <c r="R1329" t="s">
        <v>47</v>
      </c>
      <c r="S1329" t="s">
        <v>53</v>
      </c>
      <c r="T1329" t="s">
        <v>20</v>
      </c>
    </row>
    <row r="1330" spans="1:20" x14ac:dyDescent="0.3">
      <c r="A1330" t="s">
        <v>2775</v>
      </c>
      <c r="B1330" t="s">
        <v>12</v>
      </c>
      <c r="C1330" t="s">
        <v>103</v>
      </c>
      <c r="D1330" t="s">
        <v>25</v>
      </c>
      <c r="E1330" t="s">
        <v>5132</v>
      </c>
      <c r="F1330" t="s">
        <v>5125</v>
      </c>
      <c r="G1330" t="s">
        <v>50</v>
      </c>
      <c r="H1330" t="s">
        <v>5142</v>
      </c>
      <c r="I1330" t="s">
        <v>5143</v>
      </c>
      <c r="J1330">
        <v>117338</v>
      </c>
      <c r="K1330" t="s">
        <v>2776</v>
      </c>
      <c r="L1330" t="s">
        <v>5165</v>
      </c>
      <c r="M1330" t="s">
        <v>19</v>
      </c>
      <c r="N1330">
        <v>45447</v>
      </c>
      <c r="O1330">
        <v>3452</v>
      </c>
      <c r="P1330" t="s">
        <v>20</v>
      </c>
      <c r="Q1330">
        <v>4</v>
      </c>
      <c r="R1330" t="s">
        <v>40</v>
      </c>
      <c r="S1330" t="s">
        <v>21</v>
      </c>
      <c r="T1330" t="s">
        <v>20</v>
      </c>
    </row>
    <row r="1331" spans="1:20" x14ac:dyDescent="0.3">
      <c r="A1331" t="s">
        <v>2777</v>
      </c>
      <c r="B1331" t="s">
        <v>63</v>
      </c>
      <c r="C1331" t="s">
        <v>85</v>
      </c>
      <c r="D1331" t="s">
        <v>68</v>
      </c>
      <c r="E1331" t="s">
        <v>5131</v>
      </c>
      <c r="F1331" t="s">
        <v>5125</v>
      </c>
      <c r="G1331" t="s">
        <v>36</v>
      </c>
      <c r="H1331" t="s">
        <v>5140</v>
      </c>
      <c r="I1331" t="s">
        <v>5141</v>
      </c>
      <c r="J1331">
        <v>121878</v>
      </c>
      <c r="K1331" t="s">
        <v>2778</v>
      </c>
      <c r="L1331" t="s">
        <v>142</v>
      </c>
      <c r="M1331" t="s">
        <v>39</v>
      </c>
      <c r="N1331">
        <v>45553</v>
      </c>
      <c r="O1331">
        <v>163</v>
      </c>
      <c r="P1331" t="s">
        <v>92</v>
      </c>
      <c r="Q1331">
        <v>2</v>
      </c>
      <c r="R1331" t="s">
        <v>52</v>
      </c>
      <c r="S1331" t="s">
        <v>21</v>
      </c>
      <c r="T1331" t="s">
        <v>20</v>
      </c>
    </row>
    <row r="1332" spans="1:20" x14ac:dyDescent="0.3">
      <c r="A1332" t="s">
        <v>2779</v>
      </c>
      <c r="B1332" t="s">
        <v>130</v>
      </c>
      <c r="C1332" t="s">
        <v>103</v>
      </c>
      <c r="D1332" t="s">
        <v>33</v>
      </c>
      <c r="E1332" t="s">
        <v>193</v>
      </c>
      <c r="F1332" t="s">
        <v>194</v>
      </c>
      <c r="G1332" t="s">
        <v>50</v>
      </c>
      <c r="H1332" t="s">
        <v>5136</v>
      </c>
      <c r="I1332" t="s">
        <v>5137</v>
      </c>
      <c r="J1332">
        <v>89287</v>
      </c>
      <c r="K1332" t="s">
        <v>2780</v>
      </c>
      <c r="L1332" t="s">
        <v>179</v>
      </c>
      <c r="M1332" t="s">
        <v>19</v>
      </c>
      <c r="N1332">
        <v>45378</v>
      </c>
      <c r="O1332">
        <v>902</v>
      </c>
      <c r="P1332" t="s">
        <v>20</v>
      </c>
      <c r="Q1332">
        <v>0</v>
      </c>
      <c r="R1332" t="s">
        <v>52</v>
      </c>
      <c r="S1332" t="s">
        <v>21</v>
      </c>
      <c r="T1332" t="s">
        <v>29</v>
      </c>
    </row>
    <row r="1333" spans="1:20" x14ac:dyDescent="0.3">
      <c r="A1333" t="s">
        <v>2781</v>
      </c>
      <c r="B1333" t="s">
        <v>215</v>
      </c>
      <c r="C1333" t="s">
        <v>79</v>
      </c>
      <c r="D1333" t="s">
        <v>44</v>
      </c>
      <c r="E1333" t="s">
        <v>5128</v>
      </c>
      <c r="F1333" t="s">
        <v>5125</v>
      </c>
      <c r="G1333" t="s">
        <v>16</v>
      </c>
      <c r="H1333" t="s">
        <v>5138</v>
      </c>
      <c r="I1333" t="s">
        <v>5139</v>
      </c>
      <c r="J1333">
        <v>243875</v>
      </c>
      <c r="K1333" t="s">
        <v>2782</v>
      </c>
      <c r="L1333" t="s">
        <v>5165</v>
      </c>
      <c r="M1333" t="s">
        <v>19</v>
      </c>
      <c r="N1333">
        <v>45421</v>
      </c>
      <c r="O1333">
        <v>1169</v>
      </c>
      <c r="P1333" t="s">
        <v>20</v>
      </c>
      <c r="Q1333">
        <v>6</v>
      </c>
      <c r="R1333" t="s">
        <v>5116</v>
      </c>
      <c r="S1333" t="s">
        <v>41</v>
      </c>
      <c r="T1333" t="s">
        <v>20</v>
      </c>
    </row>
    <row r="1334" spans="1:20" x14ac:dyDescent="0.3">
      <c r="A1334" t="s">
        <v>2783</v>
      </c>
      <c r="B1334" t="s">
        <v>23</v>
      </c>
      <c r="C1334" t="s">
        <v>117</v>
      </c>
      <c r="D1334" t="s">
        <v>167</v>
      </c>
      <c r="E1334" t="s">
        <v>69</v>
      </c>
      <c r="F1334" t="s">
        <v>70</v>
      </c>
      <c r="G1334" t="s">
        <v>36</v>
      </c>
      <c r="H1334" t="s">
        <v>5142</v>
      </c>
      <c r="I1334" t="s">
        <v>5143</v>
      </c>
      <c r="J1334">
        <v>144237</v>
      </c>
      <c r="K1334" t="s">
        <v>2784</v>
      </c>
      <c r="L1334" t="s">
        <v>179</v>
      </c>
      <c r="M1334" t="s">
        <v>19</v>
      </c>
      <c r="N1334">
        <v>45475</v>
      </c>
      <c r="O1334">
        <v>1782</v>
      </c>
      <c r="P1334" t="s">
        <v>20</v>
      </c>
      <c r="Q1334">
        <v>4</v>
      </c>
      <c r="R1334" t="s">
        <v>52</v>
      </c>
      <c r="S1334" t="s">
        <v>21</v>
      </c>
      <c r="T1334" t="s">
        <v>29</v>
      </c>
    </row>
    <row r="1335" spans="1:20" x14ac:dyDescent="0.3">
      <c r="A1335" t="s">
        <v>2785</v>
      </c>
      <c r="B1335" t="s">
        <v>124</v>
      </c>
      <c r="C1335" t="s">
        <v>49</v>
      </c>
      <c r="D1335" t="s">
        <v>167</v>
      </c>
      <c r="E1335" t="s">
        <v>58</v>
      </c>
      <c r="F1335" t="s">
        <v>59</v>
      </c>
      <c r="G1335" t="s">
        <v>50</v>
      </c>
      <c r="H1335" t="s">
        <v>5142</v>
      </c>
      <c r="I1335" t="s">
        <v>5143</v>
      </c>
      <c r="J1335">
        <v>190249</v>
      </c>
      <c r="K1335" t="s">
        <v>2786</v>
      </c>
      <c r="L1335" t="s">
        <v>38</v>
      </c>
      <c r="M1335" t="s">
        <v>19</v>
      </c>
      <c r="N1335">
        <v>45386</v>
      </c>
      <c r="O1335">
        <v>3589</v>
      </c>
      <c r="P1335" t="s">
        <v>29</v>
      </c>
      <c r="Q1335">
        <v>4</v>
      </c>
      <c r="R1335" t="s">
        <v>5116</v>
      </c>
      <c r="S1335" t="s">
        <v>21</v>
      </c>
      <c r="T1335" t="s">
        <v>29</v>
      </c>
    </row>
    <row r="1336" spans="1:20" x14ac:dyDescent="0.3">
      <c r="A1336" t="s">
        <v>2787</v>
      </c>
      <c r="B1336" t="s">
        <v>31</v>
      </c>
      <c r="C1336" t="s">
        <v>56</v>
      </c>
      <c r="D1336" t="s">
        <v>57</v>
      </c>
      <c r="E1336" t="s">
        <v>26</v>
      </c>
      <c r="F1336" t="s">
        <v>27</v>
      </c>
      <c r="G1336" t="s">
        <v>16</v>
      </c>
      <c r="H1336" t="s">
        <v>5136</v>
      </c>
      <c r="I1336" t="s">
        <v>5137</v>
      </c>
      <c r="J1336">
        <v>71873</v>
      </c>
      <c r="K1336" t="s">
        <v>2788</v>
      </c>
      <c r="L1336" t="s">
        <v>5165</v>
      </c>
      <c r="M1336" t="s">
        <v>39</v>
      </c>
      <c r="N1336">
        <v>45711</v>
      </c>
      <c r="O1336">
        <v>3601</v>
      </c>
      <c r="P1336" t="s">
        <v>29</v>
      </c>
      <c r="Q1336">
        <v>0</v>
      </c>
      <c r="R1336" t="s">
        <v>52</v>
      </c>
      <c r="S1336" t="s">
        <v>21</v>
      </c>
      <c r="T1336" t="s">
        <v>20</v>
      </c>
    </row>
    <row r="1337" spans="1:20" x14ac:dyDescent="0.3">
      <c r="A1337" t="s">
        <v>2789</v>
      </c>
      <c r="B1337" t="s">
        <v>31</v>
      </c>
      <c r="C1337" t="s">
        <v>94</v>
      </c>
      <c r="D1337" t="s">
        <v>167</v>
      </c>
      <c r="E1337" t="s">
        <v>152</v>
      </c>
      <c r="F1337" t="s">
        <v>153</v>
      </c>
      <c r="G1337" t="s">
        <v>16</v>
      </c>
      <c r="H1337" t="s">
        <v>5136</v>
      </c>
      <c r="I1337" t="s">
        <v>5137</v>
      </c>
      <c r="J1337">
        <v>65752</v>
      </c>
      <c r="K1337" t="s">
        <v>2790</v>
      </c>
      <c r="L1337" t="s">
        <v>142</v>
      </c>
      <c r="M1337" t="s">
        <v>39</v>
      </c>
      <c r="N1337">
        <v>45364</v>
      </c>
      <c r="O1337">
        <v>583</v>
      </c>
      <c r="P1337" t="s">
        <v>29</v>
      </c>
      <c r="Q1337">
        <v>0</v>
      </c>
      <c r="R1337" t="s">
        <v>76</v>
      </c>
      <c r="S1337" t="s">
        <v>21</v>
      </c>
      <c r="T1337" t="s">
        <v>29</v>
      </c>
    </row>
    <row r="1338" spans="1:20" x14ac:dyDescent="0.3">
      <c r="A1338" t="s">
        <v>2791</v>
      </c>
      <c r="B1338" t="s">
        <v>55</v>
      </c>
      <c r="C1338" t="s">
        <v>32</v>
      </c>
      <c r="D1338" t="s">
        <v>104</v>
      </c>
      <c r="E1338" t="s">
        <v>5132</v>
      </c>
      <c r="F1338" t="s">
        <v>5125</v>
      </c>
      <c r="G1338" t="s">
        <v>36</v>
      </c>
      <c r="H1338" t="s">
        <v>5142</v>
      </c>
      <c r="I1338" t="s">
        <v>5143</v>
      </c>
      <c r="J1338">
        <v>133438</v>
      </c>
      <c r="K1338" t="s">
        <v>2792</v>
      </c>
      <c r="L1338" t="s">
        <v>5165</v>
      </c>
      <c r="M1338" t="s">
        <v>19</v>
      </c>
      <c r="N1338">
        <v>45533</v>
      </c>
      <c r="O1338">
        <v>1127</v>
      </c>
      <c r="P1338" t="s">
        <v>29</v>
      </c>
      <c r="Q1338">
        <v>4</v>
      </c>
      <c r="R1338" t="s">
        <v>76</v>
      </c>
      <c r="S1338" t="s">
        <v>21</v>
      </c>
      <c r="T1338" t="s">
        <v>20</v>
      </c>
    </row>
    <row r="1339" spans="1:20" x14ac:dyDescent="0.3">
      <c r="A1339" t="s">
        <v>2793</v>
      </c>
      <c r="B1339" t="s">
        <v>12</v>
      </c>
      <c r="C1339" t="s">
        <v>197</v>
      </c>
      <c r="D1339" t="s">
        <v>167</v>
      </c>
      <c r="E1339" t="s">
        <v>5133</v>
      </c>
      <c r="F1339" t="s">
        <v>5125</v>
      </c>
      <c r="G1339" t="s">
        <v>50</v>
      </c>
      <c r="H1339" t="s">
        <v>5140</v>
      </c>
      <c r="I1339" t="s">
        <v>5141</v>
      </c>
      <c r="J1339">
        <v>104011</v>
      </c>
      <c r="K1339" t="s">
        <v>2794</v>
      </c>
      <c r="L1339" t="s">
        <v>38</v>
      </c>
      <c r="M1339" t="s">
        <v>72</v>
      </c>
      <c r="N1339">
        <v>45344</v>
      </c>
      <c r="O1339">
        <v>3809</v>
      </c>
      <c r="P1339" t="s">
        <v>29</v>
      </c>
      <c r="Q1339">
        <v>2</v>
      </c>
      <c r="R1339" t="s">
        <v>76</v>
      </c>
      <c r="S1339" t="s">
        <v>21</v>
      </c>
      <c r="T1339" t="s">
        <v>20</v>
      </c>
    </row>
    <row r="1340" spans="1:20" x14ac:dyDescent="0.3">
      <c r="A1340" t="s">
        <v>2795</v>
      </c>
      <c r="B1340" t="s">
        <v>144</v>
      </c>
      <c r="C1340" t="s">
        <v>117</v>
      </c>
      <c r="D1340" t="s">
        <v>118</v>
      </c>
      <c r="E1340" t="s">
        <v>223</v>
      </c>
      <c r="F1340" t="s">
        <v>224</v>
      </c>
      <c r="G1340" t="s">
        <v>16</v>
      </c>
      <c r="H1340" t="s">
        <v>5138</v>
      </c>
      <c r="I1340" t="s">
        <v>5139</v>
      </c>
      <c r="J1340">
        <v>186025</v>
      </c>
      <c r="K1340" t="s">
        <v>2796</v>
      </c>
      <c r="L1340" t="s">
        <v>238</v>
      </c>
      <c r="M1340" t="s">
        <v>72</v>
      </c>
      <c r="N1340">
        <v>45650</v>
      </c>
      <c r="O1340">
        <v>3497</v>
      </c>
      <c r="P1340" t="s">
        <v>29</v>
      </c>
      <c r="Q1340">
        <v>6</v>
      </c>
      <c r="R1340" t="s">
        <v>40</v>
      </c>
      <c r="S1340" t="s">
        <v>21</v>
      </c>
      <c r="T1340" t="s">
        <v>29</v>
      </c>
    </row>
    <row r="1341" spans="1:20" x14ac:dyDescent="0.3">
      <c r="A1341" t="s">
        <v>2797</v>
      </c>
      <c r="B1341" t="s">
        <v>229</v>
      </c>
      <c r="C1341" t="s">
        <v>166</v>
      </c>
      <c r="D1341" t="s">
        <v>25</v>
      </c>
      <c r="E1341" t="s">
        <v>223</v>
      </c>
      <c r="F1341" t="s">
        <v>224</v>
      </c>
      <c r="G1341" t="s">
        <v>16</v>
      </c>
      <c r="H1341" t="s">
        <v>5140</v>
      </c>
      <c r="I1341" t="s">
        <v>5141</v>
      </c>
      <c r="J1341">
        <v>113374</v>
      </c>
      <c r="K1341" t="s">
        <v>2798</v>
      </c>
      <c r="L1341" t="s">
        <v>5165</v>
      </c>
      <c r="M1341" t="s">
        <v>46</v>
      </c>
      <c r="N1341">
        <v>45462</v>
      </c>
      <c r="O1341">
        <v>3286</v>
      </c>
      <c r="P1341" t="s">
        <v>20</v>
      </c>
      <c r="Q1341">
        <v>2</v>
      </c>
      <c r="R1341" t="s">
        <v>47</v>
      </c>
      <c r="S1341" t="s">
        <v>21</v>
      </c>
      <c r="T1341" t="s">
        <v>29</v>
      </c>
    </row>
    <row r="1342" spans="1:20" x14ac:dyDescent="0.3">
      <c r="A1342" t="s">
        <v>2799</v>
      </c>
      <c r="B1342" t="s">
        <v>124</v>
      </c>
      <c r="C1342" t="s">
        <v>85</v>
      </c>
      <c r="D1342" t="s">
        <v>57</v>
      </c>
      <c r="E1342" t="s">
        <v>5132</v>
      </c>
      <c r="F1342" t="s">
        <v>5125</v>
      </c>
      <c r="G1342" t="s">
        <v>16</v>
      </c>
      <c r="H1342" t="s">
        <v>5140</v>
      </c>
      <c r="I1342" t="s">
        <v>5141</v>
      </c>
      <c r="J1342">
        <v>113179</v>
      </c>
      <c r="K1342" t="s">
        <v>2800</v>
      </c>
      <c r="L1342" t="s">
        <v>5165</v>
      </c>
      <c r="M1342" t="s">
        <v>46</v>
      </c>
      <c r="N1342">
        <v>45679</v>
      </c>
      <c r="O1342">
        <v>2744</v>
      </c>
      <c r="P1342" t="s">
        <v>29</v>
      </c>
      <c r="Q1342">
        <v>2</v>
      </c>
      <c r="R1342" t="s">
        <v>47</v>
      </c>
      <c r="S1342" t="s">
        <v>53</v>
      </c>
      <c r="T1342" t="s">
        <v>20</v>
      </c>
    </row>
    <row r="1343" spans="1:20" x14ac:dyDescent="0.3">
      <c r="A1343" t="s">
        <v>2801</v>
      </c>
      <c r="B1343" t="s">
        <v>165</v>
      </c>
      <c r="C1343" t="s">
        <v>151</v>
      </c>
      <c r="D1343" t="s">
        <v>167</v>
      </c>
      <c r="E1343" t="s">
        <v>26</v>
      </c>
      <c r="F1343" t="s">
        <v>27</v>
      </c>
      <c r="G1343" t="s">
        <v>50</v>
      </c>
      <c r="H1343" t="s">
        <v>5142</v>
      </c>
      <c r="I1343" t="s">
        <v>5143</v>
      </c>
      <c r="J1343">
        <v>150082</v>
      </c>
      <c r="K1343" t="s">
        <v>2802</v>
      </c>
      <c r="L1343" t="s">
        <v>5165</v>
      </c>
      <c r="M1343" t="s">
        <v>46</v>
      </c>
      <c r="N1343">
        <v>45498</v>
      </c>
      <c r="O1343">
        <v>2868</v>
      </c>
      <c r="P1343" t="s">
        <v>20</v>
      </c>
      <c r="Q1343">
        <v>4</v>
      </c>
      <c r="R1343" t="s">
        <v>76</v>
      </c>
      <c r="S1343" t="s">
        <v>53</v>
      </c>
      <c r="T1343" t="s">
        <v>29</v>
      </c>
    </row>
    <row r="1344" spans="1:20" x14ac:dyDescent="0.3">
      <c r="A1344" t="s">
        <v>2803</v>
      </c>
      <c r="B1344" t="s">
        <v>144</v>
      </c>
      <c r="C1344" t="s">
        <v>56</v>
      </c>
      <c r="D1344" t="s">
        <v>104</v>
      </c>
      <c r="E1344" t="s">
        <v>209</v>
      </c>
      <c r="F1344" t="s">
        <v>210</v>
      </c>
      <c r="G1344" t="s">
        <v>50</v>
      </c>
      <c r="H1344" t="s">
        <v>5138</v>
      </c>
      <c r="I1344" t="s">
        <v>5139</v>
      </c>
      <c r="J1344">
        <v>215729</v>
      </c>
      <c r="K1344" t="s">
        <v>2804</v>
      </c>
      <c r="L1344" t="s">
        <v>5165</v>
      </c>
      <c r="M1344" t="s">
        <v>39</v>
      </c>
      <c r="N1344">
        <v>45582</v>
      </c>
      <c r="O1344">
        <v>70</v>
      </c>
      <c r="P1344" t="s">
        <v>20</v>
      </c>
      <c r="Q1344">
        <v>6</v>
      </c>
      <c r="R1344" t="s">
        <v>5116</v>
      </c>
      <c r="S1344" t="s">
        <v>21</v>
      </c>
      <c r="T1344" t="s">
        <v>29</v>
      </c>
    </row>
    <row r="1345" spans="1:20" x14ac:dyDescent="0.3">
      <c r="A1345" t="s">
        <v>2805</v>
      </c>
      <c r="B1345" t="s">
        <v>84</v>
      </c>
      <c r="C1345" t="s">
        <v>232</v>
      </c>
      <c r="D1345" t="s">
        <v>33</v>
      </c>
      <c r="E1345" t="s">
        <v>34</v>
      </c>
      <c r="F1345" t="s">
        <v>35</v>
      </c>
      <c r="G1345" t="s">
        <v>36</v>
      </c>
      <c r="H1345" t="s">
        <v>5140</v>
      </c>
      <c r="I1345" t="s">
        <v>5141</v>
      </c>
      <c r="J1345">
        <v>133574</v>
      </c>
      <c r="K1345" t="s">
        <v>2806</v>
      </c>
      <c r="L1345" t="s">
        <v>142</v>
      </c>
      <c r="M1345" t="s">
        <v>46</v>
      </c>
      <c r="N1345">
        <v>45482</v>
      </c>
      <c r="O1345">
        <v>1234</v>
      </c>
      <c r="P1345" t="s">
        <v>20</v>
      </c>
      <c r="Q1345">
        <v>2</v>
      </c>
      <c r="R1345" t="s">
        <v>76</v>
      </c>
      <c r="S1345" t="s">
        <v>21</v>
      </c>
      <c r="T1345" t="s">
        <v>29</v>
      </c>
    </row>
    <row r="1346" spans="1:20" x14ac:dyDescent="0.3">
      <c r="A1346" t="s">
        <v>2807</v>
      </c>
      <c r="B1346" t="s">
        <v>144</v>
      </c>
      <c r="C1346" t="s">
        <v>121</v>
      </c>
      <c r="D1346" t="s">
        <v>118</v>
      </c>
      <c r="E1346" t="s">
        <v>80</v>
      </c>
      <c r="F1346" t="s">
        <v>80</v>
      </c>
      <c r="G1346" t="s">
        <v>36</v>
      </c>
      <c r="H1346" t="s">
        <v>5142</v>
      </c>
      <c r="I1346" t="s">
        <v>5143</v>
      </c>
      <c r="J1346">
        <v>175637</v>
      </c>
      <c r="K1346" t="s">
        <v>2808</v>
      </c>
      <c r="L1346" t="s">
        <v>82</v>
      </c>
      <c r="M1346" t="s">
        <v>46</v>
      </c>
      <c r="N1346">
        <v>45496</v>
      </c>
      <c r="O1346">
        <v>2187</v>
      </c>
      <c r="P1346" t="s">
        <v>20</v>
      </c>
      <c r="Q1346">
        <v>4</v>
      </c>
      <c r="R1346" t="s">
        <v>47</v>
      </c>
      <c r="S1346" t="s">
        <v>21</v>
      </c>
      <c r="T1346" t="s">
        <v>29</v>
      </c>
    </row>
    <row r="1347" spans="1:20" x14ac:dyDescent="0.3">
      <c r="A1347" t="s">
        <v>2809</v>
      </c>
      <c r="B1347" t="s">
        <v>31</v>
      </c>
      <c r="C1347" t="s">
        <v>172</v>
      </c>
      <c r="D1347" t="s">
        <v>44</v>
      </c>
      <c r="E1347" t="s">
        <v>80</v>
      </c>
      <c r="F1347" t="s">
        <v>80</v>
      </c>
      <c r="G1347" t="s">
        <v>16</v>
      </c>
      <c r="H1347" t="s">
        <v>5140</v>
      </c>
      <c r="I1347" t="s">
        <v>5141</v>
      </c>
      <c r="J1347">
        <v>80599</v>
      </c>
      <c r="K1347" t="s">
        <v>2810</v>
      </c>
      <c r="L1347" t="s">
        <v>5165</v>
      </c>
      <c r="M1347" t="s">
        <v>39</v>
      </c>
      <c r="N1347">
        <v>45294</v>
      </c>
      <c r="O1347">
        <v>1020</v>
      </c>
      <c r="P1347" t="s">
        <v>92</v>
      </c>
      <c r="Q1347">
        <v>2</v>
      </c>
      <c r="R1347" t="s">
        <v>52</v>
      </c>
      <c r="S1347" t="s">
        <v>21</v>
      </c>
      <c r="T1347" t="s">
        <v>29</v>
      </c>
    </row>
    <row r="1348" spans="1:20" x14ac:dyDescent="0.3">
      <c r="A1348" t="s">
        <v>2811</v>
      </c>
      <c r="B1348" t="s">
        <v>229</v>
      </c>
      <c r="C1348" t="s">
        <v>117</v>
      </c>
      <c r="D1348" t="s">
        <v>118</v>
      </c>
      <c r="E1348" t="s">
        <v>34</v>
      </c>
      <c r="F1348" t="s">
        <v>35</v>
      </c>
      <c r="G1348" t="s">
        <v>16</v>
      </c>
      <c r="H1348" t="s">
        <v>5142</v>
      </c>
      <c r="I1348" t="s">
        <v>5143</v>
      </c>
      <c r="J1348">
        <v>81044</v>
      </c>
      <c r="K1348" t="s">
        <v>2812</v>
      </c>
      <c r="L1348" t="s">
        <v>134</v>
      </c>
      <c r="M1348" t="s">
        <v>19</v>
      </c>
      <c r="N1348">
        <v>45591</v>
      </c>
      <c r="O1348">
        <v>1862</v>
      </c>
      <c r="P1348" t="s">
        <v>29</v>
      </c>
      <c r="Q1348">
        <v>4</v>
      </c>
      <c r="R1348" t="s">
        <v>47</v>
      </c>
      <c r="S1348" t="s">
        <v>21</v>
      </c>
      <c r="T1348" t="s">
        <v>29</v>
      </c>
    </row>
    <row r="1349" spans="1:20" x14ac:dyDescent="0.3">
      <c r="A1349" t="s">
        <v>2813</v>
      </c>
      <c r="B1349" t="s">
        <v>229</v>
      </c>
      <c r="C1349" t="s">
        <v>202</v>
      </c>
      <c r="D1349" t="s">
        <v>68</v>
      </c>
      <c r="E1349" t="s">
        <v>5133</v>
      </c>
      <c r="F1349" t="s">
        <v>5125</v>
      </c>
      <c r="G1349" t="s">
        <v>16</v>
      </c>
      <c r="H1349" t="s">
        <v>5142</v>
      </c>
      <c r="I1349" t="s">
        <v>5143</v>
      </c>
      <c r="J1349">
        <v>175226</v>
      </c>
      <c r="K1349" t="s">
        <v>2814</v>
      </c>
      <c r="L1349" t="s">
        <v>5165</v>
      </c>
      <c r="M1349" t="s">
        <v>46</v>
      </c>
      <c r="N1349">
        <v>45405</v>
      </c>
      <c r="O1349">
        <v>1154</v>
      </c>
      <c r="P1349" t="s">
        <v>29</v>
      </c>
      <c r="Q1349">
        <v>4</v>
      </c>
      <c r="R1349" t="s">
        <v>47</v>
      </c>
      <c r="S1349" t="s">
        <v>21</v>
      </c>
      <c r="T1349" t="s">
        <v>29</v>
      </c>
    </row>
    <row r="1350" spans="1:20" x14ac:dyDescent="0.3">
      <c r="A1350" t="s">
        <v>2815</v>
      </c>
      <c r="B1350" t="s">
        <v>78</v>
      </c>
      <c r="C1350" t="s">
        <v>139</v>
      </c>
      <c r="D1350" t="s">
        <v>68</v>
      </c>
      <c r="E1350" t="s">
        <v>34</v>
      </c>
      <c r="F1350" t="s">
        <v>35</v>
      </c>
      <c r="G1350" t="s">
        <v>16</v>
      </c>
      <c r="H1350" t="s">
        <v>5136</v>
      </c>
      <c r="I1350" t="s">
        <v>5137</v>
      </c>
      <c r="J1350">
        <v>52777</v>
      </c>
      <c r="K1350" t="s">
        <v>2816</v>
      </c>
      <c r="L1350" t="s">
        <v>134</v>
      </c>
      <c r="M1350" t="s">
        <v>72</v>
      </c>
      <c r="N1350">
        <v>45540</v>
      </c>
      <c r="O1350">
        <v>3717</v>
      </c>
      <c r="P1350" t="s">
        <v>29</v>
      </c>
      <c r="Q1350">
        <v>0</v>
      </c>
      <c r="R1350" t="s">
        <v>47</v>
      </c>
      <c r="S1350" t="s">
        <v>21</v>
      </c>
      <c r="T1350" t="s">
        <v>20</v>
      </c>
    </row>
    <row r="1351" spans="1:20" x14ac:dyDescent="0.3">
      <c r="A1351" t="s">
        <v>2817</v>
      </c>
      <c r="B1351" t="s">
        <v>130</v>
      </c>
      <c r="C1351" t="s">
        <v>64</v>
      </c>
      <c r="D1351" t="s">
        <v>5156</v>
      </c>
      <c r="E1351" t="s">
        <v>152</v>
      </c>
      <c r="F1351" t="s">
        <v>153</v>
      </c>
      <c r="G1351" t="s">
        <v>50</v>
      </c>
      <c r="H1351" t="s">
        <v>5140</v>
      </c>
      <c r="I1351" t="s">
        <v>5141</v>
      </c>
      <c r="J1351">
        <v>105549</v>
      </c>
      <c r="K1351" t="s">
        <v>2818</v>
      </c>
      <c r="L1351" t="s">
        <v>5165</v>
      </c>
      <c r="M1351" t="s">
        <v>72</v>
      </c>
      <c r="N1351">
        <v>45719</v>
      </c>
      <c r="O1351">
        <v>3446</v>
      </c>
      <c r="P1351" t="s">
        <v>29</v>
      </c>
      <c r="Q1351">
        <v>2</v>
      </c>
      <c r="R1351" t="s">
        <v>47</v>
      </c>
      <c r="S1351" t="s">
        <v>21</v>
      </c>
      <c r="T1351" t="s">
        <v>29</v>
      </c>
    </row>
    <row r="1352" spans="1:20" x14ac:dyDescent="0.3">
      <c r="A1352" t="s">
        <v>2819</v>
      </c>
      <c r="B1352" t="s">
        <v>218</v>
      </c>
      <c r="C1352" t="s">
        <v>90</v>
      </c>
      <c r="D1352" t="s">
        <v>33</v>
      </c>
      <c r="E1352" t="s">
        <v>95</v>
      </c>
      <c r="F1352" t="s">
        <v>96</v>
      </c>
      <c r="G1352" t="s">
        <v>16</v>
      </c>
      <c r="H1352" t="s">
        <v>5136</v>
      </c>
      <c r="I1352" t="s">
        <v>5137</v>
      </c>
      <c r="J1352">
        <v>55256</v>
      </c>
      <c r="K1352" t="s">
        <v>2820</v>
      </c>
      <c r="L1352" t="s">
        <v>238</v>
      </c>
      <c r="M1352" t="s">
        <v>19</v>
      </c>
      <c r="N1352">
        <v>45506</v>
      </c>
      <c r="O1352">
        <v>2014</v>
      </c>
      <c r="P1352" t="s">
        <v>20</v>
      </c>
      <c r="Q1352">
        <v>0</v>
      </c>
      <c r="R1352" t="s">
        <v>5116</v>
      </c>
      <c r="S1352" t="s">
        <v>21</v>
      </c>
      <c r="T1352" t="s">
        <v>29</v>
      </c>
    </row>
    <row r="1353" spans="1:20" x14ac:dyDescent="0.3">
      <c r="A1353" t="s">
        <v>2821</v>
      </c>
      <c r="B1353" t="s">
        <v>144</v>
      </c>
      <c r="C1353" t="s">
        <v>49</v>
      </c>
      <c r="D1353" t="s">
        <v>25</v>
      </c>
      <c r="E1353" t="s">
        <v>193</v>
      </c>
      <c r="F1353" t="s">
        <v>194</v>
      </c>
      <c r="G1353" t="s">
        <v>36</v>
      </c>
      <c r="H1353" t="s">
        <v>5140</v>
      </c>
      <c r="I1353" t="s">
        <v>5141</v>
      </c>
      <c r="J1353">
        <v>74320</v>
      </c>
      <c r="K1353" t="s">
        <v>2822</v>
      </c>
      <c r="L1353" t="s">
        <v>5165</v>
      </c>
      <c r="M1353" t="s">
        <v>39</v>
      </c>
      <c r="N1353">
        <v>45512</v>
      </c>
      <c r="O1353">
        <v>2115</v>
      </c>
      <c r="P1353" t="s">
        <v>20</v>
      </c>
      <c r="Q1353">
        <v>2</v>
      </c>
      <c r="R1353" t="s">
        <v>40</v>
      </c>
      <c r="S1353" t="s">
        <v>41</v>
      </c>
      <c r="T1353" t="s">
        <v>29</v>
      </c>
    </row>
    <row r="1354" spans="1:20" x14ac:dyDescent="0.3">
      <c r="A1354" t="s">
        <v>2823</v>
      </c>
      <c r="B1354" t="s">
        <v>165</v>
      </c>
      <c r="C1354" t="s">
        <v>90</v>
      </c>
      <c r="D1354" t="s">
        <v>57</v>
      </c>
      <c r="E1354" t="s">
        <v>26</v>
      </c>
      <c r="F1354" t="s">
        <v>27</v>
      </c>
      <c r="G1354" t="s">
        <v>16</v>
      </c>
      <c r="H1354" t="s">
        <v>5140</v>
      </c>
      <c r="I1354" t="s">
        <v>5141</v>
      </c>
      <c r="J1354">
        <v>120720</v>
      </c>
      <c r="K1354" t="s">
        <v>2824</v>
      </c>
      <c r="L1354" t="s">
        <v>134</v>
      </c>
      <c r="M1354" t="s">
        <v>46</v>
      </c>
      <c r="N1354">
        <v>45698</v>
      </c>
      <c r="O1354">
        <v>3157</v>
      </c>
      <c r="P1354" t="s">
        <v>29</v>
      </c>
      <c r="Q1354">
        <v>2</v>
      </c>
      <c r="R1354" t="s">
        <v>40</v>
      </c>
      <c r="S1354" t="s">
        <v>21</v>
      </c>
      <c r="T1354" t="s">
        <v>29</v>
      </c>
    </row>
    <row r="1355" spans="1:20" x14ac:dyDescent="0.3">
      <c r="A1355" t="s">
        <v>2825</v>
      </c>
      <c r="B1355" t="s">
        <v>74</v>
      </c>
      <c r="C1355" t="s">
        <v>175</v>
      </c>
      <c r="D1355" t="s">
        <v>44</v>
      </c>
      <c r="E1355" t="s">
        <v>34</v>
      </c>
      <c r="F1355" t="s">
        <v>35</v>
      </c>
      <c r="G1355" t="s">
        <v>16</v>
      </c>
      <c r="H1355" t="s">
        <v>5140</v>
      </c>
      <c r="I1355" t="s">
        <v>5141</v>
      </c>
      <c r="J1355">
        <v>125031</v>
      </c>
      <c r="K1355" t="s">
        <v>2826</v>
      </c>
      <c r="L1355" t="s">
        <v>18</v>
      </c>
      <c r="M1355" t="s">
        <v>72</v>
      </c>
      <c r="N1355">
        <v>45670</v>
      </c>
      <c r="O1355">
        <v>3999</v>
      </c>
      <c r="P1355" t="s">
        <v>20</v>
      </c>
      <c r="Q1355">
        <v>2</v>
      </c>
      <c r="R1355" t="s">
        <v>52</v>
      </c>
      <c r="S1355" t="s">
        <v>53</v>
      </c>
      <c r="T1355" t="s">
        <v>29</v>
      </c>
    </row>
    <row r="1356" spans="1:20" x14ac:dyDescent="0.3">
      <c r="A1356" t="s">
        <v>2827</v>
      </c>
      <c r="B1356" t="s">
        <v>218</v>
      </c>
      <c r="C1356" t="s">
        <v>185</v>
      </c>
      <c r="D1356" t="s">
        <v>68</v>
      </c>
      <c r="E1356" t="s">
        <v>152</v>
      </c>
      <c r="F1356" t="s">
        <v>153</v>
      </c>
      <c r="G1356" t="s">
        <v>36</v>
      </c>
      <c r="H1356" t="s">
        <v>5140</v>
      </c>
      <c r="I1356" t="s">
        <v>5141</v>
      </c>
      <c r="J1356">
        <v>98585</v>
      </c>
      <c r="K1356" t="s">
        <v>2828</v>
      </c>
      <c r="L1356" t="s">
        <v>38</v>
      </c>
      <c r="M1356" t="s">
        <v>19</v>
      </c>
      <c r="N1356">
        <v>45680</v>
      </c>
      <c r="O1356">
        <v>3275</v>
      </c>
      <c r="P1356" t="s">
        <v>20</v>
      </c>
      <c r="Q1356">
        <v>2</v>
      </c>
      <c r="R1356" t="s">
        <v>5116</v>
      </c>
      <c r="S1356" t="s">
        <v>21</v>
      </c>
      <c r="T1356" t="s">
        <v>29</v>
      </c>
    </row>
    <row r="1357" spans="1:20" x14ac:dyDescent="0.3">
      <c r="A1357" t="s">
        <v>2829</v>
      </c>
      <c r="B1357" t="s">
        <v>12</v>
      </c>
      <c r="C1357" t="s">
        <v>202</v>
      </c>
      <c r="D1357" t="s">
        <v>118</v>
      </c>
      <c r="E1357" t="s">
        <v>152</v>
      </c>
      <c r="F1357" t="s">
        <v>153</v>
      </c>
      <c r="G1357" t="s">
        <v>36</v>
      </c>
      <c r="H1357" t="s">
        <v>5138</v>
      </c>
      <c r="I1357" t="s">
        <v>5139</v>
      </c>
      <c r="J1357">
        <v>106722</v>
      </c>
      <c r="K1357" t="s">
        <v>2830</v>
      </c>
      <c r="L1357" t="s">
        <v>238</v>
      </c>
      <c r="M1357" t="s">
        <v>19</v>
      </c>
      <c r="N1357">
        <v>45640</v>
      </c>
      <c r="O1357">
        <v>514</v>
      </c>
      <c r="P1357" t="s">
        <v>20</v>
      </c>
      <c r="Q1357">
        <v>6</v>
      </c>
      <c r="R1357" t="s">
        <v>76</v>
      </c>
      <c r="S1357" t="s">
        <v>21</v>
      </c>
      <c r="T1357" t="s">
        <v>20</v>
      </c>
    </row>
    <row r="1358" spans="1:20" x14ac:dyDescent="0.3">
      <c r="A1358" t="s">
        <v>2831</v>
      </c>
      <c r="B1358" t="s">
        <v>130</v>
      </c>
      <c r="C1358" t="s">
        <v>117</v>
      </c>
      <c r="D1358" t="s">
        <v>33</v>
      </c>
      <c r="E1358" t="s">
        <v>69</v>
      </c>
      <c r="F1358" t="s">
        <v>70</v>
      </c>
      <c r="G1358" t="s">
        <v>16</v>
      </c>
      <c r="H1358" t="s">
        <v>5142</v>
      </c>
      <c r="I1358" t="s">
        <v>5143</v>
      </c>
      <c r="J1358">
        <v>135251</v>
      </c>
      <c r="K1358" t="s">
        <v>2832</v>
      </c>
      <c r="L1358" t="s">
        <v>179</v>
      </c>
      <c r="M1358" t="s">
        <v>46</v>
      </c>
      <c r="N1358">
        <v>45404</v>
      </c>
      <c r="O1358">
        <v>3175</v>
      </c>
      <c r="P1358" t="s">
        <v>92</v>
      </c>
      <c r="Q1358">
        <v>4</v>
      </c>
      <c r="R1358" t="s">
        <v>76</v>
      </c>
      <c r="S1358" t="s">
        <v>53</v>
      </c>
      <c r="T1358" t="s">
        <v>20</v>
      </c>
    </row>
    <row r="1359" spans="1:20" x14ac:dyDescent="0.3">
      <c r="A1359" t="s">
        <v>2833</v>
      </c>
      <c r="B1359" t="s">
        <v>55</v>
      </c>
      <c r="C1359" t="s">
        <v>202</v>
      </c>
      <c r="D1359" t="s">
        <v>57</v>
      </c>
      <c r="E1359" t="s">
        <v>5128</v>
      </c>
      <c r="F1359" t="s">
        <v>5125</v>
      </c>
      <c r="G1359" t="s">
        <v>16</v>
      </c>
      <c r="H1359" t="s">
        <v>5140</v>
      </c>
      <c r="I1359" t="s">
        <v>5141</v>
      </c>
      <c r="J1359">
        <v>117757</v>
      </c>
      <c r="K1359" t="s">
        <v>2834</v>
      </c>
      <c r="L1359" t="s">
        <v>238</v>
      </c>
      <c r="M1359" t="s">
        <v>39</v>
      </c>
      <c r="N1359">
        <v>45424</v>
      </c>
      <c r="O1359">
        <v>2932</v>
      </c>
      <c r="P1359" t="s">
        <v>20</v>
      </c>
      <c r="Q1359">
        <v>2</v>
      </c>
      <c r="R1359" t="s">
        <v>52</v>
      </c>
      <c r="S1359" t="s">
        <v>21</v>
      </c>
      <c r="T1359" t="s">
        <v>29</v>
      </c>
    </row>
    <row r="1360" spans="1:20" x14ac:dyDescent="0.3">
      <c r="A1360" t="s">
        <v>2835</v>
      </c>
      <c r="B1360" t="s">
        <v>89</v>
      </c>
      <c r="C1360" t="s">
        <v>43</v>
      </c>
      <c r="D1360" t="s">
        <v>5156</v>
      </c>
      <c r="E1360" t="s">
        <v>5124</v>
      </c>
      <c r="F1360" t="s">
        <v>5125</v>
      </c>
      <c r="G1360" t="s">
        <v>36</v>
      </c>
      <c r="H1360" t="s">
        <v>5138</v>
      </c>
      <c r="I1360" t="s">
        <v>5139</v>
      </c>
      <c r="J1360">
        <v>146759</v>
      </c>
      <c r="K1360" t="s">
        <v>2836</v>
      </c>
      <c r="L1360" t="s">
        <v>113</v>
      </c>
      <c r="M1360" t="s">
        <v>39</v>
      </c>
      <c r="N1360">
        <v>45743</v>
      </c>
      <c r="O1360">
        <v>680</v>
      </c>
      <c r="P1360" t="s">
        <v>20</v>
      </c>
      <c r="Q1360">
        <v>6</v>
      </c>
      <c r="R1360" t="s">
        <v>52</v>
      </c>
      <c r="S1360" t="s">
        <v>21</v>
      </c>
      <c r="T1360" t="s">
        <v>29</v>
      </c>
    </row>
    <row r="1361" spans="1:20" x14ac:dyDescent="0.3">
      <c r="A1361" t="s">
        <v>2837</v>
      </c>
      <c r="B1361" t="s">
        <v>84</v>
      </c>
      <c r="C1361" t="s">
        <v>232</v>
      </c>
      <c r="D1361" t="s">
        <v>33</v>
      </c>
      <c r="E1361" t="s">
        <v>5128</v>
      </c>
      <c r="F1361" t="s">
        <v>5125</v>
      </c>
      <c r="G1361" t="s">
        <v>50</v>
      </c>
      <c r="H1361" t="s">
        <v>5142</v>
      </c>
      <c r="I1361" t="s">
        <v>5143</v>
      </c>
      <c r="J1361">
        <v>154950</v>
      </c>
      <c r="K1361" t="s">
        <v>2838</v>
      </c>
      <c r="L1361" t="s">
        <v>5165</v>
      </c>
      <c r="M1361" t="s">
        <v>46</v>
      </c>
      <c r="N1361">
        <v>45541</v>
      </c>
      <c r="O1361">
        <v>2765</v>
      </c>
      <c r="P1361" t="s">
        <v>20</v>
      </c>
      <c r="Q1361">
        <v>4</v>
      </c>
      <c r="R1361" t="s">
        <v>52</v>
      </c>
      <c r="S1361" t="s">
        <v>21</v>
      </c>
      <c r="T1361" t="s">
        <v>20</v>
      </c>
    </row>
    <row r="1362" spans="1:20" x14ac:dyDescent="0.3">
      <c r="A1362" t="s">
        <v>2839</v>
      </c>
      <c r="B1362" t="s">
        <v>31</v>
      </c>
      <c r="C1362" t="s">
        <v>109</v>
      </c>
      <c r="D1362" t="s">
        <v>44</v>
      </c>
      <c r="E1362" t="s">
        <v>69</v>
      </c>
      <c r="F1362" t="s">
        <v>70</v>
      </c>
      <c r="G1362" t="s">
        <v>16</v>
      </c>
      <c r="H1362" t="s">
        <v>5138</v>
      </c>
      <c r="I1362" t="s">
        <v>5139</v>
      </c>
      <c r="J1362">
        <v>199448</v>
      </c>
      <c r="K1362" t="s">
        <v>2840</v>
      </c>
      <c r="L1362" t="s">
        <v>38</v>
      </c>
      <c r="M1362" t="s">
        <v>19</v>
      </c>
      <c r="N1362">
        <v>45510</v>
      </c>
      <c r="O1362">
        <v>2571</v>
      </c>
      <c r="P1362" t="s">
        <v>29</v>
      </c>
      <c r="Q1362">
        <v>6</v>
      </c>
      <c r="R1362" t="s">
        <v>5116</v>
      </c>
      <c r="S1362" t="s">
        <v>41</v>
      </c>
      <c r="T1362" t="s">
        <v>20</v>
      </c>
    </row>
    <row r="1363" spans="1:20" x14ac:dyDescent="0.3">
      <c r="A1363" t="s">
        <v>2841</v>
      </c>
      <c r="B1363" t="s">
        <v>136</v>
      </c>
      <c r="C1363" t="s">
        <v>64</v>
      </c>
      <c r="D1363" t="s">
        <v>118</v>
      </c>
      <c r="E1363" t="s">
        <v>5124</v>
      </c>
      <c r="F1363" t="s">
        <v>5125</v>
      </c>
      <c r="G1363" t="s">
        <v>16</v>
      </c>
      <c r="H1363" t="s">
        <v>5138</v>
      </c>
      <c r="I1363" t="s">
        <v>5139</v>
      </c>
      <c r="J1363">
        <v>220854</v>
      </c>
      <c r="K1363" t="s">
        <v>2842</v>
      </c>
      <c r="L1363" t="s">
        <v>134</v>
      </c>
      <c r="M1363" t="s">
        <v>39</v>
      </c>
      <c r="N1363">
        <v>45462</v>
      </c>
      <c r="O1363">
        <v>2922</v>
      </c>
      <c r="P1363" t="s">
        <v>20</v>
      </c>
      <c r="Q1363">
        <v>6</v>
      </c>
      <c r="R1363" t="s">
        <v>76</v>
      </c>
      <c r="S1363" t="s">
        <v>41</v>
      </c>
      <c r="T1363" t="s">
        <v>20</v>
      </c>
    </row>
    <row r="1364" spans="1:20" x14ac:dyDescent="0.3">
      <c r="A1364" t="s">
        <v>2843</v>
      </c>
      <c r="B1364" t="s">
        <v>144</v>
      </c>
      <c r="C1364" t="s">
        <v>79</v>
      </c>
      <c r="D1364" t="s">
        <v>5156</v>
      </c>
      <c r="E1364" t="s">
        <v>193</v>
      </c>
      <c r="F1364" t="s">
        <v>194</v>
      </c>
      <c r="G1364" t="s">
        <v>36</v>
      </c>
      <c r="H1364" t="s">
        <v>5138</v>
      </c>
      <c r="I1364" t="s">
        <v>5139</v>
      </c>
      <c r="J1364">
        <v>204304</v>
      </c>
      <c r="K1364" t="s">
        <v>2844</v>
      </c>
      <c r="L1364" t="s">
        <v>38</v>
      </c>
      <c r="M1364" t="s">
        <v>19</v>
      </c>
      <c r="N1364">
        <v>45423</v>
      </c>
      <c r="O1364">
        <v>1208</v>
      </c>
      <c r="P1364" t="s">
        <v>92</v>
      </c>
      <c r="Q1364">
        <v>6</v>
      </c>
      <c r="R1364" t="s">
        <v>52</v>
      </c>
      <c r="S1364" t="s">
        <v>21</v>
      </c>
      <c r="T1364" t="s">
        <v>20</v>
      </c>
    </row>
    <row r="1365" spans="1:20" x14ac:dyDescent="0.3">
      <c r="A1365" t="s">
        <v>2845</v>
      </c>
      <c r="B1365" t="s">
        <v>144</v>
      </c>
      <c r="C1365" t="s">
        <v>125</v>
      </c>
      <c r="D1365" t="s">
        <v>57</v>
      </c>
      <c r="E1365" t="s">
        <v>5133</v>
      </c>
      <c r="F1365" t="s">
        <v>5125</v>
      </c>
      <c r="G1365" t="s">
        <v>50</v>
      </c>
      <c r="H1365" t="s">
        <v>5142</v>
      </c>
      <c r="I1365" t="s">
        <v>5143</v>
      </c>
      <c r="J1365">
        <v>123727</v>
      </c>
      <c r="K1365" t="s">
        <v>2846</v>
      </c>
      <c r="L1365" t="s">
        <v>5165</v>
      </c>
      <c r="M1365" t="s">
        <v>19</v>
      </c>
      <c r="N1365">
        <v>45662</v>
      </c>
      <c r="O1365">
        <v>2671</v>
      </c>
      <c r="P1365" t="s">
        <v>20</v>
      </c>
      <c r="Q1365">
        <v>4</v>
      </c>
      <c r="R1365" t="s">
        <v>47</v>
      </c>
      <c r="S1365" t="s">
        <v>21</v>
      </c>
      <c r="T1365" t="s">
        <v>20</v>
      </c>
    </row>
    <row r="1366" spans="1:20" x14ac:dyDescent="0.3">
      <c r="A1366" t="s">
        <v>2847</v>
      </c>
      <c r="B1366" t="s">
        <v>55</v>
      </c>
      <c r="C1366" t="s">
        <v>185</v>
      </c>
      <c r="D1366" t="s">
        <v>140</v>
      </c>
      <c r="E1366" t="s">
        <v>80</v>
      </c>
      <c r="F1366" t="s">
        <v>80</v>
      </c>
      <c r="G1366" t="s">
        <v>16</v>
      </c>
      <c r="H1366" t="s">
        <v>5140</v>
      </c>
      <c r="I1366" t="s">
        <v>5141</v>
      </c>
      <c r="J1366">
        <v>133692</v>
      </c>
      <c r="K1366" t="s">
        <v>2848</v>
      </c>
      <c r="L1366" t="s">
        <v>134</v>
      </c>
      <c r="M1366" t="s">
        <v>39</v>
      </c>
      <c r="N1366">
        <v>45666</v>
      </c>
      <c r="O1366">
        <v>58</v>
      </c>
      <c r="P1366" t="s">
        <v>20</v>
      </c>
      <c r="Q1366">
        <v>2</v>
      </c>
      <c r="R1366" t="s">
        <v>52</v>
      </c>
      <c r="S1366" t="s">
        <v>21</v>
      </c>
      <c r="T1366" t="s">
        <v>20</v>
      </c>
    </row>
    <row r="1367" spans="1:20" x14ac:dyDescent="0.3">
      <c r="A1367" t="s">
        <v>2849</v>
      </c>
      <c r="B1367" t="s">
        <v>124</v>
      </c>
      <c r="C1367" t="s">
        <v>79</v>
      </c>
      <c r="D1367" t="s">
        <v>68</v>
      </c>
      <c r="E1367" t="s">
        <v>80</v>
      </c>
      <c r="F1367" t="s">
        <v>80</v>
      </c>
      <c r="G1367" t="s">
        <v>16</v>
      </c>
      <c r="H1367" t="s">
        <v>5138</v>
      </c>
      <c r="I1367" t="s">
        <v>5139</v>
      </c>
      <c r="J1367">
        <v>194292</v>
      </c>
      <c r="K1367" t="s">
        <v>2850</v>
      </c>
      <c r="L1367" t="s">
        <v>179</v>
      </c>
      <c r="M1367" t="s">
        <v>19</v>
      </c>
      <c r="N1367">
        <v>45326</v>
      </c>
      <c r="O1367">
        <v>528</v>
      </c>
      <c r="P1367" t="s">
        <v>20</v>
      </c>
      <c r="Q1367">
        <v>6</v>
      </c>
      <c r="R1367" t="s">
        <v>40</v>
      </c>
      <c r="S1367" t="s">
        <v>53</v>
      </c>
      <c r="T1367" t="s">
        <v>20</v>
      </c>
    </row>
    <row r="1368" spans="1:20" x14ac:dyDescent="0.3">
      <c r="A1368" t="s">
        <v>2851</v>
      </c>
      <c r="B1368" t="s">
        <v>99</v>
      </c>
      <c r="C1368" t="s">
        <v>100</v>
      </c>
      <c r="D1368" t="s">
        <v>44</v>
      </c>
      <c r="E1368" t="s">
        <v>80</v>
      </c>
      <c r="F1368" t="s">
        <v>80</v>
      </c>
      <c r="G1368" t="s">
        <v>16</v>
      </c>
      <c r="H1368" t="s">
        <v>5140</v>
      </c>
      <c r="I1368" t="s">
        <v>5141</v>
      </c>
      <c r="J1368">
        <v>109459</v>
      </c>
      <c r="K1368" t="s">
        <v>2852</v>
      </c>
      <c r="L1368" t="s">
        <v>82</v>
      </c>
      <c r="M1368" t="s">
        <v>46</v>
      </c>
      <c r="N1368">
        <v>45523</v>
      </c>
      <c r="O1368">
        <v>45</v>
      </c>
      <c r="P1368" t="s">
        <v>92</v>
      </c>
      <c r="Q1368">
        <v>2</v>
      </c>
      <c r="R1368" t="s">
        <v>40</v>
      </c>
      <c r="S1368" t="s">
        <v>21</v>
      </c>
      <c r="T1368" t="s">
        <v>29</v>
      </c>
    </row>
    <row r="1369" spans="1:20" x14ac:dyDescent="0.3">
      <c r="A1369" t="s">
        <v>2853</v>
      </c>
      <c r="B1369" t="s">
        <v>322</v>
      </c>
      <c r="C1369" t="s">
        <v>219</v>
      </c>
      <c r="D1369" t="s">
        <v>44</v>
      </c>
      <c r="E1369" t="s">
        <v>5132</v>
      </c>
      <c r="F1369" t="s">
        <v>5125</v>
      </c>
      <c r="G1369" t="s">
        <v>36</v>
      </c>
      <c r="H1369" t="s">
        <v>5140</v>
      </c>
      <c r="I1369" t="s">
        <v>5141</v>
      </c>
      <c r="J1369">
        <v>91521</v>
      </c>
      <c r="K1369" t="s">
        <v>2854</v>
      </c>
      <c r="L1369" t="s">
        <v>18</v>
      </c>
      <c r="M1369" t="s">
        <v>72</v>
      </c>
      <c r="N1369">
        <v>45481</v>
      </c>
      <c r="O1369">
        <v>1542</v>
      </c>
      <c r="P1369" t="s">
        <v>29</v>
      </c>
      <c r="Q1369">
        <v>2</v>
      </c>
      <c r="R1369" t="s">
        <v>5116</v>
      </c>
      <c r="S1369" t="s">
        <v>21</v>
      </c>
      <c r="T1369" t="s">
        <v>20</v>
      </c>
    </row>
    <row r="1370" spans="1:20" x14ac:dyDescent="0.3">
      <c r="A1370" t="s">
        <v>2855</v>
      </c>
      <c r="B1370" t="s">
        <v>74</v>
      </c>
      <c r="C1370" t="s">
        <v>100</v>
      </c>
      <c r="D1370" t="s">
        <v>68</v>
      </c>
      <c r="E1370" t="s">
        <v>5129</v>
      </c>
      <c r="F1370" t="s">
        <v>5130</v>
      </c>
      <c r="G1370" t="s">
        <v>36</v>
      </c>
      <c r="H1370" t="s">
        <v>5138</v>
      </c>
      <c r="I1370" t="s">
        <v>5139</v>
      </c>
      <c r="J1370">
        <v>184041</v>
      </c>
      <c r="K1370" t="s">
        <v>2856</v>
      </c>
      <c r="L1370" t="s">
        <v>87</v>
      </c>
      <c r="M1370" t="s">
        <v>46</v>
      </c>
      <c r="N1370">
        <v>45694</v>
      </c>
      <c r="O1370">
        <v>1180</v>
      </c>
      <c r="P1370" t="s">
        <v>20</v>
      </c>
      <c r="Q1370">
        <v>6</v>
      </c>
      <c r="R1370" t="s">
        <v>5116</v>
      </c>
      <c r="S1370" t="s">
        <v>21</v>
      </c>
      <c r="T1370" t="s">
        <v>29</v>
      </c>
    </row>
    <row r="1371" spans="1:20" x14ac:dyDescent="0.3">
      <c r="A1371" t="s">
        <v>2857</v>
      </c>
      <c r="B1371" t="s">
        <v>84</v>
      </c>
      <c r="C1371" t="s">
        <v>166</v>
      </c>
      <c r="D1371" t="s">
        <v>68</v>
      </c>
      <c r="E1371" t="s">
        <v>5133</v>
      </c>
      <c r="F1371" t="s">
        <v>5125</v>
      </c>
      <c r="G1371" t="s">
        <v>16</v>
      </c>
      <c r="H1371" t="s">
        <v>5136</v>
      </c>
      <c r="I1371" t="s">
        <v>5137</v>
      </c>
      <c r="J1371">
        <v>58851</v>
      </c>
      <c r="K1371" t="s">
        <v>2858</v>
      </c>
      <c r="L1371" t="s">
        <v>142</v>
      </c>
      <c r="M1371" t="s">
        <v>46</v>
      </c>
      <c r="N1371">
        <v>45552</v>
      </c>
      <c r="O1371">
        <v>1280</v>
      </c>
      <c r="P1371" t="s">
        <v>20</v>
      </c>
      <c r="Q1371">
        <v>0</v>
      </c>
      <c r="R1371" t="s">
        <v>40</v>
      </c>
      <c r="S1371" t="s">
        <v>21</v>
      </c>
      <c r="T1371" t="s">
        <v>29</v>
      </c>
    </row>
    <row r="1372" spans="1:20" x14ac:dyDescent="0.3">
      <c r="A1372" t="s">
        <v>2859</v>
      </c>
      <c r="B1372" t="s">
        <v>78</v>
      </c>
      <c r="C1372" t="s">
        <v>139</v>
      </c>
      <c r="D1372" t="s">
        <v>68</v>
      </c>
      <c r="E1372" t="s">
        <v>5129</v>
      </c>
      <c r="F1372" t="s">
        <v>5130</v>
      </c>
      <c r="G1372" t="s">
        <v>50</v>
      </c>
      <c r="H1372" t="s">
        <v>5136</v>
      </c>
      <c r="I1372" t="s">
        <v>5137</v>
      </c>
      <c r="J1372">
        <v>67820</v>
      </c>
      <c r="K1372" t="s">
        <v>2860</v>
      </c>
      <c r="L1372" t="s">
        <v>5165</v>
      </c>
      <c r="M1372" t="s">
        <v>19</v>
      </c>
      <c r="N1372">
        <v>45556</v>
      </c>
      <c r="O1372">
        <v>3950</v>
      </c>
      <c r="P1372" t="s">
        <v>92</v>
      </c>
      <c r="Q1372">
        <v>0</v>
      </c>
      <c r="R1372" t="s">
        <v>5116</v>
      </c>
      <c r="S1372" t="s">
        <v>21</v>
      </c>
      <c r="T1372" t="s">
        <v>20</v>
      </c>
    </row>
    <row r="1373" spans="1:20" x14ac:dyDescent="0.3">
      <c r="A1373" t="s">
        <v>2861</v>
      </c>
      <c r="B1373" t="s">
        <v>12</v>
      </c>
      <c r="C1373" t="s">
        <v>56</v>
      </c>
      <c r="D1373" t="s">
        <v>140</v>
      </c>
      <c r="E1373" t="s">
        <v>209</v>
      </c>
      <c r="F1373" t="s">
        <v>210</v>
      </c>
      <c r="G1373" t="s">
        <v>36</v>
      </c>
      <c r="H1373" t="s">
        <v>5138</v>
      </c>
      <c r="I1373" t="s">
        <v>5139</v>
      </c>
      <c r="J1373">
        <v>261621</v>
      </c>
      <c r="K1373" t="s">
        <v>2862</v>
      </c>
      <c r="L1373" t="s">
        <v>38</v>
      </c>
      <c r="M1373" t="s">
        <v>46</v>
      </c>
      <c r="N1373">
        <v>45578</v>
      </c>
      <c r="O1373">
        <v>1740</v>
      </c>
      <c r="P1373" t="s">
        <v>29</v>
      </c>
      <c r="Q1373">
        <v>6</v>
      </c>
      <c r="R1373" t="s">
        <v>76</v>
      </c>
      <c r="S1373" t="s">
        <v>21</v>
      </c>
      <c r="T1373" t="s">
        <v>20</v>
      </c>
    </row>
    <row r="1374" spans="1:20" x14ac:dyDescent="0.3">
      <c r="A1374" t="s">
        <v>2863</v>
      </c>
      <c r="B1374" t="s">
        <v>130</v>
      </c>
      <c r="C1374" t="s">
        <v>100</v>
      </c>
      <c r="D1374" t="s">
        <v>167</v>
      </c>
      <c r="E1374" t="s">
        <v>5133</v>
      </c>
      <c r="F1374" t="s">
        <v>5125</v>
      </c>
      <c r="G1374" t="s">
        <v>36</v>
      </c>
      <c r="H1374" t="s">
        <v>5138</v>
      </c>
      <c r="I1374" t="s">
        <v>5139</v>
      </c>
      <c r="J1374">
        <v>150611</v>
      </c>
      <c r="K1374" t="s">
        <v>2864</v>
      </c>
      <c r="L1374" t="s">
        <v>5165</v>
      </c>
      <c r="M1374" t="s">
        <v>39</v>
      </c>
      <c r="N1374">
        <v>45656</v>
      </c>
      <c r="O1374">
        <v>3981</v>
      </c>
      <c r="P1374" t="s">
        <v>92</v>
      </c>
      <c r="Q1374">
        <v>6</v>
      </c>
      <c r="R1374" t="s">
        <v>47</v>
      </c>
      <c r="S1374" t="s">
        <v>21</v>
      </c>
      <c r="T1374" t="s">
        <v>29</v>
      </c>
    </row>
    <row r="1375" spans="1:20" x14ac:dyDescent="0.3">
      <c r="A1375" t="s">
        <v>2865</v>
      </c>
      <c r="B1375" t="s">
        <v>23</v>
      </c>
      <c r="C1375" t="s">
        <v>85</v>
      </c>
      <c r="D1375" t="s">
        <v>104</v>
      </c>
      <c r="E1375" t="s">
        <v>193</v>
      </c>
      <c r="F1375" t="s">
        <v>194</v>
      </c>
      <c r="G1375" t="s">
        <v>16</v>
      </c>
      <c r="H1375" t="s">
        <v>5136</v>
      </c>
      <c r="I1375" t="s">
        <v>5137</v>
      </c>
      <c r="J1375">
        <v>50000</v>
      </c>
      <c r="K1375" t="s">
        <v>2866</v>
      </c>
      <c r="L1375" t="s">
        <v>5165</v>
      </c>
      <c r="M1375" t="s">
        <v>46</v>
      </c>
      <c r="N1375">
        <v>45459</v>
      </c>
      <c r="O1375">
        <v>678</v>
      </c>
      <c r="P1375" t="s">
        <v>20</v>
      </c>
      <c r="Q1375">
        <v>0</v>
      </c>
      <c r="R1375" t="s">
        <v>52</v>
      </c>
      <c r="S1375" t="s">
        <v>21</v>
      </c>
      <c r="T1375" t="s">
        <v>29</v>
      </c>
    </row>
    <row r="1376" spans="1:20" x14ac:dyDescent="0.3">
      <c r="A1376" t="s">
        <v>2867</v>
      </c>
      <c r="B1376" t="s">
        <v>165</v>
      </c>
      <c r="C1376" t="s">
        <v>117</v>
      </c>
      <c r="D1376" t="s">
        <v>33</v>
      </c>
      <c r="E1376" t="s">
        <v>5124</v>
      </c>
      <c r="F1376" t="s">
        <v>5125</v>
      </c>
      <c r="G1376" t="s">
        <v>36</v>
      </c>
      <c r="H1376" t="s">
        <v>5138</v>
      </c>
      <c r="I1376" t="s">
        <v>5139</v>
      </c>
      <c r="J1376">
        <v>252962</v>
      </c>
      <c r="K1376" t="s">
        <v>2868</v>
      </c>
      <c r="L1376" t="s">
        <v>238</v>
      </c>
      <c r="M1376" t="s">
        <v>19</v>
      </c>
      <c r="N1376">
        <v>45326</v>
      </c>
      <c r="O1376">
        <v>1406</v>
      </c>
      <c r="P1376" t="s">
        <v>29</v>
      </c>
      <c r="Q1376">
        <v>6</v>
      </c>
      <c r="R1376" t="s">
        <v>52</v>
      </c>
      <c r="S1376" t="s">
        <v>21</v>
      </c>
      <c r="T1376" t="s">
        <v>20</v>
      </c>
    </row>
    <row r="1377" spans="1:20" x14ac:dyDescent="0.3">
      <c r="A1377" t="s">
        <v>2869</v>
      </c>
      <c r="B1377" t="s">
        <v>322</v>
      </c>
      <c r="C1377" t="s">
        <v>219</v>
      </c>
      <c r="D1377" t="s">
        <v>25</v>
      </c>
      <c r="E1377" t="s">
        <v>14</v>
      </c>
      <c r="F1377" t="s">
        <v>15</v>
      </c>
      <c r="G1377" t="s">
        <v>16</v>
      </c>
      <c r="H1377" t="s">
        <v>5140</v>
      </c>
      <c r="I1377" t="s">
        <v>5141</v>
      </c>
      <c r="J1377">
        <v>105855</v>
      </c>
      <c r="K1377" t="s">
        <v>2870</v>
      </c>
      <c r="L1377" t="s">
        <v>87</v>
      </c>
      <c r="M1377" t="s">
        <v>46</v>
      </c>
      <c r="N1377">
        <v>45618</v>
      </c>
      <c r="O1377">
        <v>28</v>
      </c>
      <c r="P1377" t="s">
        <v>20</v>
      </c>
      <c r="Q1377">
        <v>2</v>
      </c>
      <c r="R1377" t="s">
        <v>52</v>
      </c>
      <c r="S1377" t="s">
        <v>53</v>
      </c>
      <c r="T1377" t="s">
        <v>20</v>
      </c>
    </row>
    <row r="1378" spans="1:20" x14ac:dyDescent="0.3">
      <c r="A1378" t="s">
        <v>2871</v>
      </c>
      <c r="B1378" t="s">
        <v>144</v>
      </c>
      <c r="C1378" t="s">
        <v>67</v>
      </c>
      <c r="D1378" t="s">
        <v>118</v>
      </c>
      <c r="E1378" t="s">
        <v>58</v>
      </c>
      <c r="F1378" t="s">
        <v>59</v>
      </c>
      <c r="G1378" t="s">
        <v>50</v>
      </c>
      <c r="H1378" t="s">
        <v>5138</v>
      </c>
      <c r="I1378" t="s">
        <v>5139</v>
      </c>
      <c r="J1378">
        <v>175913</v>
      </c>
      <c r="K1378" t="s">
        <v>2872</v>
      </c>
      <c r="L1378" t="s">
        <v>5165</v>
      </c>
      <c r="M1378" t="s">
        <v>72</v>
      </c>
      <c r="N1378">
        <v>45723</v>
      </c>
      <c r="O1378">
        <v>1931</v>
      </c>
      <c r="P1378" t="s">
        <v>20</v>
      </c>
      <c r="Q1378">
        <v>6</v>
      </c>
      <c r="R1378" t="s">
        <v>5116</v>
      </c>
      <c r="S1378" t="s">
        <v>21</v>
      </c>
      <c r="T1378" t="s">
        <v>20</v>
      </c>
    </row>
    <row r="1379" spans="1:20" x14ac:dyDescent="0.3">
      <c r="A1379" t="s">
        <v>2873</v>
      </c>
      <c r="B1379" t="s">
        <v>74</v>
      </c>
      <c r="C1379" t="s">
        <v>232</v>
      </c>
      <c r="D1379" t="s">
        <v>44</v>
      </c>
      <c r="E1379" t="s">
        <v>5124</v>
      </c>
      <c r="F1379" t="s">
        <v>5125</v>
      </c>
      <c r="G1379" t="s">
        <v>16</v>
      </c>
      <c r="H1379" t="s">
        <v>5140</v>
      </c>
      <c r="I1379" t="s">
        <v>5141</v>
      </c>
      <c r="J1379">
        <v>130590</v>
      </c>
      <c r="K1379" t="s">
        <v>2874</v>
      </c>
      <c r="L1379" t="s">
        <v>82</v>
      </c>
      <c r="M1379" t="s">
        <v>19</v>
      </c>
      <c r="N1379">
        <v>45667</v>
      </c>
      <c r="O1379">
        <v>3398</v>
      </c>
      <c r="P1379" t="s">
        <v>29</v>
      </c>
      <c r="Q1379">
        <v>2</v>
      </c>
      <c r="R1379" t="s">
        <v>40</v>
      </c>
      <c r="S1379" t="s">
        <v>21</v>
      </c>
      <c r="T1379" t="s">
        <v>29</v>
      </c>
    </row>
    <row r="1380" spans="1:20" x14ac:dyDescent="0.3">
      <c r="A1380" t="s">
        <v>2875</v>
      </c>
      <c r="B1380" t="s">
        <v>74</v>
      </c>
      <c r="C1380" t="s">
        <v>139</v>
      </c>
      <c r="D1380" t="s">
        <v>57</v>
      </c>
      <c r="E1380" t="s">
        <v>80</v>
      </c>
      <c r="F1380" t="s">
        <v>80</v>
      </c>
      <c r="G1380" t="s">
        <v>50</v>
      </c>
      <c r="H1380" t="s">
        <v>5138</v>
      </c>
      <c r="I1380" t="s">
        <v>5139</v>
      </c>
      <c r="J1380">
        <v>178197</v>
      </c>
      <c r="K1380" t="s">
        <v>2876</v>
      </c>
      <c r="L1380" t="s">
        <v>5165</v>
      </c>
      <c r="M1380" t="s">
        <v>19</v>
      </c>
      <c r="N1380">
        <v>45318</v>
      </c>
      <c r="O1380">
        <v>3838</v>
      </c>
      <c r="P1380" t="s">
        <v>29</v>
      </c>
      <c r="Q1380">
        <v>6</v>
      </c>
      <c r="R1380" t="s">
        <v>76</v>
      </c>
      <c r="S1380" t="s">
        <v>21</v>
      </c>
      <c r="T1380" t="s">
        <v>20</v>
      </c>
    </row>
    <row r="1381" spans="1:20" x14ac:dyDescent="0.3">
      <c r="A1381" t="s">
        <v>2877</v>
      </c>
      <c r="B1381" t="s">
        <v>130</v>
      </c>
      <c r="C1381" t="s">
        <v>56</v>
      </c>
      <c r="D1381" t="s">
        <v>33</v>
      </c>
      <c r="E1381" t="s">
        <v>209</v>
      </c>
      <c r="F1381" t="s">
        <v>210</v>
      </c>
      <c r="G1381" t="s">
        <v>16</v>
      </c>
      <c r="H1381" t="s">
        <v>5142</v>
      </c>
      <c r="I1381" t="s">
        <v>5143</v>
      </c>
      <c r="J1381">
        <v>199302</v>
      </c>
      <c r="K1381" t="s">
        <v>2878</v>
      </c>
      <c r="L1381" t="s">
        <v>134</v>
      </c>
      <c r="M1381" t="s">
        <v>19</v>
      </c>
      <c r="N1381">
        <v>45687</v>
      </c>
      <c r="O1381">
        <v>75</v>
      </c>
      <c r="P1381" t="s">
        <v>29</v>
      </c>
      <c r="Q1381">
        <v>4</v>
      </c>
      <c r="R1381" t="s">
        <v>40</v>
      </c>
      <c r="S1381" t="s">
        <v>21</v>
      </c>
      <c r="T1381" t="s">
        <v>20</v>
      </c>
    </row>
    <row r="1382" spans="1:20" x14ac:dyDescent="0.3">
      <c r="A1382" t="s">
        <v>2879</v>
      </c>
      <c r="B1382" t="s">
        <v>74</v>
      </c>
      <c r="C1382" t="s">
        <v>160</v>
      </c>
      <c r="D1382" t="s">
        <v>118</v>
      </c>
      <c r="E1382" t="s">
        <v>5126</v>
      </c>
      <c r="F1382" t="s">
        <v>5125</v>
      </c>
      <c r="G1382" t="s">
        <v>36</v>
      </c>
      <c r="H1382" t="s">
        <v>5140</v>
      </c>
      <c r="I1382" t="s">
        <v>5141</v>
      </c>
      <c r="J1382">
        <v>123422</v>
      </c>
      <c r="K1382" t="s">
        <v>2880</v>
      </c>
      <c r="L1382" t="s">
        <v>5165</v>
      </c>
      <c r="M1382" t="s">
        <v>39</v>
      </c>
      <c r="N1382">
        <v>45478</v>
      </c>
      <c r="O1382">
        <v>3123</v>
      </c>
      <c r="P1382" t="s">
        <v>20</v>
      </c>
      <c r="Q1382">
        <v>2</v>
      </c>
      <c r="R1382" t="s">
        <v>76</v>
      </c>
      <c r="S1382" t="s">
        <v>53</v>
      </c>
      <c r="T1382" t="s">
        <v>20</v>
      </c>
    </row>
    <row r="1383" spans="1:20" x14ac:dyDescent="0.3">
      <c r="A1383" t="s">
        <v>2881</v>
      </c>
      <c r="B1383" t="s">
        <v>218</v>
      </c>
      <c r="C1383" t="s">
        <v>94</v>
      </c>
      <c r="D1383" t="s">
        <v>44</v>
      </c>
      <c r="E1383" t="s">
        <v>152</v>
      </c>
      <c r="F1383" t="s">
        <v>153</v>
      </c>
      <c r="G1383" t="s">
        <v>36</v>
      </c>
      <c r="H1383" t="s">
        <v>5142</v>
      </c>
      <c r="I1383" t="s">
        <v>5143</v>
      </c>
      <c r="J1383">
        <v>136826</v>
      </c>
      <c r="K1383" t="s">
        <v>2882</v>
      </c>
      <c r="L1383" t="s">
        <v>18</v>
      </c>
      <c r="M1383" t="s">
        <v>72</v>
      </c>
      <c r="N1383">
        <v>45507</v>
      </c>
      <c r="O1383">
        <v>162</v>
      </c>
      <c r="P1383" t="s">
        <v>20</v>
      </c>
      <c r="Q1383">
        <v>4</v>
      </c>
      <c r="R1383" t="s">
        <v>5116</v>
      </c>
      <c r="S1383" t="s">
        <v>21</v>
      </c>
      <c r="T1383" t="s">
        <v>29</v>
      </c>
    </row>
    <row r="1384" spans="1:20" x14ac:dyDescent="0.3">
      <c r="A1384" t="s">
        <v>2883</v>
      </c>
      <c r="B1384" t="s">
        <v>55</v>
      </c>
      <c r="C1384" t="s">
        <v>43</v>
      </c>
      <c r="D1384" t="s">
        <v>25</v>
      </c>
      <c r="E1384" t="s">
        <v>5132</v>
      </c>
      <c r="F1384" t="s">
        <v>5125</v>
      </c>
      <c r="G1384" t="s">
        <v>16</v>
      </c>
      <c r="H1384" t="s">
        <v>5138</v>
      </c>
      <c r="I1384" t="s">
        <v>5139</v>
      </c>
      <c r="J1384">
        <v>277663</v>
      </c>
      <c r="K1384" t="s">
        <v>2884</v>
      </c>
      <c r="L1384" t="s">
        <v>5165</v>
      </c>
      <c r="M1384" t="s">
        <v>39</v>
      </c>
      <c r="N1384">
        <v>45308</v>
      </c>
      <c r="O1384">
        <v>2458</v>
      </c>
      <c r="P1384" t="s">
        <v>20</v>
      </c>
      <c r="Q1384">
        <v>6</v>
      </c>
      <c r="R1384" t="s">
        <v>76</v>
      </c>
      <c r="S1384" t="s">
        <v>53</v>
      </c>
      <c r="T1384" t="s">
        <v>29</v>
      </c>
    </row>
    <row r="1385" spans="1:20" x14ac:dyDescent="0.3">
      <c r="A1385" t="s">
        <v>2885</v>
      </c>
      <c r="B1385" t="s">
        <v>229</v>
      </c>
      <c r="C1385" t="s">
        <v>49</v>
      </c>
      <c r="D1385" t="s">
        <v>57</v>
      </c>
      <c r="E1385" t="s">
        <v>69</v>
      </c>
      <c r="F1385" t="s">
        <v>70</v>
      </c>
      <c r="G1385" t="s">
        <v>36</v>
      </c>
      <c r="H1385" t="s">
        <v>5142</v>
      </c>
      <c r="I1385" t="s">
        <v>5143</v>
      </c>
      <c r="J1385">
        <v>133645</v>
      </c>
      <c r="K1385" t="s">
        <v>2886</v>
      </c>
      <c r="L1385" t="s">
        <v>18</v>
      </c>
      <c r="M1385" t="s">
        <v>46</v>
      </c>
      <c r="N1385">
        <v>45397</v>
      </c>
      <c r="O1385">
        <v>1584</v>
      </c>
      <c r="P1385" t="s">
        <v>29</v>
      </c>
      <c r="Q1385">
        <v>4</v>
      </c>
      <c r="R1385" t="s">
        <v>76</v>
      </c>
      <c r="S1385" t="s">
        <v>41</v>
      </c>
      <c r="T1385" t="s">
        <v>20</v>
      </c>
    </row>
    <row r="1386" spans="1:20" x14ac:dyDescent="0.3">
      <c r="A1386" t="s">
        <v>2887</v>
      </c>
      <c r="B1386" t="s">
        <v>130</v>
      </c>
      <c r="C1386" t="s">
        <v>13</v>
      </c>
      <c r="D1386" t="s">
        <v>140</v>
      </c>
      <c r="E1386" t="s">
        <v>26</v>
      </c>
      <c r="F1386" t="s">
        <v>27</v>
      </c>
      <c r="G1386" t="s">
        <v>50</v>
      </c>
      <c r="H1386" t="s">
        <v>5142</v>
      </c>
      <c r="I1386" t="s">
        <v>5143</v>
      </c>
      <c r="J1386">
        <v>170036</v>
      </c>
      <c r="K1386" t="s">
        <v>2888</v>
      </c>
      <c r="L1386" t="s">
        <v>5165</v>
      </c>
      <c r="M1386" t="s">
        <v>46</v>
      </c>
      <c r="N1386">
        <v>45303</v>
      </c>
      <c r="O1386">
        <v>591</v>
      </c>
      <c r="P1386" t="s">
        <v>20</v>
      </c>
      <c r="Q1386">
        <v>4</v>
      </c>
      <c r="R1386" t="s">
        <v>76</v>
      </c>
      <c r="S1386" t="s">
        <v>21</v>
      </c>
      <c r="T1386" t="s">
        <v>20</v>
      </c>
    </row>
    <row r="1387" spans="1:20" x14ac:dyDescent="0.3">
      <c r="A1387" t="s">
        <v>2889</v>
      </c>
      <c r="B1387" t="s">
        <v>136</v>
      </c>
      <c r="C1387" t="s">
        <v>43</v>
      </c>
      <c r="D1387" t="s">
        <v>118</v>
      </c>
      <c r="E1387" t="s">
        <v>152</v>
      </c>
      <c r="F1387" t="s">
        <v>153</v>
      </c>
      <c r="G1387" t="s">
        <v>36</v>
      </c>
      <c r="H1387" t="s">
        <v>5140</v>
      </c>
      <c r="I1387" t="s">
        <v>5141</v>
      </c>
      <c r="J1387">
        <v>115925</v>
      </c>
      <c r="K1387" t="s">
        <v>2890</v>
      </c>
      <c r="L1387" t="s">
        <v>5165</v>
      </c>
      <c r="M1387" t="s">
        <v>19</v>
      </c>
      <c r="N1387">
        <v>45440</v>
      </c>
      <c r="O1387">
        <v>2730</v>
      </c>
      <c r="P1387" t="s">
        <v>29</v>
      </c>
      <c r="Q1387">
        <v>2</v>
      </c>
      <c r="R1387" t="s">
        <v>40</v>
      </c>
      <c r="S1387" t="s">
        <v>21</v>
      </c>
      <c r="T1387" t="s">
        <v>29</v>
      </c>
    </row>
    <row r="1388" spans="1:20" x14ac:dyDescent="0.3">
      <c r="A1388" t="s">
        <v>2891</v>
      </c>
      <c r="B1388" t="s">
        <v>144</v>
      </c>
      <c r="C1388" t="s">
        <v>49</v>
      </c>
      <c r="D1388" t="s">
        <v>33</v>
      </c>
      <c r="E1388" t="s">
        <v>5128</v>
      </c>
      <c r="F1388" t="s">
        <v>5125</v>
      </c>
      <c r="G1388" t="s">
        <v>36</v>
      </c>
      <c r="H1388" t="s">
        <v>5142</v>
      </c>
      <c r="I1388" t="s">
        <v>5143</v>
      </c>
      <c r="J1388">
        <v>185147</v>
      </c>
      <c r="K1388" t="s">
        <v>2892</v>
      </c>
      <c r="L1388" t="s">
        <v>5165</v>
      </c>
      <c r="M1388" t="s">
        <v>39</v>
      </c>
      <c r="N1388">
        <v>45578</v>
      </c>
      <c r="O1388">
        <v>970</v>
      </c>
      <c r="P1388" t="s">
        <v>20</v>
      </c>
      <c r="Q1388">
        <v>4</v>
      </c>
      <c r="R1388" t="s">
        <v>52</v>
      </c>
      <c r="S1388" t="s">
        <v>53</v>
      </c>
      <c r="T1388" t="s">
        <v>20</v>
      </c>
    </row>
    <row r="1389" spans="1:20" x14ac:dyDescent="0.3">
      <c r="A1389" t="s">
        <v>2893</v>
      </c>
      <c r="B1389" t="s">
        <v>130</v>
      </c>
      <c r="C1389" t="s">
        <v>32</v>
      </c>
      <c r="D1389" t="s">
        <v>33</v>
      </c>
      <c r="E1389" t="s">
        <v>5132</v>
      </c>
      <c r="F1389" t="s">
        <v>5125</v>
      </c>
      <c r="G1389" t="s">
        <v>16</v>
      </c>
      <c r="H1389" t="s">
        <v>5140</v>
      </c>
      <c r="I1389" t="s">
        <v>5141</v>
      </c>
      <c r="J1389">
        <v>140917</v>
      </c>
      <c r="K1389" t="s">
        <v>2894</v>
      </c>
      <c r="L1389" t="s">
        <v>18</v>
      </c>
      <c r="M1389" t="s">
        <v>19</v>
      </c>
      <c r="N1389">
        <v>45321</v>
      </c>
      <c r="O1389">
        <v>2144</v>
      </c>
      <c r="P1389" t="s">
        <v>29</v>
      </c>
      <c r="Q1389">
        <v>2</v>
      </c>
      <c r="R1389" t="s">
        <v>5116</v>
      </c>
      <c r="S1389" t="s">
        <v>53</v>
      </c>
      <c r="T1389" t="s">
        <v>29</v>
      </c>
    </row>
    <row r="1390" spans="1:20" x14ac:dyDescent="0.3">
      <c r="A1390" t="s">
        <v>2895</v>
      </c>
      <c r="B1390" t="s">
        <v>23</v>
      </c>
      <c r="C1390" t="s">
        <v>188</v>
      </c>
      <c r="D1390" t="s">
        <v>118</v>
      </c>
      <c r="E1390" t="s">
        <v>95</v>
      </c>
      <c r="F1390" t="s">
        <v>96</v>
      </c>
      <c r="G1390" t="s">
        <v>36</v>
      </c>
      <c r="H1390" t="s">
        <v>5136</v>
      </c>
      <c r="I1390" t="s">
        <v>5137</v>
      </c>
      <c r="J1390">
        <v>70403</v>
      </c>
      <c r="K1390" t="s">
        <v>2896</v>
      </c>
      <c r="L1390" t="s">
        <v>5165</v>
      </c>
      <c r="M1390" t="s">
        <v>46</v>
      </c>
      <c r="N1390">
        <v>45410</v>
      </c>
      <c r="O1390">
        <v>2556</v>
      </c>
      <c r="P1390" t="s">
        <v>20</v>
      </c>
      <c r="Q1390">
        <v>0</v>
      </c>
      <c r="R1390" t="s">
        <v>5116</v>
      </c>
      <c r="S1390" t="s">
        <v>41</v>
      </c>
      <c r="T1390" t="s">
        <v>20</v>
      </c>
    </row>
    <row r="1391" spans="1:20" x14ac:dyDescent="0.3">
      <c r="A1391" t="s">
        <v>2897</v>
      </c>
      <c r="B1391" t="s">
        <v>165</v>
      </c>
      <c r="C1391" t="s">
        <v>103</v>
      </c>
      <c r="D1391" t="s">
        <v>118</v>
      </c>
      <c r="E1391" t="s">
        <v>5131</v>
      </c>
      <c r="F1391" t="s">
        <v>5125</v>
      </c>
      <c r="G1391" t="s">
        <v>16</v>
      </c>
      <c r="H1391" t="s">
        <v>5138</v>
      </c>
      <c r="I1391" t="s">
        <v>5139</v>
      </c>
      <c r="J1391">
        <v>172876</v>
      </c>
      <c r="K1391" t="s">
        <v>2898</v>
      </c>
      <c r="L1391" t="s">
        <v>5165</v>
      </c>
      <c r="M1391" t="s">
        <v>72</v>
      </c>
      <c r="N1391">
        <v>45686</v>
      </c>
      <c r="O1391">
        <v>2139</v>
      </c>
      <c r="P1391" t="s">
        <v>29</v>
      </c>
      <c r="Q1391">
        <v>6</v>
      </c>
      <c r="R1391" t="s">
        <v>76</v>
      </c>
      <c r="S1391" t="s">
        <v>21</v>
      </c>
      <c r="T1391" t="s">
        <v>20</v>
      </c>
    </row>
    <row r="1392" spans="1:20" x14ac:dyDescent="0.3">
      <c r="A1392" t="s">
        <v>2899</v>
      </c>
      <c r="B1392" t="s">
        <v>31</v>
      </c>
      <c r="C1392" t="s">
        <v>43</v>
      </c>
      <c r="D1392" t="s">
        <v>68</v>
      </c>
      <c r="E1392" t="s">
        <v>5132</v>
      </c>
      <c r="F1392" t="s">
        <v>5125</v>
      </c>
      <c r="G1392" t="s">
        <v>50</v>
      </c>
      <c r="H1392" t="s">
        <v>5138</v>
      </c>
      <c r="I1392" t="s">
        <v>5139</v>
      </c>
      <c r="J1392">
        <v>216558</v>
      </c>
      <c r="K1392" t="s">
        <v>2900</v>
      </c>
      <c r="L1392" t="s">
        <v>5165</v>
      </c>
      <c r="M1392" t="s">
        <v>72</v>
      </c>
      <c r="N1392">
        <v>45659</v>
      </c>
      <c r="O1392">
        <v>44</v>
      </c>
      <c r="P1392" t="s">
        <v>92</v>
      </c>
      <c r="Q1392">
        <v>6</v>
      </c>
      <c r="R1392" t="s">
        <v>52</v>
      </c>
      <c r="S1392" t="s">
        <v>21</v>
      </c>
      <c r="T1392" t="s">
        <v>29</v>
      </c>
    </row>
    <row r="1393" spans="1:20" x14ac:dyDescent="0.3">
      <c r="A1393" t="s">
        <v>2901</v>
      </c>
      <c r="B1393" t="s">
        <v>165</v>
      </c>
      <c r="C1393" t="s">
        <v>188</v>
      </c>
      <c r="D1393" t="s">
        <v>33</v>
      </c>
      <c r="E1393" t="s">
        <v>58</v>
      </c>
      <c r="F1393" t="s">
        <v>59</v>
      </c>
      <c r="G1393" t="s">
        <v>16</v>
      </c>
      <c r="H1393" t="s">
        <v>5142</v>
      </c>
      <c r="I1393" t="s">
        <v>5143</v>
      </c>
      <c r="J1393">
        <v>131701</v>
      </c>
      <c r="K1393" t="s">
        <v>2902</v>
      </c>
      <c r="L1393" t="s">
        <v>5165</v>
      </c>
      <c r="M1393" t="s">
        <v>46</v>
      </c>
      <c r="N1393">
        <v>45591</v>
      </c>
      <c r="O1393">
        <v>3014</v>
      </c>
      <c r="P1393" t="s">
        <v>92</v>
      </c>
      <c r="Q1393">
        <v>4</v>
      </c>
      <c r="R1393" t="s">
        <v>5116</v>
      </c>
      <c r="S1393" t="s">
        <v>53</v>
      </c>
      <c r="T1393" t="s">
        <v>29</v>
      </c>
    </row>
    <row r="1394" spans="1:20" x14ac:dyDescent="0.3">
      <c r="A1394" t="s">
        <v>2903</v>
      </c>
      <c r="B1394" t="s">
        <v>89</v>
      </c>
      <c r="C1394" t="s">
        <v>197</v>
      </c>
      <c r="D1394" t="s">
        <v>140</v>
      </c>
      <c r="E1394" t="s">
        <v>152</v>
      </c>
      <c r="F1394" t="s">
        <v>153</v>
      </c>
      <c r="G1394" t="s">
        <v>36</v>
      </c>
      <c r="H1394" t="s">
        <v>5138</v>
      </c>
      <c r="I1394" t="s">
        <v>5139</v>
      </c>
      <c r="J1394">
        <v>272481</v>
      </c>
      <c r="K1394" t="s">
        <v>2904</v>
      </c>
      <c r="L1394" t="s">
        <v>5165</v>
      </c>
      <c r="M1394" t="s">
        <v>72</v>
      </c>
      <c r="N1394">
        <v>45342</v>
      </c>
      <c r="O1394">
        <v>2241</v>
      </c>
      <c r="P1394" t="s">
        <v>20</v>
      </c>
      <c r="Q1394">
        <v>6</v>
      </c>
      <c r="R1394" t="s">
        <v>40</v>
      </c>
      <c r="S1394" t="s">
        <v>21</v>
      </c>
      <c r="T1394" t="s">
        <v>20</v>
      </c>
    </row>
    <row r="1395" spans="1:20" x14ac:dyDescent="0.3">
      <c r="A1395" t="s">
        <v>2905</v>
      </c>
      <c r="B1395" t="s">
        <v>130</v>
      </c>
      <c r="C1395" t="s">
        <v>56</v>
      </c>
      <c r="D1395" t="s">
        <v>5156</v>
      </c>
      <c r="E1395" t="s">
        <v>34</v>
      </c>
      <c r="F1395" t="s">
        <v>35</v>
      </c>
      <c r="G1395" t="s">
        <v>50</v>
      </c>
      <c r="H1395" t="s">
        <v>5140</v>
      </c>
      <c r="I1395" t="s">
        <v>5141</v>
      </c>
      <c r="J1395">
        <v>112703</v>
      </c>
      <c r="K1395" t="s">
        <v>2906</v>
      </c>
      <c r="L1395" t="s">
        <v>5165</v>
      </c>
      <c r="M1395" t="s">
        <v>46</v>
      </c>
      <c r="N1395">
        <v>45380</v>
      </c>
      <c r="O1395">
        <v>1843</v>
      </c>
      <c r="P1395" t="s">
        <v>20</v>
      </c>
      <c r="Q1395">
        <v>2</v>
      </c>
      <c r="R1395" t="s">
        <v>5116</v>
      </c>
      <c r="S1395" t="s">
        <v>41</v>
      </c>
      <c r="T1395" t="s">
        <v>20</v>
      </c>
    </row>
    <row r="1396" spans="1:20" x14ac:dyDescent="0.3">
      <c r="A1396" t="s">
        <v>2907</v>
      </c>
      <c r="B1396" t="s">
        <v>229</v>
      </c>
      <c r="C1396" t="s">
        <v>151</v>
      </c>
      <c r="D1396" t="s">
        <v>167</v>
      </c>
      <c r="E1396" t="s">
        <v>95</v>
      </c>
      <c r="F1396" t="s">
        <v>96</v>
      </c>
      <c r="G1396" t="s">
        <v>36</v>
      </c>
      <c r="H1396" t="s">
        <v>5140</v>
      </c>
      <c r="I1396" t="s">
        <v>5141</v>
      </c>
      <c r="J1396">
        <v>102766</v>
      </c>
      <c r="K1396" t="s">
        <v>2908</v>
      </c>
      <c r="L1396" t="s">
        <v>238</v>
      </c>
      <c r="M1396" t="s">
        <v>46</v>
      </c>
      <c r="N1396">
        <v>45620</v>
      </c>
      <c r="O1396">
        <v>565</v>
      </c>
      <c r="P1396" t="s">
        <v>20</v>
      </c>
      <c r="Q1396">
        <v>2</v>
      </c>
      <c r="R1396" t="s">
        <v>76</v>
      </c>
      <c r="S1396" t="s">
        <v>21</v>
      </c>
      <c r="T1396" t="s">
        <v>20</v>
      </c>
    </row>
    <row r="1397" spans="1:20" x14ac:dyDescent="0.3">
      <c r="A1397" t="s">
        <v>2909</v>
      </c>
      <c r="B1397" t="s">
        <v>322</v>
      </c>
      <c r="C1397" t="s">
        <v>67</v>
      </c>
      <c r="D1397" t="s">
        <v>5156</v>
      </c>
      <c r="E1397" t="s">
        <v>209</v>
      </c>
      <c r="F1397" t="s">
        <v>210</v>
      </c>
      <c r="G1397" t="s">
        <v>50</v>
      </c>
      <c r="H1397" t="s">
        <v>5142</v>
      </c>
      <c r="I1397" t="s">
        <v>5143</v>
      </c>
      <c r="J1397">
        <v>154986</v>
      </c>
      <c r="K1397" t="s">
        <v>2910</v>
      </c>
      <c r="L1397" t="s">
        <v>5165</v>
      </c>
      <c r="M1397" t="s">
        <v>46</v>
      </c>
      <c r="N1397">
        <v>45486</v>
      </c>
      <c r="O1397">
        <v>3771</v>
      </c>
      <c r="P1397" t="s">
        <v>20</v>
      </c>
      <c r="Q1397">
        <v>4</v>
      </c>
      <c r="R1397" t="s">
        <v>40</v>
      </c>
      <c r="S1397" t="s">
        <v>21</v>
      </c>
      <c r="T1397" t="s">
        <v>29</v>
      </c>
    </row>
    <row r="1398" spans="1:20" x14ac:dyDescent="0.3">
      <c r="A1398" t="s">
        <v>2911</v>
      </c>
      <c r="B1398" t="s">
        <v>130</v>
      </c>
      <c r="C1398" t="s">
        <v>67</v>
      </c>
      <c r="D1398" t="s">
        <v>68</v>
      </c>
      <c r="E1398" t="s">
        <v>152</v>
      </c>
      <c r="F1398" t="s">
        <v>153</v>
      </c>
      <c r="G1398" t="s">
        <v>36</v>
      </c>
      <c r="H1398" t="s">
        <v>5142</v>
      </c>
      <c r="I1398" t="s">
        <v>5143</v>
      </c>
      <c r="J1398">
        <v>113627</v>
      </c>
      <c r="K1398" t="s">
        <v>2912</v>
      </c>
      <c r="L1398" t="s">
        <v>5165</v>
      </c>
      <c r="M1398" t="s">
        <v>46</v>
      </c>
      <c r="N1398">
        <v>45388</v>
      </c>
      <c r="O1398">
        <v>3456</v>
      </c>
      <c r="P1398" t="s">
        <v>92</v>
      </c>
      <c r="Q1398">
        <v>4</v>
      </c>
      <c r="R1398" t="s">
        <v>76</v>
      </c>
      <c r="S1398" t="s">
        <v>21</v>
      </c>
      <c r="T1398" t="s">
        <v>29</v>
      </c>
    </row>
    <row r="1399" spans="1:20" x14ac:dyDescent="0.3">
      <c r="A1399" t="s">
        <v>2913</v>
      </c>
      <c r="B1399" t="s">
        <v>218</v>
      </c>
      <c r="C1399" t="s">
        <v>67</v>
      </c>
      <c r="D1399" t="s">
        <v>57</v>
      </c>
      <c r="E1399" t="s">
        <v>5132</v>
      </c>
      <c r="F1399" t="s">
        <v>5125</v>
      </c>
      <c r="G1399" t="s">
        <v>36</v>
      </c>
      <c r="H1399" t="s">
        <v>5136</v>
      </c>
      <c r="I1399" t="s">
        <v>5137</v>
      </c>
      <c r="J1399">
        <v>57757</v>
      </c>
      <c r="K1399" t="s">
        <v>2914</v>
      </c>
      <c r="L1399" t="s">
        <v>82</v>
      </c>
      <c r="M1399" t="s">
        <v>46</v>
      </c>
      <c r="N1399">
        <v>45386</v>
      </c>
      <c r="O1399">
        <v>213</v>
      </c>
      <c r="P1399" t="s">
        <v>20</v>
      </c>
      <c r="Q1399">
        <v>0</v>
      </c>
      <c r="R1399" t="s">
        <v>5116</v>
      </c>
      <c r="S1399" t="s">
        <v>53</v>
      </c>
      <c r="T1399" t="s">
        <v>20</v>
      </c>
    </row>
    <row r="1400" spans="1:20" x14ac:dyDescent="0.3">
      <c r="A1400" t="s">
        <v>2915</v>
      </c>
      <c r="B1400" t="s">
        <v>144</v>
      </c>
      <c r="C1400" t="s">
        <v>125</v>
      </c>
      <c r="D1400" t="s">
        <v>57</v>
      </c>
      <c r="E1400" t="s">
        <v>5129</v>
      </c>
      <c r="F1400" t="s">
        <v>5130</v>
      </c>
      <c r="G1400" t="s">
        <v>36</v>
      </c>
      <c r="H1400" t="s">
        <v>5136</v>
      </c>
      <c r="I1400" t="s">
        <v>5137</v>
      </c>
      <c r="J1400">
        <v>85125</v>
      </c>
      <c r="K1400" t="s">
        <v>2916</v>
      </c>
      <c r="L1400" t="s">
        <v>5165</v>
      </c>
      <c r="M1400" t="s">
        <v>19</v>
      </c>
      <c r="N1400">
        <v>45368</v>
      </c>
      <c r="O1400">
        <v>1654</v>
      </c>
      <c r="P1400" t="s">
        <v>20</v>
      </c>
      <c r="Q1400">
        <v>0</v>
      </c>
      <c r="R1400" t="s">
        <v>76</v>
      </c>
      <c r="S1400" t="s">
        <v>21</v>
      </c>
      <c r="T1400" t="s">
        <v>20</v>
      </c>
    </row>
    <row r="1401" spans="1:20" x14ac:dyDescent="0.3">
      <c r="A1401" t="s">
        <v>2917</v>
      </c>
      <c r="B1401" t="s">
        <v>215</v>
      </c>
      <c r="C1401" t="s">
        <v>117</v>
      </c>
      <c r="D1401" t="s">
        <v>57</v>
      </c>
      <c r="E1401" t="s">
        <v>80</v>
      </c>
      <c r="F1401" t="s">
        <v>80</v>
      </c>
      <c r="G1401" t="s">
        <v>16</v>
      </c>
      <c r="H1401" t="s">
        <v>5140</v>
      </c>
      <c r="I1401" t="s">
        <v>5141</v>
      </c>
      <c r="J1401">
        <v>96993</v>
      </c>
      <c r="K1401" t="s">
        <v>2918</v>
      </c>
      <c r="L1401" t="s">
        <v>179</v>
      </c>
      <c r="M1401" t="s">
        <v>46</v>
      </c>
      <c r="N1401">
        <v>45399</v>
      </c>
      <c r="O1401">
        <v>3861</v>
      </c>
      <c r="P1401" t="s">
        <v>29</v>
      </c>
      <c r="Q1401">
        <v>2</v>
      </c>
      <c r="R1401" t="s">
        <v>40</v>
      </c>
      <c r="S1401" t="s">
        <v>53</v>
      </c>
      <c r="T1401" t="s">
        <v>20</v>
      </c>
    </row>
    <row r="1402" spans="1:20" x14ac:dyDescent="0.3">
      <c r="A1402" t="s">
        <v>2919</v>
      </c>
      <c r="B1402" t="s">
        <v>322</v>
      </c>
      <c r="C1402" t="s">
        <v>175</v>
      </c>
      <c r="D1402" t="s">
        <v>167</v>
      </c>
      <c r="E1402" t="s">
        <v>14</v>
      </c>
      <c r="F1402" t="s">
        <v>15</v>
      </c>
      <c r="G1402" t="s">
        <v>36</v>
      </c>
      <c r="H1402" t="s">
        <v>5140</v>
      </c>
      <c r="I1402" t="s">
        <v>5141</v>
      </c>
      <c r="J1402">
        <v>89271</v>
      </c>
      <c r="K1402" t="s">
        <v>2920</v>
      </c>
      <c r="L1402" t="s">
        <v>179</v>
      </c>
      <c r="M1402" t="s">
        <v>46</v>
      </c>
      <c r="N1402">
        <v>45585</v>
      </c>
      <c r="O1402">
        <v>3314</v>
      </c>
      <c r="P1402" t="s">
        <v>20</v>
      </c>
      <c r="Q1402">
        <v>2</v>
      </c>
      <c r="R1402" t="s">
        <v>40</v>
      </c>
      <c r="S1402" t="s">
        <v>21</v>
      </c>
      <c r="T1402" t="s">
        <v>20</v>
      </c>
    </row>
    <row r="1403" spans="1:20" x14ac:dyDescent="0.3">
      <c r="A1403" t="s">
        <v>2921</v>
      </c>
      <c r="B1403" t="s">
        <v>78</v>
      </c>
      <c r="C1403" t="s">
        <v>219</v>
      </c>
      <c r="D1403" t="s">
        <v>25</v>
      </c>
      <c r="E1403" t="s">
        <v>5131</v>
      </c>
      <c r="F1403" t="s">
        <v>5125</v>
      </c>
      <c r="G1403" t="s">
        <v>36</v>
      </c>
      <c r="H1403" t="s">
        <v>5142</v>
      </c>
      <c r="I1403" t="s">
        <v>5143</v>
      </c>
      <c r="J1403">
        <v>164489</v>
      </c>
      <c r="K1403" t="s">
        <v>2922</v>
      </c>
      <c r="L1403" t="s">
        <v>238</v>
      </c>
      <c r="M1403" t="s">
        <v>19</v>
      </c>
      <c r="N1403">
        <v>45545</v>
      </c>
      <c r="O1403">
        <v>906</v>
      </c>
      <c r="P1403" t="s">
        <v>20</v>
      </c>
      <c r="Q1403">
        <v>4</v>
      </c>
      <c r="R1403" t="s">
        <v>5116</v>
      </c>
      <c r="S1403" t="s">
        <v>21</v>
      </c>
      <c r="T1403" t="s">
        <v>20</v>
      </c>
    </row>
    <row r="1404" spans="1:20" x14ac:dyDescent="0.3">
      <c r="A1404" t="s">
        <v>2923</v>
      </c>
      <c r="B1404" t="s">
        <v>23</v>
      </c>
      <c r="C1404" t="s">
        <v>67</v>
      </c>
      <c r="D1404" t="s">
        <v>33</v>
      </c>
      <c r="E1404" t="s">
        <v>5133</v>
      </c>
      <c r="F1404" t="s">
        <v>5125</v>
      </c>
      <c r="G1404" t="s">
        <v>50</v>
      </c>
      <c r="H1404" t="s">
        <v>5138</v>
      </c>
      <c r="I1404" t="s">
        <v>5139</v>
      </c>
      <c r="J1404">
        <v>242685</v>
      </c>
      <c r="K1404" t="s">
        <v>2924</v>
      </c>
      <c r="L1404" t="s">
        <v>113</v>
      </c>
      <c r="M1404" t="s">
        <v>46</v>
      </c>
      <c r="N1404">
        <v>45555</v>
      </c>
      <c r="O1404">
        <v>2692</v>
      </c>
      <c r="P1404" t="s">
        <v>20</v>
      </c>
      <c r="Q1404">
        <v>6</v>
      </c>
      <c r="R1404" t="s">
        <v>52</v>
      </c>
      <c r="S1404" t="s">
        <v>21</v>
      </c>
      <c r="T1404" t="s">
        <v>20</v>
      </c>
    </row>
    <row r="1405" spans="1:20" x14ac:dyDescent="0.3">
      <c r="A1405" t="s">
        <v>2925</v>
      </c>
      <c r="B1405" t="s">
        <v>89</v>
      </c>
      <c r="C1405" t="s">
        <v>151</v>
      </c>
      <c r="D1405" t="s">
        <v>57</v>
      </c>
      <c r="E1405" t="s">
        <v>5131</v>
      </c>
      <c r="F1405" t="s">
        <v>5125</v>
      </c>
      <c r="G1405" t="s">
        <v>50</v>
      </c>
      <c r="H1405" t="s">
        <v>5140</v>
      </c>
      <c r="I1405" t="s">
        <v>5141</v>
      </c>
      <c r="J1405">
        <v>124235</v>
      </c>
      <c r="K1405" t="s">
        <v>2926</v>
      </c>
      <c r="L1405" t="s">
        <v>5165</v>
      </c>
      <c r="M1405" t="s">
        <v>46</v>
      </c>
      <c r="N1405">
        <v>45716</v>
      </c>
      <c r="O1405">
        <v>1939</v>
      </c>
      <c r="P1405" t="s">
        <v>29</v>
      </c>
      <c r="Q1405">
        <v>2</v>
      </c>
      <c r="R1405" t="s">
        <v>76</v>
      </c>
      <c r="S1405" t="s">
        <v>53</v>
      </c>
      <c r="T1405" t="s">
        <v>29</v>
      </c>
    </row>
    <row r="1406" spans="1:20" x14ac:dyDescent="0.3">
      <c r="A1406" t="s">
        <v>2927</v>
      </c>
      <c r="B1406" t="s">
        <v>215</v>
      </c>
      <c r="C1406" t="s">
        <v>175</v>
      </c>
      <c r="D1406" t="s">
        <v>167</v>
      </c>
      <c r="E1406" t="s">
        <v>209</v>
      </c>
      <c r="F1406" t="s">
        <v>210</v>
      </c>
      <c r="G1406" t="s">
        <v>36</v>
      </c>
      <c r="H1406" t="s">
        <v>5138</v>
      </c>
      <c r="I1406" t="s">
        <v>5139</v>
      </c>
      <c r="J1406">
        <v>235857</v>
      </c>
      <c r="K1406" t="s">
        <v>2928</v>
      </c>
      <c r="L1406" t="s">
        <v>5165</v>
      </c>
      <c r="M1406" t="s">
        <v>39</v>
      </c>
      <c r="N1406">
        <v>45628</v>
      </c>
      <c r="O1406">
        <v>1468</v>
      </c>
      <c r="P1406" t="s">
        <v>29</v>
      </c>
      <c r="Q1406">
        <v>6</v>
      </c>
      <c r="R1406" t="s">
        <v>40</v>
      </c>
      <c r="S1406" t="s">
        <v>21</v>
      </c>
      <c r="T1406" t="s">
        <v>29</v>
      </c>
    </row>
    <row r="1407" spans="1:20" x14ac:dyDescent="0.3">
      <c r="A1407" t="s">
        <v>2929</v>
      </c>
      <c r="B1407" t="s">
        <v>222</v>
      </c>
      <c r="C1407" t="s">
        <v>160</v>
      </c>
      <c r="D1407" t="s">
        <v>104</v>
      </c>
      <c r="E1407" t="s">
        <v>126</v>
      </c>
      <c r="F1407" t="s">
        <v>127</v>
      </c>
      <c r="G1407" t="s">
        <v>16</v>
      </c>
      <c r="H1407" t="s">
        <v>5140</v>
      </c>
      <c r="I1407" t="s">
        <v>5141</v>
      </c>
      <c r="J1407">
        <v>95015</v>
      </c>
      <c r="K1407" t="s">
        <v>2930</v>
      </c>
      <c r="L1407" t="s">
        <v>113</v>
      </c>
      <c r="M1407" t="s">
        <v>39</v>
      </c>
      <c r="N1407">
        <v>45529</v>
      </c>
      <c r="O1407">
        <v>2864</v>
      </c>
      <c r="P1407" t="s">
        <v>20</v>
      </c>
      <c r="Q1407">
        <v>2</v>
      </c>
      <c r="R1407" t="s">
        <v>47</v>
      </c>
      <c r="S1407" t="s">
        <v>53</v>
      </c>
      <c r="T1407" t="s">
        <v>20</v>
      </c>
    </row>
    <row r="1408" spans="1:20" x14ac:dyDescent="0.3">
      <c r="A1408" t="s">
        <v>2931</v>
      </c>
      <c r="B1408" t="s">
        <v>55</v>
      </c>
      <c r="C1408" t="s">
        <v>24</v>
      </c>
      <c r="D1408" t="s">
        <v>68</v>
      </c>
      <c r="E1408" t="s">
        <v>14</v>
      </c>
      <c r="F1408" t="s">
        <v>15</v>
      </c>
      <c r="G1408" t="s">
        <v>36</v>
      </c>
      <c r="H1408" t="s">
        <v>5142</v>
      </c>
      <c r="I1408" t="s">
        <v>5143</v>
      </c>
      <c r="J1408">
        <v>111611</v>
      </c>
      <c r="K1408" t="s">
        <v>2932</v>
      </c>
      <c r="L1408" t="s">
        <v>61</v>
      </c>
      <c r="M1408" t="s">
        <v>72</v>
      </c>
      <c r="N1408">
        <v>45468</v>
      </c>
      <c r="O1408">
        <v>1461</v>
      </c>
      <c r="P1408" t="s">
        <v>29</v>
      </c>
      <c r="Q1408">
        <v>4</v>
      </c>
      <c r="R1408" t="s">
        <v>47</v>
      </c>
      <c r="S1408" t="s">
        <v>21</v>
      </c>
      <c r="T1408" t="s">
        <v>20</v>
      </c>
    </row>
    <row r="1409" spans="1:20" x14ac:dyDescent="0.3">
      <c r="A1409" t="s">
        <v>2933</v>
      </c>
      <c r="B1409" t="s">
        <v>74</v>
      </c>
      <c r="C1409" t="s">
        <v>202</v>
      </c>
      <c r="D1409" t="s">
        <v>57</v>
      </c>
      <c r="E1409" t="s">
        <v>5132</v>
      </c>
      <c r="F1409" t="s">
        <v>5125</v>
      </c>
      <c r="G1409" t="s">
        <v>36</v>
      </c>
      <c r="H1409" t="s">
        <v>5142</v>
      </c>
      <c r="I1409" t="s">
        <v>5143</v>
      </c>
      <c r="J1409">
        <v>190536</v>
      </c>
      <c r="K1409" t="s">
        <v>2934</v>
      </c>
      <c r="L1409" t="s">
        <v>142</v>
      </c>
      <c r="M1409" t="s">
        <v>46</v>
      </c>
      <c r="N1409">
        <v>45579</v>
      </c>
      <c r="O1409">
        <v>3386</v>
      </c>
      <c r="P1409" t="s">
        <v>29</v>
      </c>
      <c r="Q1409">
        <v>4</v>
      </c>
      <c r="R1409" t="s">
        <v>52</v>
      </c>
      <c r="S1409" t="s">
        <v>21</v>
      </c>
      <c r="T1409" t="s">
        <v>20</v>
      </c>
    </row>
    <row r="1410" spans="1:20" x14ac:dyDescent="0.3">
      <c r="A1410" t="s">
        <v>2935</v>
      </c>
      <c r="B1410" t="s">
        <v>229</v>
      </c>
      <c r="C1410" t="s">
        <v>32</v>
      </c>
      <c r="D1410" t="s">
        <v>5156</v>
      </c>
      <c r="E1410" t="s">
        <v>5128</v>
      </c>
      <c r="F1410" t="s">
        <v>5125</v>
      </c>
      <c r="G1410" t="s">
        <v>36</v>
      </c>
      <c r="H1410" t="s">
        <v>5140</v>
      </c>
      <c r="I1410" t="s">
        <v>5141</v>
      </c>
      <c r="J1410">
        <v>103610</v>
      </c>
      <c r="K1410" t="s">
        <v>2936</v>
      </c>
      <c r="L1410" t="s">
        <v>5165</v>
      </c>
      <c r="M1410" t="s">
        <v>19</v>
      </c>
      <c r="N1410">
        <v>45663</v>
      </c>
      <c r="O1410">
        <v>1652</v>
      </c>
      <c r="P1410" t="s">
        <v>20</v>
      </c>
      <c r="Q1410">
        <v>2</v>
      </c>
      <c r="R1410" t="s">
        <v>52</v>
      </c>
      <c r="S1410" t="s">
        <v>53</v>
      </c>
      <c r="T1410" t="s">
        <v>29</v>
      </c>
    </row>
    <row r="1411" spans="1:20" x14ac:dyDescent="0.3">
      <c r="A1411" t="s">
        <v>2937</v>
      </c>
      <c r="B1411" t="s">
        <v>322</v>
      </c>
      <c r="C1411" t="s">
        <v>56</v>
      </c>
      <c r="D1411" t="s">
        <v>33</v>
      </c>
      <c r="E1411" t="s">
        <v>95</v>
      </c>
      <c r="F1411" t="s">
        <v>96</v>
      </c>
      <c r="G1411" t="s">
        <v>50</v>
      </c>
      <c r="H1411" t="s">
        <v>5138</v>
      </c>
      <c r="I1411" t="s">
        <v>5139</v>
      </c>
      <c r="J1411">
        <v>190970</v>
      </c>
      <c r="K1411" t="s">
        <v>2938</v>
      </c>
      <c r="L1411" t="s">
        <v>238</v>
      </c>
      <c r="M1411" t="s">
        <v>46</v>
      </c>
      <c r="N1411">
        <v>45468</v>
      </c>
      <c r="O1411">
        <v>1437</v>
      </c>
      <c r="P1411" t="s">
        <v>20</v>
      </c>
      <c r="Q1411">
        <v>6</v>
      </c>
      <c r="R1411" t="s">
        <v>5116</v>
      </c>
      <c r="S1411" t="s">
        <v>21</v>
      </c>
      <c r="T1411" t="s">
        <v>20</v>
      </c>
    </row>
    <row r="1412" spans="1:20" x14ac:dyDescent="0.3">
      <c r="A1412" t="s">
        <v>2939</v>
      </c>
      <c r="B1412" t="s">
        <v>222</v>
      </c>
      <c r="C1412" t="s">
        <v>219</v>
      </c>
      <c r="D1412" t="s">
        <v>167</v>
      </c>
      <c r="E1412" t="s">
        <v>193</v>
      </c>
      <c r="F1412" t="s">
        <v>194</v>
      </c>
      <c r="G1412" t="s">
        <v>16</v>
      </c>
      <c r="H1412" t="s">
        <v>5136</v>
      </c>
      <c r="I1412" t="s">
        <v>5137</v>
      </c>
      <c r="J1412">
        <v>86735</v>
      </c>
      <c r="K1412" t="s">
        <v>2940</v>
      </c>
      <c r="L1412" t="s">
        <v>5165</v>
      </c>
      <c r="M1412" t="s">
        <v>46</v>
      </c>
      <c r="N1412">
        <v>45340</v>
      </c>
      <c r="O1412">
        <v>2830</v>
      </c>
      <c r="P1412" t="s">
        <v>20</v>
      </c>
      <c r="Q1412">
        <v>0</v>
      </c>
      <c r="R1412" t="s">
        <v>5116</v>
      </c>
      <c r="S1412" t="s">
        <v>41</v>
      </c>
      <c r="T1412" t="s">
        <v>29</v>
      </c>
    </row>
    <row r="1413" spans="1:20" x14ac:dyDescent="0.3">
      <c r="A1413" t="s">
        <v>2941</v>
      </c>
      <c r="B1413" t="s">
        <v>89</v>
      </c>
      <c r="C1413" t="s">
        <v>202</v>
      </c>
      <c r="D1413" t="s">
        <v>44</v>
      </c>
      <c r="E1413" t="s">
        <v>126</v>
      </c>
      <c r="F1413" t="s">
        <v>127</v>
      </c>
      <c r="G1413" t="s">
        <v>50</v>
      </c>
      <c r="H1413" t="s">
        <v>5140</v>
      </c>
      <c r="I1413" t="s">
        <v>5141</v>
      </c>
      <c r="J1413">
        <v>121013</v>
      </c>
      <c r="K1413" t="s">
        <v>2942</v>
      </c>
      <c r="L1413" t="s">
        <v>5165</v>
      </c>
      <c r="M1413" t="s">
        <v>46</v>
      </c>
      <c r="N1413">
        <v>45504</v>
      </c>
      <c r="O1413">
        <v>1544</v>
      </c>
      <c r="P1413" t="s">
        <v>92</v>
      </c>
      <c r="Q1413">
        <v>2</v>
      </c>
      <c r="R1413" t="s">
        <v>47</v>
      </c>
      <c r="S1413" t="s">
        <v>53</v>
      </c>
      <c r="T1413" t="s">
        <v>29</v>
      </c>
    </row>
    <row r="1414" spans="1:20" x14ac:dyDescent="0.3">
      <c r="A1414" t="s">
        <v>2943</v>
      </c>
      <c r="B1414" t="s">
        <v>12</v>
      </c>
      <c r="C1414" t="s">
        <v>232</v>
      </c>
      <c r="D1414" t="s">
        <v>5156</v>
      </c>
      <c r="E1414" t="s">
        <v>5131</v>
      </c>
      <c r="F1414" t="s">
        <v>5125</v>
      </c>
      <c r="G1414" t="s">
        <v>16</v>
      </c>
      <c r="H1414" t="s">
        <v>5140</v>
      </c>
      <c r="I1414" t="s">
        <v>5141</v>
      </c>
      <c r="J1414">
        <v>119026</v>
      </c>
      <c r="K1414" t="s">
        <v>2944</v>
      </c>
      <c r="L1414" t="s">
        <v>18</v>
      </c>
      <c r="M1414" t="s">
        <v>46</v>
      </c>
      <c r="N1414">
        <v>45423</v>
      </c>
      <c r="O1414">
        <v>353</v>
      </c>
      <c r="P1414" t="s">
        <v>20</v>
      </c>
      <c r="Q1414">
        <v>2</v>
      </c>
      <c r="R1414" t="s">
        <v>52</v>
      </c>
      <c r="S1414" t="s">
        <v>21</v>
      </c>
      <c r="T1414" t="s">
        <v>20</v>
      </c>
    </row>
    <row r="1415" spans="1:20" x14ac:dyDescent="0.3">
      <c r="A1415" t="s">
        <v>2945</v>
      </c>
      <c r="B1415" t="s">
        <v>84</v>
      </c>
      <c r="C1415" t="s">
        <v>100</v>
      </c>
      <c r="D1415" t="s">
        <v>104</v>
      </c>
      <c r="E1415" t="s">
        <v>5128</v>
      </c>
      <c r="F1415" t="s">
        <v>5125</v>
      </c>
      <c r="G1415" t="s">
        <v>16</v>
      </c>
      <c r="H1415" t="s">
        <v>5142</v>
      </c>
      <c r="I1415" t="s">
        <v>5143</v>
      </c>
      <c r="J1415">
        <v>208455</v>
      </c>
      <c r="K1415" t="s">
        <v>2946</v>
      </c>
      <c r="L1415" t="s">
        <v>5165</v>
      </c>
      <c r="M1415" t="s">
        <v>39</v>
      </c>
      <c r="N1415">
        <v>45544</v>
      </c>
      <c r="O1415">
        <v>3768</v>
      </c>
      <c r="P1415" t="s">
        <v>20</v>
      </c>
      <c r="Q1415">
        <v>4</v>
      </c>
      <c r="R1415" t="s">
        <v>52</v>
      </c>
      <c r="S1415" t="s">
        <v>21</v>
      </c>
      <c r="T1415" t="s">
        <v>20</v>
      </c>
    </row>
    <row r="1416" spans="1:20" x14ac:dyDescent="0.3">
      <c r="A1416" t="s">
        <v>2947</v>
      </c>
      <c r="B1416" t="s">
        <v>12</v>
      </c>
      <c r="C1416" t="s">
        <v>90</v>
      </c>
      <c r="D1416" t="s">
        <v>118</v>
      </c>
      <c r="E1416" t="s">
        <v>80</v>
      </c>
      <c r="F1416" t="s">
        <v>80</v>
      </c>
      <c r="G1416" t="s">
        <v>16</v>
      </c>
      <c r="H1416" t="s">
        <v>5140</v>
      </c>
      <c r="I1416" t="s">
        <v>5141</v>
      </c>
      <c r="J1416">
        <v>97258</v>
      </c>
      <c r="K1416" t="s">
        <v>2948</v>
      </c>
      <c r="L1416" t="s">
        <v>5165</v>
      </c>
      <c r="M1416" t="s">
        <v>19</v>
      </c>
      <c r="N1416">
        <v>45409</v>
      </c>
      <c r="O1416">
        <v>2499</v>
      </c>
      <c r="P1416" t="s">
        <v>20</v>
      </c>
      <c r="Q1416">
        <v>2</v>
      </c>
      <c r="R1416" t="s">
        <v>52</v>
      </c>
      <c r="S1416" t="s">
        <v>21</v>
      </c>
      <c r="T1416" t="s">
        <v>29</v>
      </c>
    </row>
    <row r="1417" spans="1:20" x14ac:dyDescent="0.3">
      <c r="A1417" t="s">
        <v>2949</v>
      </c>
      <c r="B1417" t="s">
        <v>55</v>
      </c>
      <c r="C1417" t="s">
        <v>188</v>
      </c>
      <c r="D1417" t="s">
        <v>104</v>
      </c>
      <c r="E1417" t="s">
        <v>26</v>
      </c>
      <c r="F1417" t="s">
        <v>27</v>
      </c>
      <c r="G1417" t="s">
        <v>16</v>
      </c>
      <c r="H1417" t="s">
        <v>5140</v>
      </c>
      <c r="I1417" t="s">
        <v>5141</v>
      </c>
      <c r="J1417">
        <v>128371</v>
      </c>
      <c r="K1417" t="s">
        <v>2950</v>
      </c>
      <c r="L1417" t="s">
        <v>61</v>
      </c>
      <c r="M1417" t="s">
        <v>19</v>
      </c>
      <c r="N1417">
        <v>45422</v>
      </c>
      <c r="O1417">
        <v>1209</v>
      </c>
      <c r="P1417" t="s">
        <v>20</v>
      </c>
      <c r="Q1417">
        <v>2</v>
      </c>
      <c r="R1417" t="s">
        <v>40</v>
      </c>
      <c r="S1417" t="s">
        <v>21</v>
      </c>
      <c r="T1417" t="s">
        <v>29</v>
      </c>
    </row>
    <row r="1418" spans="1:20" x14ac:dyDescent="0.3">
      <c r="A1418" t="s">
        <v>2951</v>
      </c>
      <c r="B1418" t="s">
        <v>63</v>
      </c>
      <c r="C1418" t="s">
        <v>43</v>
      </c>
      <c r="D1418" t="s">
        <v>104</v>
      </c>
      <c r="E1418" t="s">
        <v>223</v>
      </c>
      <c r="F1418" t="s">
        <v>224</v>
      </c>
      <c r="G1418" t="s">
        <v>16</v>
      </c>
      <c r="H1418" t="s">
        <v>5140</v>
      </c>
      <c r="I1418" t="s">
        <v>5141</v>
      </c>
      <c r="J1418">
        <v>111128</v>
      </c>
      <c r="K1418" t="s">
        <v>2952</v>
      </c>
      <c r="L1418" t="s">
        <v>5165</v>
      </c>
      <c r="M1418" t="s">
        <v>46</v>
      </c>
      <c r="N1418">
        <v>45744</v>
      </c>
      <c r="O1418">
        <v>2787</v>
      </c>
      <c r="P1418" t="s">
        <v>20</v>
      </c>
      <c r="Q1418">
        <v>2</v>
      </c>
      <c r="R1418" t="s">
        <v>40</v>
      </c>
      <c r="S1418" t="s">
        <v>21</v>
      </c>
      <c r="T1418" t="s">
        <v>29</v>
      </c>
    </row>
    <row r="1419" spans="1:20" x14ac:dyDescent="0.3">
      <c r="A1419" t="s">
        <v>2953</v>
      </c>
      <c r="B1419" t="s">
        <v>136</v>
      </c>
      <c r="C1419" t="s">
        <v>109</v>
      </c>
      <c r="D1419" t="s">
        <v>140</v>
      </c>
      <c r="E1419" t="s">
        <v>34</v>
      </c>
      <c r="F1419" t="s">
        <v>35</v>
      </c>
      <c r="G1419" t="s">
        <v>36</v>
      </c>
      <c r="H1419" t="s">
        <v>5136</v>
      </c>
      <c r="I1419" t="s">
        <v>5137</v>
      </c>
      <c r="J1419">
        <v>73384</v>
      </c>
      <c r="K1419" t="s">
        <v>2954</v>
      </c>
      <c r="L1419" t="s">
        <v>142</v>
      </c>
      <c r="M1419" t="s">
        <v>19</v>
      </c>
      <c r="N1419">
        <v>45491</v>
      </c>
      <c r="O1419">
        <v>3055</v>
      </c>
      <c r="P1419" t="s">
        <v>29</v>
      </c>
      <c r="Q1419">
        <v>0</v>
      </c>
      <c r="R1419" t="s">
        <v>76</v>
      </c>
      <c r="S1419" t="s">
        <v>21</v>
      </c>
      <c r="T1419" t="s">
        <v>20</v>
      </c>
    </row>
    <row r="1420" spans="1:20" x14ac:dyDescent="0.3">
      <c r="A1420" t="s">
        <v>2955</v>
      </c>
      <c r="B1420" t="s">
        <v>55</v>
      </c>
      <c r="C1420" t="s">
        <v>13</v>
      </c>
      <c r="D1420" t="s">
        <v>57</v>
      </c>
      <c r="E1420" t="s">
        <v>5129</v>
      </c>
      <c r="F1420" t="s">
        <v>5130</v>
      </c>
      <c r="G1420" t="s">
        <v>36</v>
      </c>
      <c r="H1420" t="s">
        <v>5140</v>
      </c>
      <c r="I1420" t="s">
        <v>5141</v>
      </c>
      <c r="J1420">
        <v>140263</v>
      </c>
      <c r="K1420" t="s">
        <v>2956</v>
      </c>
      <c r="L1420" t="s">
        <v>5165</v>
      </c>
      <c r="M1420" t="s">
        <v>19</v>
      </c>
      <c r="N1420">
        <v>45418</v>
      </c>
      <c r="O1420">
        <v>1480</v>
      </c>
      <c r="P1420" t="s">
        <v>29</v>
      </c>
      <c r="Q1420">
        <v>2</v>
      </c>
      <c r="R1420" t="s">
        <v>76</v>
      </c>
      <c r="S1420" t="s">
        <v>21</v>
      </c>
      <c r="T1420" t="s">
        <v>20</v>
      </c>
    </row>
    <row r="1421" spans="1:20" x14ac:dyDescent="0.3">
      <c r="A1421" t="s">
        <v>2957</v>
      </c>
      <c r="B1421" t="s">
        <v>165</v>
      </c>
      <c r="C1421" t="s">
        <v>117</v>
      </c>
      <c r="D1421" t="s">
        <v>118</v>
      </c>
      <c r="E1421" t="s">
        <v>5133</v>
      </c>
      <c r="F1421" t="s">
        <v>5125</v>
      </c>
      <c r="G1421" t="s">
        <v>50</v>
      </c>
      <c r="H1421" t="s">
        <v>5142</v>
      </c>
      <c r="I1421" t="s">
        <v>5143</v>
      </c>
      <c r="J1421">
        <v>163711</v>
      </c>
      <c r="K1421" t="s">
        <v>2958</v>
      </c>
      <c r="L1421" t="s">
        <v>179</v>
      </c>
      <c r="M1421" t="s">
        <v>19</v>
      </c>
      <c r="N1421">
        <v>45671</v>
      </c>
      <c r="O1421">
        <v>3050</v>
      </c>
      <c r="P1421" t="s">
        <v>20</v>
      </c>
      <c r="Q1421">
        <v>4</v>
      </c>
      <c r="R1421" t="s">
        <v>47</v>
      </c>
      <c r="S1421" t="s">
        <v>21</v>
      </c>
      <c r="T1421" t="s">
        <v>20</v>
      </c>
    </row>
    <row r="1422" spans="1:20" x14ac:dyDescent="0.3">
      <c r="A1422" t="s">
        <v>2959</v>
      </c>
      <c r="B1422" t="s">
        <v>222</v>
      </c>
      <c r="C1422" t="s">
        <v>64</v>
      </c>
      <c r="D1422" t="s">
        <v>140</v>
      </c>
      <c r="E1422" t="s">
        <v>223</v>
      </c>
      <c r="F1422" t="s">
        <v>224</v>
      </c>
      <c r="G1422" t="s">
        <v>36</v>
      </c>
      <c r="H1422" t="s">
        <v>5140</v>
      </c>
      <c r="I1422" t="s">
        <v>5141</v>
      </c>
      <c r="J1422">
        <v>120658</v>
      </c>
      <c r="K1422" t="s">
        <v>2960</v>
      </c>
      <c r="L1422" t="s">
        <v>82</v>
      </c>
      <c r="M1422" t="s">
        <v>19</v>
      </c>
      <c r="N1422">
        <v>45742</v>
      </c>
      <c r="O1422">
        <v>1124</v>
      </c>
      <c r="P1422" t="s">
        <v>29</v>
      </c>
      <c r="Q1422">
        <v>2</v>
      </c>
      <c r="R1422" t="s">
        <v>47</v>
      </c>
      <c r="S1422" t="s">
        <v>21</v>
      </c>
      <c r="T1422" t="s">
        <v>20</v>
      </c>
    </row>
    <row r="1423" spans="1:20" x14ac:dyDescent="0.3">
      <c r="A1423" t="s">
        <v>2961</v>
      </c>
      <c r="B1423" t="s">
        <v>165</v>
      </c>
      <c r="C1423" t="s">
        <v>103</v>
      </c>
      <c r="D1423" t="s">
        <v>33</v>
      </c>
      <c r="E1423" t="s">
        <v>223</v>
      </c>
      <c r="F1423" t="s">
        <v>224</v>
      </c>
      <c r="G1423" t="s">
        <v>36</v>
      </c>
      <c r="H1423" t="s">
        <v>5142</v>
      </c>
      <c r="I1423" t="s">
        <v>5143</v>
      </c>
      <c r="J1423">
        <v>178957</v>
      </c>
      <c r="K1423" t="s">
        <v>2962</v>
      </c>
      <c r="L1423" t="s">
        <v>179</v>
      </c>
      <c r="M1423" t="s">
        <v>39</v>
      </c>
      <c r="N1423">
        <v>45566</v>
      </c>
      <c r="O1423">
        <v>1838</v>
      </c>
      <c r="P1423" t="s">
        <v>29</v>
      </c>
      <c r="Q1423">
        <v>4</v>
      </c>
      <c r="R1423" t="s">
        <v>5116</v>
      </c>
      <c r="S1423" t="s">
        <v>53</v>
      </c>
      <c r="T1423" t="s">
        <v>29</v>
      </c>
    </row>
    <row r="1424" spans="1:20" x14ac:dyDescent="0.3">
      <c r="A1424" t="s">
        <v>2963</v>
      </c>
      <c r="B1424" t="s">
        <v>84</v>
      </c>
      <c r="C1424" t="s">
        <v>160</v>
      </c>
      <c r="D1424" t="s">
        <v>167</v>
      </c>
      <c r="E1424" t="s">
        <v>14</v>
      </c>
      <c r="F1424" t="s">
        <v>15</v>
      </c>
      <c r="G1424" t="s">
        <v>16</v>
      </c>
      <c r="H1424" t="s">
        <v>5140</v>
      </c>
      <c r="I1424" t="s">
        <v>5141</v>
      </c>
      <c r="J1424">
        <v>102773</v>
      </c>
      <c r="K1424" t="s">
        <v>2964</v>
      </c>
      <c r="L1424" t="s">
        <v>5165</v>
      </c>
      <c r="M1424" t="s">
        <v>39</v>
      </c>
      <c r="N1424">
        <v>45343</v>
      </c>
      <c r="O1424">
        <v>139</v>
      </c>
      <c r="P1424" t="s">
        <v>20</v>
      </c>
      <c r="Q1424">
        <v>2</v>
      </c>
      <c r="R1424" t="s">
        <v>47</v>
      </c>
      <c r="S1424" t="s">
        <v>21</v>
      </c>
      <c r="T1424" t="s">
        <v>29</v>
      </c>
    </row>
    <row r="1425" spans="1:20" x14ac:dyDescent="0.3">
      <c r="A1425" t="s">
        <v>2965</v>
      </c>
      <c r="B1425" t="s">
        <v>130</v>
      </c>
      <c r="C1425" t="s">
        <v>43</v>
      </c>
      <c r="D1425" t="s">
        <v>44</v>
      </c>
      <c r="E1425" t="s">
        <v>5131</v>
      </c>
      <c r="F1425" t="s">
        <v>5125</v>
      </c>
      <c r="G1425" t="s">
        <v>16</v>
      </c>
      <c r="H1425" t="s">
        <v>5136</v>
      </c>
      <c r="I1425" t="s">
        <v>5137</v>
      </c>
      <c r="J1425">
        <v>59425</v>
      </c>
      <c r="K1425" t="s">
        <v>2966</v>
      </c>
      <c r="L1425" t="s">
        <v>5165</v>
      </c>
      <c r="M1425" t="s">
        <v>46</v>
      </c>
      <c r="N1425">
        <v>45722</v>
      </c>
      <c r="O1425">
        <v>1015</v>
      </c>
      <c r="P1425" t="s">
        <v>20</v>
      </c>
      <c r="Q1425">
        <v>0</v>
      </c>
      <c r="R1425" t="s">
        <v>76</v>
      </c>
      <c r="S1425" t="s">
        <v>21</v>
      </c>
      <c r="T1425" t="s">
        <v>20</v>
      </c>
    </row>
    <row r="1426" spans="1:20" x14ac:dyDescent="0.3">
      <c r="A1426" t="s">
        <v>2967</v>
      </c>
      <c r="B1426" t="s">
        <v>136</v>
      </c>
      <c r="C1426" t="s">
        <v>175</v>
      </c>
      <c r="D1426" t="s">
        <v>44</v>
      </c>
      <c r="E1426" t="s">
        <v>152</v>
      </c>
      <c r="F1426" t="s">
        <v>153</v>
      </c>
      <c r="G1426" t="s">
        <v>16</v>
      </c>
      <c r="H1426" t="s">
        <v>5142</v>
      </c>
      <c r="I1426" t="s">
        <v>5143</v>
      </c>
      <c r="J1426">
        <v>121790</v>
      </c>
      <c r="K1426" t="s">
        <v>2968</v>
      </c>
      <c r="L1426" t="s">
        <v>113</v>
      </c>
      <c r="M1426" t="s">
        <v>39</v>
      </c>
      <c r="N1426">
        <v>45386</v>
      </c>
      <c r="O1426">
        <v>3750</v>
      </c>
      <c r="P1426" t="s">
        <v>29</v>
      </c>
      <c r="Q1426">
        <v>4</v>
      </c>
      <c r="R1426" t="s">
        <v>5116</v>
      </c>
      <c r="S1426" t="s">
        <v>21</v>
      </c>
      <c r="T1426" t="s">
        <v>29</v>
      </c>
    </row>
    <row r="1427" spans="1:20" x14ac:dyDescent="0.3">
      <c r="A1427" t="s">
        <v>2969</v>
      </c>
      <c r="B1427" t="s">
        <v>218</v>
      </c>
      <c r="C1427" t="s">
        <v>103</v>
      </c>
      <c r="D1427" t="s">
        <v>44</v>
      </c>
      <c r="E1427" t="s">
        <v>126</v>
      </c>
      <c r="F1427" t="s">
        <v>127</v>
      </c>
      <c r="G1427" t="s">
        <v>50</v>
      </c>
      <c r="H1427" t="s">
        <v>5136</v>
      </c>
      <c r="I1427" t="s">
        <v>5137</v>
      </c>
      <c r="J1427">
        <v>50000</v>
      </c>
      <c r="K1427" t="s">
        <v>2970</v>
      </c>
      <c r="L1427" t="s">
        <v>38</v>
      </c>
      <c r="M1427" t="s">
        <v>39</v>
      </c>
      <c r="N1427">
        <v>45456</v>
      </c>
      <c r="O1427">
        <v>2558</v>
      </c>
      <c r="P1427" t="s">
        <v>20</v>
      </c>
      <c r="Q1427">
        <v>0</v>
      </c>
      <c r="R1427" t="s">
        <v>40</v>
      </c>
      <c r="S1427" t="s">
        <v>21</v>
      </c>
      <c r="T1427" t="s">
        <v>20</v>
      </c>
    </row>
    <row r="1428" spans="1:20" x14ac:dyDescent="0.3">
      <c r="A1428" t="s">
        <v>2971</v>
      </c>
      <c r="B1428" t="s">
        <v>322</v>
      </c>
      <c r="C1428" t="s">
        <v>103</v>
      </c>
      <c r="D1428" t="s">
        <v>33</v>
      </c>
      <c r="E1428" t="s">
        <v>58</v>
      </c>
      <c r="F1428" t="s">
        <v>59</v>
      </c>
      <c r="G1428" t="s">
        <v>36</v>
      </c>
      <c r="H1428" t="s">
        <v>5138</v>
      </c>
      <c r="I1428" t="s">
        <v>5139</v>
      </c>
      <c r="J1428">
        <v>274023</v>
      </c>
      <c r="K1428" t="s">
        <v>2972</v>
      </c>
      <c r="L1428" t="s">
        <v>82</v>
      </c>
      <c r="M1428" t="s">
        <v>46</v>
      </c>
      <c r="N1428">
        <v>45468</v>
      </c>
      <c r="O1428">
        <v>2828</v>
      </c>
      <c r="P1428" t="s">
        <v>20</v>
      </c>
      <c r="Q1428">
        <v>6</v>
      </c>
      <c r="R1428" t="s">
        <v>76</v>
      </c>
      <c r="S1428" t="s">
        <v>21</v>
      </c>
      <c r="T1428" t="s">
        <v>20</v>
      </c>
    </row>
    <row r="1429" spans="1:20" x14ac:dyDescent="0.3">
      <c r="A1429" t="s">
        <v>2973</v>
      </c>
      <c r="B1429" t="s">
        <v>322</v>
      </c>
      <c r="C1429" t="s">
        <v>67</v>
      </c>
      <c r="D1429" t="s">
        <v>33</v>
      </c>
      <c r="E1429" t="s">
        <v>193</v>
      </c>
      <c r="F1429" t="s">
        <v>194</v>
      </c>
      <c r="G1429" t="s">
        <v>16</v>
      </c>
      <c r="H1429" t="s">
        <v>5140</v>
      </c>
      <c r="I1429" t="s">
        <v>5141</v>
      </c>
      <c r="J1429">
        <v>88156</v>
      </c>
      <c r="K1429" t="s">
        <v>2974</v>
      </c>
      <c r="L1429" t="s">
        <v>82</v>
      </c>
      <c r="M1429" t="s">
        <v>72</v>
      </c>
      <c r="N1429">
        <v>45346</v>
      </c>
      <c r="O1429">
        <v>1498</v>
      </c>
      <c r="P1429" t="s">
        <v>20</v>
      </c>
      <c r="Q1429">
        <v>2</v>
      </c>
      <c r="R1429" t="s">
        <v>52</v>
      </c>
      <c r="S1429" t="s">
        <v>21</v>
      </c>
      <c r="T1429" t="s">
        <v>20</v>
      </c>
    </row>
    <row r="1430" spans="1:20" x14ac:dyDescent="0.3">
      <c r="A1430" t="s">
        <v>2975</v>
      </c>
      <c r="B1430" t="s">
        <v>124</v>
      </c>
      <c r="C1430" t="s">
        <v>175</v>
      </c>
      <c r="D1430" t="s">
        <v>25</v>
      </c>
      <c r="E1430" t="s">
        <v>223</v>
      </c>
      <c r="F1430" t="s">
        <v>224</v>
      </c>
      <c r="G1430" t="s">
        <v>50</v>
      </c>
      <c r="H1430" t="s">
        <v>5138</v>
      </c>
      <c r="I1430" t="s">
        <v>5139</v>
      </c>
      <c r="J1430">
        <v>192034</v>
      </c>
      <c r="K1430" t="s">
        <v>2976</v>
      </c>
      <c r="L1430" t="s">
        <v>5165</v>
      </c>
      <c r="M1430" t="s">
        <v>46</v>
      </c>
      <c r="N1430">
        <v>45315</v>
      </c>
      <c r="O1430">
        <v>1246</v>
      </c>
      <c r="P1430" t="s">
        <v>20</v>
      </c>
      <c r="Q1430">
        <v>6</v>
      </c>
      <c r="R1430" t="s">
        <v>52</v>
      </c>
      <c r="S1430" t="s">
        <v>53</v>
      </c>
      <c r="T1430" t="s">
        <v>29</v>
      </c>
    </row>
    <row r="1431" spans="1:20" x14ac:dyDescent="0.3">
      <c r="A1431" t="s">
        <v>2977</v>
      </c>
      <c r="B1431" t="s">
        <v>322</v>
      </c>
      <c r="C1431" t="s">
        <v>43</v>
      </c>
      <c r="D1431" t="s">
        <v>25</v>
      </c>
      <c r="E1431" t="s">
        <v>80</v>
      </c>
      <c r="F1431" t="s">
        <v>80</v>
      </c>
      <c r="G1431" t="s">
        <v>16</v>
      </c>
      <c r="H1431" t="s">
        <v>5140</v>
      </c>
      <c r="I1431" t="s">
        <v>5141</v>
      </c>
      <c r="J1431">
        <v>104519</v>
      </c>
      <c r="K1431" t="s">
        <v>2978</v>
      </c>
      <c r="L1431" t="s">
        <v>142</v>
      </c>
      <c r="M1431" t="s">
        <v>19</v>
      </c>
      <c r="N1431">
        <v>45640</v>
      </c>
      <c r="O1431">
        <v>1544</v>
      </c>
      <c r="P1431" t="s">
        <v>29</v>
      </c>
      <c r="Q1431">
        <v>2</v>
      </c>
      <c r="R1431" t="s">
        <v>76</v>
      </c>
      <c r="S1431" t="s">
        <v>21</v>
      </c>
      <c r="T1431" t="s">
        <v>20</v>
      </c>
    </row>
    <row r="1432" spans="1:20" x14ac:dyDescent="0.3">
      <c r="A1432" t="s">
        <v>2979</v>
      </c>
      <c r="B1432" t="s">
        <v>23</v>
      </c>
      <c r="C1432" t="s">
        <v>32</v>
      </c>
      <c r="D1432" t="s">
        <v>140</v>
      </c>
      <c r="E1432" t="s">
        <v>80</v>
      </c>
      <c r="F1432" t="s">
        <v>80</v>
      </c>
      <c r="G1432" t="s">
        <v>50</v>
      </c>
      <c r="H1432" t="s">
        <v>5138</v>
      </c>
      <c r="I1432" t="s">
        <v>5139</v>
      </c>
      <c r="J1432">
        <v>211066</v>
      </c>
      <c r="K1432" t="s">
        <v>2980</v>
      </c>
      <c r="L1432" t="s">
        <v>87</v>
      </c>
      <c r="M1432" t="s">
        <v>46</v>
      </c>
      <c r="N1432">
        <v>45504</v>
      </c>
      <c r="O1432">
        <v>3806</v>
      </c>
      <c r="P1432" t="s">
        <v>29</v>
      </c>
      <c r="Q1432">
        <v>6</v>
      </c>
      <c r="R1432" t="s">
        <v>52</v>
      </c>
      <c r="S1432" t="s">
        <v>21</v>
      </c>
      <c r="T1432" t="s">
        <v>20</v>
      </c>
    </row>
    <row r="1433" spans="1:20" x14ac:dyDescent="0.3">
      <c r="A1433" t="s">
        <v>2981</v>
      </c>
      <c r="B1433" t="s">
        <v>84</v>
      </c>
      <c r="C1433" t="s">
        <v>64</v>
      </c>
      <c r="D1433" t="s">
        <v>167</v>
      </c>
      <c r="E1433" t="s">
        <v>5132</v>
      </c>
      <c r="F1433" t="s">
        <v>5125</v>
      </c>
      <c r="G1433" t="s">
        <v>16</v>
      </c>
      <c r="H1433" t="s">
        <v>5136</v>
      </c>
      <c r="I1433" t="s">
        <v>5137</v>
      </c>
      <c r="J1433">
        <v>80278</v>
      </c>
      <c r="K1433" t="s">
        <v>2982</v>
      </c>
      <c r="L1433" t="s">
        <v>142</v>
      </c>
      <c r="M1433" t="s">
        <v>46</v>
      </c>
      <c r="N1433">
        <v>45404</v>
      </c>
      <c r="O1433">
        <v>3068</v>
      </c>
      <c r="P1433" t="s">
        <v>92</v>
      </c>
      <c r="Q1433">
        <v>0</v>
      </c>
      <c r="R1433" t="s">
        <v>76</v>
      </c>
      <c r="S1433" t="s">
        <v>21</v>
      </c>
      <c r="T1433" t="s">
        <v>20</v>
      </c>
    </row>
    <row r="1434" spans="1:20" x14ac:dyDescent="0.3">
      <c r="A1434" t="s">
        <v>2983</v>
      </c>
      <c r="B1434" t="s">
        <v>89</v>
      </c>
      <c r="C1434" t="s">
        <v>202</v>
      </c>
      <c r="D1434" t="s">
        <v>104</v>
      </c>
      <c r="E1434" t="s">
        <v>5126</v>
      </c>
      <c r="F1434" t="s">
        <v>5125</v>
      </c>
      <c r="G1434" t="s">
        <v>16</v>
      </c>
      <c r="H1434" t="s">
        <v>5136</v>
      </c>
      <c r="I1434" t="s">
        <v>5137</v>
      </c>
      <c r="J1434">
        <v>80841</v>
      </c>
      <c r="K1434" t="s">
        <v>2984</v>
      </c>
      <c r="L1434" t="s">
        <v>5165</v>
      </c>
      <c r="M1434" t="s">
        <v>19</v>
      </c>
      <c r="N1434">
        <v>45406</v>
      </c>
      <c r="O1434">
        <v>707</v>
      </c>
      <c r="P1434" t="s">
        <v>29</v>
      </c>
      <c r="Q1434">
        <v>0</v>
      </c>
      <c r="R1434" t="s">
        <v>47</v>
      </c>
      <c r="S1434" t="s">
        <v>21</v>
      </c>
      <c r="T1434" t="s">
        <v>29</v>
      </c>
    </row>
    <row r="1435" spans="1:20" x14ac:dyDescent="0.3">
      <c r="A1435" t="s">
        <v>2985</v>
      </c>
      <c r="B1435" t="s">
        <v>99</v>
      </c>
      <c r="C1435" t="s">
        <v>100</v>
      </c>
      <c r="D1435" t="s">
        <v>68</v>
      </c>
      <c r="E1435" t="s">
        <v>5128</v>
      </c>
      <c r="F1435" t="s">
        <v>5125</v>
      </c>
      <c r="G1435" t="s">
        <v>36</v>
      </c>
      <c r="H1435" t="s">
        <v>5136</v>
      </c>
      <c r="I1435" t="s">
        <v>5137</v>
      </c>
      <c r="J1435">
        <v>62653</v>
      </c>
      <c r="K1435" t="s">
        <v>2986</v>
      </c>
      <c r="L1435" t="s">
        <v>18</v>
      </c>
      <c r="M1435" t="s">
        <v>46</v>
      </c>
      <c r="N1435">
        <v>45520</v>
      </c>
      <c r="O1435">
        <v>3673</v>
      </c>
      <c r="P1435" t="s">
        <v>20</v>
      </c>
      <c r="Q1435">
        <v>0</v>
      </c>
      <c r="R1435" t="s">
        <v>76</v>
      </c>
      <c r="S1435" t="s">
        <v>21</v>
      </c>
      <c r="T1435" t="s">
        <v>20</v>
      </c>
    </row>
    <row r="1436" spans="1:20" x14ac:dyDescent="0.3">
      <c r="A1436" t="s">
        <v>2987</v>
      </c>
      <c r="B1436" t="s">
        <v>229</v>
      </c>
      <c r="C1436" t="s">
        <v>13</v>
      </c>
      <c r="D1436" t="s">
        <v>167</v>
      </c>
      <c r="E1436" t="s">
        <v>58</v>
      </c>
      <c r="F1436" t="s">
        <v>59</v>
      </c>
      <c r="G1436" t="s">
        <v>16</v>
      </c>
      <c r="H1436" t="s">
        <v>5140</v>
      </c>
      <c r="I1436" t="s">
        <v>5141</v>
      </c>
      <c r="J1436">
        <v>106690</v>
      </c>
      <c r="K1436" t="s">
        <v>2988</v>
      </c>
      <c r="L1436" t="s">
        <v>38</v>
      </c>
      <c r="M1436" t="s">
        <v>46</v>
      </c>
      <c r="N1436">
        <v>45355</v>
      </c>
      <c r="O1436">
        <v>2274</v>
      </c>
      <c r="P1436" t="s">
        <v>20</v>
      </c>
      <c r="Q1436">
        <v>2</v>
      </c>
      <c r="R1436" t="s">
        <v>5116</v>
      </c>
      <c r="S1436" t="s">
        <v>41</v>
      </c>
      <c r="T1436" t="s">
        <v>20</v>
      </c>
    </row>
    <row r="1437" spans="1:20" x14ac:dyDescent="0.3">
      <c r="A1437" t="s">
        <v>2989</v>
      </c>
      <c r="B1437" t="s">
        <v>144</v>
      </c>
      <c r="C1437" t="s">
        <v>160</v>
      </c>
      <c r="D1437" t="s">
        <v>104</v>
      </c>
      <c r="E1437" t="s">
        <v>5128</v>
      </c>
      <c r="F1437" t="s">
        <v>5125</v>
      </c>
      <c r="G1437" t="s">
        <v>36</v>
      </c>
      <c r="H1437" t="s">
        <v>5138</v>
      </c>
      <c r="I1437" t="s">
        <v>5139</v>
      </c>
      <c r="J1437">
        <v>210172</v>
      </c>
      <c r="K1437" t="s">
        <v>2990</v>
      </c>
      <c r="L1437" t="s">
        <v>5165</v>
      </c>
      <c r="M1437" t="s">
        <v>46</v>
      </c>
      <c r="N1437">
        <v>45615</v>
      </c>
      <c r="O1437">
        <v>3421</v>
      </c>
      <c r="P1437" t="s">
        <v>20</v>
      </c>
      <c r="Q1437">
        <v>6</v>
      </c>
      <c r="R1437" t="s">
        <v>47</v>
      </c>
      <c r="S1437" t="s">
        <v>53</v>
      </c>
      <c r="T1437" t="s">
        <v>20</v>
      </c>
    </row>
    <row r="1438" spans="1:20" x14ac:dyDescent="0.3">
      <c r="A1438" t="s">
        <v>2991</v>
      </c>
      <c r="B1438" t="s">
        <v>12</v>
      </c>
      <c r="C1438" t="s">
        <v>56</v>
      </c>
      <c r="D1438" t="s">
        <v>104</v>
      </c>
      <c r="E1438" t="s">
        <v>209</v>
      </c>
      <c r="F1438" t="s">
        <v>210</v>
      </c>
      <c r="G1438" t="s">
        <v>16</v>
      </c>
      <c r="H1438" t="s">
        <v>5138</v>
      </c>
      <c r="I1438" t="s">
        <v>5139</v>
      </c>
      <c r="J1438">
        <v>191047</v>
      </c>
      <c r="K1438" t="s">
        <v>2992</v>
      </c>
      <c r="L1438" t="s">
        <v>238</v>
      </c>
      <c r="M1438" t="s">
        <v>46</v>
      </c>
      <c r="N1438">
        <v>45502</v>
      </c>
      <c r="O1438">
        <v>1615</v>
      </c>
      <c r="P1438" t="s">
        <v>20</v>
      </c>
      <c r="Q1438">
        <v>6</v>
      </c>
      <c r="R1438" t="s">
        <v>47</v>
      </c>
      <c r="S1438" t="s">
        <v>21</v>
      </c>
      <c r="T1438" t="s">
        <v>29</v>
      </c>
    </row>
    <row r="1439" spans="1:20" x14ac:dyDescent="0.3">
      <c r="A1439" t="s">
        <v>2993</v>
      </c>
      <c r="B1439" t="s">
        <v>99</v>
      </c>
      <c r="C1439" t="s">
        <v>151</v>
      </c>
      <c r="D1439" t="s">
        <v>33</v>
      </c>
      <c r="E1439" t="s">
        <v>152</v>
      </c>
      <c r="F1439" t="s">
        <v>153</v>
      </c>
      <c r="G1439" t="s">
        <v>16</v>
      </c>
      <c r="H1439" t="s">
        <v>5136</v>
      </c>
      <c r="I1439" t="s">
        <v>5137</v>
      </c>
      <c r="J1439">
        <v>90252</v>
      </c>
      <c r="K1439" t="s">
        <v>2994</v>
      </c>
      <c r="L1439" t="s">
        <v>238</v>
      </c>
      <c r="M1439" t="s">
        <v>46</v>
      </c>
      <c r="N1439">
        <v>45544</v>
      </c>
      <c r="O1439">
        <v>3296</v>
      </c>
      <c r="P1439" t="s">
        <v>20</v>
      </c>
      <c r="Q1439">
        <v>0</v>
      </c>
      <c r="R1439" t="s">
        <v>5116</v>
      </c>
      <c r="S1439" t="s">
        <v>21</v>
      </c>
      <c r="T1439" t="s">
        <v>20</v>
      </c>
    </row>
    <row r="1440" spans="1:20" x14ac:dyDescent="0.3">
      <c r="A1440" t="s">
        <v>2995</v>
      </c>
      <c r="B1440" t="s">
        <v>229</v>
      </c>
      <c r="C1440" t="s">
        <v>85</v>
      </c>
      <c r="D1440" t="s">
        <v>57</v>
      </c>
      <c r="E1440" t="s">
        <v>193</v>
      </c>
      <c r="F1440" t="s">
        <v>194</v>
      </c>
      <c r="G1440" t="s">
        <v>16</v>
      </c>
      <c r="H1440" t="s">
        <v>5142</v>
      </c>
      <c r="I1440" t="s">
        <v>5143</v>
      </c>
      <c r="J1440">
        <v>163256</v>
      </c>
      <c r="K1440" t="s">
        <v>2996</v>
      </c>
      <c r="L1440" t="s">
        <v>5165</v>
      </c>
      <c r="M1440" t="s">
        <v>46</v>
      </c>
      <c r="N1440">
        <v>45726</v>
      </c>
      <c r="O1440">
        <v>3080</v>
      </c>
      <c r="P1440" t="s">
        <v>20</v>
      </c>
      <c r="Q1440">
        <v>4</v>
      </c>
      <c r="R1440" t="s">
        <v>76</v>
      </c>
      <c r="S1440" t="s">
        <v>53</v>
      </c>
      <c r="T1440" t="s">
        <v>20</v>
      </c>
    </row>
    <row r="1441" spans="1:20" x14ac:dyDescent="0.3">
      <c r="A1441" t="s">
        <v>2997</v>
      </c>
      <c r="B1441" t="s">
        <v>229</v>
      </c>
      <c r="C1441" t="s">
        <v>202</v>
      </c>
      <c r="D1441" t="s">
        <v>167</v>
      </c>
      <c r="E1441" t="s">
        <v>26</v>
      </c>
      <c r="F1441" t="s">
        <v>27</v>
      </c>
      <c r="G1441" t="s">
        <v>36</v>
      </c>
      <c r="H1441" t="s">
        <v>5138</v>
      </c>
      <c r="I1441" t="s">
        <v>5139</v>
      </c>
      <c r="J1441">
        <v>226455</v>
      </c>
      <c r="K1441" t="s">
        <v>2998</v>
      </c>
      <c r="L1441" t="s">
        <v>61</v>
      </c>
      <c r="M1441" t="s">
        <v>39</v>
      </c>
      <c r="N1441">
        <v>45592</v>
      </c>
      <c r="O1441">
        <v>443</v>
      </c>
      <c r="P1441" t="s">
        <v>20</v>
      </c>
      <c r="Q1441">
        <v>6</v>
      </c>
      <c r="R1441" t="s">
        <v>40</v>
      </c>
      <c r="S1441" t="s">
        <v>21</v>
      </c>
      <c r="T1441" t="s">
        <v>20</v>
      </c>
    </row>
    <row r="1442" spans="1:20" x14ac:dyDescent="0.3">
      <c r="A1442" t="s">
        <v>2999</v>
      </c>
      <c r="B1442" t="s">
        <v>215</v>
      </c>
      <c r="C1442" t="s">
        <v>109</v>
      </c>
      <c r="D1442" t="s">
        <v>118</v>
      </c>
      <c r="E1442" t="s">
        <v>126</v>
      </c>
      <c r="F1442" t="s">
        <v>127</v>
      </c>
      <c r="G1442" t="s">
        <v>50</v>
      </c>
      <c r="H1442" t="s">
        <v>5142</v>
      </c>
      <c r="I1442" t="s">
        <v>5143</v>
      </c>
      <c r="J1442">
        <v>167897</v>
      </c>
      <c r="K1442" t="s">
        <v>3000</v>
      </c>
      <c r="L1442" t="s">
        <v>142</v>
      </c>
      <c r="M1442" t="s">
        <v>39</v>
      </c>
      <c r="N1442">
        <v>45326</v>
      </c>
      <c r="O1442">
        <v>3332</v>
      </c>
      <c r="P1442" t="s">
        <v>29</v>
      </c>
      <c r="Q1442">
        <v>4</v>
      </c>
      <c r="R1442" t="s">
        <v>76</v>
      </c>
      <c r="S1442" t="s">
        <v>21</v>
      </c>
      <c r="T1442" t="s">
        <v>20</v>
      </c>
    </row>
    <row r="1443" spans="1:20" x14ac:dyDescent="0.3">
      <c r="A1443" t="s">
        <v>3001</v>
      </c>
      <c r="B1443" t="s">
        <v>31</v>
      </c>
      <c r="C1443" t="s">
        <v>188</v>
      </c>
      <c r="D1443" t="s">
        <v>33</v>
      </c>
      <c r="E1443" t="s">
        <v>14</v>
      </c>
      <c r="F1443" t="s">
        <v>15</v>
      </c>
      <c r="G1443" t="s">
        <v>16</v>
      </c>
      <c r="H1443" t="s">
        <v>5142</v>
      </c>
      <c r="I1443" t="s">
        <v>5143</v>
      </c>
      <c r="J1443">
        <v>181683</v>
      </c>
      <c r="K1443" t="s">
        <v>3002</v>
      </c>
      <c r="L1443" t="s">
        <v>5165</v>
      </c>
      <c r="M1443" t="s">
        <v>19</v>
      </c>
      <c r="N1443">
        <v>45398</v>
      </c>
      <c r="O1443">
        <v>2458</v>
      </c>
      <c r="P1443" t="s">
        <v>20</v>
      </c>
      <c r="Q1443">
        <v>4</v>
      </c>
      <c r="R1443" t="s">
        <v>40</v>
      </c>
      <c r="S1443" t="s">
        <v>53</v>
      </c>
      <c r="T1443" t="s">
        <v>20</v>
      </c>
    </row>
    <row r="1444" spans="1:20" x14ac:dyDescent="0.3">
      <c r="A1444" t="s">
        <v>3003</v>
      </c>
      <c r="B1444" t="s">
        <v>136</v>
      </c>
      <c r="C1444" t="s">
        <v>188</v>
      </c>
      <c r="D1444" t="s">
        <v>118</v>
      </c>
      <c r="E1444" t="s">
        <v>223</v>
      </c>
      <c r="F1444" t="s">
        <v>224</v>
      </c>
      <c r="G1444" t="s">
        <v>16</v>
      </c>
      <c r="H1444" t="s">
        <v>5138</v>
      </c>
      <c r="I1444" t="s">
        <v>5139</v>
      </c>
      <c r="J1444">
        <v>206516</v>
      </c>
      <c r="K1444" t="s">
        <v>3004</v>
      </c>
      <c r="L1444" t="s">
        <v>18</v>
      </c>
      <c r="M1444" t="s">
        <v>39</v>
      </c>
      <c r="N1444">
        <v>45695</v>
      </c>
      <c r="O1444">
        <v>1990</v>
      </c>
      <c r="P1444" t="s">
        <v>20</v>
      </c>
      <c r="Q1444">
        <v>6</v>
      </c>
      <c r="R1444" t="s">
        <v>47</v>
      </c>
      <c r="S1444" t="s">
        <v>21</v>
      </c>
      <c r="T1444" t="s">
        <v>20</v>
      </c>
    </row>
    <row r="1445" spans="1:20" x14ac:dyDescent="0.3">
      <c r="A1445" t="s">
        <v>3005</v>
      </c>
      <c r="B1445" t="s">
        <v>63</v>
      </c>
      <c r="C1445" t="s">
        <v>175</v>
      </c>
      <c r="D1445" t="s">
        <v>118</v>
      </c>
      <c r="E1445" t="s">
        <v>5126</v>
      </c>
      <c r="F1445" t="s">
        <v>5125</v>
      </c>
      <c r="G1445" t="s">
        <v>36</v>
      </c>
      <c r="H1445" t="s">
        <v>5138</v>
      </c>
      <c r="I1445" t="s">
        <v>5139</v>
      </c>
      <c r="J1445">
        <v>153314</v>
      </c>
      <c r="K1445" t="s">
        <v>3006</v>
      </c>
      <c r="L1445" t="s">
        <v>82</v>
      </c>
      <c r="M1445" t="s">
        <v>19</v>
      </c>
      <c r="N1445">
        <v>45326</v>
      </c>
      <c r="O1445">
        <v>2904</v>
      </c>
      <c r="P1445" t="s">
        <v>20</v>
      </c>
      <c r="Q1445">
        <v>6</v>
      </c>
      <c r="R1445" t="s">
        <v>5116</v>
      </c>
      <c r="S1445" t="s">
        <v>53</v>
      </c>
      <c r="T1445" t="s">
        <v>29</v>
      </c>
    </row>
    <row r="1446" spans="1:20" x14ac:dyDescent="0.3">
      <c r="A1446" t="s">
        <v>3007</v>
      </c>
      <c r="B1446" t="s">
        <v>55</v>
      </c>
      <c r="C1446" t="s">
        <v>109</v>
      </c>
      <c r="D1446" t="s">
        <v>33</v>
      </c>
      <c r="E1446" t="s">
        <v>95</v>
      </c>
      <c r="F1446" t="s">
        <v>96</v>
      </c>
      <c r="G1446" t="s">
        <v>36</v>
      </c>
      <c r="H1446" t="s">
        <v>5140</v>
      </c>
      <c r="I1446" t="s">
        <v>5141</v>
      </c>
      <c r="J1446">
        <v>117913</v>
      </c>
      <c r="K1446" t="s">
        <v>3008</v>
      </c>
      <c r="L1446" t="s">
        <v>5165</v>
      </c>
      <c r="M1446" t="s">
        <v>39</v>
      </c>
      <c r="N1446">
        <v>45430</v>
      </c>
      <c r="O1446">
        <v>1696</v>
      </c>
      <c r="P1446" t="s">
        <v>20</v>
      </c>
      <c r="Q1446">
        <v>2</v>
      </c>
      <c r="R1446" t="s">
        <v>47</v>
      </c>
      <c r="S1446" t="s">
        <v>21</v>
      </c>
      <c r="T1446" t="s">
        <v>29</v>
      </c>
    </row>
    <row r="1447" spans="1:20" x14ac:dyDescent="0.3">
      <c r="A1447" t="s">
        <v>3009</v>
      </c>
      <c r="B1447" t="s">
        <v>229</v>
      </c>
      <c r="C1447" t="s">
        <v>172</v>
      </c>
      <c r="D1447" t="s">
        <v>68</v>
      </c>
      <c r="E1447" t="s">
        <v>5132</v>
      </c>
      <c r="F1447" t="s">
        <v>5125</v>
      </c>
      <c r="G1447" t="s">
        <v>16</v>
      </c>
      <c r="H1447" t="s">
        <v>5142</v>
      </c>
      <c r="I1447" t="s">
        <v>5143</v>
      </c>
      <c r="J1447">
        <v>132413</v>
      </c>
      <c r="K1447" t="s">
        <v>3010</v>
      </c>
      <c r="L1447" t="s">
        <v>61</v>
      </c>
      <c r="M1447" t="s">
        <v>39</v>
      </c>
      <c r="N1447">
        <v>45570</v>
      </c>
      <c r="O1447">
        <v>646</v>
      </c>
      <c r="P1447" t="s">
        <v>20</v>
      </c>
      <c r="Q1447">
        <v>4</v>
      </c>
      <c r="R1447" t="s">
        <v>5116</v>
      </c>
      <c r="S1447" t="s">
        <v>21</v>
      </c>
      <c r="T1447" t="s">
        <v>29</v>
      </c>
    </row>
    <row r="1448" spans="1:20" x14ac:dyDescent="0.3">
      <c r="A1448" t="s">
        <v>3011</v>
      </c>
      <c r="B1448" t="s">
        <v>218</v>
      </c>
      <c r="C1448" t="s">
        <v>13</v>
      </c>
      <c r="D1448" t="s">
        <v>44</v>
      </c>
      <c r="E1448" t="s">
        <v>209</v>
      </c>
      <c r="F1448" t="s">
        <v>210</v>
      </c>
      <c r="G1448" t="s">
        <v>16</v>
      </c>
      <c r="H1448" t="s">
        <v>5136</v>
      </c>
      <c r="I1448" t="s">
        <v>5137</v>
      </c>
      <c r="J1448">
        <v>63339</v>
      </c>
      <c r="K1448" t="s">
        <v>3012</v>
      </c>
      <c r="L1448" t="s">
        <v>5165</v>
      </c>
      <c r="M1448" t="s">
        <v>72</v>
      </c>
      <c r="N1448">
        <v>45502</v>
      </c>
      <c r="O1448">
        <v>1132</v>
      </c>
      <c r="P1448" t="s">
        <v>29</v>
      </c>
      <c r="Q1448">
        <v>0</v>
      </c>
      <c r="R1448" t="s">
        <v>76</v>
      </c>
      <c r="S1448" t="s">
        <v>21</v>
      </c>
      <c r="T1448" t="s">
        <v>29</v>
      </c>
    </row>
    <row r="1449" spans="1:20" x14ac:dyDescent="0.3">
      <c r="A1449" t="s">
        <v>3013</v>
      </c>
      <c r="B1449" t="s">
        <v>218</v>
      </c>
      <c r="C1449" t="s">
        <v>109</v>
      </c>
      <c r="D1449" t="s">
        <v>118</v>
      </c>
      <c r="E1449" t="s">
        <v>209</v>
      </c>
      <c r="F1449" t="s">
        <v>210</v>
      </c>
      <c r="G1449" t="s">
        <v>36</v>
      </c>
      <c r="H1449" t="s">
        <v>5140</v>
      </c>
      <c r="I1449" t="s">
        <v>5141</v>
      </c>
      <c r="J1449">
        <v>121610</v>
      </c>
      <c r="K1449" t="s">
        <v>3014</v>
      </c>
      <c r="L1449" t="s">
        <v>113</v>
      </c>
      <c r="M1449" t="s">
        <v>46</v>
      </c>
      <c r="N1449">
        <v>45653</v>
      </c>
      <c r="O1449">
        <v>392</v>
      </c>
      <c r="P1449" t="s">
        <v>20</v>
      </c>
      <c r="Q1449">
        <v>2</v>
      </c>
      <c r="R1449" t="s">
        <v>76</v>
      </c>
      <c r="S1449" t="s">
        <v>21</v>
      </c>
      <c r="T1449" t="s">
        <v>20</v>
      </c>
    </row>
    <row r="1450" spans="1:20" x14ac:dyDescent="0.3">
      <c r="A1450" t="s">
        <v>3015</v>
      </c>
      <c r="B1450" t="s">
        <v>215</v>
      </c>
      <c r="C1450" t="s">
        <v>188</v>
      </c>
      <c r="D1450" t="s">
        <v>25</v>
      </c>
      <c r="E1450" t="s">
        <v>5128</v>
      </c>
      <c r="F1450" t="s">
        <v>5125</v>
      </c>
      <c r="G1450" t="s">
        <v>36</v>
      </c>
      <c r="H1450" t="s">
        <v>5138</v>
      </c>
      <c r="I1450" t="s">
        <v>5139</v>
      </c>
      <c r="J1450">
        <v>244578</v>
      </c>
      <c r="K1450" t="s">
        <v>3016</v>
      </c>
      <c r="L1450" t="s">
        <v>38</v>
      </c>
      <c r="M1450" t="s">
        <v>19</v>
      </c>
      <c r="N1450">
        <v>45712</v>
      </c>
      <c r="O1450">
        <v>154</v>
      </c>
      <c r="P1450" t="s">
        <v>20</v>
      </c>
      <c r="Q1450">
        <v>6</v>
      </c>
      <c r="R1450" t="s">
        <v>47</v>
      </c>
      <c r="S1450" t="s">
        <v>21</v>
      </c>
      <c r="T1450" t="s">
        <v>29</v>
      </c>
    </row>
    <row r="1451" spans="1:20" x14ac:dyDescent="0.3">
      <c r="A1451" t="s">
        <v>3017</v>
      </c>
      <c r="B1451" t="s">
        <v>130</v>
      </c>
      <c r="C1451" t="s">
        <v>32</v>
      </c>
      <c r="D1451" t="s">
        <v>25</v>
      </c>
      <c r="E1451" t="s">
        <v>193</v>
      </c>
      <c r="F1451" t="s">
        <v>194</v>
      </c>
      <c r="G1451" t="s">
        <v>36</v>
      </c>
      <c r="H1451" t="s">
        <v>5138</v>
      </c>
      <c r="I1451" t="s">
        <v>5139</v>
      </c>
      <c r="J1451">
        <v>200765</v>
      </c>
      <c r="K1451" t="s">
        <v>3018</v>
      </c>
      <c r="L1451" t="s">
        <v>142</v>
      </c>
      <c r="M1451" t="s">
        <v>19</v>
      </c>
      <c r="N1451">
        <v>45508</v>
      </c>
      <c r="O1451">
        <v>2570</v>
      </c>
      <c r="P1451" t="s">
        <v>20</v>
      </c>
      <c r="Q1451">
        <v>6</v>
      </c>
      <c r="R1451" t="s">
        <v>47</v>
      </c>
      <c r="S1451" t="s">
        <v>21</v>
      </c>
      <c r="T1451" t="s">
        <v>29</v>
      </c>
    </row>
    <row r="1452" spans="1:20" x14ac:dyDescent="0.3">
      <c r="A1452" t="s">
        <v>3019</v>
      </c>
      <c r="B1452" t="s">
        <v>78</v>
      </c>
      <c r="C1452" t="s">
        <v>56</v>
      </c>
      <c r="D1452" t="s">
        <v>33</v>
      </c>
      <c r="E1452" t="s">
        <v>223</v>
      </c>
      <c r="F1452" t="s">
        <v>224</v>
      </c>
      <c r="G1452" t="s">
        <v>16</v>
      </c>
      <c r="H1452" t="s">
        <v>5140</v>
      </c>
      <c r="I1452" t="s">
        <v>5141</v>
      </c>
      <c r="J1452">
        <v>116114</v>
      </c>
      <c r="K1452" t="s">
        <v>3020</v>
      </c>
      <c r="L1452" t="s">
        <v>5165</v>
      </c>
      <c r="M1452" t="s">
        <v>19</v>
      </c>
      <c r="N1452">
        <v>45626</v>
      </c>
      <c r="O1452">
        <v>835</v>
      </c>
      <c r="P1452" t="s">
        <v>20</v>
      </c>
      <c r="Q1452">
        <v>2</v>
      </c>
      <c r="R1452" t="s">
        <v>76</v>
      </c>
      <c r="S1452" t="s">
        <v>21</v>
      </c>
      <c r="T1452" t="s">
        <v>29</v>
      </c>
    </row>
    <row r="1453" spans="1:20" x14ac:dyDescent="0.3">
      <c r="A1453" t="s">
        <v>3021</v>
      </c>
      <c r="B1453" t="s">
        <v>84</v>
      </c>
      <c r="C1453" t="s">
        <v>151</v>
      </c>
      <c r="D1453" t="s">
        <v>25</v>
      </c>
      <c r="E1453" t="s">
        <v>80</v>
      </c>
      <c r="F1453" t="s">
        <v>80</v>
      </c>
      <c r="G1453" t="s">
        <v>36</v>
      </c>
      <c r="H1453" t="s">
        <v>5142</v>
      </c>
      <c r="I1453" t="s">
        <v>5143</v>
      </c>
      <c r="J1453">
        <v>195959</v>
      </c>
      <c r="K1453" t="s">
        <v>3022</v>
      </c>
      <c r="L1453" t="s">
        <v>38</v>
      </c>
      <c r="M1453" t="s">
        <v>19</v>
      </c>
      <c r="N1453">
        <v>45344</v>
      </c>
      <c r="O1453">
        <v>2989</v>
      </c>
      <c r="P1453" t="s">
        <v>20</v>
      </c>
      <c r="Q1453">
        <v>4</v>
      </c>
      <c r="R1453" t="s">
        <v>52</v>
      </c>
      <c r="S1453" t="s">
        <v>41</v>
      </c>
      <c r="T1453" t="s">
        <v>20</v>
      </c>
    </row>
    <row r="1454" spans="1:20" x14ac:dyDescent="0.3">
      <c r="A1454" t="s">
        <v>3023</v>
      </c>
      <c r="B1454" t="s">
        <v>23</v>
      </c>
      <c r="C1454" t="s">
        <v>160</v>
      </c>
      <c r="D1454" t="s">
        <v>68</v>
      </c>
      <c r="E1454" t="s">
        <v>5124</v>
      </c>
      <c r="F1454" t="s">
        <v>5125</v>
      </c>
      <c r="G1454" t="s">
        <v>16</v>
      </c>
      <c r="H1454" t="s">
        <v>5142</v>
      </c>
      <c r="I1454" t="s">
        <v>5143</v>
      </c>
      <c r="J1454">
        <v>156500</v>
      </c>
      <c r="K1454" t="s">
        <v>3024</v>
      </c>
      <c r="L1454" t="s">
        <v>5165</v>
      </c>
      <c r="M1454" t="s">
        <v>46</v>
      </c>
      <c r="N1454">
        <v>45429</v>
      </c>
      <c r="O1454">
        <v>3315</v>
      </c>
      <c r="P1454" t="s">
        <v>20</v>
      </c>
      <c r="Q1454">
        <v>4</v>
      </c>
      <c r="R1454" t="s">
        <v>40</v>
      </c>
      <c r="S1454" t="s">
        <v>21</v>
      </c>
      <c r="T1454" t="s">
        <v>20</v>
      </c>
    </row>
    <row r="1455" spans="1:20" x14ac:dyDescent="0.3">
      <c r="A1455" t="s">
        <v>3025</v>
      </c>
      <c r="B1455" t="s">
        <v>89</v>
      </c>
      <c r="C1455" t="s">
        <v>49</v>
      </c>
      <c r="D1455" t="s">
        <v>167</v>
      </c>
      <c r="E1455" t="s">
        <v>26</v>
      </c>
      <c r="F1455" t="s">
        <v>27</v>
      </c>
      <c r="G1455" t="s">
        <v>36</v>
      </c>
      <c r="H1455" t="s">
        <v>5136</v>
      </c>
      <c r="I1455" t="s">
        <v>5137</v>
      </c>
      <c r="J1455">
        <v>102781</v>
      </c>
      <c r="K1455" t="s">
        <v>3026</v>
      </c>
      <c r="L1455" t="s">
        <v>82</v>
      </c>
      <c r="M1455" t="s">
        <v>19</v>
      </c>
      <c r="N1455">
        <v>45705</v>
      </c>
      <c r="O1455">
        <v>520</v>
      </c>
      <c r="P1455" t="s">
        <v>20</v>
      </c>
      <c r="Q1455">
        <v>0</v>
      </c>
      <c r="R1455" t="s">
        <v>76</v>
      </c>
      <c r="S1455" t="s">
        <v>21</v>
      </c>
      <c r="T1455" t="s">
        <v>29</v>
      </c>
    </row>
    <row r="1456" spans="1:20" x14ac:dyDescent="0.3">
      <c r="A1456" t="s">
        <v>3027</v>
      </c>
      <c r="B1456" t="s">
        <v>136</v>
      </c>
      <c r="C1456" t="s">
        <v>56</v>
      </c>
      <c r="D1456" t="s">
        <v>140</v>
      </c>
      <c r="E1456" t="s">
        <v>14</v>
      </c>
      <c r="F1456" t="s">
        <v>15</v>
      </c>
      <c r="G1456" t="s">
        <v>16</v>
      </c>
      <c r="H1456" t="s">
        <v>5142</v>
      </c>
      <c r="I1456" t="s">
        <v>5143</v>
      </c>
      <c r="J1456">
        <v>165268</v>
      </c>
      <c r="K1456" t="s">
        <v>3028</v>
      </c>
      <c r="L1456" t="s">
        <v>134</v>
      </c>
      <c r="M1456" t="s">
        <v>46</v>
      </c>
      <c r="N1456">
        <v>45552</v>
      </c>
      <c r="O1456">
        <v>1881</v>
      </c>
      <c r="P1456" t="s">
        <v>29</v>
      </c>
      <c r="Q1456">
        <v>4</v>
      </c>
      <c r="R1456" t="s">
        <v>5116</v>
      </c>
      <c r="S1456" t="s">
        <v>21</v>
      </c>
      <c r="T1456" t="s">
        <v>20</v>
      </c>
    </row>
    <row r="1457" spans="1:20" x14ac:dyDescent="0.3">
      <c r="A1457" t="s">
        <v>3029</v>
      </c>
      <c r="B1457" t="s">
        <v>144</v>
      </c>
      <c r="C1457" t="s">
        <v>166</v>
      </c>
      <c r="D1457" t="s">
        <v>57</v>
      </c>
      <c r="E1457" t="s">
        <v>193</v>
      </c>
      <c r="F1457" t="s">
        <v>194</v>
      </c>
      <c r="G1457" t="s">
        <v>16</v>
      </c>
      <c r="H1457" t="s">
        <v>5138</v>
      </c>
      <c r="I1457" t="s">
        <v>5139</v>
      </c>
      <c r="J1457">
        <v>136612</v>
      </c>
      <c r="K1457" t="s">
        <v>3030</v>
      </c>
      <c r="L1457" t="s">
        <v>87</v>
      </c>
      <c r="M1457" t="s">
        <v>19</v>
      </c>
      <c r="N1457">
        <v>45725</v>
      </c>
      <c r="O1457">
        <v>1977</v>
      </c>
      <c r="P1457" t="s">
        <v>20</v>
      </c>
      <c r="Q1457">
        <v>6</v>
      </c>
      <c r="R1457" t="s">
        <v>52</v>
      </c>
      <c r="S1457" t="s">
        <v>21</v>
      </c>
      <c r="T1457" t="s">
        <v>29</v>
      </c>
    </row>
    <row r="1458" spans="1:20" x14ac:dyDescent="0.3">
      <c r="A1458" t="s">
        <v>3031</v>
      </c>
      <c r="B1458" t="s">
        <v>229</v>
      </c>
      <c r="C1458" t="s">
        <v>166</v>
      </c>
      <c r="D1458" t="s">
        <v>104</v>
      </c>
      <c r="E1458" t="s">
        <v>126</v>
      </c>
      <c r="F1458" t="s">
        <v>127</v>
      </c>
      <c r="G1458" t="s">
        <v>36</v>
      </c>
      <c r="H1458" t="s">
        <v>5136</v>
      </c>
      <c r="I1458" t="s">
        <v>5137</v>
      </c>
      <c r="J1458">
        <v>79492</v>
      </c>
      <c r="K1458" t="s">
        <v>3032</v>
      </c>
      <c r="L1458" t="s">
        <v>113</v>
      </c>
      <c r="M1458" t="s">
        <v>39</v>
      </c>
      <c r="N1458">
        <v>45508</v>
      </c>
      <c r="O1458">
        <v>847</v>
      </c>
      <c r="P1458" t="s">
        <v>20</v>
      </c>
      <c r="Q1458">
        <v>0</v>
      </c>
      <c r="R1458" t="s">
        <v>47</v>
      </c>
      <c r="S1458" t="s">
        <v>41</v>
      </c>
      <c r="T1458" t="s">
        <v>29</v>
      </c>
    </row>
    <row r="1459" spans="1:20" x14ac:dyDescent="0.3">
      <c r="A1459" t="s">
        <v>3033</v>
      </c>
      <c r="B1459" t="s">
        <v>322</v>
      </c>
      <c r="C1459" t="s">
        <v>151</v>
      </c>
      <c r="D1459" t="s">
        <v>33</v>
      </c>
      <c r="E1459" t="s">
        <v>5132</v>
      </c>
      <c r="F1459" t="s">
        <v>5125</v>
      </c>
      <c r="G1459" t="s">
        <v>50</v>
      </c>
      <c r="H1459" t="s">
        <v>5142</v>
      </c>
      <c r="I1459" t="s">
        <v>5143</v>
      </c>
      <c r="J1459">
        <v>160291</v>
      </c>
      <c r="K1459" t="s">
        <v>3034</v>
      </c>
      <c r="L1459" t="s">
        <v>18</v>
      </c>
      <c r="M1459" t="s">
        <v>46</v>
      </c>
      <c r="N1459">
        <v>45434</v>
      </c>
      <c r="O1459">
        <v>196</v>
      </c>
      <c r="P1459" t="s">
        <v>29</v>
      </c>
      <c r="Q1459">
        <v>4</v>
      </c>
      <c r="R1459" t="s">
        <v>40</v>
      </c>
      <c r="S1459" t="s">
        <v>53</v>
      </c>
      <c r="T1459" t="s">
        <v>20</v>
      </c>
    </row>
    <row r="1460" spans="1:20" x14ac:dyDescent="0.3">
      <c r="A1460" t="s">
        <v>3035</v>
      </c>
      <c r="B1460" t="s">
        <v>322</v>
      </c>
      <c r="C1460" t="s">
        <v>24</v>
      </c>
      <c r="D1460" t="s">
        <v>5156</v>
      </c>
      <c r="E1460" t="s">
        <v>152</v>
      </c>
      <c r="F1460" t="s">
        <v>153</v>
      </c>
      <c r="G1460" t="s">
        <v>50</v>
      </c>
      <c r="H1460" t="s">
        <v>5136</v>
      </c>
      <c r="I1460" t="s">
        <v>5137</v>
      </c>
      <c r="J1460">
        <v>86250</v>
      </c>
      <c r="K1460" t="s">
        <v>3036</v>
      </c>
      <c r="L1460" t="s">
        <v>5165</v>
      </c>
      <c r="M1460" t="s">
        <v>72</v>
      </c>
      <c r="N1460">
        <v>45566</v>
      </c>
      <c r="O1460">
        <v>2217</v>
      </c>
      <c r="P1460" t="s">
        <v>20</v>
      </c>
      <c r="Q1460">
        <v>0</v>
      </c>
      <c r="R1460" t="s">
        <v>52</v>
      </c>
      <c r="S1460" t="s">
        <v>21</v>
      </c>
      <c r="T1460" t="s">
        <v>29</v>
      </c>
    </row>
    <row r="1461" spans="1:20" x14ac:dyDescent="0.3">
      <c r="A1461" t="s">
        <v>3037</v>
      </c>
      <c r="B1461" t="s">
        <v>130</v>
      </c>
      <c r="C1461" t="s">
        <v>121</v>
      </c>
      <c r="D1461" t="s">
        <v>68</v>
      </c>
      <c r="E1461" t="s">
        <v>69</v>
      </c>
      <c r="F1461" t="s">
        <v>70</v>
      </c>
      <c r="G1461" t="s">
        <v>50</v>
      </c>
      <c r="H1461" t="s">
        <v>5142</v>
      </c>
      <c r="I1461" t="s">
        <v>5143</v>
      </c>
      <c r="J1461">
        <v>168175</v>
      </c>
      <c r="K1461" t="s">
        <v>3038</v>
      </c>
      <c r="L1461" t="s">
        <v>134</v>
      </c>
      <c r="M1461" t="s">
        <v>39</v>
      </c>
      <c r="N1461">
        <v>45328</v>
      </c>
      <c r="O1461">
        <v>812</v>
      </c>
      <c r="P1461" t="s">
        <v>20</v>
      </c>
      <c r="Q1461">
        <v>4</v>
      </c>
      <c r="R1461" t="s">
        <v>40</v>
      </c>
      <c r="S1461" t="s">
        <v>21</v>
      </c>
      <c r="T1461" t="s">
        <v>20</v>
      </c>
    </row>
    <row r="1462" spans="1:20" x14ac:dyDescent="0.3">
      <c r="A1462" t="s">
        <v>3039</v>
      </c>
      <c r="B1462" t="s">
        <v>63</v>
      </c>
      <c r="C1462" t="s">
        <v>188</v>
      </c>
      <c r="D1462" t="s">
        <v>33</v>
      </c>
      <c r="E1462" t="s">
        <v>5128</v>
      </c>
      <c r="F1462" t="s">
        <v>5125</v>
      </c>
      <c r="G1462" t="s">
        <v>50</v>
      </c>
      <c r="H1462" t="s">
        <v>5136</v>
      </c>
      <c r="I1462" t="s">
        <v>5137</v>
      </c>
      <c r="J1462">
        <v>68255</v>
      </c>
      <c r="K1462" t="s">
        <v>3040</v>
      </c>
      <c r="L1462" t="s">
        <v>5165</v>
      </c>
      <c r="M1462" t="s">
        <v>19</v>
      </c>
      <c r="N1462">
        <v>45364</v>
      </c>
      <c r="O1462">
        <v>2642</v>
      </c>
      <c r="P1462" t="s">
        <v>92</v>
      </c>
      <c r="Q1462">
        <v>0</v>
      </c>
      <c r="R1462" t="s">
        <v>40</v>
      </c>
      <c r="S1462" t="s">
        <v>21</v>
      </c>
      <c r="T1462" t="s">
        <v>20</v>
      </c>
    </row>
    <row r="1463" spans="1:20" x14ac:dyDescent="0.3">
      <c r="A1463" t="s">
        <v>3041</v>
      </c>
      <c r="B1463" t="s">
        <v>89</v>
      </c>
      <c r="C1463" t="s">
        <v>100</v>
      </c>
      <c r="D1463" t="s">
        <v>140</v>
      </c>
      <c r="E1463" t="s">
        <v>5133</v>
      </c>
      <c r="F1463" t="s">
        <v>5125</v>
      </c>
      <c r="G1463" t="s">
        <v>36</v>
      </c>
      <c r="H1463" t="s">
        <v>5138</v>
      </c>
      <c r="I1463" t="s">
        <v>5139</v>
      </c>
      <c r="J1463">
        <v>155925</v>
      </c>
      <c r="K1463" t="s">
        <v>3042</v>
      </c>
      <c r="L1463" t="s">
        <v>238</v>
      </c>
      <c r="M1463" t="s">
        <v>19</v>
      </c>
      <c r="N1463">
        <v>45680</v>
      </c>
      <c r="O1463">
        <v>2795</v>
      </c>
      <c r="P1463" t="s">
        <v>20</v>
      </c>
      <c r="Q1463">
        <v>6</v>
      </c>
      <c r="R1463" t="s">
        <v>76</v>
      </c>
      <c r="S1463" t="s">
        <v>21</v>
      </c>
      <c r="T1463" t="s">
        <v>20</v>
      </c>
    </row>
    <row r="1464" spans="1:20" x14ac:dyDescent="0.3">
      <c r="A1464" t="s">
        <v>3043</v>
      </c>
      <c r="B1464" t="s">
        <v>78</v>
      </c>
      <c r="C1464" t="s">
        <v>43</v>
      </c>
      <c r="D1464" t="s">
        <v>140</v>
      </c>
      <c r="E1464" t="s">
        <v>26</v>
      </c>
      <c r="F1464" t="s">
        <v>27</v>
      </c>
      <c r="G1464" t="s">
        <v>16</v>
      </c>
      <c r="H1464" t="s">
        <v>5138</v>
      </c>
      <c r="I1464" t="s">
        <v>5139</v>
      </c>
      <c r="J1464">
        <v>192475</v>
      </c>
      <c r="K1464" t="s">
        <v>3044</v>
      </c>
      <c r="L1464" t="s">
        <v>82</v>
      </c>
      <c r="M1464" t="s">
        <v>19</v>
      </c>
      <c r="N1464">
        <v>45567</v>
      </c>
      <c r="O1464">
        <v>1847</v>
      </c>
      <c r="P1464" t="s">
        <v>92</v>
      </c>
      <c r="Q1464">
        <v>6</v>
      </c>
      <c r="R1464" t="s">
        <v>5116</v>
      </c>
      <c r="S1464" t="s">
        <v>53</v>
      </c>
      <c r="T1464" t="s">
        <v>29</v>
      </c>
    </row>
    <row r="1465" spans="1:20" x14ac:dyDescent="0.3">
      <c r="A1465" t="s">
        <v>3045</v>
      </c>
      <c r="B1465" t="s">
        <v>218</v>
      </c>
      <c r="C1465" t="s">
        <v>56</v>
      </c>
      <c r="D1465" t="s">
        <v>104</v>
      </c>
      <c r="E1465" t="s">
        <v>34</v>
      </c>
      <c r="F1465" t="s">
        <v>35</v>
      </c>
      <c r="G1465" t="s">
        <v>50</v>
      </c>
      <c r="H1465" t="s">
        <v>5138</v>
      </c>
      <c r="I1465" t="s">
        <v>5139</v>
      </c>
      <c r="J1465">
        <v>169381</v>
      </c>
      <c r="K1465" t="s">
        <v>3046</v>
      </c>
      <c r="L1465" t="s">
        <v>179</v>
      </c>
      <c r="M1465" t="s">
        <v>72</v>
      </c>
      <c r="N1465">
        <v>45380</v>
      </c>
      <c r="O1465">
        <v>3342</v>
      </c>
      <c r="P1465" t="s">
        <v>20</v>
      </c>
      <c r="Q1465">
        <v>6</v>
      </c>
      <c r="R1465" t="s">
        <v>52</v>
      </c>
      <c r="S1465" t="s">
        <v>41</v>
      </c>
      <c r="T1465" t="s">
        <v>20</v>
      </c>
    </row>
    <row r="1466" spans="1:20" x14ac:dyDescent="0.3">
      <c r="A1466" t="s">
        <v>3047</v>
      </c>
      <c r="B1466" t="s">
        <v>78</v>
      </c>
      <c r="C1466" t="s">
        <v>151</v>
      </c>
      <c r="D1466" t="s">
        <v>25</v>
      </c>
      <c r="E1466" t="s">
        <v>223</v>
      </c>
      <c r="F1466" t="s">
        <v>224</v>
      </c>
      <c r="G1466" t="s">
        <v>36</v>
      </c>
      <c r="H1466" t="s">
        <v>5142</v>
      </c>
      <c r="I1466" t="s">
        <v>5143</v>
      </c>
      <c r="J1466">
        <v>134325</v>
      </c>
      <c r="K1466" t="s">
        <v>3048</v>
      </c>
      <c r="L1466" t="s">
        <v>5165</v>
      </c>
      <c r="M1466" t="s">
        <v>39</v>
      </c>
      <c r="N1466">
        <v>45438</v>
      </c>
      <c r="O1466">
        <v>3951</v>
      </c>
      <c r="P1466" t="s">
        <v>20</v>
      </c>
      <c r="Q1466">
        <v>4</v>
      </c>
      <c r="R1466" t="s">
        <v>47</v>
      </c>
      <c r="S1466" t="s">
        <v>21</v>
      </c>
      <c r="T1466" t="s">
        <v>20</v>
      </c>
    </row>
    <row r="1467" spans="1:20" x14ac:dyDescent="0.3">
      <c r="A1467" t="s">
        <v>3049</v>
      </c>
      <c r="B1467" t="s">
        <v>23</v>
      </c>
      <c r="C1467" t="s">
        <v>172</v>
      </c>
      <c r="D1467" t="s">
        <v>104</v>
      </c>
      <c r="E1467" t="s">
        <v>223</v>
      </c>
      <c r="F1467" t="s">
        <v>224</v>
      </c>
      <c r="G1467" t="s">
        <v>16</v>
      </c>
      <c r="H1467" t="s">
        <v>5138</v>
      </c>
      <c r="I1467" t="s">
        <v>5139</v>
      </c>
      <c r="J1467">
        <v>221188</v>
      </c>
      <c r="K1467" t="s">
        <v>3050</v>
      </c>
      <c r="L1467" t="s">
        <v>142</v>
      </c>
      <c r="M1467" t="s">
        <v>46</v>
      </c>
      <c r="N1467">
        <v>45738</v>
      </c>
      <c r="O1467">
        <v>1230</v>
      </c>
      <c r="P1467" t="s">
        <v>29</v>
      </c>
      <c r="Q1467">
        <v>6</v>
      </c>
      <c r="R1467" t="s">
        <v>40</v>
      </c>
      <c r="S1467" t="s">
        <v>53</v>
      </c>
      <c r="T1467" t="s">
        <v>20</v>
      </c>
    </row>
    <row r="1468" spans="1:20" x14ac:dyDescent="0.3">
      <c r="A1468" t="s">
        <v>3051</v>
      </c>
      <c r="B1468" t="s">
        <v>99</v>
      </c>
      <c r="C1468" t="s">
        <v>100</v>
      </c>
      <c r="D1468" t="s">
        <v>5156</v>
      </c>
      <c r="E1468" t="s">
        <v>209</v>
      </c>
      <c r="F1468" t="s">
        <v>210</v>
      </c>
      <c r="G1468" t="s">
        <v>36</v>
      </c>
      <c r="H1468" t="s">
        <v>5136</v>
      </c>
      <c r="I1468" t="s">
        <v>5137</v>
      </c>
      <c r="J1468">
        <v>91040</v>
      </c>
      <c r="K1468" t="s">
        <v>3052</v>
      </c>
      <c r="L1468" t="s">
        <v>113</v>
      </c>
      <c r="M1468" t="s">
        <v>39</v>
      </c>
      <c r="N1468">
        <v>45695</v>
      </c>
      <c r="O1468">
        <v>1641</v>
      </c>
      <c r="P1468" t="s">
        <v>20</v>
      </c>
      <c r="Q1468">
        <v>0</v>
      </c>
      <c r="R1468" t="s">
        <v>76</v>
      </c>
      <c r="S1468" t="s">
        <v>21</v>
      </c>
      <c r="T1468" t="s">
        <v>20</v>
      </c>
    </row>
    <row r="1469" spans="1:20" x14ac:dyDescent="0.3">
      <c r="A1469" t="s">
        <v>3053</v>
      </c>
      <c r="B1469" t="s">
        <v>31</v>
      </c>
      <c r="C1469" t="s">
        <v>232</v>
      </c>
      <c r="D1469" t="s">
        <v>33</v>
      </c>
      <c r="E1469" t="s">
        <v>26</v>
      </c>
      <c r="F1469" t="s">
        <v>27</v>
      </c>
      <c r="G1469" t="s">
        <v>36</v>
      </c>
      <c r="H1469" t="s">
        <v>5142</v>
      </c>
      <c r="I1469" t="s">
        <v>5143</v>
      </c>
      <c r="J1469">
        <v>160656</v>
      </c>
      <c r="K1469" t="s">
        <v>3054</v>
      </c>
      <c r="L1469" t="s">
        <v>61</v>
      </c>
      <c r="M1469" t="s">
        <v>39</v>
      </c>
      <c r="N1469">
        <v>45701</v>
      </c>
      <c r="O1469">
        <v>3866</v>
      </c>
      <c r="P1469" t="s">
        <v>20</v>
      </c>
      <c r="Q1469">
        <v>4</v>
      </c>
      <c r="R1469" t="s">
        <v>5116</v>
      </c>
      <c r="S1469" t="s">
        <v>21</v>
      </c>
      <c r="T1469" t="s">
        <v>20</v>
      </c>
    </row>
    <row r="1470" spans="1:20" x14ac:dyDescent="0.3">
      <c r="A1470" t="s">
        <v>3055</v>
      </c>
      <c r="B1470" t="s">
        <v>144</v>
      </c>
      <c r="C1470" t="s">
        <v>109</v>
      </c>
      <c r="D1470" t="s">
        <v>140</v>
      </c>
      <c r="E1470" t="s">
        <v>14</v>
      </c>
      <c r="F1470" t="s">
        <v>15</v>
      </c>
      <c r="G1470" t="s">
        <v>36</v>
      </c>
      <c r="H1470" t="s">
        <v>5136</v>
      </c>
      <c r="I1470" t="s">
        <v>5137</v>
      </c>
      <c r="J1470">
        <v>54931</v>
      </c>
      <c r="K1470" t="s">
        <v>3056</v>
      </c>
      <c r="L1470" t="s">
        <v>38</v>
      </c>
      <c r="M1470" t="s">
        <v>19</v>
      </c>
      <c r="N1470">
        <v>45729</v>
      </c>
      <c r="O1470">
        <v>2335</v>
      </c>
      <c r="P1470" t="s">
        <v>20</v>
      </c>
      <c r="Q1470">
        <v>0</v>
      </c>
      <c r="R1470" t="s">
        <v>52</v>
      </c>
      <c r="S1470" t="s">
        <v>53</v>
      </c>
      <c r="T1470" t="s">
        <v>20</v>
      </c>
    </row>
    <row r="1471" spans="1:20" x14ac:dyDescent="0.3">
      <c r="A1471" t="s">
        <v>3057</v>
      </c>
      <c r="B1471" t="s">
        <v>63</v>
      </c>
      <c r="C1471" t="s">
        <v>185</v>
      </c>
      <c r="D1471" t="s">
        <v>57</v>
      </c>
      <c r="E1471" t="s">
        <v>5124</v>
      </c>
      <c r="F1471" t="s">
        <v>5125</v>
      </c>
      <c r="G1471" t="s">
        <v>36</v>
      </c>
      <c r="H1471" t="s">
        <v>5136</v>
      </c>
      <c r="I1471" t="s">
        <v>5137</v>
      </c>
      <c r="J1471">
        <v>75601</v>
      </c>
      <c r="K1471" t="s">
        <v>3058</v>
      </c>
      <c r="L1471" t="s">
        <v>5165</v>
      </c>
      <c r="M1471" t="s">
        <v>46</v>
      </c>
      <c r="N1471">
        <v>45675</v>
      </c>
      <c r="O1471">
        <v>2101</v>
      </c>
      <c r="P1471" t="s">
        <v>20</v>
      </c>
      <c r="Q1471">
        <v>0</v>
      </c>
      <c r="R1471" t="s">
        <v>52</v>
      </c>
      <c r="S1471" t="s">
        <v>21</v>
      </c>
      <c r="T1471" t="s">
        <v>20</v>
      </c>
    </row>
    <row r="1472" spans="1:20" x14ac:dyDescent="0.3">
      <c r="A1472" t="s">
        <v>3059</v>
      </c>
      <c r="B1472" t="s">
        <v>31</v>
      </c>
      <c r="C1472" t="s">
        <v>219</v>
      </c>
      <c r="D1472" t="s">
        <v>140</v>
      </c>
      <c r="E1472" t="s">
        <v>193</v>
      </c>
      <c r="F1472" t="s">
        <v>194</v>
      </c>
      <c r="G1472" t="s">
        <v>16</v>
      </c>
      <c r="H1472" t="s">
        <v>5138</v>
      </c>
      <c r="I1472" t="s">
        <v>5139</v>
      </c>
      <c r="J1472">
        <v>243078</v>
      </c>
      <c r="K1472" t="s">
        <v>3060</v>
      </c>
      <c r="L1472" t="s">
        <v>61</v>
      </c>
      <c r="M1472" t="s">
        <v>46</v>
      </c>
      <c r="N1472">
        <v>45635</v>
      </c>
      <c r="O1472">
        <v>78</v>
      </c>
      <c r="P1472" t="s">
        <v>20</v>
      </c>
      <c r="Q1472">
        <v>6</v>
      </c>
      <c r="R1472" t="s">
        <v>76</v>
      </c>
      <c r="S1472" t="s">
        <v>21</v>
      </c>
      <c r="T1472" t="s">
        <v>20</v>
      </c>
    </row>
    <row r="1473" spans="1:20" x14ac:dyDescent="0.3">
      <c r="A1473" t="s">
        <v>3061</v>
      </c>
      <c r="B1473" t="s">
        <v>84</v>
      </c>
      <c r="C1473" t="s">
        <v>109</v>
      </c>
      <c r="D1473" t="s">
        <v>57</v>
      </c>
      <c r="E1473" t="s">
        <v>5132</v>
      </c>
      <c r="F1473" t="s">
        <v>5125</v>
      </c>
      <c r="G1473" t="s">
        <v>36</v>
      </c>
      <c r="H1473" t="s">
        <v>5140</v>
      </c>
      <c r="I1473" t="s">
        <v>5141</v>
      </c>
      <c r="J1473">
        <v>97926</v>
      </c>
      <c r="K1473" t="s">
        <v>3062</v>
      </c>
      <c r="L1473" t="s">
        <v>113</v>
      </c>
      <c r="M1473" t="s">
        <v>46</v>
      </c>
      <c r="N1473">
        <v>45586</v>
      </c>
      <c r="O1473">
        <v>1739</v>
      </c>
      <c r="P1473" t="s">
        <v>29</v>
      </c>
      <c r="Q1473">
        <v>2</v>
      </c>
      <c r="R1473" t="s">
        <v>47</v>
      </c>
      <c r="S1473" t="s">
        <v>21</v>
      </c>
      <c r="T1473" t="s">
        <v>29</v>
      </c>
    </row>
    <row r="1474" spans="1:20" x14ac:dyDescent="0.3">
      <c r="A1474" t="s">
        <v>3063</v>
      </c>
      <c r="B1474" t="s">
        <v>63</v>
      </c>
      <c r="C1474" t="s">
        <v>197</v>
      </c>
      <c r="D1474" t="s">
        <v>68</v>
      </c>
      <c r="E1474" t="s">
        <v>5128</v>
      </c>
      <c r="F1474" t="s">
        <v>5125</v>
      </c>
      <c r="G1474" t="s">
        <v>36</v>
      </c>
      <c r="H1474" t="s">
        <v>5140</v>
      </c>
      <c r="I1474" t="s">
        <v>5141</v>
      </c>
      <c r="J1474">
        <v>107346</v>
      </c>
      <c r="K1474" t="s">
        <v>3064</v>
      </c>
      <c r="L1474" t="s">
        <v>5165</v>
      </c>
      <c r="M1474" t="s">
        <v>46</v>
      </c>
      <c r="N1474">
        <v>45484</v>
      </c>
      <c r="O1474">
        <v>1047</v>
      </c>
      <c r="P1474" t="s">
        <v>20</v>
      </c>
      <c r="Q1474">
        <v>2</v>
      </c>
      <c r="R1474" t="s">
        <v>76</v>
      </c>
      <c r="S1474" t="s">
        <v>21</v>
      </c>
      <c r="T1474" t="s">
        <v>29</v>
      </c>
    </row>
    <row r="1475" spans="1:20" x14ac:dyDescent="0.3">
      <c r="A1475" t="s">
        <v>3065</v>
      </c>
      <c r="B1475" t="s">
        <v>74</v>
      </c>
      <c r="C1475" t="s">
        <v>85</v>
      </c>
      <c r="D1475" t="s">
        <v>68</v>
      </c>
      <c r="E1475" t="s">
        <v>58</v>
      </c>
      <c r="F1475" t="s">
        <v>59</v>
      </c>
      <c r="G1475" t="s">
        <v>16</v>
      </c>
      <c r="H1475" t="s">
        <v>5142</v>
      </c>
      <c r="I1475" t="s">
        <v>5143</v>
      </c>
      <c r="J1475">
        <v>150396</v>
      </c>
      <c r="K1475" t="s">
        <v>3066</v>
      </c>
      <c r="L1475" t="s">
        <v>5165</v>
      </c>
      <c r="M1475" t="s">
        <v>46</v>
      </c>
      <c r="N1475">
        <v>45459</v>
      </c>
      <c r="O1475">
        <v>3443</v>
      </c>
      <c r="P1475" t="s">
        <v>20</v>
      </c>
      <c r="Q1475">
        <v>4</v>
      </c>
      <c r="R1475" t="s">
        <v>5116</v>
      </c>
      <c r="S1475" t="s">
        <v>21</v>
      </c>
      <c r="T1475" t="s">
        <v>20</v>
      </c>
    </row>
    <row r="1476" spans="1:20" x14ac:dyDescent="0.3">
      <c r="A1476" t="s">
        <v>3067</v>
      </c>
      <c r="B1476" t="s">
        <v>322</v>
      </c>
      <c r="C1476" t="s">
        <v>103</v>
      </c>
      <c r="D1476" t="s">
        <v>68</v>
      </c>
      <c r="E1476" t="s">
        <v>223</v>
      </c>
      <c r="F1476" t="s">
        <v>224</v>
      </c>
      <c r="G1476" t="s">
        <v>50</v>
      </c>
      <c r="H1476" t="s">
        <v>5138</v>
      </c>
      <c r="I1476" t="s">
        <v>5139</v>
      </c>
      <c r="J1476">
        <v>171743</v>
      </c>
      <c r="K1476" t="s">
        <v>3068</v>
      </c>
      <c r="L1476" t="s">
        <v>5165</v>
      </c>
      <c r="M1476" t="s">
        <v>46</v>
      </c>
      <c r="N1476">
        <v>45734</v>
      </c>
      <c r="O1476">
        <v>588</v>
      </c>
      <c r="P1476" t="s">
        <v>20</v>
      </c>
      <c r="Q1476">
        <v>6</v>
      </c>
      <c r="R1476" t="s">
        <v>40</v>
      </c>
      <c r="S1476" t="s">
        <v>21</v>
      </c>
      <c r="T1476" t="s">
        <v>20</v>
      </c>
    </row>
    <row r="1477" spans="1:20" x14ac:dyDescent="0.3">
      <c r="A1477" t="s">
        <v>3069</v>
      </c>
      <c r="B1477" t="s">
        <v>322</v>
      </c>
      <c r="C1477" t="s">
        <v>175</v>
      </c>
      <c r="D1477" t="s">
        <v>44</v>
      </c>
      <c r="E1477" t="s">
        <v>126</v>
      </c>
      <c r="F1477" t="s">
        <v>127</v>
      </c>
      <c r="G1477" t="s">
        <v>50</v>
      </c>
      <c r="H1477" t="s">
        <v>5142</v>
      </c>
      <c r="I1477" t="s">
        <v>5143</v>
      </c>
      <c r="J1477">
        <v>167503</v>
      </c>
      <c r="K1477" t="s">
        <v>3070</v>
      </c>
      <c r="L1477" t="s">
        <v>61</v>
      </c>
      <c r="M1477" t="s">
        <v>46</v>
      </c>
      <c r="N1477">
        <v>45470</v>
      </c>
      <c r="O1477">
        <v>1417</v>
      </c>
      <c r="P1477" t="s">
        <v>92</v>
      </c>
      <c r="Q1477">
        <v>4</v>
      </c>
      <c r="R1477" t="s">
        <v>76</v>
      </c>
      <c r="S1477" t="s">
        <v>21</v>
      </c>
      <c r="T1477" t="s">
        <v>20</v>
      </c>
    </row>
    <row r="1478" spans="1:20" x14ac:dyDescent="0.3">
      <c r="A1478" t="s">
        <v>3071</v>
      </c>
      <c r="B1478" t="s">
        <v>74</v>
      </c>
      <c r="C1478" t="s">
        <v>160</v>
      </c>
      <c r="D1478" t="s">
        <v>33</v>
      </c>
      <c r="E1478" t="s">
        <v>95</v>
      </c>
      <c r="F1478" t="s">
        <v>96</v>
      </c>
      <c r="G1478" t="s">
        <v>50</v>
      </c>
      <c r="H1478" t="s">
        <v>5136</v>
      </c>
      <c r="I1478" t="s">
        <v>5137</v>
      </c>
      <c r="J1478">
        <v>68476</v>
      </c>
      <c r="K1478" t="s">
        <v>3072</v>
      </c>
      <c r="L1478" t="s">
        <v>18</v>
      </c>
      <c r="M1478" t="s">
        <v>46</v>
      </c>
      <c r="N1478">
        <v>45575</v>
      </c>
      <c r="O1478">
        <v>2416</v>
      </c>
      <c r="P1478" t="s">
        <v>29</v>
      </c>
      <c r="Q1478">
        <v>0</v>
      </c>
      <c r="R1478" t="s">
        <v>76</v>
      </c>
      <c r="S1478" t="s">
        <v>53</v>
      </c>
      <c r="T1478" t="s">
        <v>20</v>
      </c>
    </row>
    <row r="1479" spans="1:20" x14ac:dyDescent="0.3">
      <c r="A1479" t="s">
        <v>3073</v>
      </c>
      <c r="B1479" t="s">
        <v>23</v>
      </c>
      <c r="C1479" t="s">
        <v>202</v>
      </c>
      <c r="D1479" t="s">
        <v>104</v>
      </c>
      <c r="E1479" t="s">
        <v>5127</v>
      </c>
      <c r="F1479" t="s">
        <v>5125</v>
      </c>
      <c r="G1479" t="s">
        <v>50</v>
      </c>
      <c r="H1479" t="s">
        <v>5136</v>
      </c>
      <c r="I1479" t="s">
        <v>5137</v>
      </c>
      <c r="J1479">
        <v>75286</v>
      </c>
      <c r="K1479" t="s">
        <v>3074</v>
      </c>
      <c r="L1479" t="s">
        <v>113</v>
      </c>
      <c r="M1479" t="s">
        <v>72</v>
      </c>
      <c r="N1479">
        <v>45564</v>
      </c>
      <c r="O1479">
        <v>1286</v>
      </c>
      <c r="P1479" t="s">
        <v>92</v>
      </c>
      <c r="Q1479">
        <v>0</v>
      </c>
      <c r="R1479" t="s">
        <v>5116</v>
      </c>
      <c r="S1479" t="s">
        <v>21</v>
      </c>
      <c r="T1479" t="s">
        <v>20</v>
      </c>
    </row>
    <row r="1480" spans="1:20" x14ac:dyDescent="0.3">
      <c r="A1480" t="s">
        <v>3075</v>
      </c>
      <c r="B1480" t="s">
        <v>136</v>
      </c>
      <c r="C1480" t="s">
        <v>160</v>
      </c>
      <c r="D1480" t="s">
        <v>44</v>
      </c>
      <c r="E1480" t="s">
        <v>26</v>
      </c>
      <c r="F1480" t="s">
        <v>27</v>
      </c>
      <c r="G1480" t="s">
        <v>50</v>
      </c>
      <c r="H1480" t="s">
        <v>5138</v>
      </c>
      <c r="I1480" t="s">
        <v>5139</v>
      </c>
      <c r="J1480">
        <v>168050</v>
      </c>
      <c r="K1480" t="s">
        <v>3076</v>
      </c>
      <c r="L1480" t="s">
        <v>5165</v>
      </c>
      <c r="M1480" t="s">
        <v>46</v>
      </c>
      <c r="N1480">
        <v>45725</v>
      </c>
      <c r="O1480">
        <v>1944</v>
      </c>
      <c r="P1480" t="s">
        <v>92</v>
      </c>
      <c r="Q1480">
        <v>6</v>
      </c>
      <c r="R1480" t="s">
        <v>40</v>
      </c>
      <c r="S1480" t="s">
        <v>21</v>
      </c>
      <c r="T1480" t="s">
        <v>29</v>
      </c>
    </row>
    <row r="1481" spans="1:20" x14ac:dyDescent="0.3">
      <c r="A1481" t="s">
        <v>3077</v>
      </c>
      <c r="B1481" t="s">
        <v>130</v>
      </c>
      <c r="C1481" t="s">
        <v>197</v>
      </c>
      <c r="D1481" t="s">
        <v>5156</v>
      </c>
      <c r="E1481" t="s">
        <v>80</v>
      </c>
      <c r="F1481" t="s">
        <v>80</v>
      </c>
      <c r="G1481" t="s">
        <v>16</v>
      </c>
      <c r="H1481" t="s">
        <v>5136</v>
      </c>
      <c r="I1481" t="s">
        <v>5137</v>
      </c>
      <c r="J1481">
        <v>64488</v>
      </c>
      <c r="K1481" t="s">
        <v>3078</v>
      </c>
      <c r="L1481" t="s">
        <v>179</v>
      </c>
      <c r="M1481" t="s">
        <v>39</v>
      </c>
      <c r="N1481">
        <v>45462</v>
      </c>
      <c r="O1481">
        <v>52</v>
      </c>
      <c r="P1481" t="s">
        <v>20</v>
      </c>
      <c r="Q1481">
        <v>0</v>
      </c>
      <c r="R1481" t="s">
        <v>76</v>
      </c>
      <c r="S1481" t="s">
        <v>21</v>
      </c>
      <c r="T1481" t="s">
        <v>20</v>
      </c>
    </row>
    <row r="1482" spans="1:20" x14ac:dyDescent="0.3">
      <c r="A1482" t="s">
        <v>3079</v>
      </c>
      <c r="B1482" t="s">
        <v>222</v>
      </c>
      <c r="C1482" t="s">
        <v>85</v>
      </c>
      <c r="D1482" t="s">
        <v>25</v>
      </c>
      <c r="E1482" t="s">
        <v>5133</v>
      </c>
      <c r="F1482" t="s">
        <v>5125</v>
      </c>
      <c r="G1482" t="s">
        <v>36</v>
      </c>
      <c r="H1482" t="s">
        <v>5138</v>
      </c>
      <c r="I1482" t="s">
        <v>5139</v>
      </c>
      <c r="J1482">
        <v>226005</v>
      </c>
      <c r="K1482" t="s">
        <v>3080</v>
      </c>
      <c r="L1482" t="s">
        <v>5165</v>
      </c>
      <c r="M1482" t="s">
        <v>46</v>
      </c>
      <c r="N1482">
        <v>45447</v>
      </c>
      <c r="O1482">
        <v>500</v>
      </c>
      <c r="P1482" t="s">
        <v>20</v>
      </c>
      <c r="Q1482">
        <v>6</v>
      </c>
      <c r="R1482" t="s">
        <v>47</v>
      </c>
      <c r="S1482" t="s">
        <v>21</v>
      </c>
      <c r="T1482" t="s">
        <v>29</v>
      </c>
    </row>
    <row r="1483" spans="1:20" x14ac:dyDescent="0.3">
      <c r="A1483" t="s">
        <v>3081</v>
      </c>
      <c r="B1483" t="s">
        <v>322</v>
      </c>
      <c r="C1483" t="s">
        <v>94</v>
      </c>
      <c r="D1483" t="s">
        <v>140</v>
      </c>
      <c r="E1483" t="s">
        <v>5124</v>
      </c>
      <c r="F1483" t="s">
        <v>5125</v>
      </c>
      <c r="G1483" t="s">
        <v>16</v>
      </c>
      <c r="H1483" t="s">
        <v>5142</v>
      </c>
      <c r="I1483" t="s">
        <v>5143</v>
      </c>
      <c r="J1483">
        <v>139933</v>
      </c>
      <c r="K1483" t="s">
        <v>3082</v>
      </c>
      <c r="L1483" t="s">
        <v>134</v>
      </c>
      <c r="M1483" t="s">
        <v>72</v>
      </c>
      <c r="N1483">
        <v>45505</v>
      </c>
      <c r="O1483">
        <v>2836</v>
      </c>
      <c r="P1483" t="s">
        <v>20</v>
      </c>
      <c r="Q1483">
        <v>4</v>
      </c>
      <c r="R1483" t="s">
        <v>5116</v>
      </c>
      <c r="S1483" t="s">
        <v>21</v>
      </c>
      <c r="T1483" t="s">
        <v>20</v>
      </c>
    </row>
    <row r="1484" spans="1:20" x14ac:dyDescent="0.3">
      <c r="A1484" t="s">
        <v>3083</v>
      </c>
      <c r="B1484" t="s">
        <v>124</v>
      </c>
      <c r="C1484" t="s">
        <v>232</v>
      </c>
      <c r="D1484" t="s">
        <v>118</v>
      </c>
      <c r="E1484" t="s">
        <v>95</v>
      </c>
      <c r="F1484" t="s">
        <v>96</v>
      </c>
      <c r="G1484" t="s">
        <v>36</v>
      </c>
      <c r="H1484" t="s">
        <v>5140</v>
      </c>
      <c r="I1484" t="s">
        <v>5141</v>
      </c>
      <c r="J1484">
        <v>144193</v>
      </c>
      <c r="K1484" t="s">
        <v>3084</v>
      </c>
      <c r="L1484" t="s">
        <v>87</v>
      </c>
      <c r="M1484" t="s">
        <v>19</v>
      </c>
      <c r="N1484">
        <v>45360</v>
      </c>
      <c r="O1484">
        <v>2602</v>
      </c>
      <c r="P1484" t="s">
        <v>20</v>
      </c>
      <c r="Q1484">
        <v>2</v>
      </c>
      <c r="R1484" t="s">
        <v>40</v>
      </c>
      <c r="S1484" t="s">
        <v>41</v>
      </c>
      <c r="T1484" t="s">
        <v>29</v>
      </c>
    </row>
    <row r="1485" spans="1:20" x14ac:dyDescent="0.3">
      <c r="A1485" t="s">
        <v>3085</v>
      </c>
      <c r="B1485" t="s">
        <v>130</v>
      </c>
      <c r="C1485" t="s">
        <v>117</v>
      </c>
      <c r="D1485" t="s">
        <v>167</v>
      </c>
      <c r="E1485" t="s">
        <v>58</v>
      </c>
      <c r="F1485" t="s">
        <v>59</v>
      </c>
      <c r="G1485" t="s">
        <v>16</v>
      </c>
      <c r="H1485" t="s">
        <v>5138</v>
      </c>
      <c r="I1485" t="s">
        <v>5139</v>
      </c>
      <c r="J1485">
        <v>185613</v>
      </c>
      <c r="K1485" t="s">
        <v>3086</v>
      </c>
      <c r="L1485" t="s">
        <v>5165</v>
      </c>
      <c r="M1485" t="s">
        <v>46</v>
      </c>
      <c r="N1485">
        <v>45391</v>
      </c>
      <c r="O1485">
        <v>2721</v>
      </c>
      <c r="P1485" t="s">
        <v>20</v>
      </c>
      <c r="Q1485">
        <v>6</v>
      </c>
      <c r="R1485" t="s">
        <v>40</v>
      </c>
      <c r="S1485" t="s">
        <v>21</v>
      </c>
      <c r="T1485" t="s">
        <v>20</v>
      </c>
    </row>
    <row r="1486" spans="1:20" x14ac:dyDescent="0.3">
      <c r="A1486" t="s">
        <v>3087</v>
      </c>
      <c r="B1486" t="s">
        <v>23</v>
      </c>
      <c r="C1486" t="s">
        <v>67</v>
      </c>
      <c r="D1486" t="s">
        <v>167</v>
      </c>
      <c r="E1486" t="s">
        <v>5127</v>
      </c>
      <c r="F1486" t="s">
        <v>5125</v>
      </c>
      <c r="G1486" t="s">
        <v>36</v>
      </c>
      <c r="H1486" t="s">
        <v>5138</v>
      </c>
      <c r="I1486" t="s">
        <v>5139</v>
      </c>
      <c r="J1486">
        <v>208088</v>
      </c>
      <c r="K1486" t="s">
        <v>3088</v>
      </c>
      <c r="L1486" t="s">
        <v>113</v>
      </c>
      <c r="M1486" t="s">
        <v>46</v>
      </c>
      <c r="N1486">
        <v>45372</v>
      </c>
      <c r="O1486">
        <v>1050</v>
      </c>
      <c r="P1486" t="s">
        <v>20</v>
      </c>
      <c r="Q1486">
        <v>6</v>
      </c>
      <c r="R1486" t="s">
        <v>76</v>
      </c>
      <c r="S1486" t="s">
        <v>21</v>
      </c>
      <c r="T1486" t="s">
        <v>29</v>
      </c>
    </row>
    <row r="1487" spans="1:20" x14ac:dyDescent="0.3">
      <c r="A1487" t="s">
        <v>3089</v>
      </c>
      <c r="B1487" t="s">
        <v>78</v>
      </c>
      <c r="C1487" t="s">
        <v>151</v>
      </c>
      <c r="D1487" t="s">
        <v>5156</v>
      </c>
      <c r="E1487" t="s">
        <v>5128</v>
      </c>
      <c r="F1487" t="s">
        <v>5125</v>
      </c>
      <c r="G1487" t="s">
        <v>16</v>
      </c>
      <c r="H1487" t="s">
        <v>5142</v>
      </c>
      <c r="I1487" t="s">
        <v>5143</v>
      </c>
      <c r="J1487">
        <v>175179</v>
      </c>
      <c r="K1487" t="s">
        <v>3090</v>
      </c>
      <c r="L1487" t="s">
        <v>5165</v>
      </c>
      <c r="M1487" t="s">
        <v>39</v>
      </c>
      <c r="N1487">
        <v>45387</v>
      </c>
      <c r="O1487">
        <v>3751</v>
      </c>
      <c r="P1487" t="s">
        <v>20</v>
      </c>
      <c r="Q1487">
        <v>4</v>
      </c>
      <c r="R1487" t="s">
        <v>76</v>
      </c>
      <c r="S1487" t="s">
        <v>21</v>
      </c>
      <c r="T1487" t="s">
        <v>20</v>
      </c>
    </row>
    <row r="1488" spans="1:20" x14ac:dyDescent="0.3">
      <c r="A1488" t="s">
        <v>3091</v>
      </c>
      <c r="B1488" t="s">
        <v>222</v>
      </c>
      <c r="C1488" t="s">
        <v>79</v>
      </c>
      <c r="D1488" t="s">
        <v>57</v>
      </c>
      <c r="E1488" t="s">
        <v>126</v>
      </c>
      <c r="F1488" t="s">
        <v>127</v>
      </c>
      <c r="G1488" t="s">
        <v>16</v>
      </c>
      <c r="H1488" t="s">
        <v>5142</v>
      </c>
      <c r="I1488" t="s">
        <v>5143</v>
      </c>
      <c r="J1488">
        <v>111704</v>
      </c>
      <c r="K1488" t="s">
        <v>3092</v>
      </c>
      <c r="L1488" t="s">
        <v>113</v>
      </c>
      <c r="M1488" t="s">
        <v>19</v>
      </c>
      <c r="N1488">
        <v>45697</v>
      </c>
      <c r="O1488">
        <v>2846</v>
      </c>
      <c r="P1488" t="s">
        <v>92</v>
      </c>
      <c r="Q1488">
        <v>4</v>
      </c>
      <c r="R1488" t="s">
        <v>40</v>
      </c>
      <c r="S1488" t="s">
        <v>21</v>
      </c>
      <c r="T1488" t="s">
        <v>20</v>
      </c>
    </row>
    <row r="1489" spans="1:20" x14ac:dyDescent="0.3">
      <c r="A1489" t="s">
        <v>3093</v>
      </c>
      <c r="B1489" t="s">
        <v>31</v>
      </c>
      <c r="C1489" t="s">
        <v>24</v>
      </c>
      <c r="D1489" t="s">
        <v>167</v>
      </c>
      <c r="E1489" t="s">
        <v>69</v>
      </c>
      <c r="F1489" t="s">
        <v>70</v>
      </c>
      <c r="G1489" t="s">
        <v>50</v>
      </c>
      <c r="H1489" t="s">
        <v>5136</v>
      </c>
      <c r="I1489" t="s">
        <v>5137</v>
      </c>
      <c r="J1489">
        <v>50000</v>
      </c>
      <c r="K1489" t="s">
        <v>3094</v>
      </c>
      <c r="L1489" t="s">
        <v>134</v>
      </c>
      <c r="M1489" t="s">
        <v>46</v>
      </c>
      <c r="N1489">
        <v>45591</v>
      </c>
      <c r="O1489">
        <v>913</v>
      </c>
      <c r="P1489" t="s">
        <v>20</v>
      </c>
      <c r="Q1489">
        <v>0</v>
      </c>
      <c r="R1489" t="s">
        <v>52</v>
      </c>
      <c r="S1489" t="s">
        <v>21</v>
      </c>
      <c r="T1489" t="s">
        <v>20</v>
      </c>
    </row>
    <row r="1490" spans="1:20" x14ac:dyDescent="0.3">
      <c r="A1490" t="s">
        <v>3095</v>
      </c>
      <c r="B1490" t="s">
        <v>165</v>
      </c>
      <c r="C1490" t="s">
        <v>79</v>
      </c>
      <c r="D1490" t="s">
        <v>118</v>
      </c>
      <c r="E1490" t="s">
        <v>5133</v>
      </c>
      <c r="F1490" t="s">
        <v>5125</v>
      </c>
      <c r="G1490" t="s">
        <v>16</v>
      </c>
      <c r="H1490" t="s">
        <v>5138</v>
      </c>
      <c r="I1490" t="s">
        <v>5139</v>
      </c>
      <c r="J1490">
        <v>145076</v>
      </c>
      <c r="K1490" t="s">
        <v>3096</v>
      </c>
      <c r="L1490" t="s">
        <v>61</v>
      </c>
      <c r="M1490" t="s">
        <v>39</v>
      </c>
      <c r="N1490">
        <v>45606</v>
      </c>
      <c r="O1490">
        <v>3633</v>
      </c>
      <c r="P1490" t="s">
        <v>29</v>
      </c>
      <c r="Q1490">
        <v>6</v>
      </c>
      <c r="R1490" t="s">
        <v>5116</v>
      </c>
      <c r="S1490" t="s">
        <v>53</v>
      </c>
      <c r="T1490" t="s">
        <v>20</v>
      </c>
    </row>
    <row r="1491" spans="1:20" x14ac:dyDescent="0.3">
      <c r="A1491" t="s">
        <v>3097</v>
      </c>
      <c r="B1491" t="s">
        <v>23</v>
      </c>
      <c r="C1491" t="s">
        <v>117</v>
      </c>
      <c r="D1491" t="s">
        <v>33</v>
      </c>
      <c r="E1491" t="s">
        <v>5132</v>
      </c>
      <c r="F1491" t="s">
        <v>5125</v>
      </c>
      <c r="G1491" t="s">
        <v>50</v>
      </c>
      <c r="H1491" t="s">
        <v>5138</v>
      </c>
      <c r="I1491" t="s">
        <v>5139</v>
      </c>
      <c r="J1491">
        <v>245453</v>
      </c>
      <c r="K1491" t="s">
        <v>3098</v>
      </c>
      <c r="L1491" t="s">
        <v>87</v>
      </c>
      <c r="M1491" t="s">
        <v>46</v>
      </c>
      <c r="N1491">
        <v>45538</v>
      </c>
      <c r="O1491">
        <v>3519</v>
      </c>
      <c r="P1491" t="s">
        <v>92</v>
      </c>
      <c r="Q1491">
        <v>6</v>
      </c>
      <c r="R1491" t="s">
        <v>76</v>
      </c>
      <c r="S1491" t="s">
        <v>53</v>
      </c>
      <c r="T1491" t="s">
        <v>20</v>
      </c>
    </row>
    <row r="1492" spans="1:20" x14ac:dyDescent="0.3">
      <c r="A1492" t="s">
        <v>3099</v>
      </c>
      <c r="B1492" t="s">
        <v>84</v>
      </c>
      <c r="C1492" t="s">
        <v>85</v>
      </c>
      <c r="D1492" t="s">
        <v>25</v>
      </c>
      <c r="E1492" t="s">
        <v>193</v>
      </c>
      <c r="F1492" t="s">
        <v>194</v>
      </c>
      <c r="G1492" t="s">
        <v>16</v>
      </c>
      <c r="H1492" t="s">
        <v>5140</v>
      </c>
      <c r="I1492" t="s">
        <v>5141</v>
      </c>
      <c r="J1492">
        <v>99073</v>
      </c>
      <c r="K1492" t="s">
        <v>3100</v>
      </c>
      <c r="L1492" t="s">
        <v>5165</v>
      </c>
      <c r="M1492" t="s">
        <v>46</v>
      </c>
      <c r="N1492">
        <v>45329</v>
      </c>
      <c r="O1492">
        <v>2420</v>
      </c>
      <c r="P1492" t="s">
        <v>20</v>
      </c>
      <c r="Q1492">
        <v>2</v>
      </c>
      <c r="R1492" t="s">
        <v>5116</v>
      </c>
      <c r="S1492" t="s">
        <v>41</v>
      </c>
      <c r="T1492" t="s">
        <v>29</v>
      </c>
    </row>
    <row r="1493" spans="1:20" x14ac:dyDescent="0.3">
      <c r="A1493" t="s">
        <v>3101</v>
      </c>
      <c r="B1493" t="s">
        <v>99</v>
      </c>
      <c r="C1493" t="s">
        <v>166</v>
      </c>
      <c r="D1493" t="s">
        <v>68</v>
      </c>
      <c r="E1493" t="s">
        <v>193</v>
      </c>
      <c r="F1493" t="s">
        <v>194</v>
      </c>
      <c r="G1493" t="s">
        <v>16</v>
      </c>
      <c r="H1493" t="s">
        <v>5136</v>
      </c>
      <c r="I1493" t="s">
        <v>5137</v>
      </c>
      <c r="J1493">
        <v>102233</v>
      </c>
      <c r="K1493" t="s">
        <v>3102</v>
      </c>
      <c r="L1493" t="s">
        <v>87</v>
      </c>
      <c r="M1493" t="s">
        <v>39</v>
      </c>
      <c r="N1493">
        <v>45405</v>
      </c>
      <c r="O1493">
        <v>3346</v>
      </c>
      <c r="P1493" t="s">
        <v>20</v>
      </c>
      <c r="Q1493">
        <v>0</v>
      </c>
      <c r="R1493" t="s">
        <v>52</v>
      </c>
      <c r="S1493" t="s">
        <v>53</v>
      </c>
      <c r="T1493" t="s">
        <v>29</v>
      </c>
    </row>
    <row r="1494" spans="1:20" x14ac:dyDescent="0.3">
      <c r="A1494" t="s">
        <v>3103</v>
      </c>
      <c r="B1494" t="s">
        <v>55</v>
      </c>
      <c r="C1494" t="s">
        <v>64</v>
      </c>
      <c r="D1494" t="s">
        <v>44</v>
      </c>
      <c r="E1494" t="s">
        <v>5133</v>
      </c>
      <c r="F1494" t="s">
        <v>5125</v>
      </c>
      <c r="G1494" t="s">
        <v>36</v>
      </c>
      <c r="H1494" t="s">
        <v>5140</v>
      </c>
      <c r="I1494" t="s">
        <v>5141</v>
      </c>
      <c r="J1494">
        <v>98827</v>
      </c>
      <c r="K1494" t="s">
        <v>3104</v>
      </c>
      <c r="L1494" t="s">
        <v>5165</v>
      </c>
      <c r="M1494" t="s">
        <v>46</v>
      </c>
      <c r="N1494">
        <v>45631</v>
      </c>
      <c r="O1494">
        <v>1015</v>
      </c>
      <c r="P1494" t="s">
        <v>20</v>
      </c>
      <c r="Q1494">
        <v>2</v>
      </c>
      <c r="R1494" t="s">
        <v>5116</v>
      </c>
      <c r="S1494" t="s">
        <v>21</v>
      </c>
      <c r="T1494" t="s">
        <v>20</v>
      </c>
    </row>
    <row r="1495" spans="1:20" x14ac:dyDescent="0.3">
      <c r="A1495" t="s">
        <v>3105</v>
      </c>
      <c r="B1495" t="s">
        <v>229</v>
      </c>
      <c r="C1495" t="s">
        <v>166</v>
      </c>
      <c r="D1495" t="s">
        <v>167</v>
      </c>
      <c r="E1495" t="s">
        <v>126</v>
      </c>
      <c r="F1495" t="s">
        <v>127</v>
      </c>
      <c r="G1495" t="s">
        <v>36</v>
      </c>
      <c r="H1495" t="s">
        <v>5138</v>
      </c>
      <c r="I1495" t="s">
        <v>5139</v>
      </c>
      <c r="J1495">
        <v>206643</v>
      </c>
      <c r="K1495" t="s">
        <v>3106</v>
      </c>
      <c r="L1495" t="s">
        <v>134</v>
      </c>
      <c r="M1495" t="s">
        <v>39</v>
      </c>
      <c r="N1495">
        <v>45640</v>
      </c>
      <c r="O1495">
        <v>1974</v>
      </c>
      <c r="P1495" t="s">
        <v>92</v>
      </c>
      <c r="Q1495">
        <v>6</v>
      </c>
      <c r="R1495" t="s">
        <v>40</v>
      </c>
      <c r="S1495" t="s">
        <v>21</v>
      </c>
      <c r="T1495" t="s">
        <v>20</v>
      </c>
    </row>
    <row r="1496" spans="1:20" x14ac:dyDescent="0.3">
      <c r="A1496" t="s">
        <v>3107</v>
      </c>
      <c r="B1496" t="s">
        <v>89</v>
      </c>
      <c r="C1496" t="s">
        <v>188</v>
      </c>
      <c r="D1496" t="s">
        <v>118</v>
      </c>
      <c r="E1496" t="s">
        <v>58</v>
      </c>
      <c r="F1496" t="s">
        <v>59</v>
      </c>
      <c r="G1496" t="s">
        <v>16</v>
      </c>
      <c r="H1496" t="s">
        <v>5142</v>
      </c>
      <c r="I1496" t="s">
        <v>5143</v>
      </c>
      <c r="J1496">
        <v>191636</v>
      </c>
      <c r="K1496" t="s">
        <v>3108</v>
      </c>
      <c r="L1496" t="s">
        <v>38</v>
      </c>
      <c r="M1496" t="s">
        <v>72</v>
      </c>
      <c r="N1496">
        <v>45474</v>
      </c>
      <c r="O1496">
        <v>1134</v>
      </c>
      <c r="P1496" t="s">
        <v>20</v>
      </c>
      <c r="Q1496">
        <v>4</v>
      </c>
      <c r="R1496" t="s">
        <v>52</v>
      </c>
      <c r="S1496" t="s">
        <v>41</v>
      </c>
      <c r="T1496" t="s">
        <v>29</v>
      </c>
    </row>
    <row r="1497" spans="1:20" x14ac:dyDescent="0.3">
      <c r="A1497" t="s">
        <v>3109</v>
      </c>
      <c r="B1497" t="s">
        <v>63</v>
      </c>
      <c r="C1497" t="s">
        <v>151</v>
      </c>
      <c r="D1497" t="s">
        <v>104</v>
      </c>
      <c r="E1497" t="s">
        <v>69</v>
      </c>
      <c r="F1497" t="s">
        <v>70</v>
      </c>
      <c r="G1497" t="s">
        <v>16</v>
      </c>
      <c r="H1497" t="s">
        <v>5142</v>
      </c>
      <c r="I1497" t="s">
        <v>5143</v>
      </c>
      <c r="J1497">
        <v>204164</v>
      </c>
      <c r="K1497" t="s">
        <v>3110</v>
      </c>
      <c r="L1497" t="s">
        <v>142</v>
      </c>
      <c r="M1497" t="s">
        <v>46</v>
      </c>
      <c r="N1497">
        <v>45746</v>
      </c>
      <c r="O1497">
        <v>1063</v>
      </c>
      <c r="P1497" t="s">
        <v>20</v>
      </c>
      <c r="Q1497">
        <v>4</v>
      </c>
      <c r="R1497" t="s">
        <v>40</v>
      </c>
      <c r="S1497" t="s">
        <v>21</v>
      </c>
      <c r="T1497" t="s">
        <v>29</v>
      </c>
    </row>
    <row r="1498" spans="1:20" x14ac:dyDescent="0.3">
      <c r="A1498" t="s">
        <v>3111</v>
      </c>
      <c r="B1498" t="s">
        <v>229</v>
      </c>
      <c r="C1498" t="s">
        <v>85</v>
      </c>
      <c r="D1498" t="s">
        <v>5156</v>
      </c>
      <c r="E1498" t="s">
        <v>5133</v>
      </c>
      <c r="F1498" t="s">
        <v>5125</v>
      </c>
      <c r="G1498" t="s">
        <v>36</v>
      </c>
      <c r="H1498" t="s">
        <v>5136</v>
      </c>
      <c r="I1498" t="s">
        <v>5137</v>
      </c>
      <c r="J1498">
        <v>95974</v>
      </c>
      <c r="K1498" t="s">
        <v>3112</v>
      </c>
      <c r="L1498" t="s">
        <v>134</v>
      </c>
      <c r="M1498" t="s">
        <v>72</v>
      </c>
      <c r="N1498">
        <v>45515</v>
      </c>
      <c r="O1498">
        <v>2327</v>
      </c>
      <c r="P1498" t="s">
        <v>92</v>
      </c>
      <c r="Q1498">
        <v>0</v>
      </c>
      <c r="R1498" t="s">
        <v>40</v>
      </c>
      <c r="S1498" t="s">
        <v>53</v>
      </c>
      <c r="T1498" t="s">
        <v>20</v>
      </c>
    </row>
    <row r="1499" spans="1:20" x14ac:dyDescent="0.3">
      <c r="A1499" t="s">
        <v>3113</v>
      </c>
      <c r="B1499" t="s">
        <v>222</v>
      </c>
      <c r="C1499" t="s">
        <v>90</v>
      </c>
      <c r="D1499" t="s">
        <v>118</v>
      </c>
      <c r="E1499" t="s">
        <v>5126</v>
      </c>
      <c r="F1499" t="s">
        <v>5125</v>
      </c>
      <c r="G1499" t="s">
        <v>36</v>
      </c>
      <c r="H1499" t="s">
        <v>5136</v>
      </c>
      <c r="I1499" t="s">
        <v>5137</v>
      </c>
      <c r="J1499">
        <v>85225</v>
      </c>
      <c r="K1499" t="s">
        <v>3114</v>
      </c>
      <c r="L1499" t="s">
        <v>82</v>
      </c>
      <c r="M1499" t="s">
        <v>19</v>
      </c>
      <c r="N1499">
        <v>45720</v>
      </c>
      <c r="O1499">
        <v>602</v>
      </c>
      <c r="P1499" t="s">
        <v>29</v>
      </c>
      <c r="Q1499">
        <v>0</v>
      </c>
      <c r="R1499" t="s">
        <v>40</v>
      </c>
      <c r="S1499" t="s">
        <v>53</v>
      </c>
      <c r="T1499" t="s">
        <v>20</v>
      </c>
    </row>
    <row r="1500" spans="1:20" x14ac:dyDescent="0.3">
      <c r="A1500" t="s">
        <v>3115</v>
      </c>
      <c r="B1500" t="s">
        <v>99</v>
      </c>
      <c r="C1500" t="s">
        <v>103</v>
      </c>
      <c r="D1500" t="s">
        <v>68</v>
      </c>
      <c r="E1500" t="s">
        <v>209</v>
      </c>
      <c r="F1500" t="s">
        <v>210</v>
      </c>
      <c r="G1500" t="s">
        <v>16</v>
      </c>
      <c r="H1500" t="s">
        <v>5142</v>
      </c>
      <c r="I1500" t="s">
        <v>5143</v>
      </c>
      <c r="J1500">
        <v>177649</v>
      </c>
      <c r="K1500" t="s">
        <v>3116</v>
      </c>
      <c r="L1500" t="s">
        <v>179</v>
      </c>
      <c r="M1500" t="s">
        <v>72</v>
      </c>
      <c r="N1500">
        <v>45487</v>
      </c>
      <c r="O1500">
        <v>43</v>
      </c>
      <c r="P1500" t="s">
        <v>20</v>
      </c>
      <c r="Q1500">
        <v>4</v>
      </c>
      <c r="R1500" t="s">
        <v>47</v>
      </c>
      <c r="S1500" t="s">
        <v>53</v>
      </c>
      <c r="T1500" t="s">
        <v>20</v>
      </c>
    </row>
    <row r="1501" spans="1:20" x14ac:dyDescent="0.3">
      <c r="A1501" t="s">
        <v>3117</v>
      </c>
      <c r="B1501" t="s">
        <v>63</v>
      </c>
      <c r="C1501" t="s">
        <v>24</v>
      </c>
      <c r="D1501" t="s">
        <v>25</v>
      </c>
      <c r="E1501" t="s">
        <v>26</v>
      </c>
      <c r="F1501" t="s">
        <v>27</v>
      </c>
      <c r="G1501" t="s">
        <v>16</v>
      </c>
      <c r="H1501" t="s">
        <v>5142</v>
      </c>
      <c r="I1501" t="s">
        <v>5143</v>
      </c>
      <c r="J1501">
        <v>165998</v>
      </c>
      <c r="K1501" t="s">
        <v>3118</v>
      </c>
      <c r="L1501" t="s">
        <v>38</v>
      </c>
      <c r="M1501" t="s">
        <v>19</v>
      </c>
      <c r="N1501">
        <v>45415</v>
      </c>
      <c r="O1501">
        <v>1423</v>
      </c>
      <c r="P1501" t="s">
        <v>29</v>
      </c>
      <c r="Q1501">
        <v>4</v>
      </c>
      <c r="R1501" t="s">
        <v>47</v>
      </c>
      <c r="S1501" t="s">
        <v>53</v>
      </c>
      <c r="T1501" t="s">
        <v>29</v>
      </c>
    </row>
    <row r="1502" spans="1:20" x14ac:dyDescent="0.3">
      <c r="A1502" t="s">
        <v>3119</v>
      </c>
      <c r="B1502" t="s">
        <v>322</v>
      </c>
      <c r="C1502" t="s">
        <v>49</v>
      </c>
      <c r="D1502" t="s">
        <v>25</v>
      </c>
      <c r="E1502" t="s">
        <v>14</v>
      </c>
      <c r="F1502" t="s">
        <v>15</v>
      </c>
      <c r="G1502" t="s">
        <v>50</v>
      </c>
      <c r="H1502" t="s">
        <v>5138</v>
      </c>
      <c r="I1502" t="s">
        <v>5139</v>
      </c>
      <c r="J1502">
        <v>228020</v>
      </c>
      <c r="K1502" t="s">
        <v>3120</v>
      </c>
      <c r="L1502" t="s">
        <v>238</v>
      </c>
      <c r="M1502" t="s">
        <v>46</v>
      </c>
      <c r="N1502">
        <v>45714</v>
      </c>
      <c r="O1502">
        <v>448</v>
      </c>
      <c r="P1502" t="s">
        <v>20</v>
      </c>
      <c r="Q1502">
        <v>6</v>
      </c>
      <c r="R1502" t="s">
        <v>47</v>
      </c>
      <c r="S1502" t="s">
        <v>53</v>
      </c>
      <c r="T1502" t="s">
        <v>20</v>
      </c>
    </row>
    <row r="1503" spans="1:20" x14ac:dyDescent="0.3">
      <c r="A1503" t="s">
        <v>3121</v>
      </c>
      <c r="B1503" t="s">
        <v>218</v>
      </c>
      <c r="C1503" t="s">
        <v>79</v>
      </c>
      <c r="D1503" t="s">
        <v>167</v>
      </c>
      <c r="E1503" t="s">
        <v>34</v>
      </c>
      <c r="F1503" t="s">
        <v>35</v>
      </c>
      <c r="G1503" t="s">
        <v>36</v>
      </c>
      <c r="H1503" t="s">
        <v>5138</v>
      </c>
      <c r="I1503" t="s">
        <v>5139</v>
      </c>
      <c r="J1503">
        <v>180157</v>
      </c>
      <c r="K1503" t="s">
        <v>3122</v>
      </c>
      <c r="L1503" t="s">
        <v>142</v>
      </c>
      <c r="M1503" t="s">
        <v>72</v>
      </c>
      <c r="N1503">
        <v>45641</v>
      </c>
      <c r="O1503">
        <v>2291</v>
      </c>
      <c r="P1503" t="s">
        <v>29</v>
      </c>
      <c r="Q1503">
        <v>6</v>
      </c>
      <c r="R1503" t="s">
        <v>5116</v>
      </c>
      <c r="S1503" t="s">
        <v>21</v>
      </c>
      <c r="T1503" t="s">
        <v>20</v>
      </c>
    </row>
    <row r="1504" spans="1:20" x14ac:dyDescent="0.3">
      <c r="A1504" t="s">
        <v>3123</v>
      </c>
      <c r="B1504" t="s">
        <v>229</v>
      </c>
      <c r="C1504" t="s">
        <v>90</v>
      </c>
      <c r="D1504" t="s">
        <v>68</v>
      </c>
      <c r="E1504" t="s">
        <v>5128</v>
      </c>
      <c r="F1504" t="s">
        <v>5125</v>
      </c>
      <c r="G1504" t="s">
        <v>50</v>
      </c>
      <c r="H1504" t="s">
        <v>5140</v>
      </c>
      <c r="I1504" t="s">
        <v>5141</v>
      </c>
      <c r="J1504">
        <v>93799</v>
      </c>
      <c r="K1504" t="s">
        <v>3124</v>
      </c>
      <c r="L1504" t="s">
        <v>82</v>
      </c>
      <c r="M1504" t="s">
        <v>19</v>
      </c>
      <c r="N1504">
        <v>45489</v>
      </c>
      <c r="O1504">
        <v>20</v>
      </c>
      <c r="P1504" t="s">
        <v>20</v>
      </c>
      <c r="Q1504">
        <v>2</v>
      </c>
      <c r="R1504" t="s">
        <v>76</v>
      </c>
      <c r="S1504" t="s">
        <v>53</v>
      </c>
      <c r="T1504" t="s">
        <v>29</v>
      </c>
    </row>
    <row r="1505" spans="1:20" x14ac:dyDescent="0.3">
      <c r="A1505" t="s">
        <v>3125</v>
      </c>
      <c r="B1505" t="s">
        <v>89</v>
      </c>
      <c r="C1505" t="s">
        <v>32</v>
      </c>
      <c r="D1505" t="s">
        <v>25</v>
      </c>
      <c r="E1505" t="s">
        <v>5128</v>
      </c>
      <c r="F1505" t="s">
        <v>5125</v>
      </c>
      <c r="G1505" t="s">
        <v>36</v>
      </c>
      <c r="H1505" t="s">
        <v>5142</v>
      </c>
      <c r="I1505" t="s">
        <v>5143</v>
      </c>
      <c r="J1505">
        <v>149908</v>
      </c>
      <c r="K1505" t="s">
        <v>3126</v>
      </c>
      <c r="L1505" t="s">
        <v>61</v>
      </c>
      <c r="M1505" t="s">
        <v>19</v>
      </c>
      <c r="N1505">
        <v>45580</v>
      </c>
      <c r="O1505">
        <v>2484</v>
      </c>
      <c r="P1505" t="s">
        <v>20</v>
      </c>
      <c r="Q1505">
        <v>4</v>
      </c>
      <c r="R1505" t="s">
        <v>40</v>
      </c>
      <c r="S1505" t="s">
        <v>21</v>
      </c>
      <c r="T1505" t="s">
        <v>29</v>
      </c>
    </row>
    <row r="1506" spans="1:20" x14ac:dyDescent="0.3">
      <c r="A1506" t="s">
        <v>3127</v>
      </c>
      <c r="B1506" t="s">
        <v>31</v>
      </c>
      <c r="C1506" t="s">
        <v>185</v>
      </c>
      <c r="D1506" t="s">
        <v>25</v>
      </c>
      <c r="E1506" t="s">
        <v>69</v>
      </c>
      <c r="F1506" t="s">
        <v>70</v>
      </c>
      <c r="G1506" t="s">
        <v>36</v>
      </c>
      <c r="H1506" t="s">
        <v>5140</v>
      </c>
      <c r="I1506" t="s">
        <v>5141</v>
      </c>
      <c r="J1506">
        <v>106630</v>
      </c>
      <c r="K1506" t="s">
        <v>3128</v>
      </c>
      <c r="L1506" t="s">
        <v>5165</v>
      </c>
      <c r="M1506" t="s">
        <v>46</v>
      </c>
      <c r="N1506">
        <v>45681</v>
      </c>
      <c r="O1506">
        <v>1445</v>
      </c>
      <c r="P1506" t="s">
        <v>20</v>
      </c>
      <c r="Q1506">
        <v>2</v>
      </c>
      <c r="R1506" t="s">
        <v>40</v>
      </c>
      <c r="S1506" t="s">
        <v>21</v>
      </c>
      <c r="T1506" t="s">
        <v>29</v>
      </c>
    </row>
    <row r="1507" spans="1:20" x14ac:dyDescent="0.3">
      <c r="A1507" t="s">
        <v>3129</v>
      </c>
      <c r="B1507" t="s">
        <v>144</v>
      </c>
      <c r="C1507" t="s">
        <v>67</v>
      </c>
      <c r="D1507" t="s">
        <v>57</v>
      </c>
      <c r="E1507" t="s">
        <v>5124</v>
      </c>
      <c r="F1507" t="s">
        <v>5125</v>
      </c>
      <c r="G1507" t="s">
        <v>16</v>
      </c>
      <c r="H1507" t="s">
        <v>5142</v>
      </c>
      <c r="I1507" t="s">
        <v>5143</v>
      </c>
      <c r="J1507">
        <v>137762</v>
      </c>
      <c r="K1507" t="s">
        <v>3130</v>
      </c>
      <c r="L1507" t="s">
        <v>134</v>
      </c>
      <c r="M1507" t="s">
        <v>46</v>
      </c>
      <c r="N1507">
        <v>45605</v>
      </c>
      <c r="O1507">
        <v>1387</v>
      </c>
      <c r="P1507" t="s">
        <v>92</v>
      </c>
      <c r="Q1507">
        <v>4</v>
      </c>
      <c r="R1507" t="s">
        <v>76</v>
      </c>
      <c r="S1507" t="s">
        <v>21</v>
      </c>
      <c r="T1507" t="s">
        <v>29</v>
      </c>
    </row>
    <row r="1508" spans="1:20" x14ac:dyDescent="0.3">
      <c r="A1508" t="s">
        <v>3131</v>
      </c>
      <c r="B1508" t="s">
        <v>144</v>
      </c>
      <c r="C1508" t="s">
        <v>139</v>
      </c>
      <c r="D1508" t="s">
        <v>57</v>
      </c>
      <c r="E1508" t="s">
        <v>209</v>
      </c>
      <c r="F1508" t="s">
        <v>210</v>
      </c>
      <c r="G1508" t="s">
        <v>50</v>
      </c>
      <c r="H1508" t="s">
        <v>5142</v>
      </c>
      <c r="I1508" t="s">
        <v>5143</v>
      </c>
      <c r="J1508">
        <v>168802</v>
      </c>
      <c r="K1508" t="s">
        <v>3132</v>
      </c>
      <c r="L1508" t="s">
        <v>18</v>
      </c>
      <c r="M1508" t="s">
        <v>19</v>
      </c>
      <c r="N1508">
        <v>45319</v>
      </c>
      <c r="O1508">
        <v>2729</v>
      </c>
      <c r="P1508" t="s">
        <v>29</v>
      </c>
      <c r="Q1508">
        <v>4</v>
      </c>
      <c r="R1508" t="s">
        <v>5116</v>
      </c>
      <c r="S1508" t="s">
        <v>41</v>
      </c>
      <c r="T1508" t="s">
        <v>20</v>
      </c>
    </row>
    <row r="1509" spans="1:20" x14ac:dyDescent="0.3">
      <c r="A1509" t="s">
        <v>3133</v>
      </c>
      <c r="B1509" t="s">
        <v>165</v>
      </c>
      <c r="C1509" t="s">
        <v>175</v>
      </c>
      <c r="D1509" t="s">
        <v>68</v>
      </c>
      <c r="E1509" t="s">
        <v>26</v>
      </c>
      <c r="F1509" t="s">
        <v>27</v>
      </c>
      <c r="G1509" t="s">
        <v>36</v>
      </c>
      <c r="H1509" t="s">
        <v>5138</v>
      </c>
      <c r="I1509" t="s">
        <v>5139</v>
      </c>
      <c r="J1509">
        <v>234390</v>
      </c>
      <c r="K1509" t="s">
        <v>3134</v>
      </c>
      <c r="L1509" t="s">
        <v>5165</v>
      </c>
      <c r="M1509" t="s">
        <v>46</v>
      </c>
      <c r="N1509">
        <v>45606</v>
      </c>
      <c r="O1509">
        <v>1453</v>
      </c>
      <c r="P1509" t="s">
        <v>92</v>
      </c>
      <c r="Q1509">
        <v>6</v>
      </c>
      <c r="R1509" t="s">
        <v>52</v>
      </c>
      <c r="S1509" t="s">
        <v>41</v>
      </c>
      <c r="T1509" t="s">
        <v>29</v>
      </c>
    </row>
    <row r="1510" spans="1:20" x14ac:dyDescent="0.3">
      <c r="A1510" t="s">
        <v>3135</v>
      </c>
      <c r="B1510" t="s">
        <v>31</v>
      </c>
      <c r="C1510" t="s">
        <v>188</v>
      </c>
      <c r="D1510" t="s">
        <v>167</v>
      </c>
      <c r="E1510" t="s">
        <v>26</v>
      </c>
      <c r="F1510" t="s">
        <v>27</v>
      </c>
      <c r="G1510" t="s">
        <v>16</v>
      </c>
      <c r="H1510" t="s">
        <v>5136</v>
      </c>
      <c r="I1510" t="s">
        <v>5137</v>
      </c>
      <c r="J1510">
        <v>71113</v>
      </c>
      <c r="K1510" t="s">
        <v>3136</v>
      </c>
      <c r="L1510" t="s">
        <v>238</v>
      </c>
      <c r="M1510" t="s">
        <v>19</v>
      </c>
      <c r="N1510">
        <v>45623</v>
      </c>
      <c r="O1510">
        <v>2207</v>
      </c>
      <c r="P1510" t="s">
        <v>20</v>
      </c>
      <c r="Q1510">
        <v>0</v>
      </c>
      <c r="R1510" t="s">
        <v>40</v>
      </c>
      <c r="S1510" t="s">
        <v>21</v>
      </c>
      <c r="T1510" t="s">
        <v>29</v>
      </c>
    </row>
    <row r="1511" spans="1:20" x14ac:dyDescent="0.3">
      <c r="A1511" t="s">
        <v>3137</v>
      </c>
      <c r="B1511" t="s">
        <v>136</v>
      </c>
      <c r="C1511" t="s">
        <v>64</v>
      </c>
      <c r="D1511" t="s">
        <v>25</v>
      </c>
      <c r="E1511" t="s">
        <v>152</v>
      </c>
      <c r="F1511" t="s">
        <v>153</v>
      </c>
      <c r="G1511" t="s">
        <v>36</v>
      </c>
      <c r="H1511" t="s">
        <v>5142</v>
      </c>
      <c r="I1511" t="s">
        <v>5143</v>
      </c>
      <c r="J1511">
        <v>189893</v>
      </c>
      <c r="K1511" t="s">
        <v>3138</v>
      </c>
      <c r="L1511" t="s">
        <v>87</v>
      </c>
      <c r="M1511" t="s">
        <v>46</v>
      </c>
      <c r="N1511">
        <v>45446</v>
      </c>
      <c r="O1511">
        <v>3191</v>
      </c>
      <c r="P1511" t="s">
        <v>29</v>
      </c>
      <c r="Q1511">
        <v>4</v>
      </c>
      <c r="R1511" t="s">
        <v>47</v>
      </c>
      <c r="S1511" t="s">
        <v>21</v>
      </c>
      <c r="T1511" t="s">
        <v>20</v>
      </c>
    </row>
    <row r="1512" spans="1:20" x14ac:dyDescent="0.3">
      <c r="A1512" t="s">
        <v>3139</v>
      </c>
      <c r="B1512" t="s">
        <v>74</v>
      </c>
      <c r="C1512" t="s">
        <v>90</v>
      </c>
      <c r="D1512" t="s">
        <v>44</v>
      </c>
      <c r="E1512" t="s">
        <v>5132</v>
      </c>
      <c r="F1512" t="s">
        <v>5125</v>
      </c>
      <c r="G1512" t="s">
        <v>16</v>
      </c>
      <c r="H1512" t="s">
        <v>5138</v>
      </c>
      <c r="I1512" t="s">
        <v>5139</v>
      </c>
      <c r="J1512">
        <v>158899</v>
      </c>
      <c r="K1512" t="s">
        <v>3140</v>
      </c>
      <c r="L1512" t="s">
        <v>82</v>
      </c>
      <c r="M1512" t="s">
        <v>19</v>
      </c>
      <c r="N1512">
        <v>45530</v>
      </c>
      <c r="O1512">
        <v>2752</v>
      </c>
      <c r="P1512" t="s">
        <v>20</v>
      </c>
      <c r="Q1512">
        <v>6</v>
      </c>
      <c r="R1512" t="s">
        <v>47</v>
      </c>
      <c r="S1512" t="s">
        <v>41</v>
      </c>
      <c r="T1512" t="s">
        <v>29</v>
      </c>
    </row>
    <row r="1513" spans="1:20" x14ac:dyDescent="0.3">
      <c r="A1513" t="s">
        <v>3141</v>
      </c>
      <c r="B1513" t="s">
        <v>218</v>
      </c>
      <c r="C1513" t="s">
        <v>117</v>
      </c>
      <c r="D1513" t="s">
        <v>33</v>
      </c>
      <c r="E1513" t="s">
        <v>193</v>
      </c>
      <c r="F1513" t="s">
        <v>194</v>
      </c>
      <c r="G1513" t="s">
        <v>16</v>
      </c>
      <c r="H1513" t="s">
        <v>5142</v>
      </c>
      <c r="I1513" t="s">
        <v>5143</v>
      </c>
      <c r="J1513">
        <v>144771</v>
      </c>
      <c r="K1513" t="s">
        <v>3142</v>
      </c>
      <c r="L1513" t="s">
        <v>82</v>
      </c>
      <c r="M1513" t="s">
        <v>46</v>
      </c>
      <c r="N1513">
        <v>45313</v>
      </c>
      <c r="O1513">
        <v>422</v>
      </c>
      <c r="P1513" t="s">
        <v>29</v>
      </c>
      <c r="Q1513">
        <v>4</v>
      </c>
      <c r="R1513" t="s">
        <v>52</v>
      </c>
      <c r="S1513" t="s">
        <v>21</v>
      </c>
      <c r="T1513" t="s">
        <v>20</v>
      </c>
    </row>
    <row r="1514" spans="1:20" x14ac:dyDescent="0.3">
      <c r="A1514" t="s">
        <v>3143</v>
      </c>
      <c r="B1514" t="s">
        <v>222</v>
      </c>
      <c r="C1514" t="s">
        <v>175</v>
      </c>
      <c r="D1514" t="s">
        <v>104</v>
      </c>
      <c r="E1514" t="s">
        <v>34</v>
      </c>
      <c r="F1514" t="s">
        <v>35</v>
      </c>
      <c r="G1514" t="s">
        <v>36</v>
      </c>
      <c r="H1514" t="s">
        <v>5136</v>
      </c>
      <c r="I1514" t="s">
        <v>5137</v>
      </c>
      <c r="J1514">
        <v>60968</v>
      </c>
      <c r="K1514" t="s">
        <v>3144</v>
      </c>
      <c r="L1514" t="s">
        <v>134</v>
      </c>
      <c r="M1514" t="s">
        <v>19</v>
      </c>
      <c r="N1514">
        <v>45488</v>
      </c>
      <c r="O1514">
        <v>1290</v>
      </c>
      <c r="P1514" t="s">
        <v>20</v>
      </c>
      <c r="Q1514">
        <v>0</v>
      </c>
      <c r="R1514" t="s">
        <v>5116</v>
      </c>
      <c r="S1514" t="s">
        <v>21</v>
      </c>
      <c r="T1514" t="s">
        <v>20</v>
      </c>
    </row>
    <row r="1515" spans="1:20" x14ac:dyDescent="0.3">
      <c r="A1515" t="s">
        <v>3145</v>
      </c>
      <c r="B1515" t="s">
        <v>12</v>
      </c>
      <c r="C1515" t="s">
        <v>151</v>
      </c>
      <c r="D1515" t="s">
        <v>140</v>
      </c>
      <c r="E1515" t="s">
        <v>193</v>
      </c>
      <c r="F1515" t="s">
        <v>194</v>
      </c>
      <c r="G1515" t="s">
        <v>50</v>
      </c>
      <c r="H1515" t="s">
        <v>5142</v>
      </c>
      <c r="I1515" t="s">
        <v>5143</v>
      </c>
      <c r="J1515">
        <v>99603</v>
      </c>
      <c r="K1515" t="s">
        <v>3146</v>
      </c>
      <c r="L1515" t="s">
        <v>238</v>
      </c>
      <c r="M1515" t="s">
        <v>46</v>
      </c>
      <c r="N1515">
        <v>45413</v>
      </c>
      <c r="O1515">
        <v>1517</v>
      </c>
      <c r="P1515" t="s">
        <v>92</v>
      </c>
      <c r="Q1515">
        <v>4</v>
      </c>
      <c r="R1515" t="s">
        <v>40</v>
      </c>
      <c r="S1515" t="s">
        <v>53</v>
      </c>
      <c r="T1515" t="s">
        <v>20</v>
      </c>
    </row>
    <row r="1516" spans="1:20" x14ac:dyDescent="0.3">
      <c r="A1516" t="s">
        <v>3147</v>
      </c>
      <c r="B1516" t="s">
        <v>222</v>
      </c>
      <c r="C1516" t="s">
        <v>109</v>
      </c>
      <c r="D1516" t="s">
        <v>44</v>
      </c>
      <c r="E1516" t="s">
        <v>5127</v>
      </c>
      <c r="F1516" t="s">
        <v>5125</v>
      </c>
      <c r="G1516" t="s">
        <v>36</v>
      </c>
      <c r="H1516" t="s">
        <v>5138</v>
      </c>
      <c r="I1516" t="s">
        <v>5139</v>
      </c>
      <c r="J1516">
        <v>197023</v>
      </c>
      <c r="K1516" t="s">
        <v>3148</v>
      </c>
      <c r="L1516" t="s">
        <v>5165</v>
      </c>
      <c r="M1516" t="s">
        <v>39</v>
      </c>
      <c r="N1516">
        <v>45360</v>
      </c>
      <c r="O1516">
        <v>314</v>
      </c>
      <c r="P1516" t="s">
        <v>20</v>
      </c>
      <c r="Q1516">
        <v>6</v>
      </c>
      <c r="R1516" t="s">
        <v>5116</v>
      </c>
      <c r="S1516" t="s">
        <v>21</v>
      </c>
      <c r="T1516" t="s">
        <v>20</v>
      </c>
    </row>
    <row r="1517" spans="1:20" x14ac:dyDescent="0.3">
      <c r="A1517" t="s">
        <v>3149</v>
      </c>
      <c r="B1517" t="s">
        <v>74</v>
      </c>
      <c r="C1517" t="s">
        <v>24</v>
      </c>
      <c r="D1517" t="s">
        <v>57</v>
      </c>
      <c r="E1517" t="s">
        <v>152</v>
      </c>
      <c r="F1517" t="s">
        <v>153</v>
      </c>
      <c r="G1517" t="s">
        <v>36</v>
      </c>
      <c r="H1517" t="s">
        <v>5140</v>
      </c>
      <c r="I1517" t="s">
        <v>5141</v>
      </c>
      <c r="J1517">
        <v>107589</v>
      </c>
      <c r="K1517" t="s">
        <v>3150</v>
      </c>
      <c r="L1517" t="s">
        <v>5165</v>
      </c>
      <c r="M1517" t="s">
        <v>39</v>
      </c>
      <c r="N1517">
        <v>45606</v>
      </c>
      <c r="O1517">
        <v>1818</v>
      </c>
      <c r="P1517" t="s">
        <v>20</v>
      </c>
      <c r="Q1517">
        <v>2</v>
      </c>
      <c r="R1517" t="s">
        <v>5116</v>
      </c>
      <c r="S1517" t="s">
        <v>41</v>
      </c>
      <c r="T1517" t="s">
        <v>29</v>
      </c>
    </row>
    <row r="1518" spans="1:20" x14ac:dyDescent="0.3">
      <c r="A1518" t="s">
        <v>3151</v>
      </c>
      <c r="B1518" t="s">
        <v>144</v>
      </c>
      <c r="C1518" t="s">
        <v>67</v>
      </c>
      <c r="D1518" t="s">
        <v>118</v>
      </c>
      <c r="E1518" t="s">
        <v>5132</v>
      </c>
      <c r="F1518" t="s">
        <v>5125</v>
      </c>
      <c r="G1518" t="s">
        <v>36</v>
      </c>
      <c r="H1518" t="s">
        <v>5140</v>
      </c>
      <c r="I1518" t="s">
        <v>5141</v>
      </c>
      <c r="J1518">
        <v>139966</v>
      </c>
      <c r="K1518" t="s">
        <v>3152</v>
      </c>
      <c r="L1518" t="s">
        <v>38</v>
      </c>
      <c r="M1518" t="s">
        <v>46</v>
      </c>
      <c r="N1518">
        <v>45525</v>
      </c>
      <c r="O1518">
        <v>2113</v>
      </c>
      <c r="P1518" t="s">
        <v>29</v>
      </c>
      <c r="Q1518">
        <v>2</v>
      </c>
      <c r="R1518" t="s">
        <v>40</v>
      </c>
      <c r="S1518" t="s">
        <v>21</v>
      </c>
      <c r="T1518" t="s">
        <v>20</v>
      </c>
    </row>
    <row r="1519" spans="1:20" x14ac:dyDescent="0.3">
      <c r="A1519" t="s">
        <v>3153</v>
      </c>
      <c r="B1519" t="s">
        <v>322</v>
      </c>
      <c r="C1519" t="s">
        <v>56</v>
      </c>
      <c r="D1519" t="s">
        <v>140</v>
      </c>
      <c r="E1519" t="s">
        <v>152</v>
      </c>
      <c r="F1519" t="s">
        <v>153</v>
      </c>
      <c r="G1519" t="s">
        <v>50</v>
      </c>
      <c r="H1519" t="s">
        <v>5140</v>
      </c>
      <c r="I1519" t="s">
        <v>5141</v>
      </c>
      <c r="J1519">
        <v>122490</v>
      </c>
      <c r="K1519" t="s">
        <v>3154</v>
      </c>
      <c r="L1519" t="s">
        <v>5165</v>
      </c>
      <c r="M1519" t="s">
        <v>46</v>
      </c>
      <c r="N1519">
        <v>45427</v>
      </c>
      <c r="O1519">
        <v>372</v>
      </c>
      <c r="P1519" t="s">
        <v>20</v>
      </c>
      <c r="Q1519">
        <v>2</v>
      </c>
      <c r="R1519" t="s">
        <v>47</v>
      </c>
      <c r="S1519" t="s">
        <v>41</v>
      </c>
      <c r="T1519" t="s">
        <v>20</v>
      </c>
    </row>
    <row r="1520" spans="1:20" x14ac:dyDescent="0.3">
      <c r="A1520" t="s">
        <v>3155</v>
      </c>
      <c r="B1520" t="s">
        <v>215</v>
      </c>
      <c r="C1520" t="s">
        <v>32</v>
      </c>
      <c r="D1520" t="s">
        <v>57</v>
      </c>
      <c r="E1520" t="s">
        <v>14</v>
      </c>
      <c r="F1520" t="s">
        <v>15</v>
      </c>
      <c r="G1520" t="s">
        <v>36</v>
      </c>
      <c r="H1520" t="s">
        <v>5136</v>
      </c>
      <c r="I1520" t="s">
        <v>5137</v>
      </c>
      <c r="J1520">
        <v>57095</v>
      </c>
      <c r="K1520" t="s">
        <v>3156</v>
      </c>
      <c r="L1520" t="s">
        <v>5165</v>
      </c>
      <c r="M1520" t="s">
        <v>39</v>
      </c>
      <c r="N1520">
        <v>45377</v>
      </c>
      <c r="O1520">
        <v>3462</v>
      </c>
      <c r="P1520" t="s">
        <v>20</v>
      </c>
      <c r="Q1520">
        <v>0</v>
      </c>
      <c r="R1520" t="s">
        <v>76</v>
      </c>
      <c r="S1520" t="s">
        <v>53</v>
      </c>
      <c r="T1520" t="s">
        <v>29</v>
      </c>
    </row>
    <row r="1521" spans="1:20" x14ac:dyDescent="0.3">
      <c r="A1521" t="s">
        <v>3157</v>
      </c>
      <c r="B1521" t="s">
        <v>229</v>
      </c>
      <c r="C1521" t="s">
        <v>166</v>
      </c>
      <c r="D1521" t="s">
        <v>25</v>
      </c>
      <c r="E1521" t="s">
        <v>14</v>
      </c>
      <c r="F1521" t="s">
        <v>15</v>
      </c>
      <c r="G1521" t="s">
        <v>36</v>
      </c>
      <c r="H1521" t="s">
        <v>5138</v>
      </c>
      <c r="I1521" t="s">
        <v>5139</v>
      </c>
      <c r="J1521">
        <v>266747</v>
      </c>
      <c r="K1521" t="s">
        <v>3158</v>
      </c>
      <c r="L1521" t="s">
        <v>5165</v>
      </c>
      <c r="M1521" t="s">
        <v>72</v>
      </c>
      <c r="N1521">
        <v>45431</v>
      </c>
      <c r="O1521">
        <v>2143</v>
      </c>
      <c r="P1521" t="s">
        <v>29</v>
      </c>
      <c r="Q1521">
        <v>6</v>
      </c>
      <c r="R1521" t="s">
        <v>76</v>
      </c>
      <c r="S1521" t="s">
        <v>21</v>
      </c>
      <c r="T1521" t="s">
        <v>20</v>
      </c>
    </row>
    <row r="1522" spans="1:20" x14ac:dyDescent="0.3">
      <c r="A1522" t="s">
        <v>3159</v>
      </c>
      <c r="B1522" t="s">
        <v>229</v>
      </c>
      <c r="C1522" t="s">
        <v>67</v>
      </c>
      <c r="D1522" t="s">
        <v>68</v>
      </c>
      <c r="E1522" t="s">
        <v>80</v>
      </c>
      <c r="F1522" t="s">
        <v>80</v>
      </c>
      <c r="G1522" t="s">
        <v>16</v>
      </c>
      <c r="H1522" t="s">
        <v>5136</v>
      </c>
      <c r="I1522" t="s">
        <v>5137</v>
      </c>
      <c r="J1522">
        <v>85385</v>
      </c>
      <c r="K1522" t="s">
        <v>3160</v>
      </c>
      <c r="L1522" t="s">
        <v>238</v>
      </c>
      <c r="M1522" t="s">
        <v>19</v>
      </c>
      <c r="N1522">
        <v>45522</v>
      </c>
      <c r="O1522">
        <v>1830</v>
      </c>
      <c r="P1522" t="s">
        <v>20</v>
      </c>
      <c r="Q1522">
        <v>0</v>
      </c>
      <c r="R1522" t="s">
        <v>52</v>
      </c>
      <c r="S1522" t="s">
        <v>21</v>
      </c>
      <c r="T1522" t="s">
        <v>20</v>
      </c>
    </row>
    <row r="1523" spans="1:20" x14ac:dyDescent="0.3">
      <c r="A1523" t="s">
        <v>3161</v>
      </c>
      <c r="B1523" t="s">
        <v>23</v>
      </c>
      <c r="C1523" t="s">
        <v>85</v>
      </c>
      <c r="D1523" t="s">
        <v>33</v>
      </c>
      <c r="E1523" t="s">
        <v>152</v>
      </c>
      <c r="F1523" t="s">
        <v>153</v>
      </c>
      <c r="G1523" t="s">
        <v>50</v>
      </c>
      <c r="H1523" t="s">
        <v>5142</v>
      </c>
      <c r="I1523" t="s">
        <v>5143</v>
      </c>
      <c r="J1523">
        <v>165716</v>
      </c>
      <c r="K1523" t="s">
        <v>3162</v>
      </c>
      <c r="L1523" t="s">
        <v>5165</v>
      </c>
      <c r="M1523" t="s">
        <v>19</v>
      </c>
      <c r="N1523">
        <v>45425</v>
      </c>
      <c r="O1523">
        <v>254</v>
      </c>
      <c r="P1523" t="s">
        <v>92</v>
      </c>
      <c r="Q1523">
        <v>4</v>
      </c>
      <c r="R1523" t="s">
        <v>5116</v>
      </c>
      <c r="S1523" t="s">
        <v>21</v>
      </c>
      <c r="T1523" t="s">
        <v>29</v>
      </c>
    </row>
    <row r="1524" spans="1:20" x14ac:dyDescent="0.3">
      <c r="A1524" t="s">
        <v>3163</v>
      </c>
      <c r="B1524" t="s">
        <v>99</v>
      </c>
      <c r="C1524" t="s">
        <v>117</v>
      </c>
      <c r="D1524" t="s">
        <v>140</v>
      </c>
      <c r="E1524" t="s">
        <v>5132</v>
      </c>
      <c r="F1524" t="s">
        <v>5125</v>
      </c>
      <c r="G1524" t="s">
        <v>16</v>
      </c>
      <c r="H1524" t="s">
        <v>5138</v>
      </c>
      <c r="I1524" t="s">
        <v>5139</v>
      </c>
      <c r="J1524">
        <v>191846</v>
      </c>
      <c r="K1524" t="s">
        <v>3164</v>
      </c>
      <c r="L1524" t="s">
        <v>18</v>
      </c>
      <c r="M1524" t="s">
        <v>46</v>
      </c>
      <c r="N1524">
        <v>45552</v>
      </c>
      <c r="O1524">
        <v>1793</v>
      </c>
      <c r="P1524" t="s">
        <v>29</v>
      </c>
      <c r="Q1524">
        <v>6</v>
      </c>
      <c r="R1524" t="s">
        <v>76</v>
      </c>
      <c r="S1524" t="s">
        <v>21</v>
      </c>
      <c r="T1524" t="s">
        <v>20</v>
      </c>
    </row>
    <row r="1525" spans="1:20" x14ac:dyDescent="0.3">
      <c r="A1525" t="s">
        <v>3165</v>
      </c>
      <c r="B1525" t="s">
        <v>55</v>
      </c>
      <c r="C1525" t="s">
        <v>185</v>
      </c>
      <c r="D1525" t="s">
        <v>118</v>
      </c>
      <c r="E1525" t="s">
        <v>5132</v>
      </c>
      <c r="F1525" t="s">
        <v>5125</v>
      </c>
      <c r="G1525" t="s">
        <v>36</v>
      </c>
      <c r="H1525" t="s">
        <v>5142</v>
      </c>
      <c r="I1525" t="s">
        <v>5143</v>
      </c>
      <c r="J1525">
        <v>124095</v>
      </c>
      <c r="K1525" t="s">
        <v>3166</v>
      </c>
      <c r="L1525" t="s">
        <v>5165</v>
      </c>
      <c r="M1525" t="s">
        <v>19</v>
      </c>
      <c r="N1525">
        <v>45626</v>
      </c>
      <c r="O1525">
        <v>3473</v>
      </c>
      <c r="P1525" t="s">
        <v>20</v>
      </c>
      <c r="Q1525">
        <v>4</v>
      </c>
      <c r="R1525" t="s">
        <v>76</v>
      </c>
      <c r="S1525" t="s">
        <v>21</v>
      </c>
      <c r="T1525" t="s">
        <v>29</v>
      </c>
    </row>
    <row r="1526" spans="1:20" x14ac:dyDescent="0.3">
      <c r="A1526" t="s">
        <v>3167</v>
      </c>
      <c r="B1526" t="s">
        <v>124</v>
      </c>
      <c r="C1526" t="s">
        <v>166</v>
      </c>
      <c r="D1526" t="s">
        <v>104</v>
      </c>
      <c r="E1526" t="s">
        <v>193</v>
      </c>
      <c r="F1526" t="s">
        <v>194</v>
      </c>
      <c r="G1526" t="s">
        <v>16</v>
      </c>
      <c r="H1526" t="s">
        <v>5138</v>
      </c>
      <c r="I1526" t="s">
        <v>5139</v>
      </c>
      <c r="J1526">
        <v>186600</v>
      </c>
      <c r="K1526" t="s">
        <v>3168</v>
      </c>
      <c r="L1526" t="s">
        <v>134</v>
      </c>
      <c r="M1526" t="s">
        <v>46</v>
      </c>
      <c r="N1526">
        <v>45407</v>
      </c>
      <c r="O1526">
        <v>457</v>
      </c>
      <c r="P1526" t="s">
        <v>20</v>
      </c>
      <c r="Q1526">
        <v>6</v>
      </c>
      <c r="R1526" t="s">
        <v>5116</v>
      </c>
      <c r="S1526" t="s">
        <v>21</v>
      </c>
      <c r="T1526" t="s">
        <v>29</v>
      </c>
    </row>
    <row r="1527" spans="1:20" x14ac:dyDescent="0.3">
      <c r="A1527" t="s">
        <v>3169</v>
      </c>
      <c r="B1527" t="s">
        <v>84</v>
      </c>
      <c r="C1527" t="s">
        <v>202</v>
      </c>
      <c r="D1527" t="s">
        <v>167</v>
      </c>
      <c r="E1527" t="s">
        <v>5126</v>
      </c>
      <c r="F1527" t="s">
        <v>5125</v>
      </c>
      <c r="G1527" t="s">
        <v>36</v>
      </c>
      <c r="H1527" t="s">
        <v>5136</v>
      </c>
      <c r="I1527" t="s">
        <v>5137</v>
      </c>
      <c r="J1527">
        <v>83718</v>
      </c>
      <c r="K1527" t="s">
        <v>3170</v>
      </c>
      <c r="L1527" t="s">
        <v>113</v>
      </c>
      <c r="M1527" t="s">
        <v>39</v>
      </c>
      <c r="N1527">
        <v>45420</v>
      </c>
      <c r="O1527">
        <v>2898</v>
      </c>
      <c r="P1527" t="s">
        <v>92</v>
      </c>
      <c r="Q1527">
        <v>0</v>
      </c>
      <c r="R1527" t="s">
        <v>52</v>
      </c>
      <c r="S1527" t="s">
        <v>21</v>
      </c>
      <c r="T1527" t="s">
        <v>29</v>
      </c>
    </row>
    <row r="1528" spans="1:20" x14ac:dyDescent="0.3">
      <c r="A1528" t="s">
        <v>3171</v>
      </c>
      <c r="B1528" t="s">
        <v>63</v>
      </c>
      <c r="C1528" t="s">
        <v>94</v>
      </c>
      <c r="D1528" t="s">
        <v>167</v>
      </c>
      <c r="E1528" t="s">
        <v>126</v>
      </c>
      <c r="F1528" t="s">
        <v>127</v>
      </c>
      <c r="G1528" t="s">
        <v>36</v>
      </c>
      <c r="H1528" t="s">
        <v>5142</v>
      </c>
      <c r="I1528" t="s">
        <v>5143</v>
      </c>
      <c r="J1528">
        <v>200883</v>
      </c>
      <c r="K1528" t="s">
        <v>3172</v>
      </c>
      <c r="L1528" t="s">
        <v>61</v>
      </c>
      <c r="M1528" t="s">
        <v>72</v>
      </c>
      <c r="N1528">
        <v>45388</v>
      </c>
      <c r="O1528">
        <v>2460</v>
      </c>
      <c r="P1528" t="s">
        <v>29</v>
      </c>
      <c r="Q1528">
        <v>4</v>
      </c>
      <c r="R1528" t="s">
        <v>52</v>
      </c>
      <c r="S1528" t="s">
        <v>53</v>
      </c>
      <c r="T1528" t="s">
        <v>20</v>
      </c>
    </row>
    <row r="1529" spans="1:20" x14ac:dyDescent="0.3">
      <c r="A1529" t="s">
        <v>3173</v>
      </c>
      <c r="B1529" t="s">
        <v>229</v>
      </c>
      <c r="C1529" t="s">
        <v>117</v>
      </c>
      <c r="D1529" t="s">
        <v>68</v>
      </c>
      <c r="E1529" t="s">
        <v>5126</v>
      </c>
      <c r="F1529" t="s">
        <v>5125</v>
      </c>
      <c r="G1529" t="s">
        <v>36</v>
      </c>
      <c r="H1529" t="s">
        <v>5140</v>
      </c>
      <c r="I1529" t="s">
        <v>5141</v>
      </c>
      <c r="J1529">
        <v>140556</v>
      </c>
      <c r="K1529" t="s">
        <v>3174</v>
      </c>
      <c r="L1529" t="s">
        <v>5165</v>
      </c>
      <c r="M1529" t="s">
        <v>39</v>
      </c>
      <c r="N1529">
        <v>45363</v>
      </c>
      <c r="O1529">
        <v>1512</v>
      </c>
      <c r="P1529" t="s">
        <v>20</v>
      </c>
      <c r="Q1529">
        <v>2</v>
      </c>
      <c r="R1529" t="s">
        <v>76</v>
      </c>
      <c r="S1529" t="s">
        <v>21</v>
      </c>
      <c r="T1529" t="s">
        <v>20</v>
      </c>
    </row>
    <row r="1530" spans="1:20" x14ac:dyDescent="0.3">
      <c r="A1530" t="s">
        <v>3175</v>
      </c>
      <c r="B1530" t="s">
        <v>78</v>
      </c>
      <c r="C1530" t="s">
        <v>13</v>
      </c>
      <c r="D1530" t="s">
        <v>167</v>
      </c>
      <c r="E1530" t="s">
        <v>80</v>
      </c>
      <c r="F1530" t="s">
        <v>80</v>
      </c>
      <c r="G1530" t="s">
        <v>36</v>
      </c>
      <c r="H1530" t="s">
        <v>5140</v>
      </c>
      <c r="I1530" t="s">
        <v>5141</v>
      </c>
      <c r="J1530">
        <v>100320</v>
      </c>
      <c r="K1530" t="s">
        <v>3176</v>
      </c>
      <c r="L1530" t="s">
        <v>179</v>
      </c>
      <c r="M1530" t="s">
        <v>46</v>
      </c>
      <c r="N1530">
        <v>45480</v>
      </c>
      <c r="O1530">
        <v>3496</v>
      </c>
      <c r="P1530" t="s">
        <v>29</v>
      </c>
      <c r="Q1530">
        <v>2</v>
      </c>
      <c r="R1530" t="s">
        <v>40</v>
      </c>
      <c r="S1530" t="s">
        <v>21</v>
      </c>
      <c r="T1530" t="s">
        <v>29</v>
      </c>
    </row>
    <row r="1531" spans="1:20" x14ac:dyDescent="0.3">
      <c r="A1531" t="s">
        <v>3177</v>
      </c>
      <c r="B1531" t="s">
        <v>136</v>
      </c>
      <c r="C1531" t="s">
        <v>64</v>
      </c>
      <c r="D1531" t="s">
        <v>44</v>
      </c>
      <c r="E1531" t="s">
        <v>5133</v>
      </c>
      <c r="F1531" t="s">
        <v>5125</v>
      </c>
      <c r="G1531" t="s">
        <v>16</v>
      </c>
      <c r="H1531" t="s">
        <v>5140</v>
      </c>
      <c r="I1531" t="s">
        <v>5141</v>
      </c>
      <c r="J1531">
        <v>87831</v>
      </c>
      <c r="K1531" t="s">
        <v>3178</v>
      </c>
      <c r="L1531" t="s">
        <v>5165</v>
      </c>
      <c r="M1531" t="s">
        <v>19</v>
      </c>
      <c r="N1531">
        <v>45740</v>
      </c>
      <c r="O1531">
        <v>785</v>
      </c>
      <c r="P1531" t="s">
        <v>29</v>
      </c>
      <c r="Q1531">
        <v>2</v>
      </c>
      <c r="R1531" t="s">
        <v>40</v>
      </c>
      <c r="S1531" t="s">
        <v>21</v>
      </c>
      <c r="T1531" t="s">
        <v>20</v>
      </c>
    </row>
    <row r="1532" spans="1:20" x14ac:dyDescent="0.3">
      <c r="A1532" t="s">
        <v>3179</v>
      </c>
      <c r="B1532" t="s">
        <v>136</v>
      </c>
      <c r="C1532" t="s">
        <v>103</v>
      </c>
      <c r="D1532" t="s">
        <v>57</v>
      </c>
      <c r="E1532" t="s">
        <v>193</v>
      </c>
      <c r="F1532" t="s">
        <v>194</v>
      </c>
      <c r="G1532" t="s">
        <v>36</v>
      </c>
      <c r="H1532" t="s">
        <v>5138</v>
      </c>
      <c r="I1532" t="s">
        <v>5139</v>
      </c>
      <c r="J1532">
        <v>205071</v>
      </c>
      <c r="K1532" t="s">
        <v>3180</v>
      </c>
      <c r="L1532" t="s">
        <v>82</v>
      </c>
      <c r="M1532" t="s">
        <v>46</v>
      </c>
      <c r="N1532">
        <v>45404</v>
      </c>
      <c r="O1532">
        <v>143</v>
      </c>
      <c r="P1532" t="s">
        <v>20</v>
      </c>
      <c r="Q1532">
        <v>6</v>
      </c>
      <c r="R1532" t="s">
        <v>76</v>
      </c>
      <c r="S1532" t="s">
        <v>21</v>
      </c>
      <c r="T1532" t="s">
        <v>29</v>
      </c>
    </row>
    <row r="1533" spans="1:20" x14ac:dyDescent="0.3">
      <c r="A1533" t="s">
        <v>3181</v>
      </c>
      <c r="B1533" t="s">
        <v>136</v>
      </c>
      <c r="C1533" t="s">
        <v>64</v>
      </c>
      <c r="D1533" t="s">
        <v>68</v>
      </c>
      <c r="E1533" t="s">
        <v>5128</v>
      </c>
      <c r="F1533" t="s">
        <v>5125</v>
      </c>
      <c r="G1533" t="s">
        <v>16</v>
      </c>
      <c r="H1533" t="s">
        <v>5142</v>
      </c>
      <c r="I1533" t="s">
        <v>5143</v>
      </c>
      <c r="J1533">
        <v>102252</v>
      </c>
      <c r="K1533" t="s">
        <v>3182</v>
      </c>
      <c r="L1533" t="s">
        <v>5165</v>
      </c>
      <c r="M1533" t="s">
        <v>46</v>
      </c>
      <c r="N1533">
        <v>45649</v>
      </c>
      <c r="O1533">
        <v>989</v>
      </c>
      <c r="P1533" t="s">
        <v>20</v>
      </c>
      <c r="Q1533">
        <v>4</v>
      </c>
      <c r="R1533" t="s">
        <v>76</v>
      </c>
      <c r="S1533" t="s">
        <v>21</v>
      </c>
      <c r="T1533" t="s">
        <v>20</v>
      </c>
    </row>
    <row r="1534" spans="1:20" x14ac:dyDescent="0.3">
      <c r="A1534" t="s">
        <v>3183</v>
      </c>
      <c r="B1534" t="s">
        <v>165</v>
      </c>
      <c r="C1534" t="s">
        <v>151</v>
      </c>
      <c r="D1534" t="s">
        <v>57</v>
      </c>
      <c r="E1534" t="s">
        <v>34</v>
      </c>
      <c r="F1534" t="s">
        <v>35</v>
      </c>
      <c r="G1534" t="s">
        <v>36</v>
      </c>
      <c r="H1534" t="s">
        <v>5138</v>
      </c>
      <c r="I1534" t="s">
        <v>5139</v>
      </c>
      <c r="J1534">
        <v>211634</v>
      </c>
      <c r="K1534" t="s">
        <v>3184</v>
      </c>
      <c r="L1534" t="s">
        <v>18</v>
      </c>
      <c r="M1534" t="s">
        <v>46</v>
      </c>
      <c r="N1534">
        <v>45633</v>
      </c>
      <c r="O1534">
        <v>3461</v>
      </c>
      <c r="P1534" t="s">
        <v>29</v>
      </c>
      <c r="Q1534">
        <v>6</v>
      </c>
      <c r="R1534" t="s">
        <v>52</v>
      </c>
      <c r="S1534" t="s">
        <v>53</v>
      </c>
      <c r="T1534" t="s">
        <v>29</v>
      </c>
    </row>
    <row r="1535" spans="1:20" x14ac:dyDescent="0.3">
      <c r="A1535" t="s">
        <v>3185</v>
      </c>
      <c r="B1535" t="s">
        <v>84</v>
      </c>
      <c r="C1535" t="s">
        <v>172</v>
      </c>
      <c r="D1535" t="s">
        <v>68</v>
      </c>
      <c r="E1535" t="s">
        <v>14</v>
      </c>
      <c r="F1535" t="s">
        <v>15</v>
      </c>
      <c r="G1535" t="s">
        <v>36</v>
      </c>
      <c r="H1535" t="s">
        <v>5140</v>
      </c>
      <c r="I1535" t="s">
        <v>5141</v>
      </c>
      <c r="J1535">
        <v>107077</v>
      </c>
      <c r="K1535" t="s">
        <v>3186</v>
      </c>
      <c r="L1535" t="s">
        <v>5165</v>
      </c>
      <c r="M1535" t="s">
        <v>19</v>
      </c>
      <c r="N1535">
        <v>45507</v>
      </c>
      <c r="O1535">
        <v>3527</v>
      </c>
      <c r="P1535" t="s">
        <v>29</v>
      </c>
      <c r="Q1535">
        <v>2</v>
      </c>
      <c r="R1535" t="s">
        <v>40</v>
      </c>
      <c r="S1535" t="s">
        <v>53</v>
      </c>
      <c r="T1535" t="s">
        <v>20</v>
      </c>
    </row>
    <row r="1536" spans="1:20" x14ac:dyDescent="0.3">
      <c r="A1536" t="s">
        <v>3187</v>
      </c>
      <c r="B1536" t="s">
        <v>99</v>
      </c>
      <c r="C1536" t="s">
        <v>64</v>
      </c>
      <c r="D1536" t="s">
        <v>104</v>
      </c>
      <c r="E1536" t="s">
        <v>126</v>
      </c>
      <c r="F1536" t="s">
        <v>127</v>
      </c>
      <c r="G1536" t="s">
        <v>16</v>
      </c>
      <c r="H1536" t="s">
        <v>5136</v>
      </c>
      <c r="I1536" t="s">
        <v>5137</v>
      </c>
      <c r="J1536">
        <v>64127</v>
      </c>
      <c r="K1536" t="s">
        <v>3188</v>
      </c>
      <c r="L1536" t="s">
        <v>18</v>
      </c>
      <c r="M1536" t="s">
        <v>39</v>
      </c>
      <c r="N1536">
        <v>45468</v>
      </c>
      <c r="O1536">
        <v>3359</v>
      </c>
      <c r="P1536" t="s">
        <v>20</v>
      </c>
      <c r="Q1536">
        <v>0</v>
      </c>
      <c r="R1536" t="s">
        <v>40</v>
      </c>
      <c r="S1536" t="s">
        <v>53</v>
      </c>
      <c r="T1536" t="s">
        <v>29</v>
      </c>
    </row>
    <row r="1537" spans="1:20" x14ac:dyDescent="0.3">
      <c r="A1537" t="s">
        <v>3189</v>
      </c>
      <c r="B1537" t="s">
        <v>12</v>
      </c>
      <c r="C1537" t="s">
        <v>13</v>
      </c>
      <c r="D1537" t="s">
        <v>167</v>
      </c>
      <c r="E1537" t="s">
        <v>5129</v>
      </c>
      <c r="F1537" t="s">
        <v>5130</v>
      </c>
      <c r="G1537" t="s">
        <v>16</v>
      </c>
      <c r="H1537" t="s">
        <v>5136</v>
      </c>
      <c r="I1537" t="s">
        <v>5137</v>
      </c>
      <c r="J1537">
        <v>50000</v>
      </c>
      <c r="K1537" t="s">
        <v>3190</v>
      </c>
      <c r="L1537" t="s">
        <v>5165</v>
      </c>
      <c r="M1537" t="s">
        <v>46</v>
      </c>
      <c r="N1537">
        <v>45586</v>
      </c>
      <c r="O1537">
        <v>2325</v>
      </c>
      <c r="P1537" t="s">
        <v>20</v>
      </c>
      <c r="Q1537">
        <v>0</v>
      </c>
      <c r="R1537" t="s">
        <v>47</v>
      </c>
      <c r="S1537" t="s">
        <v>21</v>
      </c>
      <c r="T1537" t="s">
        <v>20</v>
      </c>
    </row>
    <row r="1538" spans="1:20" x14ac:dyDescent="0.3">
      <c r="A1538" t="s">
        <v>3191</v>
      </c>
      <c r="B1538" t="s">
        <v>99</v>
      </c>
      <c r="C1538" t="s">
        <v>166</v>
      </c>
      <c r="D1538" t="s">
        <v>140</v>
      </c>
      <c r="E1538" t="s">
        <v>69</v>
      </c>
      <c r="F1538" t="s">
        <v>70</v>
      </c>
      <c r="G1538" t="s">
        <v>16</v>
      </c>
      <c r="H1538" t="s">
        <v>5142</v>
      </c>
      <c r="I1538" t="s">
        <v>5143</v>
      </c>
      <c r="J1538">
        <v>163867</v>
      </c>
      <c r="K1538" t="s">
        <v>3192</v>
      </c>
      <c r="L1538" t="s">
        <v>87</v>
      </c>
      <c r="M1538" t="s">
        <v>46</v>
      </c>
      <c r="N1538">
        <v>45640</v>
      </c>
      <c r="O1538">
        <v>3047</v>
      </c>
      <c r="P1538" t="s">
        <v>20</v>
      </c>
      <c r="Q1538">
        <v>4</v>
      </c>
      <c r="R1538" t="s">
        <v>52</v>
      </c>
      <c r="S1538" t="s">
        <v>21</v>
      </c>
      <c r="T1538" t="s">
        <v>20</v>
      </c>
    </row>
    <row r="1539" spans="1:20" x14ac:dyDescent="0.3">
      <c r="A1539" t="s">
        <v>3193</v>
      </c>
      <c r="B1539" t="s">
        <v>78</v>
      </c>
      <c r="C1539" t="s">
        <v>79</v>
      </c>
      <c r="D1539" t="s">
        <v>57</v>
      </c>
      <c r="E1539" t="s">
        <v>5131</v>
      </c>
      <c r="F1539" t="s">
        <v>5125</v>
      </c>
      <c r="G1539" t="s">
        <v>16</v>
      </c>
      <c r="H1539" t="s">
        <v>5140</v>
      </c>
      <c r="I1539" t="s">
        <v>5141</v>
      </c>
      <c r="J1539">
        <v>99452</v>
      </c>
      <c r="K1539" t="s">
        <v>3194</v>
      </c>
      <c r="L1539" t="s">
        <v>82</v>
      </c>
      <c r="M1539" t="s">
        <v>39</v>
      </c>
      <c r="N1539">
        <v>45557</v>
      </c>
      <c r="O1539">
        <v>2451</v>
      </c>
      <c r="P1539" t="s">
        <v>20</v>
      </c>
      <c r="Q1539">
        <v>2</v>
      </c>
      <c r="R1539" t="s">
        <v>5116</v>
      </c>
      <c r="S1539" t="s">
        <v>53</v>
      </c>
      <c r="T1539" t="s">
        <v>29</v>
      </c>
    </row>
    <row r="1540" spans="1:20" x14ac:dyDescent="0.3">
      <c r="A1540" t="s">
        <v>3195</v>
      </c>
      <c r="B1540" t="s">
        <v>136</v>
      </c>
      <c r="C1540" t="s">
        <v>125</v>
      </c>
      <c r="D1540" t="s">
        <v>57</v>
      </c>
      <c r="E1540" t="s">
        <v>58</v>
      </c>
      <c r="F1540" t="s">
        <v>59</v>
      </c>
      <c r="G1540" t="s">
        <v>16</v>
      </c>
      <c r="H1540" t="s">
        <v>5138</v>
      </c>
      <c r="I1540" t="s">
        <v>5139</v>
      </c>
      <c r="J1540">
        <v>157882</v>
      </c>
      <c r="K1540" t="s">
        <v>3196</v>
      </c>
      <c r="L1540" t="s">
        <v>142</v>
      </c>
      <c r="M1540" t="s">
        <v>39</v>
      </c>
      <c r="N1540">
        <v>45546</v>
      </c>
      <c r="O1540">
        <v>514</v>
      </c>
      <c r="P1540" t="s">
        <v>29</v>
      </c>
      <c r="Q1540">
        <v>6</v>
      </c>
      <c r="R1540" t="s">
        <v>76</v>
      </c>
      <c r="S1540" t="s">
        <v>21</v>
      </c>
      <c r="T1540" t="s">
        <v>29</v>
      </c>
    </row>
    <row r="1541" spans="1:20" x14ac:dyDescent="0.3">
      <c r="A1541" t="s">
        <v>3197</v>
      </c>
      <c r="B1541" t="s">
        <v>222</v>
      </c>
      <c r="C1541" t="s">
        <v>125</v>
      </c>
      <c r="D1541" t="s">
        <v>118</v>
      </c>
      <c r="E1541" t="s">
        <v>126</v>
      </c>
      <c r="F1541" t="s">
        <v>127</v>
      </c>
      <c r="G1541" t="s">
        <v>50</v>
      </c>
      <c r="H1541" t="s">
        <v>5138</v>
      </c>
      <c r="I1541" t="s">
        <v>5139</v>
      </c>
      <c r="J1541">
        <v>96598</v>
      </c>
      <c r="K1541" t="s">
        <v>3198</v>
      </c>
      <c r="L1541" t="s">
        <v>238</v>
      </c>
      <c r="M1541" t="s">
        <v>19</v>
      </c>
      <c r="N1541">
        <v>45626</v>
      </c>
      <c r="O1541">
        <v>1043</v>
      </c>
      <c r="P1541" t="s">
        <v>20</v>
      </c>
      <c r="Q1541">
        <v>6</v>
      </c>
      <c r="R1541" t="s">
        <v>5116</v>
      </c>
      <c r="S1541" t="s">
        <v>53</v>
      </c>
      <c r="T1541" t="s">
        <v>20</v>
      </c>
    </row>
    <row r="1542" spans="1:20" x14ac:dyDescent="0.3">
      <c r="A1542" t="s">
        <v>3199</v>
      </c>
      <c r="B1542" t="s">
        <v>144</v>
      </c>
      <c r="C1542" t="s">
        <v>197</v>
      </c>
      <c r="D1542" t="s">
        <v>167</v>
      </c>
      <c r="E1542" t="s">
        <v>193</v>
      </c>
      <c r="F1542" t="s">
        <v>194</v>
      </c>
      <c r="G1542" t="s">
        <v>50</v>
      </c>
      <c r="H1542" t="s">
        <v>5138</v>
      </c>
      <c r="I1542" t="s">
        <v>5139</v>
      </c>
      <c r="J1542">
        <v>199009</v>
      </c>
      <c r="K1542" t="s">
        <v>3200</v>
      </c>
      <c r="L1542" t="s">
        <v>61</v>
      </c>
      <c r="M1542" t="s">
        <v>46</v>
      </c>
      <c r="N1542">
        <v>45424</v>
      </c>
      <c r="O1542">
        <v>1333</v>
      </c>
      <c r="P1542" t="s">
        <v>20</v>
      </c>
      <c r="Q1542">
        <v>6</v>
      </c>
      <c r="R1542" t="s">
        <v>76</v>
      </c>
      <c r="S1542" t="s">
        <v>21</v>
      </c>
      <c r="T1542" t="s">
        <v>29</v>
      </c>
    </row>
    <row r="1543" spans="1:20" x14ac:dyDescent="0.3">
      <c r="A1543" t="s">
        <v>3201</v>
      </c>
      <c r="B1543" t="s">
        <v>229</v>
      </c>
      <c r="C1543" t="s">
        <v>166</v>
      </c>
      <c r="D1543" t="s">
        <v>68</v>
      </c>
      <c r="E1543" t="s">
        <v>152</v>
      </c>
      <c r="F1543" t="s">
        <v>153</v>
      </c>
      <c r="G1543" t="s">
        <v>36</v>
      </c>
      <c r="H1543" t="s">
        <v>5140</v>
      </c>
      <c r="I1543" t="s">
        <v>5141</v>
      </c>
      <c r="J1543">
        <v>145090</v>
      </c>
      <c r="K1543" t="s">
        <v>3202</v>
      </c>
      <c r="L1543" t="s">
        <v>5165</v>
      </c>
      <c r="M1543" t="s">
        <v>39</v>
      </c>
      <c r="N1543">
        <v>45316</v>
      </c>
      <c r="O1543">
        <v>1186</v>
      </c>
      <c r="P1543" t="s">
        <v>20</v>
      </c>
      <c r="Q1543">
        <v>2</v>
      </c>
      <c r="R1543" t="s">
        <v>40</v>
      </c>
      <c r="S1543" t="s">
        <v>21</v>
      </c>
      <c r="T1543" t="s">
        <v>29</v>
      </c>
    </row>
    <row r="1544" spans="1:20" x14ac:dyDescent="0.3">
      <c r="A1544" t="s">
        <v>3203</v>
      </c>
      <c r="B1544" t="s">
        <v>136</v>
      </c>
      <c r="C1544" t="s">
        <v>13</v>
      </c>
      <c r="D1544" t="s">
        <v>25</v>
      </c>
      <c r="E1544" t="s">
        <v>14</v>
      </c>
      <c r="F1544" t="s">
        <v>15</v>
      </c>
      <c r="G1544" t="s">
        <v>16</v>
      </c>
      <c r="H1544" t="s">
        <v>5136</v>
      </c>
      <c r="I1544" t="s">
        <v>5137</v>
      </c>
      <c r="J1544">
        <v>90931</v>
      </c>
      <c r="K1544" t="s">
        <v>3204</v>
      </c>
      <c r="L1544" t="s">
        <v>82</v>
      </c>
      <c r="M1544" t="s">
        <v>72</v>
      </c>
      <c r="N1544">
        <v>45471</v>
      </c>
      <c r="O1544">
        <v>1374</v>
      </c>
      <c r="P1544" t="s">
        <v>20</v>
      </c>
      <c r="Q1544">
        <v>0</v>
      </c>
      <c r="R1544" t="s">
        <v>52</v>
      </c>
      <c r="S1544" t="s">
        <v>21</v>
      </c>
      <c r="T1544" t="s">
        <v>20</v>
      </c>
    </row>
    <row r="1545" spans="1:20" x14ac:dyDescent="0.3">
      <c r="A1545" t="s">
        <v>3205</v>
      </c>
      <c r="B1545" t="s">
        <v>322</v>
      </c>
      <c r="C1545" t="s">
        <v>160</v>
      </c>
      <c r="D1545" t="s">
        <v>44</v>
      </c>
      <c r="E1545" t="s">
        <v>126</v>
      </c>
      <c r="F1545" t="s">
        <v>127</v>
      </c>
      <c r="G1545" t="s">
        <v>16</v>
      </c>
      <c r="H1545" t="s">
        <v>5138</v>
      </c>
      <c r="I1545" t="s">
        <v>5139</v>
      </c>
      <c r="J1545">
        <v>183544</v>
      </c>
      <c r="K1545" t="s">
        <v>3206</v>
      </c>
      <c r="L1545" t="s">
        <v>5165</v>
      </c>
      <c r="M1545" t="s">
        <v>19</v>
      </c>
      <c r="N1545">
        <v>45639</v>
      </c>
      <c r="O1545">
        <v>3766</v>
      </c>
      <c r="P1545" t="s">
        <v>20</v>
      </c>
      <c r="Q1545">
        <v>6</v>
      </c>
      <c r="R1545" t="s">
        <v>5116</v>
      </c>
      <c r="S1545" t="s">
        <v>21</v>
      </c>
      <c r="T1545" t="s">
        <v>20</v>
      </c>
    </row>
    <row r="1546" spans="1:20" x14ac:dyDescent="0.3">
      <c r="A1546" t="s">
        <v>3207</v>
      </c>
      <c r="B1546" t="s">
        <v>229</v>
      </c>
      <c r="C1546" t="s">
        <v>160</v>
      </c>
      <c r="D1546" t="s">
        <v>68</v>
      </c>
      <c r="E1546" t="s">
        <v>5131</v>
      </c>
      <c r="F1546" t="s">
        <v>5125</v>
      </c>
      <c r="G1546" t="s">
        <v>50</v>
      </c>
      <c r="H1546" t="s">
        <v>5138</v>
      </c>
      <c r="I1546" t="s">
        <v>5139</v>
      </c>
      <c r="J1546">
        <v>178320</v>
      </c>
      <c r="K1546" t="s">
        <v>3208</v>
      </c>
      <c r="L1546" t="s">
        <v>5165</v>
      </c>
      <c r="M1546" t="s">
        <v>46</v>
      </c>
      <c r="N1546">
        <v>45595</v>
      </c>
      <c r="O1546">
        <v>1040</v>
      </c>
      <c r="P1546" t="s">
        <v>20</v>
      </c>
      <c r="Q1546">
        <v>6</v>
      </c>
      <c r="R1546" t="s">
        <v>40</v>
      </c>
      <c r="S1546" t="s">
        <v>21</v>
      </c>
      <c r="T1546" t="s">
        <v>20</v>
      </c>
    </row>
    <row r="1547" spans="1:20" x14ac:dyDescent="0.3">
      <c r="A1547" t="s">
        <v>3209</v>
      </c>
      <c r="B1547" t="s">
        <v>215</v>
      </c>
      <c r="C1547" t="s">
        <v>67</v>
      </c>
      <c r="D1547" t="s">
        <v>68</v>
      </c>
      <c r="E1547" t="s">
        <v>152</v>
      </c>
      <c r="F1547" t="s">
        <v>153</v>
      </c>
      <c r="G1547" t="s">
        <v>50</v>
      </c>
      <c r="H1547" t="s">
        <v>5136</v>
      </c>
      <c r="I1547" t="s">
        <v>5137</v>
      </c>
      <c r="J1547">
        <v>75906</v>
      </c>
      <c r="K1547" t="s">
        <v>3210</v>
      </c>
      <c r="L1547" t="s">
        <v>61</v>
      </c>
      <c r="M1547" t="s">
        <v>46</v>
      </c>
      <c r="N1547">
        <v>45587</v>
      </c>
      <c r="O1547">
        <v>28</v>
      </c>
      <c r="P1547" t="s">
        <v>29</v>
      </c>
      <c r="Q1547">
        <v>0</v>
      </c>
      <c r="R1547" t="s">
        <v>5116</v>
      </c>
      <c r="S1547" t="s">
        <v>53</v>
      </c>
      <c r="T1547" t="s">
        <v>29</v>
      </c>
    </row>
    <row r="1548" spans="1:20" x14ac:dyDescent="0.3">
      <c r="A1548" t="s">
        <v>3211</v>
      </c>
      <c r="B1548" t="s">
        <v>89</v>
      </c>
      <c r="C1548" t="s">
        <v>90</v>
      </c>
      <c r="D1548" t="s">
        <v>5156</v>
      </c>
      <c r="E1548" t="s">
        <v>5124</v>
      </c>
      <c r="F1548" t="s">
        <v>5125</v>
      </c>
      <c r="G1548" t="s">
        <v>36</v>
      </c>
      <c r="H1548" t="s">
        <v>5142</v>
      </c>
      <c r="I1548" t="s">
        <v>5143</v>
      </c>
      <c r="J1548">
        <v>123043</v>
      </c>
      <c r="K1548" t="s">
        <v>3212</v>
      </c>
      <c r="L1548" t="s">
        <v>5165</v>
      </c>
      <c r="M1548" t="s">
        <v>19</v>
      </c>
      <c r="N1548">
        <v>45368</v>
      </c>
      <c r="O1548">
        <v>1488</v>
      </c>
      <c r="P1548" t="s">
        <v>20</v>
      </c>
      <c r="Q1548">
        <v>4</v>
      </c>
      <c r="R1548" t="s">
        <v>40</v>
      </c>
      <c r="S1548" t="s">
        <v>21</v>
      </c>
      <c r="T1548" t="s">
        <v>29</v>
      </c>
    </row>
    <row r="1549" spans="1:20" x14ac:dyDescent="0.3">
      <c r="A1549" t="s">
        <v>3213</v>
      </c>
      <c r="B1549" t="s">
        <v>89</v>
      </c>
      <c r="C1549" t="s">
        <v>64</v>
      </c>
      <c r="D1549" t="s">
        <v>44</v>
      </c>
      <c r="E1549" t="s">
        <v>5128</v>
      </c>
      <c r="F1549" t="s">
        <v>5125</v>
      </c>
      <c r="G1549" t="s">
        <v>16</v>
      </c>
      <c r="H1549" t="s">
        <v>5140</v>
      </c>
      <c r="I1549" t="s">
        <v>5141</v>
      </c>
      <c r="J1549">
        <v>115975</v>
      </c>
      <c r="K1549" t="s">
        <v>3214</v>
      </c>
      <c r="L1549" t="s">
        <v>179</v>
      </c>
      <c r="M1549" t="s">
        <v>46</v>
      </c>
      <c r="N1549">
        <v>45746</v>
      </c>
      <c r="O1549">
        <v>2799</v>
      </c>
      <c r="P1549" t="s">
        <v>20</v>
      </c>
      <c r="Q1549">
        <v>2</v>
      </c>
      <c r="R1549" t="s">
        <v>52</v>
      </c>
      <c r="S1549" t="s">
        <v>21</v>
      </c>
      <c r="T1549" t="s">
        <v>29</v>
      </c>
    </row>
    <row r="1550" spans="1:20" x14ac:dyDescent="0.3">
      <c r="A1550" t="s">
        <v>3215</v>
      </c>
      <c r="B1550" t="s">
        <v>222</v>
      </c>
      <c r="C1550" t="s">
        <v>219</v>
      </c>
      <c r="D1550" t="s">
        <v>68</v>
      </c>
      <c r="E1550" t="s">
        <v>5126</v>
      </c>
      <c r="F1550" t="s">
        <v>5125</v>
      </c>
      <c r="G1550" t="s">
        <v>16</v>
      </c>
      <c r="H1550" t="s">
        <v>5140</v>
      </c>
      <c r="I1550" t="s">
        <v>5141</v>
      </c>
      <c r="J1550">
        <v>125168</v>
      </c>
      <c r="K1550" t="s">
        <v>3216</v>
      </c>
      <c r="L1550" t="s">
        <v>18</v>
      </c>
      <c r="M1550" t="s">
        <v>72</v>
      </c>
      <c r="N1550">
        <v>45565</v>
      </c>
      <c r="O1550">
        <v>3704</v>
      </c>
      <c r="P1550" t="s">
        <v>29</v>
      </c>
      <c r="Q1550">
        <v>2</v>
      </c>
      <c r="R1550" t="s">
        <v>76</v>
      </c>
      <c r="S1550" t="s">
        <v>21</v>
      </c>
      <c r="T1550" t="s">
        <v>20</v>
      </c>
    </row>
    <row r="1551" spans="1:20" x14ac:dyDescent="0.3">
      <c r="A1551" t="s">
        <v>3217</v>
      </c>
      <c r="B1551" t="s">
        <v>144</v>
      </c>
      <c r="C1551" t="s">
        <v>103</v>
      </c>
      <c r="D1551" t="s">
        <v>25</v>
      </c>
      <c r="E1551" t="s">
        <v>5127</v>
      </c>
      <c r="F1551" t="s">
        <v>5125</v>
      </c>
      <c r="G1551" t="s">
        <v>36</v>
      </c>
      <c r="H1551" t="s">
        <v>5138</v>
      </c>
      <c r="I1551" t="s">
        <v>5139</v>
      </c>
      <c r="J1551">
        <v>244169</v>
      </c>
      <c r="K1551" t="s">
        <v>3218</v>
      </c>
      <c r="L1551" t="s">
        <v>82</v>
      </c>
      <c r="M1551" t="s">
        <v>39</v>
      </c>
      <c r="N1551">
        <v>45734</v>
      </c>
      <c r="O1551">
        <v>1411</v>
      </c>
      <c r="P1551" t="s">
        <v>20</v>
      </c>
      <c r="Q1551">
        <v>6</v>
      </c>
      <c r="R1551" t="s">
        <v>5116</v>
      </c>
      <c r="S1551" t="s">
        <v>21</v>
      </c>
      <c r="T1551" t="s">
        <v>20</v>
      </c>
    </row>
    <row r="1552" spans="1:20" x14ac:dyDescent="0.3">
      <c r="A1552" t="s">
        <v>3219</v>
      </c>
      <c r="B1552" t="s">
        <v>12</v>
      </c>
      <c r="C1552" t="s">
        <v>103</v>
      </c>
      <c r="D1552" t="s">
        <v>104</v>
      </c>
      <c r="E1552" t="s">
        <v>5127</v>
      </c>
      <c r="F1552" t="s">
        <v>5125</v>
      </c>
      <c r="G1552" t="s">
        <v>36</v>
      </c>
      <c r="H1552" t="s">
        <v>5142</v>
      </c>
      <c r="I1552" t="s">
        <v>5143</v>
      </c>
      <c r="J1552">
        <v>147295</v>
      </c>
      <c r="K1552" t="s">
        <v>3220</v>
      </c>
      <c r="L1552" t="s">
        <v>38</v>
      </c>
      <c r="M1552" t="s">
        <v>19</v>
      </c>
      <c r="N1552">
        <v>45581</v>
      </c>
      <c r="O1552">
        <v>3484</v>
      </c>
      <c r="P1552" t="s">
        <v>20</v>
      </c>
      <c r="Q1552">
        <v>4</v>
      </c>
      <c r="R1552" t="s">
        <v>76</v>
      </c>
      <c r="S1552" t="s">
        <v>53</v>
      </c>
      <c r="T1552" t="s">
        <v>29</v>
      </c>
    </row>
    <row r="1553" spans="1:20" x14ac:dyDescent="0.3">
      <c r="A1553" t="s">
        <v>3221</v>
      </c>
      <c r="B1553" t="s">
        <v>84</v>
      </c>
      <c r="C1553" t="s">
        <v>64</v>
      </c>
      <c r="D1553" t="s">
        <v>57</v>
      </c>
      <c r="E1553" t="s">
        <v>58</v>
      </c>
      <c r="F1553" t="s">
        <v>59</v>
      </c>
      <c r="G1553" t="s">
        <v>50</v>
      </c>
      <c r="H1553" t="s">
        <v>5140</v>
      </c>
      <c r="I1553" t="s">
        <v>5141</v>
      </c>
      <c r="J1553">
        <v>105967</v>
      </c>
      <c r="K1553" t="s">
        <v>3222</v>
      </c>
      <c r="L1553" t="s">
        <v>238</v>
      </c>
      <c r="M1553" t="s">
        <v>46</v>
      </c>
      <c r="N1553">
        <v>45522</v>
      </c>
      <c r="O1553">
        <v>671</v>
      </c>
      <c r="P1553" t="s">
        <v>20</v>
      </c>
      <c r="Q1553">
        <v>2</v>
      </c>
      <c r="R1553" t="s">
        <v>5116</v>
      </c>
      <c r="S1553" t="s">
        <v>21</v>
      </c>
      <c r="T1553" t="s">
        <v>20</v>
      </c>
    </row>
    <row r="1554" spans="1:20" x14ac:dyDescent="0.3">
      <c r="A1554" t="s">
        <v>3223</v>
      </c>
      <c r="B1554" t="s">
        <v>218</v>
      </c>
      <c r="C1554" t="s">
        <v>160</v>
      </c>
      <c r="D1554" t="s">
        <v>5156</v>
      </c>
      <c r="E1554" t="s">
        <v>5129</v>
      </c>
      <c r="F1554" t="s">
        <v>5130</v>
      </c>
      <c r="G1554" t="s">
        <v>16</v>
      </c>
      <c r="H1554" t="s">
        <v>5142</v>
      </c>
      <c r="I1554" t="s">
        <v>5143</v>
      </c>
      <c r="J1554">
        <v>126294</v>
      </c>
      <c r="K1554" t="s">
        <v>3224</v>
      </c>
      <c r="L1554" t="s">
        <v>18</v>
      </c>
      <c r="M1554" t="s">
        <v>72</v>
      </c>
      <c r="N1554">
        <v>45723</v>
      </c>
      <c r="O1554">
        <v>1379</v>
      </c>
      <c r="P1554" t="s">
        <v>20</v>
      </c>
      <c r="Q1554">
        <v>4</v>
      </c>
      <c r="R1554" t="s">
        <v>52</v>
      </c>
      <c r="S1554" t="s">
        <v>21</v>
      </c>
      <c r="T1554" t="s">
        <v>20</v>
      </c>
    </row>
    <row r="1555" spans="1:20" x14ac:dyDescent="0.3">
      <c r="A1555" t="s">
        <v>3225</v>
      </c>
      <c r="B1555" t="s">
        <v>74</v>
      </c>
      <c r="C1555" t="s">
        <v>103</v>
      </c>
      <c r="D1555" t="s">
        <v>68</v>
      </c>
      <c r="E1555" t="s">
        <v>223</v>
      </c>
      <c r="F1555" t="s">
        <v>224</v>
      </c>
      <c r="G1555" t="s">
        <v>36</v>
      </c>
      <c r="H1555" t="s">
        <v>5140</v>
      </c>
      <c r="I1555" t="s">
        <v>5141</v>
      </c>
      <c r="J1555">
        <v>93627</v>
      </c>
      <c r="K1555" t="s">
        <v>3226</v>
      </c>
      <c r="L1555" t="s">
        <v>18</v>
      </c>
      <c r="M1555" t="s">
        <v>72</v>
      </c>
      <c r="N1555">
        <v>45531</v>
      </c>
      <c r="O1555">
        <v>2848</v>
      </c>
      <c r="P1555" t="s">
        <v>29</v>
      </c>
      <c r="Q1555">
        <v>2</v>
      </c>
      <c r="R1555" t="s">
        <v>40</v>
      </c>
      <c r="S1555" t="s">
        <v>21</v>
      </c>
      <c r="T1555" t="s">
        <v>20</v>
      </c>
    </row>
    <row r="1556" spans="1:20" x14ac:dyDescent="0.3">
      <c r="A1556" t="s">
        <v>3227</v>
      </c>
      <c r="B1556" t="s">
        <v>89</v>
      </c>
      <c r="C1556" t="s">
        <v>197</v>
      </c>
      <c r="D1556" t="s">
        <v>167</v>
      </c>
      <c r="E1556" t="s">
        <v>26</v>
      </c>
      <c r="F1556" t="s">
        <v>27</v>
      </c>
      <c r="G1556" t="s">
        <v>36</v>
      </c>
      <c r="H1556" t="s">
        <v>5138</v>
      </c>
      <c r="I1556" t="s">
        <v>5139</v>
      </c>
      <c r="J1556">
        <v>191846</v>
      </c>
      <c r="K1556" t="s">
        <v>3228</v>
      </c>
      <c r="L1556" t="s">
        <v>113</v>
      </c>
      <c r="M1556" t="s">
        <v>39</v>
      </c>
      <c r="N1556">
        <v>45622</v>
      </c>
      <c r="O1556">
        <v>2135</v>
      </c>
      <c r="P1556" t="s">
        <v>20</v>
      </c>
      <c r="Q1556">
        <v>6</v>
      </c>
      <c r="R1556" t="s">
        <v>76</v>
      </c>
      <c r="S1556" t="s">
        <v>41</v>
      </c>
      <c r="T1556" t="s">
        <v>29</v>
      </c>
    </row>
    <row r="1557" spans="1:20" x14ac:dyDescent="0.3">
      <c r="A1557" t="s">
        <v>3229</v>
      </c>
      <c r="B1557" t="s">
        <v>89</v>
      </c>
      <c r="C1557" t="s">
        <v>188</v>
      </c>
      <c r="D1557" t="s">
        <v>104</v>
      </c>
      <c r="E1557" t="s">
        <v>5124</v>
      </c>
      <c r="F1557" t="s">
        <v>5125</v>
      </c>
      <c r="G1557" t="s">
        <v>50</v>
      </c>
      <c r="H1557" t="s">
        <v>5136</v>
      </c>
      <c r="I1557" t="s">
        <v>5137</v>
      </c>
      <c r="J1557">
        <v>74628</v>
      </c>
      <c r="K1557" t="s">
        <v>3230</v>
      </c>
      <c r="L1557" t="s">
        <v>61</v>
      </c>
      <c r="M1557" t="s">
        <v>19</v>
      </c>
      <c r="N1557">
        <v>45677</v>
      </c>
      <c r="O1557">
        <v>1116</v>
      </c>
      <c r="P1557" t="s">
        <v>92</v>
      </c>
      <c r="Q1557">
        <v>0</v>
      </c>
      <c r="R1557" t="s">
        <v>5116</v>
      </c>
      <c r="S1557" t="s">
        <v>21</v>
      </c>
      <c r="T1557" t="s">
        <v>29</v>
      </c>
    </row>
    <row r="1558" spans="1:20" x14ac:dyDescent="0.3">
      <c r="A1558" t="s">
        <v>3231</v>
      </c>
      <c r="B1558" t="s">
        <v>89</v>
      </c>
      <c r="C1558" t="s">
        <v>175</v>
      </c>
      <c r="D1558" t="s">
        <v>167</v>
      </c>
      <c r="E1558" t="s">
        <v>5127</v>
      </c>
      <c r="F1558" t="s">
        <v>5125</v>
      </c>
      <c r="G1558" t="s">
        <v>36</v>
      </c>
      <c r="H1558" t="s">
        <v>5138</v>
      </c>
      <c r="I1558" t="s">
        <v>5139</v>
      </c>
      <c r="J1558">
        <v>232889</v>
      </c>
      <c r="K1558" t="s">
        <v>3232</v>
      </c>
      <c r="L1558" t="s">
        <v>134</v>
      </c>
      <c r="M1558" t="s">
        <v>46</v>
      </c>
      <c r="N1558">
        <v>45661</v>
      </c>
      <c r="O1558">
        <v>1710</v>
      </c>
      <c r="P1558" t="s">
        <v>29</v>
      </c>
      <c r="Q1558">
        <v>6</v>
      </c>
      <c r="R1558" t="s">
        <v>47</v>
      </c>
      <c r="S1558" t="s">
        <v>21</v>
      </c>
      <c r="T1558" t="s">
        <v>20</v>
      </c>
    </row>
    <row r="1559" spans="1:20" x14ac:dyDescent="0.3">
      <c r="A1559" t="s">
        <v>3233</v>
      </c>
      <c r="B1559" t="s">
        <v>55</v>
      </c>
      <c r="C1559" t="s">
        <v>188</v>
      </c>
      <c r="D1559" t="s">
        <v>44</v>
      </c>
      <c r="E1559" t="s">
        <v>5133</v>
      </c>
      <c r="F1559" t="s">
        <v>5125</v>
      </c>
      <c r="G1559" t="s">
        <v>16</v>
      </c>
      <c r="H1559" t="s">
        <v>5140</v>
      </c>
      <c r="I1559" t="s">
        <v>5141</v>
      </c>
      <c r="J1559">
        <v>94097</v>
      </c>
      <c r="K1559" t="s">
        <v>3234</v>
      </c>
      <c r="L1559" t="s">
        <v>179</v>
      </c>
      <c r="M1559" t="s">
        <v>39</v>
      </c>
      <c r="N1559">
        <v>45370</v>
      </c>
      <c r="O1559">
        <v>3790</v>
      </c>
      <c r="P1559" t="s">
        <v>20</v>
      </c>
      <c r="Q1559">
        <v>2</v>
      </c>
      <c r="R1559" t="s">
        <v>5116</v>
      </c>
      <c r="S1559" t="s">
        <v>53</v>
      </c>
      <c r="T1559" t="s">
        <v>20</v>
      </c>
    </row>
    <row r="1560" spans="1:20" x14ac:dyDescent="0.3">
      <c r="A1560" t="s">
        <v>3235</v>
      </c>
      <c r="B1560" t="s">
        <v>55</v>
      </c>
      <c r="C1560" t="s">
        <v>49</v>
      </c>
      <c r="D1560" t="s">
        <v>25</v>
      </c>
      <c r="E1560" t="s">
        <v>26</v>
      </c>
      <c r="F1560" t="s">
        <v>27</v>
      </c>
      <c r="G1560" t="s">
        <v>16</v>
      </c>
      <c r="H1560" t="s">
        <v>5138</v>
      </c>
      <c r="I1560" t="s">
        <v>5139</v>
      </c>
      <c r="J1560">
        <v>253736</v>
      </c>
      <c r="K1560" t="s">
        <v>3236</v>
      </c>
      <c r="L1560" t="s">
        <v>5165</v>
      </c>
      <c r="M1560" t="s">
        <v>72</v>
      </c>
      <c r="N1560">
        <v>45655</v>
      </c>
      <c r="O1560">
        <v>2022</v>
      </c>
      <c r="P1560" t="s">
        <v>92</v>
      </c>
      <c r="Q1560">
        <v>6</v>
      </c>
      <c r="R1560" t="s">
        <v>40</v>
      </c>
      <c r="S1560" t="s">
        <v>21</v>
      </c>
      <c r="T1560" t="s">
        <v>20</v>
      </c>
    </row>
    <row r="1561" spans="1:20" x14ac:dyDescent="0.3">
      <c r="A1561" t="s">
        <v>3237</v>
      </c>
      <c r="B1561" t="s">
        <v>144</v>
      </c>
      <c r="C1561" t="s">
        <v>160</v>
      </c>
      <c r="D1561" t="s">
        <v>118</v>
      </c>
      <c r="E1561" t="s">
        <v>5128</v>
      </c>
      <c r="F1561" t="s">
        <v>5125</v>
      </c>
      <c r="G1561" t="s">
        <v>36</v>
      </c>
      <c r="H1561" t="s">
        <v>5136</v>
      </c>
      <c r="I1561" t="s">
        <v>5137</v>
      </c>
      <c r="J1561">
        <v>66583</v>
      </c>
      <c r="K1561" t="s">
        <v>3238</v>
      </c>
      <c r="L1561" t="s">
        <v>113</v>
      </c>
      <c r="M1561" t="s">
        <v>46</v>
      </c>
      <c r="N1561">
        <v>45356</v>
      </c>
      <c r="O1561">
        <v>3426</v>
      </c>
      <c r="P1561" t="s">
        <v>20</v>
      </c>
      <c r="Q1561">
        <v>0</v>
      </c>
      <c r="R1561" t="s">
        <v>40</v>
      </c>
      <c r="S1561" t="s">
        <v>21</v>
      </c>
      <c r="T1561" t="s">
        <v>20</v>
      </c>
    </row>
    <row r="1562" spans="1:20" x14ac:dyDescent="0.3">
      <c r="A1562" t="s">
        <v>3239</v>
      </c>
      <c r="B1562" t="s">
        <v>89</v>
      </c>
      <c r="C1562" t="s">
        <v>49</v>
      </c>
      <c r="D1562" t="s">
        <v>167</v>
      </c>
      <c r="E1562" t="s">
        <v>5128</v>
      </c>
      <c r="F1562" t="s">
        <v>5125</v>
      </c>
      <c r="G1562" t="s">
        <v>50</v>
      </c>
      <c r="H1562" t="s">
        <v>5138</v>
      </c>
      <c r="I1562" t="s">
        <v>5139</v>
      </c>
      <c r="J1562">
        <v>199230</v>
      </c>
      <c r="K1562" t="s">
        <v>3240</v>
      </c>
      <c r="L1562" t="s">
        <v>238</v>
      </c>
      <c r="M1562" t="s">
        <v>19</v>
      </c>
      <c r="N1562">
        <v>45419</v>
      </c>
      <c r="O1562">
        <v>596</v>
      </c>
      <c r="P1562" t="s">
        <v>20</v>
      </c>
      <c r="Q1562">
        <v>6</v>
      </c>
      <c r="R1562" t="s">
        <v>5116</v>
      </c>
      <c r="S1562" t="s">
        <v>21</v>
      </c>
      <c r="T1562" t="s">
        <v>20</v>
      </c>
    </row>
    <row r="1563" spans="1:20" x14ac:dyDescent="0.3">
      <c r="A1563" t="s">
        <v>3241</v>
      </c>
      <c r="B1563" t="s">
        <v>222</v>
      </c>
      <c r="C1563" t="s">
        <v>139</v>
      </c>
      <c r="D1563" t="s">
        <v>68</v>
      </c>
      <c r="E1563" t="s">
        <v>223</v>
      </c>
      <c r="F1563" t="s">
        <v>224</v>
      </c>
      <c r="G1563" t="s">
        <v>50</v>
      </c>
      <c r="H1563" t="s">
        <v>5138</v>
      </c>
      <c r="I1563" t="s">
        <v>5139</v>
      </c>
      <c r="J1563">
        <v>173100</v>
      </c>
      <c r="K1563" t="s">
        <v>3242</v>
      </c>
      <c r="L1563" t="s">
        <v>61</v>
      </c>
      <c r="M1563" t="s">
        <v>46</v>
      </c>
      <c r="N1563">
        <v>45500</v>
      </c>
      <c r="O1563">
        <v>1312</v>
      </c>
      <c r="P1563" t="s">
        <v>20</v>
      </c>
      <c r="Q1563">
        <v>6</v>
      </c>
      <c r="R1563" t="s">
        <v>5116</v>
      </c>
      <c r="S1563" t="s">
        <v>53</v>
      </c>
      <c r="T1563" t="s">
        <v>29</v>
      </c>
    </row>
    <row r="1564" spans="1:20" x14ac:dyDescent="0.3">
      <c r="A1564" t="s">
        <v>3243</v>
      </c>
      <c r="B1564" t="s">
        <v>84</v>
      </c>
      <c r="C1564" t="s">
        <v>151</v>
      </c>
      <c r="D1564" t="s">
        <v>25</v>
      </c>
      <c r="E1564" t="s">
        <v>5126</v>
      </c>
      <c r="F1564" t="s">
        <v>5125</v>
      </c>
      <c r="G1564" t="s">
        <v>36</v>
      </c>
      <c r="H1564" t="s">
        <v>5136</v>
      </c>
      <c r="I1564" t="s">
        <v>5137</v>
      </c>
      <c r="J1564">
        <v>50000</v>
      </c>
      <c r="K1564" t="s">
        <v>3244</v>
      </c>
      <c r="L1564" t="s">
        <v>38</v>
      </c>
      <c r="M1564" t="s">
        <v>72</v>
      </c>
      <c r="N1564">
        <v>45598</v>
      </c>
      <c r="O1564">
        <v>2557</v>
      </c>
      <c r="P1564" t="s">
        <v>29</v>
      </c>
      <c r="Q1564">
        <v>0</v>
      </c>
      <c r="R1564" t="s">
        <v>47</v>
      </c>
      <c r="S1564" t="s">
        <v>21</v>
      </c>
      <c r="T1564" t="s">
        <v>29</v>
      </c>
    </row>
    <row r="1565" spans="1:20" x14ac:dyDescent="0.3">
      <c r="A1565" t="s">
        <v>3245</v>
      </c>
      <c r="B1565" t="s">
        <v>144</v>
      </c>
      <c r="C1565" t="s">
        <v>24</v>
      </c>
      <c r="D1565" t="s">
        <v>57</v>
      </c>
      <c r="E1565" t="s">
        <v>5124</v>
      </c>
      <c r="F1565" t="s">
        <v>5125</v>
      </c>
      <c r="G1565" t="s">
        <v>50</v>
      </c>
      <c r="H1565" t="s">
        <v>5142</v>
      </c>
      <c r="I1565" t="s">
        <v>5143</v>
      </c>
      <c r="J1565">
        <v>173869</v>
      </c>
      <c r="K1565" t="s">
        <v>3246</v>
      </c>
      <c r="L1565" t="s">
        <v>238</v>
      </c>
      <c r="M1565" t="s">
        <v>19</v>
      </c>
      <c r="N1565">
        <v>45670</v>
      </c>
      <c r="O1565">
        <v>413</v>
      </c>
      <c r="P1565" t="s">
        <v>92</v>
      </c>
      <c r="Q1565">
        <v>4</v>
      </c>
      <c r="R1565" t="s">
        <v>47</v>
      </c>
      <c r="S1565" t="s">
        <v>21</v>
      </c>
      <c r="T1565" t="s">
        <v>20</v>
      </c>
    </row>
    <row r="1566" spans="1:20" x14ac:dyDescent="0.3">
      <c r="A1566" t="s">
        <v>3247</v>
      </c>
      <c r="B1566" t="s">
        <v>31</v>
      </c>
      <c r="C1566" t="s">
        <v>202</v>
      </c>
      <c r="D1566" t="s">
        <v>25</v>
      </c>
      <c r="E1566" t="s">
        <v>26</v>
      </c>
      <c r="F1566" t="s">
        <v>27</v>
      </c>
      <c r="G1566" t="s">
        <v>36</v>
      </c>
      <c r="H1566" t="s">
        <v>5142</v>
      </c>
      <c r="I1566" t="s">
        <v>5143</v>
      </c>
      <c r="J1566">
        <v>169894</v>
      </c>
      <c r="K1566" t="s">
        <v>3248</v>
      </c>
      <c r="L1566" t="s">
        <v>61</v>
      </c>
      <c r="M1566" t="s">
        <v>39</v>
      </c>
      <c r="N1566">
        <v>45721</v>
      </c>
      <c r="O1566">
        <v>98</v>
      </c>
      <c r="P1566" t="s">
        <v>20</v>
      </c>
      <c r="Q1566">
        <v>4</v>
      </c>
      <c r="R1566" t="s">
        <v>76</v>
      </c>
      <c r="S1566" t="s">
        <v>21</v>
      </c>
      <c r="T1566" t="s">
        <v>20</v>
      </c>
    </row>
    <row r="1567" spans="1:20" x14ac:dyDescent="0.3">
      <c r="A1567" t="s">
        <v>3249</v>
      </c>
      <c r="B1567" t="s">
        <v>165</v>
      </c>
      <c r="C1567" t="s">
        <v>109</v>
      </c>
      <c r="D1567" t="s">
        <v>118</v>
      </c>
      <c r="E1567" t="s">
        <v>5127</v>
      </c>
      <c r="F1567" t="s">
        <v>5125</v>
      </c>
      <c r="G1567" t="s">
        <v>16</v>
      </c>
      <c r="H1567" t="s">
        <v>5140</v>
      </c>
      <c r="I1567" t="s">
        <v>5141</v>
      </c>
      <c r="J1567">
        <v>104429</v>
      </c>
      <c r="K1567" t="s">
        <v>3250</v>
      </c>
      <c r="L1567" t="s">
        <v>238</v>
      </c>
      <c r="M1567" t="s">
        <v>46</v>
      </c>
      <c r="N1567">
        <v>45469</v>
      </c>
      <c r="O1567">
        <v>2006</v>
      </c>
      <c r="P1567" t="s">
        <v>20</v>
      </c>
      <c r="Q1567">
        <v>2</v>
      </c>
      <c r="R1567" t="s">
        <v>40</v>
      </c>
      <c r="S1567" t="s">
        <v>41</v>
      </c>
      <c r="T1567" t="s">
        <v>29</v>
      </c>
    </row>
    <row r="1568" spans="1:20" x14ac:dyDescent="0.3">
      <c r="A1568" t="s">
        <v>3251</v>
      </c>
      <c r="B1568" t="s">
        <v>89</v>
      </c>
      <c r="C1568" t="s">
        <v>24</v>
      </c>
      <c r="D1568" t="s">
        <v>140</v>
      </c>
      <c r="E1568" t="s">
        <v>193</v>
      </c>
      <c r="F1568" t="s">
        <v>194</v>
      </c>
      <c r="G1568" t="s">
        <v>50</v>
      </c>
      <c r="H1568" t="s">
        <v>5136</v>
      </c>
      <c r="I1568" t="s">
        <v>5137</v>
      </c>
      <c r="J1568">
        <v>70844</v>
      </c>
      <c r="K1568" t="s">
        <v>3252</v>
      </c>
      <c r="L1568" t="s">
        <v>113</v>
      </c>
      <c r="M1568" t="s">
        <v>46</v>
      </c>
      <c r="N1568">
        <v>45428</v>
      </c>
      <c r="O1568">
        <v>2441</v>
      </c>
      <c r="P1568" t="s">
        <v>20</v>
      </c>
      <c r="Q1568">
        <v>0</v>
      </c>
      <c r="R1568" t="s">
        <v>40</v>
      </c>
      <c r="S1568" t="s">
        <v>53</v>
      </c>
      <c r="T1568" t="s">
        <v>20</v>
      </c>
    </row>
    <row r="1569" spans="1:20" x14ac:dyDescent="0.3">
      <c r="A1569" t="s">
        <v>3253</v>
      </c>
      <c r="B1569" t="s">
        <v>55</v>
      </c>
      <c r="C1569" t="s">
        <v>121</v>
      </c>
      <c r="D1569" t="s">
        <v>33</v>
      </c>
      <c r="E1569" t="s">
        <v>26</v>
      </c>
      <c r="F1569" t="s">
        <v>27</v>
      </c>
      <c r="G1569" t="s">
        <v>36</v>
      </c>
      <c r="H1569" t="s">
        <v>5142</v>
      </c>
      <c r="I1569" t="s">
        <v>5143</v>
      </c>
      <c r="J1569">
        <v>163930</v>
      </c>
      <c r="K1569" t="s">
        <v>3254</v>
      </c>
      <c r="L1569" t="s">
        <v>142</v>
      </c>
      <c r="M1569" t="s">
        <v>39</v>
      </c>
      <c r="N1569">
        <v>45708</v>
      </c>
      <c r="O1569">
        <v>3710</v>
      </c>
      <c r="P1569" t="s">
        <v>29</v>
      </c>
      <c r="Q1569">
        <v>4</v>
      </c>
      <c r="R1569" t="s">
        <v>47</v>
      </c>
      <c r="S1569" t="s">
        <v>53</v>
      </c>
      <c r="T1569" t="s">
        <v>29</v>
      </c>
    </row>
    <row r="1570" spans="1:20" x14ac:dyDescent="0.3">
      <c r="A1570" t="s">
        <v>3255</v>
      </c>
      <c r="B1570" t="s">
        <v>31</v>
      </c>
      <c r="C1570" t="s">
        <v>24</v>
      </c>
      <c r="D1570" t="s">
        <v>167</v>
      </c>
      <c r="E1570" t="s">
        <v>209</v>
      </c>
      <c r="F1570" t="s">
        <v>210</v>
      </c>
      <c r="G1570" t="s">
        <v>36</v>
      </c>
      <c r="H1570" t="s">
        <v>5136</v>
      </c>
      <c r="I1570" t="s">
        <v>5137</v>
      </c>
      <c r="J1570">
        <v>50311</v>
      </c>
      <c r="K1570" t="s">
        <v>3256</v>
      </c>
      <c r="L1570" t="s">
        <v>5165</v>
      </c>
      <c r="M1570" t="s">
        <v>46</v>
      </c>
      <c r="N1570">
        <v>45532</v>
      </c>
      <c r="O1570">
        <v>3672</v>
      </c>
      <c r="P1570" t="s">
        <v>92</v>
      </c>
      <c r="Q1570">
        <v>0</v>
      </c>
      <c r="R1570" t="s">
        <v>52</v>
      </c>
      <c r="S1570" t="s">
        <v>53</v>
      </c>
      <c r="T1570" t="s">
        <v>29</v>
      </c>
    </row>
    <row r="1571" spans="1:20" x14ac:dyDescent="0.3">
      <c r="A1571" t="s">
        <v>3257</v>
      </c>
      <c r="B1571" t="s">
        <v>124</v>
      </c>
      <c r="C1571" t="s">
        <v>67</v>
      </c>
      <c r="D1571" t="s">
        <v>167</v>
      </c>
      <c r="E1571" t="s">
        <v>14</v>
      </c>
      <c r="F1571" t="s">
        <v>15</v>
      </c>
      <c r="G1571" t="s">
        <v>16</v>
      </c>
      <c r="H1571" t="s">
        <v>5140</v>
      </c>
      <c r="I1571" t="s">
        <v>5141</v>
      </c>
      <c r="J1571">
        <v>99524</v>
      </c>
      <c r="K1571" t="s">
        <v>3258</v>
      </c>
      <c r="L1571" t="s">
        <v>5165</v>
      </c>
      <c r="M1571" t="s">
        <v>39</v>
      </c>
      <c r="N1571">
        <v>45300</v>
      </c>
      <c r="O1571">
        <v>982</v>
      </c>
      <c r="P1571" t="s">
        <v>20</v>
      </c>
      <c r="Q1571">
        <v>2</v>
      </c>
      <c r="R1571" t="s">
        <v>5116</v>
      </c>
      <c r="S1571" t="s">
        <v>53</v>
      </c>
      <c r="T1571" t="s">
        <v>29</v>
      </c>
    </row>
    <row r="1572" spans="1:20" x14ac:dyDescent="0.3">
      <c r="A1572" t="s">
        <v>3259</v>
      </c>
      <c r="B1572" t="s">
        <v>322</v>
      </c>
      <c r="C1572" t="s">
        <v>56</v>
      </c>
      <c r="D1572" t="s">
        <v>167</v>
      </c>
      <c r="E1572" t="s">
        <v>5124</v>
      </c>
      <c r="F1572" t="s">
        <v>5125</v>
      </c>
      <c r="G1572" t="s">
        <v>16</v>
      </c>
      <c r="H1572" t="s">
        <v>5136</v>
      </c>
      <c r="I1572" t="s">
        <v>5137</v>
      </c>
      <c r="J1572">
        <v>80007</v>
      </c>
      <c r="K1572" t="s">
        <v>3260</v>
      </c>
      <c r="L1572" t="s">
        <v>5165</v>
      </c>
      <c r="M1572" t="s">
        <v>46</v>
      </c>
      <c r="N1572">
        <v>45370</v>
      </c>
      <c r="O1572">
        <v>2449</v>
      </c>
      <c r="P1572" t="s">
        <v>20</v>
      </c>
      <c r="Q1572">
        <v>0</v>
      </c>
      <c r="R1572" t="s">
        <v>5116</v>
      </c>
      <c r="S1572" t="s">
        <v>21</v>
      </c>
      <c r="T1572" t="s">
        <v>20</v>
      </c>
    </row>
    <row r="1573" spans="1:20" x14ac:dyDescent="0.3">
      <c r="A1573" t="s">
        <v>3261</v>
      </c>
      <c r="B1573" t="s">
        <v>322</v>
      </c>
      <c r="C1573" t="s">
        <v>100</v>
      </c>
      <c r="D1573" t="s">
        <v>33</v>
      </c>
      <c r="E1573" t="s">
        <v>69</v>
      </c>
      <c r="F1573" t="s">
        <v>70</v>
      </c>
      <c r="G1573" t="s">
        <v>16</v>
      </c>
      <c r="H1573" t="s">
        <v>5136</v>
      </c>
      <c r="I1573" t="s">
        <v>5137</v>
      </c>
      <c r="J1573">
        <v>54195</v>
      </c>
      <c r="K1573" t="s">
        <v>3262</v>
      </c>
      <c r="L1573" t="s">
        <v>5165</v>
      </c>
      <c r="M1573" t="s">
        <v>46</v>
      </c>
      <c r="N1573">
        <v>45683</v>
      </c>
      <c r="O1573">
        <v>3414</v>
      </c>
      <c r="P1573" t="s">
        <v>20</v>
      </c>
      <c r="Q1573">
        <v>0</v>
      </c>
      <c r="R1573" t="s">
        <v>76</v>
      </c>
      <c r="S1573" t="s">
        <v>21</v>
      </c>
      <c r="T1573" t="s">
        <v>20</v>
      </c>
    </row>
    <row r="1574" spans="1:20" x14ac:dyDescent="0.3">
      <c r="A1574" t="s">
        <v>3263</v>
      </c>
      <c r="B1574" t="s">
        <v>99</v>
      </c>
      <c r="C1574" t="s">
        <v>56</v>
      </c>
      <c r="D1574" t="s">
        <v>57</v>
      </c>
      <c r="E1574" t="s">
        <v>14</v>
      </c>
      <c r="F1574" t="s">
        <v>15</v>
      </c>
      <c r="G1574" t="s">
        <v>36</v>
      </c>
      <c r="H1574" t="s">
        <v>5136</v>
      </c>
      <c r="I1574" t="s">
        <v>5137</v>
      </c>
      <c r="J1574">
        <v>73698</v>
      </c>
      <c r="K1574" t="s">
        <v>3264</v>
      </c>
      <c r="L1574" t="s">
        <v>134</v>
      </c>
      <c r="M1574" t="s">
        <v>39</v>
      </c>
      <c r="N1574">
        <v>45492</v>
      </c>
      <c r="O1574">
        <v>372</v>
      </c>
      <c r="P1574" t="s">
        <v>20</v>
      </c>
      <c r="Q1574">
        <v>0</v>
      </c>
      <c r="R1574" t="s">
        <v>40</v>
      </c>
      <c r="S1574" t="s">
        <v>41</v>
      </c>
      <c r="T1574" t="s">
        <v>20</v>
      </c>
    </row>
    <row r="1575" spans="1:20" x14ac:dyDescent="0.3">
      <c r="A1575" t="s">
        <v>3265</v>
      </c>
      <c r="B1575" t="s">
        <v>222</v>
      </c>
      <c r="C1575" t="s">
        <v>117</v>
      </c>
      <c r="D1575" t="s">
        <v>57</v>
      </c>
      <c r="E1575" t="s">
        <v>5127</v>
      </c>
      <c r="F1575" t="s">
        <v>5125</v>
      </c>
      <c r="G1575" t="s">
        <v>36</v>
      </c>
      <c r="H1575" t="s">
        <v>5142</v>
      </c>
      <c r="I1575" t="s">
        <v>5143</v>
      </c>
      <c r="J1575">
        <v>113372</v>
      </c>
      <c r="K1575" t="s">
        <v>3266</v>
      </c>
      <c r="L1575" t="s">
        <v>179</v>
      </c>
      <c r="M1575" t="s">
        <v>72</v>
      </c>
      <c r="N1575">
        <v>45487</v>
      </c>
      <c r="O1575">
        <v>651</v>
      </c>
      <c r="P1575" t="s">
        <v>20</v>
      </c>
      <c r="Q1575">
        <v>4</v>
      </c>
      <c r="R1575" t="s">
        <v>76</v>
      </c>
      <c r="S1575" t="s">
        <v>21</v>
      </c>
      <c r="T1575" t="s">
        <v>20</v>
      </c>
    </row>
    <row r="1576" spans="1:20" x14ac:dyDescent="0.3">
      <c r="A1576" t="s">
        <v>3267</v>
      </c>
      <c r="B1576" t="s">
        <v>74</v>
      </c>
      <c r="C1576" t="s">
        <v>100</v>
      </c>
      <c r="D1576" t="s">
        <v>5156</v>
      </c>
      <c r="E1576" t="s">
        <v>58</v>
      </c>
      <c r="F1576" t="s">
        <v>59</v>
      </c>
      <c r="G1576" t="s">
        <v>36</v>
      </c>
      <c r="H1576" t="s">
        <v>5138</v>
      </c>
      <c r="I1576" t="s">
        <v>5139</v>
      </c>
      <c r="J1576">
        <v>216791</v>
      </c>
      <c r="K1576" t="s">
        <v>3268</v>
      </c>
      <c r="L1576" t="s">
        <v>238</v>
      </c>
      <c r="M1576" t="s">
        <v>72</v>
      </c>
      <c r="N1576">
        <v>45526</v>
      </c>
      <c r="O1576">
        <v>213</v>
      </c>
      <c r="P1576" t="s">
        <v>20</v>
      </c>
      <c r="Q1576">
        <v>6</v>
      </c>
      <c r="R1576" t="s">
        <v>76</v>
      </c>
      <c r="S1576" t="s">
        <v>21</v>
      </c>
      <c r="T1576" t="s">
        <v>20</v>
      </c>
    </row>
    <row r="1577" spans="1:20" x14ac:dyDescent="0.3">
      <c r="A1577" t="s">
        <v>3269</v>
      </c>
      <c r="B1577" t="s">
        <v>78</v>
      </c>
      <c r="C1577" t="s">
        <v>166</v>
      </c>
      <c r="D1577" t="s">
        <v>140</v>
      </c>
      <c r="E1577" t="s">
        <v>5129</v>
      </c>
      <c r="F1577" t="s">
        <v>5130</v>
      </c>
      <c r="G1577" t="s">
        <v>36</v>
      </c>
      <c r="H1577" t="s">
        <v>5142</v>
      </c>
      <c r="I1577" t="s">
        <v>5143</v>
      </c>
      <c r="J1577">
        <v>149037</v>
      </c>
      <c r="K1577" t="s">
        <v>3270</v>
      </c>
      <c r="L1577" t="s">
        <v>5165</v>
      </c>
      <c r="M1577" t="s">
        <v>46</v>
      </c>
      <c r="N1577">
        <v>45469</v>
      </c>
      <c r="O1577">
        <v>3875</v>
      </c>
      <c r="P1577" t="s">
        <v>20</v>
      </c>
      <c r="Q1577">
        <v>4</v>
      </c>
      <c r="R1577" t="s">
        <v>76</v>
      </c>
      <c r="S1577" t="s">
        <v>21</v>
      </c>
      <c r="T1577" t="s">
        <v>29</v>
      </c>
    </row>
    <row r="1578" spans="1:20" x14ac:dyDescent="0.3">
      <c r="A1578" t="s">
        <v>3271</v>
      </c>
      <c r="B1578" t="s">
        <v>218</v>
      </c>
      <c r="C1578" t="s">
        <v>219</v>
      </c>
      <c r="D1578" t="s">
        <v>104</v>
      </c>
      <c r="E1578" t="s">
        <v>126</v>
      </c>
      <c r="F1578" t="s">
        <v>127</v>
      </c>
      <c r="G1578" t="s">
        <v>16</v>
      </c>
      <c r="H1578" t="s">
        <v>5136</v>
      </c>
      <c r="I1578" t="s">
        <v>5137</v>
      </c>
      <c r="J1578">
        <v>50000</v>
      </c>
      <c r="K1578" t="s">
        <v>3272</v>
      </c>
      <c r="L1578" t="s">
        <v>179</v>
      </c>
      <c r="M1578" t="s">
        <v>39</v>
      </c>
      <c r="N1578">
        <v>45543</v>
      </c>
      <c r="O1578">
        <v>858</v>
      </c>
      <c r="P1578" t="s">
        <v>92</v>
      </c>
      <c r="Q1578">
        <v>0</v>
      </c>
      <c r="R1578" t="s">
        <v>47</v>
      </c>
      <c r="S1578" t="s">
        <v>41</v>
      </c>
      <c r="T1578" t="s">
        <v>29</v>
      </c>
    </row>
    <row r="1579" spans="1:20" x14ac:dyDescent="0.3">
      <c r="A1579" t="s">
        <v>3273</v>
      </c>
      <c r="B1579" t="s">
        <v>222</v>
      </c>
      <c r="C1579" t="s">
        <v>13</v>
      </c>
      <c r="D1579" t="s">
        <v>167</v>
      </c>
      <c r="E1579" t="s">
        <v>80</v>
      </c>
      <c r="F1579" t="s">
        <v>80</v>
      </c>
      <c r="G1579" t="s">
        <v>36</v>
      </c>
      <c r="H1579" t="s">
        <v>5138</v>
      </c>
      <c r="I1579" t="s">
        <v>5139</v>
      </c>
      <c r="J1579">
        <v>241930</v>
      </c>
      <c r="K1579" t="s">
        <v>3274</v>
      </c>
      <c r="L1579" t="s">
        <v>38</v>
      </c>
      <c r="M1579" t="s">
        <v>39</v>
      </c>
      <c r="N1579">
        <v>45367</v>
      </c>
      <c r="O1579">
        <v>993</v>
      </c>
      <c r="P1579" t="s">
        <v>20</v>
      </c>
      <c r="Q1579">
        <v>6</v>
      </c>
      <c r="R1579" t="s">
        <v>52</v>
      </c>
      <c r="S1579" t="s">
        <v>21</v>
      </c>
      <c r="T1579" t="s">
        <v>29</v>
      </c>
    </row>
    <row r="1580" spans="1:20" x14ac:dyDescent="0.3">
      <c r="A1580" t="s">
        <v>3275</v>
      </c>
      <c r="B1580" t="s">
        <v>99</v>
      </c>
      <c r="C1580" t="s">
        <v>185</v>
      </c>
      <c r="D1580" t="s">
        <v>118</v>
      </c>
      <c r="E1580" t="s">
        <v>5126</v>
      </c>
      <c r="F1580" t="s">
        <v>5125</v>
      </c>
      <c r="G1580" t="s">
        <v>36</v>
      </c>
      <c r="H1580" t="s">
        <v>5136</v>
      </c>
      <c r="I1580" t="s">
        <v>5137</v>
      </c>
      <c r="J1580">
        <v>60744</v>
      </c>
      <c r="K1580" t="s">
        <v>3276</v>
      </c>
      <c r="L1580" t="s">
        <v>87</v>
      </c>
      <c r="M1580" t="s">
        <v>19</v>
      </c>
      <c r="N1580">
        <v>45577</v>
      </c>
      <c r="O1580">
        <v>598</v>
      </c>
      <c r="P1580" t="s">
        <v>20</v>
      </c>
      <c r="Q1580">
        <v>0</v>
      </c>
      <c r="R1580" t="s">
        <v>5116</v>
      </c>
      <c r="S1580" t="s">
        <v>21</v>
      </c>
      <c r="T1580" t="s">
        <v>29</v>
      </c>
    </row>
    <row r="1581" spans="1:20" x14ac:dyDescent="0.3">
      <c r="A1581" t="s">
        <v>3277</v>
      </c>
      <c r="B1581" t="s">
        <v>74</v>
      </c>
      <c r="C1581" t="s">
        <v>43</v>
      </c>
      <c r="D1581" t="s">
        <v>104</v>
      </c>
      <c r="E1581" t="s">
        <v>5124</v>
      </c>
      <c r="F1581" t="s">
        <v>5125</v>
      </c>
      <c r="G1581" t="s">
        <v>16</v>
      </c>
      <c r="H1581" t="s">
        <v>5142</v>
      </c>
      <c r="I1581" t="s">
        <v>5143</v>
      </c>
      <c r="J1581">
        <v>128123</v>
      </c>
      <c r="K1581" t="s">
        <v>3278</v>
      </c>
      <c r="L1581" t="s">
        <v>5165</v>
      </c>
      <c r="M1581" t="s">
        <v>46</v>
      </c>
      <c r="N1581">
        <v>45321</v>
      </c>
      <c r="O1581">
        <v>2336</v>
      </c>
      <c r="P1581" t="s">
        <v>20</v>
      </c>
      <c r="Q1581">
        <v>4</v>
      </c>
      <c r="R1581" t="s">
        <v>52</v>
      </c>
      <c r="S1581" t="s">
        <v>21</v>
      </c>
      <c r="T1581" t="s">
        <v>29</v>
      </c>
    </row>
    <row r="1582" spans="1:20" x14ac:dyDescent="0.3">
      <c r="A1582" t="s">
        <v>3279</v>
      </c>
      <c r="B1582" t="s">
        <v>124</v>
      </c>
      <c r="C1582" t="s">
        <v>64</v>
      </c>
      <c r="D1582" t="s">
        <v>5156</v>
      </c>
      <c r="E1582" t="s">
        <v>58</v>
      </c>
      <c r="F1582" t="s">
        <v>59</v>
      </c>
      <c r="G1582" t="s">
        <v>16</v>
      </c>
      <c r="H1582" t="s">
        <v>5138</v>
      </c>
      <c r="I1582" t="s">
        <v>5139</v>
      </c>
      <c r="J1582">
        <v>207220</v>
      </c>
      <c r="K1582" t="s">
        <v>3280</v>
      </c>
      <c r="L1582" t="s">
        <v>238</v>
      </c>
      <c r="M1582" t="s">
        <v>19</v>
      </c>
      <c r="N1582">
        <v>45341</v>
      </c>
      <c r="O1582">
        <v>1202</v>
      </c>
      <c r="P1582" t="s">
        <v>29</v>
      </c>
      <c r="Q1582">
        <v>6</v>
      </c>
      <c r="R1582" t="s">
        <v>47</v>
      </c>
      <c r="S1582" t="s">
        <v>21</v>
      </c>
      <c r="T1582" t="s">
        <v>20</v>
      </c>
    </row>
    <row r="1583" spans="1:20" x14ac:dyDescent="0.3">
      <c r="A1583" t="s">
        <v>3281</v>
      </c>
      <c r="B1583" t="s">
        <v>84</v>
      </c>
      <c r="C1583" t="s">
        <v>13</v>
      </c>
      <c r="D1583" t="s">
        <v>140</v>
      </c>
      <c r="E1583" t="s">
        <v>152</v>
      </c>
      <c r="F1583" t="s">
        <v>153</v>
      </c>
      <c r="G1583" t="s">
        <v>36</v>
      </c>
      <c r="H1583" t="s">
        <v>5136</v>
      </c>
      <c r="I1583" t="s">
        <v>5137</v>
      </c>
      <c r="J1583">
        <v>84472</v>
      </c>
      <c r="K1583" t="s">
        <v>3282</v>
      </c>
      <c r="L1583" t="s">
        <v>113</v>
      </c>
      <c r="M1583" t="s">
        <v>19</v>
      </c>
      <c r="N1583">
        <v>45657</v>
      </c>
      <c r="O1583">
        <v>2849</v>
      </c>
      <c r="P1583" t="s">
        <v>29</v>
      </c>
      <c r="Q1583">
        <v>0</v>
      </c>
      <c r="R1583" t="s">
        <v>5116</v>
      </c>
      <c r="S1583" t="s">
        <v>21</v>
      </c>
      <c r="T1583" t="s">
        <v>20</v>
      </c>
    </row>
    <row r="1584" spans="1:20" x14ac:dyDescent="0.3">
      <c r="A1584" t="s">
        <v>3283</v>
      </c>
      <c r="B1584" t="s">
        <v>215</v>
      </c>
      <c r="C1584" t="s">
        <v>202</v>
      </c>
      <c r="D1584" t="s">
        <v>33</v>
      </c>
      <c r="E1584" t="s">
        <v>5124</v>
      </c>
      <c r="F1584" t="s">
        <v>5125</v>
      </c>
      <c r="G1584" t="s">
        <v>16</v>
      </c>
      <c r="H1584" t="s">
        <v>5140</v>
      </c>
      <c r="I1584" t="s">
        <v>5141</v>
      </c>
      <c r="J1584">
        <v>89886</v>
      </c>
      <c r="K1584" t="s">
        <v>3284</v>
      </c>
      <c r="L1584" t="s">
        <v>179</v>
      </c>
      <c r="M1584" t="s">
        <v>39</v>
      </c>
      <c r="N1584">
        <v>45690</v>
      </c>
      <c r="O1584">
        <v>169</v>
      </c>
      <c r="P1584" t="s">
        <v>20</v>
      </c>
      <c r="Q1584">
        <v>2</v>
      </c>
      <c r="R1584" t="s">
        <v>52</v>
      </c>
      <c r="S1584" t="s">
        <v>21</v>
      </c>
      <c r="T1584" t="s">
        <v>20</v>
      </c>
    </row>
    <row r="1585" spans="1:20" x14ac:dyDescent="0.3">
      <c r="A1585" t="s">
        <v>3285</v>
      </c>
      <c r="B1585" t="s">
        <v>12</v>
      </c>
      <c r="C1585" t="s">
        <v>79</v>
      </c>
      <c r="D1585" t="s">
        <v>5156</v>
      </c>
      <c r="E1585" t="s">
        <v>5133</v>
      </c>
      <c r="F1585" t="s">
        <v>5125</v>
      </c>
      <c r="G1585" t="s">
        <v>16</v>
      </c>
      <c r="H1585" t="s">
        <v>5140</v>
      </c>
      <c r="I1585" t="s">
        <v>5141</v>
      </c>
      <c r="J1585">
        <v>111221</v>
      </c>
      <c r="K1585" t="s">
        <v>3286</v>
      </c>
      <c r="L1585" t="s">
        <v>87</v>
      </c>
      <c r="M1585" t="s">
        <v>46</v>
      </c>
      <c r="N1585">
        <v>45480</v>
      </c>
      <c r="O1585">
        <v>1658</v>
      </c>
      <c r="P1585" t="s">
        <v>20</v>
      </c>
      <c r="Q1585">
        <v>2</v>
      </c>
      <c r="R1585" t="s">
        <v>76</v>
      </c>
      <c r="S1585" t="s">
        <v>53</v>
      </c>
      <c r="T1585" t="s">
        <v>20</v>
      </c>
    </row>
    <row r="1586" spans="1:20" x14ac:dyDescent="0.3">
      <c r="A1586" t="s">
        <v>3287</v>
      </c>
      <c r="B1586" t="s">
        <v>99</v>
      </c>
      <c r="C1586" t="s">
        <v>13</v>
      </c>
      <c r="D1586" t="s">
        <v>44</v>
      </c>
      <c r="E1586" t="s">
        <v>152</v>
      </c>
      <c r="F1586" t="s">
        <v>153</v>
      </c>
      <c r="G1586" t="s">
        <v>36</v>
      </c>
      <c r="H1586" t="s">
        <v>5140</v>
      </c>
      <c r="I1586" t="s">
        <v>5141</v>
      </c>
      <c r="J1586">
        <v>118490</v>
      </c>
      <c r="K1586" t="s">
        <v>3288</v>
      </c>
      <c r="L1586" t="s">
        <v>238</v>
      </c>
      <c r="M1586" t="s">
        <v>46</v>
      </c>
      <c r="N1586">
        <v>45442</v>
      </c>
      <c r="O1586">
        <v>1611</v>
      </c>
      <c r="P1586" t="s">
        <v>20</v>
      </c>
      <c r="Q1586">
        <v>2</v>
      </c>
      <c r="R1586" t="s">
        <v>76</v>
      </c>
      <c r="S1586" t="s">
        <v>53</v>
      </c>
      <c r="T1586" t="s">
        <v>20</v>
      </c>
    </row>
    <row r="1587" spans="1:20" x14ac:dyDescent="0.3">
      <c r="A1587" t="s">
        <v>3289</v>
      </c>
      <c r="B1587" t="s">
        <v>74</v>
      </c>
      <c r="C1587" t="s">
        <v>67</v>
      </c>
      <c r="D1587" t="s">
        <v>140</v>
      </c>
      <c r="E1587" t="s">
        <v>223</v>
      </c>
      <c r="F1587" t="s">
        <v>224</v>
      </c>
      <c r="G1587" t="s">
        <v>16</v>
      </c>
      <c r="H1587" t="s">
        <v>5142</v>
      </c>
      <c r="I1587" t="s">
        <v>5143</v>
      </c>
      <c r="J1587">
        <v>168713</v>
      </c>
      <c r="K1587" t="s">
        <v>3290</v>
      </c>
      <c r="L1587" t="s">
        <v>87</v>
      </c>
      <c r="M1587" t="s">
        <v>19</v>
      </c>
      <c r="N1587">
        <v>45366</v>
      </c>
      <c r="O1587">
        <v>1010</v>
      </c>
      <c r="P1587" t="s">
        <v>92</v>
      </c>
      <c r="Q1587">
        <v>4</v>
      </c>
      <c r="R1587" t="s">
        <v>47</v>
      </c>
      <c r="S1587" t="s">
        <v>21</v>
      </c>
      <c r="T1587" t="s">
        <v>29</v>
      </c>
    </row>
    <row r="1588" spans="1:20" x14ac:dyDescent="0.3">
      <c r="A1588" t="s">
        <v>3291</v>
      </c>
      <c r="B1588" t="s">
        <v>222</v>
      </c>
      <c r="C1588" t="s">
        <v>90</v>
      </c>
      <c r="D1588" t="s">
        <v>104</v>
      </c>
      <c r="E1588" t="s">
        <v>5128</v>
      </c>
      <c r="F1588" t="s">
        <v>5125</v>
      </c>
      <c r="G1588" t="s">
        <v>50</v>
      </c>
      <c r="H1588" t="s">
        <v>5140</v>
      </c>
      <c r="I1588" t="s">
        <v>5141</v>
      </c>
      <c r="J1588">
        <v>113493</v>
      </c>
      <c r="K1588" t="s">
        <v>3292</v>
      </c>
      <c r="L1588" t="s">
        <v>134</v>
      </c>
      <c r="M1588" t="s">
        <v>39</v>
      </c>
      <c r="N1588">
        <v>45738</v>
      </c>
      <c r="O1588">
        <v>3237</v>
      </c>
      <c r="P1588" t="s">
        <v>29</v>
      </c>
      <c r="Q1588">
        <v>2</v>
      </c>
      <c r="R1588" t="s">
        <v>47</v>
      </c>
      <c r="S1588" t="s">
        <v>21</v>
      </c>
      <c r="T1588" t="s">
        <v>29</v>
      </c>
    </row>
    <row r="1589" spans="1:20" x14ac:dyDescent="0.3">
      <c r="A1589" t="s">
        <v>3293</v>
      </c>
      <c r="B1589" t="s">
        <v>130</v>
      </c>
      <c r="C1589" t="s">
        <v>94</v>
      </c>
      <c r="D1589" t="s">
        <v>44</v>
      </c>
      <c r="E1589" t="s">
        <v>5132</v>
      </c>
      <c r="F1589" t="s">
        <v>5125</v>
      </c>
      <c r="G1589" t="s">
        <v>16</v>
      </c>
      <c r="H1589" t="s">
        <v>5136</v>
      </c>
      <c r="I1589" t="s">
        <v>5137</v>
      </c>
      <c r="J1589">
        <v>65375</v>
      </c>
      <c r="K1589" t="s">
        <v>3294</v>
      </c>
      <c r="L1589" t="s">
        <v>5165</v>
      </c>
      <c r="M1589" t="s">
        <v>39</v>
      </c>
      <c r="N1589">
        <v>45692</v>
      </c>
      <c r="O1589">
        <v>3014</v>
      </c>
      <c r="P1589" t="s">
        <v>20</v>
      </c>
      <c r="Q1589">
        <v>0</v>
      </c>
      <c r="R1589" t="s">
        <v>52</v>
      </c>
      <c r="S1589" t="s">
        <v>41</v>
      </c>
      <c r="T1589" t="s">
        <v>20</v>
      </c>
    </row>
    <row r="1590" spans="1:20" x14ac:dyDescent="0.3">
      <c r="A1590" t="s">
        <v>3295</v>
      </c>
      <c r="B1590" t="s">
        <v>55</v>
      </c>
      <c r="C1590" t="s">
        <v>103</v>
      </c>
      <c r="D1590" t="s">
        <v>33</v>
      </c>
      <c r="E1590" t="s">
        <v>152</v>
      </c>
      <c r="F1590" t="s">
        <v>153</v>
      </c>
      <c r="G1590" t="s">
        <v>16</v>
      </c>
      <c r="H1590" t="s">
        <v>5142</v>
      </c>
      <c r="I1590" t="s">
        <v>5143</v>
      </c>
      <c r="J1590">
        <v>127655</v>
      </c>
      <c r="K1590" t="s">
        <v>3296</v>
      </c>
      <c r="L1590" t="s">
        <v>113</v>
      </c>
      <c r="M1590" t="s">
        <v>39</v>
      </c>
      <c r="N1590">
        <v>45574</v>
      </c>
      <c r="O1590">
        <v>434</v>
      </c>
      <c r="P1590" t="s">
        <v>29</v>
      </c>
      <c r="Q1590">
        <v>4</v>
      </c>
      <c r="R1590" t="s">
        <v>76</v>
      </c>
      <c r="S1590" t="s">
        <v>21</v>
      </c>
      <c r="T1590" t="s">
        <v>29</v>
      </c>
    </row>
    <row r="1591" spans="1:20" x14ac:dyDescent="0.3">
      <c r="A1591" t="s">
        <v>3297</v>
      </c>
      <c r="B1591" t="s">
        <v>229</v>
      </c>
      <c r="C1591" t="s">
        <v>172</v>
      </c>
      <c r="D1591" t="s">
        <v>25</v>
      </c>
      <c r="E1591" t="s">
        <v>26</v>
      </c>
      <c r="F1591" t="s">
        <v>27</v>
      </c>
      <c r="G1591" t="s">
        <v>16</v>
      </c>
      <c r="H1591" t="s">
        <v>5136</v>
      </c>
      <c r="I1591" t="s">
        <v>5137</v>
      </c>
      <c r="J1591">
        <v>71085</v>
      </c>
      <c r="K1591" t="s">
        <v>3298</v>
      </c>
      <c r="L1591" t="s">
        <v>5165</v>
      </c>
      <c r="M1591" t="s">
        <v>46</v>
      </c>
      <c r="N1591">
        <v>45617</v>
      </c>
      <c r="O1591">
        <v>1489</v>
      </c>
      <c r="P1591" t="s">
        <v>20</v>
      </c>
      <c r="Q1591">
        <v>0</v>
      </c>
      <c r="R1591" t="s">
        <v>76</v>
      </c>
      <c r="S1591" t="s">
        <v>53</v>
      </c>
      <c r="T1591" t="s">
        <v>20</v>
      </c>
    </row>
    <row r="1592" spans="1:20" x14ac:dyDescent="0.3">
      <c r="A1592" t="s">
        <v>3299</v>
      </c>
      <c r="B1592" t="s">
        <v>130</v>
      </c>
      <c r="C1592" t="s">
        <v>64</v>
      </c>
      <c r="D1592" t="s">
        <v>140</v>
      </c>
      <c r="E1592" t="s">
        <v>5129</v>
      </c>
      <c r="F1592" t="s">
        <v>5130</v>
      </c>
      <c r="G1592" t="s">
        <v>16</v>
      </c>
      <c r="H1592" t="s">
        <v>5138</v>
      </c>
      <c r="I1592" t="s">
        <v>5139</v>
      </c>
      <c r="J1592">
        <v>161402</v>
      </c>
      <c r="K1592" t="s">
        <v>3300</v>
      </c>
      <c r="L1592" t="s">
        <v>38</v>
      </c>
      <c r="M1592" t="s">
        <v>19</v>
      </c>
      <c r="N1592">
        <v>45710</v>
      </c>
      <c r="O1592">
        <v>522</v>
      </c>
      <c r="P1592" t="s">
        <v>92</v>
      </c>
      <c r="Q1592">
        <v>6</v>
      </c>
      <c r="R1592" t="s">
        <v>47</v>
      </c>
      <c r="S1592" t="s">
        <v>21</v>
      </c>
      <c r="T1592" t="s">
        <v>20</v>
      </c>
    </row>
    <row r="1593" spans="1:20" x14ac:dyDescent="0.3">
      <c r="A1593" t="s">
        <v>3301</v>
      </c>
      <c r="B1593" t="s">
        <v>89</v>
      </c>
      <c r="C1593" t="s">
        <v>139</v>
      </c>
      <c r="D1593" t="s">
        <v>25</v>
      </c>
      <c r="E1593" t="s">
        <v>5127</v>
      </c>
      <c r="F1593" t="s">
        <v>5125</v>
      </c>
      <c r="G1593" t="s">
        <v>36</v>
      </c>
      <c r="H1593" t="s">
        <v>5142</v>
      </c>
      <c r="I1593" t="s">
        <v>5143</v>
      </c>
      <c r="J1593">
        <v>71123</v>
      </c>
      <c r="K1593" t="s">
        <v>3302</v>
      </c>
      <c r="L1593" t="s">
        <v>5165</v>
      </c>
      <c r="M1593" t="s">
        <v>19</v>
      </c>
      <c r="N1593">
        <v>45429</v>
      </c>
      <c r="O1593">
        <v>1852</v>
      </c>
      <c r="P1593" t="s">
        <v>29</v>
      </c>
      <c r="Q1593">
        <v>4</v>
      </c>
      <c r="R1593" t="s">
        <v>47</v>
      </c>
      <c r="S1593" t="s">
        <v>21</v>
      </c>
      <c r="T1593" t="s">
        <v>29</v>
      </c>
    </row>
    <row r="1594" spans="1:20" x14ac:dyDescent="0.3">
      <c r="A1594" t="s">
        <v>3303</v>
      </c>
      <c r="B1594" t="s">
        <v>84</v>
      </c>
      <c r="C1594" t="s">
        <v>219</v>
      </c>
      <c r="D1594" t="s">
        <v>33</v>
      </c>
      <c r="E1594" t="s">
        <v>209</v>
      </c>
      <c r="F1594" t="s">
        <v>210</v>
      </c>
      <c r="G1594" t="s">
        <v>16</v>
      </c>
      <c r="H1594" t="s">
        <v>5138</v>
      </c>
      <c r="I1594" t="s">
        <v>5139</v>
      </c>
      <c r="J1594">
        <v>215716</v>
      </c>
      <c r="K1594" t="s">
        <v>3304</v>
      </c>
      <c r="L1594" t="s">
        <v>82</v>
      </c>
      <c r="M1594" t="s">
        <v>72</v>
      </c>
      <c r="N1594">
        <v>45387</v>
      </c>
      <c r="O1594">
        <v>1434</v>
      </c>
      <c r="P1594" t="s">
        <v>20</v>
      </c>
      <c r="Q1594">
        <v>6</v>
      </c>
      <c r="R1594" t="s">
        <v>52</v>
      </c>
      <c r="S1594" t="s">
        <v>21</v>
      </c>
      <c r="T1594" t="s">
        <v>20</v>
      </c>
    </row>
    <row r="1595" spans="1:20" x14ac:dyDescent="0.3">
      <c r="A1595" t="s">
        <v>3305</v>
      </c>
      <c r="B1595" t="s">
        <v>222</v>
      </c>
      <c r="C1595" t="s">
        <v>125</v>
      </c>
      <c r="D1595" t="s">
        <v>140</v>
      </c>
      <c r="E1595" t="s">
        <v>5132</v>
      </c>
      <c r="F1595" t="s">
        <v>5125</v>
      </c>
      <c r="G1595" t="s">
        <v>50</v>
      </c>
      <c r="H1595" t="s">
        <v>5136</v>
      </c>
      <c r="I1595" t="s">
        <v>5137</v>
      </c>
      <c r="J1595">
        <v>81389</v>
      </c>
      <c r="K1595" t="s">
        <v>3306</v>
      </c>
      <c r="L1595" t="s">
        <v>134</v>
      </c>
      <c r="M1595" t="s">
        <v>72</v>
      </c>
      <c r="N1595">
        <v>45600</v>
      </c>
      <c r="O1595">
        <v>261</v>
      </c>
      <c r="P1595" t="s">
        <v>20</v>
      </c>
      <c r="Q1595">
        <v>0</v>
      </c>
      <c r="R1595" t="s">
        <v>40</v>
      </c>
      <c r="S1595" t="s">
        <v>41</v>
      </c>
      <c r="T1595" t="s">
        <v>29</v>
      </c>
    </row>
    <row r="1596" spans="1:20" x14ac:dyDescent="0.3">
      <c r="A1596" t="s">
        <v>3307</v>
      </c>
      <c r="B1596" t="s">
        <v>78</v>
      </c>
      <c r="C1596" t="s">
        <v>79</v>
      </c>
      <c r="D1596" t="s">
        <v>33</v>
      </c>
      <c r="E1596" t="s">
        <v>126</v>
      </c>
      <c r="F1596" t="s">
        <v>127</v>
      </c>
      <c r="G1596" t="s">
        <v>16</v>
      </c>
      <c r="H1596" t="s">
        <v>5142</v>
      </c>
      <c r="I1596" t="s">
        <v>5143</v>
      </c>
      <c r="J1596">
        <v>86200</v>
      </c>
      <c r="K1596" t="s">
        <v>3308</v>
      </c>
      <c r="L1596" t="s">
        <v>179</v>
      </c>
      <c r="M1596" t="s">
        <v>46</v>
      </c>
      <c r="N1596">
        <v>45617</v>
      </c>
      <c r="O1596">
        <v>113</v>
      </c>
      <c r="P1596" t="s">
        <v>92</v>
      </c>
      <c r="Q1596">
        <v>4</v>
      </c>
      <c r="R1596" t="s">
        <v>52</v>
      </c>
      <c r="S1596" t="s">
        <v>53</v>
      </c>
      <c r="T1596" t="s">
        <v>29</v>
      </c>
    </row>
    <row r="1597" spans="1:20" x14ac:dyDescent="0.3">
      <c r="A1597" t="s">
        <v>3309</v>
      </c>
      <c r="B1597" t="s">
        <v>63</v>
      </c>
      <c r="C1597" t="s">
        <v>188</v>
      </c>
      <c r="D1597" t="s">
        <v>33</v>
      </c>
      <c r="E1597" t="s">
        <v>152</v>
      </c>
      <c r="F1597" t="s">
        <v>153</v>
      </c>
      <c r="G1597" t="s">
        <v>50</v>
      </c>
      <c r="H1597" t="s">
        <v>5138</v>
      </c>
      <c r="I1597" t="s">
        <v>5139</v>
      </c>
      <c r="J1597">
        <v>163649</v>
      </c>
      <c r="K1597" t="s">
        <v>3310</v>
      </c>
      <c r="L1597" t="s">
        <v>5165</v>
      </c>
      <c r="M1597" t="s">
        <v>39</v>
      </c>
      <c r="N1597">
        <v>45683</v>
      </c>
      <c r="O1597">
        <v>1829</v>
      </c>
      <c r="P1597" t="s">
        <v>20</v>
      </c>
      <c r="Q1597">
        <v>6</v>
      </c>
      <c r="R1597" t="s">
        <v>5116</v>
      </c>
      <c r="S1597" t="s">
        <v>41</v>
      </c>
      <c r="T1597" t="s">
        <v>29</v>
      </c>
    </row>
    <row r="1598" spans="1:20" x14ac:dyDescent="0.3">
      <c r="A1598" t="s">
        <v>3311</v>
      </c>
      <c r="B1598" t="s">
        <v>12</v>
      </c>
      <c r="C1598" t="s">
        <v>151</v>
      </c>
      <c r="D1598" t="s">
        <v>167</v>
      </c>
      <c r="E1598" t="s">
        <v>5127</v>
      </c>
      <c r="F1598" t="s">
        <v>5125</v>
      </c>
      <c r="G1598" t="s">
        <v>50</v>
      </c>
      <c r="H1598" t="s">
        <v>5138</v>
      </c>
      <c r="I1598" t="s">
        <v>5139</v>
      </c>
      <c r="J1598">
        <v>222289</v>
      </c>
      <c r="K1598" t="s">
        <v>3312</v>
      </c>
      <c r="L1598" t="s">
        <v>5165</v>
      </c>
      <c r="M1598" t="s">
        <v>46</v>
      </c>
      <c r="N1598">
        <v>45434</v>
      </c>
      <c r="O1598">
        <v>1843</v>
      </c>
      <c r="P1598" t="s">
        <v>20</v>
      </c>
      <c r="Q1598">
        <v>6</v>
      </c>
      <c r="R1598" t="s">
        <v>47</v>
      </c>
      <c r="S1598" t="s">
        <v>21</v>
      </c>
      <c r="T1598" t="s">
        <v>20</v>
      </c>
    </row>
    <row r="1599" spans="1:20" x14ac:dyDescent="0.3">
      <c r="A1599" t="s">
        <v>3313</v>
      </c>
      <c r="B1599" t="s">
        <v>74</v>
      </c>
      <c r="C1599" t="s">
        <v>109</v>
      </c>
      <c r="D1599" t="s">
        <v>33</v>
      </c>
      <c r="E1599" t="s">
        <v>5124</v>
      </c>
      <c r="F1599" t="s">
        <v>5125</v>
      </c>
      <c r="G1599" t="s">
        <v>16</v>
      </c>
      <c r="H1599" t="s">
        <v>5138</v>
      </c>
      <c r="I1599" t="s">
        <v>5139</v>
      </c>
      <c r="J1599">
        <v>274069</v>
      </c>
      <c r="K1599" t="s">
        <v>3314</v>
      </c>
      <c r="L1599" t="s">
        <v>5165</v>
      </c>
      <c r="M1599" t="s">
        <v>39</v>
      </c>
      <c r="N1599">
        <v>45374</v>
      </c>
      <c r="O1599">
        <v>1008</v>
      </c>
      <c r="P1599" t="s">
        <v>92</v>
      </c>
      <c r="Q1599">
        <v>6</v>
      </c>
      <c r="R1599" t="s">
        <v>5116</v>
      </c>
      <c r="S1599" t="s">
        <v>21</v>
      </c>
      <c r="T1599" t="s">
        <v>20</v>
      </c>
    </row>
    <row r="1600" spans="1:20" x14ac:dyDescent="0.3">
      <c r="A1600" t="s">
        <v>3315</v>
      </c>
      <c r="B1600" t="s">
        <v>136</v>
      </c>
      <c r="C1600" t="s">
        <v>188</v>
      </c>
      <c r="D1600" t="s">
        <v>57</v>
      </c>
      <c r="E1600" t="s">
        <v>5126</v>
      </c>
      <c r="F1600" t="s">
        <v>5125</v>
      </c>
      <c r="G1600" t="s">
        <v>36</v>
      </c>
      <c r="H1600" t="s">
        <v>5140</v>
      </c>
      <c r="I1600" t="s">
        <v>5141</v>
      </c>
      <c r="J1600">
        <v>110411</v>
      </c>
      <c r="K1600" t="s">
        <v>3316</v>
      </c>
      <c r="L1600" t="s">
        <v>5165</v>
      </c>
      <c r="M1600" t="s">
        <v>46</v>
      </c>
      <c r="N1600">
        <v>45470</v>
      </c>
      <c r="O1600">
        <v>974</v>
      </c>
      <c r="P1600" t="s">
        <v>29</v>
      </c>
      <c r="Q1600">
        <v>2</v>
      </c>
      <c r="R1600" t="s">
        <v>52</v>
      </c>
      <c r="S1600" t="s">
        <v>21</v>
      </c>
      <c r="T1600" t="s">
        <v>20</v>
      </c>
    </row>
    <row r="1601" spans="1:20" x14ac:dyDescent="0.3">
      <c r="A1601" t="s">
        <v>3317</v>
      </c>
      <c r="B1601" t="s">
        <v>74</v>
      </c>
      <c r="C1601" t="s">
        <v>121</v>
      </c>
      <c r="D1601" t="s">
        <v>68</v>
      </c>
      <c r="E1601" t="s">
        <v>58</v>
      </c>
      <c r="F1601" t="s">
        <v>59</v>
      </c>
      <c r="G1601" t="s">
        <v>16</v>
      </c>
      <c r="H1601" t="s">
        <v>5138</v>
      </c>
      <c r="I1601" t="s">
        <v>5139</v>
      </c>
      <c r="J1601">
        <v>173791</v>
      </c>
      <c r="K1601" t="s">
        <v>3318</v>
      </c>
      <c r="L1601" t="s">
        <v>5165</v>
      </c>
      <c r="M1601" t="s">
        <v>46</v>
      </c>
      <c r="N1601">
        <v>45545</v>
      </c>
      <c r="O1601">
        <v>3982</v>
      </c>
      <c r="P1601" t="s">
        <v>20</v>
      </c>
      <c r="Q1601">
        <v>6</v>
      </c>
      <c r="R1601" t="s">
        <v>76</v>
      </c>
      <c r="S1601" t="s">
        <v>21</v>
      </c>
      <c r="T1601" t="s">
        <v>20</v>
      </c>
    </row>
    <row r="1602" spans="1:20" x14ac:dyDescent="0.3">
      <c r="A1602" t="s">
        <v>3319</v>
      </c>
      <c r="B1602" t="s">
        <v>130</v>
      </c>
      <c r="C1602" t="s">
        <v>232</v>
      </c>
      <c r="D1602" t="s">
        <v>104</v>
      </c>
      <c r="E1602" t="s">
        <v>5128</v>
      </c>
      <c r="F1602" t="s">
        <v>5125</v>
      </c>
      <c r="G1602" t="s">
        <v>16</v>
      </c>
      <c r="H1602" t="s">
        <v>5138</v>
      </c>
      <c r="I1602" t="s">
        <v>5139</v>
      </c>
      <c r="J1602">
        <v>193415</v>
      </c>
      <c r="K1602" t="s">
        <v>3320</v>
      </c>
      <c r="L1602" t="s">
        <v>82</v>
      </c>
      <c r="M1602" t="s">
        <v>46</v>
      </c>
      <c r="N1602">
        <v>45332</v>
      </c>
      <c r="O1602">
        <v>1773</v>
      </c>
      <c r="P1602" t="s">
        <v>29</v>
      </c>
      <c r="Q1602">
        <v>6</v>
      </c>
      <c r="R1602" t="s">
        <v>40</v>
      </c>
      <c r="S1602" t="s">
        <v>21</v>
      </c>
      <c r="T1602" t="s">
        <v>29</v>
      </c>
    </row>
    <row r="1603" spans="1:20" x14ac:dyDescent="0.3">
      <c r="A1603" t="s">
        <v>3321</v>
      </c>
      <c r="B1603" t="s">
        <v>84</v>
      </c>
      <c r="C1603" t="s">
        <v>67</v>
      </c>
      <c r="D1603" t="s">
        <v>104</v>
      </c>
      <c r="E1603" t="s">
        <v>34</v>
      </c>
      <c r="F1603" t="s">
        <v>35</v>
      </c>
      <c r="G1603" t="s">
        <v>36</v>
      </c>
      <c r="H1603" t="s">
        <v>5142</v>
      </c>
      <c r="I1603" t="s">
        <v>5143</v>
      </c>
      <c r="J1603">
        <v>187121</v>
      </c>
      <c r="K1603" t="s">
        <v>3322</v>
      </c>
      <c r="L1603" t="s">
        <v>18</v>
      </c>
      <c r="M1603" t="s">
        <v>19</v>
      </c>
      <c r="N1603">
        <v>45352</v>
      </c>
      <c r="O1603">
        <v>3082</v>
      </c>
      <c r="P1603" t="s">
        <v>20</v>
      </c>
      <c r="Q1603">
        <v>4</v>
      </c>
      <c r="R1603" t="s">
        <v>40</v>
      </c>
      <c r="S1603" t="s">
        <v>21</v>
      </c>
      <c r="T1603" t="s">
        <v>20</v>
      </c>
    </row>
    <row r="1604" spans="1:20" x14ac:dyDescent="0.3">
      <c r="A1604" t="s">
        <v>3323</v>
      </c>
      <c r="B1604" t="s">
        <v>23</v>
      </c>
      <c r="C1604" t="s">
        <v>166</v>
      </c>
      <c r="D1604" t="s">
        <v>118</v>
      </c>
      <c r="E1604" t="s">
        <v>5132</v>
      </c>
      <c r="F1604" t="s">
        <v>5125</v>
      </c>
      <c r="G1604" t="s">
        <v>16</v>
      </c>
      <c r="H1604" t="s">
        <v>5138</v>
      </c>
      <c r="I1604" t="s">
        <v>5139</v>
      </c>
      <c r="J1604">
        <v>176745</v>
      </c>
      <c r="K1604" t="s">
        <v>3324</v>
      </c>
      <c r="L1604" t="s">
        <v>238</v>
      </c>
      <c r="M1604" t="s">
        <v>46</v>
      </c>
      <c r="N1604">
        <v>45443</v>
      </c>
      <c r="O1604">
        <v>2976</v>
      </c>
      <c r="P1604" t="s">
        <v>20</v>
      </c>
      <c r="Q1604">
        <v>6</v>
      </c>
      <c r="R1604" t="s">
        <v>52</v>
      </c>
      <c r="S1604" t="s">
        <v>21</v>
      </c>
      <c r="T1604" t="s">
        <v>20</v>
      </c>
    </row>
    <row r="1605" spans="1:20" x14ac:dyDescent="0.3">
      <c r="A1605" t="s">
        <v>3325</v>
      </c>
      <c r="B1605" t="s">
        <v>55</v>
      </c>
      <c r="C1605" t="s">
        <v>49</v>
      </c>
      <c r="D1605" t="s">
        <v>5156</v>
      </c>
      <c r="E1605" t="s">
        <v>5124</v>
      </c>
      <c r="F1605" t="s">
        <v>5125</v>
      </c>
      <c r="G1605" t="s">
        <v>16</v>
      </c>
      <c r="H1605" t="s">
        <v>5142</v>
      </c>
      <c r="I1605" t="s">
        <v>5143</v>
      </c>
      <c r="J1605">
        <v>128421</v>
      </c>
      <c r="K1605" t="s">
        <v>3326</v>
      </c>
      <c r="L1605" t="s">
        <v>5165</v>
      </c>
      <c r="M1605" t="s">
        <v>19</v>
      </c>
      <c r="N1605">
        <v>45718</v>
      </c>
      <c r="O1605">
        <v>3220</v>
      </c>
      <c r="P1605" t="s">
        <v>92</v>
      </c>
      <c r="Q1605">
        <v>4</v>
      </c>
      <c r="R1605" t="s">
        <v>5116</v>
      </c>
      <c r="S1605" t="s">
        <v>21</v>
      </c>
      <c r="T1605" t="s">
        <v>20</v>
      </c>
    </row>
    <row r="1606" spans="1:20" x14ac:dyDescent="0.3">
      <c r="A1606" t="s">
        <v>3327</v>
      </c>
      <c r="B1606" t="s">
        <v>63</v>
      </c>
      <c r="C1606" t="s">
        <v>202</v>
      </c>
      <c r="D1606" t="s">
        <v>44</v>
      </c>
      <c r="E1606" t="s">
        <v>5131</v>
      </c>
      <c r="F1606" t="s">
        <v>5125</v>
      </c>
      <c r="G1606" t="s">
        <v>16</v>
      </c>
      <c r="H1606" t="s">
        <v>5142</v>
      </c>
      <c r="I1606" t="s">
        <v>5143</v>
      </c>
      <c r="J1606">
        <v>136965</v>
      </c>
      <c r="K1606" t="s">
        <v>3328</v>
      </c>
      <c r="L1606" t="s">
        <v>142</v>
      </c>
      <c r="M1606" t="s">
        <v>39</v>
      </c>
      <c r="N1606">
        <v>45328</v>
      </c>
      <c r="O1606">
        <v>202</v>
      </c>
      <c r="P1606" t="s">
        <v>20</v>
      </c>
      <c r="Q1606">
        <v>4</v>
      </c>
      <c r="R1606" t="s">
        <v>76</v>
      </c>
      <c r="S1606" t="s">
        <v>21</v>
      </c>
      <c r="T1606" t="s">
        <v>20</v>
      </c>
    </row>
    <row r="1607" spans="1:20" x14ac:dyDescent="0.3">
      <c r="A1607" t="s">
        <v>3329</v>
      </c>
      <c r="B1607" t="s">
        <v>99</v>
      </c>
      <c r="C1607" t="s">
        <v>109</v>
      </c>
      <c r="D1607" t="s">
        <v>68</v>
      </c>
      <c r="E1607" t="s">
        <v>5126</v>
      </c>
      <c r="F1607" t="s">
        <v>5125</v>
      </c>
      <c r="G1607" t="s">
        <v>50</v>
      </c>
      <c r="H1607" t="s">
        <v>5142</v>
      </c>
      <c r="I1607" t="s">
        <v>5143</v>
      </c>
      <c r="J1607">
        <v>124260</v>
      </c>
      <c r="K1607" t="s">
        <v>3330</v>
      </c>
      <c r="L1607" t="s">
        <v>5165</v>
      </c>
      <c r="M1607" t="s">
        <v>39</v>
      </c>
      <c r="N1607">
        <v>45611</v>
      </c>
      <c r="O1607">
        <v>533</v>
      </c>
      <c r="P1607" t="s">
        <v>29</v>
      </c>
      <c r="Q1607">
        <v>4</v>
      </c>
      <c r="R1607" t="s">
        <v>47</v>
      </c>
      <c r="S1607" t="s">
        <v>21</v>
      </c>
      <c r="T1607" t="s">
        <v>29</v>
      </c>
    </row>
    <row r="1608" spans="1:20" x14ac:dyDescent="0.3">
      <c r="A1608" t="s">
        <v>3331</v>
      </c>
      <c r="B1608" t="s">
        <v>31</v>
      </c>
      <c r="C1608" t="s">
        <v>24</v>
      </c>
      <c r="D1608" t="s">
        <v>140</v>
      </c>
      <c r="E1608" t="s">
        <v>152</v>
      </c>
      <c r="F1608" t="s">
        <v>153</v>
      </c>
      <c r="G1608" t="s">
        <v>36</v>
      </c>
      <c r="H1608" t="s">
        <v>5136</v>
      </c>
      <c r="I1608" t="s">
        <v>5137</v>
      </c>
      <c r="J1608">
        <v>71545</v>
      </c>
      <c r="K1608" t="s">
        <v>3332</v>
      </c>
      <c r="L1608" t="s">
        <v>5165</v>
      </c>
      <c r="M1608" t="s">
        <v>19</v>
      </c>
      <c r="N1608">
        <v>45530</v>
      </c>
      <c r="O1608">
        <v>527</v>
      </c>
      <c r="P1608" t="s">
        <v>92</v>
      </c>
      <c r="Q1608">
        <v>0</v>
      </c>
      <c r="R1608" t="s">
        <v>76</v>
      </c>
      <c r="S1608" t="s">
        <v>21</v>
      </c>
      <c r="T1608" t="s">
        <v>20</v>
      </c>
    </row>
    <row r="1609" spans="1:20" x14ac:dyDescent="0.3">
      <c r="A1609" t="s">
        <v>3333</v>
      </c>
      <c r="B1609" t="s">
        <v>144</v>
      </c>
      <c r="C1609" t="s">
        <v>109</v>
      </c>
      <c r="D1609" t="s">
        <v>5156</v>
      </c>
      <c r="E1609" t="s">
        <v>80</v>
      </c>
      <c r="F1609" t="s">
        <v>80</v>
      </c>
      <c r="G1609" t="s">
        <v>36</v>
      </c>
      <c r="H1609" t="s">
        <v>5138</v>
      </c>
      <c r="I1609" t="s">
        <v>5139</v>
      </c>
      <c r="J1609">
        <v>258488</v>
      </c>
      <c r="K1609" t="s">
        <v>3334</v>
      </c>
      <c r="L1609" t="s">
        <v>238</v>
      </c>
      <c r="M1609" t="s">
        <v>19</v>
      </c>
      <c r="N1609">
        <v>45561</v>
      </c>
      <c r="O1609">
        <v>1082</v>
      </c>
      <c r="P1609" t="s">
        <v>20</v>
      </c>
      <c r="Q1609">
        <v>6</v>
      </c>
      <c r="R1609" t="s">
        <v>52</v>
      </c>
      <c r="S1609" t="s">
        <v>21</v>
      </c>
      <c r="T1609" t="s">
        <v>29</v>
      </c>
    </row>
    <row r="1610" spans="1:20" x14ac:dyDescent="0.3">
      <c r="A1610" t="s">
        <v>3335</v>
      </c>
      <c r="B1610" t="s">
        <v>99</v>
      </c>
      <c r="C1610" t="s">
        <v>43</v>
      </c>
      <c r="D1610" t="s">
        <v>44</v>
      </c>
      <c r="E1610" t="s">
        <v>209</v>
      </c>
      <c r="F1610" t="s">
        <v>210</v>
      </c>
      <c r="G1610" t="s">
        <v>36</v>
      </c>
      <c r="H1610" t="s">
        <v>5142</v>
      </c>
      <c r="I1610" t="s">
        <v>5143</v>
      </c>
      <c r="J1610">
        <v>158723</v>
      </c>
      <c r="K1610" t="s">
        <v>3336</v>
      </c>
      <c r="L1610" t="s">
        <v>5165</v>
      </c>
      <c r="M1610" t="s">
        <v>39</v>
      </c>
      <c r="N1610">
        <v>45503</v>
      </c>
      <c r="O1610">
        <v>2707</v>
      </c>
      <c r="P1610" t="s">
        <v>29</v>
      </c>
      <c r="Q1610">
        <v>4</v>
      </c>
      <c r="R1610" t="s">
        <v>40</v>
      </c>
      <c r="S1610" t="s">
        <v>21</v>
      </c>
      <c r="T1610" t="s">
        <v>20</v>
      </c>
    </row>
    <row r="1611" spans="1:20" x14ac:dyDescent="0.3">
      <c r="A1611" t="s">
        <v>3337</v>
      </c>
      <c r="B1611" t="s">
        <v>55</v>
      </c>
      <c r="C1611" t="s">
        <v>32</v>
      </c>
      <c r="D1611" t="s">
        <v>167</v>
      </c>
      <c r="E1611" t="s">
        <v>34</v>
      </c>
      <c r="F1611" t="s">
        <v>35</v>
      </c>
      <c r="G1611" t="s">
        <v>50</v>
      </c>
      <c r="H1611" t="s">
        <v>5138</v>
      </c>
      <c r="I1611" t="s">
        <v>5139</v>
      </c>
      <c r="J1611">
        <v>190915</v>
      </c>
      <c r="K1611" t="s">
        <v>3338</v>
      </c>
      <c r="L1611" t="s">
        <v>18</v>
      </c>
      <c r="M1611" t="s">
        <v>39</v>
      </c>
      <c r="N1611">
        <v>45381</v>
      </c>
      <c r="O1611">
        <v>3845</v>
      </c>
      <c r="P1611" t="s">
        <v>29</v>
      </c>
      <c r="Q1611">
        <v>6</v>
      </c>
      <c r="R1611" t="s">
        <v>47</v>
      </c>
      <c r="S1611" t="s">
        <v>53</v>
      </c>
      <c r="T1611" t="s">
        <v>29</v>
      </c>
    </row>
    <row r="1612" spans="1:20" x14ac:dyDescent="0.3">
      <c r="A1612" t="s">
        <v>3339</v>
      </c>
      <c r="B1612" t="s">
        <v>31</v>
      </c>
      <c r="C1612" t="s">
        <v>100</v>
      </c>
      <c r="D1612" t="s">
        <v>68</v>
      </c>
      <c r="E1612" t="s">
        <v>223</v>
      </c>
      <c r="F1612" t="s">
        <v>224</v>
      </c>
      <c r="G1612" t="s">
        <v>36</v>
      </c>
      <c r="H1612" t="s">
        <v>5142</v>
      </c>
      <c r="I1612" t="s">
        <v>5143</v>
      </c>
      <c r="J1612">
        <v>142121</v>
      </c>
      <c r="K1612" t="s">
        <v>3340</v>
      </c>
      <c r="L1612" t="s">
        <v>5165</v>
      </c>
      <c r="M1612" t="s">
        <v>46</v>
      </c>
      <c r="N1612">
        <v>45434</v>
      </c>
      <c r="O1612">
        <v>3582</v>
      </c>
      <c r="P1612" t="s">
        <v>92</v>
      </c>
      <c r="Q1612">
        <v>4</v>
      </c>
      <c r="R1612" t="s">
        <v>5116</v>
      </c>
      <c r="S1612" t="s">
        <v>21</v>
      </c>
      <c r="T1612" t="s">
        <v>20</v>
      </c>
    </row>
    <row r="1613" spans="1:20" x14ac:dyDescent="0.3">
      <c r="A1613" t="s">
        <v>3341</v>
      </c>
      <c r="B1613" t="s">
        <v>84</v>
      </c>
      <c r="C1613" t="s">
        <v>24</v>
      </c>
      <c r="D1613" t="s">
        <v>167</v>
      </c>
      <c r="E1613" t="s">
        <v>5127</v>
      </c>
      <c r="F1613" t="s">
        <v>5125</v>
      </c>
      <c r="G1613" t="s">
        <v>16</v>
      </c>
      <c r="H1613" t="s">
        <v>5140</v>
      </c>
      <c r="I1613" t="s">
        <v>5141</v>
      </c>
      <c r="J1613">
        <v>79048</v>
      </c>
      <c r="K1613" t="s">
        <v>3342</v>
      </c>
      <c r="L1613" t="s">
        <v>38</v>
      </c>
      <c r="M1613" t="s">
        <v>46</v>
      </c>
      <c r="N1613">
        <v>45304</v>
      </c>
      <c r="O1613">
        <v>3167</v>
      </c>
      <c r="P1613" t="s">
        <v>20</v>
      </c>
      <c r="Q1613">
        <v>2</v>
      </c>
      <c r="R1613" t="s">
        <v>52</v>
      </c>
      <c r="S1613" t="s">
        <v>21</v>
      </c>
      <c r="T1613" t="s">
        <v>29</v>
      </c>
    </row>
    <row r="1614" spans="1:20" x14ac:dyDescent="0.3">
      <c r="A1614" t="s">
        <v>3343</v>
      </c>
      <c r="B1614" t="s">
        <v>89</v>
      </c>
      <c r="C1614" t="s">
        <v>85</v>
      </c>
      <c r="D1614" t="s">
        <v>57</v>
      </c>
      <c r="E1614" t="s">
        <v>209</v>
      </c>
      <c r="F1614" t="s">
        <v>210</v>
      </c>
      <c r="G1614" t="s">
        <v>16</v>
      </c>
      <c r="H1614" t="s">
        <v>5138</v>
      </c>
      <c r="I1614" t="s">
        <v>5139</v>
      </c>
      <c r="J1614">
        <v>231791</v>
      </c>
      <c r="K1614" t="s">
        <v>3344</v>
      </c>
      <c r="L1614" t="s">
        <v>5165</v>
      </c>
      <c r="M1614" t="s">
        <v>19</v>
      </c>
      <c r="N1614">
        <v>45474</v>
      </c>
      <c r="O1614">
        <v>741</v>
      </c>
      <c r="P1614" t="s">
        <v>92</v>
      </c>
      <c r="Q1614">
        <v>6</v>
      </c>
      <c r="R1614" t="s">
        <v>52</v>
      </c>
      <c r="S1614" t="s">
        <v>21</v>
      </c>
      <c r="T1614" t="s">
        <v>29</v>
      </c>
    </row>
    <row r="1615" spans="1:20" x14ac:dyDescent="0.3">
      <c r="A1615" t="s">
        <v>3345</v>
      </c>
      <c r="B1615" t="s">
        <v>55</v>
      </c>
      <c r="C1615" t="s">
        <v>185</v>
      </c>
      <c r="D1615" t="s">
        <v>57</v>
      </c>
      <c r="E1615" t="s">
        <v>5124</v>
      </c>
      <c r="F1615" t="s">
        <v>5125</v>
      </c>
      <c r="G1615" t="s">
        <v>36</v>
      </c>
      <c r="H1615" t="s">
        <v>5140</v>
      </c>
      <c r="I1615" t="s">
        <v>5141</v>
      </c>
      <c r="J1615">
        <v>108458</v>
      </c>
      <c r="K1615" t="s">
        <v>3346</v>
      </c>
      <c r="L1615" t="s">
        <v>18</v>
      </c>
      <c r="M1615" t="s">
        <v>39</v>
      </c>
      <c r="N1615">
        <v>45329</v>
      </c>
      <c r="O1615">
        <v>3983</v>
      </c>
      <c r="P1615" t="s">
        <v>92</v>
      </c>
      <c r="Q1615">
        <v>2</v>
      </c>
      <c r="R1615" t="s">
        <v>76</v>
      </c>
      <c r="S1615" t="s">
        <v>21</v>
      </c>
      <c r="T1615" t="s">
        <v>20</v>
      </c>
    </row>
    <row r="1616" spans="1:20" x14ac:dyDescent="0.3">
      <c r="A1616" t="s">
        <v>3347</v>
      </c>
      <c r="B1616" t="s">
        <v>89</v>
      </c>
      <c r="C1616" t="s">
        <v>185</v>
      </c>
      <c r="D1616" t="s">
        <v>33</v>
      </c>
      <c r="E1616" t="s">
        <v>5133</v>
      </c>
      <c r="F1616" t="s">
        <v>5125</v>
      </c>
      <c r="G1616" t="s">
        <v>16</v>
      </c>
      <c r="H1616" t="s">
        <v>5142</v>
      </c>
      <c r="I1616" t="s">
        <v>5143</v>
      </c>
      <c r="J1616">
        <v>145127</v>
      </c>
      <c r="K1616" t="s">
        <v>3348</v>
      </c>
      <c r="L1616" t="s">
        <v>142</v>
      </c>
      <c r="M1616" t="s">
        <v>72</v>
      </c>
      <c r="N1616">
        <v>45621</v>
      </c>
      <c r="O1616">
        <v>58</v>
      </c>
      <c r="P1616" t="s">
        <v>29</v>
      </c>
      <c r="Q1616">
        <v>4</v>
      </c>
      <c r="R1616" t="s">
        <v>76</v>
      </c>
      <c r="S1616" t="s">
        <v>21</v>
      </c>
      <c r="T1616" t="s">
        <v>20</v>
      </c>
    </row>
    <row r="1617" spans="1:20" x14ac:dyDescent="0.3">
      <c r="A1617" t="s">
        <v>3349</v>
      </c>
      <c r="B1617" t="s">
        <v>130</v>
      </c>
      <c r="C1617" t="s">
        <v>151</v>
      </c>
      <c r="D1617" t="s">
        <v>5156</v>
      </c>
      <c r="E1617" t="s">
        <v>5131</v>
      </c>
      <c r="F1617" t="s">
        <v>5125</v>
      </c>
      <c r="G1617" t="s">
        <v>16</v>
      </c>
      <c r="H1617" t="s">
        <v>5138</v>
      </c>
      <c r="I1617" t="s">
        <v>5139</v>
      </c>
      <c r="J1617">
        <v>314951</v>
      </c>
      <c r="K1617" t="s">
        <v>3350</v>
      </c>
      <c r="L1617" t="s">
        <v>179</v>
      </c>
      <c r="M1617" t="s">
        <v>46</v>
      </c>
      <c r="N1617">
        <v>45374</v>
      </c>
      <c r="O1617">
        <v>1639</v>
      </c>
      <c r="P1617" t="s">
        <v>92</v>
      </c>
      <c r="Q1617">
        <v>6</v>
      </c>
      <c r="R1617" t="s">
        <v>5116</v>
      </c>
      <c r="S1617" t="s">
        <v>53</v>
      </c>
      <c r="T1617" t="s">
        <v>20</v>
      </c>
    </row>
    <row r="1618" spans="1:20" x14ac:dyDescent="0.3">
      <c r="A1618" t="s">
        <v>3351</v>
      </c>
      <c r="B1618" t="s">
        <v>55</v>
      </c>
      <c r="C1618" t="s">
        <v>151</v>
      </c>
      <c r="D1618" t="s">
        <v>44</v>
      </c>
      <c r="E1618" t="s">
        <v>14</v>
      </c>
      <c r="F1618" t="s">
        <v>15</v>
      </c>
      <c r="G1618" t="s">
        <v>50</v>
      </c>
      <c r="H1618" t="s">
        <v>5140</v>
      </c>
      <c r="I1618" t="s">
        <v>5141</v>
      </c>
      <c r="J1618">
        <v>115915</v>
      </c>
      <c r="K1618" t="s">
        <v>3352</v>
      </c>
      <c r="L1618" t="s">
        <v>5165</v>
      </c>
      <c r="M1618" t="s">
        <v>19</v>
      </c>
      <c r="N1618">
        <v>45578</v>
      </c>
      <c r="O1618">
        <v>2807</v>
      </c>
      <c r="P1618" t="s">
        <v>20</v>
      </c>
      <c r="Q1618">
        <v>2</v>
      </c>
      <c r="R1618" t="s">
        <v>76</v>
      </c>
      <c r="S1618" t="s">
        <v>21</v>
      </c>
      <c r="T1618" t="s">
        <v>29</v>
      </c>
    </row>
    <row r="1619" spans="1:20" x14ac:dyDescent="0.3">
      <c r="A1619" t="s">
        <v>3353</v>
      </c>
      <c r="B1619" t="s">
        <v>165</v>
      </c>
      <c r="C1619" t="s">
        <v>103</v>
      </c>
      <c r="D1619" t="s">
        <v>104</v>
      </c>
      <c r="E1619" t="s">
        <v>5131</v>
      </c>
      <c r="F1619" t="s">
        <v>5125</v>
      </c>
      <c r="G1619" t="s">
        <v>50</v>
      </c>
      <c r="H1619" t="s">
        <v>5140</v>
      </c>
      <c r="I1619" t="s">
        <v>5141</v>
      </c>
      <c r="J1619">
        <v>95114</v>
      </c>
      <c r="K1619" t="s">
        <v>3354</v>
      </c>
      <c r="L1619" t="s">
        <v>179</v>
      </c>
      <c r="M1619" t="s">
        <v>46</v>
      </c>
      <c r="N1619">
        <v>45682</v>
      </c>
      <c r="O1619">
        <v>2264</v>
      </c>
      <c r="P1619" t="s">
        <v>20</v>
      </c>
      <c r="Q1619">
        <v>2</v>
      </c>
      <c r="R1619" t="s">
        <v>76</v>
      </c>
      <c r="S1619" t="s">
        <v>21</v>
      </c>
      <c r="T1619" t="s">
        <v>20</v>
      </c>
    </row>
    <row r="1620" spans="1:20" x14ac:dyDescent="0.3">
      <c r="A1620" t="s">
        <v>3355</v>
      </c>
      <c r="B1620" t="s">
        <v>63</v>
      </c>
      <c r="C1620" t="s">
        <v>219</v>
      </c>
      <c r="D1620" t="s">
        <v>167</v>
      </c>
      <c r="E1620" t="s">
        <v>95</v>
      </c>
      <c r="F1620" t="s">
        <v>96</v>
      </c>
      <c r="G1620" t="s">
        <v>36</v>
      </c>
      <c r="H1620" t="s">
        <v>5138</v>
      </c>
      <c r="I1620" t="s">
        <v>5139</v>
      </c>
      <c r="J1620">
        <v>184651</v>
      </c>
      <c r="K1620" t="s">
        <v>3356</v>
      </c>
      <c r="L1620" t="s">
        <v>38</v>
      </c>
      <c r="M1620" t="s">
        <v>19</v>
      </c>
      <c r="N1620">
        <v>45649</v>
      </c>
      <c r="O1620">
        <v>85</v>
      </c>
      <c r="P1620" t="s">
        <v>92</v>
      </c>
      <c r="Q1620">
        <v>6</v>
      </c>
      <c r="R1620" t="s">
        <v>5116</v>
      </c>
      <c r="S1620" t="s">
        <v>21</v>
      </c>
      <c r="T1620" t="s">
        <v>29</v>
      </c>
    </row>
    <row r="1621" spans="1:20" x14ac:dyDescent="0.3">
      <c r="A1621" t="s">
        <v>3357</v>
      </c>
      <c r="B1621" t="s">
        <v>74</v>
      </c>
      <c r="C1621" t="s">
        <v>139</v>
      </c>
      <c r="D1621" t="s">
        <v>118</v>
      </c>
      <c r="E1621" t="s">
        <v>58</v>
      </c>
      <c r="F1621" t="s">
        <v>59</v>
      </c>
      <c r="G1621" t="s">
        <v>16</v>
      </c>
      <c r="H1621" t="s">
        <v>5142</v>
      </c>
      <c r="I1621" t="s">
        <v>5143</v>
      </c>
      <c r="J1621">
        <v>181008</v>
      </c>
      <c r="K1621" t="s">
        <v>3358</v>
      </c>
      <c r="L1621" t="s">
        <v>179</v>
      </c>
      <c r="M1621" t="s">
        <v>19</v>
      </c>
      <c r="N1621">
        <v>45741</v>
      </c>
      <c r="O1621">
        <v>166</v>
      </c>
      <c r="P1621" t="s">
        <v>29</v>
      </c>
      <c r="Q1621">
        <v>4</v>
      </c>
      <c r="R1621" t="s">
        <v>76</v>
      </c>
      <c r="S1621" t="s">
        <v>21</v>
      </c>
      <c r="T1621" t="s">
        <v>20</v>
      </c>
    </row>
    <row r="1622" spans="1:20" x14ac:dyDescent="0.3">
      <c r="A1622" t="s">
        <v>3359</v>
      </c>
      <c r="B1622" t="s">
        <v>99</v>
      </c>
      <c r="C1622" t="s">
        <v>64</v>
      </c>
      <c r="D1622" t="s">
        <v>104</v>
      </c>
      <c r="E1622" t="s">
        <v>58</v>
      </c>
      <c r="F1622" t="s">
        <v>59</v>
      </c>
      <c r="G1622" t="s">
        <v>50</v>
      </c>
      <c r="H1622" t="s">
        <v>5142</v>
      </c>
      <c r="I1622" t="s">
        <v>5143</v>
      </c>
      <c r="J1622">
        <v>153058</v>
      </c>
      <c r="K1622" t="s">
        <v>3360</v>
      </c>
      <c r="L1622" t="s">
        <v>134</v>
      </c>
      <c r="M1622" t="s">
        <v>19</v>
      </c>
      <c r="N1622">
        <v>45619</v>
      </c>
      <c r="O1622">
        <v>3550</v>
      </c>
      <c r="P1622" t="s">
        <v>20</v>
      </c>
      <c r="Q1622">
        <v>4</v>
      </c>
      <c r="R1622" t="s">
        <v>52</v>
      </c>
      <c r="S1622" t="s">
        <v>53</v>
      </c>
      <c r="T1622" t="s">
        <v>29</v>
      </c>
    </row>
    <row r="1623" spans="1:20" x14ac:dyDescent="0.3">
      <c r="A1623" t="s">
        <v>3361</v>
      </c>
      <c r="B1623" t="s">
        <v>322</v>
      </c>
      <c r="C1623" t="s">
        <v>166</v>
      </c>
      <c r="D1623" t="s">
        <v>167</v>
      </c>
      <c r="E1623" t="s">
        <v>209</v>
      </c>
      <c r="F1623" t="s">
        <v>210</v>
      </c>
      <c r="G1623" t="s">
        <v>16</v>
      </c>
      <c r="H1623" t="s">
        <v>5138</v>
      </c>
      <c r="I1623" t="s">
        <v>5139</v>
      </c>
      <c r="J1623">
        <v>148221</v>
      </c>
      <c r="K1623" t="s">
        <v>3362</v>
      </c>
      <c r="L1623" t="s">
        <v>5165</v>
      </c>
      <c r="M1623" t="s">
        <v>19</v>
      </c>
      <c r="N1623">
        <v>45577</v>
      </c>
      <c r="O1623">
        <v>273</v>
      </c>
      <c r="P1623" t="s">
        <v>92</v>
      </c>
      <c r="Q1623">
        <v>6</v>
      </c>
      <c r="R1623" t="s">
        <v>52</v>
      </c>
      <c r="S1623" t="s">
        <v>21</v>
      </c>
      <c r="T1623" t="s">
        <v>29</v>
      </c>
    </row>
    <row r="1624" spans="1:20" x14ac:dyDescent="0.3">
      <c r="A1624" t="s">
        <v>3363</v>
      </c>
      <c r="B1624" t="s">
        <v>136</v>
      </c>
      <c r="C1624" t="s">
        <v>100</v>
      </c>
      <c r="D1624" t="s">
        <v>44</v>
      </c>
      <c r="E1624" t="s">
        <v>5132</v>
      </c>
      <c r="F1624" t="s">
        <v>5125</v>
      </c>
      <c r="G1624" t="s">
        <v>16</v>
      </c>
      <c r="H1624" t="s">
        <v>5138</v>
      </c>
      <c r="I1624" t="s">
        <v>5139</v>
      </c>
      <c r="J1624">
        <v>233092</v>
      </c>
      <c r="K1624" t="s">
        <v>3364</v>
      </c>
      <c r="L1624" t="s">
        <v>38</v>
      </c>
      <c r="M1624" t="s">
        <v>46</v>
      </c>
      <c r="N1624">
        <v>45571</v>
      </c>
      <c r="O1624">
        <v>594</v>
      </c>
      <c r="P1624" t="s">
        <v>20</v>
      </c>
      <c r="Q1624">
        <v>6</v>
      </c>
      <c r="R1624" t="s">
        <v>52</v>
      </c>
      <c r="S1624" t="s">
        <v>53</v>
      </c>
      <c r="T1624" t="s">
        <v>29</v>
      </c>
    </row>
    <row r="1625" spans="1:20" x14ac:dyDescent="0.3">
      <c r="A1625" t="s">
        <v>3365</v>
      </c>
      <c r="B1625" t="s">
        <v>144</v>
      </c>
      <c r="C1625" t="s">
        <v>151</v>
      </c>
      <c r="D1625" t="s">
        <v>140</v>
      </c>
      <c r="E1625" t="s">
        <v>223</v>
      </c>
      <c r="F1625" t="s">
        <v>224</v>
      </c>
      <c r="G1625" t="s">
        <v>16</v>
      </c>
      <c r="H1625" t="s">
        <v>5140</v>
      </c>
      <c r="I1625" t="s">
        <v>5141</v>
      </c>
      <c r="J1625">
        <v>96770</v>
      </c>
      <c r="K1625" t="s">
        <v>3366</v>
      </c>
      <c r="L1625" t="s">
        <v>5165</v>
      </c>
      <c r="M1625" t="s">
        <v>46</v>
      </c>
      <c r="N1625">
        <v>45475</v>
      </c>
      <c r="O1625">
        <v>414</v>
      </c>
      <c r="P1625" t="s">
        <v>20</v>
      </c>
      <c r="Q1625">
        <v>2</v>
      </c>
      <c r="R1625" t="s">
        <v>47</v>
      </c>
      <c r="S1625" t="s">
        <v>21</v>
      </c>
      <c r="T1625" t="s">
        <v>20</v>
      </c>
    </row>
    <row r="1626" spans="1:20" x14ac:dyDescent="0.3">
      <c r="A1626" t="s">
        <v>3367</v>
      </c>
      <c r="B1626" t="s">
        <v>229</v>
      </c>
      <c r="C1626" t="s">
        <v>24</v>
      </c>
      <c r="D1626" t="s">
        <v>68</v>
      </c>
      <c r="E1626" t="s">
        <v>95</v>
      </c>
      <c r="F1626" t="s">
        <v>96</v>
      </c>
      <c r="G1626" t="s">
        <v>36</v>
      </c>
      <c r="H1626" t="s">
        <v>5142</v>
      </c>
      <c r="I1626" t="s">
        <v>5143</v>
      </c>
      <c r="J1626">
        <v>200579</v>
      </c>
      <c r="K1626" t="s">
        <v>3368</v>
      </c>
      <c r="L1626" t="s">
        <v>5165</v>
      </c>
      <c r="M1626" t="s">
        <v>39</v>
      </c>
      <c r="N1626">
        <v>45648</v>
      </c>
      <c r="O1626">
        <v>1877</v>
      </c>
      <c r="P1626" t="s">
        <v>20</v>
      </c>
      <c r="Q1626">
        <v>4</v>
      </c>
      <c r="R1626" t="s">
        <v>40</v>
      </c>
      <c r="S1626" t="s">
        <v>21</v>
      </c>
      <c r="T1626" t="s">
        <v>20</v>
      </c>
    </row>
    <row r="1627" spans="1:20" x14ac:dyDescent="0.3">
      <c r="A1627" t="s">
        <v>3369</v>
      </c>
      <c r="B1627" t="s">
        <v>222</v>
      </c>
      <c r="C1627" t="s">
        <v>103</v>
      </c>
      <c r="D1627" t="s">
        <v>44</v>
      </c>
      <c r="E1627" t="s">
        <v>152</v>
      </c>
      <c r="F1627" t="s">
        <v>153</v>
      </c>
      <c r="G1627" t="s">
        <v>50</v>
      </c>
      <c r="H1627" t="s">
        <v>5142</v>
      </c>
      <c r="I1627" t="s">
        <v>5143</v>
      </c>
      <c r="J1627">
        <v>179161</v>
      </c>
      <c r="K1627" t="s">
        <v>3370</v>
      </c>
      <c r="L1627" t="s">
        <v>142</v>
      </c>
      <c r="M1627" t="s">
        <v>72</v>
      </c>
      <c r="N1627">
        <v>45381</v>
      </c>
      <c r="O1627">
        <v>3356</v>
      </c>
      <c r="P1627" t="s">
        <v>20</v>
      </c>
      <c r="Q1627">
        <v>4</v>
      </c>
      <c r="R1627" t="s">
        <v>76</v>
      </c>
      <c r="S1627" t="s">
        <v>21</v>
      </c>
      <c r="T1627" t="s">
        <v>20</v>
      </c>
    </row>
    <row r="1628" spans="1:20" x14ac:dyDescent="0.3">
      <c r="A1628" t="s">
        <v>3371</v>
      </c>
      <c r="B1628" t="s">
        <v>165</v>
      </c>
      <c r="C1628" t="s">
        <v>117</v>
      </c>
      <c r="D1628" t="s">
        <v>25</v>
      </c>
      <c r="E1628" t="s">
        <v>126</v>
      </c>
      <c r="F1628" t="s">
        <v>127</v>
      </c>
      <c r="G1628" t="s">
        <v>36</v>
      </c>
      <c r="H1628" t="s">
        <v>5138</v>
      </c>
      <c r="I1628" t="s">
        <v>5139</v>
      </c>
      <c r="J1628">
        <v>183896</v>
      </c>
      <c r="K1628" t="s">
        <v>3372</v>
      </c>
      <c r="L1628" t="s">
        <v>238</v>
      </c>
      <c r="M1628" t="s">
        <v>72</v>
      </c>
      <c r="N1628">
        <v>45382</v>
      </c>
      <c r="O1628">
        <v>3296</v>
      </c>
      <c r="P1628" t="s">
        <v>92</v>
      </c>
      <c r="Q1628">
        <v>6</v>
      </c>
      <c r="R1628" t="s">
        <v>76</v>
      </c>
      <c r="S1628" t="s">
        <v>21</v>
      </c>
      <c r="T1628" t="s">
        <v>20</v>
      </c>
    </row>
    <row r="1629" spans="1:20" x14ac:dyDescent="0.3">
      <c r="A1629" t="s">
        <v>3373</v>
      </c>
      <c r="B1629" t="s">
        <v>89</v>
      </c>
      <c r="C1629" t="s">
        <v>85</v>
      </c>
      <c r="D1629" t="s">
        <v>167</v>
      </c>
      <c r="E1629" t="s">
        <v>126</v>
      </c>
      <c r="F1629" t="s">
        <v>127</v>
      </c>
      <c r="G1629" t="s">
        <v>16</v>
      </c>
      <c r="H1629" t="s">
        <v>5136</v>
      </c>
      <c r="I1629" t="s">
        <v>5137</v>
      </c>
      <c r="J1629">
        <v>86140</v>
      </c>
      <c r="K1629" t="s">
        <v>3374</v>
      </c>
      <c r="L1629" t="s">
        <v>5165</v>
      </c>
      <c r="M1629" t="s">
        <v>72</v>
      </c>
      <c r="N1629">
        <v>45701</v>
      </c>
      <c r="O1629">
        <v>3940</v>
      </c>
      <c r="P1629" t="s">
        <v>20</v>
      </c>
      <c r="Q1629">
        <v>0</v>
      </c>
      <c r="R1629" t="s">
        <v>40</v>
      </c>
      <c r="S1629" t="s">
        <v>21</v>
      </c>
      <c r="T1629" t="s">
        <v>29</v>
      </c>
    </row>
    <row r="1630" spans="1:20" x14ac:dyDescent="0.3">
      <c r="A1630" t="s">
        <v>3375</v>
      </c>
      <c r="B1630" t="s">
        <v>215</v>
      </c>
      <c r="C1630" t="s">
        <v>103</v>
      </c>
      <c r="D1630" t="s">
        <v>44</v>
      </c>
      <c r="E1630" t="s">
        <v>5124</v>
      </c>
      <c r="F1630" t="s">
        <v>5125</v>
      </c>
      <c r="G1630" t="s">
        <v>36</v>
      </c>
      <c r="H1630" t="s">
        <v>5136</v>
      </c>
      <c r="I1630" t="s">
        <v>5137</v>
      </c>
      <c r="J1630">
        <v>70854</v>
      </c>
      <c r="K1630" t="s">
        <v>3376</v>
      </c>
      <c r="L1630" t="s">
        <v>5165</v>
      </c>
      <c r="M1630" t="s">
        <v>46</v>
      </c>
      <c r="N1630">
        <v>45472</v>
      </c>
      <c r="O1630">
        <v>2436</v>
      </c>
      <c r="P1630" t="s">
        <v>20</v>
      </c>
      <c r="Q1630">
        <v>0</v>
      </c>
      <c r="R1630" t="s">
        <v>47</v>
      </c>
      <c r="S1630" t="s">
        <v>21</v>
      </c>
      <c r="T1630" t="s">
        <v>29</v>
      </c>
    </row>
    <row r="1631" spans="1:20" x14ac:dyDescent="0.3">
      <c r="A1631" t="s">
        <v>3377</v>
      </c>
      <c r="B1631" t="s">
        <v>229</v>
      </c>
      <c r="C1631" t="s">
        <v>117</v>
      </c>
      <c r="D1631" t="s">
        <v>68</v>
      </c>
      <c r="E1631" t="s">
        <v>5131</v>
      </c>
      <c r="F1631" t="s">
        <v>5125</v>
      </c>
      <c r="G1631" t="s">
        <v>50</v>
      </c>
      <c r="H1631" t="s">
        <v>5138</v>
      </c>
      <c r="I1631" t="s">
        <v>5139</v>
      </c>
      <c r="J1631">
        <v>230699</v>
      </c>
      <c r="K1631" t="s">
        <v>3378</v>
      </c>
      <c r="L1631" t="s">
        <v>134</v>
      </c>
      <c r="M1631" t="s">
        <v>46</v>
      </c>
      <c r="N1631">
        <v>45518</v>
      </c>
      <c r="O1631">
        <v>3974</v>
      </c>
      <c r="P1631" t="s">
        <v>20</v>
      </c>
      <c r="Q1631">
        <v>6</v>
      </c>
      <c r="R1631" t="s">
        <v>52</v>
      </c>
      <c r="S1631" t="s">
        <v>53</v>
      </c>
      <c r="T1631" t="s">
        <v>29</v>
      </c>
    </row>
    <row r="1632" spans="1:20" x14ac:dyDescent="0.3">
      <c r="A1632" t="s">
        <v>3379</v>
      </c>
      <c r="B1632" t="s">
        <v>12</v>
      </c>
      <c r="C1632" t="s">
        <v>125</v>
      </c>
      <c r="D1632" t="s">
        <v>5156</v>
      </c>
      <c r="E1632" t="s">
        <v>95</v>
      </c>
      <c r="F1632" t="s">
        <v>96</v>
      </c>
      <c r="G1632" t="s">
        <v>16</v>
      </c>
      <c r="H1632" t="s">
        <v>5142</v>
      </c>
      <c r="I1632" t="s">
        <v>5143</v>
      </c>
      <c r="J1632">
        <v>163087</v>
      </c>
      <c r="K1632" t="s">
        <v>3380</v>
      </c>
      <c r="L1632" t="s">
        <v>134</v>
      </c>
      <c r="M1632" t="s">
        <v>72</v>
      </c>
      <c r="N1632">
        <v>45689</v>
      </c>
      <c r="O1632">
        <v>1125</v>
      </c>
      <c r="P1632" t="s">
        <v>20</v>
      </c>
      <c r="Q1632">
        <v>4</v>
      </c>
      <c r="R1632" t="s">
        <v>5116</v>
      </c>
      <c r="S1632" t="s">
        <v>21</v>
      </c>
      <c r="T1632" t="s">
        <v>20</v>
      </c>
    </row>
    <row r="1633" spans="1:20" x14ac:dyDescent="0.3">
      <c r="A1633" t="s">
        <v>3381</v>
      </c>
      <c r="B1633" t="s">
        <v>136</v>
      </c>
      <c r="C1633" t="s">
        <v>32</v>
      </c>
      <c r="D1633" t="s">
        <v>104</v>
      </c>
      <c r="E1633" t="s">
        <v>5132</v>
      </c>
      <c r="F1633" t="s">
        <v>5125</v>
      </c>
      <c r="G1633" t="s">
        <v>36</v>
      </c>
      <c r="H1633" t="s">
        <v>5140</v>
      </c>
      <c r="I1633" t="s">
        <v>5141</v>
      </c>
      <c r="J1633">
        <v>93242</v>
      </c>
      <c r="K1633" t="s">
        <v>3382</v>
      </c>
      <c r="L1633" t="s">
        <v>5165</v>
      </c>
      <c r="M1633" t="s">
        <v>39</v>
      </c>
      <c r="N1633">
        <v>45545</v>
      </c>
      <c r="O1633">
        <v>2374</v>
      </c>
      <c r="P1633" t="s">
        <v>92</v>
      </c>
      <c r="Q1633">
        <v>2</v>
      </c>
      <c r="R1633" t="s">
        <v>76</v>
      </c>
      <c r="S1633" t="s">
        <v>21</v>
      </c>
      <c r="T1633" t="s">
        <v>29</v>
      </c>
    </row>
    <row r="1634" spans="1:20" x14ac:dyDescent="0.3">
      <c r="A1634" t="s">
        <v>3383</v>
      </c>
      <c r="B1634" t="s">
        <v>229</v>
      </c>
      <c r="C1634" t="s">
        <v>79</v>
      </c>
      <c r="D1634" t="s">
        <v>68</v>
      </c>
      <c r="E1634" t="s">
        <v>5127</v>
      </c>
      <c r="F1634" t="s">
        <v>5125</v>
      </c>
      <c r="G1634" t="s">
        <v>50</v>
      </c>
      <c r="H1634" t="s">
        <v>5138</v>
      </c>
      <c r="I1634" t="s">
        <v>5139</v>
      </c>
      <c r="J1634">
        <v>176832</v>
      </c>
      <c r="K1634" t="s">
        <v>3384</v>
      </c>
      <c r="L1634" t="s">
        <v>5165</v>
      </c>
      <c r="M1634" t="s">
        <v>46</v>
      </c>
      <c r="N1634">
        <v>45730</v>
      </c>
      <c r="O1634">
        <v>2112</v>
      </c>
      <c r="P1634" t="s">
        <v>20</v>
      </c>
      <c r="Q1634">
        <v>6</v>
      </c>
      <c r="R1634" t="s">
        <v>76</v>
      </c>
      <c r="S1634" t="s">
        <v>53</v>
      </c>
      <c r="T1634" t="s">
        <v>20</v>
      </c>
    </row>
    <row r="1635" spans="1:20" x14ac:dyDescent="0.3">
      <c r="A1635" t="s">
        <v>3385</v>
      </c>
      <c r="B1635" t="s">
        <v>124</v>
      </c>
      <c r="C1635" t="s">
        <v>117</v>
      </c>
      <c r="D1635" t="s">
        <v>5156</v>
      </c>
      <c r="E1635" t="s">
        <v>126</v>
      </c>
      <c r="F1635" t="s">
        <v>127</v>
      </c>
      <c r="G1635" t="s">
        <v>36</v>
      </c>
      <c r="H1635" t="s">
        <v>5136</v>
      </c>
      <c r="I1635" t="s">
        <v>5137</v>
      </c>
      <c r="J1635">
        <v>82977</v>
      </c>
      <c r="K1635" t="s">
        <v>3386</v>
      </c>
      <c r="L1635" t="s">
        <v>18</v>
      </c>
      <c r="M1635" t="s">
        <v>46</v>
      </c>
      <c r="N1635">
        <v>45424</v>
      </c>
      <c r="O1635">
        <v>2415</v>
      </c>
      <c r="P1635" t="s">
        <v>20</v>
      </c>
      <c r="Q1635">
        <v>0</v>
      </c>
      <c r="R1635" t="s">
        <v>76</v>
      </c>
      <c r="S1635" t="s">
        <v>41</v>
      </c>
      <c r="T1635" t="s">
        <v>20</v>
      </c>
    </row>
    <row r="1636" spans="1:20" x14ac:dyDescent="0.3">
      <c r="A1636" t="s">
        <v>3387</v>
      </c>
      <c r="B1636" t="s">
        <v>74</v>
      </c>
      <c r="C1636" t="s">
        <v>125</v>
      </c>
      <c r="D1636" t="s">
        <v>57</v>
      </c>
      <c r="E1636" t="s">
        <v>5124</v>
      </c>
      <c r="F1636" t="s">
        <v>5125</v>
      </c>
      <c r="G1636" t="s">
        <v>36</v>
      </c>
      <c r="H1636" t="s">
        <v>5142</v>
      </c>
      <c r="I1636" t="s">
        <v>5143</v>
      </c>
      <c r="J1636">
        <v>140961</v>
      </c>
      <c r="K1636" t="s">
        <v>3388</v>
      </c>
      <c r="L1636" t="s">
        <v>5165</v>
      </c>
      <c r="M1636" t="s">
        <v>46</v>
      </c>
      <c r="N1636">
        <v>45620</v>
      </c>
      <c r="O1636">
        <v>3056</v>
      </c>
      <c r="P1636" t="s">
        <v>20</v>
      </c>
      <c r="Q1636">
        <v>4</v>
      </c>
      <c r="R1636" t="s">
        <v>52</v>
      </c>
      <c r="S1636" t="s">
        <v>21</v>
      </c>
      <c r="T1636" t="s">
        <v>20</v>
      </c>
    </row>
    <row r="1637" spans="1:20" x14ac:dyDescent="0.3">
      <c r="A1637" t="s">
        <v>3389</v>
      </c>
      <c r="B1637" t="s">
        <v>74</v>
      </c>
      <c r="C1637" t="s">
        <v>100</v>
      </c>
      <c r="D1637" t="s">
        <v>25</v>
      </c>
      <c r="E1637" t="s">
        <v>223</v>
      </c>
      <c r="F1637" t="s">
        <v>224</v>
      </c>
      <c r="G1637" t="s">
        <v>36</v>
      </c>
      <c r="H1637" t="s">
        <v>5140</v>
      </c>
      <c r="I1637" t="s">
        <v>5141</v>
      </c>
      <c r="J1637">
        <v>102007</v>
      </c>
      <c r="K1637" t="s">
        <v>3390</v>
      </c>
      <c r="L1637" t="s">
        <v>5165</v>
      </c>
      <c r="M1637" t="s">
        <v>19</v>
      </c>
      <c r="N1637">
        <v>45717</v>
      </c>
      <c r="O1637">
        <v>867</v>
      </c>
      <c r="P1637" t="s">
        <v>92</v>
      </c>
      <c r="Q1637">
        <v>2</v>
      </c>
      <c r="R1637" t="s">
        <v>76</v>
      </c>
      <c r="S1637" t="s">
        <v>21</v>
      </c>
      <c r="T1637" t="s">
        <v>20</v>
      </c>
    </row>
    <row r="1638" spans="1:20" x14ac:dyDescent="0.3">
      <c r="A1638" t="s">
        <v>3391</v>
      </c>
      <c r="B1638" t="s">
        <v>136</v>
      </c>
      <c r="C1638" t="s">
        <v>185</v>
      </c>
      <c r="D1638" t="s">
        <v>167</v>
      </c>
      <c r="E1638" t="s">
        <v>34</v>
      </c>
      <c r="F1638" t="s">
        <v>35</v>
      </c>
      <c r="G1638" t="s">
        <v>50</v>
      </c>
      <c r="H1638" t="s">
        <v>5136</v>
      </c>
      <c r="I1638" t="s">
        <v>5137</v>
      </c>
      <c r="J1638">
        <v>57965</v>
      </c>
      <c r="K1638" t="s">
        <v>3392</v>
      </c>
      <c r="L1638" t="s">
        <v>5165</v>
      </c>
      <c r="M1638" t="s">
        <v>46</v>
      </c>
      <c r="N1638">
        <v>45652</v>
      </c>
      <c r="O1638">
        <v>1559</v>
      </c>
      <c r="P1638" t="s">
        <v>20</v>
      </c>
      <c r="Q1638">
        <v>0</v>
      </c>
      <c r="R1638" t="s">
        <v>40</v>
      </c>
      <c r="S1638" t="s">
        <v>41</v>
      </c>
      <c r="T1638" t="s">
        <v>29</v>
      </c>
    </row>
    <row r="1639" spans="1:20" x14ac:dyDescent="0.3">
      <c r="A1639" t="s">
        <v>3393</v>
      </c>
      <c r="B1639" t="s">
        <v>74</v>
      </c>
      <c r="C1639" t="s">
        <v>139</v>
      </c>
      <c r="D1639" t="s">
        <v>140</v>
      </c>
      <c r="E1639" t="s">
        <v>152</v>
      </c>
      <c r="F1639" t="s">
        <v>153</v>
      </c>
      <c r="G1639" t="s">
        <v>50</v>
      </c>
      <c r="H1639" t="s">
        <v>5136</v>
      </c>
      <c r="I1639" t="s">
        <v>5137</v>
      </c>
      <c r="J1639">
        <v>75337</v>
      </c>
      <c r="K1639" t="s">
        <v>3394</v>
      </c>
      <c r="L1639" t="s">
        <v>82</v>
      </c>
      <c r="M1639" t="s">
        <v>19</v>
      </c>
      <c r="N1639">
        <v>45647</v>
      </c>
      <c r="O1639">
        <v>1305</v>
      </c>
      <c r="P1639" t="s">
        <v>20</v>
      </c>
      <c r="Q1639">
        <v>0</v>
      </c>
      <c r="R1639" t="s">
        <v>5116</v>
      </c>
      <c r="S1639" t="s">
        <v>21</v>
      </c>
      <c r="T1639" t="s">
        <v>20</v>
      </c>
    </row>
    <row r="1640" spans="1:20" x14ac:dyDescent="0.3">
      <c r="A1640" t="s">
        <v>3395</v>
      </c>
      <c r="B1640" t="s">
        <v>130</v>
      </c>
      <c r="C1640" t="s">
        <v>202</v>
      </c>
      <c r="D1640" t="s">
        <v>68</v>
      </c>
      <c r="E1640" t="s">
        <v>58</v>
      </c>
      <c r="F1640" t="s">
        <v>59</v>
      </c>
      <c r="G1640" t="s">
        <v>16</v>
      </c>
      <c r="H1640" t="s">
        <v>5140</v>
      </c>
      <c r="I1640" t="s">
        <v>5141</v>
      </c>
      <c r="J1640">
        <v>150837</v>
      </c>
      <c r="K1640" t="s">
        <v>3396</v>
      </c>
      <c r="L1640" t="s">
        <v>38</v>
      </c>
      <c r="M1640" t="s">
        <v>46</v>
      </c>
      <c r="N1640">
        <v>45658</v>
      </c>
      <c r="O1640">
        <v>2992</v>
      </c>
      <c r="P1640" t="s">
        <v>29</v>
      </c>
      <c r="Q1640">
        <v>2</v>
      </c>
      <c r="R1640" t="s">
        <v>5116</v>
      </c>
      <c r="S1640" t="s">
        <v>53</v>
      </c>
      <c r="T1640" t="s">
        <v>20</v>
      </c>
    </row>
    <row r="1641" spans="1:20" x14ac:dyDescent="0.3">
      <c r="A1641" t="s">
        <v>3397</v>
      </c>
      <c r="B1641" t="s">
        <v>130</v>
      </c>
      <c r="C1641" t="s">
        <v>202</v>
      </c>
      <c r="D1641" t="s">
        <v>25</v>
      </c>
      <c r="E1641" t="s">
        <v>80</v>
      </c>
      <c r="F1641" t="s">
        <v>80</v>
      </c>
      <c r="G1641" t="s">
        <v>16</v>
      </c>
      <c r="H1641" t="s">
        <v>5142</v>
      </c>
      <c r="I1641" t="s">
        <v>5143</v>
      </c>
      <c r="J1641">
        <v>121176</v>
      </c>
      <c r="K1641" t="s">
        <v>3398</v>
      </c>
      <c r="L1641" t="s">
        <v>82</v>
      </c>
      <c r="M1641" t="s">
        <v>46</v>
      </c>
      <c r="N1641">
        <v>45413</v>
      </c>
      <c r="O1641">
        <v>781</v>
      </c>
      <c r="P1641" t="s">
        <v>29</v>
      </c>
      <c r="Q1641">
        <v>4</v>
      </c>
      <c r="R1641" t="s">
        <v>47</v>
      </c>
      <c r="S1641" t="s">
        <v>21</v>
      </c>
      <c r="T1641" t="s">
        <v>20</v>
      </c>
    </row>
    <row r="1642" spans="1:20" x14ac:dyDescent="0.3">
      <c r="A1642" t="s">
        <v>3399</v>
      </c>
      <c r="B1642" t="s">
        <v>63</v>
      </c>
      <c r="C1642" t="s">
        <v>219</v>
      </c>
      <c r="D1642" t="s">
        <v>57</v>
      </c>
      <c r="E1642" t="s">
        <v>5131</v>
      </c>
      <c r="F1642" t="s">
        <v>5125</v>
      </c>
      <c r="G1642" t="s">
        <v>36</v>
      </c>
      <c r="H1642" t="s">
        <v>5142</v>
      </c>
      <c r="I1642" t="s">
        <v>5143</v>
      </c>
      <c r="J1642">
        <v>150653</v>
      </c>
      <c r="K1642" t="s">
        <v>3400</v>
      </c>
      <c r="L1642" t="s">
        <v>38</v>
      </c>
      <c r="M1642" t="s">
        <v>72</v>
      </c>
      <c r="N1642">
        <v>45460</v>
      </c>
      <c r="O1642">
        <v>3750</v>
      </c>
      <c r="P1642" t="s">
        <v>92</v>
      </c>
      <c r="Q1642">
        <v>4</v>
      </c>
      <c r="R1642" t="s">
        <v>5116</v>
      </c>
      <c r="S1642" t="s">
        <v>21</v>
      </c>
      <c r="T1642" t="s">
        <v>29</v>
      </c>
    </row>
    <row r="1643" spans="1:20" x14ac:dyDescent="0.3">
      <c r="A1643" t="s">
        <v>3401</v>
      </c>
      <c r="B1643" t="s">
        <v>31</v>
      </c>
      <c r="C1643" t="s">
        <v>94</v>
      </c>
      <c r="D1643" t="s">
        <v>118</v>
      </c>
      <c r="E1643" t="s">
        <v>80</v>
      </c>
      <c r="F1643" t="s">
        <v>80</v>
      </c>
      <c r="G1643" t="s">
        <v>16</v>
      </c>
      <c r="H1643" t="s">
        <v>5136</v>
      </c>
      <c r="I1643" t="s">
        <v>5137</v>
      </c>
      <c r="J1643">
        <v>87793</v>
      </c>
      <c r="K1643" t="s">
        <v>3402</v>
      </c>
      <c r="L1643" t="s">
        <v>5165</v>
      </c>
      <c r="M1643" t="s">
        <v>19</v>
      </c>
      <c r="N1643">
        <v>45450</v>
      </c>
      <c r="O1643">
        <v>3807</v>
      </c>
      <c r="P1643" t="s">
        <v>20</v>
      </c>
      <c r="Q1643">
        <v>0</v>
      </c>
      <c r="R1643" t="s">
        <v>5116</v>
      </c>
      <c r="S1643" t="s">
        <v>41</v>
      </c>
      <c r="T1643" t="s">
        <v>29</v>
      </c>
    </row>
    <row r="1644" spans="1:20" x14ac:dyDescent="0.3">
      <c r="A1644" t="s">
        <v>3403</v>
      </c>
      <c r="B1644" t="s">
        <v>144</v>
      </c>
      <c r="C1644" t="s">
        <v>219</v>
      </c>
      <c r="D1644" t="s">
        <v>140</v>
      </c>
      <c r="E1644" t="s">
        <v>5124</v>
      </c>
      <c r="F1644" t="s">
        <v>5125</v>
      </c>
      <c r="G1644" t="s">
        <v>16</v>
      </c>
      <c r="H1644" t="s">
        <v>5138</v>
      </c>
      <c r="I1644" t="s">
        <v>5139</v>
      </c>
      <c r="J1644">
        <v>197132</v>
      </c>
      <c r="K1644" t="s">
        <v>3404</v>
      </c>
      <c r="L1644" t="s">
        <v>179</v>
      </c>
      <c r="M1644" t="s">
        <v>19</v>
      </c>
      <c r="N1644">
        <v>45668</v>
      </c>
      <c r="O1644">
        <v>2293</v>
      </c>
      <c r="P1644" t="s">
        <v>20</v>
      </c>
      <c r="Q1644">
        <v>6</v>
      </c>
      <c r="R1644" t="s">
        <v>47</v>
      </c>
      <c r="S1644" t="s">
        <v>21</v>
      </c>
      <c r="T1644" t="s">
        <v>20</v>
      </c>
    </row>
    <row r="1645" spans="1:20" x14ac:dyDescent="0.3">
      <c r="A1645" t="s">
        <v>3405</v>
      </c>
      <c r="B1645" t="s">
        <v>218</v>
      </c>
      <c r="C1645" t="s">
        <v>185</v>
      </c>
      <c r="D1645" t="s">
        <v>57</v>
      </c>
      <c r="E1645" t="s">
        <v>5124</v>
      </c>
      <c r="F1645" t="s">
        <v>5125</v>
      </c>
      <c r="G1645" t="s">
        <v>50</v>
      </c>
      <c r="H1645" t="s">
        <v>5142</v>
      </c>
      <c r="I1645" t="s">
        <v>5143</v>
      </c>
      <c r="J1645">
        <v>162214</v>
      </c>
      <c r="K1645" t="s">
        <v>3406</v>
      </c>
      <c r="L1645" t="s">
        <v>82</v>
      </c>
      <c r="M1645" t="s">
        <v>39</v>
      </c>
      <c r="N1645">
        <v>45466</v>
      </c>
      <c r="O1645">
        <v>3790</v>
      </c>
      <c r="P1645" t="s">
        <v>20</v>
      </c>
      <c r="Q1645">
        <v>4</v>
      </c>
      <c r="R1645" t="s">
        <v>47</v>
      </c>
      <c r="S1645" t="s">
        <v>21</v>
      </c>
      <c r="T1645" t="s">
        <v>20</v>
      </c>
    </row>
    <row r="1646" spans="1:20" x14ac:dyDescent="0.3">
      <c r="A1646" t="s">
        <v>3407</v>
      </c>
      <c r="B1646" t="s">
        <v>99</v>
      </c>
      <c r="C1646" t="s">
        <v>109</v>
      </c>
      <c r="D1646" t="s">
        <v>33</v>
      </c>
      <c r="E1646" t="s">
        <v>14</v>
      </c>
      <c r="F1646" t="s">
        <v>15</v>
      </c>
      <c r="G1646" t="s">
        <v>36</v>
      </c>
      <c r="H1646" t="s">
        <v>5136</v>
      </c>
      <c r="I1646" t="s">
        <v>5137</v>
      </c>
      <c r="J1646">
        <v>56613</v>
      </c>
      <c r="K1646" t="s">
        <v>3408</v>
      </c>
      <c r="L1646" t="s">
        <v>5165</v>
      </c>
      <c r="M1646" t="s">
        <v>46</v>
      </c>
      <c r="N1646">
        <v>45502</v>
      </c>
      <c r="O1646">
        <v>2962</v>
      </c>
      <c r="P1646" t="s">
        <v>20</v>
      </c>
      <c r="Q1646">
        <v>0</v>
      </c>
      <c r="R1646" t="s">
        <v>47</v>
      </c>
      <c r="S1646" t="s">
        <v>41</v>
      </c>
      <c r="T1646" t="s">
        <v>29</v>
      </c>
    </row>
    <row r="1647" spans="1:20" x14ac:dyDescent="0.3">
      <c r="A1647" t="s">
        <v>3409</v>
      </c>
      <c r="B1647" t="s">
        <v>136</v>
      </c>
      <c r="C1647" t="s">
        <v>43</v>
      </c>
      <c r="D1647" t="s">
        <v>5156</v>
      </c>
      <c r="E1647" t="s">
        <v>95</v>
      </c>
      <c r="F1647" t="s">
        <v>96</v>
      </c>
      <c r="G1647" t="s">
        <v>50</v>
      </c>
      <c r="H1647" t="s">
        <v>5136</v>
      </c>
      <c r="I1647" t="s">
        <v>5137</v>
      </c>
      <c r="J1647">
        <v>75396</v>
      </c>
      <c r="K1647" t="s">
        <v>3410</v>
      </c>
      <c r="L1647" t="s">
        <v>5165</v>
      </c>
      <c r="M1647" t="s">
        <v>46</v>
      </c>
      <c r="N1647">
        <v>45386</v>
      </c>
      <c r="O1647">
        <v>3177</v>
      </c>
      <c r="P1647" t="s">
        <v>20</v>
      </c>
      <c r="Q1647">
        <v>0</v>
      </c>
      <c r="R1647" t="s">
        <v>52</v>
      </c>
      <c r="S1647" t="s">
        <v>21</v>
      </c>
      <c r="T1647" t="s">
        <v>20</v>
      </c>
    </row>
    <row r="1648" spans="1:20" x14ac:dyDescent="0.3">
      <c r="A1648" t="s">
        <v>3411</v>
      </c>
      <c r="B1648" t="s">
        <v>144</v>
      </c>
      <c r="C1648" t="s">
        <v>166</v>
      </c>
      <c r="D1648" t="s">
        <v>25</v>
      </c>
      <c r="E1648" t="s">
        <v>5124</v>
      </c>
      <c r="F1648" t="s">
        <v>5125</v>
      </c>
      <c r="G1648" t="s">
        <v>36</v>
      </c>
      <c r="H1648" t="s">
        <v>5136</v>
      </c>
      <c r="I1648" t="s">
        <v>5137</v>
      </c>
      <c r="J1648">
        <v>67641</v>
      </c>
      <c r="K1648" t="s">
        <v>3412</v>
      </c>
      <c r="L1648" t="s">
        <v>5165</v>
      </c>
      <c r="M1648" t="s">
        <v>46</v>
      </c>
      <c r="N1648">
        <v>45380</v>
      </c>
      <c r="O1648">
        <v>1797</v>
      </c>
      <c r="P1648" t="s">
        <v>20</v>
      </c>
      <c r="Q1648">
        <v>0</v>
      </c>
      <c r="R1648" t="s">
        <v>47</v>
      </c>
      <c r="S1648" t="s">
        <v>53</v>
      </c>
      <c r="T1648" t="s">
        <v>29</v>
      </c>
    </row>
    <row r="1649" spans="1:20" x14ac:dyDescent="0.3">
      <c r="A1649" t="s">
        <v>3413</v>
      </c>
      <c r="B1649" t="s">
        <v>63</v>
      </c>
      <c r="C1649" t="s">
        <v>100</v>
      </c>
      <c r="D1649" t="s">
        <v>104</v>
      </c>
      <c r="E1649" t="s">
        <v>26</v>
      </c>
      <c r="F1649" t="s">
        <v>27</v>
      </c>
      <c r="G1649" t="s">
        <v>36</v>
      </c>
      <c r="H1649" t="s">
        <v>5140</v>
      </c>
      <c r="I1649" t="s">
        <v>5141</v>
      </c>
      <c r="J1649">
        <v>129517</v>
      </c>
      <c r="K1649" t="s">
        <v>3414</v>
      </c>
      <c r="L1649" t="s">
        <v>5165</v>
      </c>
      <c r="M1649" t="s">
        <v>19</v>
      </c>
      <c r="N1649">
        <v>45710</v>
      </c>
      <c r="O1649">
        <v>3217</v>
      </c>
      <c r="P1649" t="s">
        <v>20</v>
      </c>
      <c r="Q1649">
        <v>2</v>
      </c>
      <c r="R1649" t="s">
        <v>47</v>
      </c>
      <c r="S1649" t="s">
        <v>21</v>
      </c>
      <c r="T1649" t="s">
        <v>20</v>
      </c>
    </row>
    <row r="1650" spans="1:20" x14ac:dyDescent="0.3">
      <c r="A1650" t="s">
        <v>3415</v>
      </c>
      <c r="B1650" t="s">
        <v>84</v>
      </c>
      <c r="C1650" t="s">
        <v>139</v>
      </c>
      <c r="D1650" t="s">
        <v>25</v>
      </c>
      <c r="E1650" t="s">
        <v>152</v>
      </c>
      <c r="F1650" t="s">
        <v>153</v>
      </c>
      <c r="G1650" t="s">
        <v>16</v>
      </c>
      <c r="H1650" t="s">
        <v>5136</v>
      </c>
      <c r="I1650" t="s">
        <v>5137</v>
      </c>
      <c r="J1650">
        <v>84961</v>
      </c>
      <c r="K1650" t="s">
        <v>3416</v>
      </c>
      <c r="L1650" t="s">
        <v>82</v>
      </c>
      <c r="M1650" t="s">
        <v>19</v>
      </c>
      <c r="N1650">
        <v>45380</v>
      </c>
      <c r="O1650">
        <v>1302</v>
      </c>
      <c r="P1650" t="s">
        <v>20</v>
      </c>
      <c r="Q1650">
        <v>0</v>
      </c>
      <c r="R1650" t="s">
        <v>76</v>
      </c>
      <c r="S1650" t="s">
        <v>21</v>
      </c>
      <c r="T1650" t="s">
        <v>20</v>
      </c>
    </row>
    <row r="1651" spans="1:20" x14ac:dyDescent="0.3">
      <c r="A1651" t="s">
        <v>3417</v>
      </c>
      <c r="B1651" t="s">
        <v>23</v>
      </c>
      <c r="C1651" t="s">
        <v>109</v>
      </c>
      <c r="D1651" t="s">
        <v>5156</v>
      </c>
      <c r="E1651" t="s">
        <v>95</v>
      </c>
      <c r="F1651" t="s">
        <v>96</v>
      </c>
      <c r="G1651" t="s">
        <v>50</v>
      </c>
      <c r="H1651" t="s">
        <v>5138</v>
      </c>
      <c r="I1651" t="s">
        <v>5139</v>
      </c>
      <c r="J1651">
        <v>293224</v>
      </c>
      <c r="K1651" t="s">
        <v>3418</v>
      </c>
      <c r="L1651" t="s">
        <v>87</v>
      </c>
      <c r="M1651" t="s">
        <v>72</v>
      </c>
      <c r="N1651">
        <v>45366</v>
      </c>
      <c r="O1651">
        <v>1736</v>
      </c>
      <c r="P1651" t="s">
        <v>92</v>
      </c>
      <c r="Q1651">
        <v>6</v>
      </c>
      <c r="R1651" t="s">
        <v>76</v>
      </c>
      <c r="S1651" t="s">
        <v>21</v>
      </c>
      <c r="T1651" t="s">
        <v>29</v>
      </c>
    </row>
    <row r="1652" spans="1:20" x14ac:dyDescent="0.3">
      <c r="A1652" t="s">
        <v>3419</v>
      </c>
      <c r="B1652" t="s">
        <v>322</v>
      </c>
      <c r="C1652" t="s">
        <v>13</v>
      </c>
      <c r="D1652" t="s">
        <v>5156</v>
      </c>
      <c r="E1652" t="s">
        <v>5133</v>
      </c>
      <c r="F1652" t="s">
        <v>5125</v>
      </c>
      <c r="G1652" t="s">
        <v>36</v>
      </c>
      <c r="H1652" t="s">
        <v>5138</v>
      </c>
      <c r="I1652" t="s">
        <v>5139</v>
      </c>
      <c r="J1652">
        <v>220866</v>
      </c>
      <c r="K1652" t="s">
        <v>3420</v>
      </c>
      <c r="L1652" t="s">
        <v>18</v>
      </c>
      <c r="M1652" t="s">
        <v>46</v>
      </c>
      <c r="N1652">
        <v>45457</v>
      </c>
      <c r="O1652">
        <v>1812</v>
      </c>
      <c r="P1652" t="s">
        <v>29</v>
      </c>
      <c r="Q1652">
        <v>6</v>
      </c>
      <c r="R1652" t="s">
        <v>40</v>
      </c>
      <c r="S1652" t="s">
        <v>53</v>
      </c>
      <c r="T1652" t="s">
        <v>20</v>
      </c>
    </row>
    <row r="1653" spans="1:20" x14ac:dyDescent="0.3">
      <c r="A1653" t="s">
        <v>3421</v>
      </c>
      <c r="B1653" t="s">
        <v>215</v>
      </c>
      <c r="C1653" t="s">
        <v>117</v>
      </c>
      <c r="D1653" t="s">
        <v>104</v>
      </c>
      <c r="E1653" t="s">
        <v>34</v>
      </c>
      <c r="F1653" t="s">
        <v>35</v>
      </c>
      <c r="G1653" t="s">
        <v>16</v>
      </c>
      <c r="H1653" t="s">
        <v>5142</v>
      </c>
      <c r="I1653" t="s">
        <v>5143</v>
      </c>
      <c r="J1653">
        <v>158796</v>
      </c>
      <c r="K1653" t="s">
        <v>3422</v>
      </c>
      <c r="L1653" t="s">
        <v>82</v>
      </c>
      <c r="M1653" t="s">
        <v>19</v>
      </c>
      <c r="N1653">
        <v>45573</v>
      </c>
      <c r="O1653">
        <v>1970</v>
      </c>
      <c r="P1653" t="s">
        <v>20</v>
      </c>
      <c r="Q1653">
        <v>4</v>
      </c>
      <c r="R1653" t="s">
        <v>5116</v>
      </c>
      <c r="S1653" t="s">
        <v>41</v>
      </c>
      <c r="T1653" t="s">
        <v>29</v>
      </c>
    </row>
    <row r="1654" spans="1:20" x14ac:dyDescent="0.3">
      <c r="A1654" t="s">
        <v>3423</v>
      </c>
      <c r="B1654" t="s">
        <v>78</v>
      </c>
      <c r="C1654" t="s">
        <v>202</v>
      </c>
      <c r="D1654" t="s">
        <v>140</v>
      </c>
      <c r="E1654" t="s">
        <v>58</v>
      </c>
      <c r="F1654" t="s">
        <v>59</v>
      </c>
      <c r="G1654" t="s">
        <v>36</v>
      </c>
      <c r="H1654" t="s">
        <v>5138</v>
      </c>
      <c r="I1654" t="s">
        <v>5139</v>
      </c>
      <c r="J1654">
        <v>206997</v>
      </c>
      <c r="K1654" t="s">
        <v>3424</v>
      </c>
      <c r="L1654" t="s">
        <v>5165</v>
      </c>
      <c r="M1654" t="s">
        <v>46</v>
      </c>
      <c r="N1654">
        <v>45371</v>
      </c>
      <c r="O1654">
        <v>2907</v>
      </c>
      <c r="P1654" t="s">
        <v>20</v>
      </c>
      <c r="Q1654">
        <v>6</v>
      </c>
      <c r="R1654" t="s">
        <v>52</v>
      </c>
      <c r="S1654" t="s">
        <v>21</v>
      </c>
      <c r="T1654" t="s">
        <v>29</v>
      </c>
    </row>
    <row r="1655" spans="1:20" x14ac:dyDescent="0.3">
      <c r="A1655" t="s">
        <v>3425</v>
      </c>
      <c r="B1655" t="s">
        <v>144</v>
      </c>
      <c r="C1655" t="s">
        <v>151</v>
      </c>
      <c r="D1655" t="s">
        <v>33</v>
      </c>
      <c r="E1655" t="s">
        <v>80</v>
      </c>
      <c r="F1655" t="s">
        <v>80</v>
      </c>
      <c r="G1655" t="s">
        <v>50</v>
      </c>
      <c r="H1655" t="s">
        <v>5142</v>
      </c>
      <c r="I1655" t="s">
        <v>5143</v>
      </c>
      <c r="J1655">
        <v>140464</v>
      </c>
      <c r="K1655" t="s">
        <v>3426</v>
      </c>
      <c r="L1655" t="s">
        <v>179</v>
      </c>
      <c r="M1655" t="s">
        <v>19</v>
      </c>
      <c r="N1655">
        <v>45330</v>
      </c>
      <c r="O1655">
        <v>1558</v>
      </c>
      <c r="P1655" t="s">
        <v>20</v>
      </c>
      <c r="Q1655">
        <v>4</v>
      </c>
      <c r="R1655" t="s">
        <v>52</v>
      </c>
      <c r="S1655" t="s">
        <v>41</v>
      </c>
      <c r="T1655" t="s">
        <v>20</v>
      </c>
    </row>
    <row r="1656" spans="1:20" x14ac:dyDescent="0.3">
      <c r="A1656" t="s">
        <v>3427</v>
      </c>
      <c r="B1656" t="s">
        <v>218</v>
      </c>
      <c r="C1656" t="s">
        <v>166</v>
      </c>
      <c r="D1656" t="s">
        <v>118</v>
      </c>
      <c r="E1656" t="s">
        <v>58</v>
      </c>
      <c r="F1656" t="s">
        <v>59</v>
      </c>
      <c r="G1656" t="s">
        <v>36</v>
      </c>
      <c r="H1656" t="s">
        <v>5136</v>
      </c>
      <c r="I1656" t="s">
        <v>5137</v>
      </c>
      <c r="J1656">
        <v>74264</v>
      </c>
      <c r="K1656" t="s">
        <v>3428</v>
      </c>
      <c r="L1656" t="s">
        <v>5165</v>
      </c>
      <c r="M1656" t="s">
        <v>46</v>
      </c>
      <c r="N1656">
        <v>45560</v>
      </c>
      <c r="O1656">
        <v>985</v>
      </c>
      <c r="P1656" t="s">
        <v>92</v>
      </c>
      <c r="Q1656">
        <v>0</v>
      </c>
      <c r="R1656" t="s">
        <v>40</v>
      </c>
      <c r="S1656" t="s">
        <v>21</v>
      </c>
      <c r="T1656" t="s">
        <v>29</v>
      </c>
    </row>
    <row r="1657" spans="1:20" x14ac:dyDescent="0.3">
      <c r="A1657" t="s">
        <v>3429</v>
      </c>
      <c r="B1657" t="s">
        <v>144</v>
      </c>
      <c r="C1657" t="s">
        <v>94</v>
      </c>
      <c r="D1657" t="s">
        <v>57</v>
      </c>
      <c r="E1657" t="s">
        <v>193</v>
      </c>
      <c r="F1657" t="s">
        <v>194</v>
      </c>
      <c r="G1657" t="s">
        <v>36</v>
      </c>
      <c r="H1657" t="s">
        <v>5136</v>
      </c>
      <c r="I1657" t="s">
        <v>5137</v>
      </c>
      <c r="J1657">
        <v>66277</v>
      </c>
      <c r="K1657" t="s">
        <v>3430</v>
      </c>
      <c r="L1657" t="s">
        <v>5165</v>
      </c>
      <c r="M1657" t="s">
        <v>19</v>
      </c>
      <c r="N1657">
        <v>45607</v>
      </c>
      <c r="O1657">
        <v>3202</v>
      </c>
      <c r="P1657" t="s">
        <v>20</v>
      </c>
      <c r="Q1657">
        <v>0</v>
      </c>
      <c r="R1657" t="s">
        <v>52</v>
      </c>
      <c r="S1657" t="s">
        <v>21</v>
      </c>
      <c r="T1657" t="s">
        <v>20</v>
      </c>
    </row>
    <row r="1658" spans="1:20" x14ac:dyDescent="0.3">
      <c r="A1658" t="s">
        <v>3431</v>
      </c>
      <c r="B1658" t="s">
        <v>218</v>
      </c>
      <c r="C1658" t="s">
        <v>125</v>
      </c>
      <c r="D1658" t="s">
        <v>25</v>
      </c>
      <c r="E1658" t="s">
        <v>5127</v>
      </c>
      <c r="F1658" t="s">
        <v>5125</v>
      </c>
      <c r="G1658" t="s">
        <v>36</v>
      </c>
      <c r="H1658" t="s">
        <v>5140</v>
      </c>
      <c r="I1658" t="s">
        <v>5141</v>
      </c>
      <c r="J1658">
        <v>113335</v>
      </c>
      <c r="K1658" t="s">
        <v>3432</v>
      </c>
      <c r="L1658" t="s">
        <v>5165</v>
      </c>
      <c r="M1658" t="s">
        <v>19</v>
      </c>
      <c r="N1658">
        <v>45624</v>
      </c>
      <c r="O1658">
        <v>2254</v>
      </c>
      <c r="P1658" t="s">
        <v>20</v>
      </c>
      <c r="Q1658">
        <v>2</v>
      </c>
      <c r="R1658" t="s">
        <v>52</v>
      </c>
      <c r="S1658" t="s">
        <v>21</v>
      </c>
      <c r="T1658" t="s">
        <v>20</v>
      </c>
    </row>
    <row r="1659" spans="1:20" x14ac:dyDescent="0.3">
      <c r="A1659" t="s">
        <v>3433</v>
      </c>
      <c r="B1659" t="s">
        <v>55</v>
      </c>
      <c r="C1659" t="s">
        <v>125</v>
      </c>
      <c r="D1659" t="s">
        <v>44</v>
      </c>
      <c r="E1659" t="s">
        <v>5131</v>
      </c>
      <c r="F1659" t="s">
        <v>5125</v>
      </c>
      <c r="G1659" t="s">
        <v>16</v>
      </c>
      <c r="H1659" t="s">
        <v>5142</v>
      </c>
      <c r="I1659" t="s">
        <v>5143</v>
      </c>
      <c r="J1659">
        <v>185575</v>
      </c>
      <c r="K1659" t="s">
        <v>3434</v>
      </c>
      <c r="L1659" t="s">
        <v>82</v>
      </c>
      <c r="M1659" t="s">
        <v>46</v>
      </c>
      <c r="N1659">
        <v>45319</v>
      </c>
      <c r="O1659">
        <v>125</v>
      </c>
      <c r="P1659" t="s">
        <v>20</v>
      </c>
      <c r="Q1659">
        <v>4</v>
      </c>
      <c r="R1659" t="s">
        <v>5116</v>
      </c>
      <c r="S1659" t="s">
        <v>21</v>
      </c>
      <c r="T1659" t="s">
        <v>29</v>
      </c>
    </row>
    <row r="1660" spans="1:20" x14ac:dyDescent="0.3">
      <c r="A1660" t="s">
        <v>3435</v>
      </c>
      <c r="B1660" t="s">
        <v>74</v>
      </c>
      <c r="C1660" t="s">
        <v>43</v>
      </c>
      <c r="D1660" t="s">
        <v>118</v>
      </c>
      <c r="E1660" t="s">
        <v>95</v>
      </c>
      <c r="F1660" t="s">
        <v>96</v>
      </c>
      <c r="G1660" t="s">
        <v>36</v>
      </c>
      <c r="H1660" t="s">
        <v>5138</v>
      </c>
      <c r="I1660" t="s">
        <v>5139</v>
      </c>
      <c r="J1660">
        <v>163764</v>
      </c>
      <c r="K1660" t="s">
        <v>3436</v>
      </c>
      <c r="L1660" t="s">
        <v>179</v>
      </c>
      <c r="M1660" t="s">
        <v>46</v>
      </c>
      <c r="N1660">
        <v>45612</v>
      </c>
      <c r="O1660">
        <v>1502</v>
      </c>
      <c r="P1660" t="s">
        <v>92</v>
      </c>
      <c r="Q1660">
        <v>6</v>
      </c>
      <c r="R1660" t="s">
        <v>76</v>
      </c>
      <c r="S1660" t="s">
        <v>21</v>
      </c>
      <c r="T1660" t="s">
        <v>20</v>
      </c>
    </row>
    <row r="1661" spans="1:20" x14ac:dyDescent="0.3">
      <c r="A1661" t="s">
        <v>3437</v>
      </c>
      <c r="B1661" t="s">
        <v>229</v>
      </c>
      <c r="C1661" t="s">
        <v>64</v>
      </c>
      <c r="D1661" t="s">
        <v>25</v>
      </c>
      <c r="E1661" t="s">
        <v>209</v>
      </c>
      <c r="F1661" t="s">
        <v>210</v>
      </c>
      <c r="G1661" t="s">
        <v>16</v>
      </c>
      <c r="H1661" t="s">
        <v>5140</v>
      </c>
      <c r="I1661" t="s">
        <v>5141</v>
      </c>
      <c r="J1661">
        <v>132569</v>
      </c>
      <c r="K1661" t="s">
        <v>3438</v>
      </c>
      <c r="L1661" t="s">
        <v>18</v>
      </c>
      <c r="M1661" t="s">
        <v>46</v>
      </c>
      <c r="N1661">
        <v>45596</v>
      </c>
      <c r="O1661">
        <v>240</v>
      </c>
      <c r="P1661" t="s">
        <v>20</v>
      </c>
      <c r="Q1661">
        <v>2</v>
      </c>
      <c r="R1661" t="s">
        <v>52</v>
      </c>
      <c r="S1661" t="s">
        <v>21</v>
      </c>
      <c r="T1661" t="s">
        <v>29</v>
      </c>
    </row>
    <row r="1662" spans="1:20" x14ac:dyDescent="0.3">
      <c r="A1662" t="s">
        <v>3439</v>
      </c>
      <c r="B1662" t="s">
        <v>99</v>
      </c>
      <c r="C1662" t="s">
        <v>188</v>
      </c>
      <c r="D1662" t="s">
        <v>33</v>
      </c>
      <c r="E1662" t="s">
        <v>223</v>
      </c>
      <c r="F1662" t="s">
        <v>224</v>
      </c>
      <c r="G1662" t="s">
        <v>16</v>
      </c>
      <c r="H1662" t="s">
        <v>5138</v>
      </c>
      <c r="I1662" t="s">
        <v>5139</v>
      </c>
      <c r="J1662">
        <v>247416</v>
      </c>
      <c r="K1662" t="s">
        <v>3440</v>
      </c>
      <c r="L1662" t="s">
        <v>5165</v>
      </c>
      <c r="M1662" t="s">
        <v>39</v>
      </c>
      <c r="N1662">
        <v>45698</v>
      </c>
      <c r="O1662">
        <v>3271</v>
      </c>
      <c r="P1662" t="s">
        <v>20</v>
      </c>
      <c r="Q1662">
        <v>6</v>
      </c>
      <c r="R1662" t="s">
        <v>76</v>
      </c>
      <c r="S1662" t="s">
        <v>53</v>
      </c>
      <c r="T1662" t="s">
        <v>20</v>
      </c>
    </row>
    <row r="1663" spans="1:20" x14ac:dyDescent="0.3">
      <c r="A1663" t="s">
        <v>3441</v>
      </c>
      <c r="B1663" t="s">
        <v>165</v>
      </c>
      <c r="C1663" t="s">
        <v>151</v>
      </c>
      <c r="D1663" t="s">
        <v>57</v>
      </c>
      <c r="E1663" t="s">
        <v>126</v>
      </c>
      <c r="F1663" t="s">
        <v>127</v>
      </c>
      <c r="G1663" t="s">
        <v>16</v>
      </c>
      <c r="H1663" t="s">
        <v>5138</v>
      </c>
      <c r="I1663" t="s">
        <v>5139</v>
      </c>
      <c r="J1663">
        <v>195749</v>
      </c>
      <c r="K1663" t="s">
        <v>3442</v>
      </c>
      <c r="L1663" t="s">
        <v>142</v>
      </c>
      <c r="M1663" t="s">
        <v>46</v>
      </c>
      <c r="N1663">
        <v>45638</v>
      </c>
      <c r="O1663">
        <v>3286</v>
      </c>
      <c r="P1663" t="s">
        <v>20</v>
      </c>
      <c r="Q1663">
        <v>6</v>
      </c>
      <c r="R1663" t="s">
        <v>40</v>
      </c>
      <c r="S1663" t="s">
        <v>21</v>
      </c>
      <c r="T1663" t="s">
        <v>29</v>
      </c>
    </row>
    <row r="1664" spans="1:20" x14ac:dyDescent="0.3">
      <c r="A1664" t="s">
        <v>3443</v>
      </c>
      <c r="B1664" t="s">
        <v>124</v>
      </c>
      <c r="C1664" t="s">
        <v>151</v>
      </c>
      <c r="D1664" t="s">
        <v>167</v>
      </c>
      <c r="E1664" t="s">
        <v>14</v>
      </c>
      <c r="F1664" t="s">
        <v>15</v>
      </c>
      <c r="G1664" t="s">
        <v>16</v>
      </c>
      <c r="H1664" t="s">
        <v>5136</v>
      </c>
      <c r="I1664" t="s">
        <v>5137</v>
      </c>
      <c r="J1664">
        <v>50000</v>
      </c>
      <c r="K1664" t="s">
        <v>3444</v>
      </c>
      <c r="L1664" t="s">
        <v>5165</v>
      </c>
      <c r="M1664" t="s">
        <v>46</v>
      </c>
      <c r="N1664">
        <v>45605</v>
      </c>
      <c r="O1664">
        <v>1170</v>
      </c>
      <c r="P1664" t="s">
        <v>20</v>
      </c>
      <c r="Q1664">
        <v>0</v>
      </c>
      <c r="R1664" t="s">
        <v>40</v>
      </c>
      <c r="S1664" t="s">
        <v>21</v>
      </c>
      <c r="T1664" t="s">
        <v>29</v>
      </c>
    </row>
    <row r="1665" spans="1:20" x14ac:dyDescent="0.3">
      <c r="A1665" t="s">
        <v>3445</v>
      </c>
      <c r="B1665" t="s">
        <v>144</v>
      </c>
      <c r="C1665" t="s">
        <v>79</v>
      </c>
      <c r="D1665" t="s">
        <v>44</v>
      </c>
      <c r="E1665" t="s">
        <v>80</v>
      </c>
      <c r="F1665" t="s">
        <v>80</v>
      </c>
      <c r="G1665" t="s">
        <v>16</v>
      </c>
      <c r="H1665" t="s">
        <v>5138</v>
      </c>
      <c r="I1665" t="s">
        <v>5139</v>
      </c>
      <c r="J1665">
        <v>178118</v>
      </c>
      <c r="K1665" t="s">
        <v>3446</v>
      </c>
      <c r="L1665" t="s">
        <v>142</v>
      </c>
      <c r="M1665" t="s">
        <v>19</v>
      </c>
      <c r="N1665">
        <v>45483</v>
      </c>
      <c r="O1665">
        <v>3741</v>
      </c>
      <c r="P1665" t="s">
        <v>20</v>
      </c>
      <c r="Q1665">
        <v>6</v>
      </c>
      <c r="R1665" t="s">
        <v>40</v>
      </c>
      <c r="S1665" t="s">
        <v>53</v>
      </c>
      <c r="T1665" t="s">
        <v>20</v>
      </c>
    </row>
    <row r="1666" spans="1:20" x14ac:dyDescent="0.3">
      <c r="A1666" t="s">
        <v>3447</v>
      </c>
      <c r="B1666" t="s">
        <v>23</v>
      </c>
      <c r="C1666" t="s">
        <v>109</v>
      </c>
      <c r="D1666" t="s">
        <v>104</v>
      </c>
      <c r="E1666" t="s">
        <v>5131</v>
      </c>
      <c r="F1666" t="s">
        <v>5125</v>
      </c>
      <c r="G1666" t="s">
        <v>36</v>
      </c>
      <c r="H1666" t="s">
        <v>5142</v>
      </c>
      <c r="I1666" t="s">
        <v>5143</v>
      </c>
      <c r="J1666">
        <v>185018</v>
      </c>
      <c r="K1666" t="s">
        <v>3448</v>
      </c>
      <c r="L1666" t="s">
        <v>38</v>
      </c>
      <c r="M1666" t="s">
        <v>46</v>
      </c>
      <c r="N1666">
        <v>45553</v>
      </c>
      <c r="O1666">
        <v>2737</v>
      </c>
      <c r="P1666" t="s">
        <v>29</v>
      </c>
      <c r="Q1666">
        <v>4</v>
      </c>
      <c r="R1666" t="s">
        <v>52</v>
      </c>
      <c r="S1666" t="s">
        <v>53</v>
      </c>
      <c r="T1666" t="s">
        <v>29</v>
      </c>
    </row>
    <row r="1667" spans="1:20" x14ac:dyDescent="0.3">
      <c r="A1667" t="s">
        <v>3449</v>
      </c>
      <c r="B1667" t="s">
        <v>31</v>
      </c>
      <c r="C1667" t="s">
        <v>117</v>
      </c>
      <c r="D1667" t="s">
        <v>167</v>
      </c>
      <c r="E1667" t="s">
        <v>5127</v>
      </c>
      <c r="F1667" t="s">
        <v>5125</v>
      </c>
      <c r="G1667" t="s">
        <v>50</v>
      </c>
      <c r="H1667" t="s">
        <v>5136</v>
      </c>
      <c r="I1667" t="s">
        <v>5137</v>
      </c>
      <c r="J1667">
        <v>69711</v>
      </c>
      <c r="K1667" t="s">
        <v>3450</v>
      </c>
      <c r="L1667" t="s">
        <v>5165</v>
      </c>
      <c r="M1667" t="s">
        <v>39</v>
      </c>
      <c r="N1667">
        <v>45367</v>
      </c>
      <c r="O1667">
        <v>2249</v>
      </c>
      <c r="P1667" t="s">
        <v>20</v>
      </c>
      <c r="Q1667">
        <v>0</v>
      </c>
      <c r="R1667" t="s">
        <v>76</v>
      </c>
      <c r="S1667" t="s">
        <v>21</v>
      </c>
      <c r="T1667" t="s">
        <v>20</v>
      </c>
    </row>
    <row r="1668" spans="1:20" x14ac:dyDescent="0.3">
      <c r="A1668" t="s">
        <v>3451</v>
      </c>
      <c r="B1668" t="s">
        <v>89</v>
      </c>
      <c r="C1668" t="s">
        <v>172</v>
      </c>
      <c r="D1668" t="s">
        <v>140</v>
      </c>
      <c r="E1668" t="s">
        <v>209</v>
      </c>
      <c r="F1668" t="s">
        <v>210</v>
      </c>
      <c r="G1668" t="s">
        <v>16</v>
      </c>
      <c r="H1668" t="s">
        <v>5136</v>
      </c>
      <c r="I1668" t="s">
        <v>5137</v>
      </c>
      <c r="J1668">
        <v>57408</v>
      </c>
      <c r="K1668" t="s">
        <v>3452</v>
      </c>
      <c r="L1668" t="s">
        <v>82</v>
      </c>
      <c r="M1668" t="s">
        <v>19</v>
      </c>
      <c r="N1668">
        <v>45324</v>
      </c>
      <c r="O1668">
        <v>2401</v>
      </c>
      <c r="P1668" t="s">
        <v>29</v>
      </c>
      <c r="Q1668">
        <v>0</v>
      </c>
      <c r="R1668" t="s">
        <v>52</v>
      </c>
      <c r="S1668" t="s">
        <v>41</v>
      </c>
      <c r="T1668" t="s">
        <v>20</v>
      </c>
    </row>
    <row r="1669" spans="1:20" x14ac:dyDescent="0.3">
      <c r="A1669" t="s">
        <v>3453</v>
      </c>
      <c r="B1669" t="s">
        <v>23</v>
      </c>
      <c r="C1669" t="s">
        <v>67</v>
      </c>
      <c r="D1669" t="s">
        <v>5156</v>
      </c>
      <c r="E1669" t="s">
        <v>152</v>
      </c>
      <c r="F1669" t="s">
        <v>153</v>
      </c>
      <c r="G1669" t="s">
        <v>50</v>
      </c>
      <c r="H1669" t="s">
        <v>5142</v>
      </c>
      <c r="I1669" t="s">
        <v>5143</v>
      </c>
      <c r="J1669">
        <v>136371</v>
      </c>
      <c r="K1669" t="s">
        <v>3454</v>
      </c>
      <c r="L1669" t="s">
        <v>38</v>
      </c>
      <c r="M1669" t="s">
        <v>39</v>
      </c>
      <c r="N1669">
        <v>45742</v>
      </c>
      <c r="O1669">
        <v>3289</v>
      </c>
      <c r="P1669" t="s">
        <v>29</v>
      </c>
      <c r="Q1669">
        <v>4</v>
      </c>
      <c r="R1669" t="s">
        <v>47</v>
      </c>
      <c r="S1669" t="s">
        <v>21</v>
      </c>
      <c r="T1669" t="s">
        <v>20</v>
      </c>
    </row>
    <row r="1670" spans="1:20" x14ac:dyDescent="0.3">
      <c r="A1670" t="s">
        <v>3455</v>
      </c>
      <c r="B1670" t="s">
        <v>322</v>
      </c>
      <c r="C1670" t="s">
        <v>64</v>
      </c>
      <c r="D1670" t="s">
        <v>25</v>
      </c>
      <c r="E1670" t="s">
        <v>193</v>
      </c>
      <c r="F1670" t="s">
        <v>194</v>
      </c>
      <c r="G1670" t="s">
        <v>50</v>
      </c>
      <c r="H1670" t="s">
        <v>5138</v>
      </c>
      <c r="I1670" t="s">
        <v>5139</v>
      </c>
      <c r="J1670">
        <v>230262</v>
      </c>
      <c r="K1670" t="s">
        <v>3456</v>
      </c>
      <c r="L1670" t="s">
        <v>82</v>
      </c>
      <c r="M1670" t="s">
        <v>72</v>
      </c>
      <c r="N1670">
        <v>45560</v>
      </c>
      <c r="O1670">
        <v>1147</v>
      </c>
      <c r="P1670" t="s">
        <v>29</v>
      </c>
      <c r="Q1670">
        <v>6</v>
      </c>
      <c r="R1670" t="s">
        <v>76</v>
      </c>
      <c r="S1670" t="s">
        <v>41</v>
      </c>
      <c r="T1670" t="s">
        <v>29</v>
      </c>
    </row>
    <row r="1671" spans="1:20" x14ac:dyDescent="0.3">
      <c r="A1671" t="s">
        <v>3457</v>
      </c>
      <c r="B1671" t="s">
        <v>136</v>
      </c>
      <c r="C1671" t="s">
        <v>175</v>
      </c>
      <c r="D1671" t="s">
        <v>104</v>
      </c>
      <c r="E1671" t="s">
        <v>5131</v>
      </c>
      <c r="F1671" t="s">
        <v>5125</v>
      </c>
      <c r="G1671" t="s">
        <v>50</v>
      </c>
      <c r="H1671" t="s">
        <v>5140</v>
      </c>
      <c r="I1671" t="s">
        <v>5141</v>
      </c>
      <c r="J1671">
        <v>120825</v>
      </c>
      <c r="K1671" t="s">
        <v>3458</v>
      </c>
      <c r="L1671" t="s">
        <v>142</v>
      </c>
      <c r="M1671" t="s">
        <v>19</v>
      </c>
      <c r="N1671">
        <v>45293</v>
      </c>
      <c r="O1671">
        <v>3679</v>
      </c>
      <c r="P1671" t="s">
        <v>29</v>
      </c>
      <c r="Q1671">
        <v>2</v>
      </c>
      <c r="R1671" t="s">
        <v>76</v>
      </c>
      <c r="S1671" t="s">
        <v>21</v>
      </c>
      <c r="T1671" t="s">
        <v>29</v>
      </c>
    </row>
    <row r="1672" spans="1:20" x14ac:dyDescent="0.3">
      <c r="A1672" t="s">
        <v>3459</v>
      </c>
      <c r="B1672" t="s">
        <v>31</v>
      </c>
      <c r="C1672" t="s">
        <v>103</v>
      </c>
      <c r="D1672" t="s">
        <v>167</v>
      </c>
      <c r="E1672" t="s">
        <v>223</v>
      </c>
      <c r="F1672" t="s">
        <v>224</v>
      </c>
      <c r="G1672" t="s">
        <v>36</v>
      </c>
      <c r="H1672" t="s">
        <v>5142</v>
      </c>
      <c r="I1672" t="s">
        <v>5143</v>
      </c>
      <c r="J1672">
        <v>143548</v>
      </c>
      <c r="K1672" t="s">
        <v>3460</v>
      </c>
      <c r="L1672" t="s">
        <v>5165</v>
      </c>
      <c r="M1672" t="s">
        <v>46</v>
      </c>
      <c r="N1672">
        <v>45416</v>
      </c>
      <c r="O1672">
        <v>567</v>
      </c>
      <c r="P1672" t="s">
        <v>20</v>
      </c>
      <c r="Q1672">
        <v>4</v>
      </c>
      <c r="R1672" t="s">
        <v>47</v>
      </c>
      <c r="S1672" t="s">
        <v>53</v>
      </c>
      <c r="T1672" t="s">
        <v>29</v>
      </c>
    </row>
    <row r="1673" spans="1:20" x14ac:dyDescent="0.3">
      <c r="A1673" t="s">
        <v>3461</v>
      </c>
      <c r="B1673" t="s">
        <v>165</v>
      </c>
      <c r="C1673" t="s">
        <v>139</v>
      </c>
      <c r="D1673" t="s">
        <v>25</v>
      </c>
      <c r="E1673" t="s">
        <v>5131</v>
      </c>
      <c r="F1673" t="s">
        <v>5125</v>
      </c>
      <c r="G1673" t="s">
        <v>16</v>
      </c>
      <c r="H1673" t="s">
        <v>5136</v>
      </c>
      <c r="I1673" t="s">
        <v>5137</v>
      </c>
      <c r="J1673">
        <v>65378</v>
      </c>
      <c r="K1673" t="s">
        <v>3462</v>
      </c>
      <c r="L1673" t="s">
        <v>61</v>
      </c>
      <c r="M1673" t="s">
        <v>19</v>
      </c>
      <c r="N1673">
        <v>45421</v>
      </c>
      <c r="O1673">
        <v>883</v>
      </c>
      <c r="P1673" t="s">
        <v>20</v>
      </c>
      <c r="Q1673">
        <v>0</v>
      </c>
      <c r="R1673" t="s">
        <v>47</v>
      </c>
      <c r="S1673" t="s">
        <v>53</v>
      </c>
      <c r="T1673" t="s">
        <v>20</v>
      </c>
    </row>
    <row r="1674" spans="1:20" x14ac:dyDescent="0.3">
      <c r="A1674" t="s">
        <v>3463</v>
      </c>
      <c r="B1674" t="s">
        <v>89</v>
      </c>
      <c r="C1674" t="s">
        <v>151</v>
      </c>
      <c r="D1674" t="s">
        <v>44</v>
      </c>
      <c r="E1674" t="s">
        <v>126</v>
      </c>
      <c r="F1674" t="s">
        <v>127</v>
      </c>
      <c r="G1674" t="s">
        <v>16</v>
      </c>
      <c r="H1674" t="s">
        <v>5136</v>
      </c>
      <c r="I1674" t="s">
        <v>5137</v>
      </c>
      <c r="J1674">
        <v>65063</v>
      </c>
      <c r="K1674" t="s">
        <v>3464</v>
      </c>
      <c r="L1674" t="s">
        <v>142</v>
      </c>
      <c r="M1674" t="s">
        <v>19</v>
      </c>
      <c r="N1674">
        <v>45624</v>
      </c>
      <c r="O1674">
        <v>868</v>
      </c>
      <c r="P1674" t="s">
        <v>20</v>
      </c>
      <c r="Q1674">
        <v>0</v>
      </c>
      <c r="R1674" t="s">
        <v>5116</v>
      </c>
      <c r="S1674" t="s">
        <v>21</v>
      </c>
      <c r="T1674" t="s">
        <v>20</v>
      </c>
    </row>
    <row r="1675" spans="1:20" x14ac:dyDescent="0.3">
      <c r="A1675" t="s">
        <v>3465</v>
      </c>
      <c r="B1675" t="s">
        <v>23</v>
      </c>
      <c r="C1675" t="s">
        <v>24</v>
      </c>
      <c r="D1675" t="s">
        <v>68</v>
      </c>
      <c r="E1675" t="s">
        <v>126</v>
      </c>
      <c r="F1675" t="s">
        <v>127</v>
      </c>
      <c r="G1675" t="s">
        <v>36</v>
      </c>
      <c r="H1675" t="s">
        <v>5138</v>
      </c>
      <c r="I1675" t="s">
        <v>5139</v>
      </c>
      <c r="J1675">
        <v>166793</v>
      </c>
      <c r="K1675" t="s">
        <v>3466</v>
      </c>
      <c r="L1675" t="s">
        <v>87</v>
      </c>
      <c r="M1675" t="s">
        <v>46</v>
      </c>
      <c r="N1675">
        <v>45316</v>
      </c>
      <c r="O1675">
        <v>1458</v>
      </c>
      <c r="P1675" t="s">
        <v>20</v>
      </c>
      <c r="Q1675">
        <v>6</v>
      </c>
      <c r="R1675" t="s">
        <v>40</v>
      </c>
      <c r="S1675" t="s">
        <v>21</v>
      </c>
      <c r="T1675" t="s">
        <v>20</v>
      </c>
    </row>
    <row r="1676" spans="1:20" x14ac:dyDescent="0.3">
      <c r="A1676" t="s">
        <v>3467</v>
      </c>
      <c r="B1676" t="s">
        <v>215</v>
      </c>
      <c r="C1676" t="s">
        <v>188</v>
      </c>
      <c r="D1676" t="s">
        <v>25</v>
      </c>
      <c r="E1676" t="s">
        <v>5124</v>
      </c>
      <c r="F1676" t="s">
        <v>5125</v>
      </c>
      <c r="G1676" t="s">
        <v>16</v>
      </c>
      <c r="H1676" t="s">
        <v>5140</v>
      </c>
      <c r="I1676" t="s">
        <v>5141</v>
      </c>
      <c r="J1676">
        <v>141984</v>
      </c>
      <c r="K1676" t="s">
        <v>3468</v>
      </c>
      <c r="L1676" t="s">
        <v>5165</v>
      </c>
      <c r="M1676" t="s">
        <v>46</v>
      </c>
      <c r="N1676">
        <v>45379</v>
      </c>
      <c r="O1676">
        <v>3127</v>
      </c>
      <c r="P1676" t="s">
        <v>20</v>
      </c>
      <c r="Q1676">
        <v>2</v>
      </c>
      <c r="R1676" t="s">
        <v>76</v>
      </c>
      <c r="S1676" t="s">
        <v>21</v>
      </c>
      <c r="T1676" t="s">
        <v>29</v>
      </c>
    </row>
    <row r="1677" spans="1:20" x14ac:dyDescent="0.3">
      <c r="A1677" t="s">
        <v>3469</v>
      </c>
      <c r="B1677" t="s">
        <v>23</v>
      </c>
      <c r="C1677" t="s">
        <v>109</v>
      </c>
      <c r="D1677" t="s">
        <v>104</v>
      </c>
      <c r="E1677" t="s">
        <v>34</v>
      </c>
      <c r="F1677" t="s">
        <v>35</v>
      </c>
      <c r="G1677" t="s">
        <v>50</v>
      </c>
      <c r="H1677" t="s">
        <v>5142</v>
      </c>
      <c r="I1677" t="s">
        <v>5143</v>
      </c>
      <c r="J1677">
        <v>141297</v>
      </c>
      <c r="K1677" t="s">
        <v>3470</v>
      </c>
      <c r="L1677" t="s">
        <v>61</v>
      </c>
      <c r="M1677" t="s">
        <v>46</v>
      </c>
      <c r="N1677">
        <v>45460</v>
      </c>
      <c r="O1677">
        <v>383</v>
      </c>
      <c r="P1677" t="s">
        <v>20</v>
      </c>
      <c r="Q1677">
        <v>4</v>
      </c>
      <c r="R1677" t="s">
        <v>47</v>
      </c>
      <c r="S1677" t="s">
        <v>21</v>
      </c>
      <c r="T1677" t="s">
        <v>29</v>
      </c>
    </row>
    <row r="1678" spans="1:20" x14ac:dyDescent="0.3">
      <c r="A1678" t="s">
        <v>3471</v>
      </c>
      <c r="B1678" t="s">
        <v>144</v>
      </c>
      <c r="C1678" t="s">
        <v>13</v>
      </c>
      <c r="D1678" t="s">
        <v>68</v>
      </c>
      <c r="E1678" t="s">
        <v>5131</v>
      </c>
      <c r="F1678" t="s">
        <v>5125</v>
      </c>
      <c r="G1678" t="s">
        <v>50</v>
      </c>
      <c r="H1678" t="s">
        <v>5140</v>
      </c>
      <c r="I1678" t="s">
        <v>5141</v>
      </c>
      <c r="J1678">
        <v>134099</v>
      </c>
      <c r="K1678" t="s">
        <v>3472</v>
      </c>
      <c r="L1678" t="s">
        <v>61</v>
      </c>
      <c r="M1678" t="s">
        <v>39</v>
      </c>
      <c r="N1678">
        <v>45559</v>
      </c>
      <c r="O1678">
        <v>772</v>
      </c>
      <c r="P1678" t="s">
        <v>20</v>
      </c>
      <c r="Q1678">
        <v>2</v>
      </c>
      <c r="R1678" t="s">
        <v>76</v>
      </c>
      <c r="S1678" t="s">
        <v>21</v>
      </c>
      <c r="T1678" t="s">
        <v>29</v>
      </c>
    </row>
    <row r="1679" spans="1:20" x14ac:dyDescent="0.3">
      <c r="A1679" t="s">
        <v>3473</v>
      </c>
      <c r="B1679" t="s">
        <v>144</v>
      </c>
      <c r="C1679" t="s">
        <v>117</v>
      </c>
      <c r="D1679" t="s">
        <v>140</v>
      </c>
      <c r="E1679" t="s">
        <v>58</v>
      </c>
      <c r="F1679" t="s">
        <v>59</v>
      </c>
      <c r="G1679" t="s">
        <v>16</v>
      </c>
      <c r="H1679" t="s">
        <v>5140</v>
      </c>
      <c r="I1679" t="s">
        <v>5141</v>
      </c>
      <c r="J1679">
        <v>140122</v>
      </c>
      <c r="K1679" t="s">
        <v>3474</v>
      </c>
      <c r="L1679" t="s">
        <v>5165</v>
      </c>
      <c r="M1679" t="s">
        <v>19</v>
      </c>
      <c r="N1679">
        <v>45539</v>
      </c>
      <c r="O1679">
        <v>942</v>
      </c>
      <c r="P1679" t="s">
        <v>20</v>
      </c>
      <c r="Q1679">
        <v>2</v>
      </c>
      <c r="R1679" t="s">
        <v>40</v>
      </c>
      <c r="S1679" t="s">
        <v>21</v>
      </c>
      <c r="T1679" t="s">
        <v>29</v>
      </c>
    </row>
    <row r="1680" spans="1:20" x14ac:dyDescent="0.3">
      <c r="A1680" t="s">
        <v>3475</v>
      </c>
      <c r="B1680" t="s">
        <v>218</v>
      </c>
      <c r="C1680" t="s">
        <v>109</v>
      </c>
      <c r="D1680" t="s">
        <v>57</v>
      </c>
      <c r="E1680" t="s">
        <v>26</v>
      </c>
      <c r="F1680" t="s">
        <v>27</v>
      </c>
      <c r="G1680" t="s">
        <v>16</v>
      </c>
      <c r="H1680" t="s">
        <v>5138</v>
      </c>
      <c r="I1680" t="s">
        <v>5139</v>
      </c>
      <c r="J1680">
        <v>235939</v>
      </c>
      <c r="K1680" t="s">
        <v>3476</v>
      </c>
      <c r="L1680" t="s">
        <v>5165</v>
      </c>
      <c r="M1680" t="s">
        <v>46</v>
      </c>
      <c r="N1680">
        <v>45509</v>
      </c>
      <c r="O1680">
        <v>239</v>
      </c>
      <c r="P1680" t="s">
        <v>20</v>
      </c>
      <c r="Q1680">
        <v>6</v>
      </c>
      <c r="R1680" t="s">
        <v>47</v>
      </c>
      <c r="S1680" t="s">
        <v>21</v>
      </c>
      <c r="T1680" t="s">
        <v>29</v>
      </c>
    </row>
    <row r="1681" spans="1:20" x14ac:dyDescent="0.3">
      <c r="A1681" t="s">
        <v>3477</v>
      </c>
      <c r="B1681" t="s">
        <v>136</v>
      </c>
      <c r="C1681" t="s">
        <v>232</v>
      </c>
      <c r="D1681" t="s">
        <v>5156</v>
      </c>
      <c r="E1681" t="s">
        <v>80</v>
      </c>
      <c r="F1681" t="s">
        <v>80</v>
      </c>
      <c r="G1681" t="s">
        <v>16</v>
      </c>
      <c r="H1681" t="s">
        <v>5138</v>
      </c>
      <c r="I1681" t="s">
        <v>5139</v>
      </c>
      <c r="J1681">
        <v>184461</v>
      </c>
      <c r="K1681" t="s">
        <v>3478</v>
      </c>
      <c r="L1681" t="s">
        <v>82</v>
      </c>
      <c r="M1681" t="s">
        <v>46</v>
      </c>
      <c r="N1681">
        <v>45356</v>
      </c>
      <c r="O1681">
        <v>3240</v>
      </c>
      <c r="P1681" t="s">
        <v>20</v>
      </c>
      <c r="Q1681">
        <v>6</v>
      </c>
      <c r="R1681" t="s">
        <v>47</v>
      </c>
      <c r="S1681" t="s">
        <v>21</v>
      </c>
      <c r="T1681" t="s">
        <v>29</v>
      </c>
    </row>
    <row r="1682" spans="1:20" x14ac:dyDescent="0.3">
      <c r="A1682" t="s">
        <v>3479</v>
      </c>
      <c r="B1682" t="s">
        <v>322</v>
      </c>
      <c r="C1682" t="s">
        <v>67</v>
      </c>
      <c r="D1682" t="s">
        <v>44</v>
      </c>
      <c r="E1682" t="s">
        <v>193</v>
      </c>
      <c r="F1682" t="s">
        <v>194</v>
      </c>
      <c r="G1682" t="s">
        <v>36</v>
      </c>
      <c r="H1682" t="s">
        <v>5140</v>
      </c>
      <c r="I1682" t="s">
        <v>5141</v>
      </c>
      <c r="J1682">
        <v>117993</v>
      </c>
      <c r="K1682" t="s">
        <v>3480</v>
      </c>
      <c r="L1682" t="s">
        <v>87</v>
      </c>
      <c r="M1682" t="s">
        <v>46</v>
      </c>
      <c r="N1682">
        <v>45526</v>
      </c>
      <c r="O1682">
        <v>2621</v>
      </c>
      <c r="P1682" t="s">
        <v>20</v>
      </c>
      <c r="Q1682">
        <v>2</v>
      </c>
      <c r="R1682" t="s">
        <v>40</v>
      </c>
      <c r="S1682" t="s">
        <v>21</v>
      </c>
      <c r="T1682" t="s">
        <v>20</v>
      </c>
    </row>
    <row r="1683" spans="1:20" x14ac:dyDescent="0.3">
      <c r="A1683" t="s">
        <v>3481</v>
      </c>
      <c r="B1683" t="s">
        <v>84</v>
      </c>
      <c r="C1683" t="s">
        <v>185</v>
      </c>
      <c r="D1683" t="s">
        <v>33</v>
      </c>
      <c r="E1683" t="s">
        <v>5124</v>
      </c>
      <c r="F1683" t="s">
        <v>5125</v>
      </c>
      <c r="G1683" t="s">
        <v>16</v>
      </c>
      <c r="H1683" t="s">
        <v>5138</v>
      </c>
      <c r="I1683" t="s">
        <v>5139</v>
      </c>
      <c r="J1683">
        <v>199128</v>
      </c>
      <c r="K1683" t="s">
        <v>3482</v>
      </c>
      <c r="L1683" t="s">
        <v>5165</v>
      </c>
      <c r="M1683" t="s">
        <v>19</v>
      </c>
      <c r="N1683">
        <v>45297</v>
      </c>
      <c r="O1683">
        <v>2564</v>
      </c>
      <c r="P1683" t="s">
        <v>20</v>
      </c>
      <c r="Q1683">
        <v>6</v>
      </c>
      <c r="R1683" t="s">
        <v>47</v>
      </c>
      <c r="S1683" t="s">
        <v>21</v>
      </c>
      <c r="T1683" t="s">
        <v>20</v>
      </c>
    </row>
    <row r="1684" spans="1:20" x14ac:dyDescent="0.3">
      <c r="A1684" t="s">
        <v>3483</v>
      </c>
      <c r="B1684" t="s">
        <v>218</v>
      </c>
      <c r="C1684" t="s">
        <v>32</v>
      </c>
      <c r="D1684" t="s">
        <v>104</v>
      </c>
      <c r="E1684" t="s">
        <v>34</v>
      </c>
      <c r="F1684" t="s">
        <v>35</v>
      </c>
      <c r="G1684" t="s">
        <v>16</v>
      </c>
      <c r="H1684" t="s">
        <v>5138</v>
      </c>
      <c r="I1684" t="s">
        <v>5139</v>
      </c>
      <c r="J1684">
        <v>167466</v>
      </c>
      <c r="K1684" t="s">
        <v>3484</v>
      </c>
      <c r="L1684" t="s">
        <v>5165</v>
      </c>
      <c r="M1684" t="s">
        <v>46</v>
      </c>
      <c r="N1684">
        <v>45629</v>
      </c>
      <c r="O1684">
        <v>3937</v>
      </c>
      <c r="P1684" t="s">
        <v>29</v>
      </c>
      <c r="Q1684">
        <v>6</v>
      </c>
      <c r="R1684" t="s">
        <v>40</v>
      </c>
      <c r="S1684" t="s">
        <v>21</v>
      </c>
      <c r="T1684" t="s">
        <v>29</v>
      </c>
    </row>
    <row r="1685" spans="1:20" x14ac:dyDescent="0.3">
      <c r="A1685" t="s">
        <v>3485</v>
      </c>
      <c r="B1685" t="s">
        <v>23</v>
      </c>
      <c r="C1685" t="s">
        <v>85</v>
      </c>
      <c r="D1685" t="s">
        <v>68</v>
      </c>
      <c r="E1685" t="s">
        <v>80</v>
      </c>
      <c r="F1685" t="s">
        <v>80</v>
      </c>
      <c r="G1685" t="s">
        <v>16</v>
      </c>
      <c r="H1685" t="s">
        <v>5142</v>
      </c>
      <c r="I1685" t="s">
        <v>5143</v>
      </c>
      <c r="J1685">
        <v>158757</v>
      </c>
      <c r="K1685" t="s">
        <v>3486</v>
      </c>
      <c r="L1685" t="s">
        <v>142</v>
      </c>
      <c r="M1685" t="s">
        <v>46</v>
      </c>
      <c r="N1685">
        <v>45357</v>
      </c>
      <c r="O1685">
        <v>598</v>
      </c>
      <c r="P1685" t="s">
        <v>20</v>
      </c>
      <c r="Q1685">
        <v>4</v>
      </c>
      <c r="R1685" t="s">
        <v>47</v>
      </c>
      <c r="S1685" t="s">
        <v>21</v>
      </c>
      <c r="T1685" t="s">
        <v>20</v>
      </c>
    </row>
    <row r="1686" spans="1:20" x14ac:dyDescent="0.3">
      <c r="A1686" t="s">
        <v>3487</v>
      </c>
      <c r="B1686" t="s">
        <v>222</v>
      </c>
      <c r="C1686" t="s">
        <v>219</v>
      </c>
      <c r="D1686" t="s">
        <v>33</v>
      </c>
      <c r="E1686" t="s">
        <v>126</v>
      </c>
      <c r="F1686" t="s">
        <v>127</v>
      </c>
      <c r="G1686" t="s">
        <v>36</v>
      </c>
      <c r="H1686" t="s">
        <v>5142</v>
      </c>
      <c r="I1686" t="s">
        <v>5143</v>
      </c>
      <c r="J1686">
        <v>118165</v>
      </c>
      <c r="K1686" t="s">
        <v>3488</v>
      </c>
      <c r="L1686" t="s">
        <v>5165</v>
      </c>
      <c r="M1686" t="s">
        <v>19</v>
      </c>
      <c r="N1686">
        <v>45330</v>
      </c>
      <c r="O1686">
        <v>3441</v>
      </c>
      <c r="P1686" t="s">
        <v>20</v>
      </c>
      <c r="Q1686">
        <v>4</v>
      </c>
      <c r="R1686" t="s">
        <v>40</v>
      </c>
      <c r="S1686" t="s">
        <v>21</v>
      </c>
      <c r="T1686" t="s">
        <v>29</v>
      </c>
    </row>
    <row r="1687" spans="1:20" x14ac:dyDescent="0.3">
      <c r="A1687" t="s">
        <v>3489</v>
      </c>
      <c r="B1687" t="s">
        <v>165</v>
      </c>
      <c r="C1687" t="s">
        <v>219</v>
      </c>
      <c r="D1687" t="s">
        <v>57</v>
      </c>
      <c r="E1687" t="s">
        <v>95</v>
      </c>
      <c r="F1687" t="s">
        <v>96</v>
      </c>
      <c r="G1687" t="s">
        <v>36</v>
      </c>
      <c r="H1687" t="s">
        <v>5138</v>
      </c>
      <c r="I1687" t="s">
        <v>5139</v>
      </c>
      <c r="J1687">
        <v>242756</v>
      </c>
      <c r="K1687" t="s">
        <v>3490</v>
      </c>
      <c r="L1687" t="s">
        <v>18</v>
      </c>
      <c r="M1687" t="s">
        <v>46</v>
      </c>
      <c r="N1687">
        <v>45527</v>
      </c>
      <c r="O1687">
        <v>1457</v>
      </c>
      <c r="P1687" t="s">
        <v>92</v>
      </c>
      <c r="Q1687">
        <v>6</v>
      </c>
      <c r="R1687" t="s">
        <v>40</v>
      </c>
      <c r="S1687" t="s">
        <v>21</v>
      </c>
      <c r="T1687" t="s">
        <v>20</v>
      </c>
    </row>
    <row r="1688" spans="1:20" x14ac:dyDescent="0.3">
      <c r="A1688" t="s">
        <v>3491</v>
      </c>
      <c r="B1688" t="s">
        <v>218</v>
      </c>
      <c r="C1688" t="s">
        <v>139</v>
      </c>
      <c r="D1688" t="s">
        <v>44</v>
      </c>
      <c r="E1688" t="s">
        <v>5132</v>
      </c>
      <c r="F1688" t="s">
        <v>5125</v>
      </c>
      <c r="G1688" t="s">
        <v>50</v>
      </c>
      <c r="H1688" t="s">
        <v>5142</v>
      </c>
      <c r="I1688" t="s">
        <v>5143</v>
      </c>
      <c r="J1688">
        <v>137455</v>
      </c>
      <c r="K1688" t="s">
        <v>3492</v>
      </c>
      <c r="L1688" t="s">
        <v>142</v>
      </c>
      <c r="M1688" t="s">
        <v>46</v>
      </c>
      <c r="N1688">
        <v>45457</v>
      </c>
      <c r="O1688">
        <v>3595</v>
      </c>
      <c r="P1688" t="s">
        <v>92</v>
      </c>
      <c r="Q1688">
        <v>4</v>
      </c>
      <c r="R1688" t="s">
        <v>40</v>
      </c>
      <c r="S1688" t="s">
        <v>53</v>
      </c>
      <c r="T1688" t="s">
        <v>20</v>
      </c>
    </row>
    <row r="1689" spans="1:20" x14ac:dyDescent="0.3">
      <c r="A1689" t="s">
        <v>3493</v>
      </c>
      <c r="B1689" t="s">
        <v>78</v>
      </c>
      <c r="C1689" t="s">
        <v>56</v>
      </c>
      <c r="D1689" t="s">
        <v>68</v>
      </c>
      <c r="E1689" t="s">
        <v>95</v>
      </c>
      <c r="F1689" t="s">
        <v>96</v>
      </c>
      <c r="G1689" t="s">
        <v>36</v>
      </c>
      <c r="H1689" t="s">
        <v>5142</v>
      </c>
      <c r="I1689" t="s">
        <v>5143</v>
      </c>
      <c r="J1689">
        <v>155431</v>
      </c>
      <c r="K1689" t="s">
        <v>3494</v>
      </c>
      <c r="L1689" t="s">
        <v>5165</v>
      </c>
      <c r="M1689" t="s">
        <v>19</v>
      </c>
      <c r="N1689">
        <v>45359</v>
      </c>
      <c r="O1689">
        <v>1625</v>
      </c>
      <c r="P1689" t="s">
        <v>20</v>
      </c>
      <c r="Q1689">
        <v>4</v>
      </c>
      <c r="R1689" t="s">
        <v>5116</v>
      </c>
      <c r="S1689" t="s">
        <v>53</v>
      </c>
      <c r="T1689" t="s">
        <v>20</v>
      </c>
    </row>
    <row r="1690" spans="1:20" x14ac:dyDescent="0.3">
      <c r="A1690" t="s">
        <v>3495</v>
      </c>
      <c r="B1690" t="s">
        <v>215</v>
      </c>
      <c r="C1690" t="s">
        <v>125</v>
      </c>
      <c r="D1690" t="s">
        <v>118</v>
      </c>
      <c r="E1690" t="s">
        <v>223</v>
      </c>
      <c r="F1690" t="s">
        <v>224</v>
      </c>
      <c r="G1690" t="s">
        <v>50</v>
      </c>
      <c r="H1690" t="s">
        <v>5136</v>
      </c>
      <c r="I1690" t="s">
        <v>5137</v>
      </c>
      <c r="J1690">
        <v>73569</v>
      </c>
      <c r="K1690" t="s">
        <v>3496</v>
      </c>
      <c r="L1690" t="s">
        <v>5165</v>
      </c>
      <c r="M1690" t="s">
        <v>46</v>
      </c>
      <c r="N1690">
        <v>45483</v>
      </c>
      <c r="O1690">
        <v>3143</v>
      </c>
      <c r="P1690" t="s">
        <v>20</v>
      </c>
      <c r="Q1690">
        <v>0</v>
      </c>
      <c r="R1690" t="s">
        <v>40</v>
      </c>
      <c r="S1690" t="s">
        <v>21</v>
      </c>
      <c r="T1690" t="s">
        <v>29</v>
      </c>
    </row>
    <row r="1691" spans="1:20" x14ac:dyDescent="0.3">
      <c r="A1691" t="s">
        <v>3497</v>
      </c>
      <c r="B1691" t="s">
        <v>23</v>
      </c>
      <c r="C1691" t="s">
        <v>151</v>
      </c>
      <c r="D1691" t="s">
        <v>118</v>
      </c>
      <c r="E1691" t="s">
        <v>223</v>
      </c>
      <c r="F1691" t="s">
        <v>224</v>
      </c>
      <c r="G1691" t="s">
        <v>50</v>
      </c>
      <c r="H1691" t="s">
        <v>5140</v>
      </c>
      <c r="I1691" t="s">
        <v>5141</v>
      </c>
      <c r="J1691">
        <v>104873</v>
      </c>
      <c r="K1691" t="s">
        <v>3498</v>
      </c>
      <c r="L1691" t="s">
        <v>5165</v>
      </c>
      <c r="M1691" t="s">
        <v>39</v>
      </c>
      <c r="N1691">
        <v>45388</v>
      </c>
      <c r="O1691">
        <v>3606</v>
      </c>
      <c r="P1691" t="s">
        <v>92</v>
      </c>
      <c r="Q1691">
        <v>2</v>
      </c>
      <c r="R1691" t="s">
        <v>5116</v>
      </c>
      <c r="S1691" t="s">
        <v>53</v>
      </c>
      <c r="T1691" t="s">
        <v>29</v>
      </c>
    </row>
    <row r="1692" spans="1:20" x14ac:dyDescent="0.3">
      <c r="A1692" t="s">
        <v>3499</v>
      </c>
      <c r="B1692" t="s">
        <v>99</v>
      </c>
      <c r="C1692" t="s">
        <v>109</v>
      </c>
      <c r="D1692" t="s">
        <v>68</v>
      </c>
      <c r="E1692" t="s">
        <v>26</v>
      </c>
      <c r="F1692" t="s">
        <v>27</v>
      </c>
      <c r="G1692" t="s">
        <v>16</v>
      </c>
      <c r="H1692" t="s">
        <v>5138</v>
      </c>
      <c r="I1692" t="s">
        <v>5139</v>
      </c>
      <c r="J1692">
        <v>221120</v>
      </c>
      <c r="K1692" t="s">
        <v>3500</v>
      </c>
      <c r="L1692" t="s">
        <v>142</v>
      </c>
      <c r="M1692" t="s">
        <v>72</v>
      </c>
      <c r="N1692">
        <v>45719</v>
      </c>
      <c r="O1692">
        <v>2952</v>
      </c>
      <c r="P1692" t="s">
        <v>20</v>
      </c>
      <c r="Q1692">
        <v>6</v>
      </c>
      <c r="R1692" t="s">
        <v>47</v>
      </c>
      <c r="S1692" t="s">
        <v>21</v>
      </c>
      <c r="T1692" t="s">
        <v>20</v>
      </c>
    </row>
    <row r="1693" spans="1:20" x14ac:dyDescent="0.3">
      <c r="A1693" t="s">
        <v>3501</v>
      </c>
      <c r="B1693" t="s">
        <v>136</v>
      </c>
      <c r="C1693" t="s">
        <v>24</v>
      </c>
      <c r="D1693" t="s">
        <v>25</v>
      </c>
      <c r="E1693" t="s">
        <v>5132</v>
      </c>
      <c r="F1693" t="s">
        <v>5125</v>
      </c>
      <c r="G1693" t="s">
        <v>16</v>
      </c>
      <c r="H1693" t="s">
        <v>5136</v>
      </c>
      <c r="I1693" t="s">
        <v>5137</v>
      </c>
      <c r="J1693">
        <v>64016</v>
      </c>
      <c r="K1693" t="s">
        <v>3502</v>
      </c>
      <c r="L1693" t="s">
        <v>5165</v>
      </c>
      <c r="M1693" t="s">
        <v>46</v>
      </c>
      <c r="N1693">
        <v>45710</v>
      </c>
      <c r="O1693">
        <v>2277</v>
      </c>
      <c r="P1693" t="s">
        <v>92</v>
      </c>
      <c r="Q1693">
        <v>0</v>
      </c>
      <c r="R1693" t="s">
        <v>5116</v>
      </c>
      <c r="S1693" t="s">
        <v>41</v>
      </c>
      <c r="T1693" t="s">
        <v>20</v>
      </c>
    </row>
    <row r="1694" spans="1:20" x14ac:dyDescent="0.3">
      <c r="A1694" t="s">
        <v>3503</v>
      </c>
      <c r="B1694" t="s">
        <v>99</v>
      </c>
      <c r="C1694" t="s">
        <v>13</v>
      </c>
      <c r="D1694" t="s">
        <v>118</v>
      </c>
      <c r="E1694" t="s">
        <v>26</v>
      </c>
      <c r="F1694" t="s">
        <v>27</v>
      </c>
      <c r="G1694" t="s">
        <v>16</v>
      </c>
      <c r="H1694" t="s">
        <v>5142</v>
      </c>
      <c r="I1694" t="s">
        <v>5143</v>
      </c>
      <c r="J1694">
        <v>173525</v>
      </c>
      <c r="K1694" t="s">
        <v>3504</v>
      </c>
      <c r="L1694" t="s">
        <v>5165</v>
      </c>
      <c r="M1694" t="s">
        <v>39</v>
      </c>
      <c r="N1694">
        <v>45549</v>
      </c>
      <c r="O1694">
        <v>2249</v>
      </c>
      <c r="P1694" t="s">
        <v>20</v>
      </c>
      <c r="Q1694">
        <v>4</v>
      </c>
      <c r="R1694" t="s">
        <v>47</v>
      </c>
      <c r="S1694" t="s">
        <v>21</v>
      </c>
      <c r="T1694" t="s">
        <v>29</v>
      </c>
    </row>
    <row r="1695" spans="1:20" x14ac:dyDescent="0.3">
      <c r="A1695" t="s">
        <v>3505</v>
      </c>
      <c r="B1695" t="s">
        <v>55</v>
      </c>
      <c r="C1695" t="s">
        <v>56</v>
      </c>
      <c r="D1695" t="s">
        <v>44</v>
      </c>
      <c r="E1695" t="s">
        <v>5129</v>
      </c>
      <c r="F1695" t="s">
        <v>5130</v>
      </c>
      <c r="G1695" t="s">
        <v>16</v>
      </c>
      <c r="H1695" t="s">
        <v>5136</v>
      </c>
      <c r="I1695" t="s">
        <v>5137</v>
      </c>
      <c r="J1695">
        <v>53040</v>
      </c>
      <c r="K1695" t="s">
        <v>3506</v>
      </c>
      <c r="L1695" t="s">
        <v>5165</v>
      </c>
      <c r="M1695" t="s">
        <v>72</v>
      </c>
      <c r="N1695">
        <v>45687</v>
      </c>
      <c r="O1695">
        <v>387</v>
      </c>
      <c r="P1695" t="s">
        <v>20</v>
      </c>
      <c r="Q1695">
        <v>0</v>
      </c>
      <c r="R1695" t="s">
        <v>40</v>
      </c>
      <c r="S1695" t="s">
        <v>21</v>
      </c>
      <c r="T1695" t="s">
        <v>29</v>
      </c>
    </row>
    <row r="1696" spans="1:20" x14ac:dyDescent="0.3">
      <c r="A1696" t="s">
        <v>3507</v>
      </c>
      <c r="B1696" t="s">
        <v>124</v>
      </c>
      <c r="C1696" t="s">
        <v>160</v>
      </c>
      <c r="D1696" t="s">
        <v>33</v>
      </c>
      <c r="E1696" t="s">
        <v>126</v>
      </c>
      <c r="F1696" t="s">
        <v>127</v>
      </c>
      <c r="G1696" t="s">
        <v>36</v>
      </c>
      <c r="H1696" t="s">
        <v>5136</v>
      </c>
      <c r="I1696" t="s">
        <v>5137</v>
      </c>
      <c r="J1696">
        <v>71592</v>
      </c>
      <c r="K1696" t="s">
        <v>3508</v>
      </c>
      <c r="L1696" t="s">
        <v>38</v>
      </c>
      <c r="M1696" t="s">
        <v>19</v>
      </c>
      <c r="N1696">
        <v>45562</v>
      </c>
      <c r="O1696">
        <v>2779</v>
      </c>
      <c r="P1696" t="s">
        <v>20</v>
      </c>
      <c r="Q1696">
        <v>0</v>
      </c>
      <c r="R1696" t="s">
        <v>76</v>
      </c>
      <c r="S1696" t="s">
        <v>21</v>
      </c>
      <c r="T1696" t="s">
        <v>29</v>
      </c>
    </row>
    <row r="1697" spans="1:20" x14ac:dyDescent="0.3">
      <c r="A1697" t="s">
        <v>3509</v>
      </c>
      <c r="B1697" t="s">
        <v>99</v>
      </c>
      <c r="C1697" t="s">
        <v>79</v>
      </c>
      <c r="D1697" t="s">
        <v>140</v>
      </c>
      <c r="E1697" t="s">
        <v>5124</v>
      </c>
      <c r="F1697" t="s">
        <v>5125</v>
      </c>
      <c r="G1697" t="s">
        <v>16</v>
      </c>
      <c r="H1697" t="s">
        <v>5140</v>
      </c>
      <c r="I1697" t="s">
        <v>5141</v>
      </c>
      <c r="J1697">
        <v>148390</v>
      </c>
      <c r="K1697" t="s">
        <v>3510</v>
      </c>
      <c r="L1697" t="s">
        <v>5165</v>
      </c>
      <c r="M1697" t="s">
        <v>46</v>
      </c>
      <c r="N1697">
        <v>45579</v>
      </c>
      <c r="O1697">
        <v>3998</v>
      </c>
      <c r="P1697" t="s">
        <v>92</v>
      </c>
      <c r="Q1697">
        <v>2</v>
      </c>
      <c r="R1697" t="s">
        <v>5116</v>
      </c>
      <c r="S1697" t="s">
        <v>53</v>
      </c>
      <c r="T1697" t="s">
        <v>29</v>
      </c>
    </row>
    <row r="1698" spans="1:20" x14ac:dyDescent="0.3">
      <c r="A1698" t="s">
        <v>3511</v>
      </c>
      <c r="B1698" t="s">
        <v>99</v>
      </c>
      <c r="C1698" t="s">
        <v>151</v>
      </c>
      <c r="D1698" t="s">
        <v>118</v>
      </c>
      <c r="E1698" t="s">
        <v>209</v>
      </c>
      <c r="F1698" t="s">
        <v>210</v>
      </c>
      <c r="G1698" t="s">
        <v>16</v>
      </c>
      <c r="H1698" t="s">
        <v>5136</v>
      </c>
      <c r="I1698" t="s">
        <v>5137</v>
      </c>
      <c r="J1698">
        <v>57395</v>
      </c>
      <c r="K1698" t="s">
        <v>3512</v>
      </c>
      <c r="L1698" t="s">
        <v>5165</v>
      </c>
      <c r="M1698" t="s">
        <v>19</v>
      </c>
      <c r="N1698">
        <v>45551</v>
      </c>
      <c r="O1698">
        <v>1125</v>
      </c>
      <c r="P1698" t="s">
        <v>92</v>
      </c>
      <c r="Q1698">
        <v>0</v>
      </c>
      <c r="R1698" t="s">
        <v>40</v>
      </c>
      <c r="S1698" t="s">
        <v>21</v>
      </c>
      <c r="T1698" t="s">
        <v>29</v>
      </c>
    </row>
    <row r="1699" spans="1:20" x14ac:dyDescent="0.3">
      <c r="A1699" t="s">
        <v>3513</v>
      </c>
      <c r="B1699" t="s">
        <v>89</v>
      </c>
      <c r="C1699" t="s">
        <v>219</v>
      </c>
      <c r="D1699" t="s">
        <v>57</v>
      </c>
      <c r="E1699" t="s">
        <v>14</v>
      </c>
      <c r="F1699" t="s">
        <v>15</v>
      </c>
      <c r="G1699" t="s">
        <v>50</v>
      </c>
      <c r="H1699" t="s">
        <v>5136</v>
      </c>
      <c r="I1699" t="s">
        <v>5137</v>
      </c>
      <c r="J1699">
        <v>61460</v>
      </c>
      <c r="K1699" t="s">
        <v>3514</v>
      </c>
      <c r="L1699" t="s">
        <v>61</v>
      </c>
      <c r="M1699" t="s">
        <v>19</v>
      </c>
      <c r="N1699">
        <v>45535</v>
      </c>
      <c r="O1699">
        <v>3391</v>
      </c>
      <c r="P1699" t="s">
        <v>20</v>
      </c>
      <c r="Q1699">
        <v>0</v>
      </c>
      <c r="R1699" t="s">
        <v>47</v>
      </c>
      <c r="S1699" t="s">
        <v>21</v>
      </c>
      <c r="T1699" t="s">
        <v>29</v>
      </c>
    </row>
    <row r="1700" spans="1:20" x14ac:dyDescent="0.3">
      <c r="A1700" t="s">
        <v>3515</v>
      </c>
      <c r="B1700" t="s">
        <v>99</v>
      </c>
      <c r="C1700" t="s">
        <v>139</v>
      </c>
      <c r="D1700" t="s">
        <v>5156</v>
      </c>
      <c r="E1700" t="s">
        <v>69</v>
      </c>
      <c r="F1700" t="s">
        <v>70</v>
      </c>
      <c r="G1700" t="s">
        <v>36</v>
      </c>
      <c r="H1700" t="s">
        <v>5138</v>
      </c>
      <c r="I1700" t="s">
        <v>5139</v>
      </c>
      <c r="J1700">
        <v>218500</v>
      </c>
      <c r="K1700" t="s">
        <v>3516</v>
      </c>
      <c r="L1700" t="s">
        <v>5165</v>
      </c>
      <c r="M1700" t="s">
        <v>72</v>
      </c>
      <c r="N1700">
        <v>45339</v>
      </c>
      <c r="O1700">
        <v>3531</v>
      </c>
      <c r="P1700" t="s">
        <v>20</v>
      </c>
      <c r="Q1700">
        <v>6</v>
      </c>
      <c r="R1700" t="s">
        <v>5116</v>
      </c>
      <c r="S1700" t="s">
        <v>21</v>
      </c>
      <c r="T1700" t="s">
        <v>20</v>
      </c>
    </row>
    <row r="1701" spans="1:20" x14ac:dyDescent="0.3">
      <c r="A1701" t="s">
        <v>3517</v>
      </c>
      <c r="B1701" t="s">
        <v>144</v>
      </c>
      <c r="C1701" t="s">
        <v>64</v>
      </c>
      <c r="D1701" t="s">
        <v>33</v>
      </c>
      <c r="E1701" t="s">
        <v>5133</v>
      </c>
      <c r="F1701" t="s">
        <v>5125</v>
      </c>
      <c r="G1701" t="s">
        <v>36</v>
      </c>
      <c r="H1701" t="s">
        <v>5136</v>
      </c>
      <c r="I1701" t="s">
        <v>5137</v>
      </c>
      <c r="J1701">
        <v>72262</v>
      </c>
      <c r="K1701" t="s">
        <v>3518</v>
      </c>
      <c r="L1701" t="s">
        <v>61</v>
      </c>
      <c r="M1701" t="s">
        <v>19</v>
      </c>
      <c r="N1701">
        <v>45435</v>
      </c>
      <c r="O1701">
        <v>252</v>
      </c>
      <c r="P1701" t="s">
        <v>29</v>
      </c>
      <c r="Q1701">
        <v>0</v>
      </c>
      <c r="R1701" t="s">
        <v>5116</v>
      </c>
      <c r="S1701" t="s">
        <v>53</v>
      </c>
      <c r="T1701" t="s">
        <v>29</v>
      </c>
    </row>
    <row r="1702" spans="1:20" x14ac:dyDescent="0.3">
      <c r="A1702" t="s">
        <v>3519</v>
      </c>
      <c r="B1702" t="s">
        <v>144</v>
      </c>
      <c r="C1702" t="s">
        <v>172</v>
      </c>
      <c r="D1702" t="s">
        <v>33</v>
      </c>
      <c r="E1702" t="s">
        <v>193</v>
      </c>
      <c r="F1702" t="s">
        <v>194</v>
      </c>
      <c r="G1702" t="s">
        <v>36</v>
      </c>
      <c r="H1702" t="s">
        <v>5136</v>
      </c>
      <c r="I1702" t="s">
        <v>5137</v>
      </c>
      <c r="J1702">
        <v>74417</v>
      </c>
      <c r="K1702" t="s">
        <v>3520</v>
      </c>
      <c r="L1702" t="s">
        <v>238</v>
      </c>
      <c r="M1702" t="s">
        <v>39</v>
      </c>
      <c r="N1702">
        <v>45325</v>
      </c>
      <c r="O1702">
        <v>1392</v>
      </c>
      <c r="P1702" t="s">
        <v>92</v>
      </c>
      <c r="Q1702">
        <v>0</v>
      </c>
      <c r="R1702" t="s">
        <v>52</v>
      </c>
      <c r="S1702" t="s">
        <v>21</v>
      </c>
      <c r="T1702" t="s">
        <v>20</v>
      </c>
    </row>
    <row r="1703" spans="1:20" x14ac:dyDescent="0.3">
      <c r="A1703" t="s">
        <v>3521</v>
      </c>
      <c r="B1703" t="s">
        <v>23</v>
      </c>
      <c r="C1703" t="s">
        <v>185</v>
      </c>
      <c r="D1703" t="s">
        <v>118</v>
      </c>
      <c r="E1703" t="s">
        <v>209</v>
      </c>
      <c r="F1703" t="s">
        <v>210</v>
      </c>
      <c r="G1703" t="s">
        <v>50</v>
      </c>
      <c r="H1703" t="s">
        <v>5140</v>
      </c>
      <c r="I1703" t="s">
        <v>5141</v>
      </c>
      <c r="J1703">
        <v>119685</v>
      </c>
      <c r="K1703" t="s">
        <v>3522</v>
      </c>
      <c r="L1703" t="s">
        <v>18</v>
      </c>
      <c r="M1703" t="s">
        <v>19</v>
      </c>
      <c r="N1703">
        <v>45379</v>
      </c>
      <c r="O1703">
        <v>3751</v>
      </c>
      <c r="P1703" t="s">
        <v>20</v>
      </c>
      <c r="Q1703">
        <v>2</v>
      </c>
      <c r="R1703" t="s">
        <v>47</v>
      </c>
      <c r="S1703" t="s">
        <v>21</v>
      </c>
      <c r="T1703" t="s">
        <v>20</v>
      </c>
    </row>
    <row r="1704" spans="1:20" x14ac:dyDescent="0.3">
      <c r="A1704" t="s">
        <v>3523</v>
      </c>
      <c r="B1704" t="s">
        <v>229</v>
      </c>
      <c r="C1704" t="s">
        <v>13</v>
      </c>
      <c r="D1704" t="s">
        <v>5156</v>
      </c>
      <c r="E1704" t="s">
        <v>5133</v>
      </c>
      <c r="F1704" t="s">
        <v>5125</v>
      </c>
      <c r="G1704" t="s">
        <v>16</v>
      </c>
      <c r="H1704" t="s">
        <v>5142</v>
      </c>
      <c r="I1704" t="s">
        <v>5143</v>
      </c>
      <c r="J1704">
        <v>167137</v>
      </c>
      <c r="K1704" t="s">
        <v>3524</v>
      </c>
      <c r="L1704" t="s">
        <v>18</v>
      </c>
      <c r="M1704" t="s">
        <v>72</v>
      </c>
      <c r="N1704">
        <v>45737</v>
      </c>
      <c r="O1704">
        <v>2137</v>
      </c>
      <c r="P1704" t="s">
        <v>92</v>
      </c>
      <c r="Q1704">
        <v>4</v>
      </c>
      <c r="R1704" t="s">
        <v>47</v>
      </c>
      <c r="S1704" t="s">
        <v>21</v>
      </c>
      <c r="T1704" t="s">
        <v>20</v>
      </c>
    </row>
    <row r="1705" spans="1:20" x14ac:dyDescent="0.3">
      <c r="A1705" t="s">
        <v>3525</v>
      </c>
      <c r="B1705" t="s">
        <v>99</v>
      </c>
      <c r="C1705" t="s">
        <v>13</v>
      </c>
      <c r="D1705" t="s">
        <v>25</v>
      </c>
      <c r="E1705" t="s">
        <v>80</v>
      </c>
      <c r="F1705" t="s">
        <v>80</v>
      </c>
      <c r="G1705" t="s">
        <v>16</v>
      </c>
      <c r="H1705" t="s">
        <v>5138</v>
      </c>
      <c r="I1705" t="s">
        <v>5139</v>
      </c>
      <c r="J1705">
        <v>239949</v>
      </c>
      <c r="K1705" t="s">
        <v>3526</v>
      </c>
      <c r="L1705" t="s">
        <v>238</v>
      </c>
      <c r="M1705" t="s">
        <v>46</v>
      </c>
      <c r="N1705">
        <v>45580</v>
      </c>
      <c r="O1705">
        <v>1284</v>
      </c>
      <c r="P1705" t="s">
        <v>20</v>
      </c>
      <c r="Q1705">
        <v>6</v>
      </c>
      <c r="R1705" t="s">
        <v>40</v>
      </c>
      <c r="S1705" t="s">
        <v>21</v>
      </c>
      <c r="T1705" t="s">
        <v>20</v>
      </c>
    </row>
    <row r="1706" spans="1:20" x14ac:dyDescent="0.3">
      <c r="A1706" t="s">
        <v>3527</v>
      </c>
      <c r="B1706" t="s">
        <v>31</v>
      </c>
      <c r="C1706" t="s">
        <v>24</v>
      </c>
      <c r="D1706" t="s">
        <v>167</v>
      </c>
      <c r="E1706" t="s">
        <v>5126</v>
      </c>
      <c r="F1706" t="s">
        <v>5125</v>
      </c>
      <c r="G1706" t="s">
        <v>16</v>
      </c>
      <c r="H1706" t="s">
        <v>5136</v>
      </c>
      <c r="I1706" t="s">
        <v>5137</v>
      </c>
      <c r="J1706">
        <v>75163</v>
      </c>
      <c r="K1706" t="s">
        <v>3528</v>
      </c>
      <c r="L1706" t="s">
        <v>82</v>
      </c>
      <c r="M1706" t="s">
        <v>39</v>
      </c>
      <c r="N1706">
        <v>45684</v>
      </c>
      <c r="O1706">
        <v>1979</v>
      </c>
      <c r="P1706" t="s">
        <v>20</v>
      </c>
      <c r="Q1706">
        <v>0</v>
      </c>
      <c r="R1706" t="s">
        <v>5116</v>
      </c>
      <c r="S1706" t="s">
        <v>21</v>
      </c>
      <c r="T1706" t="s">
        <v>20</v>
      </c>
    </row>
    <row r="1707" spans="1:20" x14ac:dyDescent="0.3">
      <c r="A1707" t="s">
        <v>3529</v>
      </c>
      <c r="B1707" t="s">
        <v>144</v>
      </c>
      <c r="C1707" t="s">
        <v>175</v>
      </c>
      <c r="D1707" t="s">
        <v>33</v>
      </c>
      <c r="E1707" t="s">
        <v>5129</v>
      </c>
      <c r="F1707" t="s">
        <v>5130</v>
      </c>
      <c r="G1707" t="s">
        <v>36</v>
      </c>
      <c r="H1707" t="s">
        <v>5136</v>
      </c>
      <c r="I1707" t="s">
        <v>5137</v>
      </c>
      <c r="J1707">
        <v>66960</v>
      </c>
      <c r="K1707" t="s">
        <v>3530</v>
      </c>
      <c r="L1707" t="s">
        <v>113</v>
      </c>
      <c r="M1707" t="s">
        <v>39</v>
      </c>
      <c r="N1707">
        <v>45429</v>
      </c>
      <c r="O1707">
        <v>307</v>
      </c>
      <c r="P1707" t="s">
        <v>20</v>
      </c>
      <c r="Q1707">
        <v>0</v>
      </c>
      <c r="R1707" t="s">
        <v>52</v>
      </c>
      <c r="S1707" t="s">
        <v>21</v>
      </c>
      <c r="T1707" t="s">
        <v>29</v>
      </c>
    </row>
    <row r="1708" spans="1:20" x14ac:dyDescent="0.3">
      <c r="A1708" t="s">
        <v>3531</v>
      </c>
      <c r="B1708" t="s">
        <v>144</v>
      </c>
      <c r="C1708" t="s">
        <v>49</v>
      </c>
      <c r="D1708" t="s">
        <v>167</v>
      </c>
      <c r="E1708" t="s">
        <v>5126</v>
      </c>
      <c r="F1708" t="s">
        <v>5125</v>
      </c>
      <c r="G1708" t="s">
        <v>16</v>
      </c>
      <c r="H1708" t="s">
        <v>5140</v>
      </c>
      <c r="I1708" t="s">
        <v>5141</v>
      </c>
      <c r="J1708">
        <v>123316</v>
      </c>
      <c r="K1708" t="s">
        <v>3532</v>
      </c>
      <c r="L1708" t="s">
        <v>113</v>
      </c>
      <c r="M1708" t="s">
        <v>72</v>
      </c>
      <c r="N1708">
        <v>45556</v>
      </c>
      <c r="O1708">
        <v>3047</v>
      </c>
      <c r="P1708" t="s">
        <v>20</v>
      </c>
      <c r="Q1708">
        <v>2</v>
      </c>
      <c r="R1708" t="s">
        <v>47</v>
      </c>
      <c r="S1708" t="s">
        <v>21</v>
      </c>
      <c r="T1708" t="s">
        <v>20</v>
      </c>
    </row>
    <row r="1709" spans="1:20" x14ac:dyDescent="0.3">
      <c r="A1709" t="s">
        <v>3533</v>
      </c>
      <c r="B1709" t="s">
        <v>84</v>
      </c>
      <c r="C1709" t="s">
        <v>166</v>
      </c>
      <c r="D1709" t="s">
        <v>167</v>
      </c>
      <c r="E1709" t="s">
        <v>34</v>
      </c>
      <c r="F1709" t="s">
        <v>35</v>
      </c>
      <c r="G1709" t="s">
        <v>16</v>
      </c>
      <c r="H1709" t="s">
        <v>5138</v>
      </c>
      <c r="I1709" t="s">
        <v>5139</v>
      </c>
      <c r="J1709">
        <v>268395</v>
      </c>
      <c r="K1709" t="s">
        <v>3534</v>
      </c>
      <c r="L1709" t="s">
        <v>5165</v>
      </c>
      <c r="M1709" t="s">
        <v>19</v>
      </c>
      <c r="N1709">
        <v>45428</v>
      </c>
      <c r="O1709">
        <v>3481</v>
      </c>
      <c r="P1709" t="s">
        <v>20</v>
      </c>
      <c r="Q1709">
        <v>6</v>
      </c>
      <c r="R1709" t="s">
        <v>52</v>
      </c>
      <c r="S1709" t="s">
        <v>53</v>
      </c>
      <c r="T1709" t="s">
        <v>29</v>
      </c>
    </row>
    <row r="1710" spans="1:20" x14ac:dyDescent="0.3">
      <c r="A1710" t="s">
        <v>3535</v>
      </c>
      <c r="B1710" t="s">
        <v>84</v>
      </c>
      <c r="C1710" t="s">
        <v>49</v>
      </c>
      <c r="D1710" t="s">
        <v>104</v>
      </c>
      <c r="E1710" t="s">
        <v>5128</v>
      </c>
      <c r="F1710" t="s">
        <v>5125</v>
      </c>
      <c r="G1710" t="s">
        <v>16</v>
      </c>
      <c r="H1710" t="s">
        <v>5136</v>
      </c>
      <c r="I1710" t="s">
        <v>5137</v>
      </c>
      <c r="J1710">
        <v>68328</v>
      </c>
      <c r="K1710" t="s">
        <v>3536</v>
      </c>
      <c r="L1710" t="s">
        <v>5165</v>
      </c>
      <c r="M1710" t="s">
        <v>46</v>
      </c>
      <c r="N1710">
        <v>45503</v>
      </c>
      <c r="O1710">
        <v>2823</v>
      </c>
      <c r="P1710" t="s">
        <v>29</v>
      </c>
      <c r="Q1710">
        <v>0</v>
      </c>
      <c r="R1710" t="s">
        <v>5116</v>
      </c>
      <c r="S1710" t="s">
        <v>21</v>
      </c>
      <c r="T1710" t="s">
        <v>20</v>
      </c>
    </row>
    <row r="1711" spans="1:20" x14ac:dyDescent="0.3">
      <c r="A1711" t="s">
        <v>3537</v>
      </c>
      <c r="B1711" t="s">
        <v>165</v>
      </c>
      <c r="C1711" t="s">
        <v>151</v>
      </c>
      <c r="D1711" t="s">
        <v>104</v>
      </c>
      <c r="E1711" t="s">
        <v>5126</v>
      </c>
      <c r="F1711" t="s">
        <v>5125</v>
      </c>
      <c r="G1711" t="s">
        <v>36</v>
      </c>
      <c r="H1711" t="s">
        <v>5140</v>
      </c>
      <c r="I1711" t="s">
        <v>5141</v>
      </c>
      <c r="J1711">
        <v>90704</v>
      </c>
      <c r="K1711" t="s">
        <v>3538</v>
      </c>
      <c r="L1711" t="s">
        <v>179</v>
      </c>
      <c r="M1711" t="s">
        <v>19</v>
      </c>
      <c r="N1711">
        <v>45410</v>
      </c>
      <c r="O1711">
        <v>3208</v>
      </c>
      <c r="P1711" t="s">
        <v>20</v>
      </c>
      <c r="Q1711">
        <v>2</v>
      </c>
      <c r="R1711" t="s">
        <v>76</v>
      </c>
      <c r="S1711" t="s">
        <v>21</v>
      </c>
      <c r="T1711" t="s">
        <v>20</v>
      </c>
    </row>
    <row r="1712" spans="1:20" x14ac:dyDescent="0.3">
      <c r="A1712" t="s">
        <v>3539</v>
      </c>
      <c r="B1712" t="s">
        <v>218</v>
      </c>
      <c r="C1712" t="s">
        <v>90</v>
      </c>
      <c r="D1712" t="s">
        <v>25</v>
      </c>
      <c r="E1712" t="s">
        <v>126</v>
      </c>
      <c r="F1712" t="s">
        <v>127</v>
      </c>
      <c r="G1712" t="s">
        <v>16</v>
      </c>
      <c r="H1712" t="s">
        <v>5136</v>
      </c>
      <c r="I1712" t="s">
        <v>5137</v>
      </c>
      <c r="J1712">
        <v>83949</v>
      </c>
      <c r="K1712" t="s">
        <v>3540</v>
      </c>
      <c r="L1712" t="s">
        <v>87</v>
      </c>
      <c r="M1712" t="s">
        <v>46</v>
      </c>
      <c r="N1712">
        <v>45388</v>
      </c>
      <c r="O1712">
        <v>3580</v>
      </c>
      <c r="P1712" t="s">
        <v>20</v>
      </c>
      <c r="Q1712">
        <v>0</v>
      </c>
      <c r="R1712" t="s">
        <v>52</v>
      </c>
      <c r="S1712" t="s">
        <v>53</v>
      </c>
      <c r="T1712" t="s">
        <v>29</v>
      </c>
    </row>
    <row r="1713" spans="1:20" x14ac:dyDescent="0.3">
      <c r="A1713" t="s">
        <v>3541</v>
      </c>
      <c r="B1713" t="s">
        <v>322</v>
      </c>
      <c r="C1713" t="s">
        <v>100</v>
      </c>
      <c r="D1713" t="s">
        <v>140</v>
      </c>
      <c r="E1713" t="s">
        <v>152</v>
      </c>
      <c r="F1713" t="s">
        <v>153</v>
      </c>
      <c r="G1713" t="s">
        <v>50</v>
      </c>
      <c r="H1713" t="s">
        <v>5140</v>
      </c>
      <c r="I1713" t="s">
        <v>5141</v>
      </c>
      <c r="J1713">
        <v>107616</v>
      </c>
      <c r="K1713" t="s">
        <v>3542</v>
      </c>
      <c r="L1713" t="s">
        <v>18</v>
      </c>
      <c r="M1713" t="s">
        <v>46</v>
      </c>
      <c r="N1713">
        <v>45461</v>
      </c>
      <c r="O1713">
        <v>1212</v>
      </c>
      <c r="P1713" t="s">
        <v>29</v>
      </c>
      <c r="Q1713">
        <v>2</v>
      </c>
      <c r="R1713" t="s">
        <v>5116</v>
      </c>
      <c r="S1713" t="s">
        <v>41</v>
      </c>
      <c r="T1713" t="s">
        <v>20</v>
      </c>
    </row>
    <row r="1714" spans="1:20" x14ac:dyDescent="0.3">
      <c r="A1714" t="s">
        <v>3543</v>
      </c>
      <c r="B1714" t="s">
        <v>89</v>
      </c>
      <c r="C1714" t="s">
        <v>100</v>
      </c>
      <c r="D1714" t="s">
        <v>44</v>
      </c>
      <c r="E1714" t="s">
        <v>5131</v>
      </c>
      <c r="F1714" t="s">
        <v>5125</v>
      </c>
      <c r="G1714" t="s">
        <v>16</v>
      </c>
      <c r="H1714" t="s">
        <v>5142</v>
      </c>
      <c r="I1714" t="s">
        <v>5143</v>
      </c>
      <c r="J1714">
        <v>91337</v>
      </c>
      <c r="K1714" t="s">
        <v>3544</v>
      </c>
      <c r="L1714" t="s">
        <v>5165</v>
      </c>
      <c r="M1714" t="s">
        <v>46</v>
      </c>
      <c r="N1714">
        <v>45467</v>
      </c>
      <c r="O1714">
        <v>848</v>
      </c>
      <c r="P1714" t="s">
        <v>20</v>
      </c>
      <c r="Q1714">
        <v>4</v>
      </c>
      <c r="R1714" t="s">
        <v>52</v>
      </c>
      <c r="S1714" t="s">
        <v>21</v>
      </c>
      <c r="T1714" t="s">
        <v>20</v>
      </c>
    </row>
    <row r="1715" spans="1:20" x14ac:dyDescent="0.3">
      <c r="A1715" t="s">
        <v>3545</v>
      </c>
      <c r="B1715" t="s">
        <v>229</v>
      </c>
      <c r="C1715" t="s">
        <v>188</v>
      </c>
      <c r="D1715" t="s">
        <v>57</v>
      </c>
      <c r="E1715" t="s">
        <v>26</v>
      </c>
      <c r="F1715" t="s">
        <v>27</v>
      </c>
      <c r="G1715" t="s">
        <v>16</v>
      </c>
      <c r="H1715" t="s">
        <v>5140</v>
      </c>
      <c r="I1715" t="s">
        <v>5141</v>
      </c>
      <c r="J1715">
        <v>126778</v>
      </c>
      <c r="K1715" t="s">
        <v>3546</v>
      </c>
      <c r="L1715" t="s">
        <v>87</v>
      </c>
      <c r="M1715" t="s">
        <v>39</v>
      </c>
      <c r="N1715">
        <v>45352</v>
      </c>
      <c r="O1715">
        <v>227</v>
      </c>
      <c r="P1715" t="s">
        <v>29</v>
      </c>
      <c r="Q1715">
        <v>2</v>
      </c>
      <c r="R1715" t="s">
        <v>5116</v>
      </c>
      <c r="S1715" t="s">
        <v>21</v>
      </c>
      <c r="T1715" t="s">
        <v>20</v>
      </c>
    </row>
    <row r="1716" spans="1:20" x14ac:dyDescent="0.3">
      <c r="A1716" t="s">
        <v>3547</v>
      </c>
      <c r="B1716" t="s">
        <v>12</v>
      </c>
      <c r="C1716" t="s">
        <v>121</v>
      </c>
      <c r="D1716" t="s">
        <v>104</v>
      </c>
      <c r="E1716" t="s">
        <v>209</v>
      </c>
      <c r="F1716" t="s">
        <v>210</v>
      </c>
      <c r="G1716" t="s">
        <v>16</v>
      </c>
      <c r="H1716" t="s">
        <v>5140</v>
      </c>
      <c r="I1716" t="s">
        <v>5141</v>
      </c>
      <c r="J1716">
        <v>99400</v>
      </c>
      <c r="K1716" t="s">
        <v>3548</v>
      </c>
      <c r="L1716" t="s">
        <v>113</v>
      </c>
      <c r="M1716" t="s">
        <v>46</v>
      </c>
      <c r="N1716">
        <v>45627</v>
      </c>
      <c r="O1716">
        <v>378</v>
      </c>
      <c r="P1716" t="s">
        <v>20</v>
      </c>
      <c r="Q1716">
        <v>2</v>
      </c>
      <c r="R1716" t="s">
        <v>40</v>
      </c>
      <c r="S1716" t="s">
        <v>21</v>
      </c>
      <c r="T1716" t="s">
        <v>20</v>
      </c>
    </row>
    <row r="1717" spans="1:20" x14ac:dyDescent="0.3">
      <c r="A1717" t="s">
        <v>3549</v>
      </c>
      <c r="B1717" t="s">
        <v>84</v>
      </c>
      <c r="C1717" t="s">
        <v>175</v>
      </c>
      <c r="D1717" t="s">
        <v>167</v>
      </c>
      <c r="E1717" t="s">
        <v>5133</v>
      </c>
      <c r="F1717" t="s">
        <v>5125</v>
      </c>
      <c r="G1717" t="s">
        <v>36</v>
      </c>
      <c r="H1717" t="s">
        <v>5142</v>
      </c>
      <c r="I1717" t="s">
        <v>5143</v>
      </c>
      <c r="J1717">
        <v>147555</v>
      </c>
      <c r="K1717" t="s">
        <v>3550</v>
      </c>
      <c r="L1717" t="s">
        <v>5165</v>
      </c>
      <c r="M1717" t="s">
        <v>39</v>
      </c>
      <c r="N1717">
        <v>45695</v>
      </c>
      <c r="O1717">
        <v>2360</v>
      </c>
      <c r="P1717" t="s">
        <v>92</v>
      </c>
      <c r="Q1717">
        <v>4</v>
      </c>
      <c r="R1717" t="s">
        <v>5116</v>
      </c>
      <c r="S1717" t="s">
        <v>21</v>
      </c>
      <c r="T1717" t="s">
        <v>29</v>
      </c>
    </row>
    <row r="1718" spans="1:20" x14ac:dyDescent="0.3">
      <c r="A1718" t="s">
        <v>3551</v>
      </c>
      <c r="B1718" t="s">
        <v>55</v>
      </c>
      <c r="C1718" t="s">
        <v>109</v>
      </c>
      <c r="D1718" t="s">
        <v>68</v>
      </c>
      <c r="E1718" t="s">
        <v>5124</v>
      </c>
      <c r="F1718" t="s">
        <v>5125</v>
      </c>
      <c r="G1718" t="s">
        <v>16</v>
      </c>
      <c r="H1718" t="s">
        <v>5138</v>
      </c>
      <c r="I1718" t="s">
        <v>5139</v>
      </c>
      <c r="J1718">
        <v>211951</v>
      </c>
      <c r="K1718" t="s">
        <v>3552</v>
      </c>
      <c r="L1718" t="s">
        <v>142</v>
      </c>
      <c r="M1718" t="s">
        <v>39</v>
      </c>
      <c r="N1718">
        <v>45618</v>
      </c>
      <c r="O1718">
        <v>3941</v>
      </c>
      <c r="P1718" t="s">
        <v>29</v>
      </c>
      <c r="Q1718">
        <v>6</v>
      </c>
      <c r="R1718" t="s">
        <v>76</v>
      </c>
      <c r="S1718" t="s">
        <v>53</v>
      </c>
      <c r="T1718" t="s">
        <v>29</v>
      </c>
    </row>
    <row r="1719" spans="1:20" x14ac:dyDescent="0.3">
      <c r="A1719" t="s">
        <v>3553</v>
      </c>
      <c r="B1719" t="s">
        <v>144</v>
      </c>
      <c r="C1719" t="s">
        <v>175</v>
      </c>
      <c r="D1719" t="s">
        <v>44</v>
      </c>
      <c r="E1719" t="s">
        <v>193</v>
      </c>
      <c r="F1719" t="s">
        <v>194</v>
      </c>
      <c r="G1719" t="s">
        <v>16</v>
      </c>
      <c r="H1719" t="s">
        <v>5138</v>
      </c>
      <c r="I1719" t="s">
        <v>5139</v>
      </c>
      <c r="J1719">
        <v>206857</v>
      </c>
      <c r="K1719" t="s">
        <v>3554</v>
      </c>
      <c r="L1719" t="s">
        <v>134</v>
      </c>
      <c r="M1719" t="s">
        <v>72</v>
      </c>
      <c r="N1719">
        <v>45505</v>
      </c>
      <c r="O1719">
        <v>997</v>
      </c>
      <c r="P1719" t="s">
        <v>29</v>
      </c>
      <c r="Q1719">
        <v>6</v>
      </c>
      <c r="R1719" t="s">
        <v>76</v>
      </c>
      <c r="S1719" t="s">
        <v>21</v>
      </c>
      <c r="T1719" t="s">
        <v>20</v>
      </c>
    </row>
    <row r="1720" spans="1:20" x14ac:dyDescent="0.3">
      <c r="A1720" t="s">
        <v>3555</v>
      </c>
      <c r="B1720" t="s">
        <v>215</v>
      </c>
      <c r="C1720" t="s">
        <v>172</v>
      </c>
      <c r="D1720" t="s">
        <v>68</v>
      </c>
      <c r="E1720" t="s">
        <v>152</v>
      </c>
      <c r="F1720" t="s">
        <v>153</v>
      </c>
      <c r="G1720" t="s">
        <v>16</v>
      </c>
      <c r="H1720" t="s">
        <v>5142</v>
      </c>
      <c r="I1720" t="s">
        <v>5143</v>
      </c>
      <c r="J1720">
        <v>169155</v>
      </c>
      <c r="K1720" t="s">
        <v>3556</v>
      </c>
      <c r="L1720" t="s">
        <v>82</v>
      </c>
      <c r="M1720" t="s">
        <v>46</v>
      </c>
      <c r="N1720">
        <v>45666</v>
      </c>
      <c r="O1720">
        <v>1887</v>
      </c>
      <c r="P1720" t="s">
        <v>29</v>
      </c>
      <c r="Q1720">
        <v>4</v>
      </c>
      <c r="R1720" t="s">
        <v>52</v>
      </c>
      <c r="S1720" t="s">
        <v>21</v>
      </c>
      <c r="T1720" t="s">
        <v>20</v>
      </c>
    </row>
    <row r="1721" spans="1:20" x14ac:dyDescent="0.3">
      <c r="A1721" t="s">
        <v>3557</v>
      </c>
      <c r="B1721" t="s">
        <v>55</v>
      </c>
      <c r="C1721" t="s">
        <v>109</v>
      </c>
      <c r="D1721" t="s">
        <v>5156</v>
      </c>
      <c r="E1721" t="s">
        <v>26</v>
      </c>
      <c r="F1721" t="s">
        <v>27</v>
      </c>
      <c r="G1721" t="s">
        <v>16</v>
      </c>
      <c r="H1721" t="s">
        <v>5142</v>
      </c>
      <c r="I1721" t="s">
        <v>5143</v>
      </c>
      <c r="J1721">
        <v>138241</v>
      </c>
      <c r="K1721" t="s">
        <v>3558</v>
      </c>
      <c r="L1721" t="s">
        <v>5165</v>
      </c>
      <c r="M1721" t="s">
        <v>46</v>
      </c>
      <c r="N1721">
        <v>45340</v>
      </c>
      <c r="O1721">
        <v>3102</v>
      </c>
      <c r="P1721" t="s">
        <v>29</v>
      </c>
      <c r="Q1721">
        <v>4</v>
      </c>
      <c r="R1721" t="s">
        <v>52</v>
      </c>
      <c r="S1721" t="s">
        <v>21</v>
      </c>
      <c r="T1721" t="s">
        <v>20</v>
      </c>
    </row>
    <row r="1722" spans="1:20" x14ac:dyDescent="0.3">
      <c r="A1722" t="s">
        <v>3559</v>
      </c>
      <c r="B1722" t="s">
        <v>78</v>
      </c>
      <c r="C1722" t="s">
        <v>67</v>
      </c>
      <c r="D1722" t="s">
        <v>33</v>
      </c>
      <c r="E1722" t="s">
        <v>5126</v>
      </c>
      <c r="F1722" t="s">
        <v>5125</v>
      </c>
      <c r="G1722" t="s">
        <v>16</v>
      </c>
      <c r="H1722" t="s">
        <v>5138</v>
      </c>
      <c r="I1722" t="s">
        <v>5139</v>
      </c>
      <c r="J1722">
        <v>218471</v>
      </c>
      <c r="K1722" t="s">
        <v>3560</v>
      </c>
      <c r="L1722" t="s">
        <v>5165</v>
      </c>
      <c r="M1722" t="s">
        <v>39</v>
      </c>
      <c r="N1722">
        <v>45301</v>
      </c>
      <c r="O1722">
        <v>1891</v>
      </c>
      <c r="P1722" t="s">
        <v>29</v>
      </c>
      <c r="Q1722">
        <v>6</v>
      </c>
      <c r="R1722" t="s">
        <v>40</v>
      </c>
      <c r="S1722" t="s">
        <v>21</v>
      </c>
      <c r="T1722" t="s">
        <v>20</v>
      </c>
    </row>
    <row r="1723" spans="1:20" x14ac:dyDescent="0.3">
      <c r="A1723" t="s">
        <v>3561</v>
      </c>
      <c r="B1723" t="s">
        <v>124</v>
      </c>
      <c r="C1723" t="s">
        <v>109</v>
      </c>
      <c r="D1723" t="s">
        <v>5156</v>
      </c>
      <c r="E1723" t="s">
        <v>5129</v>
      </c>
      <c r="F1723" t="s">
        <v>5130</v>
      </c>
      <c r="G1723" t="s">
        <v>36</v>
      </c>
      <c r="H1723" t="s">
        <v>5140</v>
      </c>
      <c r="I1723" t="s">
        <v>5141</v>
      </c>
      <c r="J1723">
        <v>104860</v>
      </c>
      <c r="K1723" t="s">
        <v>3562</v>
      </c>
      <c r="L1723" t="s">
        <v>18</v>
      </c>
      <c r="M1723" t="s">
        <v>46</v>
      </c>
      <c r="N1723">
        <v>45292</v>
      </c>
      <c r="O1723">
        <v>2006</v>
      </c>
      <c r="P1723" t="s">
        <v>20</v>
      </c>
      <c r="Q1723">
        <v>2</v>
      </c>
      <c r="R1723" t="s">
        <v>5116</v>
      </c>
      <c r="S1723" t="s">
        <v>21</v>
      </c>
      <c r="T1723" t="s">
        <v>20</v>
      </c>
    </row>
    <row r="1724" spans="1:20" x14ac:dyDescent="0.3">
      <c r="A1724" t="s">
        <v>3563</v>
      </c>
      <c r="B1724" t="s">
        <v>322</v>
      </c>
      <c r="C1724" t="s">
        <v>85</v>
      </c>
      <c r="D1724" t="s">
        <v>25</v>
      </c>
      <c r="E1724" t="s">
        <v>193</v>
      </c>
      <c r="F1724" t="s">
        <v>194</v>
      </c>
      <c r="G1724" t="s">
        <v>16</v>
      </c>
      <c r="H1724" t="s">
        <v>5138</v>
      </c>
      <c r="I1724" t="s">
        <v>5139</v>
      </c>
      <c r="J1724">
        <v>226597</v>
      </c>
      <c r="K1724" t="s">
        <v>3564</v>
      </c>
      <c r="L1724" t="s">
        <v>87</v>
      </c>
      <c r="M1724" t="s">
        <v>46</v>
      </c>
      <c r="N1724">
        <v>45310</v>
      </c>
      <c r="O1724">
        <v>2764</v>
      </c>
      <c r="P1724" t="s">
        <v>20</v>
      </c>
      <c r="Q1724">
        <v>6</v>
      </c>
      <c r="R1724" t="s">
        <v>52</v>
      </c>
      <c r="S1724" t="s">
        <v>21</v>
      </c>
      <c r="T1724" t="s">
        <v>29</v>
      </c>
    </row>
    <row r="1725" spans="1:20" x14ac:dyDescent="0.3">
      <c r="A1725" t="s">
        <v>3565</v>
      </c>
      <c r="B1725" t="s">
        <v>165</v>
      </c>
      <c r="C1725" t="s">
        <v>151</v>
      </c>
      <c r="D1725" t="s">
        <v>167</v>
      </c>
      <c r="E1725" t="s">
        <v>95</v>
      </c>
      <c r="F1725" t="s">
        <v>96</v>
      </c>
      <c r="G1725" t="s">
        <v>36</v>
      </c>
      <c r="H1725" t="s">
        <v>5138</v>
      </c>
      <c r="I1725" t="s">
        <v>5139</v>
      </c>
      <c r="J1725">
        <v>222153</v>
      </c>
      <c r="K1725" t="s">
        <v>3566</v>
      </c>
      <c r="L1725" t="s">
        <v>113</v>
      </c>
      <c r="M1725" t="s">
        <v>46</v>
      </c>
      <c r="N1725">
        <v>45469</v>
      </c>
      <c r="O1725">
        <v>555</v>
      </c>
      <c r="P1725" t="s">
        <v>20</v>
      </c>
      <c r="Q1725">
        <v>6</v>
      </c>
      <c r="R1725" t="s">
        <v>52</v>
      </c>
      <c r="S1725" t="s">
        <v>21</v>
      </c>
      <c r="T1725" t="s">
        <v>29</v>
      </c>
    </row>
    <row r="1726" spans="1:20" x14ac:dyDescent="0.3">
      <c r="A1726" t="s">
        <v>3567</v>
      </c>
      <c r="B1726" t="s">
        <v>78</v>
      </c>
      <c r="C1726" t="s">
        <v>125</v>
      </c>
      <c r="D1726" t="s">
        <v>33</v>
      </c>
      <c r="E1726" t="s">
        <v>69</v>
      </c>
      <c r="F1726" t="s">
        <v>70</v>
      </c>
      <c r="G1726" t="s">
        <v>16</v>
      </c>
      <c r="H1726" t="s">
        <v>5140</v>
      </c>
      <c r="I1726" t="s">
        <v>5141</v>
      </c>
      <c r="J1726">
        <v>91478</v>
      </c>
      <c r="K1726" t="s">
        <v>3568</v>
      </c>
      <c r="L1726" t="s">
        <v>5165</v>
      </c>
      <c r="M1726" t="s">
        <v>46</v>
      </c>
      <c r="N1726">
        <v>45592</v>
      </c>
      <c r="O1726">
        <v>3101</v>
      </c>
      <c r="P1726" t="s">
        <v>29</v>
      </c>
      <c r="Q1726">
        <v>2</v>
      </c>
      <c r="R1726" t="s">
        <v>47</v>
      </c>
      <c r="S1726" t="s">
        <v>21</v>
      </c>
      <c r="T1726" t="s">
        <v>29</v>
      </c>
    </row>
    <row r="1727" spans="1:20" x14ac:dyDescent="0.3">
      <c r="A1727" t="s">
        <v>3569</v>
      </c>
      <c r="B1727" t="s">
        <v>78</v>
      </c>
      <c r="C1727" t="s">
        <v>188</v>
      </c>
      <c r="D1727" t="s">
        <v>5156</v>
      </c>
      <c r="E1727" t="s">
        <v>5127</v>
      </c>
      <c r="F1727" t="s">
        <v>5125</v>
      </c>
      <c r="G1727" t="s">
        <v>16</v>
      </c>
      <c r="H1727" t="s">
        <v>5140</v>
      </c>
      <c r="I1727" t="s">
        <v>5141</v>
      </c>
      <c r="J1727">
        <v>131502</v>
      </c>
      <c r="K1727" t="s">
        <v>3570</v>
      </c>
      <c r="L1727" t="s">
        <v>179</v>
      </c>
      <c r="M1727" t="s">
        <v>72</v>
      </c>
      <c r="N1727">
        <v>45724</v>
      </c>
      <c r="O1727">
        <v>3096</v>
      </c>
      <c r="P1727" t="s">
        <v>20</v>
      </c>
      <c r="Q1727">
        <v>2</v>
      </c>
      <c r="R1727" t="s">
        <v>40</v>
      </c>
      <c r="S1727" t="s">
        <v>53</v>
      </c>
      <c r="T1727" t="s">
        <v>29</v>
      </c>
    </row>
    <row r="1728" spans="1:20" x14ac:dyDescent="0.3">
      <c r="A1728" t="s">
        <v>3571</v>
      </c>
      <c r="B1728" t="s">
        <v>130</v>
      </c>
      <c r="C1728" t="s">
        <v>219</v>
      </c>
      <c r="D1728" t="s">
        <v>44</v>
      </c>
      <c r="E1728" t="s">
        <v>5124</v>
      </c>
      <c r="F1728" t="s">
        <v>5125</v>
      </c>
      <c r="G1728" t="s">
        <v>16</v>
      </c>
      <c r="H1728" t="s">
        <v>5140</v>
      </c>
      <c r="I1728" t="s">
        <v>5141</v>
      </c>
      <c r="J1728">
        <v>99387</v>
      </c>
      <c r="K1728" t="s">
        <v>3572</v>
      </c>
      <c r="L1728" t="s">
        <v>5165</v>
      </c>
      <c r="M1728" t="s">
        <v>19</v>
      </c>
      <c r="N1728">
        <v>45555</v>
      </c>
      <c r="O1728">
        <v>1985</v>
      </c>
      <c r="P1728" t="s">
        <v>20</v>
      </c>
      <c r="Q1728">
        <v>2</v>
      </c>
      <c r="R1728" t="s">
        <v>76</v>
      </c>
      <c r="S1728" t="s">
        <v>21</v>
      </c>
      <c r="T1728" t="s">
        <v>29</v>
      </c>
    </row>
    <row r="1729" spans="1:20" x14ac:dyDescent="0.3">
      <c r="A1729" t="s">
        <v>3573</v>
      </c>
      <c r="B1729" t="s">
        <v>218</v>
      </c>
      <c r="C1729" t="s">
        <v>202</v>
      </c>
      <c r="D1729" t="s">
        <v>118</v>
      </c>
      <c r="E1729" t="s">
        <v>5126</v>
      </c>
      <c r="F1729" t="s">
        <v>5125</v>
      </c>
      <c r="G1729" t="s">
        <v>36</v>
      </c>
      <c r="H1729" t="s">
        <v>5140</v>
      </c>
      <c r="I1729" t="s">
        <v>5141</v>
      </c>
      <c r="J1729">
        <v>125999</v>
      </c>
      <c r="K1729" t="s">
        <v>3574</v>
      </c>
      <c r="L1729" t="s">
        <v>113</v>
      </c>
      <c r="M1729" t="s">
        <v>46</v>
      </c>
      <c r="N1729">
        <v>45684</v>
      </c>
      <c r="O1729">
        <v>2865</v>
      </c>
      <c r="P1729" t="s">
        <v>20</v>
      </c>
      <c r="Q1729">
        <v>2</v>
      </c>
      <c r="R1729" t="s">
        <v>76</v>
      </c>
      <c r="S1729" t="s">
        <v>21</v>
      </c>
      <c r="T1729" t="s">
        <v>29</v>
      </c>
    </row>
    <row r="1730" spans="1:20" x14ac:dyDescent="0.3">
      <c r="A1730" t="s">
        <v>3575</v>
      </c>
      <c r="B1730" t="s">
        <v>84</v>
      </c>
      <c r="C1730" t="s">
        <v>100</v>
      </c>
      <c r="D1730" t="s">
        <v>5156</v>
      </c>
      <c r="E1730" t="s">
        <v>95</v>
      </c>
      <c r="F1730" t="s">
        <v>96</v>
      </c>
      <c r="G1730" t="s">
        <v>16</v>
      </c>
      <c r="H1730" t="s">
        <v>5138</v>
      </c>
      <c r="I1730" t="s">
        <v>5139</v>
      </c>
      <c r="J1730">
        <v>213222</v>
      </c>
      <c r="K1730" t="s">
        <v>3576</v>
      </c>
      <c r="L1730" t="s">
        <v>5165</v>
      </c>
      <c r="M1730" t="s">
        <v>19</v>
      </c>
      <c r="N1730">
        <v>45676</v>
      </c>
      <c r="O1730">
        <v>593</v>
      </c>
      <c r="P1730" t="s">
        <v>20</v>
      </c>
      <c r="Q1730">
        <v>6</v>
      </c>
      <c r="R1730" t="s">
        <v>40</v>
      </c>
      <c r="S1730" t="s">
        <v>41</v>
      </c>
      <c r="T1730" t="s">
        <v>29</v>
      </c>
    </row>
    <row r="1731" spans="1:20" x14ac:dyDescent="0.3">
      <c r="A1731" t="s">
        <v>3577</v>
      </c>
      <c r="B1731" t="s">
        <v>165</v>
      </c>
      <c r="C1731" t="s">
        <v>56</v>
      </c>
      <c r="D1731" t="s">
        <v>33</v>
      </c>
      <c r="E1731" t="s">
        <v>14</v>
      </c>
      <c r="F1731" t="s">
        <v>15</v>
      </c>
      <c r="G1731" t="s">
        <v>16</v>
      </c>
      <c r="H1731" t="s">
        <v>5136</v>
      </c>
      <c r="I1731" t="s">
        <v>5137</v>
      </c>
      <c r="J1731">
        <v>93161</v>
      </c>
      <c r="K1731" t="s">
        <v>3578</v>
      </c>
      <c r="L1731" t="s">
        <v>5165</v>
      </c>
      <c r="M1731" t="s">
        <v>46</v>
      </c>
      <c r="N1731">
        <v>45411</v>
      </c>
      <c r="O1731">
        <v>1642</v>
      </c>
      <c r="P1731" t="s">
        <v>20</v>
      </c>
      <c r="Q1731">
        <v>0</v>
      </c>
      <c r="R1731" t="s">
        <v>5116</v>
      </c>
      <c r="S1731" t="s">
        <v>21</v>
      </c>
      <c r="T1731" t="s">
        <v>20</v>
      </c>
    </row>
    <row r="1732" spans="1:20" x14ac:dyDescent="0.3">
      <c r="A1732" t="s">
        <v>3579</v>
      </c>
      <c r="B1732" t="s">
        <v>23</v>
      </c>
      <c r="C1732" t="s">
        <v>90</v>
      </c>
      <c r="D1732" t="s">
        <v>167</v>
      </c>
      <c r="E1732" t="s">
        <v>14</v>
      </c>
      <c r="F1732" t="s">
        <v>15</v>
      </c>
      <c r="G1732" t="s">
        <v>36</v>
      </c>
      <c r="H1732" t="s">
        <v>5136</v>
      </c>
      <c r="I1732" t="s">
        <v>5137</v>
      </c>
      <c r="J1732">
        <v>67184</v>
      </c>
      <c r="K1732" t="s">
        <v>3580</v>
      </c>
      <c r="L1732" t="s">
        <v>5165</v>
      </c>
      <c r="M1732" t="s">
        <v>39</v>
      </c>
      <c r="N1732">
        <v>45517</v>
      </c>
      <c r="O1732">
        <v>1965</v>
      </c>
      <c r="P1732" t="s">
        <v>92</v>
      </c>
      <c r="Q1732">
        <v>0</v>
      </c>
      <c r="R1732" t="s">
        <v>76</v>
      </c>
      <c r="S1732" t="s">
        <v>21</v>
      </c>
      <c r="T1732" t="s">
        <v>20</v>
      </c>
    </row>
    <row r="1733" spans="1:20" x14ac:dyDescent="0.3">
      <c r="A1733" t="s">
        <v>3581</v>
      </c>
      <c r="B1733" t="s">
        <v>130</v>
      </c>
      <c r="C1733" t="s">
        <v>43</v>
      </c>
      <c r="D1733" t="s">
        <v>68</v>
      </c>
      <c r="E1733" t="s">
        <v>5133</v>
      </c>
      <c r="F1733" t="s">
        <v>5125</v>
      </c>
      <c r="G1733" t="s">
        <v>50</v>
      </c>
      <c r="H1733" t="s">
        <v>5142</v>
      </c>
      <c r="I1733" t="s">
        <v>5143</v>
      </c>
      <c r="J1733">
        <v>140568</v>
      </c>
      <c r="K1733" t="s">
        <v>3582</v>
      </c>
      <c r="L1733" t="s">
        <v>82</v>
      </c>
      <c r="M1733" t="s">
        <v>39</v>
      </c>
      <c r="N1733">
        <v>45474</v>
      </c>
      <c r="O1733">
        <v>2552</v>
      </c>
      <c r="P1733" t="s">
        <v>20</v>
      </c>
      <c r="Q1733">
        <v>4</v>
      </c>
      <c r="R1733" t="s">
        <v>52</v>
      </c>
      <c r="S1733" t="s">
        <v>21</v>
      </c>
      <c r="T1733" t="s">
        <v>29</v>
      </c>
    </row>
    <row r="1734" spans="1:20" x14ac:dyDescent="0.3">
      <c r="A1734" t="s">
        <v>3583</v>
      </c>
      <c r="B1734" t="s">
        <v>55</v>
      </c>
      <c r="C1734" t="s">
        <v>202</v>
      </c>
      <c r="D1734" t="s">
        <v>68</v>
      </c>
      <c r="E1734" t="s">
        <v>80</v>
      </c>
      <c r="F1734" t="s">
        <v>80</v>
      </c>
      <c r="G1734" t="s">
        <v>36</v>
      </c>
      <c r="H1734" t="s">
        <v>5138</v>
      </c>
      <c r="I1734" t="s">
        <v>5139</v>
      </c>
      <c r="J1734">
        <v>199300</v>
      </c>
      <c r="K1734" t="s">
        <v>3584</v>
      </c>
      <c r="L1734" t="s">
        <v>5165</v>
      </c>
      <c r="M1734" t="s">
        <v>72</v>
      </c>
      <c r="N1734">
        <v>45600</v>
      </c>
      <c r="O1734">
        <v>2613</v>
      </c>
      <c r="P1734" t="s">
        <v>20</v>
      </c>
      <c r="Q1734">
        <v>6</v>
      </c>
      <c r="R1734" t="s">
        <v>5116</v>
      </c>
      <c r="S1734" t="s">
        <v>21</v>
      </c>
      <c r="T1734" t="s">
        <v>20</v>
      </c>
    </row>
    <row r="1735" spans="1:20" x14ac:dyDescent="0.3">
      <c r="A1735" t="s">
        <v>3585</v>
      </c>
      <c r="B1735" t="s">
        <v>78</v>
      </c>
      <c r="C1735" t="s">
        <v>188</v>
      </c>
      <c r="D1735" t="s">
        <v>68</v>
      </c>
      <c r="E1735" t="s">
        <v>69</v>
      </c>
      <c r="F1735" t="s">
        <v>70</v>
      </c>
      <c r="G1735" t="s">
        <v>50</v>
      </c>
      <c r="H1735" t="s">
        <v>5138</v>
      </c>
      <c r="I1735" t="s">
        <v>5139</v>
      </c>
      <c r="J1735">
        <v>189085</v>
      </c>
      <c r="K1735" t="s">
        <v>3586</v>
      </c>
      <c r="L1735" t="s">
        <v>142</v>
      </c>
      <c r="M1735" t="s">
        <v>46</v>
      </c>
      <c r="N1735">
        <v>45638</v>
      </c>
      <c r="O1735">
        <v>3958</v>
      </c>
      <c r="P1735" t="s">
        <v>20</v>
      </c>
      <c r="Q1735">
        <v>6</v>
      </c>
      <c r="R1735" t="s">
        <v>40</v>
      </c>
      <c r="S1735" t="s">
        <v>53</v>
      </c>
      <c r="T1735" t="s">
        <v>20</v>
      </c>
    </row>
    <row r="1736" spans="1:20" x14ac:dyDescent="0.3">
      <c r="A1736" t="s">
        <v>3587</v>
      </c>
      <c r="B1736" t="s">
        <v>144</v>
      </c>
      <c r="C1736" t="s">
        <v>125</v>
      </c>
      <c r="D1736" t="s">
        <v>140</v>
      </c>
      <c r="E1736" t="s">
        <v>5124</v>
      </c>
      <c r="F1736" t="s">
        <v>5125</v>
      </c>
      <c r="G1736" t="s">
        <v>16</v>
      </c>
      <c r="H1736" t="s">
        <v>5140</v>
      </c>
      <c r="I1736" t="s">
        <v>5141</v>
      </c>
      <c r="J1736">
        <v>125838</v>
      </c>
      <c r="K1736" t="s">
        <v>3588</v>
      </c>
      <c r="L1736" t="s">
        <v>5165</v>
      </c>
      <c r="M1736" t="s">
        <v>46</v>
      </c>
      <c r="N1736">
        <v>45515</v>
      </c>
      <c r="O1736">
        <v>1229</v>
      </c>
      <c r="P1736" t="s">
        <v>20</v>
      </c>
      <c r="Q1736">
        <v>2</v>
      </c>
      <c r="R1736" t="s">
        <v>52</v>
      </c>
      <c r="S1736" t="s">
        <v>21</v>
      </c>
      <c r="T1736" t="s">
        <v>29</v>
      </c>
    </row>
    <row r="1737" spans="1:20" x14ac:dyDescent="0.3">
      <c r="A1737" t="s">
        <v>3589</v>
      </c>
      <c r="B1737" t="s">
        <v>136</v>
      </c>
      <c r="C1737" t="s">
        <v>160</v>
      </c>
      <c r="D1737" t="s">
        <v>25</v>
      </c>
      <c r="E1737" t="s">
        <v>26</v>
      </c>
      <c r="F1737" t="s">
        <v>27</v>
      </c>
      <c r="G1737" t="s">
        <v>16</v>
      </c>
      <c r="H1737" t="s">
        <v>5138</v>
      </c>
      <c r="I1737" t="s">
        <v>5139</v>
      </c>
      <c r="J1737">
        <v>141812</v>
      </c>
      <c r="K1737" t="s">
        <v>3590</v>
      </c>
      <c r="L1737" t="s">
        <v>38</v>
      </c>
      <c r="M1737" t="s">
        <v>19</v>
      </c>
      <c r="N1737">
        <v>45590</v>
      </c>
      <c r="O1737">
        <v>1571</v>
      </c>
      <c r="P1737" t="s">
        <v>29</v>
      </c>
      <c r="Q1737">
        <v>6</v>
      </c>
      <c r="R1737" t="s">
        <v>5116</v>
      </c>
      <c r="S1737" t="s">
        <v>21</v>
      </c>
      <c r="T1737" t="s">
        <v>20</v>
      </c>
    </row>
    <row r="1738" spans="1:20" x14ac:dyDescent="0.3">
      <c r="A1738" t="s">
        <v>3591</v>
      </c>
      <c r="B1738" t="s">
        <v>130</v>
      </c>
      <c r="C1738" t="s">
        <v>172</v>
      </c>
      <c r="D1738" t="s">
        <v>5156</v>
      </c>
      <c r="E1738" t="s">
        <v>34</v>
      </c>
      <c r="F1738" t="s">
        <v>35</v>
      </c>
      <c r="G1738" t="s">
        <v>16</v>
      </c>
      <c r="H1738" t="s">
        <v>5140</v>
      </c>
      <c r="I1738" t="s">
        <v>5141</v>
      </c>
      <c r="J1738">
        <v>89137</v>
      </c>
      <c r="K1738" t="s">
        <v>3592</v>
      </c>
      <c r="L1738" t="s">
        <v>5165</v>
      </c>
      <c r="M1738" t="s">
        <v>19</v>
      </c>
      <c r="N1738">
        <v>45585</v>
      </c>
      <c r="O1738">
        <v>1322</v>
      </c>
      <c r="P1738" t="s">
        <v>20</v>
      </c>
      <c r="Q1738">
        <v>2</v>
      </c>
      <c r="R1738" t="s">
        <v>40</v>
      </c>
      <c r="S1738" t="s">
        <v>21</v>
      </c>
      <c r="T1738" t="s">
        <v>29</v>
      </c>
    </row>
    <row r="1739" spans="1:20" x14ac:dyDescent="0.3">
      <c r="A1739" t="s">
        <v>3593</v>
      </c>
      <c r="B1739" t="s">
        <v>218</v>
      </c>
      <c r="C1739" t="s">
        <v>100</v>
      </c>
      <c r="D1739" t="s">
        <v>57</v>
      </c>
      <c r="E1739" t="s">
        <v>5128</v>
      </c>
      <c r="F1739" t="s">
        <v>5125</v>
      </c>
      <c r="G1739" t="s">
        <v>36</v>
      </c>
      <c r="H1739" t="s">
        <v>5140</v>
      </c>
      <c r="I1739" t="s">
        <v>5141</v>
      </c>
      <c r="J1739">
        <v>88857</v>
      </c>
      <c r="K1739" t="s">
        <v>3594</v>
      </c>
      <c r="L1739" t="s">
        <v>61</v>
      </c>
      <c r="M1739" t="s">
        <v>72</v>
      </c>
      <c r="N1739">
        <v>45554</v>
      </c>
      <c r="O1739">
        <v>2760</v>
      </c>
      <c r="P1739" t="s">
        <v>20</v>
      </c>
      <c r="Q1739">
        <v>2</v>
      </c>
      <c r="R1739" t="s">
        <v>47</v>
      </c>
      <c r="S1739" t="s">
        <v>21</v>
      </c>
      <c r="T1739" t="s">
        <v>29</v>
      </c>
    </row>
    <row r="1740" spans="1:20" x14ac:dyDescent="0.3">
      <c r="A1740" t="s">
        <v>3595</v>
      </c>
      <c r="B1740" t="s">
        <v>165</v>
      </c>
      <c r="C1740" t="s">
        <v>103</v>
      </c>
      <c r="D1740" t="s">
        <v>140</v>
      </c>
      <c r="E1740" t="s">
        <v>95</v>
      </c>
      <c r="F1740" t="s">
        <v>96</v>
      </c>
      <c r="G1740" t="s">
        <v>16</v>
      </c>
      <c r="H1740" t="s">
        <v>5140</v>
      </c>
      <c r="I1740" t="s">
        <v>5141</v>
      </c>
      <c r="J1740">
        <v>128816</v>
      </c>
      <c r="K1740" t="s">
        <v>3596</v>
      </c>
      <c r="L1740" t="s">
        <v>18</v>
      </c>
      <c r="M1740" t="s">
        <v>46</v>
      </c>
      <c r="N1740">
        <v>45665</v>
      </c>
      <c r="O1740">
        <v>3274</v>
      </c>
      <c r="P1740" t="s">
        <v>29</v>
      </c>
      <c r="Q1740">
        <v>2</v>
      </c>
      <c r="R1740" t="s">
        <v>5116</v>
      </c>
      <c r="S1740" t="s">
        <v>21</v>
      </c>
      <c r="T1740" t="s">
        <v>29</v>
      </c>
    </row>
    <row r="1741" spans="1:20" x14ac:dyDescent="0.3">
      <c r="A1741" t="s">
        <v>3597</v>
      </c>
      <c r="B1741" t="s">
        <v>23</v>
      </c>
      <c r="C1741" t="s">
        <v>100</v>
      </c>
      <c r="D1741" t="s">
        <v>118</v>
      </c>
      <c r="E1741" t="s">
        <v>5126</v>
      </c>
      <c r="F1741" t="s">
        <v>5125</v>
      </c>
      <c r="G1741" t="s">
        <v>36</v>
      </c>
      <c r="H1741" t="s">
        <v>5138</v>
      </c>
      <c r="I1741" t="s">
        <v>5139</v>
      </c>
      <c r="J1741">
        <v>261582</v>
      </c>
      <c r="K1741" t="s">
        <v>3598</v>
      </c>
      <c r="L1741" t="s">
        <v>5165</v>
      </c>
      <c r="M1741" t="s">
        <v>46</v>
      </c>
      <c r="N1741">
        <v>45664</v>
      </c>
      <c r="O1741">
        <v>3794</v>
      </c>
      <c r="P1741" t="s">
        <v>20</v>
      </c>
      <c r="Q1741">
        <v>6</v>
      </c>
      <c r="R1741" t="s">
        <v>76</v>
      </c>
      <c r="S1741" t="s">
        <v>53</v>
      </c>
      <c r="T1741" t="s">
        <v>20</v>
      </c>
    </row>
    <row r="1742" spans="1:20" x14ac:dyDescent="0.3">
      <c r="A1742" t="s">
        <v>3599</v>
      </c>
      <c r="B1742" t="s">
        <v>99</v>
      </c>
      <c r="C1742" t="s">
        <v>188</v>
      </c>
      <c r="D1742" t="s">
        <v>5156</v>
      </c>
      <c r="E1742" t="s">
        <v>69</v>
      </c>
      <c r="F1742" t="s">
        <v>70</v>
      </c>
      <c r="G1742" t="s">
        <v>16</v>
      </c>
      <c r="H1742" t="s">
        <v>5138</v>
      </c>
      <c r="I1742" t="s">
        <v>5139</v>
      </c>
      <c r="J1742">
        <v>196239</v>
      </c>
      <c r="K1742" t="s">
        <v>3600</v>
      </c>
      <c r="L1742" t="s">
        <v>5165</v>
      </c>
      <c r="M1742" t="s">
        <v>46</v>
      </c>
      <c r="N1742">
        <v>45477</v>
      </c>
      <c r="O1742">
        <v>406</v>
      </c>
      <c r="P1742" t="s">
        <v>92</v>
      </c>
      <c r="Q1742">
        <v>6</v>
      </c>
      <c r="R1742" t="s">
        <v>40</v>
      </c>
      <c r="S1742" t="s">
        <v>53</v>
      </c>
      <c r="T1742" t="s">
        <v>20</v>
      </c>
    </row>
    <row r="1743" spans="1:20" x14ac:dyDescent="0.3">
      <c r="A1743" t="s">
        <v>3601</v>
      </c>
      <c r="B1743" t="s">
        <v>218</v>
      </c>
      <c r="C1743" t="s">
        <v>109</v>
      </c>
      <c r="D1743" t="s">
        <v>25</v>
      </c>
      <c r="E1743" t="s">
        <v>5132</v>
      </c>
      <c r="F1743" t="s">
        <v>5125</v>
      </c>
      <c r="G1743" t="s">
        <v>16</v>
      </c>
      <c r="H1743" t="s">
        <v>5136</v>
      </c>
      <c r="I1743" t="s">
        <v>5137</v>
      </c>
      <c r="J1743">
        <v>67872</v>
      </c>
      <c r="K1743" t="s">
        <v>3602</v>
      </c>
      <c r="L1743" t="s">
        <v>5165</v>
      </c>
      <c r="M1743" t="s">
        <v>19</v>
      </c>
      <c r="N1743">
        <v>45676</v>
      </c>
      <c r="O1743">
        <v>3257</v>
      </c>
      <c r="P1743" t="s">
        <v>29</v>
      </c>
      <c r="Q1743">
        <v>0</v>
      </c>
      <c r="R1743" t="s">
        <v>47</v>
      </c>
      <c r="S1743" t="s">
        <v>21</v>
      </c>
      <c r="T1743" t="s">
        <v>20</v>
      </c>
    </row>
    <row r="1744" spans="1:20" x14ac:dyDescent="0.3">
      <c r="A1744" t="s">
        <v>3603</v>
      </c>
      <c r="B1744" t="s">
        <v>222</v>
      </c>
      <c r="C1744" t="s">
        <v>67</v>
      </c>
      <c r="D1744" t="s">
        <v>33</v>
      </c>
      <c r="E1744" t="s">
        <v>58</v>
      </c>
      <c r="F1744" t="s">
        <v>59</v>
      </c>
      <c r="G1744" t="s">
        <v>36</v>
      </c>
      <c r="H1744" t="s">
        <v>5142</v>
      </c>
      <c r="I1744" t="s">
        <v>5143</v>
      </c>
      <c r="J1744">
        <v>151891</v>
      </c>
      <c r="K1744" t="s">
        <v>3604</v>
      </c>
      <c r="L1744" t="s">
        <v>142</v>
      </c>
      <c r="M1744" t="s">
        <v>46</v>
      </c>
      <c r="N1744">
        <v>45585</v>
      </c>
      <c r="O1744">
        <v>3041</v>
      </c>
      <c r="P1744" t="s">
        <v>20</v>
      </c>
      <c r="Q1744">
        <v>4</v>
      </c>
      <c r="R1744" t="s">
        <v>5116</v>
      </c>
      <c r="S1744" t="s">
        <v>21</v>
      </c>
      <c r="T1744" t="s">
        <v>20</v>
      </c>
    </row>
    <row r="1745" spans="1:20" x14ac:dyDescent="0.3">
      <c r="A1745" t="s">
        <v>3605</v>
      </c>
      <c r="B1745" t="s">
        <v>23</v>
      </c>
      <c r="C1745" t="s">
        <v>197</v>
      </c>
      <c r="D1745" t="s">
        <v>68</v>
      </c>
      <c r="E1745" t="s">
        <v>34</v>
      </c>
      <c r="F1745" t="s">
        <v>35</v>
      </c>
      <c r="G1745" t="s">
        <v>16</v>
      </c>
      <c r="H1745" t="s">
        <v>5140</v>
      </c>
      <c r="I1745" t="s">
        <v>5141</v>
      </c>
      <c r="J1745">
        <v>133005</v>
      </c>
      <c r="K1745" t="s">
        <v>3606</v>
      </c>
      <c r="L1745" t="s">
        <v>18</v>
      </c>
      <c r="M1745" t="s">
        <v>19</v>
      </c>
      <c r="N1745">
        <v>45709</v>
      </c>
      <c r="O1745">
        <v>3069</v>
      </c>
      <c r="P1745" t="s">
        <v>20</v>
      </c>
      <c r="Q1745">
        <v>2</v>
      </c>
      <c r="R1745" t="s">
        <v>47</v>
      </c>
      <c r="S1745" t="s">
        <v>21</v>
      </c>
      <c r="T1745" t="s">
        <v>20</v>
      </c>
    </row>
    <row r="1746" spans="1:20" x14ac:dyDescent="0.3">
      <c r="A1746" t="s">
        <v>3607</v>
      </c>
      <c r="B1746" t="s">
        <v>136</v>
      </c>
      <c r="C1746" t="s">
        <v>219</v>
      </c>
      <c r="D1746" t="s">
        <v>25</v>
      </c>
      <c r="E1746" t="s">
        <v>14</v>
      </c>
      <c r="F1746" t="s">
        <v>15</v>
      </c>
      <c r="G1746" t="s">
        <v>16</v>
      </c>
      <c r="H1746" t="s">
        <v>5138</v>
      </c>
      <c r="I1746" t="s">
        <v>5139</v>
      </c>
      <c r="J1746">
        <v>166615</v>
      </c>
      <c r="K1746" t="s">
        <v>3608</v>
      </c>
      <c r="L1746" t="s">
        <v>5165</v>
      </c>
      <c r="M1746" t="s">
        <v>46</v>
      </c>
      <c r="N1746">
        <v>45603</v>
      </c>
      <c r="O1746">
        <v>734</v>
      </c>
      <c r="P1746" t="s">
        <v>92</v>
      </c>
      <c r="Q1746">
        <v>6</v>
      </c>
      <c r="R1746" t="s">
        <v>47</v>
      </c>
      <c r="S1746" t="s">
        <v>53</v>
      </c>
      <c r="T1746" t="s">
        <v>20</v>
      </c>
    </row>
    <row r="1747" spans="1:20" x14ac:dyDescent="0.3">
      <c r="A1747" t="s">
        <v>3609</v>
      </c>
      <c r="B1747" t="s">
        <v>130</v>
      </c>
      <c r="C1747" t="s">
        <v>13</v>
      </c>
      <c r="D1747" t="s">
        <v>104</v>
      </c>
      <c r="E1747" t="s">
        <v>26</v>
      </c>
      <c r="F1747" t="s">
        <v>27</v>
      </c>
      <c r="G1747" t="s">
        <v>36</v>
      </c>
      <c r="H1747" t="s">
        <v>5136</v>
      </c>
      <c r="I1747" t="s">
        <v>5137</v>
      </c>
      <c r="J1747">
        <v>73003</v>
      </c>
      <c r="K1747" t="s">
        <v>1661</v>
      </c>
      <c r="L1747" t="s">
        <v>113</v>
      </c>
      <c r="M1747" t="s">
        <v>19</v>
      </c>
      <c r="N1747">
        <v>45324</v>
      </c>
      <c r="O1747">
        <v>12</v>
      </c>
      <c r="P1747" t="s">
        <v>92</v>
      </c>
      <c r="Q1747">
        <v>0</v>
      </c>
      <c r="R1747" t="s">
        <v>76</v>
      </c>
      <c r="S1747" t="s">
        <v>53</v>
      </c>
      <c r="T1747" t="s">
        <v>29</v>
      </c>
    </row>
    <row r="1748" spans="1:20" x14ac:dyDescent="0.3">
      <c r="A1748" t="s">
        <v>3610</v>
      </c>
      <c r="B1748" t="s">
        <v>130</v>
      </c>
      <c r="C1748" t="s">
        <v>125</v>
      </c>
      <c r="D1748" t="s">
        <v>33</v>
      </c>
      <c r="E1748" t="s">
        <v>34</v>
      </c>
      <c r="F1748" t="s">
        <v>35</v>
      </c>
      <c r="G1748" t="s">
        <v>16</v>
      </c>
      <c r="H1748" t="s">
        <v>5142</v>
      </c>
      <c r="I1748" t="s">
        <v>5143</v>
      </c>
      <c r="J1748">
        <v>176330</v>
      </c>
      <c r="K1748" t="s">
        <v>3611</v>
      </c>
      <c r="L1748" t="s">
        <v>38</v>
      </c>
      <c r="M1748" t="s">
        <v>39</v>
      </c>
      <c r="N1748">
        <v>45512</v>
      </c>
      <c r="O1748">
        <v>2872</v>
      </c>
      <c r="P1748" t="s">
        <v>20</v>
      </c>
      <c r="Q1748">
        <v>4</v>
      </c>
      <c r="R1748" t="s">
        <v>40</v>
      </c>
      <c r="S1748" t="s">
        <v>21</v>
      </c>
      <c r="T1748" t="s">
        <v>29</v>
      </c>
    </row>
    <row r="1749" spans="1:20" x14ac:dyDescent="0.3">
      <c r="A1749" t="s">
        <v>3612</v>
      </c>
      <c r="B1749" t="s">
        <v>124</v>
      </c>
      <c r="C1749" t="s">
        <v>188</v>
      </c>
      <c r="D1749" t="s">
        <v>33</v>
      </c>
      <c r="E1749" t="s">
        <v>193</v>
      </c>
      <c r="F1749" t="s">
        <v>194</v>
      </c>
      <c r="G1749" t="s">
        <v>50</v>
      </c>
      <c r="H1749" t="s">
        <v>5136</v>
      </c>
      <c r="I1749" t="s">
        <v>5137</v>
      </c>
      <c r="J1749">
        <v>76313</v>
      </c>
      <c r="K1749" t="s">
        <v>3613</v>
      </c>
      <c r="L1749" t="s">
        <v>87</v>
      </c>
      <c r="M1749" t="s">
        <v>19</v>
      </c>
      <c r="N1749">
        <v>45314</v>
      </c>
      <c r="O1749">
        <v>546</v>
      </c>
      <c r="P1749" t="s">
        <v>20</v>
      </c>
      <c r="Q1749">
        <v>0</v>
      </c>
      <c r="R1749" t="s">
        <v>52</v>
      </c>
      <c r="S1749" t="s">
        <v>53</v>
      </c>
      <c r="T1749" t="s">
        <v>20</v>
      </c>
    </row>
    <row r="1750" spans="1:20" x14ac:dyDescent="0.3">
      <c r="A1750" t="s">
        <v>3614</v>
      </c>
      <c r="B1750" t="s">
        <v>144</v>
      </c>
      <c r="C1750" t="s">
        <v>151</v>
      </c>
      <c r="D1750" t="s">
        <v>57</v>
      </c>
      <c r="E1750" t="s">
        <v>26</v>
      </c>
      <c r="F1750" t="s">
        <v>27</v>
      </c>
      <c r="G1750" t="s">
        <v>36</v>
      </c>
      <c r="H1750" t="s">
        <v>5136</v>
      </c>
      <c r="I1750" t="s">
        <v>5137</v>
      </c>
      <c r="J1750">
        <v>72388</v>
      </c>
      <c r="K1750" t="s">
        <v>3615</v>
      </c>
      <c r="L1750" t="s">
        <v>38</v>
      </c>
      <c r="M1750" t="s">
        <v>19</v>
      </c>
      <c r="N1750">
        <v>45453</v>
      </c>
      <c r="O1750">
        <v>57</v>
      </c>
      <c r="P1750" t="s">
        <v>29</v>
      </c>
      <c r="Q1750">
        <v>0</v>
      </c>
      <c r="R1750" t="s">
        <v>5116</v>
      </c>
      <c r="S1750" t="s">
        <v>21</v>
      </c>
      <c r="T1750" t="s">
        <v>20</v>
      </c>
    </row>
    <row r="1751" spans="1:20" x14ac:dyDescent="0.3">
      <c r="A1751" t="s">
        <v>3616</v>
      </c>
      <c r="B1751" t="s">
        <v>218</v>
      </c>
      <c r="C1751" t="s">
        <v>188</v>
      </c>
      <c r="D1751" t="s">
        <v>25</v>
      </c>
      <c r="E1751" t="s">
        <v>5129</v>
      </c>
      <c r="F1751" t="s">
        <v>5130</v>
      </c>
      <c r="G1751" t="s">
        <v>50</v>
      </c>
      <c r="H1751" t="s">
        <v>5138</v>
      </c>
      <c r="I1751" t="s">
        <v>5139</v>
      </c>
      <c r="J1751">
        <v>236037</v>
      </c>
      <c r="K1751" t="s">
        <v>3617</v>
      </c>
      <c r="L1751" t="s">
        <v>5165</v>
      </c>
      <c r="M1751" t="s">
        <v>46</v>
      </c>
      <c r="N1751">
        <v>45339</v>
      </c>
      <c r="O1751">
        <v>786</v>
      </c>
      <c r="P1751" t="s">
        <v>92</v>
      </c>
      <c r="Q1751">
        <v>6</v>
      </c>
      <c r="R1751" t="s">
        <v>40</v>
      </c>
      <c r="S1751" t="s">
        <v>21</v>
      </c>
      <c r="T1751" t="s">
        <v>29</v>
      </c>
    </row>
    <row r="1752" spans="1:20" x14ac:dyDescent="0.3">
      <c r="A1752" t="s">
        <v>3618</v>
      </c>
      <c r="B1752" t="s">
        <v>12</v>
      </c>
      <c r="C1752" t="s">
        <v>117</v>
      </c>
      <c r="D1752" t="s">
        <v>68</v>
      </c>
      <c r="E1752" t="s">
        <v>193</v>
      </c>
      <c r="F1752" t="s">
        <v>194</v>
      </c>
      <c r="G1752" t="s">
        <v>16</v>
      </c>
      <c r="H1752" t="s">
        <v>5136</v>
      </c>
      <c r="I1752" t="s">
        <v>5137</v>
      </c>
      <c r="J1752">
        <v>50000</v>
      </c>
      <c r="K1752" t="s">
        <v>3619</v>
      </c>
      <c r="L1752" t="s">
        <v>82</v>
      </c>
      <c r="M1752" t="s">
        <v>19</v>
      </c>
      <c r="N1752">
        <v>45587</v>
      </c>
      <c r="O1752">
        <v>2509</v>
      </c>
      <c r="P1752" t="s">
        <v>92</v>
      </c>
      <c r="Q1752">
        <v>0</v>
      </c>
      <c r="R1752" t="s">
        <v>76</v>
      </c>
      <c r="S1752" t="s">
        <v>53</v>
      </c>
      <c r="T1752" t="s">
        <v>20</v>
      </c>
    </row>
    <row r="1753" spans="1:20" x14ac:dyDescent="0.3">
      <c r="A1753" t="s">
        <v>3620</v>
      </c>
      <c r="B1753" t="s">
        <v>23</v>
      </c>
      <c r="C1753" t="s">
        <v>85</v>
      </c>
      <c r="D1753" t="s">
        <v>33</v>
      </c>
      <c r="E1753" t="s">
        <v>5132</v>
      </c>
      <c r="F1753" t="s">
        <v>5125</v>
      </c>
      <c r="G1753" t="s">
        <v>36</v>
      </c>
      <c r="H1753" t="s">
        <v>5142</v>
      </c>
      <c r="I1753" t="s">
        <v>5143</v>
      </c>
      <c r="J1753">
        <v>168302</v>
      </c>
      <c r="K1753" t="s">
        <v>3621</v>
      </c>
      <c r="L1753" t="s">
        <v>18</v>
      </c>
      <c r="M1753" t="s">
        <v>39</v>
      </c>
      <c r="N1753">
        <v>45651</v>
      </c>
      <c r="O1753">
        <v>3132</v>
      </c>
      <c r="P1753" t="s">
        <v>29</v>
      </c>
      <c r="Q1753">
        <v>4</v>
      </c>
      <c r="R1753" t="s">
        <v>76</v>
      </c>
      <c r="S1753" t="s">
        <v>21</v>
      </c>
      <c r="T1753" t="s">
        <v>20</v>
      </c>
    </row>
    <row r="1754" spans="1:20" x14ac:dyDescent="0.3">
      <c r="A1754" t="s">
        <v>3622</v>
      </c>
      <c r="B1754" t="s">
        <v>222</v>
      </c>
      <c r="C1754" t="s">
        <v>185</v>
      </c>
      <c r="D1754" t="s">
        <v>57</v>
      </c>
      <c r="E1754" t="s">
        <v>5127</v>
      </c>
      <c r="F1754" t="s">
        <v>5125</v>
      </c>
      <c r="G1754" t="s">
        <v>36</v>
      </c>
      <c r="H1754" t="s">
        <v>5142</v>
      </c>
      <c r="I1754" t="s">
        <v>5143</v>
      </c>
      <c r="J1754">
        <v>132339</v>
      </c>
      <c r="K1754" t="s">
        <v>3623</v>
      </c>
      <c r="L1754" t="s">
        <v>5165</v>
      </c>
      <c r="M1754" t="s">
        <v>46</v>
      </c>
      <c r="N1754">
        <v>45715</v>
      </c>
      <c r="O1754">
        <v>1588</v>
      </c>
      <c r="P1754" t="s">
        <v>29</v>
      </c>
      <c r="Q1754">
        <v>4</v>
      </c>
      <c r="R1754" t="s">
        <v>52</v>
      </c>
      <c r="S1754" t="s">
        <v>21</v>
      </c>
      <c r="T1754" t="s">
        <v>29</v>
      </c>
    </row>
    <row r="1755" spans="1:20" x14ac:dyDescent="0.3">
      <c r="A1755" t="s">
        <v>3624</v>
      </c>
      <c r="B1755" t="s">
        <v>130</v>
      </c>
      <c r="C1755" t="s">
        <v>49</v>
      </c>
      <c r="D1755" t="s">
        <v>104</v>
      </c>
      <c r="E1755" t="s">
        <v>5128</v>
      </c>
      <c r="F1755" t="s">
        <v>5125</v>
      </c>
      <c r="G1755" t="s">
        <v>36</v>
      </c>
      <c r="H1755" t="s">
        <v>5136</v>
      </c>
      <c r="I1755" t="s">
        <v>5137</v>
      </c>
      <c r="J1755">
        <v>50000</v>
      </c>
      <c r="K1755" t="s">
        <v>3625</v>
      </c>
      <c r="L1755" t="s">
        <v>179</v>
      </c>
      <c r="M1755" t="s">
        <v>72</v>
      </c>
      <c r="N1755">
        <v>45384</v>
      </c>
      <c r="O1755">
        <v>3873</v>
      </c>
      <c r="P1755" t="s">
        <v>29</v>
      </c>
      <c r="Q1755">
        <v>0</v>
      </c>
      <c r="R1755" t="s">
        <v>40</v>
      </c>
      <c r="S1755" t="s">
        <v>21</v>
      </c>
      <c r="T1755" t="s">
        <v>29</v>
      </c>
    </row>
    <row r="1756" spans="1:20" x14ac:dyDescent="0.3">
      <c r="A1756" t="s">
        <v>3626</v>
      </c>
      <c r="B1756" t="s">
        <v>12</v>
      </c>
      <c r="C1756" t="s">
        <v>121</v>
      </c>
      <c r="D1756" t="s">
        <v>33</v>
      </c>
      <c r="E1756" t="s">
        <v>126</v>
      </c>
      <c r="F1756" t="s">
        <v>127</v>
      </c>
      <c r="G1756" t="s">
        <v>16</v>
      </c>
      <c r="H1756" t="s">
        <v>5136</v>
      </c>
      <c r="I1756" t="s">
        <v>5137</v>
      </c>
      <c r="J1756">
        <v>76441</v>
      </c>
      <c r="K1756" t="s">
        <v>3627</v>
      </c>
      <c r="L1756" t="s">
        <v>61</v>
      </c>
      <c r="M1756" t="s">
        <v>39</v>
      </c>
      <c r="N1756">
        <v>45717</v>
      </c>
      <c r="O1756">
        <v>811</v>
      </c>
      <c r="P1756" t="s">
        <v>29</v>
      </c>
      <c r="Q1756">
        <v>0</v>
      </c>
      <c r="R1756" t="s">
        <v>40</v>
      </c>
      <c r="S1756" t="s">
        <v>21</v>
      </c>
      <c r="T1756" t="s">
        <v>20</v>
      </c>
    </row>
    <row r="1757" spans="1:20" x14ac:dyDescent="0.3">
      <c r="A1757" t="s">
        <v>3628</v>
      </c>
      <c r="B1757" t="s">
        <v>124</v>
      </c>
      <c r="C1757" t="s">
        <v>109</v>
      </c>
      <c r="D1757" t="s">
        <v>167</v>
      </c>
      <c r="E1757" t="s">
        <v>193</v>
      </c>
      <c r="F1757" t="s">
        <v>194</v>
      </c>
      <c r="G1757" t="s">
        <v>36</v>
      </c>
      <c r="H1757" t="s">
        <v>5138</v>
      </c>
      <c r="I1757" t="s">
        <v>5139</v>
      </c>
      <c r="J1757">
        <v>249451</v>
      </c>
      <c r="K1757" t="s">
        <v>3629</v>
      </c>
      <c r="L1757" t="s">
        <v>113</v>
      </c>
      <c r="M1757" t="s">
        <v>46</v>
      </c>
      <c r="N1757">
        <v>45361</v>
      </c>
      <c r="O1757">
        <v>2881</v>
      </c>
      <c r="P1757" t="s">
        <v>20</v>
      </c>
      <c r="Q1757">
        <v>6</v>
      </c>
      <c r="R1757" t="s">
        <v>5116</v>
      </c>
      <c r="S1757" t="s">
        <v>53</v>
      </c>
      <c r="T1757" t="s">
        <v>20</v>
      </c>
    </row>
    <row r="1758" spans="1:20" x14ac:dyDescent="0.3">
      <c r="A1758" t="s">
        <v>3630</v>
      </c>
      <c r="B1758" t="s">
        <v>130</v>
      </c>
      <c r="C1758" t="s">
        <v>109</v>
      </c>
      <c r="D1758" t="s">
        <v>33</v>
      </c>
      <c r="E1758" t="s">
        <v>193</v>
      </c>
      <c r="F1758" t="s">
        <v>194</v>
      </c>
      <c r="G1758" t="s">
        <v>36</v>
      </c>
      <c r="H1758" t="s">
        <v>5136</v>
      </c>
      <c r="I1758" t="s">
        <v>5137</v>
      </c>
      <c r="J1758">
        <v>68268</v>
      </c>
      <c r="K1758" t="s">
        <v>3631</v>
      </c>
      <c r="L1758" t="s">
        <v>179</v>
      </c>
      <c r="M1758" t="s">
        <v>39</v>
      </c>
      <c r="N1758">
        <v>45732</v>
      </c>
      <c r="O1758">
        <v>2135</v>
      </c>
      <c r="P1758" t="s">
        <v>29</v>
      </c>
      <c r="Q1758">
        <v>0</v>
      </c>
      <c r="R1758" t="s">
        <v>40</v>
      </c>
      <c r="S1758" t="s">
        <v>53</v>
      </c>
      <c r="T1758" t="s">
        <v>20</v>
      </c>
    </row>
    <row r="1759" spans="1:20" x14ac:dyDescent="0.3">
      <c r="A1759" t="s">
        <v>3632</v>
      </c>
      <c r="B1759" t="s">
        <v>23</v>
      </c>
      <c r="C1759" t="s">
        <v>166</v>
      </c>
      <c r="D1759" t="s">
        <v>5156</v>
      </c>
      <c r="E1759" t="s">
        <v>14</v>
      </c>
      <c r="F1759" t="s">
        <v>15</v>
      </c>
      <c r="G1759" t="s">
        <v>16</v>
      </c>
      <c r="H1759" t="s">
        <v>5136</v>
      </c>
      <c r="I1759" t="s">
        <v>5137</v>
      </c>
      <c r="J1759">
        <v>82006</v>
      </c>
      <c r="K1759" t="s">
        <v>3633</v>
      </c>
      <c r="L1759" t="s">
        <v>142</v>
      </c>
      <c r="M1759" t="s">
        <v>39</v>
      </c>
      <c r="N1759">
        <v>45699</v>
      </c>
      <c r="O1759">
        <v>1128</v>
      </c>
      <c r="P1759" t="s">
        <v>20</v>
      </c>
      <c r="Q1759">
        <v>0</v>
      </c>
      <c r="R1759" t="s">
        <v>40</v>
      </c>
      <c r="S1759" t="s">
        <v>21</v>
      </c>
      <c r="T1759" t="s">
        <v>20</v>
      </c>
    </row>
    <row r="1760" spans="1:20" x14ac:dyDescent="0.3">
      <c r="A1760" t="s">
        <v>3634</v>
      </c>
      <c r="B1760" t="s">
        <v>218</v>
      </c>
      <c r="C1760" t="s">
        <v>139</v>
      </c>
      <c r="D1760" t="s">
        <v>25</v>
      </c>
      <c r="E1760" t="s">
        <v>5126</v>
      </c>
      <c r="F1760" t="s">
        <v>5125</v>
      </c>
      <c r="G1760" t="s">
        <v>16</v>
      </c>
      <c r="H1760" t="s">
        <v>5136</v>
      </c>
      <c r="I1760" t="s">
        <v>5137</v>
      </c>
      <c r="J1760">
        <v>90314</v>
      </c>
      <c r="K1760" t="s">
        <v>3635</v>
      </c>
      <c r="L1760" t="s">
        <v>5165</v>
      </c>
      <c r="M1760" t="s">
        <v>46</v>
      </c>
      <c r="N1760">
        <v>45640</v>
      </c>
      <c r="O1760">
        <v>2443</v>
      </c>
      <c r="P1760" t="s">
        <v>20</v>
      </c>
      <c r="Q1760">
        <v>0</v>
      </c>
      <c r="R1760" t="s">
        <v>76</v>
      </c>
      <c r="S1760" t="s">
        <v>21</v>
      </c>
      <c r="T1760" t="s">
        <v>20</v>
      </c>
    </row>
    <row r="1761" spans="1:20" x14ac:dyDescent="0.3">
      <c r="A1761" t="s">
        <v>3636</v>
      </c>
      <c r="B1761" t="s">
        <v>218</v>
      </c>
      <c r="C1761" t="s">
        <v>172</v>
      </c>
      <c r="D1761" t="s">
        <v>104</v>
      </c>
      <c r="E1761" t="s">
        <v>152</v>
      </c>
      <c r="F1761" t="s">
        <v>153</v>
      </c>
      <c r="G1761" t="s">
        <v>16</v>
      </c>
      <c r="H1761" t="s">
        <v>5136</v>
      </c>
      <c r="I1761" t="s">
        <v>5137</v>
      </c>
      <c r="J1761">
        <v>86567</v>
      </c>
      <c r="K1761" t="s">
        <v>3637</v>
      </c>
      <c r="L1761" t="s">
        <v>5165</v>
      </c>
      <c r="M1761" t="s">
        <v>46</v>
      </c>
      <c r="N1761">
        <v>45603</v>
      </c>
      <c r="O1761">
        <v>3727</v>
      </c>
      <c r="P1761" t="s">
        <v>20</v>
      </c>
      <c r="Q1761">
        <v>0</v>
      </c>
      <c r="R1761" t="s">
        <v>40</v>
      </c>
      <c r="S1761" t="s">
        <v>53</v>
      </c>
      <c r="T1761" t="s">
        <v>20</v>
      </c>
    </row>
    <row r="1762" spans="1:20" x14ac:dyDescent="0.3">
      <c r="A1762" t="s">
        <v>3638</v>
      </c>
      <c r="B1762" t="s">
        <v>23</v>
      </c>
      <c r="C1762" t="s">
        <v>185</v>
      </c>
      <c r="D1762" t="s">
        <v>118</v>
      </c>
      <c r="E1762" t="s">
        <v>34</v>
      </c>
      <c r="F1762" t="s">
        <v>35</v>
      </c>
      <c r="G1762" t="s">
        <v>16</v>
      </c>
      <c r="H1762" t="s">
        <v>5142</v>
      </c>
      <c r="I1762" t="s">
        <v>5143</v>
      </c>
      <c r="J1762">
        <v>194279</v>
      </c>
      <c r="K1762" t="s">
        <v>3639</v>
      </c>
      <c r="L1762" t="s">
        <v>113</v>
      </c>
      <c r="M1762" t="s">
        <v>46</v>
      </c>
      <c r="N1762">
        <v>45491</v>
      </c>
      <c r="O1762">
        <v>515</v>
      </c>
      <c r="P1762" t="s">
        <v>20</v>
      </c>
      <c r="Q1762">
        <v>4</v>
      </c>
      <c r="R1762" t="s">
        <v>40</v>
      </c>
      <c r="S1762" t="s">
        <v>21</v>
      </c>
      <c r="T1762" t="s">
        <v>29</v>
      </c>
    </row>
    <row r="1763" spans="1:20" x14ac:dyDescent="0.3">
      <c r="A1763" t="s">
        <v>3640</v>
      </c>
      <c r="B1763" t="s">
        <v>124</v>
      </c>
      <c r="C1763" t="s">
        <v>49</v>
      </c>
      <c r="D1763" t="s">
        <v>118</v>
      </c>
      <c r="E1763" t="s">
        <v>193</v>
      </c>
      <c r="F1763" t="s">
        <v>194</v>
      </c>
      <c r="G1763" t="s">
        <v>50</v>
      </c>
      <c r="H1763" t="s">
        <v>5142</v>
      </c>
      <c r="I1763" t="s">
        <v>5143</v>
      </c>
      <c r="J1763">
        <v>170037</v>
      </c>
      <c r="K1763" t="s">
        <v>3641</v>
      </c>
      <c r="L1763" t="s">
        <v>134</v>
      </c>
      <c r="M1763" t="s">
        <v>39</v>
      </c>
      <c r="N1763">
        <v>45360</v>
      </c>
      <c r="O1763">
        <v>1793</v>
      </c>
      <c r="P1763" t="s">
        <v>29</v>
      </c>
      <c r="Q1763">
        <v>4</v>
      </c>
      <c r="R1763" t="s">
        <v>47</v>
      </c>
      <c r="S1763" t="s">
        <v>21</v>
      </c>
      <c r="T1763" t="s">
        <v>20</v>
      </c>
    </row>
    <row r="1764" spans="1:20" x14ac:dyDescent="0.3">
      <c r="A1764" t="s">
        <v>3642</v>
      </c>
      <c r="B1764" t="s">
        <v>31</v>
      </c>
      <c r="C1764" t="s">
        <v>100</v>
      </c>
      <c r="D1764" t="s">
        <v>57</v>
      </c>
      <c r="E1764" t="s">
        <v>126</v>
      </c>
      <c r="F1764" t="s">
        <v>127</v>
      </c>
      <c r="G1764" t="s">
        <v>36</v>
      </c>
      <c r="H1764" t="s">
        <v>5138</v>
      </c>
      <c r="I1764" t="s">
        <v>5139</v>
      </c>
      <c r="J1764">
        <v>202715</v>
      </c>
      <c r="K1764" t="s">
        <v>3643</v>
      </c>
      <c r="L1764" t="s">
        <v>82</v>
      </c>
      <c r="M1764" t="s">
        <v>39</v>
      </c>
      <c r="N1764">
        <v>45615</v>
      </c>
      <c r="O1764">
        <v>193</v>
      </c>
      <c r="P1764" t="s">
        <v>29</v>
      </c>
      <c r="Q1764">
        <v>6</v>
      </c>
      <c r="R1764" t="s">
        <v>40</v>
      </c>
      <c r="S1764" t="s">
        <v>53</v>
      </c>
      <c r="T1764" t="s">
        <v>20</v>
      </c>
    </row>
    <row r="1765" spans="1:20" x14ac:dyDescent="0.3">
      <c r="A1765" t="s">
        <v>3644</v>
      </c>
      <c r="B1765" t="s">
        <v>55</v>
      </c>
      <c r="C1765" t="s">
        <v>109</v>
      </c>
      <c r="D1765" t="s">
        <v>5156</v>
      </c>
      <c r="E1765" t="s">
        <v>5128</v>
      </c>
      <c r="F1765" t="s">
        <v>5125</v>
      </c>
      <c r="G1765" t="s">
        <v>36</v>
      </c>
      <c r="H1765" t="s">
        <v>5140</v>
      </c>
      <c r="I1765" t="s">
        <v>5141</v>
      </c>
      <c r="J1765">
        <v>78281</v>
      </c>
      <c r="K1765" t="s">
        <v>3645</v>
      </c>
      <c r="L1765" t="s">
        <v>134</v>
      </c>
      <c r="M1765" t="s">
        <v>19</v>
      </c>
      <c r="N1765">
        <v>45367</v>
      </c>
      <c r="O1765">
        <v>3062</v>
      </c>
      <c r="P1765" t="s">
        <v>20</v>
      </c>
      <c r="Q1765">
        <v>2</v>
      </c>
      <c r="R1765" t="s">
        <v>76</v>
      </c>
      <c r="S1765" t="s">
        <v>21</v>
      </c>
      <c r="T1765" t="s">
        <v>29</v>
      </c>
    </row>
    <row r="1766" spans="1:20" x14ac:dyDescent="0.3">
      <c r="A1766" t="s">
        <v>3646</v>
      </c>
      <c r="B1766" t="s">
        <v>63</v>
      </c>
      <c r="C1766" t="s">
        <v>232</v>
      </c>
      <c r="D1766" t="s">
        <v>33</v>
      </c>
      <c r="E1766" t="s">
        <v>95</v>
      </c>
      <c r="F1766" t="s">
        <v>96</v>
      </c>
      <c r="G1766" t="s">
        <v>16</v>
      </c>
      <c r="H1766" t="s">
        <v>5138</v>
      </c>
      <c r="I1766" t="s">
        <v>5139</v>
      </c>
      <c r="J1766">
        <v>191141</v>
      </c>
      <c r="K1766" t="s">
        <v>3647</v>
      </c>
      <c r="L1766" t="s">
        <v>38</v>
      </c>
      <c r="M1766" t="s">
        <v>46</v>
      </c>
      <c r="N1766">
        <v>45726</v>
      </c>
      <c r="O1766">
        <v>781</v>
      </c>
      <c r="P1766" t="s">
        <v>20</v>
      </c>
      <c r="Q1766">
        <v>6</v>
      </c>
      <c r="R1766" t="s">
        <v>76</v>
      </c>
      <c r="S1766" t="s">
        <v>21</v>
      </c>
      <c r="T1766" t="s">
        <v>20</v>
      </c>
    </row>
    <row r="1767" spans="1:20" x14ac:dyDescent="0.3">
      <c r="A1767" t="s">
        <v>3648</v>
      </c>
      <c r="B1767" t="s">
        <v>144</v>
      </c>
      <c r="C1767" t="s">
        <v>117</v>
      </c>
      <c r="D1767" t="s">
        <v>104</v>
      </c>
      <c r="E1767" t="s">
        <v>209</v>
      </c>
      <c r="F1767" t="s">
        <v>210</v>
      </c>
      <c r="G1767" t="s">
        <v>50</v>
      </c>
      <c r="H1767" t="s">
        <v>5142</v>
      </c>
      <c r="I1767" t="s">
        <v>5143</v>
      </c>
      <c r="J1767">
        <v>127232</v>
      </c>
      <c r="K1767" t="s">
        <v>3649</v>
      </c>
      <c r="L1767" t="s">
        <v>142</v>
      </c>
      <c r="M1767" t="s">
        <v>19</v>
      </c>
      <c r="N1767">
        <v>45611</v>
      </c>
      <c r="O1767">
        <v>3783</v>
      </c>
      <c r="P1767" t="s">
        <v>92</v>
      </c>
      <c r="Q1767">
        <v>4</v>
      </c>
      <c r="R1767" t="s">
        <v>40</v>
      </c>
      <c r="S1767" t="s">
        <v>53</v>
      </c>
      <c r="T1767" t="s">
        <v>20</v>
      </c>
    </row>
    <row r="1768" spans="1:20" x14ac:dyDescent="0.3">
      <c r="A1768" t="s">
        <v>3650</v>
      </c>
      <c r="B1768" t="s">
        <v>84</v>
      </c>
      <c r="C1768" t="s">
        <v>67</v>
      </c>
      <c r="D1768" t="s">
        <v>57</v>
      </c>
      <c r="E1768" t="s">
        <v>14</v>
      </c>
      <c r="F1768" t="s">
        <v>15</v>
      </c>
      <c r="G1768" t="s">
        <v>50</v>
      </c>
      <c r="H1768" t="s">
        <v>5136</v>
      </c>
      <c r="I1768" t="s">
        <v>5137</v>
      </c>
      <c r="J1768">
        <v>97353</v>
      </c>
      <c r="K1768" t="s">
        <v>3651</v>
      </c>
      <c r="L1768" t="s">
        <v>5165</v>
      </c>
      <c r="M1768" t="s">
        <v>46</v>
      </c>
      <c r="N1768">
        <v>45620</v>
      </c>
      <c r="O1768">
        <v>2855</v>
      </c>
      <c r="P1768" t="s">
        <v>92</v>
      </c>
      <c r="Q1768">
        <v>0</v>
      </c>
      <c r="R1768" t="s">
        <v>47</v>
      </c>
      <c r="S1768" t="s">
        <v>21</v>
      </c>
      <c r="T1768" t="s">
        <v>20</v>
      </c>
    </row>
    <row r="1769" spans="1:20" x14ac:dyDescent="0.3">
      <c r="A1769" t="s">
        <v>3652</v>
      </c>
      <c r="B1769" t="s">
        <v>89</v>
      </c>
      <c r="C1769" t="s">
        <v>197</v>
      </c>
      <c r="D1769" t="s">
        <v>57</v>
      </c>
      <c r="E1769" t="s">
        <v>223</v>
      </c>
      <c r="F1769" t="s">
        <v>224</v>
      </c>
      <c r="G1769" t="s">
        <v>16</v>
      </c>
      <c r="H1769" t="s">
        <v>5140</v>
      </c>
      <c r="I1769" t="s">
        <v>5141</v>
      </c>
      <c r="J1769">
        <v>106517</v>
      </c>
      <c r="K1769" t="s">
        <v>3653</v>
      </c>
      <c r="L1769" t="s">
        <v>142</v>
      </c>
      <c r="M1769" t="s">
        <v>46</v>
      </c>
      <c r="N1769">
        <v>45368</v>
      </c>
      <c r="O1769">
        <v>340</v>
      </c>
      <c r="P1769" t="s">
        <v>20</v>
      </c>
      <c r="Q1769">
        <v>2</v>
      </c>
      <c r="R1769" t="s">
        <v>5116</v>
      </c>
      <c r="S1769" t="s">
        <v>41</v>
      </c>
      <c r="T1769" t="s">
        <v>20</v>
      </c>
    </row>
    <row r="1770" spans="1:20" x14ac:dyDescent="0.3">
      <c r="A1770" t="s">
        <v>3654</v>
      </c>
      <c r="B1770" t="s">
        <v>136</v>
      </c>
      <c r="C1770" t="s">
        <v>43</v>
      </c>
      <c r="D1770" t="s">
        <v>167</v>
      </c>
      <c r="E1770" t="s">
        <v>58</v>
      </c>
      <c r="F1770" t="s">
        <v>59</v>
      </c>
      <c r="G1770" t="s">
        <v>50</v>
      </c>
      <c r="H1770" t="s">
        <v>5138</v>
      </c>
      <c r="I1770" t="s">
        <v>5139</v>
      </c>
      <c r="J1770">
        <v>204435</v>
      </c>
      <c r="K1770" t="s">
        <v>3655</v>
      </c>
      <c r="L1770" t="s">
        <v>5165</v>
      </c>
      <c r="M1770" t="s">
        <v>46</v>
      </c>
      <c r="N1770">
        <v>45375</v>
      </c>
      <c r="O1770">
        <v>1859</v>
      </c>
      <c r="P1770" t="s">
        <v>92</v>
      </c>
      <c r="Q1770">
        <v>6</v>
      </c>
      <c r="R1770" t="s">
        <v>40</v>
      </c>
      <c r="S1770" t="s">
        <v>53</v>
      </c>
      <c r="T1770" t="s">
        <v>29</v>
      </c>
    </row>
    <row r="1771" spans="1:20" x14ac:dyDescent="0.3">
      <c r="A1771" t="s">
        <v>3656</v>
      </c>
      <c r="B1771" t="s">
        <v>74</v>
      </c>
      <c r="C1771" t="s">
        <v>197</v>
      </c>
      <c r="D1771" t="s">
        <v>167</v>
      </c>
      <c r="E1771" t="s">
        <v>80</v>
      </c>
      <c r="F1771" t="s">
        <v>80</v>
      </c>
      <c r="G1771" t="s">
        <v>36</v>
      </c>
      <c r="H1771" t="s">
        <v>5140</v>
      </c>
      <c r="I1771" t="s">
        <v>5141</v>
      </c>
      <c r="J1771">
        <v>120919</v>
      </c>
      <c r="K1771" t="s">
        <v>3657</v>
      </c>
      <c r="L1771" t="s">
        <v>38</v>
      </c>
      <c r="M1771" t="s">
        <v>19</v>
      </c>
      <c r="N1771">
        <v>45544</v>
      </c>
      <c r="O1771">
        <v>3983</v>
      </c>
      <c r="P1771" t="s">
        <v>20</v>
      </c>
      <c r="Q1771">
        <v>2</v>
      </c>
      <c r="R1771" t="s">
        <v>76</v>
      </c>
      <c r="S1771" t="s">
        <v>53</v>
      </c>
      <c r="T1771" t="s">
        <v>20</v>
      </c>
    </row>
    <row r="1772" spans="1:20" x14ac:dyDescent="0.3">
      <c r="A1772" t="s">
        <v>3658</v>
      </c>
      <c r="B1772" t="s">
        <v>229</v>
      </c>
      <c r="C1772" t="s">
        <v>160</v>
      </c>
      <c r="D1772" t="s">
        <v>5156</v>
      </c>
      <c r="E1772" t="s">
        <v>26</v>
      </c>
      <c r="F1772" t="s">
        <v>27</v>
      </c>
      <c r="G1772" t="s">
        <v>16</v>
      </c>
      <c r="H1772" t="s">
        <v>5136</v>
      </c>
      <c r="I1772" t="s">
        <v>5137</v>
      </c>
      <c r="J1772">
        <v>70549</v>
      </c>
      <c r="K1772" t="s">
        <v>3659</v>
      </c>
      <c r="L1772" t="s">
        <v>82</v>
      </c>
      <c r="M1772" t="s">
        <v>72</v>
      </c>
      <c r="N1772">
        <v>45479</v>
      </c>
      <c r="O1772">
        <v>1634</v>
      </c>
      <c r="P1772" t="s">
        <v>20</v>
      </c>
      <c r="Q1772">
        <v>0</v>
      </c>
      <c r="R1772" t="s">
        <v>52</v>
      </c>
      <c r="S1772" t="s">
        <v>53</v>
      </c>
      <c r="T1772" t="s">
        <v>20</v>
      </c>
    </row>
    <row r="1773" spans="1:20" x14ac:dyDescent="0.3">
      <c r="A1773" t="s">
        <v>3660</v>
      </c>
      <c r="B1773" t="s">
        <v>23</v>
      </c>
      <c r="C1773" t="s">
        <v>125</v>
      </c>
      <c r="D1773" t="s">
        <v>57</v>
      </c>
      <c r="E1773" t="s">
        <v>126</v>
      </c>
      <c r="F1773" t="s">
        <v>127</v>
      </c>
      <c r="G1773" t="s">
        <v>36</v>
      </c>
      <c r="H1773" t="s">
        <v>5140</v>
      </c>
      <c r="I1773" t="s">
        <v>5141</v>
      </c>
      <c r="J1773">
        <v>143562</v>
      </c>
      <c r="K1773" t="s">
        <v>3661</v>
      </c>
      <c r="L1773" t="s">
        <v>61</v>
      </c>
      <c r="M1773" t="s">
        <v>46</v>
      </c>
      <c r="N1773">
        <v>45545</v>
      </c>
      <c r="O1773">
        <v>2811</v>
      </c>
      <c r="P1773" t="s">
        <v>20</v>
      </c>
      <c r="Q1773">
        <v>2</v>
      </c>
      <c r="R1773" t="s">
        <v>47</v>
      </c>
      <c r="S1773" t="s">
        <v>53</v>
      </c>
      <c r="T1773" t="s">
        <v>29</v>
      </c>
    </row>
    <row r="1774" spans="1:20" x14ac:dyDescent="0.3">
      <c r="A1774" t="s">
        <v>3662</v>
      </c>
      <c r="B1774" t="s">
        <v>218</v>
      </c>
      <c r="C1774" t="s">
        <v>185</v>
      </c>
      <c r="D1774" t="s">
        <v>25</v>
      </c>
      <c r="E1774" t="s">
        <v>5129</v>
      </c>
      <c r="F1774" t="s">
        <v>5130</v>
      </c>
      <c r="G1774" t="s">
        <v>16</v>
      </c>
      <c r="H1774" t="s">
        <v>5140</v>
      </c>
      <c r="I1774" t="s">
        <v>5141</v>
      </c>
      <c r="J1774">
        <v>97671</v>
      </c>
      <c r="K1774" t="s">
        <v>3663</v>
      </c>
      <c r="L1774" t="s">
        <v>5165</v>
      </c>
      <c r="M1774" t="s">
        <v>39</v>
      </c>
      <c r="N1774">
        <v>45676</v>
      </c>
      <c r="O1774">
        <v>1062</v>
      </c>
      <c r="P1774" t="s">
        <v>20</v>
      </c>
      <c r="Q1774">
        <v>2</v>
      </c>
      <c r="R1774" t="s">
        <v>40</v>
      </c>
      <c r="S1774" t="s">
        <v>21</v>
      </c>
      <c r="T1774" t="s">
        <v>20</v>
      </c>
    </row>
    <row r="1775" spans="1:20" x14ac:dyDescent="0.3">
      <c r="A1775" t="s">
        <v>3664</v>
      </c>
      <c r="B1775" t="s">
        <v>12</v>
      </c>
      <c r="C1775" t="s">
        <v>219</v>
      </c>
      <c r="D1775" t="s">
        <v>57</v>
      </c>
      <c r="E1775" t="s">
        <v>5126</v>
      </c>
      <c r="F1775" t="s">
        <v>5125</v>
      </c>
      <c r="G1775" t="s">
        <v>16</v>
      </c>
      <c r="H1775" t="s">
        <v>5136</v>
      </c>
      <c r="I1775" t="s">
        <v>5137</v>
      </c>
      <c r="J1775">
        <v>72452</v>
      </c>
      <c r="K1775" t="s">
        <v>3665</v>
      </c>
      <c r="L1775" t="s">
        <v>113</v>
      </c>
      <c r="M1775" t="s">
        <v>46</v>
      </c>
      <c r="N1775">
        <v>45438</v>
      </c>
      <c r="O1775">
        <v>884</v>
      </c>
      <c r="P1775" t="s">
        <v>29</v>
      </c>
      <c r="Q1775">
        <v>0</v>
      </c>
      <c r="R1775" t="s">
        <v>76</v>
      </c>
      <c r="S1775" t="s">
        <v>53</v>
      </c>
      <c r="T1775" t="s">
        <v>29</v>
      </c>
    </row>
    <row r="1776" spans="1:20" x14ac:dyDescent="0.3">
      <c r="A1776" t="s">
        <v>3666</v>
      </c>
      <c r="B1776" t="s">
        <v>12</v>
      </c>
      <c r="C1776" t="s">
        <v>139</v>
      </c>
      <c r="D1776" t="s">
        <v>5156</v>
      </c>
      <c r="E1776" t="s">
        <v>26</v>
      </c>
      <c r="F1776" t="s">
        <v>27</v>
      </c>
      <c r="G1776" t="s">
        <v>16</v>
      </c>
      <c r="H1776" t="s">
        <v>5142</v>
      </c>
      <c r="I1776" t="s">
        <v>5143</v>
      </c>
      <c r="J1776">
        <v>129953</v>
      </c>
      <c r="K1776" t="s">
        <v>3667</v>
      </c>
      <c r="L1776" t="s">
        <v>18</v>
      </c>
      <c r="M1776" t="s">
        <v>19</v>
      </c>
      <c r="N1776">
        <v>45416</v>
      </c>
      <c r="O1776">
        <v>3066</v>
      </c>
      <c r="P1776" t="s">
        <v>29</v>
      </c>
      <c r="Q1776">
        <v>4</v>
      </c>
      <c r="R1776" t="s">
        <v>40</v>
      </c>
      <c r="S1776" t="s">
        <v>21</v>
      </c>
      <c r="T1776" t="s">
        <v>29</v>
      </c>
    </row>
    <row r="1777" spans="1:20" x14ac:dyDescent="0.3">
      <c r="A1777" t="s">
        <v>3668</v>
      </c>
      <c r="B1777" t="s">
        <v>78</v>
      </c>
      <c r="C1777" t="s">
        <v>56</v>
      </c>
      <c r="D1777" t="s">
        <v>68</v>
      </c>
      <c r="E1777" t="s">
        <v>5133</v>
      </c>
      <c r="F1777" t="s">
        <v>5125</v>
      </c>
      <c r="G1777" t="s">
        <v>36</v>
      </c>
      <c r="H1777" t="s">
        <v>5138</v>
      </c>
      <c r="I1777" t="s">
        <v>5139</v>
      </c>
      <c r="J1777">
        <v>152479</v>
      </c>
      <c r="K1777" t="s">
        <v>3669</v>
      </c>
      <c r="L1777" t="s">
        <v>87</v>
      </c>
      <c r="M1777" t="s">
        <v>19</v>
      </c>
      <c r="N1777">
        <v>45569</v>
      </c>
      <c r="O1777">
        <v>2106</v>
      </c>
      <c r="P1777" t="s">
        <v>20</v>
      </c>
      <c r="Q1777">
        <v>6</v>
      </c>
      <c r="R1777" t="s">
        <v>47</v>
      </c>
      <c r="S1777" t="s">
        <v>21</v>
      </c>
      <c r="T1777" t="s">
        <v>20</v>
      </c>
    </row>
    <row r="1778" spans="1:20" x14ac:dyDescent="0.3">
      <c r="A1778" t="s">
        <v>3670</v>
      </c>
      <c r="B1778" t="s">
        <v>55</v>
      </c>
      <c r="C1778" t="s">
        <v>232</v>
      </c>
      <c r="D1778" t="s">
        <v>33</v>
      </c>
      <c r="E1778" t="s">
        <v>209</v>
      </c>
      <c r="F1778" t="s">
        <v>210</v>
      </c>
      <c r="G1778" t="s">
        <v>16</v>
      </c>
      <c r="H1778" t="s">
        <v>5138</v>
      </c>
      <c r="I1778" t="s">
        <v>5139</v>
      </c>
      <c r="J1778">
        <v>177976</v>
      </c>
      <c r="K1778" t="s">
        <v>3671</v>
      </c>
      <c r="L1778" t="s">
        <v>5165</v>
      </c>
      <c r="M1778" t="s">
        <v>19</v>
      </c>
      <c r="N1778">
        <v>45525</v>
      </c>
      <c r="O1778">
        <v>695</v>
      </c>
      <c r="P1778" t="s">
        <v>29</v>
      </c>
      <c r="Q1778">
        <v>6</v>
      </c>
      <c r="R1778" t="s">
        <v>76</v>
      </c>
      <c r="S1778" t="s">
        <v>21</v>
      </c>
      <c r="T1778" t="s">
        <v>20</v>
      </c>
    </row>
    <row r="1779" spans="1:20" x14ac:dyDescent="0.3">
      <c r="A1779" t="s">
        <v>3672</v>
      </c>
      <c r="B1779" t="s">
        <v>165</v>
      </c>
      <c r="C1779" t="s">
        <v>79</v>
      </c>
      <c r="D1779" t="s">
        <v>68</v>
      </c>
      <c r="E1779" t="s">
        <v>223</v>
      </c>
      <c r="F1779" t="s">
        <v>224</v>
      </c>
      <c r="G1779" t="s">
        <v>36</v>
      </c>
      <c r="H1779" t="s">
        <v>5136</v>
      </c>
      <c r="I1779" t="s">
        <v>5137</v>
      </c>
      <c r="J1779">
        <v>69533</v>
      </c>
      <c r="K1779" t="s">
        <v>3673</v>
      </c>
      <c r="L1779" t="s">
        <v>5165</v>
      </c>
      <c r="M1779" t="s">
        <v>19</v>
      </c>
      <c r="N1779">
        <v>45643</v>
      </c>
      <c r="O1779">
        <v>2285</v>
      </c>
      <c r="P1779" t="s">
        <v>20</v>
      </c>
      <c r="Q1779">
        <v>0</v>
      </c>
      <c r="R1779" t="s">
        <v>52</v>
      </c>
      <c r="S1779" t="s">
        <v>21</v>
      </c>
      <c r="T1779" t="s">
        <v>20</v>
      </c>
    </row>
    <row r="1780" spans="1:20" x14ac:dyDescent="0.3">
      <c r="A1780" t="s">
        <v>3674</v>
      </c>
      <c r="B1780" t="s">
        <v>31</v>
      </c>
      <c r="C1780" t="s">
        <v>49</v>
      </c>
      <c r="D1780" t="s">
        <v>118</v>
      </c>
      <c r="E1780" t="s">
        <v>34</v>
      </c>
      <c r="F1780" t="s">
        <v>35</v>
      </c>
      <c r="G1780" t="s">
        <v>16</v>
      </c>
      <c r="H1780" t="s">
        <v>5136</v>
      </c>
      <c r="I1780" t="s">
        <v>5137</v>
      </c>
      <c r="J1780">
        <v>64590</v>
      </c>
      <c r="K1780" t="s">
        <v>3675</v>
      </c>
      <c r="L1780" t="s">
        <v>82</v>
      </c>
      <c r="M1780" t="s">
        <v>19</v>
      </c>
      <c r="N1780">
        <v>45498</v>
      </c>
      <c r="O1780">
        <v>502</v>
      </c>
      <c r="P1780" t="s">
        <v>92</v>
      </c>
      <c r="Q1780">
        <v>0</v>
      </c>
      <c r="R1780" t="s">
        <v>47</v>
      </c>
      <c r="S1780" t="s">
        <v>53</v>
      </c>
      <c r="T1780" t="s">
        <v>20</v>
      </c>
    </row>
    <row r="1781" spans="1:20" x14ac:dyDescent="0.3">
      <c r="A1781" t="s">
        <v>3676</v>
      </c>
      <c r="B1781" t="s">
        <v>55</v>
      </c>
      <c r="C1781" t="s">
        <v>202</v>
      </c>
      <c r="D1781" t="s">
        <v>140</v>
      </c>
      <c r="E1781" t="s">
        <v>193</v>
      </c>
      <c r="F1781" t="s">
        <v>194</v>
      </c>
      <c r="G1781" t="s">
        <v>50</v>
      </c>
      <c r="H1781" t="s">
        <v>5136</v>
      </c>
      <c r="I1781" t="s">
        <v>5137</v>
      </c>
      <c r="J1781">
        <v>61275</v>
      </c>
      <c r="K1781" t="s">
        <v>3677</v>
      </c>
      <c r="L1781" t="s">
        <v>5165</v>
      </c>
      <c r="M1781" t="s">
        <v>19</v>
      </c>
      <c r="N1781">
        <v>45400</v>
      </c>
      <c r="O1781">
        <v>2462</v>
      </c>
      <c r="P1781" t="s">
        <v>29</v>
      </c>
      <c r="Q1781">
        <v>0</v>
      </c>
      <c r="R1781" t="s">
        <v>5116</v>
      </c>
      <c r="S1781" t="s">
        <v>53</v>
      </c>
      <c r="T1781" t="s">
        <v>20</v>
      </c>
    </row>
    <row r="1782" spans="1:20" x14ac:dyDescent="0.3">
      <c r="A1782" t="s">
        <v>3678</v>
      </c>
      <c r="B1782" t="s">
        <v>218</v>
      </c>
      <c r="C1782" t="s">
        <v>125</v>
      </c>
      <c r="D1782" t="s">
        <v>25</v>
      </c>
      <c r="E1782" t="s">
        <v>193</v>
      </c>
      <c r="F1782" t="s">
        <v>194</v>
      </c>
      <c r="G1782" t="s">
        <v>16</v>
      </c>
      <c r="H1782" t="s">
        <v>5138</v>
      </c>
      <c r="I1782" t="s">
        <v>5139</v>
      </c>
      <c r="J1782">
        <v>149372</v>
      </c>
      <c r="K1782" t="s">
        <v>3679</v>
      </c>
      <c r="L1782" t="s">
        <v>5165</v>
      </c>
      <c r="M1782" t="s">
        <v>46</v>
      </c>
      <c r="N1782">
        <v>45681</v>
      </c>
      <c r="O1782">
        <v>397</v>
      </c>
      <c r="P1782" t="s">
        <v>29</v>
      </c>
      <c r="Q1782">
        <v>6</v>
      </c>
      <c r="R1782" t="s">
        <v>40</v>
      </c>
      <c r="S1782" t="s">
        <v>21</v>
      </c>
      <c r="T1782" t="s">
        <v>29</v>
      </c>
    </row>
    <row r="1783" spans="1:20" x14ac:dyDescent="0.3">
      <c r="A1783" t="s">
        <v>3680</v>
      </c>
      <c r="B1783" t="s">
        <v>229</v>
      </c>
      <c r="C1783" t="s">
        <v>219</v>
      </c>
      <c r="D1783" t="s">
        <v>44</v>
      </c>
      <c r="E1783" t="s">
        <v>193</v>
      </c>
      <c r="F1783" t="s">
        <v>194</v>
      </c>
      <c r="G1783" t="s">
        <v>50</v>
      </c>
      <c r="H1783" t="s">
        <v>5142</v>
      </c>
      <c r="I1783" t="s">
        <v>5143</v>
      </c>
      <c r="J1783">
        <v>147756</v>
      </c>
      <c r="K1783" t="s">
        <v>3681</v>
      </c>
      <c r="L1783" t="s">
        <v>134</v>
      </c>
      <c r="M1783" t="s">
        <v>19</v>
      </c>
      <c r="N1783">
        <v>45579</v>
      </c>
      <c r="O1783">
        <v>752</v>
      </c>
      <c r="P1783" t="s">
        <v>29</v>
      </c>
      <c r="Q1783">
        <v>4</v>
      </c>
      <c r="R1783" t="s">
        <v>52</v>
      </c>
      <c r="S1783" t="s">
        <v>53</v>
      </c>
      <c r="T1783" t="s">
        <v>20</v>
      </c>
    </row>
    <row r="1784" spans="1:20" x14ac:dyDescent="0.3">
      <c r="A1784" t="s">
        <v>3682</v>
      </c>
      <c r="B1784" t="s">
        <v>63</v>
      </c>
      <c r="C1784" t="s">
        <v>94</v>
      </c>
      <c r="D1784" t="s">
        <v>44</v>
      </c>
      <c r="E1784" t="s">
        <v>5132</v>
      </c>
      <c r="F1784" t="s">
        <v>5125</v>
      </c>
      <c r="G1784" t="s">
        <v>16</v>
      </c>
      <c r="H1784" t="s">
        <v>5138</v>
      </c>
      <c r="I1784" t="s">
        <v>5139</v>
      </c>
      <c r="J1784">
        <v>145830</v>
      </c>
      <c r="K1784" t="s">
        <v>3683</v>
      </c>
      <c r="L1784" t="s">
        <v>5165</v>
      </c>
      <c r="M1784" t="s">
        <v>46</v>
      </c>
      <c r="N1784">
        <v>45655</v>
      </c>
      <c r="O1784">
        <v>2383</v>
      </c>
      <c r="P1784" t="s">
        <v>20</v>
      </c>
      <c r="Q1784">
        <v>6</v>
      </c>
      <c r="R1784" t="s">
        <v>40</v>
      </c>
      <c r="S1784" t="s">
        <v>53</v>
      </c>
      <c r="T1784" t="s">
        <v>20</v>
      </c>
    </row>
    <row r="1785" spans="1:20" x14ac:dyDescent="0.3">
      <c r="A1785" t="s">
        <v>3684</v>
      </c>
      <c r="B1785" t="s">
        <v>218</v>
      </c>
      <c r="C1785" t="s">
        <v>24</v>
      </c>
      <c r="D1785" t="s">
        <v>104</v>
      </c>
      <c r="E1785" t="s">
        <v>95</v>
      </c>
      <c r="F1785" t="s">
        <v>96</v>
      </c>
      <c r="G1785" t="s">
        <v>16</v>
      </c>
      <c r="H1785" t="s">
        <v>5142</v>
      </c>
      <c r="I1785" t="s">
        <v>5143</v>
      </c>
      <c r="J1785">
        <v>170521</v>
      </c>
      <c r="K1785" t="s">
        <v>3685</v>
      </c>
      <c r="L1785" t="s">
        <v>134</v>
      </c>
      <c r="M1785" t="s">
        <v>46</v>
      </c>
      <c r="N1785">
        <v>45418</v>
      </c>
      <c r="O1785">
        <v>1647</v>
      </c>
      <c r="P1785" t="s">
        <v>20</v>
      </c>
      <c r="Q1785">
        <v>4</v>
      </c>
      <c r="R1785" t="s">
        <v>76</v>
      </c>
      <c r="S1785" t="s">
        <v>21</v>
      </c>
      <c r="T1785" t="s">
        <v>20</v>
      </c>
    </row>
    <row r="1786" spans="1:20" x14ac:dyDescent="0.3">
      <c r="A1786" t="s">
        <v>3686</v>
      </c>
      <c r="B1786" t="s">
        <v>136</v>
      </c>
      <c r="C1786" t="s">
        <v>166</v>
      </c>
      <c r="D1786" t="s">
        <v>104</v>
      </c>
      <c r="E1786" t="s">
        <v>5133</v>
      </c>
      <c r="F1786" t="s">
        <v>5125</v>
      </c>
      <c r="G1786" t="s">
        <v>36</v>
      </c>
      <c r="H1786" t="s">
        <v>5140</v>
      </c>
      <c r="I1786" t="s">
        <v>5141</v>
      </c>
      <c r="J1786">
        <v>111632</v>
      </c>
      <c r="K1786" t="s">
        <v>3687</v>
      </c>
      <c r="L1786" t="s">
        <v>82</v>
      </c>
      <c r="M1786" t="s">
        <v>19</v>
      </c>
      <c r="N1786">
        <v>45509</v>
      </c>
      <c r="O1786">
        <v>911</v>
      </c>
      <c r="P1786" t="s">
        <v>20</v>
      </c>
      <c r="Q1786">
        <v>2</v>
      </c>
      <c r="R1786" t="s">
        <v>76</v>
      </c>
      <c r="S1786" t="s">
        <v>21</v>
      </c>
      <c r="T1786" t="s">
        <v>20</v>
      </c>
    </row>
    <row r="1787" spans="1:20" x14ac:dyDescent="0.3">
      <c r="A1787" t="s">
        <v>3688</v>
      </c>
      <c r="B1787" t="s">
        <v>23</v>
      </c>
      <c r="C1787" t="s">
        <v>121</v>
      </c>
      <c r="D1787" t="s">
        <v>140</v>
      </c>
      <c r="E1787" t="s">
        <v>95</v>
      </c>
      <c r="F1787" t="s">
        <v>96</v>
      </c>
      <c r="G1787" t="s">
        <v>16</v>
      </c>
      <c r="H1787" t="s">
        <v>5142</v>
      </c>
      <c r="I1787" t="s">
        <v>5143</v>
      </c>
      <c r="J1787">
        <v>110646</v>
      </c>
      <c r="K1787" t="s">
        <v>3689</v>
      </c>
      <c r="L1787" t="s">
        <v>5165</v>
      </c>
      <c r="M1787" t="s">
        <v>19</v>
      </c>
      <c r="N1787">
        <v>45543</v>
      </c>
      <c r="O1787">
        <v>145</v>
      </c>
      <c r="P1787" t="s">
        <v>29</v>
      </c>
      <c r="Q1787">
        <v>4</v>
      </c>
      <c r="R1787" t="s">
        <v>5116</v>
      </c>
      <c r="S1787" t="s">
        <v>21</v>
      </c>
      <c r="T1787" t="s">
        <v>29</v>
      </c>
    </row>
    <row r="1788" spans="1:20" x14ac:dyDescent="0.3">
      <c r="A1788" t="s">
        <v>3690</v>
      </c>
      <c r="B1788" t="s">
        <v>74</v>
      </c>
      <c r="C1788" t="s">
        <v>166</v>
      </c>
      <c r="D1788" t="s">
        <v>104</v>
      </c>
      <c r="E1788" t="s">
        <v>223</v>
      </c>
      <c r="F1788" t="s">
        <v>224</v>
      </c>
      <c r="G1788" t="s">
        <v>16</v>
      </c>
      <c r="H1788" t="s">
        <v>5136</v>
      </c>
      <c r="I1788" t="s">
        <v>5137</v>
      </c>
      <c r="J1788">
        <v>66103</v>
      </c>
      <c r="K1788" t="s">
        <v>3691</v>
      </c>
      <c r="L1788" t="s">
        <v>142</v>
      </c>
      <c r="M1788" t="s">
        <v>46</v>
      </c>
      <c r="N1788">
        <v>45675</v>
      </c>
      <c r="O1788">
        <v>20</v>
      </c>
      <c r="P1788" t="s">
        <v>92</v>
      </c>
      <c r="Q1788">
        <v>0</v>
      </c>
      <c r="R1788" t="s">
        <v>76</v>
      </c>
      <c r="S1788" t="s">
        <v>41</v>
      </c>
      <c r="T1788" t="s">
        <v>29</v>
      </c>
    </row>
    <row r="1789" spans="1:20" x14ac:dyDescent="0.3">
      <c r="A1789" t="s">
        <v>3692</v>
      </c>
      <c r="B1789" t="s">
        <v>130</v>
      </c>
      <c r="C1789" t="s">
        <v>24</v>
      </c>
      <c r="D1789" t="s">
        <v>57</v>
      </c>
      <c r="E1789" t="s">
        <v>34</v>
      </c>
      <c r="F1789" t="s">
        <v>35</v>
      </c>
      <c r="G1789" t="s">
        <v>36</v>
      </c>
      <c r="H1789" t="s">
        <v>5142</v>
      </c>
      <c r="I1789" t="s">
        <v>5143</v>
      </c>
      <c r="J1789">
        <v>129691</v>
      </c>
      <c r="K1789" t="s">
        <v>3693</v>
      </c>
      <c r="L1789" t="s">
        <v>142</v>
      </c>
      <c r="M1789" t="s">
        <v>19</v>
      </c>
      <c r="N1789">
        <v>45301</v>
      </c>
      <c r="O1789">
        <v>1572</v>
      </c>
      <c r="P1789" t="s">
        <v>20</v>
      </c>
      <c r="Q1789">
        <v>4</v>
      </c>
      <c r="R1789" t="s">
        <v>76</v>
      </c>
      <c r="S1789" t="s">
        <v>21</v>
      </c>
      <c r="T1789" t="s">
        <v>20</v>
      </c>
    </row>
    <row r="1790" spans="1:20" x14ac:dyDescent="0.3">
      <c r="A1790" t="s">
        <v>3694</v>
      </c>
      <c r="B1790" t="s">
        <v>130</v>
      </c>
      <c r="C1790" t="s">
        <v>172</v>
      </c>
      <c r="D1790" t="s">
        <v>33</v>
      </c>
      <c r="E1790" t="s">
        <v>95</v>
      </c>
      <c r="F1790" t="s">
        <v>96</v>
      </c>
      <c r="G1790" t="s">
        <v>50</v>
      </c>
      <c r="H1790" t="s">
        <v>5138</v>
      </c>
      <c r="I1790" t="s">
        <v>5139</v>
      </c>
      <c r="J1790">
        <v>211490</v>
      </c>
      <c r="K1790" t="s">
        <v>3695</v>
      </c>
      <c r="L1790" t="s">
        <v>134</v>
      </c>
      <c r="M1790" t="s">
        <v>46</v>
      </c>
      <c r="N1790">
        <v>45591</v>
      </c>
      <c r="O1790">
        <v>1500</v>
      </c>
      <c r="P1790" t="s">
        <v>20</v>
      </c>
      <c r="Q1790">
        <v>6</v>
      </c>
      <c r="R1790" t="s">
        <v>52</v>
      </c>
      <c r="S1790" t="s">
        <v>21</v>
      </c>
      <c r="T1790" t="s">
        <v>29</v>
      </c>
    </row>
    <row r="1791" spans="1:20" x14ac:dyDescent="0.3">
      <c r="A1791" t="s">
        <v>3696</v>
      </c>
      <c r="B1791" t="s">
        <v>215</v>
      </c>
      <c r="C1791" t="s">
        <v>232</v>
      </c>
      <c r="D1791" t="s">
        <v>57</v>
      </c>
      <c r="E1791" t="s">
        <v>5133</v>
      </c>
      <c r="F1791" t="s">
        <v>5125</v>
      </c>
      <c r="G1791" t="s">
        <v>36</v>
      </c>
      <c r="H1791" t="s">
        <v>5142</v>
      </c>
      <c r="I1791" t="s">
        <v>5143</v>
      </c>
      <c r="J1791">
        <v>186192</v>
      </c>
      <c r="K1791" t="s">
        <v>3697</v>
      </c>
      <c r="L1791" t="s">
        <v>38</v>
      </c>
      <c r="M1791" t="s">
        <v>46</v>
      </c>
      <c r="N1791">
        <v>45532</v>
      </c>
      <c r="O1791">
        <v>3156</v>
      </c>
      <c r="P1791" t="s">
        <v>92</v>
      </c>
      <c r="Q1791">
        <v>4</v>
      </c>
      <c r="R1791" t="s">
        <v>52</v>
      </c>
      <c r="S1791" t="s">
        <v>21</v>
      </c>
      <c r="T1791" t="s">
        <v>29</v>
      </c>
    </row>
    <row r="1792" spans="1:20" x14ac:dyDescent="0.3">
      <c r="A1792" t="s">
        <v>3698</v>
      </c>
      <c r="B1792" t="s">
        <v>229</v>
      </c>
      <c r="C1792" t="s">
        <v>13</v>
      </c>
      <c r="D1792" t="s">
        <v>68</v>
      </c>
      <c r="E1792" t="s">
        <v>209</v>
      </c>
      <c r="F1792" t="s">
        <v>210</v>
      </c>
      <c r="G1792" t="s">
        <v>16</v>
      </c>
      <c r="H1792" t="s">
        <v>5142</v>
      </c>
      <c r="I1792" t="s">
        <v>5143</v>
      </c>
      <c r="J1792">
        <v>99370</v>
      </c>
      <c r="K1792" t="s">
        <v>3699</v>
      </c>
      <c r="L1792" t="s">
        <v>18</v>
      </c>
      <c r="M1792" t="s">
        <v>46</v>
      </c>
      <c r="N1792">
        <v>45530</v>
      </c>
      <c r="O1792">
        <v>2270</v>
      </c>
      <c r="P1792" t="s">
        <v>20</v>
      </c>
      <c r="Q1792">
        <v>4</v>
      </c>
      <c r="R1792" t="s">
        <v>76</v>
      </c>
      <c r="S1792" t="s">
        <v>21</v>
      </c>
      <c r="T1792" t="s">
        <v>29</v>
      </c>
    </row>
    <row r="1793" spans="1:20" x14ac:dyDescent="0.3">
      <c r="A1793" t="s">
        <v>3700</v>
      </c>
      <c r="B1793" t="s">
        <v>124</v>
      </c>
      <c r="C1793" t="s">
        <v>121</v>
      </c>
      <c r="D1793" t="s">
        <v>140</v>
      </c>
      <c r="E1793" t="s">
        <v>209</v>
      </c>
      <c r="F1793" t="s">
        <v>210</v>
      </c>
      <c r="G1793" t="s">
        <v>36</v>
      </c>
      <c r="H1793" t="s">
        <v>5142</v>
      </c>
      <c r="I1793" t="s">
        <v>5143</v>
      </c>
      <c r="J1793">
        <v>153105</v>
      </c>
      <c r="K1793" t="s">
        <v>3701</v>
      </c>
      <c r="L1793" t="s">
        <v>5165</v>
      </c>
      <c r="M1793" t="s">
        <v>19</v>
      </c>
      <c r="N1793">
        <v>45469</v>
      </c>
      <c r="O1793">
        <v>219</v>
      </c>
      <c r="P1793" t="s">
        <v>29</v>
      </c>
      <c r="Q1793">
        <v>4</v>
      </c>
      <c r="R1793" t="s">
        <v>47</v>
      </c>
      <c r="S1793" t="s">
        <v>21</v>
      </c>
      <c r="T1793" t="s">
        <v>29</v>
      </c>
    </row>
    <row r="1794" spans="1:20" x14ac:dyDescent="0.3">
      <c r="A1794" t="s">
        <v>3702</v>
      </c>
      <c r="B1794" t="s">
        <v>89</v>
      </c>
      <c r="C1794" t="s">
        <v>49</v>
      </c>
      <c r="D1794" t="s">
        <v>104</v>
      </c>
      <c r="E1794" t="s">
        <v>5133</v>
      </c>
      <c r="F1794" t="s">
        <v>5125</v>
      </c>
      <c r="G1794" t="s">
        <v>36</v>
      </c>
      <c r="H1794" t="s">
        <v>5138</v>
      </c>
      <c r="I1794" t="s">
        <v>5139</v>
      </c>
      <c r="J1794">
        <v>194235</v>
      </c>
      <c r="K1794" t="s">
        <v>3703</v>
      </c>
      <c r="L1794" t="s">
        <v>5165</v>
      </c>
      <c r="M1794" t="s">
        <v>19</v>
      </c>
      <c r="N1794">
        <v>45705</v>
      </c>
      <c r="O1794">
        <v>3993</v>
      </c>
      <c r="P1794" t="s">
        <v>20</v>
      </c>
      <c r="Q1794">
        <v>6</v>
      </c>
      <c r="R1794" t="s">
        <v>5116</v>
      </c>
      <c r="S1794" t="s">
        <v>21</v>
      </c>
      <c r="T1794" t="s">
        <v>20</v>
      </c>
    </row>
    <row r="1795" spans="1:20" x14ac:dyDescent="0.3">
      <c r="A1795" t="s">
        <v>3704</v>
      </c>
      <c r="B1795" t="s">
        <v>84</v>
      </c>
      <c r="C1795" t="s">
        <v>85</v>
      </c>
      <c r="D1795" t="s">
        <v>57</v>
      </c>
      <c r="E1795" t="s">
        <v>34</v>
      </c>
      <c r="F1795" t="s">
        <v>35</v>
      </c>
      <c r="G1795" t="s">
        <v>50</v>
      </c>
      <c r="H1795" t="s">
        <v>5142</v>
      </c>
      <c r="I1795" t="s">
        <v>5143</v>
      </c>
      <c r="J1795">
        <v>168126</v>
      </c>
      <c r="K1795" t="s">
        <v>3705</v>
      </c>
      <c r="L1795" t="s">
        <v>38</v>
      </c>
      <c r="M1795" t="s">
        <v>46</v>
      </c>
      <c r="N1795">
        <v>45734</v>
      </c>
      <c r="O1795">
        <v>2300</v>
      </c>
      <c r="P1795" t="s">
        <v>20</v>
      </c>
      <c r="Q1795">
        <v>4</v>
      </c>
      <c r="R1795" t="s">
        <v>76</v>
      </c>
      <c r="S1795" t="s">
        <v>21</v>
      </c>
      <c r="T1795" t="s">
        <v>29</v>
      </c>
    </row>
    <row r="1796" spans="1:20" x14ac:dyDescent="0.3">
      <c r="A1796" t="s">
        <v>3706</v>
      </c>
      <c r="B1796" t="s">
        <v>84</v>
      </c>
      <c r="C1796" t="s">
        <v>185</v>
      </c>
      <c r="D1796" t="s">
        <v>68</v>
      </c>
      <c r="E1796" t="s">
        <v>5124</v>
      </c>
      <c r="F1796" t="s">
        <v>5125</v>
      </c>
      <c r="G1796" t="s">
        <v>50</v>
      </c>
      <c r="H1796" t="s">
        <v>5142</v>
      </c>
      <c r="I1796" t="s">
        <v>5143</v>
      </c>
      <c r="J1796">
        <v>155756</v>
      </c>
      <c r="K1796" t="s">
        <v>3707</v>
      </c>
      <c r="L1796" t="s">
        <v>5165</v>
      </c>
      <c r="M1796" t="s">
        <v>19</v>
      </c>
      <c r="N1796">
        <v>45413</v>
      </c>
      <c r="O1796">
        <v>2189</v>
      </c>
      <c r="P1796" t="s">
        <v>29</v>
      </c>
      <c r="Q1796">
        <v>4</v>
      </c>
      <c r="R1796" t="s">
        <v>76</v>
      </c>
      <c r="S1796" t="s">
        <v>21</v>
      </c>
      <c r="T1796" t="s">
        <v>29</v>
      </c>
    </row>
    <row r="1797" spans="1:20" x14ac:dyDescent="0.3">
      <c r="A1797" t="s">
        <v>3708</v>
      </c>
      <c r="B1797" t="s">
        <v>99</v>
      </c>
      <c r="C1797" t="s">
        <v>117</v>
      </c>
      <c r="D1797" t="s">
        <v>57</v>
      </c>
      <c r="E1797" t="s">
        <v>209</v>
      </c>
      <c r="F1797" t="s">
        <v>210</v>
      </c>
      <c r="G1797" t="s">
        <v>16</v>
      </c>
      <c r="H1797" t="s">
        <v>5140</v>
      </c>
      <c r="I1797" t="s">
        <v>5141</v>
      </c>
      <c r="J1797">
        <v>95111</v>
      </c>
      <c r="K1797" t="s">
        <v>3709</v>
      </c>
      <c r="L1797" t="s">
        <v>5165</v>
      </c>
      <c r="M1797" t="s">
        <v>19</v>
      </c>
      <c r="N1797">
        <v>45500</v>
      </c>
      <c r="O1797">
        <v>236</v>
      </c>
      <c r="P1797" t="s">
        <v>92</v>
      </c>
      <c r="Q1797">
        <v>2</v>
      </c>
      <c r="R1797" t="s">
        <v>40</v>
      </c>
      <c r="S1797" t="s">
        <v>21</v>
      </c>
      <c r="T1797" t="s">
        <v>29</v>
      </c>
    </row>
    <row r="1798" spans="1:20" x14ac:dyDescent="0.3">
      <c r="A1798" t="s">
        <v>3710</v>
      </c>
      <c r="B1798" t="s">
        <v>130</v>
      </c>
      <c r="C1798" t="s">
        <v>79</v>
      </c>
      <c r="D1798" t="s">
        <v>118</v>
      </c>
      <c r="E1798" t="s">
        <v>95</v>
      </c>
      <c r="F1798" t="s">
        <v>96</v>
      </c>
      <c r="G1798" t="s">
        <v>50</v>
      </c>
      <c r="H1798" t="s">
        <v>5140</v>
      </c>
      <c r="I1798" t="s">
        <v>5141</v>
      </c>
      <c r="J1798">
        <v>103682</v>
      </c>
      <c r="K1798" t="s">
        <v>3711</v>
      </c>
      <c r="L1798" t="s">
        <v>5165</v>
      </c>
      <c r="M1798" t="s">
        <v>46</v>
      </c>
      <c r="N1798">
        <v>45653</v>
      </c>
      <c r="O1798">
        <v>953</v>
      </c>
      <c r="P1798" t="s">
        <v>92</v>
      </c>
      <c r="Q1798">
        <v>2</v>
      </c>
      <c r="R1798" t="s">
        <v>52</v>
      </c>
      <c r="S1798" t="s">
        <v>21</v>
      </c>
      <c r="T1798" t="s">
        <v>29</v>
      </c>
    </row>
    <row r="1799" spans="1:20" x14ac:dyDescent="0.3">
      <c r="A1799" t="s">
        <v>3712</v>
      </c>
      <c r="B1799" t="s">
        <v>99</v>
      </c>
      <c r="C1799" t="s">
        <v>121</v>
      </c>
      <c r="D1799" t="s">
        <v>118</v>
      </c>
      <c r="E1799" t="s">
        <v>5126</v>
      </c>
      <c r="F1799" t="s">
        <v>5125</v>
      </c>
      <c r="G1799" t="s">
        <v>36</v>
      </c>
      <c r="H1799" t="s">
        <v>5142</v>
      </c>
      <c r="I1799" t="s">
        <v>5143</v>
      </c>
      <c r="J1799">
        <v>128507</v>
      </c>
      <c r="K1799" t="s">
        <v>3713</v>
      </c>
      <c r="L1799" t="s">
        <v>238</v>
      </c>
      <c r="M1799" t="s">
        <v>72</v>
      </c>
      <c r="N1799">
        <v>45623</v>
      </c>
      <c r="O1799">
        <v>3377</v>
      </c>
      <c r="P1799" t="s">
        <v>20</v>
      </c>
      <c r="Q1799">
        <v>4</v>
      </c>
      <c r="R1799" t="s">
        <v>76</v>
      </c>
      <c r="S1799" t="s">
        <v>21</v>
      </c>
      <c r="T1799" t="s">
        <v>29</v>
      </c>
    </row>
    <row r="1800" spans="1:20" x14ac:dyDescent="0.3">
      <c r="A1800" t="s">
        <v>3714</v>
      </c>
      <c r="B1800" t="s">
        <v>78</v>
      </c>
      <c r="C1800" t="s">
        <v>13</v>
      </c>
      <c r="D1800" t="s">
        <v>5156</v>
      </c>
      <c r="E1800" t="s">
        <v>5127</v>
      </c>
      <c r="F1800" t="s">
        <v>5125</v>
      </c>
      <c r="G1800" t="s">
        <v>36</v>
      </c>
      <c r="H1800" t="s">
        <v>5140</v>
      </c>
      <c r="I1800" t="s">
        <v>5141</v>
      </c>
      <c r="J1800">
        <v>131304</v>
      </c>
      <c r="K1800" t="s">
        <v>3715</v>
      </c>
      <c r="L1800" t="s">
        <v>82</v>
      </c>
      <c r="M1800" t="s">
        <v>46</v>
      </c>
      <c r="N1800">
        <v>45680</v>
      </c>
      <c r="O1800">
        <v>461</v>
      </c>
      <c r="P1800" t="s">
        <v>20</v>
      </c>
      <c r="Q1800">
        <v>2</v>
      </c>
      <c r="R1800" t="s">
        <v>76</v>
      </c>
      <c r="S1800" t="s">
        <v>21</v>
      </c>
      <c r="T1800" t="s">
        <v>29</v>
      </c>
    </row>
    <row r="1801" spans="1:20" x14ac:dyDescent="0.3">
      <c r="A1801" t="s">
        <v>3716</v>
      </c>
      <c r="B1801" t="s">
        <v>124</v>
      </c>
      <c r="C1801" t="s">
        <v>166</v>
      </c>
      <c r="D1801" t="s">
        <v>33</v>
      </c>
      <c r="E1801" t="s">
        <v>193</v>
      </c>
      <c r="F1801" t="s">
        <v>194</v>
      </c>
      <c r="G1801" t="s">
        <v>50</v>
      </c>
      <c r="H1801" t="s">
        <v>5142</v>
      </c>
      <c r="I1801" t="s">
        <v>5143</v>
      </c>
      <c r="J1801">
        <v>150575</v>
      </c>
      <c r="K1801" t="s">
        <v>3717</v>
      </c>
      <c r="L1801" t="s">
        <v>113</v>
      </c>
      <c r="M1801" t="s">
        <v>39</v>
      </c>
      <c r="N1801">
        <v>45535</v>
      </c>
      <c r="O1801">
        <v>3541</v>
      </c>
      <c r="P1801" t="s">
        <v>20</v>
      </c>
      <c r="Q1801">
        <v>4</v>
      </c>
      <c r="R1801" t="s">
        <v>40</v>
      </c>
      <c r="S1801" t="s">
        <v>53</v>
      </c>
      <c r="T1801" t="s">
        <v>20</v>
      </c>
    </row>
    <row r="1802" spans="1:20" x14ac:dyDescent="0.3">
      <c r="A1802" t="s">
        <v>3718</v>
      </c>
      <c r="B1802" t="s">
        <v>136</v>
      </c>
      <c r="C1802" t="s">
        <v>117</v>
      </c>
      <c r="D1802" t="s">
        <v>140</v>
      </c>
      <c r="E1802" t="s">
        <v>5124</v>
      </c>
      <c r="F1802" t="s">
        <v>5125</v>
      </c>
      <c r="G1802" t="s">
        <v>16</v>
      </c>
      <c r="H1802" t="s">
        <v>5140</v>
      </c>
      <c r="I1802" t="s">
        <v>5141</v>
      </c>
      <c r="J1802">
        <v>147643</v>
      </c>
      <c r="K1802" t="s">
        <v>3719</v>
      </c>
      <c r="L1802" t="s">
        <v>82</v>
      </c>
      <c r="M1802" t="s">
        <v>39</v>
      </c>
      <c r="N1802">
        <v>45705</v>
      </c>
      <c r="O1802">
        <v>1378</v>
      </c>
      <c r="P1802" t="s">
        <v>20</v>
      </c>
      <c r="Q1802">
        <v>2</v>
      </c>
      <c r="R1802" t="s">
        <v>52</v>
      </c>
      <c r="S1802" t="s">
        <v>21</v>
      </c>
      <c r="T1802" t="s">
        <v>29</v>
      </c>
    </row>
    <row r="1803" spans="1:20" x14ac:dyDescent="0.3">
      <c r="A1803" t="s">
        <v>3720</v>
      </c>
      <c r="B1803" t="s">
        <v>23</v>
      </c>
      <c r="C1803" t="s">
        <v>166</v>
      </c>
      <c r="D1803" t="s">
        <v>167</v>
      </c>
      <c r="E1803" t="s">
        <v>95</v>
      </c>
      <c r="F1803" t="s">
        <v>96</v>
      </c>
      <c r="G1803" t="s">
        <v>36</v>
      </c>
      <c r="H1803" t="s">
        <v>5136</v>
      </c>
      <c r="I1803" t="s">
        <v>5137</v>
      </c>
      <c r="J1803">
        <v>69235</v>
      </c>
      <c r="K1803" t="s">
        <v>3721</v>
      </c>
      <c r="L1803" t="s">
        <v>82</v>
      </c>
      <c r="M1803" t="s">
        <v>46</v>
      </c>
      <c r="N1803">
        <v>45414</v>
      </c>
      <c r="O1803">
        <v>3964</v>
      </c>
      <c r="P1803" t="s">
        <v>20</v>
      </c>
      <c r="Q1803">
        <v>0</v>
      </c>
      <c r="R1803" t="s">
        <v>5116</v>
      </c>
      <c r="S1803" t="s">
        <v>21</v>
      </c>
      <c r="T1803" t="s">
        <v>20</v>
      </c>
    </row>
    <row r="1804" spans="1:20" x14ac:dyDescent="0.3">
      <c r="A1804" t="s">
        <v>3722</v>
      </c>
      <c r="B1804" t="s">
        <v>84</v>
      </c>
      <c r="C1804" t="s">
        <v>117</v>
      </c>
      <c r="D1804" t="s">
        <v>57</v>
      </c>
      <c r="E1804" t="s">
        <v>5131</v>
      </c>
      <c r="F1804" t="s">
        <v>5125</v>
      </c>
      <c r="G1804" t="s">
        <v>50</v>
      </c>
      <c r="H1804" t="s">
        <v>5138</v>
      </c>
      <c r="I1804" t="s">
        <v>5139</v>
      </c>
      <c r="J1804">
        <v>174497</v>
      </c>
      <c r="K1804" t="s">
        <v>3723</v>
      </c>
      <c r="L1804" t="s">
        <v>5165</v>
      </c>
      <c r="M1804" t="s">
        <v>46</v>
      </c>
      <c r="N1804">
        <v>45520</v>
      </c>
      <c r="O1804">
        <v>2582</v>
      </c>
      <c r="P1804" t="s">
        <v>20</v>
      </c>
      <c r="Q1804">
        <v>6</v>
      </c>
      <c r="R1804" t="s">
        <v>52</v>
      </c>
      <c r="S1804" t="s">
        <v>53</v>
      </c>
      <c r="T1804" t="s">
        <v>29</v>
      </c>
    </row>
    <row r="1805" spans="1:20" x14ac:dyDescent="0.3">
      <c r="A1805" t="s">
        <v>3724</v>
      </c>
      <c r="B1805" t="s">
        <v>144</v>
      </c>
      <c r="C1805" t="s">
        <v>100</v>
      </c>
      <c r="D1805" t="s">
        <v>25</v>
      </c>
      <c r="E1805" t="s">
        <v>14</v>
      </c>
      <c r="F1805" t="s">
        <v>15</v>
      </c>
      <c r="G1805" t="s">
        <v>16</v>
      </c>
      <c r="H1805" t="s">
        <v>5138</v>
      </c>
      <c r="I1805" t="s">
        <v>5139</v>
      </c>
      <c r="J1805">
        <v>145506</v>
      </c>
      <c r="K1805" t="s">
        <v>3725</v>
      </c>
      <c r="L1805" t="s">
        <v>87</v>
      </c>
      <c r="M1805" t="s">
        <v>46</v>
      </c>
      <c r="N1805">
        <v>45310</v>
      </c>
      <c r="O1805">
        <v>3309</v>
      </c>
      <c r="P1805" t="s">
        <v>29</v>
      </c>
      <c r="Q1805">
        <v>6</v>
      </c>
      <c r="R1805" t="s">
        <v>40</v>
      </c>
      <c r="S1805" t="s">
        <v>21</v>
      </c>
      <c r="T1805" t="s">
        <v>20</v>
      </c>
    </row>
    <row r="1806" spans="1:20" x14ac:dyDescent="0.3">
      <c r="A1806" t="s">
        <v>3726</v>
      </c>
      <c r="B1806" t="s">
        <v>165</v>
      </c>
      <c r="C1806" t="s">
        <v>188</v>
      </c>
      <c r="D1806" t="s">
        <v>118</v>
      </c>
      <c r="E1806" t="s">
        <v>5131</v>
      </c>
      <c r="F1806" t="s">
        <v>5125</v>
      </c>
      <c r="G1806" t="s">
        <v>50</v>
      </c>
      <c r="H1806" t="s">
        <v>5140</v>
      </c>
      <c r="I1806" t="s">
        <v>5141</v>
      </c>
      <c r="J1806">
        <v>74297</v>
      </c>
      <c r="K1806" t="s">
        <v>3727</v>
      </c>
      <c r="L1806" t="s">
        <v>5165</v>
      </c>
      <c r="M1806" t="s">
        <v>46</v>
      </c>
      <c r="N1806">
        <v>45460</v>
      </c>
      <c r="O1806">
        <v>246</v>
      </c>
      <c r="P1806" t="s">
        <v>20</v>
      </c>
      <c r="Q1806">
        <v>2</v>
      </c>
      <c r="R1806" t="s">
        <v>47</v>
      </c>
      <c r="S1806" t="s">
        <v>21</v>
      </c>
      <c r="T1806" t="s">
        <v>20</v>
      </c>
    </row>
    <row r="1807" spans="1:20" x14ac:dyDescent="0.3">
      <c r="A1807" t="s">
        <v>3728</v>
      </c>
      <c r="B1807" t="s">
        <v>124</v>
      </c>
      <c r="C1807" t="s">
        <v>24</v>
      </c>
      <c r="D1807" t="s">
        <v>104</v>
      </c>
      <c r="E1807" t="s">
        <v>5126</v>
      </c>
      <c r="F1807" t="s">
        <v>5125</v>
      </c>
      <c r="G1807" t="s">
        <v>50</v>
      </c>
      <c r="H1807" t="s">
        <v>5140</v>
      </c>
      <c r="I1807" t="s">
        <v>5141</v>
      </c>
      <c r="J1807">
        <v>78634</v>
      </c>
      <c r="K1807" t="s">
        <v>3729</v>
      </c>
      <c r="L1807" t="s">
        <v>5165</v>
      </c>
      <c r="M1807" t="s">
        <v>46</v>
      </c>
      <c r="N1807">
        <v>45423</v>
      </c>
      <c r="O1807">
        <v>3893</v>
      </c>
      <c r="P1807" t="s">
        <v>20</v>
      </c>
      <c r="Q1807">
        <v>2</v>
      </c>
      <c r="R1807" t="s">
        <v>40</v>
      </c>
      <c r="S1807" t="s">
        <v>53</v>
      </c>
      <c r="T1807" t="s">
        <v>20</v>
      </c>
    </row>
    <row r="1808" spans="1:20" x14ac:dyDescent="0.3">
      <c r="A1808" t="s">
        <v>3730</v>
      </c>
      <c r="B1808" t="s">
        <v>136</v>
      </c>
      <c r="C1808" t="s">
        <v>121</v>
      </c>
      <c r="D1808" t="s">
        <v>167</v>
      </c>
      <c r="E1808" t="s">
        <v>193</v>
      </c>
      <c r="F1808" t="s">
        <v>194</v>
      </c>
      <c r="G1808" t="s">
        <v>16</v>
      </c>
      <c r="H1808" t="s">
        <v>5142</v>
      </c>
      <c r="I1808" t="s">
        <v>5143</v>
      </c>
      <c r="J1808">
        <v>157212</v>
      </c>
      <c r="K1808" t="s">
        <v>3731</v>
      </c>
      <c r="L1808" t="s">
        <v>179</v>
      </c>
      <c r="M1808" t="s">
        <v>19</v>
      </c>
      <c r="N1808">
        <v>45394</v>
      </c>
      <c r="O1808">
        <v>518</v>
      </c>
      <c r="P1808" t="s">
        <v>20</v>
      </c>
      <c r="Q1808">
        <v>4</v>
      </c>
      <c r="R1808" t="s">
        <v>47</v>
      </c>
      <c r="S1808" t="s">
        <v>21</v>
      </c>
      <c r="T1808" t="s">
        <v>20</v>
      </c>
    </row>
    <row r="1809" spans="1:20" x14ac:dyDescent="0.3">
      <c r="A1809" t="s">
        <v>3732</v>
      </c>
      <c r="B1809" t="s">
        <v>222</v>
      </c>
      <c r="C1809" t="s">
        <v>219</v>
      </c>
      <c r="D1809" t="s">
        <v>140</v>
      </c>
      <c r="E1809" t="s">
        <v>209</v>
      </c>
      <c r="F1809" t="s">
        <v>210</v>
      </c>
      <c r="G1809" t="s">
        <v>50</v>
      </c>
      <c r="H1809" t="s">
        <v>5140</v>
      </c>
      <c r="I1809" t="s">
        <v>5141</v>
      </c>
      <c r="J1809">
        <v>120072</v>
      </c>
      <c r="K1809" t="s">
        <v>3733</v>
      </c>
      <c r="L1809" t="s">
        <v>5165</v>
      </c>
      <c r="M1809" t="s">
        <v>46</v>
      </c>
      <c r="N1809">
        <v>45629</v>
      </c>
      <c r="O1809">
        <v>1012</v>
      </c>
      <c r="P1809" t="s">
        <v>29</v>
      </c>
      <c r="Q1809">
        <v>2</v>
      </c>
      <c r="R1809" t="s">
        <v>76</v>
      </c>
      <c r="S1809" t="s">
        <v>21</v>
      </c>
      <c r="T1809" t="s">
        <v>29</v>
      </c>
    </row>
    <row r="1810" spans="1:20" x14ac:dyDescent="0.3">
      <c r="A1810" t="s">
        <v>3734</v>
      </c>
      <c r="B1810" t="s">
        <v>218</v>
      </c>
      <c r="C1810" t="s">
        <v>103</v>
      </c>
      <c r="D1810" t="s">
        <v>68</v>
      </c>
      <c r="E1810" t="s">
        <v>5127</v>
      </c>
      <c r="F1810" t="s">
        <v>5125</v>
      </c>
      <c r="G1810" t="s">
        <v>50</v>
      </c>
      <c r="H1810" t="s">
        <v>5142</v>
      </c>
      <c r="I1810" t="s">
        <v>5143</v>
      </c>
      <c r="J1810">
        <v>107307</v>
      </c>
      <c r="K1810" t="s">
        <v>3735</v>
      </c>
      <c r="L1810" t="s">
        <v>238</v>
      </c>
      <c r="M1810" t="s">
        <v>72</v>
      </c>
      <c r="N1810">
        <v>45641</v>
      </c>
      <c r="O1810">
        <v>27</v>
      </c>
      <c r="P1810" t="s">
        <v>29</v>
      </c>
      <c r="Q1810">
        <v>4</v>
      </c>
      <c r="R1810" t="s">
        <v>47</v>
      </c>
      <c r="S1810" t="s">
        <v>21</v>
      </c>
      <c r="T1810" t="s">
        <v>20</v>
      </c>
    </row>
    <row r="1811" spans="1:20" x14ac:dyDescent="0.3">
      <c r="A1811" t="s">
        <v>3736</v>
      </c>
      <c r="B1811" t="s">
        <v>23</v>
      </c>
      <c r="C1811" t="s">
        <v>151</v>
      </c>
      <c r="D1811" t="s">
        <v>5156</v>
      </c>
      <c r="E1811" t="s">
        <v>5127</v>
      </c>
      <c r="F1811" t="s">
        <v>5125</v>
      </c>
      <c r="G1811" t="s">
        <v>36</v>
      </c>
      <c r="H1811" t="s">
        <v>5140</v>
      </c>
      <c r="I1811" t="s">
        <v>5141</v>
      </c>
      <c r="J1811">
        <v>127721</v>
      </c>
      <c r="K1811" t="s">
        <v>3737</v>
      </c>
      <c r="L1811" t="s">
        <v>5165</v>
      </c>
      <c r="M1811" t="s">
        <v>46</v>
      </c>
      <c r="N1811">
        <v>45646</v>
      </c>
      <c r="O1811">
        <v>3735</v>
      </c>
      <c r="P1811" t="s">
        <v>92</v>
      </c>
      <c r="Q1811">
        <v>2</v>
      </c>
      <c r="R1811" t="s">
        <v>40</v>
      </c>
      <c r="S1811" t="s">
        <v>21</v>
      </c>
      <c r="T1811" t="s">
        <v>20</v>
      </c>
    </row>
    <row r="1812" spans="1:20" x14ac:dyDescent="0.3">
      <c r="A1812" t="s">
        <v>3738</v>
      </c>
      <c r="B1812" t="s">
        <v>99</v>
      </c>
      <c r="C1812" t="s">
        <v>90</v>
      </c>
      <c r="D1812" t="s">
        <v>167</v>
      </c>
      <c r="E1812" t="s">
        <v>34</v>
      </c>
      <c r="F1812" t="s">
        <v>35</v>
      </c>
      <c r="G1812" t="s">
        <v>36</v>
      </c>
      <c r="H1812" t="s">
        <v>5142</v>
      </c>
      <c r="I1812" t="s">
        <v>5143</v>
      </c>
      <c r="J1812">
        <v>136957</v>
      </c>
      <c r="K1812" t="s">
        <v>3739</v>
      </c>
      <c r="L1812" t="s">
        <v>38</v>
      </c>
      <c r="M1812" t="s">
        <v>19</v>
      </c>
      <c r="N1812">
        <v>45540</v>
      </c>
      <c r="O1812">
        <v>1544</v>
      </c>
      <c r="P1812" t="s">
        <v>92</v>
      </c>
      <c r="Q1812">
        <v>4</v>
      </c>
      <c r="R1812" t="s">
        <v>76</v>
      </c>
      <c r="S1812" t="s">
        <v>21</v>
      </c>
      <c r="T1812" t="s">
        <v>29</v>
      </c>
    </row>
    <row r="1813" spans="1:20" x14ac:dyDescent="0.3">
      <c r="A1813" t="s">
        <v>3740</v>
      </c>
      <c r="B1813" t="s">
        <v>99</v>
      </c>
      <c r="C1813" t="s">
        <v>121</v>
      </c>
      <c r="D1813" t="s">
        <v>167</v>
      </c>
      <c r="E1813" t="s">
        <v>5131</v>
      </c>
      <c r="F1813" t="s">
        <v>5125</v>
      </c>
      <c r="G1813" t="s">
        <v>50</v>
      </c>
      <c r="H1813" t="s">
        <v>5140</v>
      </c>
      <c r="I1813" t="s">
        <v>5141</v>
      </c>
      <c r="J1813">
        <v>112906</v>
      </c>
      <c r="K1813" t="s">
        <v>3741</v>
      </c>
      <c r="L1813" t="s">
        <v>61</v>
      </c>
      <c r="M1813" t="s">
        <v>46</v>
      </c>
      <c r="N1813">
        <v>45728</v>
      </c>
      <c r="O1813">
        <v>2818</v>
      </c>
      <c r="P1813" t="s">
        <v>20</v>
      </c>
      <c r="Q1813">
        <v>2</v>
      </c>
      <c r="R1813" t="s">
        <v>76</v>
      </c>
      <c r="S1813" t="s">
        <v>53</v>
      </c>
      <c r="T1813" t="s">
        <v>20</v>
      </c>
    </row>
    <row r="1814" spans="1:20" x14ac:dyDescent="0.3">
      <c r="A1814" t="s">
        <v>3742</v>
      </c>
      <c r="B1814" t="s">
        <v>63</v>
      </c>
      <c r="C1814" t="s">
        <v>24</v>
      </c>
      <c r="D1814" t="s">
        <v>25</v>
      </c>
      <c r="E1814" t="s">
        <v>5124</v>
      </c>
      <c r="F1814" t="s">
        <v>5125</v>
      </c>
      <c r="G1814" t="s">
        <v>36</v>
      </c>
      <c r="H1814" t="s">
        <v>5142</v>
      </c>
      <c r="I1814" t="s">
        <v>5143</v>
      </c>
      <c r="J1814">
        <v>193529</v>
      </c>
      <c r="K1814" t="s">
        <v>3743</v>
      </c>
      <c r="L1814" t="s">
        <v>18</v>
      </c>
      <c r="M1814" t="s">
        <v>19</v>
      </c>
      <c r="N1814">
        <v>45416</v>
      </c>
      <c r="O1814">
        <v>1867</v>
      </c>
      <c r="P1814" t="s">
        <v>20</v>
      </c>
      <c r="Q1814">
        <v>4</v>
      </c>
      <c r="R1814" t="s">
        <v>40</v>
      </c>
      <c r="S1814" t="s">
        <v>21</v>
      </c>
      <c r="T1814" t="s">
        <v>20</v>
      </c>
    </row>
    <row r="1815" spans="1:20" x14ac:dyDescent="0.3">
      <c r="A1815" t="s">
        <v>3744</v>
      </c>
      <c r="B1815" t="s">
        <v>74</v>
      </c>
      <c r="C1815" t="s">
        <v>172</v>
      </c>
      <c r="D1815" t="s">
        <v>140</v>
      </c>
      <c r="E1815" t="s">
        <v>193</v>
      </c>
      <c r="F1815" t="s">
        <v>194</v>
      </c>
      <c r="G1815" t="s">
        <v>36</v>
      </c>
      <c r="H1815" t="s">
        <v>5142</v>
      </c>
      <c r="I1815" t="s">
        <v>5143</v>
      </c>
      <c r="J1815">
        <v>174214</v>
      </c>
      <c r="K1815" t="s">
        <v>3745</v>
      </c>
      <c r="L1815" t="s">
        <v>5165</v>
      </c>
      <c r="M1815" t="s">
        <v>39</v>
      </c>
      <c r="N1815">
        <v>45745</v>
      </c>
      <c r="O1815">
        <v>982</v>
      </c>
      <c r="P1815" t="s">
        <v>92</v>
      </c>
      <c r="Q1815">
        <v>4</v>
      </c>
      <c r="R1815" t="s">
        <v>5116</v>
      </c>
      <c r="S1815" t="s">
        <v>21</v>
      </c>
      <c r="T1815" t="s">
        <v>20</v>
      </c>
    </row>
    <row r="1816" spans="1:20" x14ac:dyDescent="0.3">
      <c r="A1816" t="s">
        <v>3746</v>
      </c>
      <c r="B1816" t="s">
        <v>78</v>
      </c>
      <c r="C1816" t="s">
        <v>56</v>
      </c>
      <c r="D1816" t="s">
        <v>118</v>
      </c>
      <c r="E1816" t="s">
        <v>5133</v>
      </c>
      <c r="F1816" t="s">
        <v>5125</v>
      </c>
      <c r="G1816" t="s">
        <v>36</v>
      </c>
      <c r="H1816" t="s">
        <v>5142</v>
      </c>
      <c r="I1816" t="s">
        <v>5143</v>
      </c>
      <c r="J1816">
        <v>142749</v>
      </c>
      <c r="K1816" t="s">
        <v>3747</v>
      </c>
      <c r="L1816" t="s">
        <v>179</v>
      </c>
      <c r="M1816" t="s">
        <v>46</v>
      </c>
      <c r="N1816">
        <v>45599</v>
      </c>
      <c r="O1816">
        <v>1806</v>
      </c>
      <c r="P1816" t="s">
        <v>20</v>
      </c>
      <c r="Q1816">
        <v>4</v>
      </c>
      <c r="R1816" t="s">
        <v>40</v>
      </c>
      <c r="S1816" t="s">
        <v>21</v>
      </c>
      <c r="T1816" t="s">
        <v>20</v>
      </c>
    </row>
    <row r="1817" spans="1:20" x14ac:dyDescent="0.3">
      <c r="A1817" t="s">
        <v>3748</v>
      </c>
      <c r="B1817" t="s">
        <v>89</v>
      </c>
      <c r="C1817" t="s">
        <v>56</v>
      </c>
      <c r="D1817" t="s">
        <v>57</v>
      </c>
      <c r="E1817" t="s">
        <v>14</v>
      </c>
      <c r="F1817" t="s">
        <v>15</v>
      </c>
      <c r="G1817" t="s">
        <v>16</v>
      </c>
      <c r="H1817" t="s">
        <v>5138</v>
      </c>
      <c r="I1817" t="s">
        <v>5139</v>
      </c>
      <c r="J1817">
        <v>167917</v>
      </c>
      <c r="K1817" t="s">
        <v>3749</v>
      </c>
      <c r="L1817" t="s">
        <v>238</v>
      </c>
      <c r="M1817" t="s">
        <v>19</v>
      </c>
      <c r="N1817">
        <v>45739</v>
      </c>
      <c r="O1817">
        <v>3027</v>
      </c>
      <c r="P1817" t="s">
        <v>20</v>
      </c>
      <c r="Q1817">
        <v>6</v>
      </c>
      <c r="R1817" t="s">
        <v>47</v>
      </c>
      <c r="S1817" t="s">
        <v>21</v>
      </c>
      <c r="T1817" t="s">
        <v>20</v>
      </c>
    </row>
    <row r="1818" spans="1:20" x14ac:dyDescent="0.3">
      <c r="A1818" t="s">
        <v>3750</v>
      </c>
      <c r="B1818" t="s">
        <v>222</v>
      </c>
      <c r="C1818" t="s">
        <v>32</v>
      </c>
      <c r="D1818" t="s">
        <v>140</v>
      </c>
      <c r="E1818" t="s">
        <v>152</v>
      </c>
      <c r="F1818" t="s">
        <v>153</v>
      </c>
      <c r="G1818" t="s">
        <v>16</v>
      </c>
      <c r="H1818" t="s">
        <v>5136</v>
      </c>
      <c r="I1818" t="s">
        <v>5137</v>
      </c>
      <c r="J1818">
        <v>50000</v>
      </c>
      <c r="K1818" t="s">
        <v>3751</v>
      </c>
      <c r="L1818" t="s">
        <v>5165</v>
      </c>
      <c r="M1818" t="s">
        <v>46</v>
      </c>
      <c r="N1818">
        <v>45437</v>
      </c>
      <c r="O1818">
        <v>3786</v>
      </c>
      <c r="P1818" t="s">
        <v>20</v>
      </c>
      <c r="Q1818">
        <v>0</v>
      </c>
      <c r="R1818" t="s">
        <v>5116</v>
      </c>
      <c r="S1818" t="s">
        <v>21</v>
      </c>
      <c r="T1818" t="s">
        <v>29</v>
      </c>
    </row>
    <row r="1819" spans="1:20" x14ac:dyDescent="0.3">
      <c r="A1819" t="s">
        <v>3752</v>
      </c>
      <c r="B1819" t="s">
        <v>136</v>
      </c>
      <c r="C1819" t="s">
        <v>79</v>
      </c>
      <c r="D1819" t="s">
        <v>5156</v>
      </c>
      <c r="E1819" t="s">
        <v>5131</v>
      </c>
      <c r="F1819" t="s">
        <v>5125</v>
      </c>
      <c r="G1819" t="s">
        <v>36</v>
      </c>
      <c r="H1819" t="s">
        <v>5142</v>
      </c>
      <c r="I1819" t="s">
        <v>5143</v>
      </c>
      <c r="J1819">
        <v>130582</v>
      </c>
      <c r="K1819" t="s">
        <v>3753</v>
      </c>
      <c r="L1819" t="s">
        <v>38</v>
      </c>
      <c r="M1819" t="s">
        <v>72</v>
      </c>
      <c r="N1819">
        <v>45542</v>
      </c>
      <c r="O1819">
        <v>1775</v>
      </c>
      <c r="P1819" t="s">
        <v>20</v>
      </c>
      <c r="Q1819">
        <v>4</v>
      </c>
      <c r="R1819" t="s">
        <v>76</v>
      </c>
      <c r="S1819" t="s">
        <v>53</v>
      </c>
      <c r="T1819" t="s">
        <v>29</v>
      </c>
    </row>
    <row r="1820" spans="1:20" x14ac:dyDescent="0.3">
      <c r="A1820" t="s">
        <v>3754</v>
      </c>
      <c r="B1820" t="s">
        <v>74</v>
      </c>
      <c r="C1820" t="s">
        <v>172</v>
      </c>
      <c r="D1820" t="s">
        <v>167</v>
      </c>
      <c r="E1820" t="s">
        <v>58</v>
      </c>
      <c r="F1820" t="s">
        <v>59</v>
      </c>
      <c r="G1820" t="s">
        <v>50</v>
      </c>
      <c r="H1820" t="s">
        <v>5136</v>
      </c>
      <c r="I1820" t="s">
        <v>5137</v>
      </c>
      <c r="J1820">
        <v>67339</v>
      </c>
      <c r="K1820" t="s">
        <v>3755</v>
      </c>
      <c r="L1820" t="s">
        <v>5165</v>
      </c>
      <c r="M1820" t="s">
        <v>72</v>
      </c>
      <c r="N1820">
        <v>45370</v>
      </c>
      <c r="O1820">
        <v>1141</v>
      </c>
      <c r="P1820" t="s">
        <v>29</v>
      </c>
      <c r="Q1820">
        <v>0</v>
      </c>
      <c r="R1820" t="s">
        <v>5116</v>
      </c>
      <c r="S1820" t="s">
        <v>21</v>
      </c>
      <c r="T1820" t="s">
        <v>29</v>
      </c>
    </row>
    <row r="1821" spans="1:20" x14ac:dyDescent="0.3">
      <c r="A1821" t="s">
        <v>3756</v>
      </c>
      <c r="B1821" t="s">
        <v>218</v>
      </c>
      <c r="C1821" t="s">
        <v>151</v>
      </c>
      <c r="D1821" t="s">
        <v>118</v>
      </c>
      <c r="E1821" t="s">
        <v>126</v>
      </c>
      <c r="F1821" t="s">
        <v>127</v>
      </c>
      <c r="G1821" t="s">
        <v>16</v>
      </c>
      <c r="H1821" t="s">
        <v>5142</v>
      </c>
      <c r="I1821" t="s">
        <v>5143</v>
      </c>
      <c r="J1821">
        <v>123346</v>
      </c>
      <c r="K1821" t="s">
        <v>3757</v>
      </c>
      <c r="L1821" t="s">
        <v>134</v>
      </c>
      <c r="M1821" t="s">
        <v>72</v>
      </c>
      <c r="N1821">
        <v>45440</v>
      </c>
      <c r="O1821">
        <v>2296</v>
      </c>
      <c r="P1821" t="s">
        <v>92</v>
      </c>
      <c r="Q1821">
        <v>4</v>
      </c>
      <c r="R1821" t="s">
        <v>47</v>
      </c>
      <c r="S1821" t="s">
        <v>21</v>
      </c>
      <c r="T1821" t="s">
        <v>20</v>
      </c>
    </row>
    <row r="1822" spans="1:20" x14ac:dyDescent="0.3">
      <c r="A1822" t="s">
        <v>3758</v>
      </c>
      <c r="B1822" t="s">
        <v>89</v>
      </c>
      <c r="C1822" t="s">
        <v>64</v>
      </c>
      <c r="D1822" t="s">
        <v>5156</v>
      </c>
      <c r="E1822" t="s">
        <v>5131</v>
      </c>
      <c r="F1822" t="s">
        <v>5125</v>
      </c>
      <c r="G1822" t="s">
        <v>36</v>
      </c>
      <c r="H1822" t="s">
        <v>5138</v>
      </c>
      <c r="I1822" t="s">
        <v>5139</v>
      </c>
      <c r="J1822">
        <v>195274</v>
      </c>
      <c r="K1822" t="s">
        <v>3759</v>
      </c>
      <c r="L1822" t="s">
        <v>134</v>
      </c>
      <c r="M1822" t="s">
        <v>19</v>
      </c>
      <c r="N1822">
        <v>45578</v>
      </c>
      <c r="O1822">
        <v>1950</v>
      </c>
      <c r="P1822" t="s">
        <v>29</v>
      </c>
      <c r="Q1822">
        <v>6</v>
      </c>
      <c r="R1822" t="s">
        <v>40</v>
      </c>
      <c r="S1822" t="s">
        <v>21</v>
      </c>
      <c r="T1822" t="s">
        <v>20</v>
      </c>
    </row>
    <row r="1823" spans="1:20" x14ac:dyDescent="0.3">
      <c r="A1823" t="s">
        <v>3760</v>
      </c>
      <c r="B1823" t="s">
        <v>215</v>
      </c>
      <c r="C1823" t="s">
        <v>188</v>
      </c>
      <c r="D1823" t="s">
        <v>33</v>
      </c>
      <c r="E1823" t="s">
        <v>193</v>
      </c>
      <c r="F1823" t="s">
        <v>194</v>
      </c>
      <c r="G1823" t="s">
        <v>36</v>
      </c>
      <c r="H1823" t="s">
        <v>5136</v>
      </c>
      <c r="I1823" t="s">
        <v>5137</v>
      </c>
      <c r="J1823">
        <v>70968</v>
      </c>
      <c r="K1823" t="s">
        <v>3761</v>
      </c>
      <c r="L1823" t="s">
        <v>5165</v>
      </c>
      <c r="M1823" t="s">
        <v>39</v>
      </c>
      <c r="N1823">
        <v>45410</v>
      </c>
      <c r="O1823">
        <v>157</v>
      </c>
      <c r="P1823" t="s">
        <v>20</v>
      </c>
      <c r="Q1823">
        <v>0</v>
      </c>
      <c r="R1823" t="s">
        <v>76</v>
      </c>
      <c r="S1823" t="s">
        <v>41</v>
      </c>
      <c r="T1823" t="s">
        <v>20</v>
      </c>
    </row>
    <row r="1824" spans="1:20" x14ac:dyDescent="0.3">
      <c r="A1824" t="s">
        <v>3762</v>
      </c>
      <c r="B1824" t="s">
        <v>144</v>
      </c>
      <c r="C1824" t="s">
        <v>49</v>
      </c>
      <c r="D1824" t="s">
        <v>25</v>
      </c>
      <c r="E1824" t="s">
        <v>5127</v>
      </c>
      <c r="F1824" t="s">
        <v>5125</v>
      </c>
      <c r="G1824" t="s">
        <v>16</v>
      </c>
      <c r="H1824" t="s">
        <v>5136</v>
      </c>
      <c r="I1824" t="s">
        <v>5137</v>
      </c>
      <c r="J1824">
        <v>67166</v>
      </c>
      <c r="K1824" t="s">
        <v>3763</v>
      </c>
      <c r="L1824" t="s">
        <v>61</v>
      </c>
      <c r="M1824" t="s">
        <v>19</v>
      </c>
      <c r="N1824">
        <v>45696</v>
      </c>
      <c r="O1824">
        <v>2819</v>
      </c>
      <c r="P1824" t="s">
        <v>20</v>
      </c>
      <c r="Q1824">
        <v>0</v>
      </c>
      <c r="R1824" t="s">
        <v>47</v>
      </c>
      <c r="S1824" t="s">
        <v>53</v>
      </c>
      <c r="T1824" t="s">
        <v>20</v>
      </c>
    </row>
    <row r="1825" spans="1:20" x14ac:dyDescent="0.3">
      <c r="A1825" t="s">
        <v>3764</v>
      </c>
      <c r="B1825" t="s">
        <v>322</v>
      </c>
      <c r="C1825" t="s">
        <v>56</v>
      </c>
      <c r="D1825" t="s">
        <v>118</v>
      </c>
      <c r="E1825" t="s">
        <v>152</v>
      </c>
      <c r="F1825" t="s">
        <v>153</v>
      </c>
      <c r="G1825" t="s">
        <v>36</v>
      </c>
      <c r="H1825" t="s">
        <v>5140</v>
      </c>
      <c r="I1825" t="s">
        <v>5141</v>
      </c>
      <c r="J1825">
        <v>97129</v>
      </c>
      <c r="K1825" t="s">
        <v>3765</v>
      </c>
      <c r="L1825" t="s">
        <v>82</v>
      </c>
      <c r="M1825" t="s">
        <v>72</v>
      </c>
      <c r="N1825">
        <v>45386</v>
      </c>
      <c r="O1825">
        <v>2302</v>
      </c>
      <c r="P1825" t="s">
        <v>20</v>
      </c>
      <c r="Q1825">
        <v>2</v>
      </c>
      <c r="R1825" t="s">
        <v>47</v>
      </c>
      <c r="S1825" t="s">
        <v>21</v>
      </c>
      <c r="T1825" t="s">
        <v>29</v>
      </c>
    </row>
    <row r="1826" spans="1:20" x14ac:dyDescent="0.3">
      <c r="A1826" t="s">
        <v>3766</v>
      </c>
      <c r="B1826" t="s">
        <v>165</v>
      </c>
      <c r="C1826" t="s">
        <v>172</v>
      </c>
      <c r="D1826" t="s">
        <v>68</v>
      </c>
      <c r="E1826" t="s">
        <v>5131</v>
      </c>
      <c r="F1826" t="s">
        <v>5125</v>
      </c>
      <c r="G1826" t="s">
        <v>36</v>
      </c>
      <c r="H1826" t="s">
        <v>5136</v>
      </c>
      <c r="I1826" t="s">
        <v>5137</v>
      </c>
      <c r="J1826">
        <v>72125</v>
      </c>
      <c r="K1826" t="s">
        <v>3767</v>
      </c>
      <c r="L1826" t="s">
        <v>238</v>
      </c>
      <c r="M1826" t="s">
        <v>46</v>
      </c>
      <c r="N1826">
        <v>45513</v>
      </c>
      <c r="O1826">
        <v>1214</v>
      </c>
      <c r="P1826" t="s">
        <v>29</v>
      </c>
      <c r="Q1826">
        <v>0</v>
      </c>
      <c r="R1826" t="s">
        <v>52</v>
      </c>
      <c r="S1826" t="s">
        <v>21</v>
      </c>
      <c r="T1826" t="s">
        <v>20</v>
      </c>
    </row>
    <row r="1827" spans="1:20" x14ac:dyDescent="0.3">
      <c r="A1827" t="s">
        <v>3768</v>
      </c>
      <c r="B1827" t="s">
        <v>55</v>
      </c>
      <c r="C1827" t="s">
        <v>160</v>
      </c>
      <c r="D1827" t="s">
        <v>57</v>
      </c>
      <c r="E1827" t="s">
        <v>223</v>
      </c>
      <c r="F1827" t="s">
        <v>224</v>
      </c>
      <c r="G1827" t="s">
        <v>16</v>
      </c>
      <c r="H1827" t="s">
        <v>5138</v>
      </c>
      <c r="I1827" t="s">
        <v>5139</v>
      </c>
      <c r="J1827">
        <v>215909</v>
      </c>
      <c r="K1827" t="s">
        <v>3769</v>
      </c>
      <c r="L1827" t="s">
        <v>5165</v>
      </c>
      <c r="M1827" t="s">
        <v>46</v>
      </c>
      <c r="N1827">
        <v>45307</v>
      </c>
      <c r="O1827">
        <v>1674</v>
      </c>
      <c r="P1827" t="s">
        <v>29</v>
      </c>
      <c r="Q1827">
        <v>6</v>
      </c>
      <c r="R1827" t="s">
        <v>76</v>
      </c>
      <c r="S1827" t="s">
        <v>53</v>
      </c>
      <c r="T1827" t="s">
        <v>29</v>
      </c>
    </row>
    <row r="1828" spans="1:20" x14ac:dyDescent="0.3">
      <c r="A1828" t="s">
        <v>3770</v>
      </c>
      <c r="B1828" t="s">
        <v>63</v>
      </c>
      <c r="C1828" t="s">
        <v>172</v>
      </c>
      <c r="D1828" t="s">
        <v>25</v>
      </c>
      <c r="E1828" t="s">
        <v>34</v>
      </c>
      <c r="F1828" t="s">
        <v>35</v>
      </c>
      <c r="G1828" t="s">
        <v>50</v>
      </c>
      <c r="H1828" t="s">
        <v>5138</v>
      </c>
      <c r="I1828" t="s">
        <v>5139</v>
      </c>
      <c r="J1828">
        <v>160745</v>
      </c>
      <c r="K1828" t="s">
        <v>3771</v>
      </c>
      <c r="L1828" t="s">
        <v>142</v>
      </c>
      <c r="M1828" t="s">
        <v>46</v>
      </c>
      <c r="N1828">
        <v>45446</v>
      </c>
      <c r="O1828">
        <v>3258</v>
      </c>
      <c r="P1828" t="s">
        <v>20</v>
      </c>
      <c r="Q1828">
        <v>6</v>
      </c>
      <c r="R1828" t="s">
        <v>40</v>
      </c>
      <c r="S1828" t="s">
        <v>21</v>
      </c>
      <c r="T1828" t="s">
        <v>20</v>
      </c>
    </row>
    <row r="1829" spans="1:20" x14ac:dyDescent="0.3">
      <c r="A1829" t="s">
        <v>3772</v>
      </c>
      <c r="B1829" t="s">
        <v>229</v>
      </c>
      <c r="C1829" t="s">
        <v>64</v>
      </c>
      <c r="D1829" t="s">
        <v>5156</v>
      </c>
      <c r="E1829" t="s">
        <v>5126</v>
      </c>
      <c r="F1829" t="s">
        <v>5125</v>
      </c>
      <c r="G1829" t="s">
        <v>16</v>
      </c>
      <c r="H1829" t="s">
        <v>5138</v>
      </c>
      <c r="I1829" t="s">
        <v>5139</v>
      </c>
      <c r="J1829">
        <v>250793</v>
      </c>
      <c r="K1829" t="s">
        <v>3773</v>
      </c>
      <c r="L1829" t="s">
        <v>18</v>
      </c>
      <c r="M1829" t="s">
        <v>39</v>
      </c>
      <c r="N1829">
        <v>45365</v>
      </c>
      <c r="O1829">
        <v>1108</v>
      </c>
      <c r="P1829" t="s">
        <v>20</v>
      </c>
      <c r="Q1829">
        <v>6</v>
      </c>
      <c r="R1829" t="s">
        <v>76</v>
      </c>
      <c r="S1829" t="s">
        <v>21</v>
      </c>
      <c r="T1829" t="s">
        <v>29</v>
      </c>
    </row>
    <row r="1830" spans="1:20" x14ac:dyDescent="0.3">
      <c r="A1830" t="s">
        <v>3774</v>
      </c>
      <c r="B1830" t="s">
        <v>124</v>
      </c>
      <c r="C1830" t="s">
        <v>85</v>
      </c>
      <c r="D1830" t="s">
        <v>118</v>
      </c>
      <c r="E1830" t="s">
        <v>5129</v>
      </c>
      <c r="F1830" t="s">
        <v>5130</v>
      </c>
      <c r="G1830" t="s">
        <v>36</v>
      </c>
      <c r="H1830" t="s">
        <v>5136</v>
      </c>
      <c r="I1830" t="s">
        <v>5137</v>
      </c>
      <c r="J1830">
        <v>68757</v>
      </c>
      <c r="K1830" t="s">
        <v>3775</v>
      </c>
      <c r="L1830" t="s">
        <v>5165</v>
      </c>
      <c r="M1830" t="s">
        <v>19</v>
      </c>
      <c r="N1830">
        <v>45567</v>
      </c>
      <c r="O1830">
        <v>572</v>
      </c>
      <c r="P1830" t="s">
        <v>29</v>
      </c>
      <c r="Q1830">
        <v>0</v>
      </c>
      <c r="R1830" t="s">
        <v>5116</v>
      </c>
      <c r="S1830" t="s">
        <v>21</v>
      </c>
      <c r="T1830" t="s">
        <v>29</v>
      </c>
    </row>
    <row r="1831" spans="1:20" x14ac:dyDescent="0.3">
      <c r="A1831" t="s">
        <v>3776</v>
      </c>
      <c r="B1831" t="s">
        <v>89</v>
      </c>
      <c r="C1831" t="s">
        <v>175</v>
      </c>
      <c r="D1831" t="s">
        <v>68</v>
      </c>
      <c r="E1831" t="s">
        <v>5127</v>
      </c>
      <c r="F1831" t="s">
        <v>5125</v>
      </c>
      <c r="G1831" t="s">
        <v>50</v>
      </c>
      <c r="H1831" t="s">
        <v>5142</v>
      </c>
      <c r="I1831" t="s">
        <v>5143</v>
      </c>
      <c r="J1831">
        <v>150508</v>
      </c>
      <c r="K1831" t="s">
        <v>3777</v>
      </c>
      <c r="L1831" t="s">
        <v>113</v>
      </c>
      <c r="M1831" t="s">
        <v>72</v>
      </c>
      <c r="N1831">
        <v>45637</v>
      </c>
      <c r="O1831">
        <v>2063</v>
      </c>
      <c r="P1831" t="s">
        <v>29</v>
      </c>
      <c r="Q1831">
        <v>4</v>
      </c>
      <c r="R1831" t="s">
        <v>40</v>
      </c>
      <c r="S1831" t="s">
        <v>53</v>
      </c>
      <c r="T1831" t="s">
        <v>29</v>
      </c>
    </row>
    <row r="1832" spans="1:20" x14ac:dyDescent="0.3">
      <c r="A1832" t="s">
        <v>3778</v>
      </c>
      <c r="B1832" t="s">
        <v>130</v>
      </c>
      <c r="C1832" t="s">
        <v>125</v>
      </c>
      <c r="D1832" t="s">
        <v>167</v>
      </c>
      <c r="E1832" t="s">
        <v>34</v>
      </c>
      <c r="F1832" t="s">
        <v>35</v>
      </c>
      <c r="G1832" t="s">
        <v>36</v>
      </c>
      <c r="H1832" t="s">
        <v>5142</v>
      </c>
      <c r="I1832" t="s">
        <v>5143</v>
      </c>
      <c r="J1832">
        <v>169121</v>
      </c>
      <c r="K1832" t="s">
        <v>3779</v>
      </c>
      <c r="L1832" t="s">
        <v>179</v>
      </c>
      <c r="M1832" t="s">
        <v>46</v>
      </c>
      <c r="N1832">
        <v>45625</v>
      </c>
      <c r="O1832">
        <v>3764</v>
      </c>
      <c r="P1832" t="s">
        <v>20</v>
      </c>
      <c r="Q1832">
        <v>4</v>
      </c>
      <c r="R1832" t="s">
        <v>52</v>
      </c>
      <c r="S1832" t="s">
        <v>21</v>
      </c>
      <c r="T1832" t="s">
        <v>29</v>
      </c>
    </row>
    <row r="1833" spans="1:20" x14ac:dyDescent="0.3">
      <c r="A1833" t="s">
        <v>3780</v>
      </c>
      <c r="B1833" t="s">
        <v>31</v>
      </c>
      <c r="C1833" t="s">
        <v>219</v>
      </c>
      <c r="D1833" t="s">
        <v>33</v>
      </c>
      <c r="E1833" t="s">
        <v>80</v>
      </c>
      <c r="F1833" t="s">
        <v>80</v>
      </c>
      <c r="G1833" t="s">
        <v>50</v>
      </c>
      <c r="H1833" t="s">
        <v>5142</v>
      </c>
      <c r="I1833" t="s">
        <v>5143</v>
      </c>
      <c r="J1833">
        <v>156296</v>
      </c>
      <c r="K1833" t="s">
        <v>3781</v>
      </c>
      <c r="L1833" t="s">
        <v>134</v>
      </c>
      <c r="M1833" t="s">
        <v>39</v>
      </c>
      <c r="N1833">
        <v>45406</v>
      </c>
      <c r="O1833">
        <v>737</v>
      </c>
      <c r="P1833" t="s">
        <v>29</v>
      </c>
      <c r="Q1833">
        <v>4</v>
      </c>
      <c r="R1833" t="s">
        <v>40</v>
      </c>
      <c r="S1833" t="s">
        <v>21</v>
      </c>
      <c r="T1833" t="s">
        <v>20</v>
      </c>
    </row>
    <row r="1834" spans="1:20" x14ac:dyDescent="0.3">
      <c r="A1834" t="s">
        <v>3782</v>
      </c>
      <c r="B1834" t="s">
        <v>124</v>
      </c>
      <c r="C1834" t="s">
        <v>103</v>
      </c>
      <c r="D1834" t="s">
        <v>104</v>
      </c>
      <c r="E1834" t="s">
        <v>34</v>
      </c>
      <c r="F1834" t="s">
        <v>35</v>
      </c>
      <c r="G1834" t="s">
        <v>16</v>
      </c>
      <c r="H1834" t="s">
        <v>5138</v>
      </c>
      <c r="I1834" t="s">
        <v>5139</v>
      </c>
      <c r="J1834">
        <v>234312</v>
      </c>
      <c r="K1834" t="s">
        <v>3783</v>
      </c>
      <c r="L1834" t="s">
        <v>38</v>
      </c>
      <c r="M1834" t="s">
        <v>19</v>
      </c>
      <c r="N1834">
        <v>45658</v>
      </c>
      <c r="O1834">
        <v>1433</v>
      </c>
      <c r="P1834" t="s">
        <v>20</v>
      </c>
      <c r="Q1834">
        <v>6</v>
      </c>
      <c r="R1834" t="s">
        <v>5116</v>
      </c>
      <c r="S1834" t="s">
        <v>53</v>
      </c>
      <c r="T1834" t="s">
        <v>29</v>
      </c>
    </row>
    <row r="1835" spans="1:20" x14ac:dyDescent="0.3">
      <c r="A1835" t="s">
        <v>3784</v>
      </c>
      <c r="B1835" t="s">
        <v>12</v>
      </c>
      <c r="C1835" t="s">
        <v>109</v>
      </c>
      <c r="D1835" t="s">
        <v>118</v>
      </c>
      <c r="E1835" t="s">
        <v>26</v>
      </c>
      <c r="F1835" t="s">
        <v>27</v>
      </c>
      <c r="G1835" t="s">
        <v>16</v>
      </c>
      <c r="H1835" t="s">
        <v>5140</v>
      </c>
      <c r="I1835" t="s">
        <v>5141</v>
      </c>
      <c r="J1835">
        <v>115685</v>
      </c>
      <c r="K1835" t="s">
        <v>3785</v>
      </c>
      <c r="L1835" t="s">
        <v>5165</v>
      </c>
      <c r="M1835" t="s">
        <v>39</v>
      </c>
      <c r="N1835">
        <v>45728</v>
      </c>
      <c r="O1835">
        <v>3565</v>
      </c>
      <c r="P1835" t="s">
        <v>92</v>
      </c>
      <c r="Q1835">
        <v>2</v>
      </c>
      <c r="R1835" t="s">
        <v>52</v>
      </c>
      <c r="S1835" t="s">
        <v>21</v>
      </c>
      <c r="T1835" t="s">
        <v>20</v>
      </c>
    </row>
    <row r="1836" spans="1:20" x14ac:dyDescent="0.3">
      <c r="A1836" t="s">
        <v>3786</v>
      </c>
      <c r="B1836" t="s">
        <v>215</v>
      </c>
      <c r="C1836" t="s">
        <v>188</v>
      </c>
      <c r="D1836" t="s">
        <v>44</v>
      </c>
      <c r="E1836" t="s">
        <v>193</v>
      </c>
      <c r="F1836" t="s">
        <v>194</v>
      </c>
      <c r="G1836" t="s">
        <v>36</v>
      </c>
      <c r="H1836" t="s">
        <v>5138</v>
      </c>
      <c r="I1836" t="s">
        <v>5139</v>
      </c>
      <c r="J1836">
        <v>177952</v>
      </c>
      <c r="K1836" t="s">
        <v>3787</v>
      </c>
      <c r="L1836" t="s">
        <v>87</v>
      </c>
      <c r="M1836" t="s">
        <v>39</v>
      </c>
      <c r="N1836">
        <v>45316</v>
      </c>
      <c r="O1836">
        <v>187</v>
      </c>
      <c r="P1836" t="s">
        <v>29</v>
      </c>
      <c r="Q1836">
        <v>6</v>
      </c>
      <c r="R1836" t="s">
        <v>47</v>
      </c>
      <c r="S1836" t="s">
        <v>21</v>
      </c>
      <c r="T1836" t="s">
        <v>29</v>
      </c>
    </row>
    <row r="1837" spans="1:20" x14ac:dyDescent="0.3">
      <c r="A1837" t="s">
        <v>3788</v>
      </c>
      <c r="B1837" t="s">
        <v>31</v>
      </c>
      <c r="C1837" t="s">
        <v>24</v>
      </c>
      <c r="D1837" t="s">
        <v>118</v>
      </c>
      <c r="E1837" t="s">
        <v>34</v>
      </c>
      <c r="F1837" t="s">
        <v>35</v>
      </c>
      <c r="G1837" t="s">
        <v>50</v>
      </c>
      <c r="H1837" t="s">
        <v>5142</v>
      </c>
      <c r="I1837" t="s">
        <v>5143</v>
      </c>
      <c r="J1837">
        <v>159760</v>
      </c>
      <c r="K1837" t="s">
        <v>3789</v>
      </c>
      <c r="L1837" t="s">
        <v>179</v>
      </c>
      <c r="M1837" t="s">
        <v>46</v>
      </c>
      <c r="N1837">
        <v>45627</v>
      </c>
      <c r="O1837">
        <v>1449</v>
      </c>
      <c r="P1837" t="s">
        <v>20</v>
      </c>
      <c r="Q1837">
        <v>4</v>
      </c>
      <c r="R1837" t="s">
        <v>52</v>
      </c>
      <c r="S1837" t="s">
        <v>21</v>
      </c>
      <c r="T1837" t="s">
        <v>29</v>
      </c>
    </row>
    <row r="1838" spans="1:20" x14ac:dyDescent="0.3">
      <c r="A1838" t="s">
        <v>3790</v>
      </c>
      <c r="B1838" t="s">
        <v>74</v>
      </c>
      <c r="C1838" t="s">
        <v>100</v>
      </c>
      <c r="D1838" t="s">
        <v>167</v>
      </c>
      <c r="E1838" t="s">
        <v>5124</v>
      </c>
      <c r="F1838" t="s">
        <v>5125</v>
      </c>
      <c r="G1838" t="s">
        <v>50</v>
      </c>
      <c r="H1838" t="s">
        <v>5140</v>
      </c>
      <c r="I1838" t="s">
        <v>5141</v>
      </c>
      <c r="J1838">
        <v>87354</v>
      </c>
      <c r="K1838" t="s">
        <v>3791</v>
      </c>
      <c r="L1838" t="s">
        <v>82</v>
      </c>
      <c r="M1838" t="s">
        <v>19</v>
      </c>
      <c r="N1838">
        <v>45549</v>
      </c>
      <c r="O1838">
        <v>1763</v>
      </c>
      <c r="P1838" t="s">
        <v>29</v>
      </c>
      <c r="Q1838">
        <v>2</v>
      </c>
      <c r="R1838" t="s">
        <v>76</v>
      </c>
      <c r="S1838" t="s">
        <v>53</v>
      </c>
      <c r="T1838" t="s">
        <v>20</v>
      </c>
    </row>
    <row r="1839" spans="1:20" x14ac:dyDescent="0.3">
      <c r="A1839" t="s">
        <v>3792</v>
      </c>
      <c r="B1839" t="s">
        <v>55</v>
      </c>
      <c r="C1839" t="s">
        <v>85</v>
      </c>
      <c r="D1839" t="s">
        <v>118</v>
      </c>
      <c r="E1839" t="s">
        <v>5126</v>
      </c>
      <c r="F1839" t="s">
        <v>5125</v>
      </c>
      <c r="G1839" t="s">
        <v>36</v>
      </c>
      <c r="H1839" t="s">
        <v>5136</v>
      </c>
      <c r="I1839" t="s">
        <v>5137</v>
      </c>
      <c r="J1839">
        <v>71367</v>
      </c>
      <c r="K1839" t="s">
        <v>3793</v>
      </c>
      <c r="L1839" t="s">
        <v>82</v>
      </c>
      <c r="M1839" t="s">
        <v>19</v>
      </c>
      <c r="N1839">
        <v>45525</v>
      </c>
      <c r="O1839">
        <v>348</v>
      </c>
      <c r="P1839" t="s">
        <v>20</v>
      </c>
      <c r="Q1839">
        <v>0</v>
      </c>
      <c r="R1839" t="s">
        <v>52</v>
      </c>
      <c r="S1839" t="s">
        <v>21</v>
      </c>
      <c r="T1839" t="s">
        <v>20</v>
      </c>
    </row>
    <row r="1840" spans="1:20" x14ac:dyDescent="0.3">
      <c r="A1840" t="s">
        <v>3794</v>
      </c>
      <c r="B1840" t="s">
        <v>215</v>
      </c>
      <c r="C1840" t="s">
        <v>219</v>
      </c>
      <c r="D1840" t="s">
        <v>167</v>
      </c>
      <c r="E1840" t="s">
        <v>5131</v>
      </c>
      <c r="F1840" t="s">
        <v>5125</v>
      </c>
      <c r="G1840" t="s">
        <v>16</v>
      </c>
      <c r="H1840" t="s">
        <v>5138</v>
      </c>
      <c r="I1840" t="s">
        <v>5139</v>
      </c>
      <c r="J1840">
        <v>198803</v>
      </c>
      <c r="K1840" t="s">
        <v>3795</v>
      </c>
      <c r="L1840" t="s">
        <v>134</v>
      </c>
      <c r="M1840" t="s">
        <v>46</v>
      </c>
      <c r="N1840">
        <v>45495</v>
      </c>
      <c r="O1840">
        <v>3134</v>
      </c>
      <c r="P1840" t="s">
        <v>29</v>
      </c>
      <c r="Q1840">
        <v>6</v>
      </c>
      <c r="R1840" t="s">
        <v>52</v>
      </c>
      <c r="S1840" t="s">
        <v>21</v>
      </c>
      <c r="T1840" t="s">
        <v>29</v>
      </c>
    </row>
    <row r="1841" spans="1:20" x14ac:dyDescent="0.3">
      <c r="A1841" t="s">
        <v>3796</v>
      </c>
      <c r="B1841" t="s">
        <v>322</v>
      </c>
      <c r="C1841" t="s">
        <v>202</v>
      </c>
      <c r="D1841" t="s">
        <v>57</v>
      </c>
      <c r="E1841" t="s">
        <v>58</v>
      </c>
      <c r="F1841" t="s">
        <v>59</v>
      </c>
      <c r="G1841" t="s">
        <v>50</v>
      </c>
      <c r="H1841" t="s">
        <v>5138</v>
      </c>
      <c r="I1841" t="s">
        <v>5139</v>
      </c>
      <c r="J1841">
        <v>192507</v>
      </c>
      <c r="K1841" t="s">
        <v>3797</v>
      </c>
      <c r="L1841" t="s">
        <v>5165</v>
      </c>
      <c r="M1841" t="s">
        <v>39</v>
      </c>
      <c r="N1841">
        <v>45637</v>
      </c>
      <c r="O1841">
        <v>41</v>
      </c>
      <c r="P1841" t="s">
        <v>29</v>
      </c>
      <c r="Q1841">
        <v>6</v>
      </c>
      <c r="R1841" t="s">
        <v>40</v>
      </c>
      <c r="S1841" t="s">
        <v>53</v>
      </c>
      <c r="T1841" t="s">
        <v>20</v>
      </c>
    </row>
    <row r="1842" spans="1:20" x14ac:dyDescent="0.3">
      <c r="A1842" t="s">
        <v>3798</v>
      </c>
      <c r="B1842" t="s">
        <v>322</v>
      </c>
      <c r="C1842" t="s">
        <v>139</v>
      </c>
      <c r="D1842" t="s">
        <v>104</v>
      </c>
      <c r="E1842" t="s">
        <v>5127</v>
      </c>
      <c r="F1842" t="s">
        <v>5125</v>
      </c>
      <c r="G1842" t="s">
        <v>16</v>
      </c>
      <c r="H1842" t="s">
        <v>5138</v>
      </c>
      <c r="I1842" t="s">
        <v>5139</v>
      </c>
      <c r="J1842">
        <v>195372</v>
      </c>
      <c r="K1842" t="s">
        <v>3799</v>
      </c>
      <c r="L1842" t="s">
        <v>134</v>
      </c>
      <c r="M1842" t="s">
        <v>19</v>
      </c>
      <c r="N1842">
        <v>45293</v>
      </c>
      <c r="O1842">
        <v>3990</v>
      </c>
      <c r="P1842" t="s">
        <v>29</v>
      </c>
      <c r="Q1842">
        <v>6</v>
      </c>
      <c r="R1842" t="s">
        <v>47</v>
      </c>
      <c r="S1842" t="s">
        <v>21</v>
      </c>
      <c r="T1842" t="s">
        <v>29</v>
      </c>
    </row>
    <row r="1843" spans="1:20" x14ac:dyDescent="0.3">
      <c r="A1843" t="s">
        <v>3800</v>
      </c>
      <c r="B1843" t="s">
        <v>84</v>
      </c>
      <c r="C1843" t="s">
        <v>32</v>
      </c>
      <c r="D1843" t="s">
        <v>25</v>
      </c>
      <c r="E1843" t="s">
        <v>5133</v>
      </c>
      <c r="F1843" t="s">
        <v>5125</v>
      </c>
      <c r="G1843" t="s">
        <v>16</v>
      </c>
      <c r="H1843" t="s">
        <v>5136</v>
      </c>
      <c r="I1843" t="s">
        <v>5137</v>
      </c>
      <c r="J1843">
        <v>50000</v>
      </c>
      <c r="K1843" t="s">
        <v>3801</v>
      </c>
      <c r="L1843" t="s">
        <v>5165</v>
      </c>
      <c r="M1843" t="s">
        <v>19</v>
      </c>
      <c r="N1843">
        <v>45436</v>
      </c>
      <c r="O1843">
        <v>2902</v>
      </c>
      <c r="P1843" t="s">
        <v>20</v>
      </c>
      <c r="Q1843">
        <v>0</v>
      </c>
      <c r="R1843" t="s">
        <v>5116</v>
      </c>
      <c r="S1843" t="s">
        <v>21</v>
      </c>
      <c r="T1843" t="s">
        <v>29</v>
      </c>
    </row>
    <row r="1844" spans="1:20" x14ac:dyDescent="0.3">
      <c r="A1844" t="s">
        <v>3802</v>
      </c>
      <c r="B1844" t="s">
        <v>31</v>
      </c>
      <c r="C1844" t="s">
        <v>172</v>
      </c>
      <c r="D1844" t="s">
        <v>44</v>
      </c>
      <c r="E1844" t="s">
        <v>69</v>
      </c>
      <c r="F1844" t="s">
        <v>70</v>
      </c>
      <c r="G1844" t="s">
        <v>36</v>
      </c>
      <c r="H1844" t="s">
        <v>5138</v>
      </c>
      <c r="I1844" t="s">
        <v>5139</v>
      </c>
      <c r="J1844">
        <v>180245</v>
      </c>
      <c r="K1844" t="s">
        <v>3803</v>
      </c>
      <c r="L1844" t="s">
        <v>5165</v>
      </c>
      <c r="M1844" t="s">
        <v>39</v>
      </c>
      <c r="N1844">
        <v>45613</v>
      </c>
      <c r="O1844">
        <v>1332</v>
      </c>
      <c r="P1844" t="s">
        <v>20</v>
      </c>
      <c r="Q1844">
        <v>6</v>
      </c>
      <c r="R1844" t="s">
        <v>76</v>
      </c>
      <c r="S1844" t="s">
        <v>21</v>
      </c>
      <c r="T1844" t="s">
        <v>20</v>
      </c>
    </row>
    <row r="1845" spans="1:20" x14ac:dyDescent="0.3">
      <c r="A1845" t="s">
        <v>3804</v>
      </c>
      <c r="B1845" t="s">
        <v>12</v>
      </c>
      <c r="C1845" t="s">
        <v>117</v>
      </c>
      <c r="D1845" t="s">
        <v>167</v>
      </c>
      <c r="E1845" t="s">
        <v>209</v>
      </c>
      <c r="F1845" t="s">
        <v>210</v>
      </c>
      <c r="G1845" t="s">
        <v>16</v>
      </c>
      <c r="H1845" t="s">
        <v>5136</v>
      </c>
      <c r="I1845" t="s">
        <v>5137</v>
      </c>
      <c r="J1845">
        <v>71169</v>
      </c>
      <c r="K1845" t="s">
        <v>3805</v>
      </c>
      <c r="L1845" t="s">
        <v>238</v>
      </c>
      <c r="M1845" t="s">
        <v>46</v>
      </c>
      <c r="N1845">
        <v>45437</v>
      </c>
      <c r="O1845">
        <v>2876</v>
      </c>
      <c r="P1845" t="s">
        <v>20</v>
      </c>
      <c r="Q1845">
        <v>0</v>
      </c>
      <c r="R1845" t="s">
        <v>52</v>
      </c>
      <c r="S1845" t="s">
        <v>53</v>
      </c>
      <c r="T1845" t="s">
        <v>29</v>
      </c>
    </row>
    <row r="1846" spans="1:20" x14ac:dyDescent="0.3">
      <c r="A1846" t="s">
        <v>3806</v>
      </c>
      <c r="B1846" t="s">
        <v>136</v>
      </c>
      <c r="C1846" t="s">
        <v>117</v>
      </c>
      <c r="D1846" t="s">
        <v>25</v>
      </c>
      <c r="E1846" t="s">
        <v>5129</v>
      </c>
      <c r="F1846" t="s">
        <v>5130</v>
      </c>
      <c r="G1846" t="s">
        <v>16</v>
      </c>
      <c r="H1846" t="s">
        <v>5142</v>
      </c>
      <c r="I1846" t="s">
        <v>5143</v>
      </c>
      <c r="J1846">
        <v>154316</v>
      </c>
      <c r="K1846" t="s">
        <v>3807</v>
      </c>
      <c r="L1846" t="s">
        <v>82</v>
      </c>
      <c r="M1846" t="s">
        <v>46</v>
      </c>
      <c r="N1846">
        <v>45426</v>
      </c>
      <c r="O1846">
        <v>3364</v>
      </c>
      <c r="P1846" t="s">
        <v>29</v>
      </c>
      <c r="Q1846">
        <v>4</v>
      </c>
      <c r="R1846" t="s">
        <v>76</v>
      </c>
      <c r="S1846" t="s">
        <v>21</v>
      </c>
      <c r="T1846" t="s">
        <v>20</v>
      </c>
    </row>
    <row r="1847" spans="1:20" x14ac:dyDescent="0.3">
      <c r="A1847" t="s">
        <v>3808</v>
      </c>
      <c r="B1847" t="s">
        <v>84</v>
      </c>
      <c r="C1847" t="s">
        <v>188</v>
      </c>
      <c r="D1847" t="s">
        <v>57</v>
      </c>
      <c r="E1847" t="s">
        <v>193</v>
      </c>
      <c r="F1847" t="s">
        <v>194</v>
      </c>
      <c r="G1847" t="s">
        <v>36</v>
      </c>
      <c r="H1847" t="s">
        <v>5140</v>
      </c>
      <c r="I1847" t="s">
        <v>5141</v>
      </c>
      <c r="J1847">
        <v>89652</v>
      </c>
      <c r="K1847" t="s">
        <v>3809</v>
      </c>
      <c r="L1847" t="s">
        <v>134</v>
      </c>
      <c r="M1847" t="s">
        <v>46</v>
      </c>
      <c r="N1847">
        <v>45339</v>
      </c>
      <c r="O1847">
        <v>2485</v>
      </c>
      <c r="P1847" t="s">
        <v>29</v>
      </c>
      <c r="Q1847">
        <v>2</v>
      </c>
      <c r="R1847" t="s">
        <v>47</v>
      </c>
      <c r="S1847" t="s">
        <v>41</v>
      </c>
      <c r="T1847" t="s">
        <v>20</v>
      </c>
    </row>
    <row r="1848" spans="1:20" x14ac:dyDescent="0.3">
      <c r="A1848" t="s">
        <v>3810</v>
      </c>
      <c r="B1848" t="s">
        <v>84</v>
      </c>
      <c r="C1848" t="s">
        <v>188</v>
      </c>
      <c r="D1848" t="s">
        <v>68</v>
      </c>
      <c r="E1848" t="s">
        <v>5128</v>
      </c>
      <c r="F1848" t="s">
        <v>5125</v>
      </c>
      <c r="G1848" t="s">
        <v>50</v>
      </c>
      <c r="H1848" t="s">
        <v>5136</v>
      </c>
      <c r="I1848" t="s">
        <v>5137</v>
      </c>
      <c r="J1848">
        <v>85947</v>
      </c>
      <c r="K1848" t="s">
        <v>3811</v>
      </c>
      <c r="L1848" t="s">
        <v>134</v>
      </c>
      <c r="M1848" t="s">
        <v>19</v>
      </c>
      <c r="N1848">
        <v>45643</v>
      </c>
      <c r="O1848">
        <v>2009</v>
      </c>
      <c r="P1848" t="s">
        <v>20</v>
      </c>
      <c r="Q1848">
        <v>0</v>
      </c>
      <c r="R1848" t="s">
        <v>52</v>
      </c>
      <c r="S1848" t="s">
        <v>21</v>
      </c>
      <c r="T1848" t="s">
        <v>20</v>
      </c>
    </row>
    <row r="1849" spans="1:20" x14ac:dyDescent="0.3">
      <c r="A1849" t="s">
        <v>3812</v>
      </c>
      <c r="B1849" t="s">
        <v>124</v>
      </c>
      <c r="C1849" t="s">
        <v>232</v>
      </c>
      <c r="D1849" t="s">
        <v>167</v>
      </c>
      <c r="E1849" t="s">
        <v>223</v>
      </c>
      <c r="F1849" t="s">
        <v>224</v>
      </c>
      <c r="G1849" t="s">
        <v>16</v>
      </c>
      <c r="H1849" t="s">
        <v>5142</v>
      </c>
      <c r="I1849" t="s">
        <v>5143</v>
      </c>
      <c r="J1849">
        <v>126613</v>
      </c>
      <c r="K1849" t="s">
        <v>3813</v>
      </c>
      <c r="L1849" t="s">
        <v>238</v>
      </c>
      <c r="M1849" t="s">
        <v>46</v>
      </c>
      <c r="N1849">
        <v>45471</v>
      </c>
      <c r="O1849">
        <v>3501</v>
      </c>
      <c r="P1849" t="s">
        <v>92</v>
      </c>
      <c r="Q1849">
        <v>4</v>
      </c>
      <c r="R1849" t="s">
        <v>52</v>
      </c>
      <c r="S1849" t="s">
        <v>53</v>
      </c>
      <c r="T1849" t="s">
        <v>29</v>
      </c>
    </row>
    <row r="1850" spans="1:20" x14ac:dyDescent="0.3">
      <c r="A1850" t="s">
        <v>3814</v>
      </c>
      <c r="B1850" t="s">
        <v>31</v>
      </c>
      <c r="C1850" t="s">
        <v>43</v>
      </c>
      <c r="D1850" t="s">
        <v>118</v>
      </c>
      <c r="E1850" t="s">
        <v>95</v>
      </c>
      <c r="F1850" t="s">
        <v>96</v>
      </c>
      <c r="G1850" t="s">
        <v>50</v>
      </c>
      <c r="H1850" t="s">
        <v>5138</v>
      </c>
      <c r="I1850" t="s">
        <v>5139</v>
      </c>
      <c r="J1850">
        <v>234900</v>
      </c>
      <c r="K1850" t="s">
        <v>3815</v>
      </c>
      <c r="L1850" t="s">
        <v>18</v>
      </c>
      <c r="M1850" t="s">
        <v>46</v>
      </c>
      <c r="N1850">
        <v>45532</v>
      </c>
      <c r="O1850">
        <v>3828</v>
      </c>
      <c r="P1850" t="s">
        <v>20</v>
      </c>
      <c r="Q1850">
        <v>6</v>
      </c>
      <c r="R1850" t="s">
        <v>52</v>
      </c>
      <c r="S1850" t="s">
        <v>53</v>
      </c>
      <c r="T1850" t="s">
        <v>20</v>
      </c>
    </row>
    <row r="1851" spans="1:20" x14ac:dyDescent="0.3">
      <c r="A1851" t="s">
        <v>3816</v>
      </c>
      <c r="B1851" t="s">
        <v>63</v>
      </c>
      <c r="C1851" t="s">
        <v>79</v>
      </c>
      <c r="D1851" t="s">
        <v>33</v>
      </c>
      <c r="E1851" t="s">
        <v>126</v>
      </c>
      <c r="F1851" t="s">
        <v>127</v>
      </c>
      <c r="G1851" t="s">
        <v>16</v>
      </c>
      <c r="H1851" t="s">
        <v>5136</v>
      </c>
      <c r="I1851" t="s">
        <v>5137</v>
      </c>
      <c r="J1851">
        <v>75382</v>
      </c>
      <c r="K1851" t="s">
        <v>3817</v>
      </c>
      <c r="L1851" t="s">
        <v>5165</v>
      </c>
      <c r="M1851" t="s">
        <v>46</v>
      </c>
      <c r="N1851">
        <v>45732</v>
      </c>
      <c r="O1851">
        <v>2416</v>
      </c>
      <c r="P1851" t="s">
        <v>20</v>
      </c>
      <c r="Q1851">
        <v>0</v>
      </c>
      <c r="R1851" t="s">
        <v>76</v>
      </c>
      <c r="S1851" t="s">
        <v>21</v>
      </c>
      <c r="T1851" t="s">
        <v>20</v>
      </c>
    </row>
    <row r="1852" spans="1:20" x14ac:dyDescent="0.3">
      <c r="A1852" t="s">
        <v>3818</v>
      </c>
      <c r="B1852" t="s">
        <v>23</v>
      </c>
      <c r="C1852" t="s">
        <v>56</v>
      </c>
      <c r="D1852" t="s">
        <v>5156</v>
      </c>
      <c r="E1852" t="s">
        <v>34</v>
      </c>
      <c r="F1852" t="s">
        <v>35</v>
      </c>
      <c r="G1852" t="s">
        <v>16</v>
      </c>
      <c r="H1852" t="s">
        <v>5136</v>
      </c>
      <c r="I1852" t="s">
        <v>5137</v>
      </c>
      <c r="J1852">
        <v>61857</v>
      </c>
      <c r="K1852" t="s">
        <v>3819</v>
      </c>
      <c r="L1852" t="s">
        <v>5165</v>
      </c>
      <c r="M1852" t="s">
        <v>46</v>
      </c>
      <c r="N1852">
        <v>45738</v>
      </c>
      <c r="O1852">
        <v>1901</v>
      </c>
      <c r="P1852" t="s">
        <v>20</v>
      </c>
      <c r="Q1852">
        <v>0</v>
      </c>
      <c r="R1852" t="s">
        <v>52</v>
      </c>
      <c r="S1852" t="s">
        <v>53</v>
      </c>
      <c r="T1852" t="s">
        <v>20</v>
      </c>
    </row>
    <row r="1853" spans="1:20" x14ac:dyDescent="0.3">
      <c r="A1853" t="s">
        <v>3820</v>
      </c>
      <c r="B1853" t="s">
        <v>63</v>
      </c>
      <c r="C1853" t="s">
        <v>232</v>
      </c>
      <c r="D1853" t="s">
        <v>140</v>
      </c>
      <c r="E1853" t="s">
        <v>193</v>
      </c>
      <c r="F1853" t="s">
        <v>194</v>
      </c>
      <c r="G1853" t="s">
        <v>36</v>
      </c>
      <c r="H1853" t="s">
        <v>5142</v>
      </c>
      <c r="I1853" t="s">
        <v>5143</v>
      </c>
      <c r="J1853">
        <v>197933</v>
      </c>
      <c r="K1853" t="s">
        <v>3821</v>
      </c>
      <c r="L1853" t="s">
        <v>18</v>
      </c>
      <c r="M1853" t="s">
        <v>46</v>
      </c>
      <c r="N1853">
        <v>45649</v>
      </c>
      <c r="O1853">
        <v>3959</v>
      </c>
      <c r="P1853" t="s">
        <v>20</v>
      </c>
      <c r="Q1853">
        <v>4</v>
      </c>
      <c r="R1853" t="s">
        <v>47</v>
      </c>
      <c r="S1853" t="s">
        <v>21</v>
      </c>
      <c r="T1853" t="s">
        <v>20</v>
      </c>
    </row>
    <row r="1854" spans="1:20" x14ac:dyDescent="0.3">
      <c r="A1854" t="s">
        <v>3822</v>
      </c>
      <c r="B1854" t="s">
        <v>218</v>
      </c>
      <c r="C1854" t="s">
        <v>121</v>
      </c>
      <c r="D1854" t="s">
        <v>44</v>
      </c>
      <c r="E1854" t="s">
        <v>193</v>
      </c>
      <c r="F1854" t="s">
        <v>194</v>
      </c>
      <c r="G1854" t="s">
        <v>36</v>
      </c>
      <c r="H1854" t="s">
        <v>5138</v>
      </c>
      <c r="I1854" t="s">
        <v>5139</v>
      </c>
      <c r="J1854">
        <v>157029</v>
      </c>
      <c r="K1854" t="s">
        <v>3823</v>
      </c>
      <c r="L1854" t="s">
        <v>5165</v>
      </c>
      <c r="M1854" t="s">
        <v>72</v>
      </c>
      <c r="N1854">
        <v>45595</v>
      </c>
      <c r="O1854">
        <v>1653</v>
      </c>
      <c r="P1854" t="s">
        <v>29</v>
      </c>
      <c r="Q1854">
        <v>6</v>
      </c>
      <c r="R1854" t="s">
        <v>76</v>
      </c>
      <c r="S1854" t="s">
        <v>41</v>
      </c>
      <c r="T1854" t="s">
        <v>20</v>
      </c>
    </row>
    <row r="1855" spans="1:20" x14ac:dyDescent="0.3">
      <c r="A1855" t="s">
        <v>3824</v>
      </c>
      <c r="B1855" t="s">
        <v>74</v>
      </c>
      <c r="C1855" t="s">
        <v>100</v>
      </c>
      <c r="D1855" t="s">
        <v>68</v>
      </c>
      <c r="E1855" t="s">
        <v>5133</v>
      </c>
      <c r="F1855" t="s">
        <v>5125</v>
      </c>
      <c r="G1855" t="s">
        <v>16</v>
      </c>
      <c r="H1855" t="s">
        <v>5140</v>
      </c>
      <c r="I1855" t="s">
        <v>5141</v>
      </c>
      <c r="J1855">
        <v>128199</v>
      </c>
      <c r="K1855" t="s">
        <v>3825</v>
      </c>
      <c r="L1855" t="s">
        <v>5165</v>
      </c>
      <c r="M1855" t="s">
        <v>46</v>
      </c>
      <c r="N1855">
        <v>45545</v>
      </c>
      <c r="O1855">
        <v>784</v>
      </c>
      <c r="P1855" t="s">
        <v>20</v>
      </c>
      <c r="Q1855">
        <v>2</v>
      </c>
      <c r="R1855" t="s">
        <v>5116</v>
      </c>
      <c r="S1855" t="s">
        <v>21</v>
      </c>
      <c r="T1855" t="s">
        <v>20</v>
      </c>
    </row>
    <row r="1856" spans="1:20" x14ac:dyDescent="0.3">
      <c r="A1856" t="s">
        <v>3826</v>
      </c>
      <c r="B1856" t="s">
        <v>89</v>
      </c>
      <c r="C1856" t="s">
        <v>24</v>
      </c>
      <c r="D1856" t="s">
        <v>68</v>
      </c>
      <c r="E1856" t="s">
        <v>14</v>
      </c>
      <c r="F1856" t="s">
        <v>15</v>
      </c>
      <c r="G1856" t="s">
        <v>36</v>
      </c>
      <c r="H1856" t="s">
        <v>5138</v>
      </c>
      <c r="I1856" t="s">
        <v>5139</v>
      </c>
      <c r="J1856">
        <v>236020</v>
      </c>
      <c r="K1856" t="s">
        <v>3827</v>
      </c>
      <c r="L1856" t="s">
        <v>5165</v>
      </c>
      <c r="M1856" t="s">
        <v>46</v>
      </c>
      <c r="N1856">
        <v>45436</v>
      </c>
      <c r="O1856">
        <v>973</v>
      </c>
      <c r="P1856" t="s">
        <v>20</v>
      </c>
      <c r="Q1856">
        <v>6</v>
      </c>
      <c r="R1856" t="s">
        <v>76</v>
      </c>
      <c r="S1856" t="s">
        <v>21</v>
      </c>
      <c r="T1856" t="s">
        <v>20</v>
      </c>
    </row>
    <row r="1857" spans="1:20" x14ac:dyDescent="0.3">
      <c r="A1857" t="s">
        <v>3828</v>
      </c>
      <c r="B1857" t="s">
        <v>12</v>
      </c>
      <c r="C1857" t="s">
        <v>79</v>
      </c>
      <c r="D1857" t="s">
        <v>25</v>
      </c>
      <c r="E1857" t="s">
        <v>5133</v>
      </c>
      <c r="F1857" t="s">
        <v>5125</v>
      </c>
      <c r="G1857" t="s">
        <v>16</v>
      </c>
      <c r="H1857" t="s">
        <v>5140</v>
      </c>
      <c r="I1857" t="s">
        <v>5141</v>
      </c>
      <c r="J1857">
        <v>96721</v>
      </c>
      <c r="K1857" t="s">
        <v>3829</v>
      </c>
      <c r="L1857" t="s">
        <v>5165</v>
      </c>
      <c r="M1857" t="s">
        <v>46</v>
      </c>
      <c r="N1857">
        <v>45310</v>
      </c>
      <c r="O1857">
        <v>619</v>
      </c>
      <c r="P1857" t="s">
        <v>20</v>
      </c>
      <c r="Q1857">
        <v>2</v>
      </c>
      <c r="R1857" t="s">
        <v>52</v>
      </c>
      <c r="S1857" t="s">
        <v>21</v>
      </c>
      <c r="T1857" t="s">
        <v>29</v>
      </c>
    </row>
    <row r="1858" spans="1:20" x14ac:dyDescent="0.3">
      <c r="A1858" t="s">
        <v>3830</v>
      </c>
      <c r="B1858" t="s">
        <v>322</v>
      </c>
      <c r="C1858" t="s">
        <v>185</v>
      </c>
      <c r="D1858" t="s">
        <v>68</v>
      </c>
      <c r="E1858" t="s">
        <v>80</v>
      </c>
      <c r="F1858" t="s">
        <v>80</v>
      </c>
      <c r="G1858" t="s">
        <v>16</v>
      </c>
      <c r="H1858" t="s">
        <v>5140</v>
      </c>
      <c r="I1858" t="s">
        <v>5141</v>
      </c>
      <c r="J1858">
        <v>137570</v>
      </c>
      <c r="K1858" t="s">
        <v>3831</v>
      </c>
      <c r="L1858" t="s">
        <v>87</v>
      </c>
      <c r="M1858" t="s">
        <v>19</v>
      </c>
      <c r="N1858">
        <v>45639</v>
      </c>
      <c r="O1858">
        <v>2637</v>
      </c>
      <c r="P1858" t="s">
        <v>20</v>
      </c>
      <c r="Q1858">
        <v>2</v>
      </c>
      <c r="R1858" t="s">
        <v>47</v>
      </c>
      <c r="S1858" t="s">
        <v>21</v>
      </c>
      <c r="T1858" t="s">
        <v>20</v>
      </c>
    </row>
    <row r="1859" spans="1:20" x14ac:dyDescent="0.3">
      <c r="A1859" t="s">
        <v>3832</v>
      </c>
      <c r="B1859" t="s">
        <v>89</v>
      </c>
      <c r="C1859" t="s">
        <v>64</v>
      </c>
      <c r="D1859" t="s">
        <v>68</v>
      </c>
      <c r="E1859" t="s">
        <v>26</v>
      </c>
      <c r="F1859" t="s">
        <v>27</v>
      </c>
      <c r="G1859" t="s">
        <v>16</v>
      </c>
      <c r="H1859" t="s">
        <v>5142</v>
      </c>
      <c r="I1859" t="s">
        <v>5143</v>
      </c>
      <c r="J1859">
        <v>143248</v>
      </c>
      <c r="K1859" t="s">
        <v>3833</v>
      </c>
      <c r="L1859" t="s">
        <v>113</v>
      </c>
      <c r="M1859" t="s">
        <v>72</v>
      </c>
      <c r="N1859">
        <v>45723</v>
      </c>
      <c r="O1859">
        <v>1976</v>
      </c>
      <c r="P1859" t="s">
        <v>20</v>
      </c>
      <c r="Q1859">
        <v>4</v>
      </c>
      <c r="R1859" t="s">
        <v>5116</v>
      </c>
      <c r="S1859" t="s">
        <v>21</v>
      </c>
      <c r="T1859" t="s">
        <v>29</v>
      </c>
    </row>
    <row r="1860" spans="1:20" x14ac:dyDescent="0.3">
      <c r="A1860" t="s">
        <v>3834</v>
      </c>
      <c r="B1860" t="s">
        <v>136</v>
      </c>
      <c r="C1860" t="s">
        <v>139</v>
      </c>
      <c r="D1860" t="s">
        <v>57</v>
      </c>
      <c r="E1860" t="s">
        <v>223</v>
      </c>
      <c r="F1860" t="s">
        <v>224</v>
      </c>
      <c r="G1860" t="s">
        <v>36</v>
      </c>
      <c r="H1860" t="s">
        <v>5140</v>
      </c>
      <c r="I1860" t="s">
        <v>5141</v>
      </c>
      <c r="J1860">
        <v>115716</v>
      </c>
      <c r="K1860" t="s">
        <v>3835</v>
      </c>
      <c r="L1860" t="s">
        <v>142</v>
      </c>
      <c r="M1860" t="s">
        <v>46</v>
      </c>
      <c r="N1860">
        <v>45354</v>
      </c>
      <c r="O1860">
        <v>3719</v>
      </c>
      <c r="P1860" t="s">
        <v>92</v>
      </c>
      <c r="Q1860">
        <v>2</v>
      </c>
      <c r="R1860" t="s">
        <v>47</v>
      </c>
      <c r="S1860" t="s">
        <v>21</v>
      </c>
      <c r="T1860" t="s">
        <v>29</v>
      </c>
    </row>
    <row r="1861" spans="1:20" x14ac:dyDescent="0.3">
      <c r="A1861" t="s">
        <v>3836</v>
      </c>
      <c r="B1861" t="s">
        <v>165</v>
      </c>
      <c r="C1861" t="s">
        <v>232</v>
      </c>
      <c r="D1861" t="s">
        <v>118</v>
      </c>
      <c r="E1861" t="s">
        <v>5127</v>
      </c>
      <c r="F1861" t="s">
        <v>5125</v>
      </c>
      <c r="G1861" t="s">
        <v>16</v>
      </c>
      <c r="H1861" t="s">
        <v>5142</v>
      </c>
      <c r="I1861" t="s">
        <v>5143</v>
      </c>
      <c r="J1861">
        <v>157028</v>
      </c>
      <c r="K1861" t="s">
        <v>3837</v>
      </c>
      <c r="L1861" t="s">
        <v>142</v>
      </c>
      <c r="M1861" t="s">
        <v>46</v>
      </c>
      <c r="N1861">
        <v>45538</v>
      </c>
      <c r="O1861">
        <v>1246</v>
      </c>
      <c r="P1861" t="s">
        <v>20</v>
      </c>
      <c r="Q1861">
        <v>4</v>
      </c>
      <c r="R1861" t="s">
        <v>47</v>
      </c>
      <c r="S1861" t="s">
        <v>21</v>
      </c>
      <c r="T1861" t="s">
        <v>20</v>
      </c>
    </row>
    <row r="1862" spans="1:20" x14ac:dyDescent="0.3">
      <c r="A1862" t="s">
        <v>3838</v>
      </c>
      <c r="B1862" t="s">
        <v>63</v>
      </c>
      <c r="C1862" t="s">
        <v>49</v>
      </c>
      <c r="D1862" t="s">
        <v>104</v>
      </c>
      <c r="E1862" t="s">
        <v>5124</v>
      </c>
      <c r="F1862" t="s">
        <v>5125</v>
      </c>
      <c r="G1862" t="s">
        <v>36</v>
      </c>
      <c r="H1862" t="s">
        <v>5136</v>
      </c>
      <c r="I1862" t="s">
        <v>5137</v>
      </c>
      <c r="J1862">
        <v>68307</v>
      </c>
      <c r="K1862" t="s">
        <v>3839</v>
      </c>
      <c r="L1862" t="s">
        <v>238</v>
      </c>
      <c r="M1862" t="s">
        <v>39</v>
      </c>
      <c r="N1862">
        <v>45308</v>
      </c>
      <c r="O1862">
        <v>1856</v>
      </c>
      <c r="P1862" t="s">
        <v>20</v>
      </c>
      <c r="Q1862">
        <v>0</v>
      </c>
      <c r="R1862" t="s">
        <v>52</v>
      </c>
      <c r="S1862" t="s">
        <v>21</v>
      </c>
      <c r="T1862" t="s">
        <v>20</v>
      </c>
    </row>
    <row r="1863" spans="1:20" x14ac:dyDescent="0.3">
      <c r="A1863" t="s">
        <v>3840</v>
      </c>
      <c r="B1863" t="s">
        <v>99</v>
      </c>
      <c r="C1863" t="s">
        <v>117</v>
      </c>
      <c r="D1863" t="s">
        <v>140</v>
      </c>
      <c r="E1863" t="s">
        <v>193</v>
      </c>
      <c r="F1863" t="s">
        <v>194</v>
      </c>
      <c r="G1863" t="s">
        <v>16</v>
      </c>
      <c r="H1863" t="s">
        <v>5140</v>
      </c>
      <c r="I1863" t="s">
        <v>5141</v>
      </c>
      <c r="J1863">
        <v>126054</v>
      </c>
      <c r="K1863" t="s">
        <v>3841</v>
      </c>
      <c r="L1863" t="s">
        <v>38</v>
      </c>
      <c r="M1863" t="s">
        <v>46</v>
      </c>
      <c r="N1863">
        <v>45566</v>
      </c>
      <c r="O1863">
        <v>943</v>
      </c>
      <c r="P1863" t="s">
        <v>20</v>
      </c>
      <c r="Q1863">
        <v>2</v>
      </c>
      <c r="R1863" t="s">
        <v>76</v>
      </c>
      <c r="S1863" t="s">
        <v>21</v>
      </c>
      <c r="T1863" t="s">
        <v>29</v>
      </c>
    </row>
    <row r="1864" spans="1:20" x14ac:dyDescent="0.3">
      <c r="A1864" t="s">
        <v>3842</v>
      </c>
      <c r="B1864" t="s">
        <v>12</v>
      </c>
      <c r="C1864" t="s">
        <v>109</v>
      </c>
      <c r="D1864" t="s">
        <v>104</v>
      </c>
      <c r="E1864" t="s">
        <v>5128</v>
      </c>
      <c r="F1864" t="s">
        <v>5125</v>
      </c>
      <c r="G1864" t="s">
        <v>16</v>
      </c>
      <c r="H1864" t="s">
        <v>5136</v>
      </c>
      <c r="I1864" t="s">
        <v>5137</v>
      </c>
      <c r="J1864">
        <v>79997</v>
      </c>
      <c r="K1864" t="s">
        <v>3843</v>
      </c>
      <c r="L1864" t="s">
        <v>113</v>
      </c>
      <c r="M1864" t="s">
        <v>19</v>
      </c>
      <c r="N1864">
        <v>45366</v>
      </c>
      <c r="O1864">
        <v>447</v>
      </c>
      <c r="P1864" t="s">
        <v>92</v>
      </c>
      <c r="Q1864">
        <v>0</v>
      </c>
      <c r="R1864" t="s">
        <v>5116</v>
      </c>
      <c r="S1864" t="s">
        <v>21</v>
      </c>
      <c r="T1864" t="s">
        <v>20</v>
      </c>
    </row>
    <row r="1865" spans="1:20" x14ac:dyDescent="0.3">
      <c r="A1865" t="s">
        <v>3844</v>
      </c>
      <c r="B1865" t="s">
        <v>78</v>
      </c>
      <c r="C1865" t="s">
        <v>90</v>
      </c>
      <c r="D1865" t="s">
        <v>104</v>
      </c>
      <c r="E1865" t="s">
        <v>209</v>
      </c>
      <c r="F1865" t="s">
        <v>210</v>
      </c>
      <c r="G1865" t="s">
        <v>50</v>
      </c>
      <c r="H1865" t="s">
        <v>5138</v>
      </c>
      <c r="I1865" t="s">
        <v>5139</v>
      </c>
      <c r="J1865">
        <v>137052</v>
      </c>
      <c r="K1865" t="s">
        <v>3845</v>
      </c>
      <c r="L1865" t="s">
        <v>5165</v>
      </c>
      <c r="M1865" t="s">
        <v>19</v>
      </c>
      <c r="N1865">
        <v>45610</v>
      </c>
      <c r="O1865">
        <v>3987</v>
      </c>
      <c r="P1865" t="s">
        <v>92</v>
      </c>
      <c r="Q1865">
        <v>6</v>
      </c>
      <c r="R1865" t="s">
        <v>47</v>
      </c>
      <c r="S1865" t="s">
        <v>21</v>
      </c>
      <c r="T1865" t="s">
        <v>20</v>
      </c>
    </row>
    <row r="1866" spans="1:20" x14ac:dyDescent="0.3">
      <c r="A1866" t="s">
        <v>3846</v>
      </c>
      <c r="B1866" t="s">
        <v>63</v>
      </c>
      <c r="C1866" t="s">
        <v>125</v>
      </c>
      <c r="D1866" t="s">
        <v>44</v>
      </c>
      <c r="E1866" t="s">
        <v>5128</v>
      </c>
      <c r="F1866" t="s">
        <v>5125</v>
      </c>
      <c r="G1866" t="s">
        <v>16</v>
      </c>
      <c r="H1866" t="s">
        <v>5136</v>
      </c>
      <c r="I1866" t="s">
        <v>5137</v>
      </c>
      <c r="J1866">
        <v>86434</v>
      </c>
      <c r="K1866" t="s">
        <v>3847</v>
      </c>
      <c r="L1866" t="s">
        <v>134</v>
      </c>
      <c r="M1866" t="s">
        <v>39</v>
      </c>
      <c r="N1866">
        <v>45547</v>
      </c>
      <c r="O1866">
        <v>1182</v>
      </c>
      <c r="P1866" t="s">
        <v>20</v>
      </c>
      <c r="Q1866">
        <v>0</v>
      </c>
      <c r="R1866" t="s">
        <v>47</v>
      </c>
      <c r="S1866" t="s">
        <v>21</v>
      </c>
      <c r="T1866" t="s">
        <v>29</v>
      </c>
    </row>
    <row r="1867" spans="1:20" x14ac:dyDescent="0.3">
      <c r="A1867" t="s">
        <v>3848</v>
      </c>
      <c r="B1867" t="s">
        <v>229</v>
      </c>
      <c r="C1867" t="s">
        <v>151</v>
      </c>
      <c r="D1867" t="s">
        <v>140</v>
      </c>
      <c r="E1867" t="s">
        <v>223</v>
      </c>
      <c r="F1867" t="s">
        <v>224</v>
      </c>
      <c r="G1867" t="s">
        <v>16</v>
      </c>
      <c r="H1867" t="s">
        <v>5142</v>
      </c>
      <c r="I1867" t="s">
        <v>5143</v>
      </c>
      <c r="J1867">
        <v>105112</v>
      </c>
      <c r="K1867" t="s">
        <v>3849</v>
      </c>
      <c r="L1867" t="s">
        <v>113</v>
      </c>
      <c r="M1867" t="s">
        <v>46</v>
      </c>
      <c r="N1867">
        <v>45375</v>
      </c>
      <c r="O1867">
        <v>600</v>
      </c>
      <c r="P1867" t="s">
        <v>20</v>
      </c>
      <c r="Q1867">
        <v>4</v>
      </c>
      <c r="R1867" t="s">
        <v>76</v>
      </c>
      <c r="S1867" t="s">
        <v>21</v>
      </c>
      <c r="T1867" t="s">
        <v>20</v>
      </c>
    </row>
    <row r="1868" spans="1:20" x14ac:dyDescent="0.3">
      <c r="A1868" t="s">
        <v>3850</v>
      </c>
      <c r="B1868" t="s">
        <v>63</v>
      </c>
      <c r="C1868" t="s">
        <v>166</v>
      </c>
      <c r="D1868" t="s">
        <v>57</v>
      </c>
      <c r="E1868" t="s">
        <v>26</v>
      </c>
      <c r="F1868" t="s">
        <v>27</v>
      </c>
      <c r="G1868" t="s">
        <v>36</v>
      </c>
      <c r="H1868" t="s">
        <v>5138</v>
      </c>
      <c r="I1868" t="s">
        <v>5139</v>
      </c>
      <c r="J1868">
        <v>237171</v>
      </c>
      <c r="K1868" t="s">
        <v>3851</v>
      </c>
      <c r="L1868" t="s">
        <v>5165</v>
      </c>
      <c r="M1868" t="s">
        <v>46</v>
      </c>
      <c r="N1868">
        <v>45409</v>
      </c>
      <c r="O1868">
        <v>1718</v>
      </c>
      <c r="P1868" t="s">
        <v>29</v>
      </c>
      <c r="Q1868">
        <v>6</v>
      </c>
      <c r="R1868" t="s">
        <v>47</v>
      </c>
      <c r="S1868" t="s">
        <v>41</v>
      </c>
      <c r="T1868" t="s">
        <v>20</v>
      </c>
    </row>
    <row r="1869" spans="1:20" x14ac:dyDescent="0.3">
      <c r="A1869" t="s">
        <v>3852</v>
      </c>
      <c r="B1869" t="s">
        <v>63</v>
      </c>
      <c r="C1869" t="s">
        <v>100</v>
      </c>
      <c r="D1869" t="s">
        <v>118</v>
      </c>
      <c r="E1869" t="s">
        <v>34</v>
      </c>
      <c r="F1869" t="s">
        <v>35</v>
      </c>
      <c r="G1869" t="s">
        <v>36</v>
      </c>
      <c r="H1869" t="s">
        <v>5136</v>
      </c>
      <c r="I1869" t="s">
        <v>5137</v>
      </c>
      <c r="J1869">
        <v>84196</v>
      </c>
      <c r="K1869" t="s">
        <v>3853</v>
      </c>
      <c r="L1869" t="s">
        <v>142</v>
      </c>
      <c r="M1869" t="s">
        <v>19</v>
      </c>
      <c r="N1869">
        <v>45688</v>
      </c>
      <c r="O1869">
        <v>687</v>
      </c>
      <c r="P1869" t="s">
        <v>20</v>
      </c>
      <c r="Q1869">
        <v>0</v>
      </c>
      <c r="R1869" t="s">
        <v>5116</v>
      </c>
      <c r="S1869" t="s">
        <v>21</v>
      </c>
      <c r="T1869" t="s">
        <v>29</v>
      </c>
    </row>
    <row r="1870" spans="1:20" x14ac:dyDescent="0.3">
      <c r="A1870" t="s">
        <v>3854</v>
      </c>
      <c r="B1870" t="s">
        <v>130</v>
      </c>
      <c r="C1870" t="s">
        <v>197</v>
      </c>
      <c r="D1870" t="s">
        <v>33</v>
      </c>
      <c r="E1870" t="s">
        <v>209</v>
      </c>
      <c r="F1870" t="s">
        <v>210</v>
      </c>
      <c r="G1870" t="s">
        <v>16</v>
      </c>
      <c r="H1870" t="s">
        <v>5136</v>
      </c>
      <c r="I1870" t="s">
        <v>5137</v>
      </c>
      <c r="J1870">
        <v>56253</v>
      </c>
      <c r="K1870" t="s">
        <v>3855</v>
      </c>
      <c r="L1870" t="s">
        <v>238</v>
      </c>
      <c r="M1870" t="s">
        <v>46</v>
      </c>
      <c r="N1870">
        <v>45421</v>
      </c>
      <c r="O1870">
        <v>3003</v>
      </c>
      <c r="P1870" t="s">
        <v>20</v>
      </c>
      <c r="Q1870">
        <v>0</v>
      </c>
      <c r="R1870" t="s">
        <v>47</v>
      </c>
      <c r="S1870" t="s">
        <v>21</v>
      </c>
      <c r="T1870" t="s">
        <v>20</v>
      </c>
    </row>
    <row r="1871" spans="1:20" x14ac:dyDescent="0.3">
      <c r="A1871" t="s">
        <v>3856</v>
      </c>
      <c r="B1871" t="s">
        <v>78</v>
      </c>
      <c r="C1871" t="s">
        <v>100</v>
      </c>
      <c r="D1871" t="s">
        <v>57</v>
      </c>
      <c r="E1871" t="s">
        <v>5124</v>
      </c>
      <c r="F1871" t="s">
        <v>5125</v>
      </c>
      <c r="G1871" t="s">
        <v>50</v>
      </c>
      <c r="H1871" t="s">
        <v>5136</v>
      </c>
      <c r="I1871" t="s">
        <v>5137</v>
      </c>
      <c r="J1871">
        <v>64823</v>
      </c>
      <c r="K1871" t="s">
        <v>3857</v>
      </c>
      <c r="L1871" t="s">
        <v>38</v>
      </c>
      <c r="M1871" t="s">
        <v>46</v>
      </c>
      <c r="N1871">
        <v>45648</v>
      </c>
      <c r="O1871">
        <v>2893</v>
      </c>
      <c r="P1871" t="s">
        <v>20</v>
      </c>
      <c r="Q1871">
        <v>0</v>
      </c>
      <c r="R1871" t="s">
        <v>40</v>
      </c>
      <c r="S1871" t="s">
        <v>21</v>
      </c>
      <c r="T1871" t="s">
        <v>29</v>
      </c>
    </row>
    <row r="1872" spans="1:20" x14ac:dyDescent="0.3">
      <c r="A1872" t="s">
        <v>3858</v>
      </c>
      <c r="B1872" t="s">
        <v>136</v>
      </c>
      <c r="C1872" t="s">
        <v>197</v>
      </c>
      <c r="D1872" t="s">
        <v>68</v>
      </c>
      <c r="E1872" t="s">
        <v>5129</v>
      </c>
      <c r="F1872" t="s">
        <v>5130</v>
      </c>
      <c r="G1872" t="s">
        <v>36</v>
      </c>
      <c r="H1872" t="s">
        <v>5136</v>
      </c>
      <c r="I1872" t="s">
        <v>5137</v>
      </c>
      <c r="J1872">
        <v>56068</v>
      </c>
      <c r="K1872" t="s">
        <v>3859</v>
      </c>
      <c r="L1872" t="s">
        <v>142</v>
      </c>
      <c r="M1872" t="s">
        <v>72</v>
      </c>
      <c r="N1872">
        <v>45373</v>
      </c>
      <c r="O1872">
        <v>3701</v>
      </c>
      <c r="P1872" t="s">
        <v>20</v>
      </c>
      <c r="Q1872">
        <v>0</v>
      </c>
      <c r="R1872" t="s">
        <v>47</v>
      </c>
      <c r="S1872" t="s">
        <v>21</v>
      </c>
      <c r="T1872" t="s">
        <v>29</v>
      </c>
    </row>
    <row r="1873" spans="1:20" x14ac:dyDescent="0.3">
      <c r="A1873" t="s">
        <v>3860</v>
      </c>
      <c r="B1873" t="s">
        <v>215</v>
      </c>
      <c r="C1873" t="s">
        <v>202</v>
      </c>
      <c r="D1873" t="s">
        <v>5156</v>
      </c>
      <c r="E1873" t="s">
        <v>5124</v>
      </c>
      <c r="F1873" t="s">
        <v>5125</v>
      </c>
      <c r="G1873" t="s">
        <v>16</v>
      </c>
      <c r="H1873" t="s">
        <v>5138</v>
      </c>
      <c r="I1873" t="s">
        <v>5139</v>
      </c>
      <c r="J1873">
        <v>192262</v>
      </c>
      <c r="K1873" t="s">
        <v>3861</v>
      </c>
      <c r="L1873" t="s">
        <v>179</v>
      </c>
      <c r="M1873" t="s">
        <v>46</v>
      </c>
      <c r="N1873">
        <v>45353</v>
      </c>
      <c r="O1873">
        <v>2658</v>
      </c>
      <c r="P1873" t="s">
        <v>20</v>
      </c>
      <c r="Q1873">
        <v>6</v>
      </c>
      <c r="R1873" t="s">
        <v>40</v>
      </c>
      <c r="S1873" t="s">
        <v>21</v>
      </c>
      <c r="T1873" t="s">
        <v>20</v>
      </c>
    </row>
    <row r="1874" spans="1:20" x14ac:dyDescent="0.3">
      <c r="A1874" t="s">
        <v>3862</v>
      </c>
      <c r="B1874" t="s">
        <v>124</v>
      </c>
      <c r="C1874" t="s">
        <v>139</v>
      </c>
      <c r="D1874" t="s">
        <v>167</v>
      </c>
      <c r="E1874" t="s">
        <v>5126</v>
      </c>
      <c r="F1874" t="s">
        <v>5125</v>
      </c>
      <c r="G1874" t="s">
        <v>16</v>
      </c>
      <c r="H1874" t="s">
        <v>5138</v>
      </c>
      <c r="I1874" t="s">
        <v>5139</v>
      </c>
      <c r="J1874">
        <v>188910</v>
      </c>
      <c r="K1874" t="s">
        <v>3863</v>
      </c>
      <c r="L1874" t="s">
        <v>134</v>
      </c>
      <c r="M1874" t="s">
        <v>72</v>
      </c>
      <c r="N1874">
        <v>45444</v>
      </c>
      <c r="O1874">
        <v>3750</v>
      </c>
      <c r="P1874" t="s">
        <v>20</v>
      </c>
      <c r="Q1874">
        <v>6</v>
      </c>
      <c r="R1874" t="s">
        <v>40</v>
      </c>
      <c r="S1874" t="s">
        <v>21</v>
      </c>
      <c r="T1874" t="s">
        <v>20</v>
      </c>
    </row>
    <row r="1875" spans="1:20" x14ac:dyDescent="0.3">
      <c r="A1875" t="s">
        <v>3864</v>
      </c>
      <c r="B1875" t="s">
        <v>229</v>
      </c>
      <c r="C1875" t="s">
        <v>79</v>
      </c>
      <c r="D1875" t="s">
        <v>118</v>
      </c>
      <c r="E1875" t="s">
        <v>58</v>
      </c>
      <c r="F1875" t="s">
        <v>59</v>
      </c>
      <c r="G1875" t="s">
        <v>36</v>
      </c>
      <c r="H1875" t="s">
        <v>5140</v>
      </c>
      <c r="I1875" t="s">
        <v>5141</v>
      </c>
      <c r="J1875">
        <v>125437</v>
      </c>
      <c r="K1875" t="s">
        <v>3865</v>
      </c>
      <c r="L1875" t="s">
        <v>38</v>
      </c>
      <c r="M1875" t="s">
        <v>19</v>
      </c>
      <c r="N1875">
        <v>45578</v>
      </c>
      <c r="O1875">
        <v>1659</v>
      </c>
      <c r="P1875" t="s">
        <v>20</v>
      </c>
      <c r="Q1875">
        <v>2</v>
      </c>
      <c r="R1875" t="s">
        <v>76</v>
      </c>
      <c r="S1875" t="s">
        <v>53</v>
      </c>
      <c r="T1875" t="s">
        <v>20</v>
      </c>
    </row>
    <row r="1876" spans="1:20" x14ac:dyDescent="0.3">
      <c r="A1876" t="s">
        <v>3866</v>
      </c>
      <c r="B1876" t="s">
        <v>84</v>
      </c>
      <c r="C1876" t="s">
        <v>100</v>
      </c>
      <c r="D1876" t="s">
        <v>25</v>
      </c>
      <c r="E1876" t="s">
        <v>95</v>
      </c>
      <c r="F1876" t="s">
        <v>96</v>
      </c>
      <c r="G1876" t="s">
        <v>36</v>
      </c>
      <c r="H1876" t="s">
        <v>5142</v>
      </c>
      <c r="I1876" t="s">
        <v>5143</v>
      </c>
      <c r="J1876">
        <v>185378</v>
      </c>
      <c r="K1876" t="s">
        <v>3867</v>
      </c>
      <c r="L1876" t="s">
        <v>5165</v>
      </c>
      <c r="M1876" t="s">
        <v>46</v>
      </c>
      <c r="N1876">
        <v>45658</v>
      </c>
      <c r="O1876">
        <v>1962</v>
      </c>
      <c r="P1876" t="s">
        <v>20</v>
      </c>
      <c r="Q1876">
        <v>4</v>
      </c>
      <c r="R1876" t="s">
        <v>47</v>
      </c>
      <c r="S1876" t="s">
        <v>41</v>
      </c>
      <c r="T1876" t="s">
        <v>29</v>
      </c>
    </row>
    <row r="1877" spans="1:20" x14ac:dyDescent="0.3">
      <c r="A1877" t="s">
        <v>3868</v>
      </c>
      <c r="B1877" t="s">
        <v>55</v>
      </c>
      <c r="C1877" t="s">
        <v>109</v>
      </c>
      <c r="D1877" t="s">
        <v>57</v>
      </c>
      <c r="E1877" t="s">
        <v>26</v>
      </c>
      <c r="F1877" t="s">
        <v>27</v>
      </c>
      <c r="G1877" t="s">
        <v>50</v>
      </c>
      <c r="H1877" t="s">
        <v>5142</v>
      </c>
      <c r="I1877" t="s">
        <v>5143</v>
      </c>
      <c r="J1877">
        <v>187683</v>
      </c>
      <c r="K1877" t="s">
        <v>3869</v>
      </c>
      <c r="L1877" t="s">
        <v>5165</v>
      </c>
      <c r="M1877" t="s">
        <v>46</v>
      </c>
      <c r="N1877">
        <v>45679</v>
      </c>
      <c r="O1877">
        <v>1283</v>
      </c>
      <c r="P1877" t="s">
        <v>20</v>
      </c>
      <c r="Q1877">
        <v>4</v>
      </c>
      <c r="R1877" t="s">
        <v>76</v>
      </c>
      <c r="S1877" t="s">
        <v>53</v>
      </c>
      <c r="T1877" t="s">
        <v>29</v>
      </c>
    </row>
    <row r="1878" spans="1:20" x14ac:dyDescent="0.3">
      <c r="A1878" t="s">
        <v>3870</v>
      </c>
      <c r="B1878" t="s">
        <v>136</v>
      </c>
      <c r="C1878" t="s">
        <v>103</v>
      </c>
      <c r="D1878" t="s">
        <v>5156</v>
      </c>
      <c r="E1878" t="s">
        <v>5131</v>
      </c>
      <c r="F1878" t="s">
        <v>5125</v>
      </c>
      <c r="G1878" t="s">
        <v>36</v>
      </c>
      <c r="H1878" t="s">
        <v>5138</v>
      </c>
      <c r="I1878" t="s">
        <v>5139</v>
      </c>
      <c r="J1878">
        <v>179761</v>
      </c>
      <c r="K1878" t="s">
        <v>3871</v>
      </c>
      <c r="L1878" t="s">
        <v>61</v>
      </c>
      <c r="M1878" t="s">
        <v>46</v>
      </c>
      <c r="N1878">
        <v>45532</v>
      </c>
      <c r="O1878">
        <v>741</v>
      </c>
      <c r="P1878" t="s">
        <v>20</v>
      </c>
      <c r="Q1878">
        <v>6</v>
      </c>
      <c r="R1878" t="s">
        <v>5116</v>
      </c>
      <c r="S1878" t="s">
        <v>21</v>
      </c>
      <c r="T1878" t="s">
        <v>20</v>
      </c>
    </row>
    <row r="1879" spans="1:20" x14ac:dyDescent="0.3">
      <c r="A1879" t="s">
        <v>3872</v>
      </c>
      <c r="B1879" t="s">
        <v>222</v>
      </c>
      <c r="C1879" t="s">
        <v>13</v>
      </c>
      <c r="D1879" t="s">
        <v>167</v>
      </c>
      <c r="E1879" t="s">
        <v>5128</v>
      </c>
      <c r="F1879" t="s">
        <v>5125</v>
      </c>
      <c r="G1879" t="s">
        <v>16</v>
      </c>
      <c r="H1879" t="s">
        <v>5142</v>
      </c>
      <c r="I1879" t="s">
        <v>5143</v>
      </c>
      <c r="J1879">
        <v>144351</v>
      </c>
      <c r="K1879" t="s">
        <v>3873</v>
      </c>
      <c r="L1879" t="s">
        <v>61</v>
      </c>
      <c r="M1879" t="s">
        <v>19</v>
      </c>
      <c r="N1879">
        <v>45636</v>
      </c>
      <c r="O1879">
        <v>1799</v>
      </c>
      <c r="P1879" t="s">
        <v>20</v>
      </c>
      <c r="Q1879">
        <v>4</v>
      </c>
      <c r="R1879" t="s">
        <v>76</v>
      </c>
      <c r="S1879" t="s">
        <v>21</v>
      </c>
      <c r="T1879" t="s">
        <v>29</v>
      </c>
    </row>
    <row r="1880" spans="1:20" x14ac:dyDescent="0.3">
      <c r="A1880" t="s">
        <v>3874</v>
      </c>
      <c r="B1880" t="s">
        <v>215</v>
      </c>
      <c r="C1880" t="s">
        <v>43</v>
      </c>
      <c r="D1880" t="s">
        <v>44</v>
      </c>
      <c r="E1880" t="s">
        <v>5131</v>
      </c>
      <c r="F1880" t="s">
        <v>5125</v>
      </c>
      <c r="G1880" t="s">
        <v>36</v>
      </c>
      <c r="H1880" t="s">
        <v>5138</v>
      </c>
      <c r="I1880" t="s">
        <v>5139</v>
      </c>
      <c r="J1880">
        <v>139396</v>
      </c>
      <c r="K1880" t="s">
        <v>3875</v>
      </c>
      <c r="L1880" t="s">
        <v>87</v>
      </c>
      <c r="M1880" t="s">
        <v>39</v>
      </c>
      <c r="N1880">
        <v>45677</v>
      </c>
      <c r="O1880">
        <v>3266</v>
      </c>
      <c r="P1880" t="s">
        <v>92</v>
      </c>
      <c r="Q1880">
        <v>6</v>
      </c>
      <c r="R1880" t="s">
        <v>76</v>
      </c>
      <c r="S1880" t="s">
        <v>21</v>
      </c>
      <c r="T1880" t="s">
        <v>29</v>
      </c>
    </row>
    <row r="1881" spans="1:20" x14ac:dyDescent="0.3">
      <c r="A1881" t="s">
        <v>3876</v>
      </c>
      <c r="B1881" t="s">
        <v>99</v>
      </c>
      <c r="C1881" t="s">
        <v>219</v>
      </c>
      <c r="D1881" t="s">
        <v>57</v>
      </c>
      <c r="E1881" t="s">
        <v>34</v>
      </c>
      <c r="F1881" t="s">
        <v>35</v>
      </c>
      <c r="G1881" t="s">
        <v>36</v>
      </c>
      <c r="H1881" t="s">
        <v>5140</v>
      </c>
      <c r="I1881" t="s">
        <v>5141</v>
      </c>
      <c r="J1881">
        <v>94043</v>
      </c>
      <c r="K1881" t="s">
        <v>3877</v>
      </c>
      <c r="L1881" t="s">
        <v>5165</v>
      </c>
      <c r="M1881" t="s">
        <v>39</v>
      </c>
      <c r="N1881">
        <v>45510</v>
      </c>
      <c r="O1881">
        <v>333</v>
      </c>
      <c r="P1881" t="s">
        <v>20</v>
      </c>
      <c r="Q1881">
        <v>2</v>
      </c>
      <c r="R1881" t="s">
        <v>76</v>
      </c>
      <c r="S1881" t="s">
        <v>21</v>
      </c>
      <c r="T1881" t="s">
        <v>29</v>
      </c>
    </row>
    <row r="1882" spans="1:20" x14ac:dyDescent="0.3">
      <c r="A1882" t="s">
        <v>3878</v>
      </c>
      <c r="B1882" t="s">
        <v>63</v>
      </c>
      <c r="C1882" t="s">
        <v>100</v>
      </c>
      <c r="D1882" t="s">
        <v>5156</v>
      </c>
      <c r="E1882" t="s">
        <v>193</v>
      </c>
      <c r="F1882" t="s">
        <v>194</v>
      </c>
      <c r="G1882" t="s">
        <v>36</v>
      </c>
      <c r="H1882" t="s">
        <v>5138</v>
      </c>
      <c r="I1882" t="s">
        <v>5139</v>
      </c>
      <c r="J1882">
        <v>234734</v>
      </c>
      <c r="K1882" t="s">
        <v>3879</v>
      </c>
      <c r="L1882" t="s">
        <v>82</v>
      </c>
      <c r="M1882" t="s">
        <v>46</v>
      </c>
      <c r="N1882">
        <v>45637</v>
      </c>
      <c r="O1882">
        <v>3510</v>
      </c>
      <c r="P1882" t="s">
        <v>92</v>
      </c>
      <c r="Q1882">
        <v>6</v>
      </c>
      <c r="R1882" t="s">
        <v>5116</v>
      </c>
      <c r="S1882" t="s">
        <v>21</v>
      </c>
      <c r="T1882" t="s">
        <v>29</v>
      </c>
    </row>
    <row r="1883" spans="1:20" x14ac:dyDescent="0.3">
      <c r="A1883" t="s">
        <v>3880</v>
      </c>
      <c r="B1883" t="s">
        <v>23</v>
      </c>
      <c r="C1883" t="s">
        <v>202</v>
      </c>
      <c r="D1883" t="s">
        <v>44</v>
      </c>
      <c r="E1883" t="s">
        <v>193</v>
      </c>
      <c r="F1883" t="s">
        <v>194</v>
      </c>
      <c r="G1883" t="s">
        <v>16</v>
      </c>
      <c r="H1883" t="s">
        <v>5142</v>
      </c>
      <c r="I1883" t="s">
        <v>5143</v>
      </c>
      <c r="J1883">
        <v>193620</v>
      </c>
      <c r="K1883" t="s">
        <v>3881</v>
      </c>
      <c r="L1883" t="s">
        <v>134</v>
      </c>
      <c r="M1883" t="s">
        <v>19</v>
      </c>
      <c r="N1883">
        <v>45587</v>
      </c>
      <c r="O1883">
        <v>3335</v>
      </c>
      <c r="P1883" t="s">
        <v>20</v>
      </c>
      <c r="Q1883">
        <v>4</v>
      </c>
      <c r="R1883" t="s">
        <v>76</v>
      </c>
      <c r="S1883" t="s">
        <v>21</v>
      </c>
      <c r="T1883" t="s">
        <v>20</v>
      </c>
    </row>
    <row r="1884" spans="1:20" x14ac:dyDescent="0.3">
      <c r="A1884" t="s">
        <v>3882</v>
      </c>
      <c r="B1884" t="s">
        <v>31</v>
      </c>
      <c r="C1884" t="s">
        <v>109</v>
      </c>
      <c r="D1884" t="s">
        <v>33</v>
      </c>
      <c r="E1884" t="s">
        <v>5133</v>
      </c>
      <c r="F1884" t="s">
        <v>5125</v>
      </c>
      <c r="G1884" t="s">
        <v>16</v>
      </c>
      <c r="H1884" t="s">
        <v>5142</v>
      </c>
      <c r="I1884" t="s">
        <v>5143</v>
      </c>
      <c r="J1884">
        <v>116672</v>
      </c>
      <c r="K1884" t="s">
        <v>3883</v>
      </c>
      <c r="L1884" t="s">
        <v>238</v>
      </c>
      <c r="M1884" t="s">
        <v>39</v>
      </c>
      <c r="N1884">
        <v>45379</v>
      </c>
      <c r="O1884">
        <v>2518</v>
      </c>
      <c r="P1884" t="s">
        <v>29</v>
      </c>
      <c r="Q1884">
        <v>4</v>
      </c>
      <c r="R1884" t="s">
        <v>40</v>
      </c>
      <c r="S1884" t="s">
        <v>21</v>
      </c>
      <c r="T1884" t="s">
        <v>29</v>
      </c>
    </row>
    <row r="1885" spans="1:20" x14ac:dyDescent="0.3">
      <c r="A1885" t="s">
        <v>3884</v>
      </c>
      <c r="B1885" t="s">
        <v>218</v>
      </c>
      <c r="C1885" t="s">
        <v>100</v>
      </c>
      <c r="D1885" t="s">
        <v>104</v>
      </c>
      <c r="E1885" t="s">
        <v>5129</v>
      </c>
      <c r="F1885" t="s">
        <v>5130</v>
      </c>
      <c r="G1885" t="s">
        <v>16</v>
      </c>
      <c r="H1885" t="s">
        <v>5136</v>
      </c>
      <c r="I1885" t="s">
        <v>5137</v>
      </c>
      <c r="J1885">
        <v>62534</v>
      </c>
      <c r="K1885" t="s">
        <v>3885</v>
      </c>
      <c r="L1885" t="s">
        <v>38</v>
      </c>
      <c r="M1885" t="s">
        <v>19</v>
      </c>
      <c r="N1885">
        <v>45502</v>
      </c>
      <c r="O1885">
        <v>3016</v>
      </c>
      <c r="P1885" t="s">
        <v>29</v>
      </c>
      <c r="Q1885">
        <v>0</v>
      </c>
      <c r="R1885" t="s">
        <v>5116</v>
      </c>
      <c r="S1885" t="s">
        <v>21</v>
      </c>
      <c r="T1885" t="s">
        <v>20</v>
      </c>
    </row>
    <row r="1886" spans="1:20" x14ac:dyDescent="0.3">
      <c r="A1886" t="s">
        <v>3886</v>
      </c>
      <c r="B1886" t="s">
        <v>55</v>
      </c>
      <c r="C1886" t="s">
        <v>197</v>
      </c>
      <c r="D1886" t="s">
        <v>118</v>
      </c>
      <c r="E1886" t="s">
        <v>26</v>
      </c>
      <c r="F1886" t="s">
        <v>27</v>
      </c>
      <c r="G1886" t="s">
        <v>16</v>
      </c>
      <c r="H1886" t="s">
        <v>5140</v>
      </c>
      <c r="I1886" t="s">
        <v>5141</v>
      </c>
      <c r="J1886">
        <v>109477</v>
      </c>
      <c r="K1886" t="s">
        <v>3887</v>
      </c>
      <c r="L1886" t="s">
        <v>5165</v>
      </c>
      <c r="M1886" t="s">
        <v>19</v>
      </c>
      <c r="N1886">
        <v>45506</v>
      </c>
      <c r="O1886">
        <v>583</v>
      </c>
      <c r="P1886" t="s">
        <v>20</v>
      </c>
      <c r="Q1886">
        <v>2</v>
      </c>
      <c r="R1886" t="s">
        <v>52</v>
      </c>
      <c r="S1886" t="s">
        <v>21</v>
      </c>
      <c r="T1886" t="s">
        <v>20</v>
      </c>
    </row>
    <row r="1887" spans="1:20" x14ac:dyDescent="0.3">
      <c r="A1887" t="s">
        <v>3888</v>
      </c>
      <c r="B1887" t="s">
        <v>124</v>
      </c>
      <c r="C1887" t="s">
        <v>139</v>
      </c>
      <c r="D1887" t="s">
        <v>167</v>
      </c>
      <c r="E1887" t="s">
        <v>5133</v>
      </c>
      <c r="F1887" t="s">
        <v>5125</v>
      </c>
      <c r="G1887" t="s">
        <v>50</v>
      </c>
      <c r="H1887" t="s">
        <v>5140</v>
      </c>
      <c r="I1887" t="s">
        <v>5141</v>
      </c>
      <c r="J1887">
        <v>115547</v>
      </c>
      <c r="K1887" t="s">
        <v>3889</v>
      </c>
      <c r="L1887" t="s">
        <v>61</v>
      </c>
      <c r="M1887" t="s">
        <v>72</v>
      </c>
      <c r="N1887">
        <v>45449</v>
      </c>
      <c r="O1887">
        <v>1010</v>
      </c>
      <c r="P1887" t="s">
        <v>20</v>
      </c>
      <c r="Q1887">
        <v>2</v>
      </c>
      <c r="R1887" t="s">
        <v>52</v>
      </c>
      <c r="S1887" t="s">
        <v>53</v>
      </c>
      <c r="T1887" t="s">
        <v>29</v>
      </c>
    </row>
    <row r="1888" spans="1:20" x14ac:dyDescent="0.3">
      <c r="A1888" t="s">
        <v>3890</v>
      </c>
      <c r="B1888" t="s">
        <v>63</v>
      </c>
      <c r="C1888" t="s">
        <v>85</v>
      </c>
      <c r="D1888" t="s">
        <v>5156</v>
      </c>
      <c r="E1888" t="s">
        <v>209</v>
      </c>
      <c r="F1888" t="s">
        <v>210</v>
      </c>
      <c r="G1888" t="s">
        <v>50</v>
      </c>
      <c r="H1888" t="s">
        <v>5142</v>
      </c>
      <c r="I1888" t="s">
        <v>5143</v>
      </c>
      <c r="J1888">
        <v>128140</v>
      </c>
      <c r="K1888" t="s">
        <v>3891</v>
      </c>
      <c r="L1888" t="s">
        <v>61</v>
      </c>
      <c r="M1888" t="s">
        <v>39</v>
      </c>
      <c r="N1888">
        <v>45397</v>
      </c>
      <c r="O1888">
        <v>3210</v>
      </c>
      <c r="P1888" t="s">
        <v>92</v>
      </c>
      <c r="Q1888">
        <v>4</v>
      </c>
      <c r="R1888" t="s">
        <v>40</v>
      </c>
      <c r="S1888" t="s">
        <v>21</v>
      </c>
      <c r="T1888" t="s">
        <v>29</v>
      </c>
    </row>
    <row r="1889" spans="1:20" x14ac:dyDescent="0.3">
      <c r="A1889" t="s">
        <v>3892</v>
      </c>
      <c r="B1889" t="s">
        <v>84</v>
      </c>
      <c r="C1889" t="s">
        <v>202</v>
      </c>
      <c r="D1889" t="s">
        <v>44</v>
      </c>
      <c r="E1889" t="s">
        <v>69</v>
      </c>
      <c r="F1889" t="s">
        <v>70</v>
      </c>
      <c r="G1889" t="s">
        <v>50</v>
      </c>
      <c r="H1889" t="s">
        <v>5136</v>
      </c>
      <c r="I1889" t="s">
        <v>5137</v>
      </c>
      <c r="J1889">
        <v>75343</v>
      </c>
      <c r="K1889" t="s">
        <v>3893</v>
      </c>
      <c r="L1889" t="s">
        <v>179</v>
      </c>
      <c r="M1889" t="s">
        <v>46</v>
      </c>
      <c r="N1889">
        <v>45416</v>
      </c>
      <c r="O1889">
        <v>320</v>
      </c>
      <c r="P1889" t="s">
        <v>20</v>
      </c>
      <c r="Q1889">
        <v>0</v>
      </c>
      <c r="R1889" t="s">
        <v>5116</v>
      </c>
      <c r="S1889" t="s">
        <v>21</v>
      </c>
      <c r="T1889" t="s">
        <v>29</v>
      </c>
    </row>
    <row r="1890" spans="1:20" x14ac:dyDescent="0.3">
      <c r="A1890" t="s">
        <v>3894</v>
      </c>
      <c r="B1890" t="s">
        <v>55</v>
      </c>
      <c r="C1890" t="s">
        <v>172</v>
      </c>
      <c r="D1890" t="s">
        <v>104</v>
      </c>
      <c r="E1890" t="s">
        <v>5131</v>
      </c>
      <c r="F1890" t="s">
        <v>5125</v>
      </c>
      <c r="G1890" t="s">
        <v>16</v>
      </c>
      <c r="H1890" t="s">
        <v>5142</v>
      </c>
      <c r="I1890" t="s">
        <v>5143</v>
      </c>
      <c r="J1890">
        <v>137206</v>
      </c>
      <c r="K1890" t="s">
        <v>3895</v>
      </c>
      <c r="L1890" t="s">
        <v>5165</v>
      </c>
      <c r="M1890" t="s">
        <v>46</v>
      </c>
      <c r="N1890">
        <v>45616</v>
      </c>
      <c r="O1890">
        <v>3540</v>
      </c>
      <c r="P1890" t="s">
        <v>92</v>
      </c>
      <c r="Q1890">
        <v>4</v>
      </c>
      <c r="R1890" t="s">
        <v>5116</v>
      </c>
      <c r="S1890" t="s">
        <v>21</v>
      </c>
      <c r="T1890" t="s">
        <v>29</v>
      </c>
    </row>
    <row r="1891" spans="1:20" x14ac:dyDescent="0.3">
      <c r="A1891" t="s">
        <v>3896</v>
      </c>
      <c r="B1891" t="s">
        <v>144</v>
      </c>
      <c r="C1891" t="s">
        <v>13</v>
      </c>
      <c r="D1891" t="s">
        <v>167</v>
      </c>
      <c r="E1891" t="s">
        <v>80</v>
      </c>
      <c r="F1891" t="s">
        <v>80</v>
      </c>
      <c r="G1891" t="s">
        <v>36</v>
      </c>
      <c r="H1891" t="s">
        <v>5142</v>
      </c>
      <c r="I1891" t="s">
        <v>5143</v>
      </c>
      <c r="J1891">
        <v>149609</v>
      </c>
      <c r="K1891" t="s">
        <v>3897</v>
      </c>
      <c r="L1891" t="s">
        <v>179</v>
      </c>
      <c r="M1891" t="s">
        <v>19</v>
      </c>
      <c r="N1891">
        <v>45632</v>
      </c>
      <c r="O1891">
        <v>3306</v>
      </c>
      <c r="P1891" t="s">
        <v>29</v>
      </c>
      <c r="Q1891">
        <v>4</v>
      </c>
      <c r="R1891" t="s">
        <v>52</v>
      </c>
      <c r="S1891" t="s">
        <v>21</v>
      </c>
      <c r="T1891" t="s">
        <v>29</v>
      </c>
    </row>
    <row r="1892" spans="1:20" x14ac:dyDescent="0.3">
      <c r="A1892" t="s">
        <v>3898</v>
      </c>
      <c r="B1892" t="s">
        <v>74</v>
      </c>
      <c r="C1892" t="s">
        <v>64</v>
      </c>
      <c r="D1892" t="s">
        <v>118</v>
      </c>
      <c r="E1892" t="s">
        <v>80</v>
      </c>
      <c r="F1892" t="s">
        <v>80</v>
      </c>
      <c r="G1892" t="s">
        <v>16</v>
      </c>
      <c r="H1892" t="s">
        <v>5136</v>
      </c>
      <c r="I1892" t="s">
        <v>5137</v>
      </c>
      <c r="J1892">
        <v>76883</v>
      </c>
      <c r="K1892" t="s">
        <v>3899</v>
      </c>
      <c r="L1892" t="s">
        <v>82</v>
      </c>
      <c r="M1892" t="s">
        <v>46</v>
      </c>
      <c r="N1892">
        <v>45464</v>
      </c>
      <c r="O1892">
        <v>2791</v>
      </c>
      <c r="P1892" t="s">
        <v>29</v>
      </c>
      <c r="Q1892">
        <v>0</v>
      </c>
      <c r="R1892" t="s">
        <v>40</v>
      </c>
      <c r="S1892" t="s">
        <v>21</v>
      </c>
      <c r="T1892" t="s">
        <v>20</v>
      </c>
    </row>
    <row r="1893" spans="1:20" x14ac:dyDescent="0.3">
      <c r="A1893" t="s">
        <v>3900</v>
      </c>
      <c r="B1893" t="s">
        <v>165</v>
      </c>
      <c r="C1893" t="s">
        <v>79</v>
      </c>
      <c r="D1893" t="s">
        <v>68</v>
      </c>
      <c r="E1893" t="s">
        <v>5128</v>
      </c>
      <c r="F1893" t="s">
        <v>5125</v>
      </c>
      <c r="G1893" t="s">
        <v>36</v>
      </c>
      <c r="H1893" t="s">
        <v>5140</v>
      </c>
      <c r="I1893" t="s">
        <v>5141</v>
      </c>
      <c r="J1893">
        <v>110127</v>
      </c>
      <c r="K1893" t="s">
        <v>3901</v>
      </c>
      <c r="L1893" t="s">
        <v>5165</v>
      </c>
      <c r="M1893" t="s">
        <v>72</v>
      </c>
      <c r="N1893">
        <v>45698</v>
      </c>
      <c r="O1893">
        <v>2939</v>
      </c>
      <c r="P1893" t="s">
        <v>20</v>
      </c>
      <c r="Q1893">
        <v>2</v>
      </c>
      <c r="R1893" t="s">
        <v>52</v>
      </c>
      <c r="S1893" t="s">
        <v>21</v>
      </c>
      <c r="T1893" t="s">
        <v>20</v>
      </c>
    </row>
    <row r="1894" spans="1:20" x14ac:dyDescent="0.3">
      <c r="A1894" t="s">
        <v>3902</v>
      </c>
      <c r="B1894" t="s">
        <v>165</v>
      </c>
      <c r="C1894" t="s">
        <v>32</v>
      </c>
      <c r="D1894" t="s">
        <v>33</v>
      </c>
      <c r="E1894" t="s">
        <v>5128</v>
      </c>
      <c r="F1894" t="s">
        <v>5125</v>
      </c>
      <c r="G1894" t="s">
        <v>16</v>
      </c>
      <c r="H1894" t="s">
        <v>5142</v>
      </c>
      <c r="I1894" t="s">
        <v>5143</v>
      </c>
      <c r="J1894">
        <v>138217</v>
      </c>
      <c r="K1894" t="s">
        <v>3903</v>
      </c>
      <c r="L1894" t="s">
        <v>87</v>
      </c>
      <c r="M1894" t="s">
        <v>46</v>
      </c>
      <c r="N1894">
        <v>45537</v>
      </c>
      <c r="O1894">
        <v>180</v>
      </c>
      <c r="P1894" t="s">
        <v>20</v>
      </c>
      <c r="Q1894">
        <v>4</v>
      </c>
      <c r="R1894" t="s">
        <v>52</v>
      </c>
      <c r="S1894" t="s">
        <v>21</v>
      </c>
      <c r="T1894" t="s">
        <v>29</v>
      </c>
    </row>
    <row r="1895" spans="1:20" x14ac:dyDescent="0.3">
      <c r="A1895" t="s">
        <v>3904</v>
      </c>
      <c r="B1895" t="s">
        <v>12</v>
      </c>
      <c r="C1895" t="s">
        <v>109</v>
      </c>
      <c r="D1895" t="s">
        <v>33</v>
      </c>
      <c r="E1895" t="s">
        <v>5124</v>
      </c>
      <c r="F1895" t="s">
        <v>5125</v>
      </c>
      <c r="G1895" t="s">
        <v>16</v>
      </c>
      <c r="H1895" t="s">
        <v>5142</v>
      </c>
      <c r="I1895" t="s">
        <v>5143</v>
      </c>
      <c r="J1895">
        <v>147040</v>
      </c>
      <c r="K1895" t="s">
        <v>3905</v>
      </c>
      <c r="L1895" t="s">
        <v>5165</v>
      </c>
      <c r="M1895" t="s">
        <v>19</v>
      </c>
      <c r="N1895">
        <v>45548</v>
      </c>
      <c r="O1895">
        <v>2052</v>
      </c>
      <c r="P1895" t="s">
        <v>92</v>
      </c>
      <c r="Q1895">
        <v>4</v>
      </c>
      <c r="R1895" t="s">
        <v>76</v>
      </c>
      <c r="S1895" t="s">
        <v>21</v>
      </c>
      <c r="T1895" t="s">
        <v>20</v>
      </c>
    </row>
    <row r="1896" spans="1:20" x14ac:dyDescent="0.3">
      <c r="A1896" t="s">
        <v>3906</v>
      </c>
      <c r="B1896" t="s">
        <v>222</v>
      </c>
      <c r="C1896" t="s">
        <v>90</v>
      </c>
      <c r="D1896" t="s">
        <v>167</v>
      </c>
      <c r="E1896" t="s">
        <v>5129</v>
      </c>
      <c r="F1896" t="s">
        <v>5130</v>
      </c>
      <c r="G1896" t="s">
        <v>16</v>
      </c>
      <c r="H1896" t="s">
        <v>5140</v>
      </c>
      <c r="I1896" t="s">
        <v>5141</v>
      </c>
      <c r="J1896">
        <v>108250</v>
      </c>
      <c r="K1896" t="s">
        <v>3907</v>
      </c>
      <c r="L1896" t="s">
        <v>87</v>
      </c>
      <c r="M1896" t="s">
        <v>19</v>
      </c>
      <c r="N1896">
        <v>45540</v>
      </c>
      <c r="O1896">
        <v>2960</v>
      </c>
      <c r="P1896" t="s">
        <v>29</v>
      </c>
      <c r="Q1896">
        <v>2</v>
      </c>
      <c r="R1896" t="s">
        <v>40</v>
      </c>
      <c r="S1896" t="s">
        <v>53</v>
      </c>
      <c r="T1896" t="s">
        <v>20</v>
      </c>
    </row>
    <row r="1897" spans="1:20" x14ac:dyDescent="0.3">
      <c r="A1897" t="s">
        <v>3908</v>
      </c>
      <c r="B1897" t="s">
        <v>78</v>
      </c>
      <c r="C1897" t="s">
        <v>85</v>
      </c>
      <c r="D1897" t="s">
        <v>68</v>
      </c>
      <c r="E1897" t="s">
        <v>26</v>
      </c>
      <c r="F1897" t="s">
        <v>27</v>
      </c>
      <c r="G1897" t="s">
        <v>36</v>
      </c>
      <c r="H1897" t="s">
        <v>5140</v>
      </c>
      <c r="I1897" t="s">
        <v>5141</v>
      </c>
      <c r="J1897">
        <v>102673</v>
      </c>
      <c r="K1897" t="s">
        <v>3909</v>
      </c>
      <c r="L1897" t="s">
        <v>134</v>
      </c>
      <c r="M1897" t="s">
        <v>46</v>
      </c>
      <c r="N1897">
        <v>45521</v>
      </c>
      <c r="O1897">
        <v>3681</v>
      </c>
      <c r="P1897" t="s">
        <v>20</v>
      </c>
      <c r="Q1897">
        <v>2</v>
      </c>
      <c r="R1897" t="s">
        <v>47</v>
      </c>
      <c r="S1897" t="s">
        <v>41</v>
      </c>
      <c r="T1897" t="s">
        <v>20</v>
      </c>
    </row>
    <row r="1898" spans="1:20" x14ac:dyDescent="0.3">
      <c r="A1898" t="s">
        <v>3910</v>
      </c>
      <c r="B1898" t="s">
        <v>63</v>
      </c>
      <c r="C1898" t="s">
        <v>100</v>
      </c>
      <c r="D1898" t="s">
        <v>167</v>
      </c>
      <c r="E1898" t="s">
        <v>80</v>
      </c>
      <c r="F1898" t="s">
        <v>80</v>
      </c>
      <c r="G1898" t="s">
        <v>36</v>
      </c>
      <c r="H1898" t="s">
        <v>5142</v>
      </c>
      <c r="I1898" t="s">
        <v>5143</v>
      </c>
      <c r="J1898">
        <v>143012</v>
      </c>
      <c r="K1898" t="s">
        <v>3911</v>
      </c>
      <c r="L1898" t="s">
        <v>38</v>
      </c>
      <c r="M1898" t="s">
        <v>39</v>
      </c>
      <c r="N1898">
        <v>45628</v>
      </c>
      <c r="O1898">
        <v>1103</v>
      </c>
      <c r="P1898" t="s">
        <v>20</v>
      </c>
      <c r="Q1898">
        <v>4</v>
      </c>
      <c r="R1898" t="s">
        <v>5116</v>
      </c>
      <c r="S1898" t="s">
        <v>21</v>
      </c>
      <c r="T1898" t="s">
        <v>20</v>
      </c>
    </row>
    <row r="1899" spans="1:20" x14ac:dyDescent="0.3">
      <c r="A1899" t="s">
        <v>3912</v>
      </c>
      <c r="B1899" t="s">
        <v>124</v>
      </c>
      <c r="C1899" t="s">
        <v>151</v>
      </c>
      <c r="D1899" t="s">
        <v>44</v>
      </c>
      <c r="E1899" t="s">
        <v>34</v>
      </c>
      <c r="F1899" t="s">
        <v>35</v>
      </c>
      <c r="G1899" t="s">
        <v>36</v>
      </c>
      <c r="H1899" t="s">
        <v>5138</v>
      </c>
      <c r="I1899" t="s">
        <v>5139</v>
      </c>
      <c r="J1899">
        <v>257551</v>
      </c>
      <c r="K1899" t="s">
        <v>3913</v>
      </c>
      <c r="L1899" t="s">
        <v>5165</v>
      </c>
      <c r="M1899" t="s">
        <v>39</v>
      </c>
      <c r="N1899">
        <v>45549</v>
      </c>
      <c r="O1899">
        <v>3042</v>
      </c>
      <c r="P1899" t="s">
        <v>29</v>
      </c>
      <c r="Q1899">
        <v>6</v>
      </c>
      <c r="R1899" t="s">
        <v>47</v>
      </c>
      <c r="S1899" t="s">
        <v>21</v>
      </c>
      <c r="T1899" t="s">
        <v>29</v>
      </c>
    </row>
    <row r="1900" spans="1:20" x14ac:dyDescent="0.3">
      <c r="A1900" t="s">
        <v>3914</v>
      </c>
      <c r="B1900" t="s">
        <v>31</v>
      </c>
      <c r="C1900" t="s">
        <v>175</v>
      </c>
      <c r="D1900" t="s">
        <v>57</v>
      </c>
      <c r="E1900" t="s">
        <v>209</v>
      </c>
      <c r="F1900" t="s">
        <v>210</v>
      </c>
      <c r="G1900" t="s">
        <v>16</v>
      </c>
      <c r="H1900" t="s">
        <v>5136</v>
      </c>
      <c r="I1900" t="s">
        <v>5137</v>
      </c>
      <c r="J1900">
        <v>77067</v>
      </c>
      <c r="K1900" t="s">
        <v>3915</v>
      </c>
      <c r="L1900" t="s">
        <v>142</v>
      </c>
      <c r="M1900" t="s">
        <v>46</v>
      </c>
      <c r="N1900">
        <v>45681</v>
      </c>
      <c r="O1900">
        <v>2211</v>
      </c>
      <c r="P1900" t="s">
        <v>20</v>
      </c>
      <c r="Q1900">
        <v>0</v>
      </c>
      <c r="R1900" t="s">
        <v>40</v>
      </c>
      <c r="S1900" t="s">
        <v>21</v>
      </c>
      <c r="T1900" t="s">
        <v>20</v>
      </c>
    </row>
    <row r="1901" spans="1:20" x14ac:dyDescent="0.3">
      <c r="A1901" t="s">
        <v>3916</v>
      </c>
      <c r="B1901" t="s">
        <v>74</v>
      </c>
      <c r="C1901" t="s">
        <v>125</v>
      </c>
      <c r="D1901" t="s">
        <v>25</v>
      </c>
      <c r="E1901" t="s">
        <v>5131</v>
      </c>
      <c r="F1901" t="s">
        <v>5125</v>
      </c>
      <c r="G1901" t="s">
        <v>36</v>
      </c>
      <c r="H1901" t="s">
        <v>5138</v>
      </c>
      <c r="I1901" t="s">
        <v>5139</v>
      </c>
      <c r="J1901">
        <v>189362</v>
      </c>
      <c r="K1901" t="s">
        <v>3917</v>
      </c>
      <c r="L1901" t="s">
        <v>82</v>
      </c>
      <c r="M1901" t="s">
        <v>46</v>
      </c>
      <c r="N1901">
        <v>45559</v>
      </c>
      <c r="O1901">
        <v>1935</v>
      </c>
      <c r="P1901" t="s">
        <v>29</v>
      </c>
      <c r="Q1901">
        <v>6</v>
      </c>
      <c r="R1901" t="s">
        <v>5116</v>
      </c>
      <c r="S1901" t="s">
        <v>41</v>
      </c>
      <c r="T1901" t="s">
        <v>20</v>
      </c>
    </row>
    <row r="1902" spans="1:20" x14ac:dyDescent="0.3">
      <c r="A1902" t="s">
        <v>3918</v>
      </c>
      <c r="B1902" t="s">
        <v>165</v>
      </c>
      <c r="C1902" t="s">
        <v>139</v>
      </c>
      <c r="D1902" t="s">
        <v>33</v>
      </c>
      <c r="E1902" t="s">
        <v>26</v>
      </c>
      <c r="F1902" t="s">
        <v>27</v>
      </c>
      <c r="G1902" t="s">
        <v>16</v>
      </c>
      <c r="H1902" t="s">
        <v>5136</v>
      </c>
      <c r="I1902" t="s">
        <v>5137</v>
      </c>
      <c r="J1902">
        <v>78781</v>
      </c>
      <c r="K1902" t="s">
        <v>3919</v>
      </c>
      <c r="L1902" t="s">
        <v>179</v>
      </c>
      <c r="M1902" t="s">
        <v>19</v>
      </c>
      <c r="N1902">
        <v>45459</v>
      </c>
      <c r="O1902">
        <v>2710</v>
      </c>
      <c r="P1902" t="s">
        <v>20</v>
      </c>
      <c r="Q1902">
        <v>0</v>
      </c>
      <c r="R1902" t="s">
        <v>76</v>
      </c>
      <c r="S1902" t="s">
        <v>21</v>
      </c>
      <c r="T1902" t="s">
        <v>20</v>
      </c>
    </row>
    <row r="1903" spans="1:20" x14ac:dyDescent="0.3">
      <c r="A1903" t="s">
        <v>3920</v>
      </c>
      <c r="B1903" t="s">
        <v>89</v>
      </c>
      <c r="C1903" t="s">
        <v>166</v>
      </c>
      <c r="D1903" t="s">
        <v>33</v>
      </c>
      <c r="E1903" t="s">
        <v>209</v>
      </c>
      <c r="F1903" t="s">
        <v>210</v>
      </c>
      <c r="G1903" t="s">
        <v>50</v>
      </c>
      <c r="H1903" t="s">
        <v>5142</v>
      </c>
      <c r="I1903" t="s">
        <v>5143</v>
      </c>
      <c r="J1903">
        <v>140986</v>
      </c>
      <c r="K1903" t="s">
        <v>3921</v>
      </c>
      <c r="L1903" t="s">
        <v>5165</v>
      </c>
      <c r="M1903" t="s">
        <v>46</v>
      </c>
      <c r="N1903">
        <v>45639</v>
      </c>
      <c r="O1903">
        <v>3298</v>
      </c>
      <c r="P1903" t="s">
        <v>20</v>
      </c>
      <c r="Q1903">
        <v>4</v>
      </c>
      <c r="R1903" t="s">
        <v>76</v>
      </c>
      <c r="S1903" t="s">
        <v>21</v>
      </c>
      <c r="T1903" t="s">
        <v>20</v>
      </c>
    </row>
    <row r="1904" spans="1:20" x14ac:dyDescent="0.3">
      <c r="A1904" t="s">
        <v>3922</v>
      </c>
      <c r="B1904" t="s">
        <v>136</v>
      </c>
      <c r="C1904" t="s">
        <v>232</v>
      </c>
      <c r="D1904" t="s">
        <v>33</v>
      </c>
      <c r="E1904" t="s">
        <v>14</v>
      </c>
      <c r="F1904" t="s">
        <v>15</v>
      </c>
      <c r="G1904" t="s">
        <v>16</v>
      </c>
      <c r="H1904" t="s">
        <v>5140</v>
      </c>
      <c r="I1904" t="s">
        <v>5141</v>
      </c>
      <c r="J1904">
        <v>133227</v>
      </c>
      <c r="K1904" t="s">
        <v>3923</v>
      </c>
      <c r="L1904" t="s">
        <v>142</v>
      </c>
      <c r="M1904" t="s">
        <v>19</v>
      </c>
      <c r="N1904">
        <v>45585</v>
      </c>
      <c r="O1904">
        <v>1754</v>
      </c>
      <c r="P1904" t="s">
        <v>20</v>
      </c>
      <c r="Q1904">
        <v>2</v>
      </c>
      <c r="R1904" t="s">
        <v>40</v>
      </c>
      <c r="S1904" t="s">
        <v>21</v>
      </c>
      <c r="T1904" t="s">
        <v>29</v>
      </c>
    </row>
    <row r="1905" spans="1:20" x14ac:dyDescent="0.3">
      <c r="A1905" t="s">
        <v>3924</v>
      </c>
      <c r="B1905" t="s">
        <v>31</v>
      </c>
      <c r="C1905" t="s">
        <v>185</v>
      </c>
      <c r="D1905" t="s">
        <v>5156</v>
      </c>
      <c r="E1905" t="s">
        <v>5126</v>
      </c>
      <c r="F1905" t="s">
        <v>5125</v>
      </c>
      <c r="G1905" t="s">
        <v>50</v>
      </c>
      <c r="H1905" t="s">
        <v>5142</v>
      </c>
      <c r="I1905" t="s">
        <v>5143</v>
      </c>
      <c r="J1905">
        <v>159980</v>
      </c>
      <c r="K1905" t="s">
        <v>3925</v>
      </c>
      <c r="L1905" t="s">
        <v>5165</v>
      </c>
      <c r="M1905" t="s">
        <v>19</v>
      </c>
      <c r="N1905">
        <v>45341</v>
      </c>
      <c r="O1905">
        <v>1001</v>
      </c>
      <c r="P1905" t="s">
        <v>92</v>
      </c>
      <c r="Q1905">
        <v>4</v>
      </c>
      <c r="R1905" t="s">
        <v>52</v>
      </c>
      <c r="S1905" t="s">
        <v>21</v>
      </c>
      <c r="T1905" t="s">
        <v>20</v>
      </c>
    </row>
    <row r="1906" spans="1:20" x14ac:dyDescent="0.3">
      <c r="A1906" t="s">
        <v>3926</v>
      </c>
      <c r="B1906" t="s">
        <v>55</v>
      </c>
      <c r="C1906" t="s">
        <v>24</v>
      </c>
      <c r="D1906" t="s">
        <v>44</v>
      </c>
      <c r="E1906" t="s">
        <v>5126</v>
      </c>
      <c r="F1906" t="s">
        <v>5125</v>
      </c>
      <c r="G1906" t="s">
        <v>50</v>
      </c>
      <c r="H1906" t="s">
        <v>5142</v>
      </c>
      <c r="I1906" t="s">
        <v>5143</v>
      </c>
      <c r="J1906">
        <v>147102</v>
      </c>
      <c r="K1906" t="s">
        <v>3927</v>
      </c>
      <c r="L1906" t="s">
        <v>61</v>
      </c>
      <c r="M1906" t="s">
        <v>39</v>
      </c>
      <c r="N1906">
        <v>45532</v>
      </c>
      <c r="O1906">
        <v>851</v>
      </c>
      <c r="P1906" t="s">
        <v>29</v>
      </c>
      <c r="Q1906">
        <v>4</v>
      </c>
      <c r="R1906" t="s">
        <v>40</v>
      </c>
      <c r="S1906" t="s">
        <v>21</v>
      </c>
      <c r="T1906" t="s">
        <v>20</v>
      </c>
    </row>
    <row r="1907" spans="1:20" x14ac:dyDescent="0.3">
      <c r="A1907" t="s">
        <v>3928</v>
      </c>
      <c r="B1907" t="s">
        <v>12</v>
      </c>
      <c r="C1907" t="s">
        <v>219</v>
      </c>
      <c r="D1907" t="s">
        <v>118</v>
      </c>
      <c r="E1907" t="s">
        <v>58</v>
      </c>
      <c r="F1907" t="s">
        <v>59</v>
      </c>
      <c r="G1907" t="s">
        <v>16</v>
      </c>
      <c r="H1907" t="s">
        <v>5136</v>
      </c>
      <c r="I1907" t="s">
        <v>5137</v>
      </c>
      <c r="J1907">
        <v>75641</v>
      </c>
      <c r="K1907" t="s">
        <v>3929</v>
      </c>
      <c r="L1907" t="s">
        <v>179</v>
      </c>
      <c r="M1907" t="s">
        <v>19</v>
      </c>
      <c r="N1907">
        <v>45297</v>
      </c>
      <c r="O1907">
        <v>1094</v>
      </c>
      <c r="P1907" t="s">
        <v>29</v>
      </c>
      <c r="Q1907">
        <v>0</v>
      </c>
      <c r="R1907" t="s">
        <v>52</v>
      </c>
      <c r="S1907" t="s">
        <v>53</v>
      </c>
      <c r="T1907" t="s">
        <v>29</v>
      </c>
    </row>
    <row r="1908" spans="1:20" x14ac:dyDescent="0.3">
      <c r="A1908" t="s">
        <v>3930</v>
      </c>
      <c r="B1908" t="s">
        <v>84</v>
      </c>
      <c r="C1908" t="s">
        <v>94</v>
      </c>
      <c r="D1908" t="s">
        <v>167</v>
      </c>
      <c r="E1908" t="s">
        <v>80</v>
      </c>
      <c r="F1908" t="s">
        <v>80</v>
      </c>
      <c r="G1908" t="s">
        <v>36</v>
      </c>
      <c r="H1908" t="s">
        <v>5142</v>
      </c>
      <c r="I1908" t="s">
        <v>5143</v>
      </c>
      <c r="J1908">
        <v>107586</v>
      </c>
      <c r="K1908" t="s">
        <v>3931</v>
      </c>
      <c r="L1908" t="s">
        <v>134</v>
      </c>
      <c r="M1908" t="s">
        <v>46</v>
      </c>
      <c r="N1908">
        <v>45634</v>
      </c>
      <c r="O1908">
        <v>1116</v>
      </c>
      <c r="P1908" t="s">
        <v>20</v>
      </c>
      <c r="Q1908">
        <v>4</v>
      </c>
      <c r="R1908" t="s">
        <v>52</v>
      </c>
      <c r="S1908" t="s">
        <v>53</v>
      </c>
      <c r="T1908" t="s">
        <v>29</v>
      </c>
    </row>
    <row r="1909" spans="1:20" x14ac:dyDescent="0.3">
      <c r="A1909" t="s">
        <v>3932</v>
      </c>
      <c r="B1909" t="s">
        <v>31</v>
      </c>
      <c r="C1909" t="s">
        <v>125</v>
      </c>
      <c r="D1909" t="s">
        <v>68</v>
      </c>
      <c r="E1909" t="s">
        <v>5124</v>
      </c>
      <c r="F1909" t="s">
        <v>5125</v>
      </c>
      <c r="G1909" t="s">
        <v>16</v>
      </c>
      <c r="H1909" t="s">
        <v>5142</v>
      </c>
      <c r="I1909" t="s">
        <v>5143</v>
      </c>
      <c r="J1909">
        <v>119577</v>
      </c>
      <c r="K1909" t="s">
        <v>3933</v>
      </c>
      <c r="L1909" t="s">
        <v>38</v>
      </c>
      <c r="M1909" t="s">
        <v>19</v>
      </c>
      <c r="N1909">
        <v>45682</v>
      </c>
      <c r="O1909">
        <v>3972</v>
      </c>
      <c r="P1909" t="s">
        <v>29</v>
      </c>
      <c r="Q1909">
        <v>4</v>
      </c>
      <c r="R1909" t="s">
        <v>47</v>
      </c>
      <c r="S1909" t="s">
        <v>21</v>
      </c>
      <c r="T1909" t="s">
        <v>29</v>
      </c>
    </row>
    <row r="1910" spans="1:20" x14ac:dyDescent="0.3">
      <c r="A1910" t="s">
        <v>3934</v>
      </c>
      <c r="B1910" t="s">
        <v>218</v>
      </c>
      <c r="C1910" t="s">
        <v>160</v>
      </c>
      <c r="D1910" t="s">
        <v>68</v>
      </c>
      <c r="E1910" t="s">
        <v>5133</v>
      </c>
      <c r="F1910" t="s">
        <v>5125</v>
      </c>
      <c r="G1910" t="s">
        <v>36</v>
      </c>
      <c r="H1910" t="s">
        <v>5140</v>
      </c>
      <c r="I1910" t="s">
        <v>5141</v>
      </c>
      <c r="J1910">
        <v>86360</v>
      </c>
      <c r="K1910" t="s">
        <v>3935</v>
      </c>
      <c r="L1910" t="s">
        <v>5165</v>
      </c>
      <c r="M1910" t="s">
        <v>46</v>
      </c>
      <c r="N1910">
        <v>45647</v>
      </c>
      <c r="O1910">
        <v>124</v>
      </c>
      <c r="P1910" t="s">
        <v>92</v>
      </c>
      <c r="Q1910">
        <v>2</v>
      </c>
      <c r="R1910" t="s">
        <v>52</v>
      </c>
      <c r="S1910" t="s">
        <v>21</v>
      </c>
      <c r="T1910" t="s">
        <v>20</v>
      </c>
    </row>
    <row r="1911" spans="1:20" x14ac:dyDescent="0.3">
      <c r="A1911" t="s">
        <v>3936</v>
      </c>
      <c r="B1911" t="s">
        <v>124</v>
      </c>
      <c r="C1911" t="s">
        <v>175</v>
      </c>
      <c r="D1911" t="s">
        <v>57</v>
      </c>
      <c r="E1911" t="s">
        <v>193</v>
      </c>
      <c r="F1911" t="s">
        <v>194</v>
      </c>
      <c r="G1911" t="s">
        <v>36</v>
      </c>
      <c r="H1911" t="s">
        <v>5136</v>
      </c>
      <c r="I1911" t="s">
        <v>5137</v>
      </c>
      <c r="J1911">
        <v>71801</v>
      </c>
      <c r="K1911" t="s">
        <v>3937</v>
      </c>
      <c r="L1911" t="s">
        <v>113</v>
      </c>
      <c r="M1911" t="s">
        <v>46</v>
      </c>
      <c r="N1911">
        <v>45614</v>
      </c>
      <c r="O1911">
        <v>1046</v>
      </c>
      <c r="P1911" t="s">
        <v>20</v>
      </c>
      <c r="Q1911">
        <v>0</v>
      </c>
      <c r="R1911" t="s">
        <v>40</v>
      </c>
      <c r="S1911" t="s">
        <v>21</v>
      </c>
      <c r="T1911" t="s">
        <v>29</v>
      </c>
    </row>
    <row r="1912" spans="1:20" x14ac:dyDescent="0.3">
      <c r="A1912" t="s">
        <v>3938</v>
      </c>
      <c r="B1912" t="s">
        <v>136</v>
      </c>
      <c r="C1912" t="s">
        <v>121</v>
      </c>
      <c r="D1912" t="s">
        <v>68</v>
      </c>
      <c r="E1912" t="s">
        <v>5127</v>
      </c>
      <c r="F1912" t="s">
        <v>5125</v>
      </c>
      <c r="G1912" t="s">
        <v>16</v>
      </c>
      <c r="H1912" t="s">
        <v>5140</v>
      </c>
      <c r="I1912" t="s">
        <v>5141</v>
      </c>
      <c r="J1912">
        <v>144303</v>
      </c>
      <c r="K1912" t="s">
        <v>3939</v>
      </c>
      <c r="L1912" t="s">
        <v>87</v>
      </c>
      <c r="M1912" t="s">
        <v>72</v>
      </c>
      <c r="N1912">
        <v>45436</v>
      </c>
      <c r="O1912">
        <v>1229</v>
      </c>
      <c r="P1912" t="s">
        <v>20</v>
      </c>
      <c r="Q1912">
        <v>2</v>
      </c>
      <c r="R1912" t="s">
        <v>47</v>
      </c>
      <c r="S1912" t="s">
        <v>41</v>
      </c>
      <c r="T1912" t="s">
        <v>20</v>
      </c>
    </row>
    <row r="1913" spans="1:20" x14ac:dyDescent="0.3">
      <c r="A1913" t="s">
        <v>3940</v>
      </c>
      <c r="B1913" t="s">
        <v>218</v>
      </c>
      <c r="C1913" t="s">
        <v>90</v>
      </c>
      <c r="D1913" t="s">
        <v>140</v>
      </c>
      <c r="E1913" t="s">
        <v>80</v>
      </c>
      <c r="F1913" t="s">
        <v>80</v>
      </c>
      <c r="G1913" t="s">
        <v>36</v>
      </c>
      <c r="H1913" t="s">
        <v>5142</v>
      </c>
      <c r="I1913" t="s">
        <v>5143</v>
      </c>
      <c r="J1913">
        <v>210245</v>
      </c>
      <c r="K1913" t="s">
        <v>3941</v>
      </c>
      <c r="L1913" t="s">
        <v>113</v>
      </c>
      <c r="M1913" t="s">
        <v>19</v>
      </c>
      <c r="N1913">
        <v>45595</v>
      </c>
      <c r="O1913">
        <v>582</v>
      </c>
      <c r="P1913" t="s">
        <v>29</v>
      </c>
      <c r="Q1913">
        <v>4</v>
      </c>
      <c r="R1913" t="s">
        <v>40</v>
      </c>
      <c r="S1913" t="s">
        <v>21</v>
      </c>
      <c r="T1913" t="s">
        <v>29</v>
      </c>
    </row>
    <row r="1914" spans="1:20" x14ac:dyDescent="0.3">
      <c r="A1914" t="s">
        <v>3942</v>
      </c>
      <c r="B1914" t="s">
        <v>218</v>
      </c>
      <c r="C1914" t="s">
        <v>188</v>
      </c>
      <c r="D1914" t="s">
        <v>33</v>
      </c>
      <c r="E1914" t="s">
        <v>5133</v>
      </c>
      <c r="F1914" t="s">
        <v>5125</v>
      </c>
      <c r="G1914" t="s">
        <v>36</v>
      </c>
      <c r="H1914" t="s">
        <v>5142</v>
      </c>
      <c r="I1914" t="s">
        <v>5143</v>
      </c>
      <c r="J1914">
        <v>167227</v>
      </c>
      <c r="K1914" t="s">
        <v>3943</v>
      </c>
      <c r="L1914" t="s">
        <v>5165</v>
      </c>
      <c r="M1914" t="s">
        <v>19</v>
      </c>
      <c r="N1914">
        <v>45600</v>
      </c>
      <c r="O1914">
        <v>1929</v>
      </c>
      <c r="P1914" t="s">
        <v>29</v>
      </c>
      <c r="Q1914">
        <v>4</v>
      </c>
      <c r="R1914" t="s">
        <v>76</v>
      </c>
      <c r="S1914" t="s">
        <v>21</v>
      </c>
      <c r="T1914" t="s">
        <v>20</v>
      </c>
    </row>
    <row r="1915" spans="1:20" x14ac:dyDescent="0.3">
      <c r="A1915" t="s">
        <v>3944</v>
      </c>
      <c r="B1915" t="s">
        <v>218</v>
      </c>
      <c r="C1915" t="s">
        <v>100</v>
      </c>
      <c r="D1915" t="s">
        <v>104</v>
      </c>
      <c r="E1915" t="s">
        <v>152</v>
      </c>
      <c r="F1915" t="s">
        <v>153</v>
      </c>
      <c r="G1915" t="s">
        <v>16</v>
      </c>
      <c r="H1915" t="s">
        <v>5136</v>
      </c>
      <c r="I1915" t="s">
        <v>5137</v>
      </c>
      <c r="J1915">
        <v>76310</v>
      </c>
      <c r="K1915" t="s">
        <v>3945</v>
      </c>
      <c r="L1915" t="s">
        <v>238</v>
      </c>
      <c r="M1915" t="s">
        <v>19</v>
      </c>
      <c r="N1915">
        <v>45355</v>
      </c>
      <c r="O1915">
        <v>3837</v>
      </c>
      <c r="P1915" t="s">
        <v>20</v>
      </c>
      <c r="Q1915">
        <v>0</v>
      </c>
      <c r="R1915" t="s">
        <v>40</v>
      </c>
      <c r="S1915" t="s">
        <v>41</v>
      </c>
      <c r="T1915" t="s">
        <v>20</v>
      </c>
    </row>
    <row r="1916" spans="1:20" x14ac:dyDescent="0.3">
      <c r="A1916" t="s">
        <v>3946</v>
      </c>
      <c r="B1916" t="s">
        <v>136</v>
      </c>
      <c r="C1916" t="s">
        <v>24</v>
      </c>
      <c r="D1916" t="s">
        <v>25</v>
      </c>
      <c r="E1916" t="s">
        <v>58</v>
      </c>
      <c r="F1916" t="s">
        <v>59</v>
      </c>
      <c r="G1916" t="s">
        <v>36</v>
      </c>
      <c r="H1916" t="s">
        <v>5142</v>
      </c>
      <c r="I1916" t="s">
        <v>5143</v>
      </c>
      <c r="J1916">
        <v>101371</v>
      </c>
      <c r="K1916" t="s">
        <v>3947</v>
      </c>
      <c r="L1916" t="s">
        <v>113</v>
      </c>
      <c r="M1916" t="s">
        <v>46</v>
      </c>
      <c r="N1916">
        <v>45416</v>
      </c>
      <c r="O1916">
        <v>2923</v>
      </c>
      <c r="P1916" t="s">
        <v>20</v>
      </c>
      <c r="Q1916">
        <v>4</v>
      </c>
      <c r="R1916" t="s">
        <v>52</v>
      </c>
      <c r="S1916" t="s">
        <v>53</v>
      </c>
      <c r="T1916" t="s">
        <v>20</v>
      </c>
    </row>
    <row r="1917" spans="1:20" x14ac:dyDescent="0.3">
      <c r="A1917" t="s">
        <v>3948</v>
      </c>
      <c r="B1917" t="s">
        <v>215</v>
      </c>
      <c r="C1917" t="s">
        <v>56</v>
      </c>
      <c r="D1917" t="s">
        <v>33</v>
      </c>
      <c r="E1917" t="s">
        <v>80</v>
      </c>
      <c r="F1917" t="s">
        <v>80</v>
      </c>
      <c r="G1917" t="s">
        <v>36</v>
      </c>
      <c r="H1917" t="s">
        <v>5138</v>
      </c>
      <c r="I1917" t="s">
        <v>5139</v>
      </c>
      <c r="J1917">
        <v>180463</v>
      </c>
      <c r="K1917" t="s">
        <v>3949</v>
      </c>
      <c r="L1917" t="s">
        <v>142</v>
      </c>
      <c r="M1917" t="s">
        <v>19</v>
      </c>
      <c r="N1917">
        <v>45544</v>
      </c>
      <c r="O1917">
        <v>3826</v>
      </c>
      <c r="P1917" t="s">
        <v>20</v>
      </c>
      <c r="Q1917">
        <v>6</v>
      </c>
      <c r="R1917" t="s">
        <v>5116</v>
      </c>
      <c r="S1917" t="s">
        <v>21</v>
      </c>
      <c r="T1917" t="s">
        <v>20</v>
      </c>
    </row>
    <row r="1918" spans="1:20" x14ac:dyDescent="0.3">
      <c r="A1918" t="s">
        <v>3950</v>
      </c>
      <c r="B1918" t="s">
        <v>99</v>
      </c>
      <c r="C1918" t="s">
        <v>166</v>
      </c>
      <c r="D1918" t="s">
        <v>140</v>
      </c>
      <c r="E1918" t="s">
        <v>58</v>
      </c>
      <c r="F1918" t="s">
        <v>59</v>
      </c>
      <c r="G1918" t="s">
        <v>36</v>
      </c>
      <c r="H1918" t="s">
        <v>5138</v>
      </c>
      <c r="I1918" t="s">
        <v>5139</v>
      </c>
      <c r="J1918">
        <v>171639</v>
      </c>
      <c r="K1918" t="s">
        <v>3951</v>
      </c>
      <c r="L1918" t="s">
        <v>179</v>
      </c>
      <c r="M1918" t="s">
        <v>46</v>
      </c>
      <c r="N1918">
        <v>45344</v>
      </c>
      <c r="O1918">
        <v>416</v>
      </c>
      <c r="P1918" t="s">
        <v>29</v>
      </c>
      <c r="Q1918">
        <v>6</v>
      </c>
      <c r="R1918" t="s">
        <v>76</v>
      </c>
      <c r="S1918" t="s">
        <v>21</v>
      </c>
      <c r="T1918" t="s">
        <v>20</v>
      </c>
    </row>
    <row r="1919" spans="1:20" x14ac:dyDescent="0.3">
      <c r="A1919" t="s">
        <v>3952</v>
      </c>
      <c r="B1919" t="s">
        <v>12</v>
      </c>
      <c r="C1919" t="s">
        <v>43</v>
      </c>
      <c r="D1919" t="s">
        <v>167</v>
      </c>
      <c r="E1919" t="s">
        <v>5133</v>
      </c>
      <c r="F1919" t="s">
        <v>5125</v>
      </c>
      <c r="G1919" t="s">
        <v>16</v>
      </c>
      <c r="H1919" t="s">
        <v>5136</v>
      </c>
      <c r="I1919" t="s">
        <v>5137</v>
      </c>
      <c r="J1919">
        <v>62177</v>
      </c>
      <c r="K1919" t="s">
        <v>3953</v>
      </c>
      <c r="L1919" t="s">
        <v>113</v>
      </c>
      <c r="M1919" t="s">
        <v>46</v>
      </c>
      <c r="N1919">
        <v>45361</v>
      </c>
      <c r="O1919">
        <v>3258</v>
      </c>
      <c r="P1919" t="s">
        <v>92</v>
      </c>
      <c r="Q1919">
        <v>0</v>
      </c>
      <c r="R1919" t="s">
        <v>76</v>
      </c>
      <c r="S1919" t="s">
        <v>41</v>
      </c>
      <c r="T1919" t="s">
        <v>20</v>
      </c>
    </row>
    <row r="1920" spans="1:20" x14ac:dyDescent="0.3">
      <c r="A1920" t="s">
        <v>3954</v>
      </c>
      <c r="B1920" t="s">
        <v>165</v>
      </c>
      <c r="C1920" t="s">
        <v>109</v>
      </c>
      <c r="D1920" t="s">
        <v>57</v>
      </c>
      <c r="E1920" t="s">
        <v>152</v>
      </c>
      <c r="F1920" t="s">
        <v>153</v>
      </c>
      <c r="G1920" t="s">
        <v>36</v>
      </c>
      <c r="H1920" t="s">
        <v>5138</v>
      </c>
      <c r="I1920" t="s">
        <v>5139</v>
      </c>
      <c r="J1920">
        <v>193946</v>
      </c>
      <c r="K1920" t="s">
        <v>3955</v>
      </c>
      <c r="L1920" t="s">
        <v>238</v>
      </c>
      <c r="M1920" t="s">
        <v>19</v>
      </c>
      <c r="N1920">
        <v>45431</v>
      </c>
      <c r="O1920">
        <v>2940</v>
      </c>
      <c r="P1920" t="s">
        <v>20</v>
      </c>
      <c r="Q1920">
        <v>6</v>
      </c>
      <c r="R1920" t="s">
        <v>47</v>
      </c>
      <c r="S1920" t="s">
        <v>21</v>
      </c>
      <c r="T1920" t="s">
        <v>20</v>
      </c>
    </row>
    <row r="1921" spans="1:20" x14ac:dyDescent="0.3">
      <c r="A1921" t="s">
        <v>3956</v>
      </c>
      <c r="B1921" t="s">
        <v>136</v>
      </c>
      <c r="C1921" t="s">
        <v>139</v>
      </c>
      <c r="D1921" t="s">
        <v>118</v>
      </c>
      <c r="E1921" t="s">
        <v>5128</v>
      </c>
      <c r="F1921" t="s">
        <v>5125</v>
      </c>
      <c r="G1921" t="s">
        <v>50</v>
      </c>
      <c r="H1921" t="s">
        <v>5140</v>
      </c>
      <c r="I1921" t="s">
        <v>5141</v>
      </c>
      <c r="J1921">
        <v>100652</v>
      </c>
      <c r="K1921" t="s">
        <v>3957</v>
      </c>
      <c r="L1921" t="s">
        <v>82</v>
      </c>
      <c r="M1921" t="s">
        <v>19</v>
      </c>
      <c r="N1921">
        <v>45468</v>
      </c>
      <c r="O1921">
        <v>3671</v>
      </c>
      <c r="P1921" t="s">
        <v>20</v>
      </c>
      <c r="Q1921">
        <v>2</v>
      </c>
      <c r="R1921" t="s">
        <v>40</v>
      </c>
      <c r="S1921" t="s">
        <v>41</v>
      </c>
      <c r="T1921" t="s">
        <v>20</v>
      </c>
    </row>
    <row r="1922" spans="1:20" x14ac:dyDescent="0.3">
      <c r="A1922" t="s">
        <v>3958</v>
      </c>
      <c r="B1922" t="s">
        <v>130</v>
      </c>
      <c r="C1922" t="s">
        <v>219</v>
      </c>
      <c r="D1922" t="s">
        <v>118</v>
      </c>
      <c r="E1922" t="s">
        <v>5124</v>
      </c>
      <c r="F1922" t="s">
        <v>5125</v>
      </c>
      <c r="G1922" t="s">
        <v>16</v>
      </c>
      <c r="H1922" t="s">
        <v>5138</v>
      </c>
      <c r="I1922" t="s">
        <v>5139</v>
      </c>
      <c r="J1922">
        <v>128745</v>
      </c>
      <c r="K1922" t="s">
        <v>3959</v>
      </c>
      <c r="L1922" t="s">
        <v>179</v>
      </c>
      <c r="M1922" t="s">
        <v>19</v>
      </c>
      <c r="N1922">
        <v>45546</v>
      </c>
      <c r="O1922">
        <v>278</v>
      </c>
      <c r="P1922" t="s">
        <v>20</v>
      </c>
      <c r="Q1922">
        <v>6</v>
      </c>
      <c r="R1922" t="s">
        <v>47</v>
      </c>
      <c r="S1922" t="s">
        <v>21</v>
      </c>
      <c r="T1922" t="s">
        <v>20</v>
      </c>
    </row>
    <row r="1923" spans="1:20" x14ac:dyDescent="0.3">
      <c r="A1923" t="s">
        <v>3960</v>
      </c>
      <c r="B1923" t="s">
        <v>218</v>
      </c>
      <c r="C1923" t="s">
        <v>188</v>
      </c>
      <c r="D1923" t="s">
        <v>57</v>
      </c>
      <c r="E1923" t="s">
        <v>152</v>
      </c>
      <c r="F1923" t="s">
        <v>153</v>
      </c>
      <c r="G1923" t="s">
        <v>36</v>
      </c>
      <c r="H1923" t="s">
        <v>5136</v>
      </c>
      <c r="I1923" t="s">
        <v>5137</v>
      </c>
      <c r="J1923">
        <v>79423</v>
      </c>
      <c r="K1923" t="s">
        <v>3961</v>
      </c>
      <c r="L1923" t="s">
        <v>61</v>
      </c>
      <c r="M1923" t="s">
        <v>72</v>
      </c>
      <c r="N1923">
        <v>45722</v>
      </c>
      <c r="O1923">
        <v>3865</v>
      </c>
      <c r="P1923" t="s">
        <v>29</v>
      </c>
      <c r="Q1923">
        <v>0</v>
      </c>
      <c r="R1923" t="s">
        <v>40</v>
      </c>
      <c r="S1923" t="s">
        <v>21</v>
      </c>
      <c r="T1923" t="s">
        <v>29</v>
      </c>
    </row>
    <row r="1924" spans="1:20" x14ac:dyDescent="0.3">
      <c r="A1924" t="s">
        <v>3962</v>
      </c>
      <c r="B1924" t="s">
        <v>215</v>
      </c>
      <c r="C1924" t="s">
        <v>117</v>
      </c>
      <c r="D1924" t="s">
        <v>104</v>
      </c>
      <c r="E1924" t="s">
        <v>5133</v>
      </c>
      <c r="F1924" t="s">
        <v>5125</v>
      </c>
      <c r="G1924" t="s">
        <v>36</v>
      </c>
      <c r="H1924" t="s">
        <v>5138</v>
      </c>
      <c r="I1924" t="s">
        <v>5139</v>
      </c>
      <c r="J1924">
        <v>161381</v>
      </c>
      <c r="K1924" t="s">
        <v>3963</v>
      </c>
      <c r="L1924" t="s">
        <v>179</v>
      </c>
      <c r="M1924" t="s">
        <v>19</v>
      </c>
      <c r="N1924">
        <v>45716</v>
      </c>
      <c r="O1924">
        <v>717</v>
      </c>
      <c r="P1924" t="s">
        <v>29</v>
      </c>
      <c r="Q1924">
        <v>6</v>
      </c>
      <c r="R1924" t="s">
        <v>52</v>
      </c>
      <c r="S1924" t="s">
        <v>21</v>
      </c>
      <c r="T1924" t="s">
        <v>29</v>
      </c>
    </row>
    <row r="1925" spans="1:20" x14ac:dyDescent="0.3">
      <c r="A1925" t="s">
        <v>3964</v>
      </c>
      <c r="B1925" t="s">
        <v>12</v>
      </c>
      <c r="C1925" t="s">
        <v>109</v>
      </c>
      <c r="D1925" t="s">
        <v>167</v>
      </c>
      <c r="E1925" t="s">
        <v>5133</v>
      </c>
      <c r="F1925" t="s">
        <v>5125</v>
      </c>
      <c r="G1925" t="s">
        <v>16</v>
      </c>
      <c r="H1925" t="s">
        <v>5142</v>
      </c>
      <c r="I1925" t="s">
        <v>5143</v>
      </c>
      <c r="J1925">
        <v>156459</v>
      </c>
      <c r="K1925" t="s">
        <v>3965</v>
      </c>
      <c r="L1925" t="s">
        <v>142</v>
      </c>
      <c r="M1925" t="s">
        <v>39</v>
      </c>
      <c r="N1925">
        <v>45597</v>
      </c>
      <c r="O1925">
        <v>2965</v>
      </c>
      <c r="P1925" t="s">
        <v>20</v>
      </c>
      <c r="Q1925">
        <v>4</v>
      </c>
      <c r="R1925" t="s">
        <v>40</v>
      </c>
      <c r="S1925" t="s">
        <v>21</v>
      </c>
      <c r="T1925" t="s">
        <v>29</v>
      </c>
    </row>
    <row r="1926" spans="1:20" x14ac:dyDescent="0.3">
      <c r="A1926" t="s">
        <v>3966</v>
      </c>
      <c r="B1926" t="s">
        <v>78</v>
      </c>
      <c r="C1926" t="s">
        <v>139</v>
      </c>
      <c r="D1926" t="s">
        <v>167</v>
      </c>
      <c r="E1926" t="s">
        <v>80</v>
      </c>
      <c r="F1926" t="s">
        <v>80</v>
      </c>
      <c r="G1926" t="s">
        <v>16</v>
      </c>
      <c r="H1926" t="s">
        <v>5136</v>
      </c>
      <c r="I1926" t="s">
        <v>5137</v>
      </c>
      <c r="J1926">
        <v>96133</v>
      </c>
      <c r="K1926" t="s">
        <v>3967</v>
      </c>
      <c r="L1926" t="s">
        <v>142</v>
      </c>
      <c r="M1926" t="s">
        <v>19</v>
      </c>
      <c r="N1926">
        <v>45299</v>
      </c>
      <c r="O1926">
        <v>508</v>
      </c>
      <c r="P1926" t="s">
        <v>92</v>
      </c>
      <c r="Q1926">
        <v>0</v>
      </c>
      <c r="R1926" t="s">
        <v>5116</v>
      </c>
      <c r="S1926" t="s">
        <v>21</v>
      </c>
      <c r="T1926" t="s">
        <v>20</v>
      </c>
    </row>
    <row r="1927" spans="1:20" x14ac:dyDescent="0.3">
      <c r="A1927" t="s">
        <v>3968</v>
      </c>
      <c r="B1927" t="s">
        <v>23</v>
      </c>
      <c r="C1927" t="s">
        <v>64</v>
      </c>
      <c r="D1927" t="s">
        <v>44</v>
      </c>
      <c r="E1927" t="s">
        <v>152</v>
      </c>
      <c r="F1927" t="s">
        <v>153</v>
      </c>
      <c r="G1927" t="s">
        <v>36</v>
      </c>
      <c r="H1927" t="s">
        <v>5138</v>
      </c>
      <c r="I1927" t="s">
        <v>5139</v>
      </c>
      <c r="J1927">
        <v>166902</v>
      </c>
      <c r="K1927" t="s">
        <v>3969</v>
      </c>
      <c r="L1927" t="s">
        <v>18</v>
      </c>
      <c r="M1927" t="s">
        <v>46</v>
      </c>
      <c r="N1927">
        <v>45556</v>
      </c>
      <c r="O1927">
        <v>1225</v>
      </c>
      <c r="P1927" t="s">
        <v>20</v>
      </c>
      <c r="Q1927">
        <v>6</v>
      </c>
      <c r="R1927" t="s">
        <v>52</v>
      </c>
      <c r="S1927" t="s">
        <v>21</v>
      </c>
      <c r="T1927" t="s">
        <v>29</v>
      </c>
    </row>
    <row r="1928" spans="1:20" x14ac:dyDescent="0.3">
      <c r="A1928" t="s">
        <v>3970</v>
      </c>
      <c r="B1928" t="s">
        <v>322</v>
      </c>
      <c r="C1928" t="s">
        <v>151</v>
      </c>
      <c r="D1928" t="s">
        <v>33</v>
      </c>
      <c r="E1928" t="s">
        <v>5126</v>
      </c>
      <c r="F1928" t="s">
        <v>5125</v>
      </c>
      <c r="G1928" t="s">
        <v>16</v>
      </c>
      <c r="H1928" t="s">
        <v>5142</v>
      </c>
      <c r="I1928" t="s">
        <v>5143</v>
      </c>
      <c r="J1928">
        <v>81682</v>
      </c>
      <c r="K1928" t="s">
        <v>3971</v>
      </c>
      <c r="L1928" t="s">
        <v>113</v>
      </c>
      <c r="M1928" t="s">
        <v>46</v>
      </c>
      <c r="N1928">
        <v>45383</v>
      </c>
      <c r="O1928">
        <v>3145</v>
      </c>
      <c r="P1928" t="s">
        <v>20</v>
      </c>
      <c r="Q1928">
        <v>4</v>
      </c>
      <c r="R1928" t="s">
        <v>5116</v>
      </c>
      <c r="S1928" t="s">
        <v>21</v>
      </c>
      <c r="T1928" t="s">
        <v>20</v>
      </c>
    </row>
    <row r="1929" spans="1:20" x14ac:dyDescent="0.3">
      <c r="A1929" t="s">
        <v>3972</v>
      </c>
      <c r="B1929" t="s">
        <v>130</v>
      </c>
      <c r="C1929" t="s">
        <v>79</v>
      </c>
      <c r="D1929" t="s">
        <v>25</v>
      </c>
      <c r="E1929" t="s">
        <v>5129</v>
      </c>
      <c r="F1929" t="s">
        <v>5130</v>
      </c>
      <c r="G1929" t="s">
        <v>36</v>
      </c>
      <c r="H1929" t="s">
        <v>5140</v>
      </c>
      <c r="I1929" t="s">
        <v>5141</v>
      </c>
      <c r="J1929">
        <v>104337</v>
      </c>
      <c r="K1929" t="s">
        <v>3973</v>
      </c>
      <c r="L1929" t="s">
        <v>18</v>
      </c>
      <c r="M1929" t="s">
        <v>19</v>
      </c>
      <c r="N1929">
        <v>45489</v>
      </c>
      <c r="O1929">
        <v>1849</v>
      </c>
      <c r="P1929" t="s">
        <v>20</v>
      </c>
      <c r="Q1929">
        <v>2</v>
      </c>
      <c r="R1929" t="s">
        <v>5116</v>
      </c>
      <c r="S1929" t="s">
        <v>21</v>
      </c>
      <c r="T1929" t="s">
        <v>20</v>
      </c>
    </row>
    <row r="1930" spans="1:20" x14ac:dyDescent="0.3">
      <c r="A1930" t="s">
        <v>3974</v>
      </c>
      <c r="B1930" t="s">
        <v>23</v>
      </c>
      <c r="C1930" t="s">
        <v>125</v>
      </c>
      <c r="D1930" t="s">
        <v>140</v>
      </c>
      <c r="E1930" t="s">
        <v>193</v>
      </c>
      <c r="F1930" t="s">
        <v>194</v>
      </c>
      <c r="G1930" t="s">
        <v>36</v>
      </c>
      <c r="H1930" t="s">
        <v>5138</v>
      </c>
      <c r="I1930" t="s">
        <v>5139</v>
      </c>
      <c r="J1930">
        <v>239634</v>
      </c>
      <c r="K1930" t="s">
        <v>3975</v>
      </c>
      <c r="L1930" t="s">
        <v>142</v>
      </c>
      <c r="M1930" t="s">
        <v>46</v>
      </c>
      <c r="N1930">
        <v>45718</v>
      </c>
      <c r="O1930">
        <v>1884</v>
      </c>
      <c r="P1930" t="s">
        <v>20</v>
      </c>
      <c r="Q1930">
        <v>6</v>
      </c>
      <c r="R1930" t="s">
        <v>52</v>
      </c>
      <c r="S1930" t="s">
        <v>21</v>
      </c>
      <c r="T1930" t="s">
        <v>29</v>
      </c>
    </row>
    <row r="1931" spans="1:20" x14ac:dyDescent="0.3">
      <c r="A1931" t="s">
        <v>3976</v>
      </c>
      <c r="B1931" t="s">
        <v>165</v>
      </c>
      <c r="C1931" t="s">
        <v>166</v>
      </c>
      <c r="D1931" t="s">
        <v>104</v>
      </c>
      <c r="E1931" t="s">
        <v>193</v>
      </c>
      <c r="F1931" t="s">
        <v>194</v>
      </c>
      <c r="G1931" t="s">
        <v>36</v>
      </c>
      <c r="H1931" t="s">
        <v>5140</v>
      </c>
      <c r="I1931" t="s">
        <v>5141</v>
      </c>
      <c r="J1931">
        <v>148775</v>
      </c>
      <c r="K1931" t="s">
        <v>3977</v>
      </c>
      <c r="L1931" t="s">
        <v>5165</v>
      </c>
      <c r="M1931" t="s">
        <v>19</v>
      </c>
      <c r="N1931">
        <v>45604</v>
      </c>
      <c r="O1931">
        <v>1776</v>
      </c>
      <c r="P1931" t="s">
        <v>20</v>
      </c>
      <c r="Q1931">
        <v>2</v>
      </c>
      <c r="R1931" t="s">
        <v>40</v>
      </c>
      <c r="S1931" t="s">
        <v>21</v>
      </c>
      <c r="T1931" t="s">
        <v>20</v>
      </c>
    </row>
    <row r="1932" spans="1:20" x14ac:dyDescent="0.3">
      <c r="A1932" t="s">
        <v>3978</v>
      </c>
      <c r="B1932" t="s">
        <v>55</v>
      </c>
      <c r="C1932" t="s">
        <v>49</v>
      </c>
      <c r="D1932" t="s">
        <v>167</v>
      </c>
      <c r="E1932" t="s">
        <v>26</v>
      </c>
      <c r="F1932" t="s">
        <v>27</v>
      </c>
      <c r="G1932" t="s">
        <v>50</v>
      </c>
      <c r="H1932" t="s">
        <v>5142</v>
      </c>
      <c r="I1932" t="s">
        <v>5143</v>
      </c>
      <c r="J1932">
        <v>116802</v>
      </c>
      <c r="K1932" t="s">
        <v>3979</v>
      </c>
      <c r="L1932" t="s">
        <v>238</v>
      </c>
      <c r="M1932" t="s">
        <v>19</v>
      </c>
      <c r="N1932">
        <v>45516</v>
      </c>
      <c r="O1932">
        <v>3442</v>
      </c>
      <c r="P1932" t="s">
        <v>20</v>
      </c>
      <c r="Q1932">
        <v>4</v>
      </c>
      <c r="R1932" t="s">
        <v>52</v>
      </c>
      <c r="S1932" t="s">
        <v>53</v>
      </c>
      <c r="T1932" t="s">
        <v>29</v>
      </c>
    </row>
    <row r="1933" spans="1:20" x14ac:dyDescent="0.3">
      <c r="A1933" t="s">
        <v>3980</v>
      </c>
      <c r="B1933" t="s">
        <v>322</v>
      </c>
      <c r="C1933" t="s">
        <v>24</v>
      </c>
      <c r="D1933" t="s">
        <v>57</v>
      </c>
      <c r="E1933" t="s">
        <v>5127</v>
      </c>
      <c r="F1933" t="s">
        <v>5125</v>
      </c>
      <c r="G1933" t="s">
        <v>50</v>
      </c>
      <c r="H1933" t="s">
        <v>5140</v>
      </c>
      <c r="I1933" t="s">
        <v>5141</v>
      </c>
      <c r="J1933">
        <v>119834</v>
      </c>
      <c r="K1933" t="s">
        <v>3981</v>
      </c>
      <c r="L1933" t="s">
        <v>5165</v>
      </c>
      <c r="M1933" t="s">
        <v>19</v>
      </c>
      <c r="N1933">
        <v>45688</v>
      </c>
      <c r="O1933">
        <v>1604</v>
      </c>
      <c r="P1933" t="s">
        <v>92</v>
      </c>
      <c r="Q1933">
        <v>2</v>
      </c>
      <c r="R1933" t="s">
        <v>47</v>
      </c>
      <c r="S1933" t="s">
        <v>41</v>
      </c>
      <c r="T1933" t="s">
        <v>29</v>
      </c>
    </row>
    <row r="1934" spans="1:20" x14ac:dyDescent="0.3">
      <c r="A1934" t="s">
        <v>3982</v>
      </c>
      <c r="B1934" t="s">
        <v>84</v>
      </c>
      <c r="C1934" t="s">
        <v>175</v>
      </c>
      <c r="D1934" t="s">
        <v>25</v>
      </c>
      <c r="E1934" t="s">
        <v>5132</v>
      </c>
      <c r="F1934" t="s">
        <v>5125</v>
      </c>
      <c r="G1934" t="s">
        <v>36</v>
      </c>
      <c r="H1934" t="s">
        <v>5136</v>
      </c>
      <c r="I1934" t="s">
        <v>5137</v>
      </c>
      <c r="J1934">
        <v>64137</v>
      </c>
      <c r="K1934" t="s">
        <v>3983</v>
      </c>
      <c r="L1934" t="s">
        <v>61</v>
      </c>
      <c r="M1934" t="s">
        <v>19</v>
      </c>
      <c r="N1934">
        <v>45466</v>
      </c>
      <c r="O1934">
        <v>1569</v>
      </c>
      <c r="P1934" t="s">
        <v>29</v>
      </c>
      <c r="Q1934">
        <v>0</v>
      </c>
      <c r="R1934" t="s">
        <v>76</v>
      </c>
      <c r="S1934" t="s">
        <v>21</v>
      </c>
      <c r="T1934" t="s">
        <v>20</v>
      </c>
    </row>
    <row r="1935" spans="1:20" x14ac:dyDescent="0.3">
      <c r="A1935" t="s">
        <v>3984</v>
      </c>
      <c r="B1935" t="s">
        <v>144</v>
      </c>
      <c r="C1935" t="s">
        <v>103</v>
      </c>
      <c r="D1935" t="s">
        <v>33</v>
      </c>
      <c r="E1935" t="s">
        <v>152</v>
      </c>
      <c r="F1935" t="s">
        <v>153</v>
      </c>
      <c r="G1935" t="s">
        <v>50</v>
      </c>
      <c r="H1935" t="s">
        <v>5142</v>
      </c>
      <c r="I1935" t="s">
        <v>5143</v>
      </c>
      <c r="J1935">
        <v>147139</v>
      </c>
      <c r="K1935" t="s">
        <v>3985</v>
      </c>
      <c r="L1935" t="s">
        <v>113</v>
      </c>
      <c r="M1935" t="s">
        <v>39</v>
      </c>
      <c r="N1935">
        <v>45400</v>
      </c>
      <c r="O1935">
        <v>1395</v>
      </c>
      <c r="P1935" t="s">
        <v>20</v>
      </c>
      <c r="Q1935">
        <v>4</v>
      </c>
      <c r="R1935" t="s">
        <v>47</v>
      </c>
      <c r="S1935" t="s">
        <v>21</v>
      </c>
      <c r="T1935" t="s">
        <v>29</v>
      </c>
    </row>
    <row r="1936" spans="1:20" x14ac:dyDescent="0.3">
      <c r="A1936" t="s">
        <v>3986</v>
      </c>
      <c r="B1936" t="s">
        <v>23</v>
      </c>
      <c r="C1936" t="s">
        <v>13</v>
      </c>
      <c r="D1936" t="s">
        <v>5156</v>
      </c>
      <c r="E1936" t="s">
        <v>209</v>
      </c>
      <c r="F1936" t="s">
        <v>210</v>
      </c>
      <c r="G1936" t="s">
        <v>50</v>
      </c>
      <c r="H1936" t="s">
        <v>5142</v>
      </c>
      <c r="I1936" t="s">
        <v>5143</v>
      </c>
      <c r="J1936">
        <v>221397</v>
      </c>
      <c r="K1936" t="s">
        <v>3987</v>
      </c>
      <c r="L1936" t="s">
        <v>179</v>
      </c>
      <c r="M1936" t="s">
        <v>19</v>
      </c>
      <c r="N1936">
        <v>45600</v>
      </c>
      <c r="O1936">
        <v>3854</v>
      </c>
      <c r="P1936" t="s">
        <v>20</v>
      </c>
      <c r="Q1936">
        <v>4</v>
      </c>
      <c r="R1936" t="s">
        <v>40</v>
      </c>
      <c r="S1936" t="s">
        <v>53</v>
      </c>
      <c r="T1936" t="s">
        <v>29</v>
      </c>
    </row>
    <row r="1937" spans="1:20" x14ac:dyDescent="0.3">
      <c r="A1937" t="s">
        <v>3988</v>
      </c>
      <c r="B1937" t="s">
        <v>165</v>
      </c>
      <c r="C1937" t="s">
        <v>103</v>
      </c>
      <c r="D1937" t="s">
        <v>140</v>
      </c>
      <c r="E1937" t="s">
        <v>5127</v>
      </c>
      <c r="F1937" t="s">
        <v>5125</v>
      </c>
      <c r="G1937" t="s">
        <v>36</v>
      </c>
      <c r="H1937" t="s">
        <v>5136</v>
      </c>
      <c r="I1937" t="s">
        <v>5137</v>
      </c>
      <c r="J1937">
        <v>51062</v>
      </c>
      <c r="K1937" t="s">
        <v>3989</v>
      </c>
      <c r="L1937" t="s">
        <v>82</v>
      </c>
      <c r="M1937" t="s">
        <v>19</v>
      </c>
      <c r="N1937">
        <v>45667</v>
      </c>
      <c r="O1937">
        <v>1798</v>
      </c>
      <c r="P1937" t="s">
        <v>29</v>
      </c>
      <c r="Q1937">
        <v>0</v>
      </c>
      <c r="R1937" t="s">
        <v>5116</v>
      </c>
      <c r="S1937" t="s">
        <v>53</v>
      </c>
      <c r="T1937" t="s">
        <v>20</v>
      </c>
    </row>
    <row r="1938" spans="1:20" x14ac:dyDescent="0.3">
      <c r="A1938" t="s">
        <v>3990</v>
      </c>
      <c r="B1938" t="s">
        <v>89</v>
      </c>
      <c r="C1938" t="s">
        <v>100</v>
      </c>
      <c r="D1938" t="s">
        <v>57</v>
      </c>
      <c r="E1938" t="s">
        <v>5132</v>
      </c>
      <c r="F1938" t="s">
        <v>5125</v>
      </c>
      <c r="G1938" t="s">
        <v>36</v>
      </c>
      <c r="H1938" t="s">
        <v>5142</v>
      </c>
      <c r="I1938" t="s">
        <v>5143</v>
      </c>
      <c r="J1938">
        <v>156850</v>
      </c>
      <c r="K1938" t="s">
        <v>3991</v>
      </c>
      <c r="L1938" t="s">
        <v>87</v>
      </c>
      <c r="M1938" t="s">
        <v>46</v>
      </c>
      <c r="N1938">
        <v>45422</v>
      </c>
      <c r="O1938">
        <v>707</v>
      </c>
      <c r="P1938" t="s">
        <v>20</v>
      </c>
      <c r="Q1938">
        <v>4</v>
      </c>
      <c r="R1938" t="s">
        <v>40</v>
      </c>
      <c r="S1938" t="s">
        <v>53</v>
      </c>
      <c r="T1938" t="s">
        <v>20</v>
      </c>
    </row>
    <row r="1939" spans="1:20" x14ac:dyDescent="0.3">
      <c r="A1939" t="s">
        <v>3992</v>
      </c>
      <c r="B1939" t="s">
        <v>31</v>
      </c>
      <c r="C1939" t="s">
        <v>160</v>
      </c>
      <c r="D1939" t="s">
        <v>44</v>
      </c>
      <c r="E1939" t="s">
        <v>209</v>
      </c>
      <c r="F1939" t="s">
        <v>210</v>
      </c>
      <c r="G1939" t="s">
        <v>36</v>
      </c>
      <c r="H1939" t="s">
        <v>5136</v>
      </c>
      <c r="I1939" t="s">
        <v>5137</v>
      </c>
      <c r="J1939">
        <v>75892</v>
      </c>
      <c r="K1939" t="s">
        <v>3993</v>
      </c>
      <c r="L1939" t="s">
        <v>5165</v>
      </c>
      <c r="M1939" t="s">
        <v>46</v>
      </c>
      <c r="N1939">
        <v>45532</v>
      </c>
      <c r="O1939">
        <v>849</v>
      </c>
      <c r="P1939" t="s">
        <v>20</v>
      </c>
      <c r="Q1939">
        <v>0</v>
      </c>
      <c r="R1939" t="s">
        <v>76</v>
      </c>
      <c r="S1939" t="s">
        <v>53</v>
      </c>
      <c r="T1939" t="s">
        <v>20</v>
      </c>
    </row>
    <row r="1940" spans="1:20" x14ac:dyDescent="0.3">
      <c r="A1940" t="s">
        <v>3994</v>
      </c>
      <c r="B1940" t="s">
        <v>124</v>
      </c>
      <c r="C1940" t="s">
        <v>197</v>
      </c>
      <c r="D1940" t="s">
        <v>118</v>
      </c>
      <c r="E1940" t="s">
        <v>5129</v>
      </c>
      <c r="F1940" t="s">
        <v>5130</v>
      </c>
      <c r="G1940" t="s">
        <v>16</v>
      </c>
      <c r="H1940" t="s">
        <v>5140</v>
      </c>
      <c r="I1940" t="s">
        <v>5141</v>
      </c>
      <c r="J1940">
        <v>131498</v>
      </c>
      <c r="K1940" t="s">
        <v>3995</v>
      </c>
      <c r="L1940" t="s">
        <v>5165</v>
      </c>
      <c r="M1940" t="s">
        <v>46</v>
      </c>
      <c r="N1940">
        <v>45694</v>
      </c>
      <c r="O1940">
        <v>1195</v>
      </c>
      <c r="P1940" t="s">
        <v>20</v>
      </c>
      <c r="Q1940">
        <v>2</v>
      </c>
      <c r="R1940" t="s">
        <v>76</v>
      </c>
      <c r="S1940" t="s">
        <v>21</v>
      </c>
      <c r="T1940" t="s">
        <v>20</v>
      </c>
    </row>
    <row r="1941" spans="1:20" x14ac:dyDescent="0.3">
      <c r="A1941" t="s">
        <v>3996</v>
      </c>
      <c r="B1941" t="s">
        <v>322</v>
      </c>
      <c r="C1941" t="s">
        <v>172</v>
      </c>
      <c r="D1941" t="s">
        <v>167</v>
      </c>
      <c r="E1941" t="s">
        <v>152</v>
      </c>
      <c r="F1941" t="s">
        <v>153</v>
      </c>
      <c r="G1941" t="s">
        <v>16</v>
      </c>
      <c r="H1941" t="s">
        <v>5138</v>
      </c>
      <c r="I1941" t="s">
        <v>5139</v>
      </c>
      <c r="J1941">
        <v>203527</v>
      </c>
      <c r="K1941" t="s">
        <v>3997</v>
      </c>
      <c r="L1941" t="s">
        <v>179</v>
      </c>
      <c r="M1941" t="s">
        <v>46</v>
      </c>
      <c r="N1941">
        <v>45716</v>
      </c>
      <c r="O1941">
        <v>2372</v>
      </c>
      <c r="P1941" t="s">
        <v>29</v>
      </c>
      <c r="Q1941">
        <v>6</v>
      </c>
      <c r="R1941" t="s">
        <v>5116</v>
      </c>
      <c r="S1941" t="s">
        <v>21</v>
      </c>
      <c r="T1941" t="s">
        <v>20</v>
      </c>
    </row>
    <row r="1942" spans="1:20" x14ac:dyDescent="0.3">
      <c r="A1942" t="s">
        <v>3998</v>
      </c>
      <c r="B1942" t="s">
        <v>74</v>
      </c>
      <c r="C1942" t="s">
        <v>121</v>
      </c>
      <c r="D1942" t="s">
        <v>25</v>
      </c>
      <c r="E1942" t="s">
        <v>34</v>
      </c>
      <c r="F1942" t="s">
        <v>35</v>
      </c>
      <c r="G1942" t="s">
        <v>36</v>
      </c>
      <c r="H1942" t="s">
        <v>5142</v>
      </c>
      <c r="I1942" t="s">
        <v>5143</v>
      </c>
      <c r="J1942">
        <v>158317</v>
      </c>
      <c r="K1942" t="s">
        <v>3999</v>
      </c>
      <c r="L1942" t="s">
        <v>134</v>
      </c>
      <c r="M1942" t="s">
        <v>46</v>
      </c>
      <c r="N1942">
        <v>45543</v>
      </c>
      <c r="O1942">
        <v>201</v>
      </c>
      <c r="P1942" t="s">
        <v>20</v>
      </c>
      <c r="Q1942">
        <v>4</v>
      </c>
      <c r="R1942" t="s">
        <v>47</v>
      </c>
      <c r="S1942" t="s">
        <v>21</v>
      </c>
      <c r="T1942" t="s">
        <v>20</v>
      </c>
    </row>
    <row r="1943" spans="1:20" x14ac:dyDescent="0.3">
      <c r="A1943" t="s">
        <v>4000</v>
      </c>
      <c r="B1943" t="s">
        <v>229</v>
      </c>
      <c r="C1943" t="s">
        <v>67</v>
      </c>
      <c r="D1943" t="s">
        <v>68</v>
      </c>
      <c r="E1943" t="s">
        <v>193</v>
      </c>
      <c r="F1943" t="s">
        <v>194</v>
      </c>
      <c r="G1943" t="s">
        <v>16</v>
      </c>
      <c r="H1943" t="s">
        <v>5140</v>
      </c>
      <c r="I1943" t="s">
        <v>5141</v>
      </c>
      <c r="J1943">
        <v>102245</v>
      </c>
      <c r="K1943" t="s">
        <v>4001</v>
      </c>
      <c r="L1943" t="s">
        <v>18</v>
      </c>
      <c r="M1943" t="s">
        <v>46</v>
      </c>
      <c r="N1943">
        <v>45460</v>
      </c>
      <c r="O1943">
        <v>2440</v>
      </c>
      <c r="P1943" t="s">
        <v>20</v>
      </c>
      <c r="Q1943">
        <v>2</v>
      </c>
      <c r="R1943" t="s">
        <v>52</v>
      </c>
      <c r="S1943" t="s">
        <v>41</v>
      </c>
      <c r="T1943" t="s">
        <v>20</v>
      </c>
    </row>
    <row r="1944" spans="1:20" x14ac:dyDescent="0.3">
      <c r="A1944" t="s">
        <v>4002</v>
      </c>
      <c r="B1944" t="s">
        <v>74</v>
      </c>
      <c r="C1944" t="s">
        <v>13</v>
      </c>
      <c r="D1944" t="s">
        <v>104</v>
      </c>
      <c r="E1944" t="s">
        <v>58</v>
      </c>
      <c r="F1944" t="s">
        <v>59</v>
      </c>
      <c r="G1944" t="s">
        <v>16</v>
      </c>
      <c r="H1944" t="s">
        <v>5142</v>
      </c>
      <c r="I1944" t="s">
        <v>5143</v>
      </c>
      <c r="J1944">
        <v>157266</v>
      </c>
      <c r="K1944" t="s">
        <v>4003</v>
      </c>
      <c r="L1944" t="s">
        <v>179</v>
      </c>
      <c r="M1944" t="s">
        <v>19</v>
      </c>
      <c r="N1944">
        <v>45512</v>
      </c>
      <c r="O1944">
        <v>1924</v>
      </c>
      <c r="P1944" t="s">
        <v>20</v>
      </c>
      <c r="Q1944">
        <v>4</v>
      </c>
      <c r="R1944" t="s">
        <v>47</v>
      </c>
      <c r="S1944" t="s">
        <v>21</v>
      </c>
      <c r="T1944" t="s">
        <v>29</v>
      </c>
    </row>
    <row r="1945" spans="1:20" x14ac:dyDescent="0.3">
      <c r="A1945" t="s">
        <v>4004</v>
      </c>
      <c r="B1945" t="s">
        <v>31</v>
      </c>
      <c r="C1945" t="s">
        <v>160</v>
      </c>
      <c r="D1945" t="s">
        <v>44</v>
      </c>
      <c r="E1945" t="s">
        <v>5127</v>
      </c>
      <c r="F1945" t="s">
        <v>5125</v>
      </c>
      <c r="G1945" t="s">
        <v>16</v>
      </c>
      <c r="H1945" t="s">
        <v>5136</v>
      </c>
      <c r="I1945" t="s">
        <v>5137</v>
      </c>
      <c r="J1945">
        <v>65675</v>
      </c>
      <c r="K1945" t="s">
        <v>4005</v>
      </c>
      <c r="L1945" t="s">
        <v>238</v>
      </c>
      <c r="M1945" t="s">
        <v>19</v>
      </c>
      <c r="N1945">
        <v>45537</v>
      </c>
      <c r="O1945">
        <v>804</v>
      </c>
      <c r="P1945" t="s">
        <v>29</v>
      </c>
      <c r="Q1945">
        <v>0</v>
      </c>
      <c r="R1945" t="s">
        <v>47</v>
      </c>
      <c r="S1945" t="s">
        <v>41</v>
      </c>
      <c r="T1945" t="s">
        <v>20</v>
      </c>
    </row>
    <row r="1946" spans="1:20" x14ac:dyDescent="0.3">
      <c r="A1946" t="s">
        <v>4006</v>
      </c>
      <c r="B1946" t="s">
        <v>84</v>
      </c>
      <c r="C1946" t="s">
        <v>49</v>
      </c>
      <c r="D1946" t="s">
        <v>167</v>
      </c>
      <c r="E1946" t="s">
        <v>5132</v>
      </c>
      <c r="F1946" t="s">
        <v>5125</v>
      </c>
      <c r="G1946" t="s">
        <v>50</v>
      </c>
      <c r="H1946" t="s">
        <v>5140</v>
      </c>
      <c r="I1946" t="s">
        <v>5141</v>
      </c>
      <c r="J1946">
        <v>122307</v>
      </c>
      <c r="K1946" t="s">
        <v>4007</v>
      </c>
      <c r="L1946" t="s">
        <v>179</v>
      </c>
      <c r="M1946" t="s">
        <v>19</v>
      </c>
      <c r="N1946">
        <v>45347</v>
      </c>
      <c r="O1946">
        <v>1334</v>
      </c>
      <c r="P1946" t="s">
        <v>20</v>
      </c>
      <c r="Q1946">
        <v>2</v>
      </c>
      <c r="R1946" t="s">
        <v>52</v>
      </c>
      <c r="S1946" t="s">
        <v>21</v>
      </c>
      <c r="T1946" t="s">
        <v>29</v>
      </c>
    </row>
    <row r="1947" spans="1:20" x14ac:dyDescent="0.3">
      <c r="A1947" t="s">
        <v>4008</v>
      </c>
      <c r="B1947" t="s">
        <v>74</v>
      </c>
      <c r="C1947" t="s">
        <v>219</v>
      </c>
      <c r="D1947" t="s">
        <v>57</v>
      </c>
      <c r="E1947" t="s">
        <v>58</v>
      </c>
      <c r="F1947" t="s">
        <v>59</v>
      </c>
      <c r="G1947" t="s">
        <v>36</v>
      </c>
      <c r="H1947" t="s">
        <v>5142</v>
      </c>
      <c r="I1947" t="s">
        <v>5143</v>
      </c>
      <c r="J1947">
        <v>140020</v>
      </c>
      <c r="K1947" t="s">
        <v>4009</v>
      </c>
      <c r="L1947" t="s">
        <v>113</v>
      </c>
      <c r="M1947" t="s">
        <v>39</v>
      </c>
      <c r="N1947">
        <v>45345</v>
      </c>
      <c r="O1947">
        <v>874</v>
      </c>
      <c r="P1947" t="s">
        <v>20</v>
      </c>
      <c r="Q1947">
        <v>4</v>
      </c>
      <c r="R1947" t="s">
        <v>52</v>
      </c>
      <c r="S1947" t="s">
        <v>41</v>
      </c>
      <c r="T1947" t="s">
        <v>20</v>
      </c>
    </row>
    <row r="1948" spans="1:20" x14ac:dyDescent="0.3">
      <c r="A1948" t="s">
        <v>4010</v>
      </c>
      <c r="B1948" t="s">
        <v>99</v>
      </c>
      <c r="C1948" t="s">
        <v>197</v>
      </c>
      <c r="D1948" t="s">
        <v>68</v>
      </c>
      <c r="E1948" t="s">
        <v>5128</v>
      </c>
      <c r="F1948" t="s">
        <v>5125</v>
      </c>
      <c r="G1948" t="s">
        <v>36</v>
      </c>
      <c r="H1948" t="s">
        <v>5138</v>
      </c>
      <c r="I1948" t="s">
        <v>5139</v>
      </c>
      <c r="J1948">
        <v>213575</v>
      </c>
      <c r="K1948" t="s">
        <v>4011</v>
      </c>
      <c r="L1948" t="s">
        <v>5165</v>
      </c>
      <c r="M1948" t="s">
        <v>39</v>
      </c>
      <c r="N1948">
        <v>45460</v>
      </c>
      <c r="O1948">
        <v>2920</v>
      </c>
      <c r="P1948" t="s">
        <v>92</v>
      </c>
      <c r="Q1948">
        <v>6</v>
      </c>
      <c r="R1948" t="s">
        <v>76</v>
      </c>
      <c r="S1948" t="s">
        <v>21</v>
      </c>
      <c r="T1948" t="s">
        <v>29</v>
      </c>
    </row>
    <row r="1949" spans="1:20" x14ac:dyDescent="0.3">
      <c r="A1949" t="s">
        <v>4012</v>
      </c>
      <c r="B1949" t="s">
        <v>165</v>
      </c>
      <c r="C1949" t="s">
        <v>94</v>
      </c>
      <c r="D1949" t="s">
        <v>140</v>
      </c>
      <c r="E1949" t="s">
        <v>5124</v>
      </c>
      <c r="F1949" t="s">
        <v>5125</v>
      </c>
      <c r="G1949" t="s">
        <v>50</v>
      </c>
      <c r="H1949" t="s">
        <v>5140</v>
      </c>
      <c r="I1949" t="s">
        <v>5141</v>
      </c>
      <c r="J1949">
        <v>109420</v>
      </c>
      <c r="K1949" t="s">
        <v>4013</v>
      </c>
      <c r="L1949" t="s">
        <v>18</v>
      </c>
      <c r="M1949" t="s">
        <v>19</v>
      </c>
      <c r="N1949">
        <v>45490</v>
      </c>
      <c r="O1949">
        <v>3836</v>
      </c>
      <c r="P1949" t="s">
        <v>20</v>
      </c>
      <c r="Q1949">
        <v>2</v>
      </c>
      <c r="R1949" t="s">
        <v>52</v>
      </c>
      <c r="S1949" t="s">
        <v>21</v>
      </c>
      <c r="T1949" t="s">
        <v>20</v>
      </c>
    </row>
    <row r="1950" spans="1:20" x14ac:dyDescent="0.3">
      <c r="A1950" t="s">
        <v>4014</v>
      </c>
      <c r="B1950" t="s">
        <v>136</v>
      </c>
      <c r="C1950" t="s">
        <v>139</v>
      </c>
      <c r="D1950" t="s">
        <v>33</v>
      </c>
      <c r="E1950" t="s">
        <v>5126</v>
      </c>
      <c r="F1950" t="s">
        <v>5125</v>
      </c>
      <c r="G1950" t="s">
        <v>50</v>
      </c>
      <c r="H1950" t="s">
        <v>5140</v>
      </c>
      <c r="I1950" t="s">
        <v>5141</v>
      </c>
      <c r="J1950">
        <v>132295</v>
      </c>
      <c r="K1950" t="s">
        <v>4015</v>
      </c>
      <c r="L1950" t="s">
        <v>5165</v>
      </c>
      <c r="M1950" t="s">
        <v>46</v>
      </c>
      <c r="N1950">
        <v>45642</v>
      </c>
      <c r="O1950">
        <v>380</v>
      </c>
      <c r="P1950" t="s">
        <v>20</v>
      </c>
      <c r="Q1950">
        <v>2</v>
      </c>
      <c r="R1950" t="s">
        <v>5116</v>
      </c>
      <c r="S1950" t="s">
        <v>21</v>
      </c>
      <c r="T1950" t="s">
        <v>20</v>
      </c>
    </row>
    <row r="1951" spans="1:20" x14ac:dyDescent="0.3">
      <c r="A1951" t="s">
        <v>4016</v>
      </c>
      <c r="B1951" t="s">
        <v>89</v>
      </c>
      <c r="C1951" t="s">
        <v>160</v>
      </c>
      <c r="D1951" t="s">
        <v>44</v>
      </c>
      <c r="E1951" t="s">
        <v>209</v>
      </c>
      <c r="F1951" t="s">
        <v>210</v>
      </c>
      <c r="G1951" t="s">
        <v>36</v>
      </c>
      <c r="H1951" t="s">
        <v>5136</v>
      </c>
      <c r="I1951" t="s">
        <v>5137</v>
      </c>
      <c r="J1951">
        <v>69352</v>
      </c>
      <c r="K1951" t="s">
        <v>4017</v>
      </c>
      <c r="L1951" t="s">
        <v>82</v>
      </c>
      <c r="M1951" t="s">
        <v>72</v>
      </c>
      <c r="N1951">
        <v>45639</v>
      </c>
      <c r="O1951">
        <v>3187</v>
      </c>
      <c r="P1951" t="s">
        <v>92</v>
      </c>
      <c r="Q1951">
        <v>0</v>
      </c>
      <c r="R1951" t="s">
        <v>40</v>
      </c>
      <c r="S1951" t="s">
        <v>21</v>
      </c>
      <c r="T1951" t="s">
        <v>20</v>
      </c>
    </row>
    <row r="1952" spans="1:20" x14ac:dyDescent="0.3">
      <c r="A1952" t="s">
        <v>4018</v>
      </c>
      <c r="B1952" t="s">
        <v>31</v>
      </c>
      <c r="C1952" t="s">
        <v>13</v>
      </c>
      <c r="D1952" t="s">
        <v>140</v>
      </c>
      <c r="E1952" t="s">
        <v>5126</v>
      </c>
      <c r="F1952" t="s">
        <v>5125</v>
      </c>
      <c r="G1952" t="s">
        <v>16</v>
      </c>
      <c r="H1952" t="s">
        <v>5142</v>
      </c>
      <c r="I1952" t="s">
        <v>5143</v>
      </c>
      <c r="J1952">
        <v>102128</v>
      </c>
      <c r="K1952" t="s">
        <v>4019</v>
      </c>
      <c r="L1952" t="s">
        <v>38</v>
      </c>
      <c r="M1952" t="s">
        <v>19</v>
      </c>
      <c r="N1952">
        <v>45448</v>
      </c>
      <c r="O1952">
        <v>2474</v>
      </c>
      <c r="P1952" t="s">
        <v>29</v>
      </c>
      <c r="Q1952">
        <v>4</v>
      </c>
      <c r="R1952" t="s">
        <v>40</v>
      </c>
      <c r="S1952" t="s">
        <v>21</v>
      </c>
      <c r="T1952" t="s">
        <v>29</v>
      </c>
    </row>
    <row r="1953" spans="1:20" x14ac:dyDescent="0.3">
      <c r="A1953" t="s">
        <v>4020</v>
      </c>
      <c r="B1953" t="s">
        <v>99</v>
      </c>
      <c r="C1953" t="s">
        <v>64</v>
      </c>
      <c r="D1953" t="s">
        <v>68</v>
      </c>
      <c r="E1953" t="s">
        <v>5126</v>
      </c>
      <c r="F1953" t="s">
        <v>5125</v>
      </c>
      <c r="G1953" t="s">
        <v>16</v>
      </c>
      <c r="H1953" t="s">
        <v>5140</v>
      </c>
      <c r="I1953" t="s">
        <v>5141</v>
      </c>
      <c r="J1953">
        <v>134986</v>
      </c>
      <c r="K1953" t="s">
        <v>4021</v>
      </c>
      <c r="L1953" t="s">
        <v>18</v>
      </c>
      <c r="M1953" t="s">
        <v>39</v>
      </c>
      <c r="N1953">
        <v>45415</v>
      </c>
      <c r="O1953">
        <v>2764</v>
      </c>
      <c r="P1953" t="s">
        <v>20</v>
      </c>
      <c r="Q1953">
        <v>2</v>
      </c>
      <c r="R1953" t="s">
        <v>47</v>
      </c>
      <c r="S1953" t="s">
        <v>21</v>
      </c>
      <c r="T1953" t="s">
        <v>20</v>
      </c>
    </row>
    <row r="1954" spans="1:20" x14ac:dyDescent="0.3">
      <c r="A1954" t="s">
        <v>4022</v>
      </c>
      <c r="B1954" t="s">
        <v>124</v>
      </c>
      <c r="C1954" t="s">
        <v>197</v>
      </c>
      <c r="D1954" t="s">
        <v>33</v>
      </c>
      <c r="E1954" t="s">
        <v>80</v>
      </c>
      <c r="F1954" t="s">
        <v>80</v>
      </c>
      <c r="G1954" t="s">
        <v>36</v>
      </c>
      <c r="H1954" t="s">
        <v>5142</v>
      </c>
      <c r="I1954" t="s">
        <v>5143</v>
      </c>
      <c r="J1954">
        <v>125545</v>
      </c>
      <c r="K1954" t="s">
        <v>4023</v>
      </c>
      <c r="L1954" t="s">
        <v>18</v>
      </c>
      <c r="M1954" t="s">
        <v>72</v>
      </c>
      <c r="N1954">
        <v>45469</v>
      </c>
      <c r="O1954">
        <v>231</v>
      </c>
      <c r="P1954" t="s">
        <v>92</v>
      </c>
      <c r="Q1954">
        <v>4</v>
      </c>
      <c r="R1954" t="s">
        <v>76</v>
      </c>
      <c r="S1954" t="s">
        <v>21</v>
      </c>
      <c r="T1954" t="s">
        <v>20</v>
      </c>
    </row>
    <row r="1955" spans="1:20" x14ac:dyDescent="0.3">
      <c r="A1955" t="s">
        <v>4024</v>
      </c>
      <c r="B1955" t="s">
        <v>55</v>
      </c>
      <c r="C1955" t="s">
        <v>160</v>
      </c>
      <c r="D1955" t="s">
        <v>33</v>
      </c>
      <c r="E1955" t="s">
        <v>14</v>
      </c>
      <c r="F1955" t="s">
        <v>15</v>
      </c>
      <c r="G1955" t="s">
        <v>16</v>
      </c>
      <c r="H1955" t="s">
        <v>5142</v>
      </c>
      <c r="I1955" t="s">
        <v>5143</v>
      </c>
      <c r="J1955">
        <v>132348</v>
      </c>
      <c r="K1955" t="s">
        <v>4025</v>
      </c>
      <c r="L1955" t="s">
        <v>87</v>
      </c>
      <c r="M1955" t="s">
        <v>46</v>
      </c>
      <c r="N1955">
        <v>45695</v>
      </c>
      <c r="O1955">
        <v>3854</v>
      </c>
      <c r="P1955" t="s">
        <v>92</v>
      </c>
      <c r="Q1955">
        <v>4</v>
      </c>
      <c r="R1955" t="s">
        <v>52</v>
      </c>
      <c r="S1955" t="s">
        <v>21</v>
      </c>
      <c r="T1955" t="s">
        <v>20</v>
      </c>
    </row>
    <row r="1956" spans="1:20" x14ac:dyDescent="0.3">
      <c r="A1956" t="s">
        <v>4026</v>
      </c>
      <c r="B1956" t="s">
        <v>89</v>
      </c>
      <c r="C1956" t="s">
        <v>24</v>
      </c>
      <c r="D1956" t="s">
        <v>167</v>
      </c>
      <c r="E1956" t="s">
        <v>5133</v>
      </c>
      <c r="F1956" t="s">
        <v>5125</v>
      </c>
      <c r="G1956" t="s">
        <v>16</v>
      </c>
      <c r="H1956" t="s">
        <v>5138</v>
      </c>
      <c r="I1956" t="s">
        <v>5139</v>
      </c>
      <c r="J1956">
        <v>178556</v>
      </c>
      <c r="K1956" t="s">
        <v>4027</v>
      </c>
      <c r="L1956" t="s">
        <v>5165</v>
      </c>
      <c r="M1956" t="s">
        <v>46</v>
      </c>
      <c r="N1956">
        <v>45517</v>
      </c>
      <c r="O1956">
        <v>1190</v>
      </c>
      <c r="P1956" t="s">
        <v>20</v>
      </c>
      <c r="Q1956">
        <v>6</v>
      </c>
      <c r="R1956" t="s">
        <v>5116</v>
      </c>
      <c r="S1956" t="s">
        <v>21</v>
      </c>
      <c r="T1956" t="s">
        <v>29</v>
      </c>
    </row>
    <row r="1957" spans="1:20" x14ac:dyDescent="0.3">
      <c r="A1957" t="s">
        <v>4028</v>
      </c>
      <c r="B1957" t="s">
        <v>322</v>
      </c>
      <c r="C1957" t="s">
        <v>175</v>
      </c>
      <c r="D1957" t="s">
        <v>5156</v>
      </c>
      <c r="E1957" t="s">
        <v>5124</v>
      </c>
      <c r="F1957" t="s">
        <v>5125</v>
      </c>
      <c r="G1957" t="s">
        <v>50</v>
      </c>
      <c r="H1957" t="s">
        <v>5136</v>
      </c>
      <c r="I1957" t="s">
        <v>5137</v>
      </c>
      <c r="J1957">
        <v>87317</v>
      </c>
      <c r="K1957" t="s">
        <v>4029</v>
      </c>
      <c r="L1957" t="s">
        <v>82</v>
      </c>
      <c r="M1957" t="s">
        <v>39</v>
      </c>
      <c r="N1957">
        <v>45418</v>
      </c>
      <c r="O1957">
        <v>1426</v>
      </c>
      <c r="P1957" t="s">
        <v>29</v>
      </c>
      <c r="Q1957">
        <v>0</v>
      </c>
      <c r="R1957" t="s">
        <v>5116</v>
      </c>
      <c r="S1957" t="s">
        <v>21</v>
      </c>
      <c r="T1957" t="s">
        <v>29</v>
      </c>
    </row>
    <row r="1958" spans="1:20" x14ac:dyDescent="0.3">
      <c r="A1958" t="s">
        <v>4030</v>
      </c>
      <c r="B1958" t="s">
        <v>84</v>
      </c>
      <c r="C1958" t="s">
        <v>56</v>
      </c>
      <c r="D1958" t="s">
        <v>118</v>
      </c>
      <c r="E1958" t="s">
        <v>193</v>
      </c>
      <c r="F1958" t="s">
        <v>194</v>
      </c>
      <c r="G1958" t="s">
        <v>16</v>
      </c>
      <c r="H1958" t="s">
        <v>5140</v>
      </c>
      <c r="I1958" t="s">
        <v>5141</v>
      </c>
      <c r="J1958">
        <v>67713</v>
      </c>
      <c r="K1958" t="s">
        <v>4031</v>
      </c>
      <c r="L1958" t="s">
        <v>5165</v>
      </c>
      <c r="M1958" t="s">
        <v>39</v>
      </c>
      <c r="N1958">
        <v>45372</v>
      </c>
      <c r="O1958">
        <v>1948</v>
      </c>
      <c r="P1958" t="s">
        <v>29</v>
      </c>
      <c r="Q1958">
        <v>2</v>
      </c>
      <c r="R1958" t="s">
        <v>76</v>
      </c>
      <c r="S1958" t="s">
        <v>21</v>
      </c>
      <c r="T1958" t="s">
        <v>29</v>
      </c>
    </row>
    <row r="1959" spans="1:20" x14ac:dyDescent="0.3">
      <c r="A1959" t="s">
        <v>4032</v>
      </c>
      <c r="B1959" t="s">
        <v>78</v>
      </c>
      <c r="C1959" t="s">
        <v>219</v>
      </c>
      <c r="D1959" t="s">
        <v>167</v>
      </c>
      <c r="E1959" t="s">
        <v>26</v>
      </c>
      <c r="F1959" t="s">
        <v>27</v>
      </c>
      <c r="G1959" t="s">
        <v>16</v>
      </c>
      <c r="H1959" t="s">
        <v>5136</v>
      </c>
      <c r="I1959" t="s">
        <v>5137</v>
      </c>
      <c r="J1959">
        <v>109535</v>
      </c>
      <c r="K1959" t="s">
        <v>4033</v>
      </c>
      <c r="L1959" t="s">
        <v>5165</v>
      </c>
      <c r="M1959" t="s">
        <v>46</v>
      </c>
      <c r="N1959">
        <v>45349</v>
      </c>
      <c r="O1959">
        <v>3896</v>
      </c>
      <c r="P1959" t="s">
        <v>20</v>
      </c>
      <c r="Q1959">
        <v>0</v>
      </c>
      <c r="R1959" t="s">
        <v>47</v>
      </c>
      <c r="S1959" t="s">
        <v>21</v>
      </c>
      <c r="T1959" t="s">
        <v>20</v>
      </c>
    </row>
    <row r="1960" spans="1:20" x14ac:dyDescent="0.3">
      <c r="A1960" t="s">
        <v>4034</v>
      </c>
      <c r="B1960" t="s">
        <v>322</v>
      </c>
      <c r="C1960" t="s">
        <v>175</v>
      </c>
      <c r="D1960" t="s">
        <v>25</v>
      </c>
      <c r="E1960" t="s">
        <v>95</v>
      </c>
      <c r="F1960" t="s">
        <v>96</v>
      </c>
      <c r="G1960" t="s">
        <v>16</v>
      </c>
      <c r="H1960" t="s">
        <v>5140</v>
      </c>
      <c r="I1960" t="s">
        <v>5141</v>
      </c>
      <c r="J1960">
        <v>130909</v>
      </c>
      <c r="K1960" t="s">
        <v>4035</v>
      </c>
      <c r="L1960" t="s">
        <v>179</v>
      </c>
      <c r="M1960" t="s">
        <v>39</v>
      </c>
      <c r="N1960">
        <v>45653</v>
      </c>
      <c r="O1960">
        <v>1623</v>
      </c>
      <c r="P1960" t="s">
        <v>20</v>
      </c>
      <c r="Q1960">
        <v>2</v>
      </c>
      <c r="R1960" t="s">
        <v>47</v>
      </c>
      <c r="S1960" t="s">
        <v>21</v>
      </c>
      <c r="T1960" t="s">
        <v>29</v>
      </c>
    </row>
    <row r="1961" spans="1:20" x14ac:dyDescent="0.3">
      <c r="A1961" t="s">
        <v>4036</v>
      </c>
      <c r="B1961" t="s">
        <v>99</v>
      </c>
      <c r="C1961" t="s">
        <v>90</v>
      </c>
      <c r="D1961" t="s">
        <v>118</v>
      </c>
      <c r="E1961" t="s">
        <v>193</v>
      </c>
      <c r="F1961" t="s">
        <v>194</v>
      </c>
      <c r="G1961" t="s">
        <v>50</v>
      </c>
      <c r="H1961" t="s">
        <v>5140</v>
      </c>
      <c r="I1961" t="s">
        <v>5141</v>
      </c>
      <c r="J1961">
        <v>114420</v>
      </c>
      <c r="K1961" t="s">
        <v>4037</v>
      </c>
      <c r="L1961" t="s">
        <v>82</v>
      </c>
      <c r="M1961" t="s">
        <v>19</v>
      </c>
      <c r="N1961">
        <v>45506</v>
      </c>
      <c r="O1961">
        <v>1640</v>
      </c>
      <c r="P1961" t="s">
        <v>20</v>
      </c>
      <c r="Q1961">
        <v>2</v>
      </c>
      <c r="R1961" t="s">
        <v>47</v>
      </c>
      <c r="S1961" t="s">
        <v>21</v>
      </c>
      <c r="T1961" t="s">
        <v>20</v>
      </c>
    </row>
    <row r="1962" spans="1:20" x14ac:dyDescent="0.3">
      <c r="A1962" t="s">
        <v>4038</v>
      </c>
      <c r="B1962" t="s">
        <v>222</v>
      </c>
      <c r="C1962" t="s">
        <v>197</v>
      </c>
      <c r="D1962" t="s">
        <v>5156</v>
      </c>
      <c r="E1962" t="s">
        <v>126</v>
      </c>
      <c r="F1962" t="s">
        <v>127</v>
      </c>
      <c r="G1962" t="s">
        <v>16</v>
      </c>
      <c r="H1962" t="s">
        <v>5138</v>
      </c>
      <c r="I1962" t="s">
        <v>5139</v>
      </c>
      <c r="J1962">
        <v>198023</v>
      </c>
      <c r="K1962" t="s">
        <v>4039</v>
      </c>
      <c r="L1962" t="s">
        <v>38</v>
      </c>
      <c r="M1962" t="s">
        <v>19</v>
      </c>
      <c r="N1962">
        <v>45538</v>
      </c>
      <c r="O1962">
        <v>3694</v>
      </c>
      <c r="P1962" t="s">
        <v>29</v>
      </c>
      <c r="Q1962">
        <v>6</v>
      </c>
      <c r="R1962" t="s">
        <v>52</v>
      </c>
      <c r="S1962" t="s">
        <v>21</v>
      </c>
      <c r="T1962" t="s">
        <v>20</v>
      </c>
    </row>
    <row r="1963" spans="1:20" x14ac:dyDescent="0.3">
      <c r="A1963" t="s">
        <v>4040</v>
      </c>
      <c r="B1963" t="s">
        <v>229</v>
      </c>
      <c r="C1963" t="s">
        <v>67</v>
      </c>
      <c r="D1963" t="s">
        <v>25</v>
      </c>
      <c r="E1963" t="s">
        <v>152</v>
      </c>
      <c r="F1963" t="s">
        <v>153</v>
      </c>
      <c r="G1963" t="s">
        <v>50</v>
      </c>
      <c r="H1963" t="s">
        <v>5138</v>
      </c>
      <c r="I1963" t="s">
        <v>5139</v>
      </c>
      <c r="J1963">
        <v>210279</v>
      </c>
      <c r="K1963" t="s">
        <v>4041</v>
      </c>
      <c r="L1963" t="s">
        <v>61</v>
      </c>
      <c r="M1963" t="s">
        <v>72</v>
      </c>
      <c r="N1963">
        <v>45744</v>
      </c>
      <c r="O1963">
        <v>998</v>
      </c>
      <c r="P1963" t="s">
        <v>20</v>
      </c>
      <c r="Q1963">
        <v>6</v>
      </c>
      <c r="R1963" t="s">
        <v>52</v>
      </c>
      <c r="S1963" t="s">
        <v>21</v>
      </c>
      <c r="T1963" t="s">
        <v>29</v>
      </c>
    </row>
    <row r="1964" spans="1:20" x14ac:dyDescent="0.3">
      <c r="A1964" t="s">
        <v>4042</v>
      </c>
      <c r="B1964" t="s">
        <v>74</v>
      </c>
      <c r="C1964" t="s">
        <v>100</v>
      </c>
      <c r="D1964" t="s">
        <v>33</v>
      </c>
      <c r="E1964" t="s">
        <v>5133</v>
      </c>
      <c r="F1964" t="s">
        <v>5125</v>
      </c>
      <c r="G1964" t="s">
        <v>36</v>
      </c>
      <c r="H1964" t="s">
        <v>5138</v>
      </c>
      <c r="I1964" t="s">
        <v>5139</v>
      </c>
      <c r="J1964">
        <v>218760</v>
      </c>
      <c r="K1964" t="s">
        <v>4043</v>
      </c>
      <c r="L1964" t="s">
        <v>134</v>
      </c>
      <c r="M1964" t="s">
        <v>46</v>
      </c>
      <c r="N1964">
        <v>45681</v>
      </c>
      <c r="O1964">
        <v>1290</v>
      </c>
      <c r="P1964" t="s">
        <v>20</v>
      </c>
      <c r="Q1964">
        <v>6</v>
      </c>
      <c r="R1964" t="s">
        <v>40</v>
      </c>
      <c r="S1964" t="s">
        <v>41</v>
      </c>
      <c r="T1964" t="s">
        <v>20</v>
      </c>
    </row>
    <row r="1965" spans="1:20" x14ac:dyDescent="0.3">
      <c r="A1965" t="s">
        <v>4044</v>
      </c>
      <c r="B1965" t="s">
        <v>124</v>
      </c>
      <c r="C1965" t="s">
        <v>219</v>
      </c>
      <c r="D1965" t="s">
        <v>104</v>
      </c>
      <c r="E1965" t="s">
        <v>5129</v>
      </c>
      <c r="F1965" t="s">
        <v>5130</v>
      </c>
      <c r="G1965" t="s">
        <v>36</v>
      </c>
      <c r="H1965" t="s">
        <v>5142</v>
      </c>
      <c r="I1965" t="s">
        <v>5143</v>
      </c>
      <c r="J1965">
        <v>167420</v>
      </c>
      <c r="K1965" t="s">
        <v>4045</v>
      </c>
      <c r="L1965" t="s">
        <v>5165</v>
      </c>
      <c r="M1965" t="s">
        <v>46</v>
      </c>
      <c r="N1965">
        <v>45723</v>
      </c>
      <c r="O1965">
        <v>61</v>
      </c>
      <c r="P1965" t="s">
        <v>29</v>
      </c>
      <c r="Q1965">
        <v>4</v>
      </c>
      <c r="R1965" t="s">
        <v>47</v>
      </c>
      <c r="S1965" t="s">
        <v>53</v>
      </c>
      <c r="T1965" t="s">
        <v>29</v>
      </c>
    </row>
    <row r="1966" spans="1:20" x14ac:dyDescent="0.3">
      <c r="A1966" t="s">
        <v>4046</v>
      </c>
      <c r="B1966" t="s">
        <v>229</v>
      </c>
      <c r="C1966" t="s">
        <v>160</v>
      </c>
      <c r="D1966" t="s">
        <v>118</v>
      </c>
      <c r="E1966" t="s">
        <v>95</v>
      </c>
      <c r="F1966" t="s">
        <v>96</v>
      </c>
      <c r="G1966" t="s">
        <v>36</v>
      </c>
      <c r="H1966" t="s">
        <v>5140</v>
      </c>
      <c r="I1966" t="s">
        <v>5141</v>
      </c>
      <c r="J1966">
        <v>121000</v>
      </c>
      <c r="K1966" t="s">
        <v>4047</v>
      </c>
      <c r="L1966" t="s">
        <v>61</v>
      </c>
      <c r="M1966" t="s">
        <v>46</v>
      </c>
      <c r="N1966">
        <v>45494</v>
      </c>
      <c r="O1966">
        <v>1396</v>
      </c>
      <c r="P1966" t="s">
        <v>20</v>
      </c>
      <c r="Q1966">
        <v>2</v>
      </c>
      <c r="R1966" t="s">
        <v>76</v>
      </c>
      <c r="S1966" t="s">
        <v>21</v>
      </c>
      <c r="T1966" t="s">
        <v>20</v>
      </c>
    </row>
    <row r="1967" spans="1:20" x14ac:dyDescent="0.3">
      <c r="A1967" t="s">
        <v>4048</v>
      </c>
      <c r="B1967" t="s">
        <v>99</v>
      </c>
      <c r="C1967" t="s">
        <v>160</v>
      </c>
      <c r="D1967" t="s">
        <v>104</v>
      </c>
      <c r="E1967" t="s">
        <v>58</v>
      </c>
      <c r="F1967" t="s">
        <v>59</v>
      </c>
      <c r="G1967" t="s">
        <v>16</v>
      </c>
      <c r="H1967" t="s">
        <v>5138</v>
      </c>
      <c r="I1967" t="s">
        <v>5139</v>
      </c>
      <c r="J1967">
        <v>203224</v>
      </c>
      <c r="K1967" t="s">
        <v>4049</v>
      </c>
      <c r="L1967" t="s">
        <v>179</v>
      </c>
      <c r="M1967" t="s">
        <v>39</v>
      </c>
      <c r="N1967">
        <v>45495</v>
      </c>
      <c r="O1967">
        <v>2242</v>
      </c>
      <c r="P1967" t="s">
        <v>29</v>
      </c>
      <c r="Q1967">
        <v>6</v>
      </c>
      <c r="R1967" t="s">
        <v>52</v>
      </c>
      <c r="S1967" t="s">
        <v>21</v>
      </c>
      <c r="T1967" t="s">
        <v>20</v>
      </c>
    </row>
    <row r="1968" spans="1:20" x14ac:dyDescent="0.3">
      <c r="A1968" t="s">
        <v>4050</v>
      </c>
      <c r="B1968" t="s">
        <v>55</v>
      </c>
      <c r="C1968" t="s">
        <v>197</v>
      </c>
      <c r="D1968" t="s">
        <v>104</v>
      </c>
      <c r="E1968" t="s">
        <v>5132</v>
      </c>
      <c r="F1968" t="s">
        <v>5125</v>
      </c>
      <c r="G1968" t="s">
        <v>36</v>
      </c>
      <c r="H1968" t="s">
        <v>5136</v>
      </c>
      <c r="I1968" t="s">
        <v>5137</v>
      </c>
      <c r="J1968">
        <v>67513</v>
      </c>
      <c r="K1968" t="s">
        <v>4051</v>
      </c>
      <c r="L1968" t="s">
        <v>5165</v>
      </c>
      <c r="M1968" t="s">
        <v>19</v>
      </c>
      <c r="N1968">
        <v>45394</v>
      </c>
      <c r="O1968">
        <v>144</v>
      </c>
      <c r="P1968" t="s">
        <v>29</v>
      </c>
      <c r="Q1968">
        <v>0</v>
      </c>
      <c r="R1968" t="s">
        <v>40</v>
      </c>
      <c r="S1968" t="s">
        <v>21</v>
      </c>
      <c r="T1968" t="s">
        <v>20</v>
      </c>
    </row>
    <row r="1969" spans="1:20" x14ac:dyDescent="0.3">
      <c r="A1969" t="s">
        <v>4052</v>
      </c>
      <c r="B1969" t="s">
        <v>23</v>
      </c>
      <c r="C1969" t="s">
        <v>43</v>
      </c>
      <c r="D1969" t="s">
        <v>25</v>
      </c>
      <c r="E1969" t="s">
        <v>5132</v>
      </c>
      <c r="F1969" t="s">
        <v>5125</v>
      </c>
      <c r="G1969" t="s">
        <v>36</v>
      </c>
      <c r="H1969" t="s">
        <v>5142</v>
      </c>
      <c r="I1969" t="s">
        <v>5143</v>
      </c>
      <c r="J1969">
        <v>145915</v>
      </c>
      <c r="K1969" t="s">
        <v>4053</v>
      </c>
      <c r="L1969" t="s">
        <v>238</v>
      </c>
      <c r="M1969" t="s">
        <v>39</v>
      </c>
      <c r="N1969">
        <v>45513</v>
      </c>
      <c r="O1969">
        <v>1885</v>
      </c>
      <c r="P1969" t="s">
        <v>20</v>
      </c>
      <c r="Q1969">
        <v>4</v>
      </c>
      <c r="R1969" t="s">
        <v>5116</v>
      </c>
      <c r="S1969" t="s">
        <v>21</v>
      </c>
      <c r="T1969" t="s">
        <v>20</v>
      </c>
    </row>
    <row r="1970" spans="1:20" x14ac:dyDescent="0.3">
      <c r="A1970" t="s">
        <v>4054</v>
      </c>
      <c r="B1970" t="s">
        <v>124</v>
      </c>
      <c r="C1970" t="s">
        <v>43</v>
      </c>
      <c r="D1970" t="s">
        <v>104</v>
      </c>
      <c r="E1970" t="s">
        <v>223</v>
      </c>
      <c r="F1970" t="s">
        <v>224</v>
      </c>
      <c r="G1970" t="s">
        <v>16</v>
      </c>
      <c r="H1970" t="s">
        <v>5140</v>
      </c>
      <c r="I1970" t="s">
        <v>5141</v>
      </c>
      <c r="J1970">
        <v>106140</v>
      </c>
      <c r="K1970" t="s">
        <v>4055</v>
      </c>
      <c r="L1970" t="s">
        <v>179</v>
      </c>
      <c r="M1970" t="s">
        <v>46</v>
      </c>
      <c r="N1970">
        <v>45512</v>
      </c>
      <c r="O1970">
        <v>2131</v>
      </c>
      <c r="P1970" t="s">
        <v>20</v>
      </c>
      <c r="Q1970">
        <v>2</v>
      </c>
      <c r="R1970" t="s">
        <v>47</v>
      </c>
      <c r="S1970" t="s">
        <v>53</v>
      </c>
      <c r="T1970" t="s">
        <v>20</v>
      </c>
    </row>
    <row r="1971" spans="1:20" x14ac:dyDescent="0.3">
      <c r="A1971" t="s">
        <v>4056</v>
      </c>
      <c r="B1971" t="s">
        <v>144</v>
      </c>
      <c r="C1971" t="s">
        <v>197</v>
      </c>
      <c r="D1971" t="s">
        <v>118</v>
      </c>
      <c r="E1971" t="s">
        <v>5124</v>
      </c>
      <c r="F1971" t="s">
        <v>5125</v>
      </c>
      <c r="G1971" t="s">
        <v>36</v>
      </c>
      <c r="H1971" t="s">
        <v>5142</v>
      </c>
      <c r="I1971" t="s">
        <v>5143</v>
      </c>
      <c r="J1971">
        <v>180611</v>
      </c>
      <c r="K1971" t="s">
        <v>4057</v>
      </c>
      <c r="L1971" t="s">
        <v>61</v>
      </c>
      <c r="M1971" t="s">
        <v>46</v>
      </c>
      <c r="N1971">
        <v>45463</v>
      </c>
      <c r="O1971">
        <v>2008</v>
      </c>
      <c r="P1971" t="s">
        <v>29</v>
      </c>
      <c r="Q1971">
        <v>4</v>
      </c>
      <c r="R1971" t="s">
        <v>40</v>
      </c>
      <c r="S1971" t="s">
        <v>53</v>
      </c>
      <c r="T1971" t="s">
        <v>20</v>
      </c>
    </row>
    <row r="1972" spans="1:20" x14ac:dyDescent="0.3">
      <c r="A1972" t="s">
        <v>4058</v>
      </c>
      <c r="B1972" t="s">
        <v>23</v>
      </c>
      <c r="C1972" t="s">
        <v>166</v>
      </c>
      <c r="D1972" t="s">
        <v>25</v>
      </c>
      <c r="E1972" t="s">
        <v>152</v>
      </c>
      <c r="F1972" t="s">
        <v>153</v>
      </c>
      <c r="G1972" t="s">
        <v>50</v>
      </c>
      <c r="H1972" t="s">
        <v>5140</v>
      </c>
      <c r="I1972" t="s">
        <v>5141</v>
      </c>
      <c r="J1972">
        <v>121752</v>
      </c>
      <c r="K1972" t="s">
        <v>4059</v>
      </c>
      <c r="L1972" t="s">
        <v>5165</v>
      </c>
      <c r="M1972" t="s">
        <v>39</v>
      </c>
      <c r="N1972">
        <v>45664</v>
      </c>
      <c r="O1972">
        <v>1714</v>
      </c>
      <c r="P1972" t="s">
        <v>20</v>
      </c>
      <c r="Q1972">
        <v>2</v>
      </c>
      <c r="R1972" t="s">
        <v>5116</v>
      </c>
      <c r="S1972" t="s">
        <v>21</v>
      </c>
      <c r="T1972" t="s">
        <v>20</v>
      </c>
    </row>
    <row r="1973" spans="1:20" x14ac:dyDescent="0.3">
      <c r="A1973" t="s">
        <v>4060</v>
      </c>
      <c r="B1973" t="s">
        <v>74</v>
      </c>
      <c r="C1973" t="s">
        <v>185</v>
      </c>
      <c r="D1973" t="s">
        <v>104</v>
      </c>
      <c r="E1973" t="s">
        <v>5128</v>
      </c>
      <c r="F1973" t="s">
        <v>5125</v>
      </c>
      <c r="G1973" t="s">
        <v>36</v>
      </c>
      <c r="H1973" t="s">
        <v>5138</v>
      </c>
      <c r="I1973" t="s">
        <v>5139</v>
      </c>
      <c r="J1973">
        <v>94146</v>
      </c>
      <c r="K1973" t="s">
        <v>4061</v>
      </c>
      <c r="L1973" t="s">
        <v>5165</v>
      </c>
      <c r="M1973" t="s">
        <v>72</v>
      </c>
      <c r="N1973">
        <v>45485</v>
      </c>
      <c r="O1973">
        <v>3990</v>
      </c>
      <c r="P1973" t="s">
        <v>20</v>
      </c>
      <c r="Q1973">
        <v>6</v>
      </c>
      <c r="R1973" t="s">
        <v>40</v>
      </c>
      <c r="S1973" t="s">
        <v>53</v>
      </c>
      <c r="T1973" t="s">
        <v>20</v>
      </c>
    </row>
    <row r="1974" spans="1:20" x14ac:dyDescent="0.3">
      <c r="A1974" t="s">
        <v>4062</v>
      </c>
      <c r="B1974" t="s">
        <v>78</v>
      </c>
      <c r="C1974" t="s">
        <v>121</v>
      </c>
      <c r="D1974" t="s">
        <v>68</v>
      </c>
      <c r="E1974" t="s">
        <v>5128</v>
      </c>
      <c r="F1974" t="s">
        <v>5125</v>
      </c>
      <c r="G1974" t="s">
        <v>36</v>
      </c>
      <c r="H1974" t="s">
        <v>5142</v>
      </c>
      <c r="I1974" t="s">
        <v>5143</v>
      </c>
      <c r="J1974">
        <v>167709</v>
      </c>
      <c r="K1974" t="s">
        <v>4063</v>
      </c>
      <c r="L1974" t="s">
        <v>179</v>
      </c>
      <c r="M1974" t="s">
        <v>72</v>
      </c>
      <c r="N1974">
        <v>45510</v>
      </c>
      <c r="O1974">
        <v>2858</v>
      </c>
      <c r="P1974" t="s">
        <v>20</v>
      </c>
      <c r="Q1974">
        <v>4</v>
      </c>
      <c r="R1974" t="s">
        <v>5116</v>
      </c>
      <c r="S1974" t="s">
        <v>21</v>
      </c>
      <c r="T1974" t="s">
        <v>20</v>
      </c>
    </row>
    <row r="1975" spans="1:20" x14ac:dyDescent="0.3">
      <c r="A1975" t="s">
        <v>4064</v>
      </c>
      <c r="B1975" t="s">
        <v>12</v>
      </c>
      <c r="C1975" t="s">
        <v>232</v>
      </c>
      <c r="D1975" t="s">
        <v>33</v>
      </c>
      <c r="E1975" t="s">
        <v>193</v>
      </c>
      <c r="F1975" t="s">
        <v>194</v>
      </c>
      <c r="G1975" t="s">
        <v>36</v>
      </c>
      <c r="H1975" t="s">
        <v>5138</v>
      </c>
      <c r="I1975" t="s">
        <v>5139</v>
      </c>
      <c r="J1975">
        <v>207010</v>
      </c>
      <c r="K1975" t="s">
        <v>4065</v>
      </c>
      <c r="L1975" t="s">
        <v>5165</v>
      </c>
      <c r="M1975" t="s">
        <v>46</v>
      </c>
      <c r="N1975">
        <v>45429</v>
      </c>
      <c r="O1975">
        <v>2477</v>
      </c>
      <c r="P1975" t="s">
        <v>92</v>
      </c>
      <c r="Q1975">
        <v>6</v>
      </c>
      <c r="R1975" t="s">
        <v>47</v>
      </c>
      <c r="S1975" t="s">
        <v>21</v>
      </c>
      <c r="T1975" t="s">
        <v>20</v>
      </c>
    </row>
    <row r="1976" spans="1:20" x14ac:dyDescent="0.3">
      <c r="A1976" t="s">
        <v>4066</v>
      </c>
      <c r="B1976" t="s">
        <v>144</v>
      </c>
      <c r="C1976" t="s">
        <v>160</v>
      </c>
      <c r="D1976" t="s">
        <v>5156</v>
      </c>
      <c r="E1976" t="s">
        <v>95</v>
      </c>
      <c r="F1976" t="s">
        <v>96</v>
      </c>
      <c r="G1976" t="s">
        <v>16</v>
      </c>
      <c r="H1976" t="s">
        <v>5136</v>
      </c>
      <c r="I1976" t="s">
        <v>5137</v>
      </c>
      <c r="J1976">
        <v>69764</v>
      </c>
      <c r="K1976" t="s">
        <v>4067</v>
      </c>
      <c r="L1976" t="s">
        <v>38</v>
      </c>
      <c r="M1976" t="s">
        <v>19</v>
      </c>
      <c r="N1976">
        <v>45701</v>
      </c>
      <c r="O1976">
        <v>994</v>
      </c>
      <c r="P1976" t="s">
        <v>20</v>
      </c>
      <c r="Q1976">
        <v>0</v>
      </c>
      <c r="R1976" t="s">
        <v>40</v>
      </c>
      <c r="S1976" t="s">
        <v>21</v>
      </c>
      <c r="T1976" t="s">
        <v>29</v>
      </c>
    </row>
    <row r="1977" spans="1:20" x14ac:dyDescent="0.3">
      <c r="A1977" t="s">
        <v>4068</v>
      </c>
      <c r="B1977" t="s">
        <v>99</v>
      </c>
      <c r="C1977" t="s">
        <v>160</v>
      </c>
      <c r="D1977" t="s">
        <v>44</v>
      </c>
      <c r="E1977" t="s">
        <v>5126</v>
      </c>
      <c r="F1977" t="s">
        <v>5125</v>
      </c>
      <c r="G1977" t="s">
        <v>36</v>
      </c>
      <c r="H1977" t="s">
        <v>5140</v>
      </c>
      <c r="I1977" t="s">
        <v>5141</v>
      </c>
      <c r="J1977">
        <v>102307</v>
      </c>
      <c r="K1977" t="s">
        <v>4069</v>
      </c>
      <c r="L1977" t="s">
        <v>87</v>
      </c>
      <c r="M1977" t="s">
        <v>19</v>
      </c>
      <c r="N1977">
        <v>45643</v>
      </c>
      <c r="O1977">
        <v>761</v>
      </c>
      <c r="P1977" t="s">
        <v>29</v>
      </c>
      <c r="Q1977">
        <v>2</v>
      </c>
      <c r="R1977" t="s">
        <v>76</v>
      </c>
      <c r="S1977" t="s">
        <v>21</v>
      </c>
      <c r="T1977" t="s">
        <v>29</v>
      </c>
    </row>
    <row r="1978" spans="1:20" x14ac:dyDescent="0.3">
      <c r="A1978" t="s">
        <v>4070</v>
      </c>
      <c r="B1978" t="s">
        <v>215</v>
      </c>
      <c r="C1978" t="s">
        <v>79</v>
      </c>
      <c r="D1978" t="s">
        <v>104</v>
      </c>
      <c r="E1978" t="s">
        <v>5129</v>
      </c>
      <c r="F1978" t="s">
        <v>5130</v>
      </c>
      <c r="G1978" t="s">
        <v>16</v>
      </c>
      <c r="H1978" t="s">
        <v>5136</v>
      </c>
      <c r="I1978" t="s">
        <v>5137</v>
      </c>
      <c r="J1978">
        <v>84163</v>
      </c>
      <c r="K1978" t="s">
        <v>4071</v>
      </c>
      <c r="L1978" t="s">
        <v>134</v>
      </c>
      <c r="M1978" t="s">
        <v>46</v>
      </c>
      <c r="N1978">
        <v>45470</v>
      </c>
      <c r="O1978">
        <v>41</v>
      </c>
      <c r="P1978" t="s">
        <v>20</v>
      </c>
      <c r="Q1978">
        <v>0</v>
      </c>
      <c r="R1978" t="s">
        <v>5116</v>
      </c>
      <c r="S1978" t="s">
        <v>21</v>
      </c>
      <c r="T1978" t="s">
        <v>20</v>
      </c>
    </row>
    <row r="1979" spans="1:20" x14ac:dyDescent="0.3">
      <c r="A1979" t="s">
        <v>4072</v>
      </c>
      <c r="B1979" t="s">
        <v>63</v>
      </c>
      <c r="C1979" t="s">
        <v>56</v>
      </c>
      <c r="D1979" t="s">
        <v>33</v>
      </c>
      <c r="E1979" t="s">
        <v>5126</v>
      </c>
      <c r="F1979" t="s">
        <v>5125</v>
      </c>
      <c r="G1979" t="s">
        <v>50</v>
      </c>
      <c r="H1979" t="s">
        <v>5138</v>
      </c>
      <c r="I1979" t="s">
        <v>5139</v>
      </c>
      <c r="J1979">
        <v>234110</v>
      </c>
      <c r="K1979" t="s">
        <v>4073</v>
      </c>
      <c r="L1979" t="s">
        <v>5165</v>
      </c>
      <c r="M1979" t="s">
        <v>19</v>
      </c>
      <c r="N1979">
        <v>45723</v>
      </c>
      <c r="O1979">
        <v>3221</v>
      </c>
      <c r="P1979" t="s">
        <v>92</v>
      </c>
      <c r="Q1979">
        <v>6</v>
      </c>
      <c r="R1979" t="s">
        <v>52</v>
      </c>
      <c r="S1979" t="s">
        <v>21</v>
      </c>
      <c r="T1979" t="s">
        <v>20</v>
      </c>
    </row>
    <row r="1980" spans="1:20" x14ac:dyDescent="0.3">
      <c r="A1980" t="s">
        <v>4074</v>
      </c>
      <c r="B1980" t="s">
        <v>229</v>
      </c>
      <c r="C1980" t="s">
        <v>139</v>
      </c>
      <c r="D1980" t="s">
        <v>5156</v>
      </c>
      <c r="E1980" t="s">
        <v>152</v>
      </c>
      <c r="F1980" t="s">
        <v>153</v>
      </c>
      <c r="G1980" t="s">
        <v>16</v>
      </c>
      <c r="H1980" t="s">
        <v>5142</v>
      </c>
      <c r="I1980" t="s">
        <v>5143</v>
      </c>
      <c r="J1980">
        <v>129132</v>
      </c>
      <c r="K1980" t="s">
        <v>4075</v>
      </c>
      <c r="L1980" t="s">
        <v>87</v>
      </c>
      <c r="M1980" t="s">
        <v>19</v>
      </c>
      <c r="N1980">
        <v>45608</v>
      </c>
      <c r="O1980">
        <v>2193</v>
      </c>
      <c r="P1980" t="s">
        <v>92</v>
      </c>
      <c r="Q1980">
        <v>4</v>
      </c>
      <c r="R1980" t="s">
        <v>5116</v>
      </c>
      <c r="S1980" t="s">
        <v>53</v>
      </c>
      <c r="T1980" t="s">
        <v>29</v>
      </c>
    </row>
    <row r="1981" spans="1:20" x14ac:dyDescent="0.3">
      <c r="A1981" t="s">
        <v>4076</v>
      </c>
      <c r="B1981" t="s">
        <v>78</v>
      </c>
      <c r="C1981" t="s">
        <v>160</v>
      </c>
      <c r="D1981" t="s">
        <v>44</v>
      </c>
      <c r="E1981" t="s">
        <v>69</v>
      </c>
      <c r="F1981" t="s">
        <v>70</v>
      </c>
      <c r="G1981" t="s">
        <v>16</v>
      </c>
      <c r="H1981" t="s">
        <v>5140</v>
      </c>
      <c r="I1981" t="s">
        <v>5141</v>
      </c>
      <c r="J1981">
        <v>118059</v>
      </c>
      <c r="K1981" t="s">
        <v>4077</v>
      </c>
      <c r="L1981" t="s">
        <v>238</v>
      </c>
      <c r="M1981" t="s">
        <v>46</v>
      </c>
      <c r="N1981">
        <v>45737</v>
      </c>
      <c r="O1981">
        <v>112</v>
      </c>
      <c r="P1981" t="s">
        <v>20</v>
      </c>
      <c r="Q1981">
        <v>2</v>
      </c>
      <c r="R1981" t="s">
        <v>76</v>
      </c>
      <c r="S1981" t="s">
        <v>53</v>
      </c>
      <c r="T1981" t="s">
        <v>29</v>
      </c>
    </row>
    <row r="1982" spans="1:20" x14ac:dyDescent="0.3">
      <c r="A1982" t="s">
        <v>4078</v>
      </c>
      <c r="B1982" t="s">
        <v>31</v>
      </c>
      <c r="C1982" t="s">
        <v>79</v>
      </c>
      <c r="D1982" t="s">
        <v>118</v>
      </c>
      <c r="E1982" t="s">
        <v>126</v>
      </c>
      <c r="F1982" t="s">
        <v>127</v>
      </c>
      <c r="G1982" t="s">
        <v>16</v>
      </c>
      <c r="H1982" t="s">
        <v>5136</v>
      </c>
      <c r="I1982" t="s">
        <v>5137</v>
      </c>
      <c r="J1982">
        <v>57757</v>
      </c>
      <c r="K1982" t="s">
        <v>4079</v>
      </c>
      <c r="L1982" t="s">
        <v>179</v>
      </c>
      <c r="M1982" t="s">
        <v>19</v>
      </c>
      <c r="N1982">
        <v>45641</v>
      </c>
      <c r="O1982">
        <v>414</v>
      </c>
      <c r="P1982" t="s">
        <v>20</v>
      </c>
      <c r="Q1982">
        <v>0</v>
      </c>
      <c r="R1982" t="s">
        <v>76</v>
      </c>
      <c r="S1982" t="s">
        <v>21</v>
      </c>
      <c r="T1982" t="s">
        <v>29</v>
      </c>
    </row>
    <row r="1983" spans="1:20" x14ac:dyDescent="0.3">
      <c r="A1983" t="s">
        <v>4080</v>
      </c>
      <c r="B1983" t="s">
        <v>124</v>
      </c>
      <c r="C1983" t="s">
        <v>56</v>
      </c>
      <c r="D1983" t="s">
        <v>44</v>
      </c>
      <c r="E1983" t="s">
        <v>95</v>
      </c>
      <c r="F1983" t="s">
        <v>96</v>
      </c>
      <c r="G1983" t="s">
        <v>50</v>
      </c>
      <c r="H1983" t="s">
        <v>5140</v>
      </c>
      <c r="I1983" t="s">
        <v>5141</v>
      </c>
      <c r="J1983">
        <v>82683</v>
      </c>
      <c r="K1983" t="s">
        <v>4081</v>
      </c>
      <c r="L1983" t="s">
        <v>82</v>
      </c>
      <c r="M1983" t="s">
        <v>19</v>
      </c>
      <c r="N1983">
        <v>45544</v>
      </c>
      <c r="O1983">
        <v>3790</v>
      </c>
      <c r="P1983" t="s">
        <v>20</v>
      </c>
      <c r="Q1983">
        <v>2</v>
      </c>
      <c r="R1983" t="s">
        <v>76</v>
      </c>
      <c r="S1983" t="s">
        <v>21</v>
      </c>
      <c r="T1983" t="s">
        <v>29</v>
      </c>
    </row>
    <row r="1984" spans="1:20" x14ac:dyDescent="0.3">
      <c r="A1984" t="s">
        <v>4082</v>
      </c>
      <c r="B1984" t="s">
        <v>78</v>
      </c>
      <c r="C1984" t="s">
        <v>13</v>
      </c>
      <c r="D1984" t="s">
        <v>57</v>
      </c>
      <c r="E1984" t="s">
        <v>95</v>
      </c>
      <c r="F1984" t="s">
        <v>96</v>
      </c>
      <c r="G1984" t="s">
        <v>16</v>
      </c>
      <c r="H1984" t="s">
        <v>5136</v>
      </c>
      <c r="I1984" t="s">
        <v>5137</v>
      </c>
      <c r="J1984">
        <v>62103</v>
      </c>
      <c r="K1984" t="s">
        <v>4083</v>
      </c>
      <c r="L1984" t="s">
        <v>5165</v>
      </c>
      <c r="M1984" t="s">
        <v>19</v>
      </c>
      <c r="N1984">
        <v>45462</v>
      </c>
      <c r="O1984">
        <v>708</v>
      </c>
      <c r="P1984" t="s">
        <v>29</v>
      </c>
      <c r="Q1984">
        <v>0</v>
      </c>
      <c r="R1984" t="s">
        <v>76</v>
      </c>
      <c r="S1984" t="s">
        <v>21</v>
      </c>
      <c r="T1984" t="s">
        <v>29</v>
      </c>
    </row>
    <row r="1985" spans="1:20" x14ac:dyDescent="0.3">
      <c r="A1985" t="s">
        <v>4084</v>
      </c>
      <c r="B1985" t="s">
        <v>229</v>
      </c>
      <c r="C1985" t="s">
        <v>166</v>
      </c>
      <c r="D1985" t="s">
        <v>44</v>
      </c>
      <c r="E1985" t="s">
        <v>5132</v>
      </c>
      <c r="F1985" t="s">
        <v>5125</v>
      </c>
      <c r="G1985" t="s">
        <v>16</v>
      </c>
      <c r="H1985" t="s">
        <v>5140</v>
      </c>
      <c r="I1985" t="s">
        <v>5141</v>
      </c>
      <c r="J1985">
        <v>127075</v>
      </c>
      <c r="K1985" t="s">
        <v>4085</v>
      </c>
      <c r="L1985" t="s">
        <v>87</v>
      </c>
      <c r="M1985" t="s">
        <v>19</v>
      </c>
      <c r="N1985">
        <v>45636</v>
      </c>
      <c r="O1985">
        <v>122</v>
      </c>
      <c r="P1985" t="s">
        <v>20</v>
      </c>
      <c r="Q1985">
        <v>2</v>
      </c>
      <c r="R1985" t="s">
        <v>40</v>
      </c>
      <c r="S1985" t="s">
        <v>21</v>
      </c>
      <c r="T1985" t="s">
        <v>29</v>
      </c>
    </row>
    <row r="1986" spans="1:20" x14ac:dyDescent="0.3">
      <c r="A1986" t="s">
        <v>4086</v>
      </c>
      <c r="B1986" t="s">
        <v>229</v>
      </c>
      <c r="C1986" t="s">
        <v>185</v>
      </c>
      <c r="D1986" t="s">
        <v>5156</v>
      </c>
      <c r="E1986" t="s">
        <v>126</v>
      </c>
      <c r="F1986" t="s">
        <v>127</v>
      </c>
      <c r="G1986" t="s">
        <v>16</v>
      </c>
      <c r="H1986" t="s">
        <v>5140</v>
      </c>
      <c r="I1986" t="s">
        <v>5141</v>
      </c>
      <c r="J1986">
        <v>128871</v>
      </c>
      <c r="K1986" t="s">
        <v>4087</v>
      </c>
      <c r="L1986" t="s">
        <v>18</v>
      </c>
      <c r="M1986" t="s">
        <v>39</v>
      </c>
      <c r="N1986">
        <v>45542</v>
      </c>
      <c r="O1986">
        <v>107</v>
      </c>
      <c r="P1986" t="s">
        <v>20</v>
      </c>
      <c r="Q1986">
        <v>2</v>
      </c>
      <c r="R1986" t="s">
        <v>52</v>
      </c>
      <c r="S1986" t="s">
        <v>21</v>
      </c>
      <c r="T1986" t="s">
        <v>29</v>
      </c>
    </row>
    <row r="1987" spans="1:20" x14ac:dyDescent="0.3">
      <c r="A1987" t="s">
        <v>4088</v>
      </c>
      <c r="B1987" t="s">
        <v>222</v>
      </c>
      <c r="C1987" t="s">
        <v>139</v>
      </c>
      <c r="D1987" t="s">
        <v>104</v>
      </c>
      <c r="E1987" t="s">
        <v>69</v>
      </c>
      <c r="F1987" t="s">
        <v>70</v>
      </c>
      <c r="G1987" t="s">
        <v>16</v>
      </c>
      <c r="H1987" t="s">
        <v>5142</v>
      </c>
      <c r="I1987" t="s">
        <v>5143</v>
      </c>
      <c r="J1987">
        <v>163853</v>
      </c>
      <c r="K1987" t="s">
        <v>4089</v>
      </c>
      <c r="L1987" t="s">
        <v>61</v>
      </c>
      <c r="M1987" t="s">
        <v>72</v>
      </c>
      <c r="N1987">
        <v>45459</v>
      </c>
      <c r="O1987">
        <v>3818</v>
      </c>
      <c r="P1987" t="s">
        <v>20</v>
      </c>
      <c r="Q1987">
        <v>4</v>
      </c>
      <c r="R1987" t="s">
        <v>76</v>
      </c>
      <c r="S1987" t="s">
        <v>21</v>
      </c>
      <c r="T1987" t="s">
        <v>29</v>
      </c>
    </row>
    <row r="1988" spans="1:20" x14ac:dyDescent="0.3">
      <c r="A1988" t="s">
        <v>4090</v>
      </c>
      <c r="B1988" t="s">
        <v>23</v>
      </c>
      <c r="C1988" t="s">
        <v>166</v>
      </c>
      <c r="D1988" t="s">
        <v>5156</v>
      </c>
      <c r="E1988" t="s">
        <v>58</v>
      </c>
      <c r="F1988" t="s">
        <v>59</v>
      </c>
      <c r="G1988" t="s">
        <v>16</v>
      </c>
      <c r="H1988" t="s">
        <v>5140</v>
      </c>
      <c r="I1988" t="s">
        <v>5141</v>
      </c>
      <c r="J1988">
        <v>124356</v>
      </c>
      <c r="K1988" t="s">
        <v>4091</v>
      </c>
      <c r="L1988" t="s">
        <v>5165</v>
      </c>
      <c r="M1988" t="s">
        <v>46</v>
      </c>
      <c r="N1988">
        <v>45347</v>
      </c>
      <c r="O1988">
        <v>3490</v>
      </c>
      <c r="P1988" t="s">
        <v>20</v>
      </c>
      <c r="Q1988">
        <v>2</v>
      </c>
      <c r="R1988" t="s">
        <v>5116</v>
      </c>
      <c r="S1988" t="s">
        <v>21</v>
      </c>
      <c r="T1988" t="s">
        <v>20</v>
      </c>
    </row>
    <row r="1989" spans="1:20" x14ac:dyDescent="0.3">
      <c r="A1989" t="s">
        <v>4092</v>
      </c>
      <c r="B1989" t="s">
        <v>222</v>
      </c>
      <c r="C1989" t="s">
        <v>166</v>
      </c>
      <c r="D1989" t="s">
        <v>57</v>
      </c>
      <c r="E1989" t="s">
        <v>5132</v>
      </c>
      <c r="F1989" t="s">
        <v>5125</v>
      </c>
      <c r="G1989" t="s">
        <v>16</v>
      </c>
      <c r="H1989" t="s">
        <v>5142</v>
      </c>
      <c r="I1989" t="s">
        <v>5143</v>
      </c>
      <c r="J1989">
        <v>163936</v>
      </c>
      <c r="K1989" t="s">
        <v>4093</v>
      </c>
      <c r="L1989" t="s">
        <v>5165</v>
      </c>
      <c r="M1989" t="s">
        <v>39</v>
      </c>
      <c r="N1989">
        <v>45313</v>
      </c>
      <c r="O1989">
        <v>1897</v>
      </c>
      <c r="P1989" t="s">
        <v>29</v>
      </c>
      <c r="Q1989">
        <v>4</v>
      </c>
      <c r="R1989" t="s">
        <v>52</v>
      </c>
      <c r="S1989" t="s">
        <v>21</v>
      </c>
      <c r="T1989" t="s">
        <v>29</v>
      </c>
    </row>
    <row r="1990" spans="1:20" x14ac:dyDescent="0.3">
      <c r="A1990" t="s">
        <v>4094</v>
      </c>
      <c r="B1990" t="s">
        <v>165</v>
      </c>
      <c r="C1990" t="s">
        <v>109</v>
      </c>
      <c r="D1990" t="s">
        <v>5156</v>
      </c>
      <c r="E1990" t="s">
        <v>69</v>
      </c>
      <c r="F1990" t="s">
        <v>70</v>
      </c>
      <c r="G1990" t="s">
        <v>36</v>
      </c>
      <c r="H1990" t="s">
        <v>5138</v>
      </c>
      <c r="I1990" t="s">
        <v>5139</v>
      </c>
      <c r="J1990">
        <v>176906</v>
      </c>
      <c r="K1990" t="s">
        <v>4095</v>
      </c>
      <c r="L1990" t="s">
        <v>5165</v>
      </c>
      <c r="M1990" t="s">
        <v>46</v>
      </c>
      <c r="N1990">
        <v>45391</v>
      </c>
      <c r="O1990">
        <v>1271</v>
      </c>
      <c r="P1990" t="s">
        <v>20</v>
      </c>
      <c r="Q1990">
        <v>6</v>
      </c>
      <c r="R1990" t="s">
        <v>76</v>
      </c>
      <c r="S1990" t="s">
        <v>21</v>
      </c>
      <c r="T1990" t="s">
        <v>20</v>
      </c>
    </row>
    <row r="1991" spans="1:20" x14ac:dyDescent="0.3">
      <c r="A1991" t="s">
        <v>4096</v>
      </c>
      <c r="B1991" t="s">
        <v>23</v>
      </c>
      <c r="C1991" t="s">
        <v>24</v>
      </c>
      <c r="D1991" t="s">
        <v>140</v>
      </c>
      <c r="E1991" t="s">
        <v>193</v>
      </c>
      <c r="F1991" t="s">
        <v>194</v>
      </c>
      <c r="G1991" t="s">
        <v>16</v>
      </c>
      <c r="H1991" t="s">
        <v>5136</v>
      </c>
      <c r="I1991" t="s">
        <v>5137</v>
      </c>
      <c r="J1991">
        <v>75442</v>
      </c>
      <c r="K1991" t="s">
        <v>4097</v>
      </c>
      <c r="L1991" t="s">
        <v>5165</v>
      </c>
      <c r="M1991" t="s">
        <v>46</v>
      </c>
      <c r="N1991">
        <v>45355</v>
      </c>
      <c r="O1991">
        <v>1913</v>
      </c>
      <c r="P1991" t="s">
        <v>20</v>
      </c>
      <c r="Q1991">
        <v>0</v>
      </c>
      <c r="R1991" t="s">
        <v>5116</v>
      </c>
      <c r="S1991" t="s">
        <v>21</v>
      </c>
      <c r="T1991" t="s">
        <v>29</v>
      </c>
    </row>
    <row r="1992" spans="1:20" x14ac:dyDescent="0.3">
      <c r="A1992" t="s">
        <v>4098</v>
      </c>
      <c r="B1992" t="s">
        <v>31</v>
      </c>
      <c r="C1992" t="s">
        <v>121</v>
      </c>
      <c r="D1992" t="s">
        <v>57</v>
      </c>
      <c r="E1992" t="s">
        <v>5132</v>
      </c>
      <c r="F1992" t="s">
        <v>5125</v>
      </c>
      <c r="G1992" t="s">
        <v>16</v>
      </c>
      <c r="H1992" t="s">
        <v>5138</v>
      </c>
      <c r="I1992" t="s">
        <v>5139</v>
      </c>
      <c r="J1992">
        <v>228814</v>
      </c>
      <c r="K1992" t="s">
        <v>4099</v>
      </c>
      <c r="L1992" t="s">
        <v>82</v>
      </c>
      <c r="M1992" t="s">
        <v>39</v>
      </c>
      <c r="N1992">
        <v>45311</v>
      </c>
      <c r="O1992">
        <v>538</v>
      </c>
      <c r="P1992" t="s">
        <v>92</v>
      </c>
      <c r="Q1992">
        <v>6</v>
      </c>
      <c r="R1992" t="s">
        <v>47</v>
      </c>
      <c r="S1992" t="s">
        <v>21</v>
      </c>
      <c r="T1992" t="s">
        <v>29</v>
      </c>
    </row>
    <row r="1993" spans="1:20" x14ac:dyDescent="0.3">
      <c r="A1993" t="s">
        <v>4100</v>
      </c>
      <c r="B1993" t="s">
        <v>218</v>
      </c>
      <c r="C1993" t="s">
        <v>100</v>
      </c>
      <c r="D1993" t="s">
        <v>118</v>
      </c>
      <c r="E1993" t="s">
        <v>223</v>
      </c>
      <c r="F1993" t="s">
        <v>224</v>
      </c>
      <c r="G1993" t="s">
        <v>36</v>
      </c>
      <c r="H1993" t="s">
        <v>5140</v>
      </c>
      <c r="I1993" t="s">
        <v>5141</v>
      </c>
      <c r="J1993">
        <v>124934</v>
      </c>
      <c r="K1993" t="s">
        <v>4101</v>
      </c>
      <c r="L1993" t="s">
        <v>5165</v>
      </c>
      <c r="M1993" t="s">
        <v>19</v>
      </c>
      <c r="N1993">
        <v>45739</v>
      </c>
      <c r="O1993">
        <v>2615</v>
      </c>
      <c r="P1993" t="s">
        <v>20</v>
      </c>
      <c r="Q1993">
        <v>2</v>
      </c>
      <c r="R1993" t="s">
        <v>47</v>
      </c>
      <c r="S1993" t="s">
        <v>21</v>
      </c>
      <c r="T1993" t="s">
        <v>20</v>
      </c>
    </row>
    <row r="1994" spans="1:20" x14ac:dyDescent="0.3">
      <c r="A1994" t="s">
        <v>4102</v>
      </c>
      <c r="B1994" t="s">
        <v>23</v>
      </c>
      <c r="C1994" t="s">
        <v>175</v>
      </c>
      <c r="D1994" t="s">
        <v>57</v>
      </c>
      <c r="E1994" t="s">
        <v>26</v>
      </c>
      <c r="F1994" t="s">
        <v>27</v>
      </c>
      <c r="G1994" t="s">
        <v>16</v>
      </c>
      <c r="H1994" t="s">
        <v>5138</v>
      </c>
      <c r="I1994" t="s">
        <v>5139</v>
      </c>
      <c r="J1994">
        <v>242800</v>
      </c>
      <c r="K1994" t="s">
        <v>4103</v>
      </c>
      <c r="L1994" t="s">
        <v>38</v>
      </c>
      <c r="M1994" t="s">
        <v>39</v>
      </c>
      <c r="N1994">
        <v>45549</v>
      </c>
      <c r="O1994">
        <v>679</v>
      </c>
      <c r="P1994" t="s">
        <v>20</v>
      </c>
      <c r="Q1994">
        <v>6</v>
      </c>
      <c r="R1994" t="s">
        <v>40</v>
      </c>
      <c r="S1994" t="s">
        <v>21</v>
      </c>
      <c r="T1994" t="s">
        <v>20</v>
      </c>
    </row>
    <row r="1995" spans="1:20" x14ac:dyDescent="0.3">
      <c r="A1995" t="s">
        <v>4104</v>
      </c>
      <c r="B1995" t="s">
        <v>84</v>
      </c>
      <c r="C1995" t="s">
        <v>85</v>
      </c>
      <c r="D1995" t="s">
        <v>104</v>
      </c>
      <c r="E1995" t="s">
        <v>5131</v>
      </c>
      <c r="F1995" t="s">
        <v>5125</v>
      </c>
      <c r="G1995" t="s">
        <v>16</v>
      </c>
      <c r="H1995" t="s">
        <v>5138</v>
      </c>
      <c r="I1995" t="s">
        <v>5139</v>
      </c>
      <c r="J1995">
        <v>225498</v>
      </c>
      <c r="K1995" t="s">
        <v>4105</v>
      </c>
      <c r="L1995" t="s">
        <v>82</v>
      </c>
      <c r="M1995" t="s">
        <v>46</v>
      </c>
      <c r="N1995">
        <v>45602</v>
      </c>
      <c r="O1995">
        <v>2970</v>
      </c>
      <c r="P1995" t="s">
        <v>20</v>
      </c>
      <c r="Q1995">
        <v>6</v>
      </c>
      <c r="R1995" t="s">
        <v>40</v>
      </c>
      <c r="S1995" t="s">
        <v>21</v>
      </c>
      <c r="T1995" t="s">
        <v>29</v>
      </c>
    </row>
    <row r="1996" spans="1:20" x14ac:dyDescent="0.3">
      <c r="A1996" t="s">
        <v>4106</v>
      </c>
      <c r="B1996" t="s">
        <v>63</v>
      </c>
      <c r="C1996" t="s">
        <v>121</v>
      </c>
      <c r="D1996" t="s">
        <v>25</v>
      </c>
      <c r="E1996" t="s">
        <v>34</v>
      </c>
      <c r="F1996" t="s">
        <v>35</v>
      </c>
      <c r="G1996" t="s">
        <v>16</v>
      </c>
      <c r="H1996" t="s">
        <v>5138</v>
      </c>
      <c r="I1996" t="s">
        <v>5139</v>
      </c>
      <c r="J1996">
        <v>212652</v>
      </c>
      <c r="K1996" t="s">
        <v>4107</v>
      </c>
      <c r="L1996" t="s">
        <v>238</v>
      </c>
      <c r="M1996" t="s">
        <v>39</v>
      </c>
      <c r="N1996">
        <v>45695</v>
      </c>
      <c r="O1996">
        <v>2593</v>
      </c>
      <c r="P1996" t="s">
        <v>29</v>
      </c>
      <c r="Q1996">
        <v>6</v>
      </c>
      <c r="R1996" t="s">
        <v>5116</v>
      </c>
      <c r="S1996" t="s">
        <v>21</v>
      </c>
      <c r="T1996" t="s">
        <v>29</v>
      </c>
    </row>
    <row r="1997" spans="1:20" x14ac:dyDescent="0.3">
      <c r="A1997" t="s">
        <v>4108</v>
      </c>
      <c r="B1997" t="s">
        <v>31</v>
      </c>
      <c r="C1997" t="s">
        <v>160</v>
      </c>
      <c r="D1997" t="s">
        <v>140</v>
      </c>
      <c r="E1997" t="s">
        <v>5129</v>
      </c>
      <c r="F1997" t="s">
        <v>5130</v>
      </c>
      <c r="G1997" t="s">
        <v>16</v>
      </c>
      <c r="H1997" t="s">
        <v>5136</v>
      </c>
      <c r="I1997" t="s">
        <v>5137</v>
      </c>
      <c r="J1997">
        <v>83483</v>
      </c>
      <c r="K1997" t="s">
        <v>4109</v>
      </c>
      <c r="L1997" t="s">
        <v>38</v>
      </c>
      <c r="M1997" t="s">
        <v>19</v>
      </c>
      <c r="N1997">
        <v>45741</v>
      </c>
      <c r="O1997">
        <v>3285</v>
      </c>
      <c r="P1997" t="s">
        <v>92</v>
      </c>
      <c r="Q1997">
        <v>0</v>
      </c>
      <c r="R1997" t="s">
        <v>76</v>
      </c>
      <c r="S1997" t="s">
        <v>21</v>
      </c>
      <c r="T1997" t="s">
        <v>20</v>
      </c>
    </row>
    <row r="1998" spans="1:20" x14ac:dyDescent="0.3">
      <c r="A1998" t="s">
        <v>4110</v>
      </c>
      <c r="B1998" t="s">
        <v>99</v>
      </c>
      <c r="C1998" t="s">
        <v>90</v>
      </c>
      <c r="D1998" t="s">
        <v>25</v>
      </c>
      <c r="E1998" t="s">
        <v>34</v>
      </c>
      <c r="F1998" t="s">
        <v>35</v>
      </c>
      <c r="G1998" t="s">
        <v>16</v>
      </c>
      <c r="H1998" t="s">
        <v>5142</v>
      </c>
      <c r="I1998" t="s">
        <v>5143</v>
      </c>
      <c r="J1998">
        <v>149283</v>
      </c>
      <c r="K1998" t="s">
        <v>4111</v>
      </c>
      <c r="L1998" t="s">
        <v>5165</v>
      </c>
      <c r="M1998" t="s">
        <v>19</v>
      </c>
      <c r="N1998">
        <v>45433</v>
      </c>
      <c r="O1998">
        <v>3835</v>
      </c>
      <c r="P1998" t="s">
        <v>29</v>
      </c>
      <c r="Q1998">
        <v>4</v>
      </c>
      <c r="R1998" t="s">
        <v>5116</v>
      </c>
      <c r="S1998" t="s">
        <v>21</v>
      </c>
      <c r="T1998" t="s">
        <v>29</v>
      </c>
    </row>
    <row r="1999" spans="1:20" x14ac:dyDescent="0.3">
      <c r="A1999" t="s">
        <v>4112</v>
      </c>
      <c r="B1999" t="s">
        <v>136</v>
      </c>
      <c r="C1999" t="s">
        <v>160</v>
      </c>
      <c r="D1999" t="s">
        <v>25</v>
      </c>
      <c r="E1999" t="s">
        <v>223</v>
      </c>
      <c r="F1999" t="s">
        <v>224</v>
      </c>
      <c r="G1999" t="s">
        <v>50</v>
      </c>
      <c r="H1999" t="s">
        <v>5142</v>
      </c>
      <c r="I1999" t="s">
        <v>5143</v>
      </c>
      <c r="J1999">
        <v>126189</v>
      </c>
      <c r="K1999" t="s">
        <v>4113</v>
      </c>
      <c r="L1999" t="s">
        <v>113</v>
      </c>
      <c r="M1999" t="s">
        <v>46</v>
      </c>
      <c r="N1999">
        <v>45462</v>
      </c>
      <c r="O1999">
        <v>459</v>
      </c>
      <c r="P1999" t="s">
        <v>92</v>
      </c>
      <c r="Q1999">
        <v>4</v>
      </c>
      <c r="R1999" t="s">
        <v>5116</v>
      </c>
      <c r="S1999" t="s">
        <v>21</v>
      </c>
      <c r="T1999" t="s">
        <v>29</v>
      </c>
    </row>
    <row r="2000" spans="1:20" x14ac:dyDescent="0.3">
      <c r="A2000" t="s">
        <v>4114</v>
      </c>
      <c r="B2000" t="s">
        <v>322</v>
      </c>
      <c r="C2000" t="s">
        <v>139</v>
      </c>
      <c r="D2000" t="s">
        <v>118</v>
      </c>
      <c r="E2000" t="s">
        <v>152</v>
      </c>
      <c r="F2000" t="s">
        <v>153</v>
      </c>
      <c r="G2000" t="s">
        <v>36</v>
      </c>
      <c r="H2000" t="s">
        <v>5142</v>
      </c>
      <c r="I2000" t="s">
        <v>5143</v>
      </c>
      <c r="J2000">
        <v>145597</v>
      </c>
      <c r="K2000" t="s">
        <v>4115</v>
      </c>
      <c r="L2000" t="s">
        <v>87</v>
      </c>
      <c r="M2000" t="s">
        <v>19</v>
      </c>
      <c r="N2000">
        <v>45380</v>
      </c>
      <c r="O2000">
        <v>1333</v>
      </c>
      <c r="P2000" t="s">
        <v>29</v>
      </c>
      <c r="Q2000">
        <v>4</v>
      </c>
      <c r="R2000" t="s">
        <v>76</v>
      </c>
      <c r="S2000" t="s">
        <v>21</v>
      </c>
      <c r="T2000" t="s">
        <v>20</v>
      </c>
    </row>
    <row r="2001" spans="1:20" x14ac:dyDescent="0.3">
      <c r="A2001" t="s">
        <v>4116</v>
      </c>
      <c r="B2001" t="s">
        <v>218</v>
      </c>
      <c r="C2001" t="s">
        <v>90</v>
      </c>
      <c r="D2001" t="s">
        <v>44</v>
      </c>
      <c r="E2001" t="s">
        <v>5133</v>
      </c>
      <c r="F2001" t="s">
        <v>5125</v>
      </c>
      <c r="G2001" t="s">
        <v>16</v>
      </c>
      <c r="H2001" t="s">
        <v>5136</v>
      </c>
      <c r="I2001" t="s">
        <v>5137</v>
      </c>
      <c r="J2001">
        <v>60614</v>
      </c>
      <c r="K2001" t="s">
        <v>4117</v>
      </c>
      <c r="L2001" t="s">
        <v>38</v>
      </c>
      <c r="M2001" t="s">
        <v>39</v>
      </c>
      <c r="N2001">
        <v>45293</v>
      </c>
      <c r="O2001">
        <v>3518</v>
      </c>
      <c r="P2001" t="s">
        <v>20</v>
      </c>
      <c r="Q2001">
        <v>0</v>
      </c>
      <c r="R2001" t="s">
        <v>76</v>
      </c>
      <c r="S2001" t="s">
        <v>21</v>
      </c>
      <c r="T2001" t="s">
        <v>20</v>
      </c>
    </row>
    <row r="2002" spans="1:20" x14ac:dyDescent="0.3">
      <c r="A2002" t="s">
        <v>4118</v>
      </c>
      <c r="B2002" t="s">
        <v>84</v>
      </c>
      <c r="C2002" t="s">
        <v>103</v>
      </c>
      <c r="D2002" t="s">
        <v>118</v>
      </c>
      <c r="E2002" t="s">
        <v>5124</v>
      </c>
      <c r="F2002" t="s">
        <v>5125</v>
      </c>
      <c r="G2002" t="s">
        <v>50</v>
      </c>
      <c r="H2002" t="s">
        <v>5136</v>
      </c>
      <c r="I2002" t="s">
        <v>5137</v>
      </c>
      <c r="J2002">
        <v>61492</v>
      </c>
      <c r="K2002" t="s">
        <v>4119</v>
      </c>
      <c r="L2002" t="s">
        <v>5165</v>
      </c>
      <c r="M2002" t="s">
        <v>19</v>
      </c>
      <c r="N2002">
        <v>45708</v>
      </c>
      <c r="O2002">
        <v>3713</v>
      </c>
      <c r="P2002" t="s">
        <v>92</v>
      </c>
      <c r="Q2002">
        <v>0</v>
      </c>
      <c r="R2002" t="s">
        <v>52</v>
      </c>
      <c r="S2002" t="s">
        <v>21</v>
      </c>
      <c r="T2002" t="s">
        <v>20</v>
      </c>
    </row>
    <row r="2003" spans="1:20" x14ac:dyDescent="0.3">
      <c r="A2003" t="s">
        <v>4120</v>
      </c>
      <c r="B2003" t="s">
        <v>130</v>
      </c>
      <c r="C2003" t="s">
        <v>100</v>
      </c>
      <c r="D2003" t="s">
        <v>104</v>
      </c>
      <c r="E2003" t="s">
        <v>223</v>
      </c>
      <c r="F2003" t="s">
        <v>224</v>
      </c>
      <c r="G2003" t="s">
        <v>16</v>
      </c>
      <c r="H2003" t="s">
        <v>5140</v>
      </c>
      <c r="I2003" t="s">
        <v>5141</v>
      </c>
      <c r="J2003">
        <v>107138</v>
      </c>
      <c r="K2003" t="s">
        <v>4121</v>
      </c>
      <c r="L2003" t="s">
        <v>134</v>
      </c>
      <c r="M2003" t="s">
        <v>46</v>
      </c>
      <c r="N2003">
        <v>45316</v>
      </c>
      <c r="O2003">
        <v>1556</v>
      </c>
      <c r="P2003" t="s">
        <v>20</v>
      </c>
      <c r="Q2003">
        <v>2</v>
      </c>
      <c r="R2003" t="s">
        <v>76</v>
      </c>
      <c r="S2003" t="s">
        <v>21</v>
      </c>
      <c r="T2003" t="s">
        <v>29</v>
      </c>
    </row>
    <row r="2004" spans="1:20" x14ac:dyDescent="0.3">
      <c r="A2004" t="s">
        <v>4122</v>
      </c>
      <c r="B2004" t="s">
        <v>165</v>
      </c>
      <c r="C2004" t="s">
        <v>188</v>
      </c>
      <c r="D2004" t="s">
        <v>5156</v>
      </c>
      <c r="E2004" t="s">
        <v>209</v>
      </c>
      <c r="F2004" t="s">
        <v>210</v>
      </c>
      <c r="G2004" t="s">
        <v>16</v>
      </c>
      <c r="H2004" t="s">
        <v>5142</v>
      </c>
      <c r="I2004" t="s">
        <v>5143</v>
      </c>
      <c r="J2004">
        <v>128604</v>
      </c>
      <c r="K2004" t="s">
        <v>4123</v>
      </c>
      <c r="L2004" t="s">
        <v>5165</v>
      </c>
      <c r="M2004" t="s">
        <v>46</v>
      </c>
      <c r="N2004">
        <v>45707</v>
      </c>
      <c r="O2004">
        <v>1749</v>
      </c>
      <c r="P2004" t="s">
        <v>29</v>
      </c>
      <c r="Q2004">
        <v>4</v>
      </c>
      <c r="R2004" t="s">
        <v>40</v>
      </c>
      <c r="S2004" t="s">
        <v>21</v>
      </c>
      <c r="T2004" t="s">
        <v>29</v>
      </c>
    </row>
    <row r="2005" spans="1:20" x14ac:dyDescent="0.3">
      <c r="A2005" t="s">
        <v>4124</v>
      </c>
      <c r="B2005" t="s">
        <v>144</v>
      </c>
      <c r="C2005" t="s">
        <v>117</v>
      </c>
      <c r="D2005" t="s">
        <v>25</v>
      </c>
      <c r="E2005" t="s">
        <v>5129</v>
      </c>
      <c r="F2005" t="s">
        <v>5130</v>
      </c>
      <c r="G2005" t="s">
        <v>50</v>
      </c>
      <c r="H2005" t="s">
        <v>5136</v>
      </c>
      <c r="I2005" t="s">
        <v>5137</v>
      </c>
      <c r="J2005">
        <v>66119</v>
      </c>
      <c r="K2005" t="s">
        <v>4125</v>
      </c>
      <c r="L2005" t="s">
        <v>179</v>
      </c>
      <c r="M2005" t="s">
        <v>39</v>
      </c>
      <c r="N2005">
        <v>45455</v>
      </c>
      <c r="O2005">
        <v>3738</v>
      </c>
      <c r="P2005" t="s">
        <v>92</v>
      </c>
      <c r="Q2005">
        <v>0</v>
      </c>
      <c r="R2005" t="s">
        <v>47</v>
      </c>
      <c r="S2005" t="s">
        <v>21</v>
      </c>
      <c r="T2005" t="s">
        <v>20</v>
      </c>
    </row>
    <row r="2006" spans="1:20" x14ac:dyDescent="0.3">
      <c r="A2006" t="s">
        <v>4126</v>
      </c>
      <c r="B2006" t="s">
        <v>23</v>
      </c>
      <c r="C2006" t="s">
        <v>166</v>
      </c>
      <c r="D2006" t="s">
        <v>104</v>
      </c>
      <c r="E2006" t="s">
        <v>69</v>
      </c>
      <c r="F2006" t="s">
        <v>70</v>
      </c>
      <c r="G2006" t="s">
        <v>50</v>
      </c>
      <c r="H2006" t="s">
        <v>5138</v>
      </c>
      <c r="I2006" t="s">
        <v>5139</v>
      </c>
      <c r="J2006">
        <v>131829</v>
      </c>
      <c r="K2006" t="s">
        <v>4127</v>
      </c>
      <c r="L2006" t="s">
        <v>142</v>
      </c>
      <c r="M2006" t="s">
        <v>46</v>
      </c>
      <c r="N2006">
        <v>45619</v>
      </c>
      <c r="O2006">
        <v>1533</v>
      </c>
      <c r="P2006" t="s">
        <v>29</v>
      </c>
      <c r="Q2006">
        <v>6</v>
      </c>
      <c r="R2006" t="s">
        <v>52</v>
      </c>
      <c r="S2006" t="s">
        <v>21</v>
      </c>
      <c r="T2006" t="s">
        <v>20</v>
      </c>
    </row>
    <row r="2007" spans="1:20" x14ac:dyDescent="0.3">
      <c r="A2007" t="s">
        <v>4128</v>
      </c>
      <c r="B2007" t="s">
        <v>78</v>
      </c>
      <c r="C2007" t="s">
        <v>109</v>
      </c>
      <c r="D2007" t="s">
        <v>25</v>
      </c>
      <c r="E2007" t="s">
        <v>69</v>
      </c>
      <c r="F2007" t="s">
        <v>70</v>
      </c>
      <c r="G2007" t="s">
        <v>50</v>
      </c>
      <c r="H2007" t="s">
        <v>5138</v>
      </c>
      <c r="I2007" t="s">
        <v>5139</v>
      </c>
      <c r="J2007">
        <v>207678</v>
      </c>
      <c r="K2007" t="s">
        <v>4129</v>
      </c>
      <c r="L2007" t="s">
        <v>113</v>
      </c>
      <c r="M2007" t="s">
        <v>19</v>
      </c>
      <c r="N2007">
        <v>45375</v>
      </c>
      <c r="O2007">
        <v>66</v>
      </c>
      <c r="P2007" t="s">
        <v>20</v>
      </c>
      <c r="Q2007">
        <v>6</v>
      </c>
      <c r="R2007" t="s">
        <v>47</v>
      </c>
      <c r="S2007" t="s">
        <v>53</v>
      </c>
      <c r="T2007" t="s">
        <v>29</v>
      </c>
    </row>
    <row r="2008" spans="1:20" x14ac:dyDescent="0.3">
      <c r="A2008" t="s">
        <v>4130</v>
      </c>
      <c r="B2008" t="s">
        <v>23</v>
      </c>
      <c r="C2008" t="s">
        <v>188</v>
      </c>
      <c r="D2008" t="s">
        <v>25</v>
      </c>
      <c r="E2008" t="s">
        <v>5128</v>
      </c>
      <c r="F2008" t="s">
        <v>5125</v>
      </c>
      <c r="G2008" t="s">
        <v>36</v>
      </c>
      <c r="H2008" t="s">
        <v>5138</v>
      </c>
      <c r="I2008" t="s">
        <v>5139</v>
      </c>
      <c r="J2008">
        <v>200043</v>
      </c>
      <c r="K2008" t="s">
        <v>4131</v>
      </c>
      <c r="L2008" t="s">
        <v>5165</v>
      </c>
      <c r="M2008" t="s">
        <v>46</v>
      </c>
      <c r="N2008">
        <v>45473</v>
      </c>
      <c r="O2008">
        <v>2712</v>
      </c>
      <c r="P2008" t="s">
        <v>20</v>
      </c>
      <c r="Q2008">
        <v>6</v>
      </c>
      <c r="R2008" t="s">
        <v>52</v>
      </c>
      <c r="S2008" t="s">
        <v>21</v>
      </c>
      <c r="T2008" t="s">
        <v>20</v>
      </c>
    </row>
    <row r="2009" spans="1:20" x14ac:dyDescent="0.3">
      <c r="A2009" t="s">
        <v>4132</v>
      </c>
      <c r="B2009" t="s">
        <v>89</v>
      </c>
      <c r="C2009" t="s">
        <v>49</v>
      </c>
      <c r="D2009" t="s">
        <v>57</v>
      </c>
      <c r="E2009" t="s">
        <v>193</v>
      </c>
      <c r="F2009" t="s">
        <v>194</v>
      </c>
      <c r="G2009" t="s">
        <v>16</v>
      </c>
      <c r="H2009" t="s">
        <v>5140</v>
      </c>
      <c r="I2009" t="s">
        <v>5141</v>
      </c>
      <c r="J2009">
        <v>93821</v>
      </c>
      <c r="K2009" t="s">
        <v>4133</v>
      </c>
      <c r="L2009" t="s">
        <v>238</v>
      </c>
      <c r="M2009" t="s">
        <v>46</v>
      </c>
      <c r="N2009">
        <v>45466</v>
      </c>
      <c r="O2009">
        <v>1287</v>
      </c>
      <c r="P2009" t="s">
        <v>20</v>
      </c>
      <c r="Q2009">
        <v>2</v>
      </c>
      <c r="R2009" t="s">
        <v>5116</v>
      </c>
      <c r="S2009" t="s">
        <v>21</v>
      </c>
      <c r="T2009" t="s">
        <v>20</v>
      </c>
    </row>
    <row r="2010" spans="1:20" x14ac:dyDescent="0.3">
      <c r="A2010" t="s">
        <v>4134</v>
      </c>
      <c r="B2010" t="s">
        <v>78</v>
      </c>
      <c r="C2010" t="s">
        <v>24</v>
      </c>
      <c r="D2010" t="s">
        <v>140</v>
      </c>
      <c r="E2010" t="s">
        <v>126</v>
      </c>
      <c r="F2010" t="s">
        <v>127</v>
      </c>
      <c r="G2010" t="s">
        <v>16</v>
      </c>
      <c r="H2010" t="s">
        <v>5142</v>
      </c>
      <c r="I2010" t="s">
        <v>5143</v>
      </c>
      <c r="J2010">
        <v>167799</v>
      </c>
      <c r="K2010" t="s">
        <v>4135</v>
      </c>
      <c r="L2010" t="s">
        <v>5165</v>
      </c>
      <c r="M2010" t="s">
        <v>39</v>
      </c>
      <c r="N2010">
        <v>45294</v>
      </c>
      <c r="O2010">
        <v>2183</v>
      </c>
      <c r="P2010" t="s">
        <v>20</v>
      </c>
      <c r="Q2010">
        <v>4</v>
      </c>
      <c r="R2010" t="s">
        <v>76</v>
      </c>
      <c r="S2010" t="s">
        <v>21</v>
      </c>
      <c r="T2010" t="s">
        <v>20</v>
      </c>
    </row>
    <row r="2011" spans="1:20" x14ac:dyDescent="0.3">
      <c r="A2011" t="s">
        <v>4136</v>
      </c>
      <c r="B2011" t="s">
        <v>130</v>
      </c>
      <c r="C2011" t="s">
        <v>49</v>
      </c>
      <c r="D2011" t="s">
        <v>5156</v>
      </c>
      <c r="E2011" t="s">
        <v>5132</v>
      </c>
      <c r="F2011" t="s">
        <v>5125</v>
      </c>
      <c r="G2011" t="s">
        <v>50</v>
      </c>
      <c r="H2011" t="s">
        <v>5138</v>
      </c>
      <c r="I2011" t="s">
        <v>5139</v>
      </c>
      <c r="J2011">
        <v>233752</v>
      </c>
      <c r="K2011" t="s">
        <v>4137</v>
      </c>
      <c r="L2011" t="s">
        <v>5165</v>
      </c>
      <c r="M2011" t="s">
        <v>72</v>
      </c>
      <c r="N2011">
        <v>45506</v>
      </c>
      <c r="O2011">
        <v>3472</v>
      </c>
      <c r="P2011" t="s">
        <v>29</v>
      </c>
      <c r="Q2011">
        <v>6</v>
      </c>
      <c r="R2011" t="s">
        <v>47</v>
      </c>
      <c r="S2011" t="s">
        <v>21</v>
      </c>
      <c r="T2011" t="s">
        <v>29</v>
      </c>
    </row>
    <row r="2012" spans="1:20" x14ac:dyDescent="0.3">
      <c r="A2012" t="s">
        <v>4138</v>
      </c>
      <c r="B2012" t="s">
        <v>74</v>
      </c>
      <c r="C2012" t="s">
        <v>121</v>
      </c>
      <c r="D2012" t="s">
        <v>25</v>
      </c>
      <c r="E2012" t="s">
        <v>5126</v>
      </c>
      <c r="F2012" t="s">
        <v>5125</v>
      </c>
      <c r="G2012" t="s">
        <v>16</v>
      </c>
      <c r="H2012" t="s">
        <v>5140</v>
      </c>
      <c r="I2012" t="s">
        <v>5141</v>
      </c>
      <c r="J2012">
        <v>78170</v>
      </c>
      <c r="K2012" t="s">
        <v>4139</v>
      </c>
      <c r="L2012" t="s">
        <v>61</v>
      </c>
      <c r="M2012" t="s">
        <v>46</v>
      </c>
      <c r="N2012">
        <v>45362</v>
      </c>
      <c r="O2012">
        <v>259</v>
      </c>
      <c r="P2012" t="s">
        <v>20</v>
      </c>
      <c r="Q2012">
        <v>2</v>
      </c>
      <c r="R2012" t="s">
        <v>76</v>
      </c>
      <c r="S2012" t="s">
        <v>21</v>
      </c>
      <c r="T2012" t="s">
        <v>29</v>
      </c>
    </row>
    <row r="2013" spans="1:20" x14ac:dyDescent="0.3">
      <c r="A2013" t="s">
        <v>4140</v>
      </c>
      <c r="B2013" t="s">
        <v>218</v>
      </c>
      <c r="C2013" t="s">
        <v>24</v>
      </c>
      <c r="D2013" t="s">
        <v>5156</v>
      </c>
      <c r="E2013" t="s">
        <v>5124</v>
      </c>
      <c r="F2013" t="s">
        <v>5125</v>
      </c>
      <c r="G2013" t="s">
        <v>16</v>
      </c>
      <c r="H2013" t="s">
        <v>5140</v>
      </c>
      <c r="I2013" t="s">
        <v>5141</v>
      </c>
      <c r="J2013">
        <v>94898</v>
      </c>
      <c r="K2013" t="s">
        <v>4141</v>
      </c>
      <c r="L2013" t="s">
        <v>5165</v>
      </c>
      <c r="M2013" t="s">
        <v>39</v>
      </c>
      <c r="N2013">
        <v>45433</v>
      </c>
      <c r="O2013">
        <v>3783</v>
      </c>
      <c r="P2013" t="s">
        <v>20</v>
      </c>
      <c r="Q2013">
        <v>2</v>
      </c>
      <c r="R2013" t="s">
        <v>40</v>
      </c>
      <c r="S2013" t="s">
        <v>53</v>
      </c>
      <c r="T2013" t="s">
        <v>29</v>
      </c>
    </row>
    <row r="2014" spans="1:20" x14ac:dyDescent="0.3">
      <c r="A2014" t="s">
        <v>4142</v>
      </c>
      <c r="B2014" t="s">
        <v>84</v>
      </c>
      <c r="C2014" t="s">
        <v>109</v>
      </c>
      <c r="D2014" t="s">
        <v>68</v>
      </c>
      <c r="E2014" t="s">
        <v>14</v>
      </c>
      <c r="F2014" t="s">
        <v>15</v>
      </c>
      <c r="G2014" t="s">
        <v>36</v>
      </c>
      <c r="H2014" t="s">
        <v>5138</v>
      </c>
      <c r="I2014" t="s">
        <v>5139</v>
      </c>
      <c r="J2014">
        <v>172310</v>
      </c>
      <c r="K2014" t="s">
        <v>4143</v>
      </c>
      <c r="L2014" t="s">
        <v>38</v>
      </c>
      <c r="M2014" t="s">
        <v>39</v>
      </c>
      <c r="N2014">
        <v>45675</v>
      </c>
      <c r="O2014">
        <v>1885</v>
      </c>
      <c r="P2014" t="s">
        <v>20</v>
      </c>
      <c r="Q2014">
        <v>6</v>
      </c>
      <c r="R2014" t="s">
        <v>5116</v>
      </c>
      <c r="S2014" t="s">
        <v>21</v>
      </c>
      <c r="T2014" t="s">
        <v>20</v>
      </c>
    </row>
    <row r="2015" spans="1:20" x14ac:dyDescent="0.3">
      <c r="A2015" t="s">
        <v>4144</v>
      </c>
      <c r="B2015" t="s">
        <v>229</v>
      </c>
      <c r="C2015" t="s">
        <v>13</v>
      </c>
      <c r="D2015" t="s">
        <v>167</v>
      </c>
      <c r="E2015" t="s">
        <v>95</v>
      </c>
      <c r="F2015" t="s">
        <v>96</v>
      </c>
      <c r="G2015" t="s">
        <v>50</v>
      </c>
      <c r="H2015" t="s">
        <v>5140</v>
      </c>
      <c r="I2015" t="s">
        <v>5141</v>
      </c>
      <c r="J2015">
        <v>91389</v>
      </c>
      <c r="K2015" t="s">
        <v>4145</v>
      </c>
      <c r="L2015" t="s">
        <v>5165</v>
      </c>
      <c r="M2015" t="s">
        <v>39</v>
      </c>
      <c r="N2015">
        <v>45593</v>
      </c>
      <c r="O2015">
        <v>3231</v>
      </c>
      <c r="P2015" t="s">
        <v>20</v>
      </c>
      <c r="Q2015">
        <v>2</v>
      </c>
      <c r="R2015" t="s">
        <v>52</v>
      </c>
      <c r="S2015" t="s">
        <v>21</v>
      </c>
      <c r="T2015" t="s">
        <v>20</v>
      </c>
    </row>
    <row r="2016" spans="1:20" x14ac:dyDescent="0.3">
      <c r="A2016" t="s">
        <v>4146</v>
      </c>
      <c r="B2016" t="s">
        <v>136</v>
      </c>
      <c r="C2016" t="s">
        <v>24</v>
      </c>
      <c r="D2016" t="s">
        <v>104</v>
      </c>
      <c r="E2016" t="s">
        <v>58</v>
      </c>
      <c r="F2016" t="s">
        <v>59</v>
      </c>
      <c r="G2016" t="s">
        <v>16</v>
      </c>
      <c r="H2016" t="s">
        <v>5136</v>
      </c>
      <c r="I2016" t="s">
        <v>5137</v>
      </c>
      <c r="J2016">
        <v>80451</v>
      </c>
      <c r="K2016" t="s">
        <v>4147</v>
      </c>
      <c r="L2016" t="s">
        <v>142</v>
      </c>
      <c r="M2016" t="s">
        <v>39</v>
      </c>
      <c r="N2016">
        <v>45406</v>
      </c>
      <c r="O2016">
        <v>1168</v>
      </c>
      <c r="P2016" t="s">
        <v>29</v>
      </c>
      <c r="Q2016">
        <v>0</v>
      </c>
      <c r="R2016" t="s">
        <v>76</v>
      </c>
      <c r="S2016" t="s">
        <v>53</v>
      </c>
      <c r="T2016" t="s">
        <v>20</v>
      </c>
    </row>
    <row r="2017" spans="1:20" x14ac:dyDescent="0.3">
      <c r="A2017" t="s">
        <v>4148</v>
      </c>
      <c r="B2017" t="s">
        <v>229</v>
      </c>
      <c r="C2017" t="s">
        <v>24</v>
      </c>
      <c r="D2017" t="s">
        <v>118</v>
      </c>
      <c r="E2017" t="s">
        <v>126</v>
      </c>
      <c r="F2017" t="s">
        <v>127</v>
      </c>
      <c r="G2017" t="s">
        <v>16</v>
      </c>
      <c r="H2017" t="s">
        <v>5140</v>
      </c>
      <c r="I2017" t="s">
        <v>5141</v>
      </c>
      <c r="J2017">
        <v>106162</v>
      </c>
      <c r="K2017" t="s">
        <v>4149</v>
      </c>
      <c r="L2017" t="s">
        <v>238</v>
      </c>
      <c r="M2017" t="s">
        <v>46</v>
      </c>
      <c r="N2017">
        <v>45654</v>
      </c>
      <c r="O2017">
        <v>298</v>
      </c>
      <c r="P2017" t="s">
        <v>20</v>
      </c>
      <c r="Q2017">
        <v>2</v>
      </c>
      <c r="R2017" t="s">
        <v>52</v>
      </c>
      <c r="S2017" t="s">
        <v>53</v>
      </c>
      <c r="T2017" t="s">
        <v>29</v>
      </c>
    </row>
    <row r="2018" spans="1:20" x14ac:dyDescent="0.3">
      <c r="A2018" t="s">
        <v>4150</v>
      </c>
      <c r="B2018" t="s">
        <v>222</v>
      </c>
      <c r="C2018" t="s">
        <v>188</v>
      </c>
      <c r="D2018" t="s">
        <v>57</v>
      </c>
      <c r="E2018" t="s">
        <v>58</v>
      </c>
      <c r="F2018" t="s">
        <v>59</v>
      </c>
      <c r="G2018" t="s">
        <v>16</v>
      </c>
      <c r="H2018" t="s">
        <v>5142</v>
      </c>
      <c r="I2018" t="s">
        <v>5143</v>
      </c>
      <c r="J2018">
        <v>142858</v>
      </c>
      <c r="K2018" t="s">
        <v>4151</v>
      </c>
      <c r="L2018" t="s">
        <v>87</v>
      </c>
      <c r="M2018" t="s">
        <v>46</v>
      </c>
      <c r="N2018">
        <v>45696</v>
      </c>
      <c r="O2018">
        <v>1848</v>
      </c>
      <c r="P2018" t="s">
        <v>29</v>
      </c>
      <c r="Q2018">
        <v>4</v>
      </c>
      <c r="R2018" t="s">
        <v>47</v>
      </c>
      <c r="S2018" t="s">
        <v>21</v>
      </c>
      <c r="T2018" t="s">
        <v>20</v>
      </c>
    </row>
    <row r="2019" spans="1:20" x14ac:dyDescent="0.3">
      <c r="A2019" t="s">
        <v>4152</v>
      </c>
      <c r="B2019" t="s">
        <v>78</v>
      </c>
      <c r="C2019" t="s">
        <v>125</v>
      </c>
      <c r="D2019" t="s">
        <v>33</v>
      </c>
      <c r="E2019" t="s">
        <v>80</v>
      </c>
      <c r="F2019" t="s">
        <v>80</v>
      </c>
      <c r="G2019" t="s">
        <v>36</v>
      </c>
      <c r="H2019" t="s">
        <v>5140</v>
      </c>
      <c r="I2019" t="s">
        <v>5141</v>
      </c>
      <c r="J2019">
        <v>70323</v>
      </c>
      <c r="K2019" t="s">
        <v>4153</v>
      </c>
      <c r="L2019" t="s">
        <v>134</v>
      </c>
      <c r="M2019" t="s">
        <v>19</v>
      </c>
      <c r="N2019">
        <v>45313</v>
      </c>
      <c r="O2019">
        <v>260</v>
      </c>
      <c r="P2019" t="s">
        <v>20</v>
      </c>
      <c r="Q2019">
        <v>2</v>
      </c>
      <c r="R2019" t="s">
        <v>40</v>
      </c>
      <c r="S2019" t="s">
        <v>21</v>
      </c>
      <c r="T2019" t="s">
        <v>29</v>
      </c>
    </row>
    <row r="2020" spans="1:20" x14ac:dyDescent="0.3">
      <c r="A2020" t="s">
        <v>4154</v>
      </c>
      <c r="B2020" t="s">
        <v>74</v>
      </c>
      <c r="C2020" t="s">
        <v>103</v>
      </c>
      <c r="D2020" t="s">
        <v>33</v>
      </c>
      <c r="E2020" t="s">
        <v>5131</v>
      </c>
      <c r="F2020" t="s">
        <v>5125</v>
      </c>
      <c r="G2020" t="s">
        <v>36</v>
      </c>
      <c r="H2020" t="s">
        <v>5140</v>
      </c>
      <c r="I2020" t="s">
        <v>5141</v>
      </c>
      <c r="J2020">
        <v>122581</v>
      </c>
      <c r="K2020" t="s">
        <v>4155</v>
      </c>
      <c r="L2020" t="s">
        <v>238</v>
      </c>
      <c r="M2020" t="s">
        <v>46</v>
      </c>
      <c r="N2020">
        <v>45734</v>
      </c>
      <c r="O2020">
        <v>3004</v>
      </c>
      <c r="P2020" t="s">
        <v>29</v>
      </c>
      <c r="Q2020">
        <v>2</v>
      </c>
      <c r="R2020" t="s">
        <v>5116</v>
      </c>
      <c r="S2020" t="s">
        <v>21</v>
      </c>
      <c r="T2020" t="s">
        <v>29</v>
      </c>
    </row>
    <row r="2021" spans="1:20" x14ac:dyDescent="0.3">
      <c r="A2021" t="s">
        <v>4156</v>
      </c>
      <c r="B2021" t="s">
        <v>322</v>
      </c>
      <c r="C2021" t="s">
        <v>219</v>
      </c>
      <c r="D2021" t="s">
        <v>25</v>
      </c>
      <c r="E2021" t="s">
        <v>5131</v>
      </c>
      <c r="F2021" t="s">
        <v>5125</v>
      </c>
      <c r="G2021" t="s">
        <v>36</v>
      </c>
      <c r="H2021" t="s">
        <v>5138</v>
      </c>
      <c r="I2021" t="s">
        <v>5139</v>
      </c>
      <c r="J2021">
        <v>155386</v>
      </c>
      <c r="K2021" t="s">
        <v>4157</v>
      </c>
      <c r="L2021" t="s">
        <v>38</v>
      </c>
      <c r="M2021" t="s">
        <v>46</v>
      </c>
      <c r="N2021">
        <v>45526</v>
      </c>
      <c r="O2021">
        <v>862</v>
      </c>
      <c r="P2021" t="s">
        <v>20</v>
      </c>
      <c r="Q2021">
        <v>6</v>
      </c>
      <c r="R2021" t="s">
        <v>76</v>
      </c>
      <c r="S2021" t="s">
        <v>21</v>
      </c>
      <c r="T2021" t="s">
        <v>29</v>
      </c>
    </row>
    <row r="2022" spans="1:20" x14ac:dyDescent="0.3">
      <c r="A2022" t="s">
        <v>4158</v>
      </c>
      <c r="B2022" t="s">
        <v>31</v>
      </c>
      <c r="C2022" t="s">
        <v>197</v>
      </c>
      <c r="D2022" t="s">
        <v>104</v>
      </c>
      <c r="E2022" t="s">
        <v>5133</v>
      </c>
      <c r="F2022" t="s">
        <v>5125</v>
      </c>
      <c r="G2022" t="s">
        <v>36</v>
      </c>
      <c r="H2022" t="s">
        <v>5140</v>
      </c>
      <c r="I2022" t="s">
        <v>5141</v>
      </c>
      <c r="J2022">
        <v>111186</v>
      </c>
      <c r="K2022" t="s">
        <v>4159</v>
      </c>
      <c r="L2022" t="s">
        <v>18</v>
      </c>
      <c r="M2022" t="s">
        <v>46</v>
      </c>
      <c r="N2022">
        <v>45661</v>
      </c>
      <c r="O2022">
        <v>972</v>
      </c>
      <c r="P2022" t="s">
        <v>20</v>
      </c>
      <c r="Q2022">
        <v>2</v>
      </c>
      <c r="R2022" t="s">
        <v>76</v>
      </c>
      <c r="S2022" t="s">
        <v>21</v>
      </c>
      <c r="T2022" t="s">
        <v>20</v>
      </c>
    </row>
    <row r="2023" spans="1:20" x14ac:dyDescent="0.3">
      <c r="A2023" t="s">
        <v>4160</v>
      </c>
      <c r="B2023" t="s">
        <v>99</v>
      </c>
      <c r="C2023" t="s">
        <v>103</v>
      </c>
      <c r="D2023" t="s">
        <v>25</v>
      </c>
      <c r="E2023" t="s">
        <v>80</v>
      </c>
      <c r="F2023" t="s">
        <v>80</v>
      </c>
      <c r="G2023" t="s">
        <v>36</v>
      </c>
      <c r="H2023" t="s">
        <v>5140</v>
      </c>
      <c r="I2023" t="s">
        <v>5141</v>
      </c>
      <c r="J2023">
        <v>115492</v>
      </c>
      <c r="K2023" t="s">
        <v>4161</v>
      </c>
      <c r="L2023" t="s">
        <v>5165</v>
      </c>
      <c r="M2023" t="s">
        <v>72</v>
      </c>
      <c r="N2023">
        <v>45741</v>
      </c>
      <c r="O2023">
        <v>1299</v>
      </c>
      <c r="P2023" t="s">
        <v>20</v>
      </c>
      <c r="Q2023">
        <v>2</v>
      </c>
      <c r="R2023" t="s">
        <v>5116</v>
      </c>
      <c r="S2023" t="s">
        <v>21</v>
      </c>
      <c r="T2023" t="s">
        <v>29</v>
      </c>
    </row>
    <row r="2024" spans="1:20" x14ac:dyDescent="0.3">
      <c r="A2024" t="s">
        <v>4162</v>
      </c>
      <c r="B2024" t="s">
        <v>31</v>
      </c>
      <c r="C2024" t="s">
        <v>100</v>
      </c>
      <c r="D2024" t="s">
        <v>25</v>
      </c>
      <c r="E2024" t="s">
        <v>5131</v>
      </c>
      <c r="F2024" t="s">
        <v>5125</v>
      </c>
      <c r="G2024" t="s">
        <v>16</v>
      </c>
      <c r="H2024" t="s">
        <v>5136</v>
      </c>
      <c r="I2024" t="s">
        <v>5137</v>
      </c>
      <c r="J2024">
        <v>87144</v>
      </c>
      <c r="K2024" t="s">
        <v>4163</v>
      </c>
      <c r="L2024" t="s">
        <v>142</v>
      </c>
      <c r="M2024" t="s">
        <v>46</v>
      </c>
      <c r="N2024">
        <v>45699</v>
      </c>
      <c r="O2024">
        <v>1965</v>
      </c>
      <c r="P2024" t="s">
        <v>20</v>
      </c>
      <c r="Q2024">
        <v>0</v>
      </c>
      <c r="R2024" t="s">
        <v>5116</v>
      </c>
      <c r="S2024" t="s">
        <v>41</v>
      </c>
      <c r="T2024" t="s">
        <v>20</v>
      </c>
    </row>
    <row r="2025" spans="1:20" x14ac:dyDescent="0.3">
      <c r="A2025" t="s">
        <v>4164</v>
      </c>
      <c r="B2025" t="s">
        <v>322</v>
      </c>
      <c r="C2025" t="s">
        <v>32</v>
      </c>
      <c r="D2025" t="s">
        <v>57</v>
      </c>
      <c r="E2025" t="s">
        <v>126</v>
      </c>
      <c r="F2025" t="s">
        <v>127</v>
      </c>
      <c r="G2025" t="s">
        <v>50</v>
      </c>
      <c r="H2025" t="s">
        <v>5142</v>
      </c>
      <c r="I2025" t="s">
        <v>5143</v>
      </c>
      <c r="J2025">
        <v>114661</v>
      </c>
      <c r="K2025" t="s">
        <v>4165</v>
      </c>
      <c r="L2025" t="s">
        <v>5165</v>
      </c>
      <c r="M2025" t="s">
        <v>19</v>
      </c>
      <c r="N2025">
        <v>45668</v>
      </c>
      <c r="O2025">
        <v>2398</v>
      </c>
      <c r="P2025" t="s">
        <v>20</v>
      </c>
      <c r="Q2025">
        <v>4</v>
      </c>
      <c r="R2025" t="s">
        <v>52</v>
      </c>
      <c r="S2025" t="s">
        <v>21</v>
      </c>
      <c r="T2025" t="s">
        <v>20</v>
      </c>
    </row>
    <row r="2026" spans="1:20" x14ac:dyDescent="0.3">
      <c r="A2026" t="s">
        <v>4166</v>
      </c>
      <c r="B2026" t="s">
        <v>215</v>
      </c>
      <c r="C2026" t="s">
        <v>139</v>
      </c>
      <c r="D2026" t="s">
        <v>57</v>
      </c>
      <c r="E2026" t="s">
        <v>95</v>
      </c>
      <c r="F2026" t="s">
        <v>96</v>
      </c>
      <c r="G2026" t="s">
        <v>36</v>
      </c>
      <c r="H2026" t="s">
        <v>5142</v>
      </c>
      <c r="I2026" t="s">
        <v>5143</v>
      </c>
      <c r="J2026">
        <v>68473</v>
      </c>
      <c r="K2026" t="s">
        <v>4167</v>
      </c>
      <c r="L2026" t="s">
        <v>238</v>
      </c>
      <c r="M2026" t="s">
        <v>39</v>
      </c>
      <c r="N2026">
        <v>45372</v>
      </c>
      <c r="O2026">
        <v>1542</v>
      </c>
      <c r="P2026" t="s">
        <v>20</v>
      </c>
      <c r="Q2026">
        <v>4</v>
      </c>
      <c r="R2026" t="s">
        <v>76</v>
      </c>
      <c r="S2026" t="s">
        <v>21</v>
      </c>
      <c r="T2026" t="s">
        <v>20</v>
      </c>
    </row>
    <row r="2027" spans="1:20" x14ac:dyDescent="0.3">
      <c r="A2027" t="s">
        <v>4168</v>
      </c>
      <c r="B2027" t="s">
        <v>23</v>
      </c>
      <c r="C2027" t="s">
        <v>188</v>
      </c>
      <c r="D2027" t="s">
        <v>104</v>
      </c>
      <c r="E2027" t="s">
        <v>193</v>
      </c>
      <c r="F2027" t="s">
        <v>194</v>
      </c>
      <c r="G2027" t="s">
        <v>36</v>
      </c>
      <c r="H2027" t="s">
        <v>5136</v>
      </c>
      <c r="I2027" t="s">
        <v>5137</v>
      </c>
      <c r="J2027">
        <v>72316</v>
      </c>
      <c r="K2027" t="s">
        <v>4169</v>
      </c>
      <c r="L2027" t="s">
        <v>5165</v>
      </c>
      <c r="M2027" t="s">
        <v>19</v>
      </c>
      <c r="N2027">
        <v>45715</v>
      </c>
      <c r="O2027">
        <v>1294</v>
      </c>
      <c r="P2027" t="s">
        <v>20</v>
      </c>
      <c r="Q2027">
        <v>0</v>
      </c>
      <c r="R2027" t="s">
        <v>52</v>
      </c>
      <c r="S2027" t="s">
        <v>21</v>
      </c>
      <c r="T2027" t="s">
        <v>29</v>
      </c>
    </row>
    <row r="2028" spans="1:20" x14ac:dyDescent="0.3">
      <c r="A2028" t="s">
        <v>4170</v>
      </c>
      <c r="B2028" t="s">
        <v>74</v>
      </c>
      <c r="C2028" t="s">
        <v>160</v>
      </c>
      <c r="D2028" t="s">
        <v>25</v>
      </c>
      <c r="E2028" t="s">
        <v>14</v>
      </c>
      <c r="F2028" t="s">
        <v>15</v>
      </c>
      <c r="G2028" t="s">
        <v>36</v>
      </c>
      <c r="H2028" t="s">
        <v>5138</v>
      </c>
      <c r="I2028" t="s">
        <v>5139</v>
      </c>
      <c r="J2028">
        <v>264818</v>
      </c>
      <c r="K2028" t="s">
        <v>4171</v>
      </c>
      <c r="L2028" t="s">
        <v>38</v>
      </c>
      <c r="M2028" t="s">
        <v>39</v>
      </c>
      <c r="N2028">
        <v>45365</v>
      </c>
      <c r="O2028">
        <v>1548</v>
      </c>
      <c r="P2028" t="s">
        <v>20</v>
      </c>
      <c r="Q2028">
        <v>6</v>
      </c>
      <c r="R2028" t="s">
        <v>40</v>
      </c>
      <c r="S2028" t="s">
        <v>21</v>
      </c>
      <c r="T2028" t="s">
        <v>20</v>
      </c>
    </row>
    <row r="2029" spans="1:20" x14ac:dyDescent="0.3">
      <c r="A2029" t="s">
        <v>4172</v>
      </c>
      <c r="B2029" t="s">
        <v>144</v>
      </c>
      <c r="C2029" t="s">
        <v>172</v>
      </c>
      <c r="D2029" t="s">
        <v>140</v>
      </c>
      <c r="E2029" t="s">
        <v>69</v>
      </c>
      <c r="F2029" t="s">
        <v>70</v>
      </c>
      <c r="G2029" t="s">
        <v>36</v>
      </c>
      <c r="H2029" t="s">
        <v>5136</v>
      </c>
      <c r="I2029" t="s">
        <v>5137</v>
      </c>
      <c r="J2029">
        <v>85610</v>
      </c>
      <c r="K2029" t="s">
        <v>4173</v>
      </c>
      <c r="L2029" t="s">
        <v>5165</v>
      </c>
      <c r="M2029" t="s">
        <v>46</v>
      </c>
      <c r="N2029">
        <v>45682</v>
      </c>
      <c r="O2029">
        <v>3076</v>
      </c>
      <c r="P2029" t="s">
        <v>92</v>
      </c>
      <c r="Q2029">
        <v>0</v>
      </c>
      <c r="R2029" t="s">
        <v>47</v>
      </c>
      <c r="S2029" t="s">
        <v>21</v>
      </c>
      <c r="T2029" t="s">
        <v>29</v>
      </c>
    </row>
    <row r="2030" spans="1:20" x14ac:dyDescent="0.3">
      <c r="A2030" t="s">
        <v>4174</v>
      </c>
      <c r="B2030" t="s">
        <v>229</v>
      </c>
      <c r="C2030" t="s">
        <v>139</v>
      </c>
      <c r="D2030" t="s">
        <v>57</v>
      </c>
      <c r="E2030" t="s">
        <v>58</v>
      </c>
      <c r="F2030" t="s">
        <v>59</v>
      </c>
      <c r="G2030" t="s">
        <v>50</v>
      </c>
      <c r="H2030" t="s">
        <v>5136</v>
      </c>
      <c r="I2030" t="s">
        <v>5137</v>
      </c>
      <c r="J2030">
        <v>72641</v>
      </c>
      <c r="K2030" t="s">
        <v>2890</v>
      </c>
      <c r="L2030" t="s">
        <v>142</v>
      </c>
      <c r="M2030" t="s">
        <v>72</v>
      </c>
      <c r="N2030">
        <v>45649</v>
      </c>
      <c r="O2030">
        <v>3404</v>
      </c>
      <c r="P2030" t="s">
        <v>20</v>
      </c>
      <c r="Q2030">
        <v>0</v>
      </c>
      <c r="R2030" t="s">
        <v>47</v>
      </c>
      <c r="S2030" t="s">
        <v>21</v>
      </c>
      <c r="T2030" t="s">
        <v>20</v>
      </c>
    </row>
    <row r="2031" spans="1:20" x14ac:dyDescent="0.3">
      <c r="A2031" t="s">
        <v>4175</v>
      </c>
      <c r="B2031" t="s">
        <v>222</v>
      </c>
      <c r="C2031" t="s">
        <v>49</v>
      </c>
      <c r="D2031" t="s">
        <v>25</v>
      </c>
      <c r="E2031" t="s">
        <v>5129</v>
      </c>
      <c r="F2031" t="s">
        <v>5130</v>
      </c>
      <c r="G2031" t="s">
        <v>16</v>
      </c>
      <c r="H2031" t="s">
        <v>5140</v>
      </c>
      <c r="I2031" t="s">
        <v>5141</v>
      </c>
      <c r="J2031">
        <v>100265</v>
      </c>
      <c r="K2031" t="s">
        <v>4176</v>
      </c>
      <c r="L2031" t="s">
        <v>142</v>
      </c>
      <c r="M2031" t="s">
        <v>46</v>
      </c>
      <c r="N2031">
        <v>45405</v>
      </c>
      <c r="O2031">
        <v>3463</v>
      </c>
      <c r="P2031" t="s">
        <v>29</v>
      </c>
      <c r="Q2031">
        <v>2</v>
      </c>
      <c r="R2031" t="s">
        <v>40</v>
      </c>
      <c r="S2031" t="s">
        <v>21</v>
      </c>
      <c r="T2031" t="s">
        <v>29</v>
      </c>
    </row>
    <row r="2032" spans="1:20" x14ac:dyDescent="0.3">
      <c r="A2032" t="s">
        <v>4177</v>
      </c>
      <c r="B2032" t="s">
        <v>124</v>
      </c>
      <c r="C2032" t="s">
        <v>13</v>
      </c>
      <c r="D2032" t="s">
        <v>140</v>
      </c>
      <c r="E2032" t="s">
        <v>58</v>
      </c>
      <c r="F2032" t="s">
        <v>59</v>
      </c>
      <c r="G2032" t="s">
        <v>36</v>
      </c>
      <c r="H2032" t="s">
        <v>5140</v>
      </c>
      <c r="I2032" t="s">
        <v>5141</v>
      </c>
      <c r="J2032">
        <v>125981</v>
      </c>
      <c r="K2032" t="s">
        <v>4178</v>
      </c>
      <c r="L2032" t="s">
        <v>5165</v>
      </c>
      <c r="M2032" t="s">
        <v>46</v>
      </c>
      <c r="N2032">
        <v>45678</v>
      </c>
      <c r="O2032">
        <v>297</v>
      </c>
      <c r="P2032" t="s">
        <v>20</v>
      </c>
      <c r="Q2032">
        <v>2</v>
      </c>
      <c r="R2032" t="s">
        <v>52</v>
      </c>
      <c r="S2032" t="s">
        <v>21</v>
      </c>
      <c r="T2032" t="s">
        <v>29</v>
      </c>
    </row>
    <row r="2033" spans="1:20" x14ac:dyDescent="0.3">
      <c r="A2033" t="s">
        <v>4179</v>
      </c>
      <c r="B2033" t="s">
        <v>322</v>
      </c>
      <c r="C2033" t="s">
        <v>90</v>
      </c>
      <c r="D2033" t="s">
        <v>5156</v>
      </c>
      <c r="E2033" t="s">
        <v>5128</v>
      </c>
      <c r="F2033" t="s">
        <v>5125</v>
      </c>
      <c r="G2033" t="s">
        <v>50</v>
      </c>
      <c r="H2033" t="s">
        <v>5138</v>
      </c>
      <c r="I2033" t="s">
        <v>5139</v>
      </c>
      <c r="J2033">
        <v>164952</v>
      </c>
      <c r="K2033" t="s">
        <v>4180</v>
      </c>
      <c r="L2033" t="s">
        <v>134</v>
      </c>
      <c r="M2033" t="s">
        <v>46</v>
      </c>
      <c r="N2033">
        <v>45504</v>
      </c>
      <c r="O2033">
        <v>1294</v>
      </c>
      <c r="P2033" t="s">
        <v>29</v>
      </c>
      <c r="Q2033">
        <v>6</v>
      </c>
      <c r="R2033" t="s">
        <v>52</v>
      </c>
      <c r="S2033" t="s">
        <v>21</v>
      </c>
      <c r="T2033" t="s">
        <v>20</v>
      </c>
    </row>
    <row r="2034" spans="1:20" x14ac:dyDescent="0.3">
      <c r="A2034" t="s">
        <v>4181</v>
      </c>
      <c r="B2034" t="s">
        <v>84</v>
      </c>
      <c r="C2034" t="s">
        <v>49</v>
      </c>
      <c r="D2034" t="s">
        <v>104</v>
      </c>
      <c r="E2034" t="s">
        <v>193</v>
      </c>
      <c r="F2034" t="s">
        <v>194</v>
      </c>
      <c r="G2034" t="s">
        <v>16</v>
      </c>
      <c r="H2034" t="s">
        <v>5140</v>
      </c>
      <c r="I2034" t="s">
        <v>5141</v>
      </c>
      <c r="J2034">
        <v>119431</v>
      </c>
      <c r="K2034" t="s">
        <v>4182</v>
      </c>
      <c r="L2034" t="s">
        <v>38</v>
      </c>
      <c r="M2034" t="s">
        <v>46</v>
      </c>
      <c r="N2034">
        <v>45388</v>
      </c>
      <c r="O2034">
        <v>343</v>
      </c>
      <c r="P2034" t="s">
        <v>92</v>
      </c>
      <c r="Q2034">
        <v>2</v>
      </c>
      <c r="R2034" t="s">
        <v>52</v>
      </c>
      <c r="S2034" t="s">
        <v>53</v>
      </c>
      <c r="T2034" t="s">
        <v>20</v>
      </c>
    </row>
    <row r="2035" spans="1:20" x14ac:dyDescent="0.3">
      <c r="A2035" t="s">
        <v>4183</v>
      </c>
      <c r="B2035" t="s">
        <v>74</v>
      </c>
      <c r="C2035" t="s">
        <v>103</v>
      </c>
      <c r="D2035" t="s">
        <v>104</v>
      </c>
      <c r="E2035" t="s">
        <v>193</v>
      </c>
      <c r="F2035" t="s">
        <v>194</v>
      </c>
      <c r="G2035" t="s">
        <v>36</v>
      </c>
      <c r="H2035" t="s">
        <v>5138</v>
      </c>
      <c r="I2035" t="s">
        <v>5139</v>
      </c>
      <c r="J2035">
        <v>218196</v>
      </c>
      <c r="K2035" t="s">
        <v>4184</v>
      </c>
      <c r="L2035" t="s">
        <v>5165</v>
      </c>
      <c r="M2035" t="s">
        <v>46</v>
      </c>
      <c r="N2035">
        <v>45447</v>
      </c>
      <c r="O2035">
        <v>249</v>
      </c>
      <c r="P2035" t="s">
        <v>20</v>
      </c>
      <c r="Q2035">
        <v>6</v>
      </c>
      <c r="R2035" t="s">
        <v>52</v>
      </c>
      <c r="S2035" t="s">
        <v>21</v>
      </c>
      <c r="T2035" t="s">
        <v>29</v>
      </c>
    </row>
    <row r="2036" spans="1:20" x14ac:dyDescent="0.3">
      <c r="A2036" t="s">
        <v>4185</v>
      </c>
      <c r="B2036" t="s">
        <v>99</v>
      </c>
      <c r="C2036" t="s">
        <v>13</v>
      </c>
      <c r="D2036" t="s">
        <v>25</v>
      </c>
      <c r="E2036" t="s">
        <v>193</v>
      </c>
      <c r="F2036" t="s">
        <v>194</v>
      </c>
      <c r="G2036" t="s">
        <v>50</v>
      </c>
      <c r="H2036" t="s">
        <v>5138</v>
      </c>
      <c r="I2036" t="s">
        <v>5139</v>
      </c>
      <c r="J2036">
        <v>238167</v>
      </c>
      <c r="K2036" t="s">
        <v>4186</v>
      </c>
      <c r="L2036" t="s">
        <v>5165</v>
      </c>
      <c r="M2036" t="s">
        <v>19</v>
      </c>
      <c r="N2036">
        <v>45385</v>
      </c>
      <c r="O2036">
        <v>3865</v>
      </c>
      <c r="P2036" t="s">
        <v>29</v>
      </c>
      <c r="Q2036">
        <v>6</v>
      </c>
      <c r="R2036" t="s">
        <v>52</v>
      </c>
      <c r="S2036" t="s">
        <v>21</v>
      </c>
      <c r="T2036" t="s">
        <v>20</v>
      </c>
    </row>
    <row r="2037" spans="1:20" x14ac:dyDescent="0.3">
      <c r="A2037" t="s">
        <v>4187</v>
      </c>
      <c r="B2037" t="s">
        <v>144</v>
      </c>
      <c r="C2037" t="s">
        <v>90</v>
      </c>
      <c r="D2037" t="s">
        <v>5156</v>
      </c>
      <c r="E2037" t="s">
        <v>152</v>
      </c>
      <c r="F2037" t="s">
        <v>153</v>
      </c>
      <c r="G2037" t="s">
        <v>16</v>
      </c>
      <c r="H2037" t="s">
        <v>5136</v>
      </c>
      <c r="I2037" t="s">
        <v>5137</v>
      </c>
      <c r="J2037">
        <v>104771</v>
      </c>
      <c r="K2037" t="s">
        <v>4188</v>
      </c>
      <c r="L2037" t="s">
        <v>5165</v>
      </c>
      <c r="M2037" t="s">
        <v>39</v>
      </c>
      <c r="N2037">
        <v>45347</v>
      </c>
      <c r="O2037">
        <v>2743</v>
      </c>
      <c r="P2037" t="s">
        <v>20</v>
      </c>
      <c r="Q2037">
        <v>0</v>
      </c>
      <c r="R2037" t="s">
        <v>52</v>
      </c>
      <c r="S2037" t="s">
        <v>21</v>
      </c>
      <c r="T2037" t="s">
        <v>20</v>
      </c>
    </row>
    <row r="2038" spans="1:20" x14ac:dyDescent="0.3">
      <c r="A2038" t="s">
        <v>4189</v>
      </c>
      <c r="B2038" t="s">
        <v>215</v>
      </c>
      <c r="C2038" t="s">
        <v>188</v>
      </c>
      <c r="D2038" t="s">
        <v>25</v>
      </c>
      <c r="E2038" t="s">
        <v>5132</v>
      </c>
      <c r="F2038" t="s">
        <v>5125</v>
      </c>
      <c r="G2038" t="s">
        <v>16</v>
      </c>
      <c r="H2038" t="s">
        <v>5140</v>
      </c>
      <c r="I2038" t="s">
        <v>5141</v>
      </c>
      <c r="J2038">
        <v>117769</v>
      </c>
      <c r="K2038" t="s">
        <v>4190</v>
      </c>
      <c r="L2038" t="s">
        <v>134</v>
      </c>
      <c r="M2038" t="s">
        <v>19</v>
      </c>
      <c r="N2038">
        <v>45470</v>
      </c>
      <c r="O2038">
        <v>1277</v>
      </c>
      <c r="P2038" t="s">
        <v>20</v>
      </c>
      <c r="Q2038">
        <v>2</v>
      </c>
      <c r="R2038" t="s">
        <v>5116</v>
      </c>
      <c r="S2038" t="s">
        <v>53</v>
      </c>
      <c r="T2038" t="s">
        <v>20</v>
      </c>
    </row>
    <row r="2039" spans="1:20" x14ac:dyDescent="0.3">
      <c r="A2039" t="s">
        <v>4191</v>
      </c>
      <c r="B2039" t="s">
        <v>222</v>
      </c>
      <c r="C2039" t="s">
        <v>172</v>
      </c>
      <c r="D2039" t="s">
        <v>140</v>
      </c>
      <c r="E2039" t="s">
        <v>95</v>
      </c>
      <c r="F2039" t="s">
        <v>96</v>
      </c>
      <c r="G2039" t="s">
        <v>36</v>
      </c>
      <c r="H2039" t="s">
        <v>5140</v>
      </c>
      <c r="I2039" t="s">
        <v>5141</v>
      </c>
      <c r="J2039">
        <v>99922</v>
      </c>
      <c r="K2039" t="s">
        <v>4192</v>
      </c>
      <c r="L2039" t="s">
        <v>82</v>
      </c>
      <c r="M2039" t="s">
        <v>19</v>
      </c>
      <c r="N2039">
        <v>45301</v>
      </c>
      <c r="O2039">
        <v>531</v>
      </c>
      <c r="P2039" t="s">
        <v>20</v>
      </c>
      <c r="Q2039">
        <v>2</v>
      </c>
      <c r="R2039" t="s">
        <v>47</v>
      </c>
      <c r="S2039" t="s">
        <v>53</v>
      </c>
      <c r="T2039" t="s">
        <v>20</v>
      </c>
    </row>
    <row r="2040" spans="1:20" x14ac:dyDescent="0.3">
      <c r="A2040" t="s">
        <v>4193</v>
      </c>
      <c r="B2040" t="s">
        <v>63</v>
      </c>
      <c r="C2040" t="s">
        <v>121</v>
      </c>
      <c r="D2040" t="s">
        <v>104</v>
      </c>
      <c r="E2040" t="s">
        <v>126</v>
      </c>
      <c r="F2040" t="s">
        <v>127</v>
      </c>
      <c r="G2040" t="s">
        <v>36</v>
      </c>
      <c r="H2040" t="s">
        <v>5136</v>
      </c>
      <c r="I2040" t="s">
        <v>5137</v>
      </c>
      <c r="J2040">
        <v>69677</v>
      </c>
      <c r="K2040" t="s">
        <v>4194</v>
      </c>
      <c r="L2040" t="s">
        <v>134</v>
      </c>
      <c r="M2040" t="s">
        <v>46</v>
      </c>
      <c r="N2040">
        <v>45677</v>
      </c>
      <c r="O2040">
        <v>3969</v>
      </c>
      <c r="P2040" t="s">
        <v>29</v>
      </c>
      <c r="Q2040">
        <v>0</v>
      </c>
      <c r="R2040" t="s">
        <v>5116</v>
      </c>
      <c r="S2040" t="s">
        <v>21</v>
      </c>
      <c r="T2040" t="s">
        <v>29</v>
      </c>
    </row>
    <row r="2041" spans="1:20" x14ac:dyDescent="0.3">
      <c r="A2041" t="s">
        <v>4195</v>
      </c>
      <c r="B2041" t="s">
        <v>63</v>
      </c>
      <c r="C2041" t="s">
        <v>49</v>
      </c>
      <c r="D2041" t="s">
        <v>140</v>
      </c>
      <c r="E2041" t="s">
        <v>5129</v>
      </c>
      <c r="F2041" t="s">
        <v>5130</v>
      </c>
      <c r="G2041" t="s">
        <v>36</v>
      </c>
      <c r="H2041" t="s">
        <v>5136</v>
      </c>
      <c r="I2041" t="s">
        <v>5137</v>
      </c>
      <c r="J2041">
        <v>50000</v>
      </c>
      <c r="K2041" t="s">
        <v>4196</v>
      </c>
      <c r="L2041" t="s">
        <v>134</v>
      </c>
      <c r="M2041" t="s">
        <v>19</v>
      </c>
      <c r="N2041">
        <v>45375</v>
      </c>
      <c r="O2041">
        <v>1976</v>
      </c>
      <c r="P2041" t="s">
        <v>29</v>
      </c>
      <c r="Q2041">
        <v>0</v>
      </c>
      <c r="R2041" t="s">
        <v>5116</v>
      </c>
      <c r="S2041" t="s">
        <v>21</v>
      </c>
      <c r="T2041" t="s">
        <v>29</v>
      </c>
    </row>
    <row r="2042" spans="1:20" x14ac:dyDescent="0.3">
      <c r="A2042" t="s">
        <v>4197</v>
      </c>
      <c r="B2042" t="s">
        <v>229</v>
      </c>
      <c r="C2042" t="s">
        <v>109</v>
      </c>
      <c r="D2042" t="s">
        <v>33</v>
      </c>
      <c r="E2042" t="s">
        <v>5124</v>
      </c>
      <c r="F2042" t="s">
        <v>5125</v>
      </c>
      <c r="G2042" t="s">
        <v>16</v>
      </c>
      <c r="H2042" t="s">
        <v>5142</v>
      </c>
      <c r="I2042" t="s">
        <v>5143</v>
      </c>
      <c r="J2042">
        <v>131242</v>
      </c>
      <c r="K2042" t="s">
        <v>4198</v>
      </c>
      <c r="L2042" t="s">
        <v>179</v>
      </c>
      <c r="M2042" t="s">
        <v>46</v>
      </c>
      <c r="N2042">
        <v>45394</v>
      </c>
      <c r="O2042">
        <v>1423</v>
      </c>
      <c r="P2042" t="s">
        <v>20</v>
      </c>
      <c r="Q2042">
        <v>4</v>
      </c>
      <c r="R2042" t="s">
        <v>47</v>
      </c>
      <c r="S2042" t="s">
        <v>21</v>
      </c>
      <c r="T2042" t="s">
        <v>29</v>
      </c>
    </row>
    <row r="2043" spans="1:20" x14ac:dyDescent="0.3">
      <c r="A2043" t="s">
        <v>4199</v>
      </c>
      <c r="B2043" t="s">
        <v>99</v>
      </c>
      <c r="C2043" t="s">
        <v>109</v>
      </c>
      <c r="D2043" t="s">
        <v>33</v>
      </c>
      <c r="E2043" t="s">
        <v>14</v>
      </c>
      <c r="F2043" t="s">
        <v>15</v>
      </c>
      <c r="G2043" t="s">
        <v>36</v>
      </c>
      <c r="H2043" t="s">
        <v>5140</v>
      </c>
      <c r="I2043" t="s">
        <v>5141</v>
      </c>
      <c r="J2043">
        <v>101896</v>
      </c>
      <c r="K2043" t="s">
        <v>4200</v>
      </c>
      <c r="L2043" t="s">
        <v>179</v>
      </c>
      <c r="M2043" t="s">
        <v>19</v>
      </c>
      <c r="N2043">
        <v>45356</v>
      </c>
      <c r="O2043">
        <v>2063</v>
      </c>
      <c r="P2043" t="s">
        <v>20</v>
      </c>
      <c r="Q2043">
        <v>2</v>
      </c>
      <c r="R2043" t="s">
        <v>5116</v>
      </c>
      <c r="S2043" t="s">
        <v>21</v>
      </c>
      <c r="T2043" t="s">
        <v>29</v>
      </c>
    </row>
    <row r="2044" spans="1:20" x14ac:dyDescent="0.3">
      <c r="A2044" t="s">
        <v>4201</v>
      </c>
      <c r="B2044" t="s">
        <v>130</v>
      </c>
      <c r="C2044" t="s">
        <v>56</v>
      </c>
      <c r="D2044" t="s">
        <v>33</v>
      </c>
      <c r="E2044" t="s">
        <v>58</v>
      </c>
      <c r="F2044" t="s">
        <v>59</v>
      </c>
      <c r="G2044" t="s">
        <v>16</v>
      </c>
      <c r="H2044" t="s">
        <v>5142</v>
      </c>
      <c r="I2044" t="s">
        <v>5143</v>
      </c>
      <c r="J2044">
        <v>135849</v>
      </c>
      <c r="K2044" t="s">
        <v>4202</v>
      </c>
      <c r="L2044" t="s">
        <v>18</v>
      </c>
      <c r="M2044" t="s">
        <v>46</v>
      </c>
      <c r="N2044">
        <v>45729</v>
      </c>
      <c r="O2044">
        <v>3734</v>
      </c>
      <c r="P2044" t="s">
        <v>29</v>
      </c>
      <c r="Q2044">
        <v>4</v>
      </c>
      <c r="R2044" t="s">
        <v>5116</v>
      </c>
      <c r="S2044" t="s">
        <v>21</v>
      </c>
      <c r="T2044" t="s">
        <v>29</v>
      </c>
    </row>
    <row r="2045" spans="1:20" x14ac:dyDescent="0.3">
      <c r="A2045" t="s">
        <v>4203</v>
      </c>
      <c r="B2045" t="s">
        <v>165</v>
      </c>
      <c r="C2045" t="s">
        <v>139</v>
      </c>
      <c r="D2045" t="s">
        <v>140</v>
      </c>
      <c r="E2045" t="s">
        <v>152</v>
      </c>
      <c r="F2045" t="s">
        <v>153</v>
      </c>
      <c r="G2045" t="s">
        <v>16</v>
      </c>
      <c r="H2045" t="s">
        <v>5138</v>
      </c>
      <c r="I2045" t="s">
        <v>5139</v>
      </c>
      <c r="J2045">
        <v>205484</v>
      </c>
      <c r="K2045" t="s">
        <v>4204</v>
      </c>
      <c r="L2045" t="s">
        <v>38</v>
      </c>
      <c r="M2045" t="s">
        <v>39</v>
      </c>
      <c r="N2045">
        <v>45586</v>
      </c>
      <c r="O2045">
        <v>2091</v>
      </c>
      <c r="P2045" t="s">
        <v>92</v>
      </c>
      <c r="Q2045">
        <v>6</v>
      </c>
      <c r="R2045" t="s">
        <v>47</v>
      </c>
      <c r="S2045" t="s">
        <v>41</v>
      </c>
      <c r="T2045" t="s">
        <v>20</v>
      </c>
    </row>
    <row r="2046" spans="1:20" x14ac:dyDescent="0.3">
      <c r="A2046" t="s">
        <v>4205</v>
      </c>
      <c r="B2046" t="s">
        <v>130</v>
      </c>
      <c r="C2046" t="s">
        <v>202</v>
      </c>
      <c r="D2046" t="s">
        <v>104</v>
      </c>
      <c r="E2046" t="s">
        <v>193</v>
      </c>
      <c r="F2046" t="s">
        <v>194</v>
      </c>
      <c r="G2046" t="s">
        <v>36</v>
      </c>
      <c r="H2046" t="s">
        <v>5136</v>
      </c>
      <c r="I2046" t="s">
        <v>5137</v>
      </c>
      <c r="J2046">
        <v>59637</v>
      </c>
      <c r="K2046" t="s">
        <v>4206</v>
      </c>
      <c r="L2046" t="s">
        <v>5165</v>
      </c>
      <c r="M2046" t="s">
        <v>46</v>
      </c>
      <c r="N2046">
        <v>45628</v>
      </c>
      <c r="O2046">
        <v>2387</v>
      </c>
      <c r="P2046" t="s">
        <v>20</v>
      </c>
      <c r="Q2046">
        <v>0</v>
      </c>
      <c r="R2046" t="s">
        <v>47</v>
      </c>
      <c r="S2046" t="s">
        <v>21</v>
      </c>
      <c r="T2046" t="s">
        <v>20</v>
      </c>
    </row>
    <row r="2047" spans="1:20" x14ac:dyDescent="0.3">
      <c r="A2047" t="s">
        <v>4207</v>
      </c>
      <c r="B2047" t="s">
        <v>31</v>
      </c>
      <c r="C2047" t="s">
        <v>24</v>
      </c>
      <c r="D2047" t="s">
        <v>167</v>
      </c>
      <c r="E2047" t="s">
        <v>34</v>
      </c>
      <c r="F2047" t="s">
        <v>35</v>
      </c>
      <c r="G2047" t="s">
        <v>36</v>
      </c>
      <c r="H2047" t="s">
        <v>5142</v>
      </c>
      <c r="I2047" t="s">
        <v>5143</v>
      </c>
      <c r="J2047">
        <v>180267</v>
      </c>
      <c r="K2047" t="s">
        <v>4208</v>
      </c>
      <c r="L2047" t="s">
        <v>134</v>
      </c>
      <c r="M2047" t="s">
        <v>19</v>
      </c>
      <c r="N2047">
        <v>45706</v>
      </c>
      <c r="O2047">
        <v>2906</v>
      </c>
      <c r="P2047" t="s">
        <v>92</v>
      </c>
      <c r="Q2047">
        <v>4</v>
      </c>
      <c r="R2047" t="s">
        <v>5116</v>
      </c>
      <c r="S2047" t="s">
        <v>21</v>
      </c>
      <c r="T2047" t="s">
        <v>20</v>
      </c>
    </row>
    <row r="2048" spans="1:20" x14ac:dyDescent="0.3">
      <c r="A2048" t="s">
        <v>4209</v>
      </c>
      <c r="B2048" t="s">
        <v>130</v>
      </c>
      <c r="C2048" t="s">
        <v>49</v>
      </c>
      <c r="D2048" t="s">
        <v>5156</v>
      </c>
      <c r="E2048" t="s">
        <v>69</v>
      </c>
      <c r="F2048" t="s">
        <v>70</v>
      </c>
      <c r="G2048" t="s">
        <v>16</v>
      </c>
      <c r="H2048" t="s">
        <v>5138</v>
      </c>
      <c r="I2048" t="s">
        <v>5139</v>
      </c>
      <c r="J2048">
        <v>200007</v>
      </c>
      <c r="K2048" t="s">
        <v>4210</v>
      </c>
      <c r="L2048" t="s">
        <v>5165</v>
      </c>
      <c r="M2048" t="s">
        <v>72</v>
      </c>
      <c r="N2048">
        <v>45398</v>
      </c>
      <c r="O2048">
        <v>366</v>
      </c>
      <c r="P2048" t="s">
        <v>29</v>
      </c>
      <c r="Q2048">
        <v>6</v>
      </c>
      <c r="R2048" t="s">
        <v>52</v>
      </c>
      <c r="S2048" t="s">
        <v>21</v>
      </c>
      <c r="T2048" t="s">
        <v>29</v>
      </c>
    </row>
    <row r="2049" spans="1:20" x14ac:dyDescent="0.3">
      <c r="A2049" t="s">
        <v>4211</v>
      </c>
      <c r="B2049" t="s">
        <v>23</v>
      </c>
      <c r="C2049" t="s">
        <v>232</v>
      </c>
      <c r="D2049" t="s">
        <v>33</v>
      </c>
      <c r="E2049" t="s">
        <v>26</v>
      </c>
      <c r="F2049" t="s">
        <v>27</v>
      </c>
      <c r="G2049" t="s">
        <v>16</v>
      </c>
      <c r="H2049" t="s">
        <v>5142</v>
      </c>
      <c r="I2049" t="s">
        <v>5143</v>
      </c>
      <c r="J2049">
        <v>149748</v>
      </c>
      <c r="K2049" t="s">
        <v>4212</v>
      </c>
      <c r="L2049" t="s">
        <v>238</v>
      </c>
      <c r="M2049" t="s">
        <v>46</v>
      </c>
      <c r="N2049">
        <v>45653</v>
      </c>
      <c r="O2049">
        <v>3874</v>
      </c>
      <c r="P2049" t="s">
        <v>29</v>
      </c>
      <c r="Q2049">
        <v>4</v>
      </c>
      <c r="R2049" t="s">
        <v>5116</v>
      </c>
      <c r="S2049" t="s">
        <v>53</v>
      </c>
      <c r="T2049" t="s">
        <v>20</v>
      </c>
    </row>
    <row r="2050" spans="1:20" x14ac:dyDescent="0.3">
      <c r="A2050" t="s">
        <v>4213</v>
      </c>
      <c r="B2050" t="s">
        <v>322</v>
      </c>
      <c r="C2050" t="s">
        <v>56</v>
      </c>
      <c r="D2050" t="s">
        <v>33</v>
      </c>
      <c r="E2050" t="s">
        <v>152</v>
      </c>
      <c r="F2050" t="s">
        <v>153</v>
      </c>
      <c r="G2050" t="s">
        <v>16</v>
      </c>
      <c r="H2050" t="s">
        <v>5138</v>
      </c>
      <c r="I2050" t="s">
        <v>5139</v>
      </c>
      <c r="J2050">
        <v>188195</v>
      </c>
      <c r="K2050" t="s">
        <v>4214</v>
      </c>
      <c r="L2050" t="s">
        <v>113</v>
      </c>
      <c r="M2050" t="s">
        <v>72</v>
      </c>
      <c r="N2050">
        <v>45404</v>
      </c>
      <c r="O2050">
        <v>1491</v>
      </c>
      <c r="P2050" t="s">
        <v>20</v>
      </c>
      <c r="Q2050">
        <v>6</v>
      </c>
      <c r="R2050" t="s">
        <v>5116</v>
      </c>
      <c r="S2050" t="s">
        <v>21</v>
      </c>
      <c r="T2050" t="s">
        <v>29</v>
      </c>
    </row>
    <row r="2051" spans="1:20" x14ac:dyDescent="0.3">
      <c r="A2051" t="s">
        <v>4215</v>
      </c>
      <c r="B2051" t="s">
        <v>144</v>
      </c>
      <c r="C2051" t="s">
        <v>24</v>
      </c>
      <c r="D2051" t="s">
        <v>25</v>
      </c>
      <c r="E2051" t="s">
        <v>5126</v>
      </c>
      <c r="F2051" t="s">
        <v>5125</v>
      </c>
      <c r="G2051" t="s">
        <v>36</v>
      </c>
      <c r="H2051" t="s">
        <v>5142</v>
      </c>
      <c r="I2051" t="s">
        <v>5143</v>
      </c>
      <c r="J2051">
        <v>154190</v>
      </c>
      <c r="K2051" t="s">
        <v>4216</v>
      </c>
      <c r="L2051" t="s">
        <v>179</v>
      </c>
      <c r="M2051" t="s">
        <v>46</v>
      </c>
      <c r="N2051">
        <v>45458</v>
      </c>
      <c r="O2051">
        <v>834</v>
      </c>
      <c r="P2051" t="s">
        <v>20</v>
      </c>
      <c r="Q2051">
        <v>4</v>
      </c>
      <c r="R2051" t="s">
        <v>5116</v>
      </c>
      <c r="S2051" t="s">
        <v>21</v>
      </c>
      <c r="T2051" t="s">
        <v>20</v>
      </c>
    </row>
    <row r="2052" spans="1:20" x14ac:dyDescent="0.3">
      <c r="A2052" t="s">
        <v>4217</v>
      </c>
      <c r="B2052" t="s">
        <v>144</v>
      </c>
      <c r="C2052" t="s">
        <v>13</v>
      </c>
      <c r="D2052" t="s">
        <v>68</v>
      </c>
      <c r="E2052" t="s">
        <v>14</v>
      </c>
      <c r="F2052" t="s">
        <v>15</v>
      </c>
      <c r="G2052" t="s">
        <v>50</v>
      </c>
      <c r="H2052" t="s">
        <v>5142</v>
      </c>
      <c r="I2052" t="s">
        <v>5143</v>
      </c>
      <c r="J2052">
        <v>172277</v>
      </c>
      <c r="K2052" t="s">
        <v>4218</v>
      </c>
      <c r="L2052" t="s">
        <v>87</v>
      </c>
      <c r="M2052" t="s">
        <v>19</v>
      </c>
      <c r="N2052">
        <v>45573</v>
      </c>
      <c r="O2052">
        <v>1363</v>
      </c>
      <c r="P2052" t="s">
        <v>29</v>
      </c>
      <c r="Q2052">
        <v>4</v>
      </c>
      <c r="R2052" t="s">
        <v>5116</v>
      </c>
      <c r="S2052" t="s">
        <v>21</v>
      </c>
      <c r="T2052" t="s">
        <v>20</v>
      </c>
    </row>
    <row r="2053" spans="1:20" x14ac:dyDescent="0.3">
      <c r="A2053" t="s">
        <v>4219</v>
      </c>
      <c r="B2053" t="s">
        <v>215</v>
      </c>
      <c r="C2053" t="s">
        <v>172</v>
      </c>
      <c r="D2053" t="s">
        <v>5156</v>
      </c>
      <c r="E2053" t="s">
        <v>5131</v>
      </c>
      <c r="F2053" t="s">
        <v>5125</v>
      </c>
      <c r="G2053" t="s">
        <v>16</v>
      </c>
      <c r="H2053" t="s">
        <v>5138</v>
      </c>
      <c r="I2053" t="s">
        <v>5139</v>
      </c>
      <c r="J2053">
        <v>168783</v>
      </c>
      <c r="K2053" t="s">
        <v>4220</v>
      </c>
      <c r="L2053" t="s">
        <v>179</v>
      </c>
      <c r="M2053" t="s">
        <v>39</v>
      </c>
      <c r="N2053">
        <v>45431</v>
      </c>
      <c r="O2053">
        <v>1591</v>
      </c>
      <c r="P2053" t="s">
        <v>29</v>
      </c>
      <c r="Q2053">
        <v>6</v>
      </c>
      <c r="R2053" t="s">
        <v>40</v>
      </c>
      <c r="S2053" t="s">
        <v>21</v>
      </c>
      <c r="T2053" t="s">
        <v>20</v>
      </c>
    </row>
    <row r="2054" spans="1:20" x14ac:dyDescent="0.3">
      <c r="A2054" t="s">
        <v>4221</v>
      </c>
      <c r="B2054" t="s">
        <v>144</v>
      </c>
      <c r="C2054" t="s">
        <v>24</v>
      </c>
      <c r="D2054" t="s">
        <v>25</v>
      </c>
      <c r="E2054" t="s">
        <v>5132</v>
      </c>
      <c r="F2054" t="s">
        <v>5125</v>
      </c>
      <c r="G2054" t="s">
        <v>16</v>
      </c>
      <c r="H2054" t="s">
        <v>5136</v>
      </c>
      <c r="I2054" t="s">
        <v>5137</v>
      </c>
      <c r="J2054">
        <v>61707</v>
      </c>
      <c r="K2054" t="s">
        <v>4222</v>
      </c>
      <c r="L2054" t="s">
        <v>87</v>
      </c>
      <c r="M2054" t="s">
        <v>46</v>
      </c>
      <c r="N2054">
        <v>45588</v>
      </c>
      <c r="O2054">
        <v>2593</v>
      </c>
      <c r="P2054" t="s">
        <v>20</v>
      </c>
      <c r="Q2054">
        <v>0</v>
      </c>
      <c r="R2054" t="s">
        <v>52</v>
      </c>
      <c r="S2054" t="s">
        <v>21</v>
      </c>
      <c r="T2054" t="s">
        <v>20</v>
      </c>
    </row>
    <row r="2055" spans="1:20" x14ac:dyDescent="0.3">
      <c r="A2055" t="s">
        <v>4223</v>
      </c>
      <c r="B2055" t="s">
        <v>136</v>
      </c>
      <c r="C2055" t="s">
        <v>49</v>
      </c>
      <c r="D2055" t="s">
        <v>57</v>
      </c>
      <c r="E2055" t="s">
        <v>193</v>
      </c>
      <c r="F2055" t="s">
        <v>194</v>
      </c>
      <c r="G2055" t="s">
        <v>36</v>
      </c>
      <c r="H2055" t="s">
        <v>5140</v>
      </c>
      <c r="I2055" t="s">
        <v>5141</v>
      </c>
      <c r="J2055">
        <v>103986</v>
      </c>
      <c r="K2055" t="s">
        <v>4224</v>
      </c>
      <c r="L2055" t="s">
        <v>18</v>
      </c>
      <c r="M2055" t="s">
        <v>19</v>
      </c>
      <c r="N2055">
        <v>45308</v>
      </c>
      <c r="O2055">
        <v>597</v>
      </c>
      <c r="P2055" t="s">
        <v>29</v>
      </c>
      <c r="Q2055">
        <v>2</v>
      </c>
      <c r="R2055" t="s">
        <v>5116</v>
      </c>
      <c r="S2055" t="s">
        <v>21</v>
      </c>
      <c r="T2055" t="s">
        <v>29</v>
      </c>
    </row>
    <row r="2056" spans="1:20" x14ac:dyDescent="0.3">
      <c r="A2056" t="s">
        <v>4225</v>
      </c>
      <c r="B2056" t="s">
        <v>23</v>
      </c>
      <c r="C2056" t="s">
        <v>197</v>
      </c>
      <c r="D2056" t="s">
        <v>167</v>
      </c>
      <c r="E2056" t="s">
        <v>95</v>
      </c>
      <c r="F2056" t="s">
        <v>96</v>
      </c>
      <c r="G2056" t="s">
        <v>16</v>
      </c>
      <c r="H2056" t="s">
        <v>5142</v>
      </c>
      <c r="I2056" t="s">
        <v>5143</v>
      </c>
      <c r="J2056">
        <v>113661</v>
      </c>
      <c r="K2056" t="s">
        <v>4226</v>
      </c>
      <c r="L2056" t="s">
        <v>5165</v>
      </c>
      <c r="M2056" t="s">
        <v>46</v>
      </c>
      <c r="N2056">
        <v>45326</v>
      </c>
      <c r="O2056">
        <v>2376</v>
      </c>
      <c r="P2056" t="s">
        <v>20</v>
      </c>
      <c r="Q2056">
        <v>4</v>
      </c>
      <c r="R2056" t="s">
        <v>76</v>
      </c>
      <c r="S2056" t="s">
        <v>21</v>
      </c>
      <c r="T2056" t="s">
        <v>20</v>
      </c>
    </row>
    <row r="2057" spans="1:20" x14ac:dyDescent="0.3">
      <c r="A2057" t="s">
        <v>4227</v>
      </c>
      <c r="B2057" t="s">
        <v>229</v>
      </c>
      <c r="C2057" t="s">
        <v>43</v>
      </c>
      <c r="D2057" t="s">
        <v>140</v>
      </c>
      <c r="E2057" t="s">
        <v>209</v>
      </c>
      <c r="F2057" t="s">
        <v>210</v>
      </c>
      <c r="G2057" t="s">
        <v>36</v>
      </c>
      <c r="H2057" t="s">
        <v>5138</v>
      </c>
      <c r="I2057" t="s">
        <v>5139</v>
      </c>
      <c r="J2057">
        <v>170506</v>
      </c>
      <c r="K2057" t="s">
        <v>4228</v>
      </c>
      <c r="L2057" t="s">
        <v>82</v>
      </c>
      <c r="M2057" t="s">
        <v>72</v>
      </c>
      <c r="N2057">
        <v>45712</v>
      </c>
      <c r="O2057">
        <v>3502</v>
      </c>
      <c r="P2057" t="s">
        <v>20</v>
      </c>
      <c r="Q2057">
        <v>6</v>
      </c>
      <c r="R2057" t="s">
        <v>52</v>
      </c>
      <c r="S2057" t="s">
        <v>53</v>
      </c>
      <c r="T2057" t="s">
        <v>20</v>
      </c>
    </row>
    <row r="2058" spans="1:20" x14ac:dyDescent="0.3">
      <c r="A2058" t="s">
        <v>4229</v>
      </c>
      <c r="B2058" t="s">
        <v>124</v>
      </c>
      <c r="C2058" t="s">
        <v>185</v>
      </c>
      <c r="D2058" t="s">
        <v>68</v>
      </c>
      <c r="E2058" t="s">
        <v>5128</v>
      </c>
      <c r="F2058" t="s">
        <v>5125</v>
      </c>
      <c r="G2058" t="s">
        <v>50</v>
      </c>
      <c r="H2058" t="s">
        <v>5142</v>
      </c>
      <c r="I2058" t="s">
        <v>5143</v>
      </c>
      <c r="J2058">
        <v>137142</v>
      </c>
      <c r="K2058" t="s">
        <v>4230</v>
      </c>
      <c r="L2058" t="s">
        <v>5165</v>
      </c>
      <c r="M2058" t="s">
        <v>19</v>
      </c>
      <c r="N2058">
        <v>45691</v>
      </c>
      <c r="O2058">
        <v>1184</v>
      </c>
      <c r="P2058" t="s">
        <v>20</v>
      </c>
      <c r="Q2058">
        <v>4</v>
      </c>
      <c r="R2058" t="s">
        <v>47</v>
      </c>
      <c r="S2058" t="s">
        <v>21</v>
      </c>
      <c r="T2058" t="s">
        <v>29</v>
      </c>
    </row>
    <row r="2059" spans="1:20" x14ac:dyDescent="0.3">
      <c r="A2059" t="s">
        <v>4231</v>
      </c>
      <c r="B2059" t="s">
        <v>99</v>
      </c>
      <c r="C2059" t="s">
        <v>64</v>
      </c>
      <c r="D2059" t="s">
        <v>140</v>
      </c>
      <c r="E2059" t="s">
        <v>26</v>
      </c>
      <c r="F2059" t="s">
        <v>27</v>
      </c>
      <c r="G2059" t="s">
        <v>16</v>
      </c>
      <c r="H2059" t="s">
        <v>5138</v>
      </c>
      <c r="I2059" t="s">
        <v>5139</v>
      </c>
      <c r="J2059">
        <v>231478</v>
      </c>
      <c r="K2059" t="s">
        <v>4232</v>
      </c>
      <c r="L2059" t="s">
        <v>134</v>
      </c>
      <c r="M2059" t="s">
        <v>19</v>
      </c>
      <c r="N2059">
        <v>45679</v>
      </c>
      <c r="O2059">
        <v>3604</v>
      </c>
      <c r="P2059" t="s">
        <v>29</v>
      </c>
      <c r="Q2059">
        <v>6</v>
      </c>
      <c r="R2059" t="s">
        <v>5116</v>
      </c>
      <c r="S2059" t="s">
        <v>21</v>
      </c>
      <c r="T2059" t="s">
        <v>29</v>
      </c>
    </row>
    <row r="2060" spans="1:20" x14ac:dyDescent="0.3">
      <c r="A2060" t="s">
        <v>4233</v>
      </c>
      <c r="B2060" t="s">
        <v>63</v>
      </c>
      <c r="C2060" t="s">
        <v>24</v>
      </c>
      <c r="D2060" t="s">
        <v>57</v>
      </c>
      <c r="E2060" t="s">
        <v>5129</v>
      </c>
      <c r="F2060" t="s">
        <v>5130</v>
      </c>
      <c r="G2060" t="s">
        <v>16</v>
      </c>
      <c r="H2060" t="s">
        <v>5142</v>
      </c>
      <c r="I2060" t="s">
        <v>5143</v>
      </c>
      <c r="J2060">
        <v>157089</v>
      </c>
      <c r="K2060" t="s">
        <v>4234</v>
      </c>
      <c r="L2060" t="s">
        <v>179</v>
      </c>
      <c r="M2060" t="s">
        <v>39</v>
      </c>
      <c r="N2060">
        <v>45714</v>
      </c>
      <c r="O2060">
        <v>3459</v>
      </c>
      <c r="P2060" t="s">
        <v>20</v>
      </c>
      <c r="Q2060">
        <v>4</v>
      </c>
      <c r="R2060" t="s">
        <v>5116</v>
      </c>
      <c r="S2060" t="s">
        <v>21</v>
      </c>
      <c r="T2060" t="s">
        <v>20</v>
      </c>
    </row>
    <row r="2061" spans="1:20" x14ac:dyDescent="0.3">
      <c r="A2061" t="s">
        <v>4235</v>
      </c>
      <c r="B2061" t="s">
        <v>23</v>
      </c>
      <c r="C2061" t="s">
        <v>219</v>
      </c>
      <c r="D2061" t="s">
        <v>68</v>
      </c>
      <c r="E2061" t="s">
        <v>5127</v>
      </c>
      <c r="F2061" t="s">
        <v>5125</v>
      </c>
      <c r="G2061" t="s">
        <v>50</v>
      </c>
      <c r="H2061" t="s">
        <v>5140</v>
      </c>
      <c r="I2061" t="s">
        <v>5141</v>
      </c>
      <c r="J2061">
        <v>113833</v>
      </c>
      <c r="K2061" t="s">
        <v>4236</v>
      </c>
      <c r="L2061" t="s">
        <v>179</v>
      </c>
      <c r="M2061" t="s">
        <v>46</v>
      </c>
      <c r="N2061">
        <v>45322</v>
      </c>
      <c r="O2061">
        <v>985</v>
      </c>
      <c r="P2061" t="s">
        <v>20</v>
      </c>
      <c r="Q2061">
        <v>2</v>
      </c>
      <c r="R2061" t="s">
        <v>5116</v>
      </c>
      <c r="S2061" t="s">
        <v>21</v>
      </c>
      <c r="T2061" t="s">
        <v>29</v>
      </c>
    </row>
    <row r="2062" spans="1:20" x14ac:dyDescent="0.3">
      <c r="A2062" t="s">
        <v>4237</v>
      </c>
      <c r="B2062" t="s">
        <v>165</v>
      </c>
      <c r="C2062" t="s">
        <v>160</v>
      </c>
      <c r="D2062" t="s">
        <v>140</v>
      </c>
      <c r="E2062" t="s">
        <v>69</v>
      </c>
      <c r="F2062" t="s">
        <v>70</v>
      </c>
      <c r="G2062" t="s">
        <v>36</v>
      </c>
      <c r="H2062" t="s">
        <v>5138</v>
      </c>
      <c r="I2062" t="s">
        <v>5139</v>
      </c>
      <c r="J2062">
        <v>230632</v>
      </c>
      <c r="K2062" t="s">
        <v>4238</v>
      </c>
      <c r="L2062" t="s">
        <v>5165</v>
      </c>
      <c r="M2062" t="s">
        <v>46</v>
      </c>
      <c r="N2062">
        <v>45596</v>
      </c>
      <c r="O2062">
        <v>272</v>
      </c>
      <c r="P2062" t="s">
        <v>29</v>
      </c>
      <c r="Q2062">
        <v>6</v>
      </c>
      <c r="R2062" t="s">
        <v>52</v>
      </c>
      <c r="S2062" t="s">
        <v>21</v>
      </c>
      <c r="T2062" t="s">
        <v>20</v>
      </c>
    </row>
    <row r="2063" spans="1:20" x14ac:dyDescent="0.3">
      <c r="A2063" t="s">
        <v>4239</v>
      </c>
      <c r="B2063" t="s">
        <v>89</v>
      </c>
      <c r="C2063" t="s">
        <v>100</v>
      </c>
      <c r="D2063" t="s">
        <v>25</v>
      </c>
      <c r="E2063" t="s">
        <v>5133</v>
      </c>
      <c r="F2063" t="s">
        <v>5125</v>
      </c>
      <c r="G2063" t="s">
        <v>16</v>
      </c>
      <c r="H2063" t="s">
        <v>5142</v>
      </c>
      <c r="I2063" t="s">
        <v>5143</v>
      </c>
      <c r="J2063">
        <v>146290</v>
      </c>
      <c r="K2063" t="s">
        <v>4240</v>
      </c>
      <c r="L2063" t="s">
        <v>82</v>
      </c>
      <c r="M2063" t="s">
        <v>72</v>
      </c>
      <c r="N2063">
        <v>45673</v>
      </c>
      <c r="O2063">
        <v>2786</v>
      </c>
      <c r="P2063" t="s">
        <v>20</v>
      </c>
      <c r="Q2063">
        <v>4</v>
      </c>
      <c r="R2063" t="s">
        <v>76</v>
      </c>
      <c r="S2063" t="s">
        <v>21</v>
      </c>
      <c r="T2063" t="s">
        <v>20</v>
      </c>
    </row>
    <row r="2064" spans="1:20" x14ac:dyDescent="0.3">
      <c r="A2064" t="s">
        <v>4241</v>
      </c>
      <c r="B2064" t="s">
        <v>229</v>
      </c>
      <c r="C2064" t="s">
        <v>24</v>
      </c>
      <c r="D2064" t="s">
        <v>140</v>
      </c>
      <c r="E2064" t="s">
        <v>5131</v>
      </c>
      <c r="F2064" t="s">
        <v>5125</v>
      </c>
      <c r="G2064" t="s">
        <v>36</v>
      </c>
      <c r="H2064" t="s">
        <v>5140</v>
      </c>
      <c r="I2064" t="s">
        <v>5141</v>
      </c>
      <c r="J2064">
        <v>117731</v>
      </c>
      <c r="K2064" t="s">
        <v>4242</v>
      </c>
      <c r="L2064" t="s">
        <v>5165</v>
      </c>
      <c r="M2064" t="s">
        <v>46</v>
      </c>
      <c r="N2064">
        <v>45601</v>
      </c>
      <c r="O2064">
        <v>3234</v>
      </c>
      <c r="P2064" t="s">
        <v>29</v>
      </c>
      <c r="Q2064">
        <v>2</v>
      </c>
      <c r="R2064" t="s">
        <v>40</v>
      </c>
      <c r="S2064" t="s">
        <v>21</v>
      </c>
      <c r="T2064" t="s">
        <v>20</v>
      </c>
    </row>
    <row r="2065" spans="1:20" x14ac:dyDescent="0.3">
      <c r="A2065" t="s">
        <v>4243</v>
      </c>
      <c r="B2065" t="s">
        <v>74</v>
      </c>
      <c r="C2065" t="s">
        <v>67</v>
      </c>
      <c r="D2065" t="s">
        <v>5156</v>
      </c>
      <c r="E2065" t="s">
        <v>152</v>
      </c>
      <c r="F2065" t="s">
        <v>153</v>
      </c>
      <c r="G2065" t="s">
        <v>50</v>
      </c>
      <c r="H2065" t="s">
        <v>5138</v>
      </c>
      <c r="I2065" t="s">
        <v>5139</v>
      </c>
      <c r="J2065">
        <v>196284</v>
      </c>
      <c r="K2065" t="s">
        <v>4244</v>
      </c>
      <c r="L2065" t="s">
        <v>5165</v>
      </c>
      <c r="M2065" t="s">
        <v>72</v>
      </c>
      <c r="N2065">
        <v>45624</v>
      </c>
      <c r="O2065">
        <v>2074</v>
      </c>
      <c r="P2065" t="s">
        <v>20</v>
      </c>
      <c r="Q2065">
        <v>6</v>
      </c>
      <c r="R2065" t="s">
        <v>5116</v>
      </c>
      <c r="S2065" t="s">
        <v>53</v>
      </c>
      <c r="T2065" t="s">
        <v>29</v>
      </c>
    </row>
    <row r="2066" spans="1:20" x14ac:dyDescent="0.3">
      <c r="A2066" t="s">
        <v>4245</v>
      </c>
      <c r="B2066" t="s">
        <v>322</v>
      </c>
      <c r="C2066" t="s">
        <v>49</v>
      </c>
      <c r="D2066" t="s">
        <v>33</v>
      </c>
      <c r="E2066" t="s">
        <v>5127</v>
      </c>
      <c r="F2066" t="s">
        <v>5125</v>
      </c>
      <c r="G2066" t="s">
        <v>16</v>
      </c>
      <c r="H2066" t="s">
        <v>5142</v>
      </c>
      <c r="I2066" t="s">
        <v>5143</v>
      </c>
      <c r="J2066">
        <v>157164</v>
      </c>
      <c r="K2066" t="s">
        <v>4246</v>
      </c>
      <c r="L2066" t="s">
        <v>38</v>
      </c>
      <c r="M2066" t="s">
        <v>46</v>
      </c>
      <c r="N2066">
        <v>45540</v>
      </c>
      <c r="O2066">
        <v>3194</v>
      </c>
      <c r="P2066" t="s">
        <v>20</v>
      </c>
      <c r="Q2066">
        <v>4</v>
      </c>
      <c r="R2066" t="s">
        <v>47</v>
      </c>
      <c r="S2066" t="s">
        <v>21</v>
      </c>
      <c r="T2066" t="s">
        <v>20</v>
      </c>
    </row>
    <row r="2067" spans="1:20" x14ac:dyDescent="0.3">
      <c r="A2067" t="s">
        <v>4247</v>
      </c>
      <c r="B2067" t="s">
        <v>218</v>
      </c>
      <c r="C2067" t="s">
        <v>24</v>
      </c>
      <c r="D2067" t="s">
        <v>57</v>
      </c>
      <c r="E2067" t="s">
        <v>14</v>
      </c>
      <c r="F2067" t="s">
        <v>15</v>
      </c>
      <c r="G2067" t="s">
        <v>36</v>
      </c>
      <c r="H2067" t="s">
        <v>5140</v>
      </c>
      <c r="I2067" t="s">
        <v>5141</v>
      </c>
      <c r="J2067">
        <v>98461</v>
      </c>
      <c r="K2067" t="s">
        <v>4248</v>
      </c>
      <c r="L2067" t="s">
        <v>5165</v>
      </c>
      <c r="M2067" t="s">
        <v>39</v>
      </c>
      <c r="N2067">
        <v>45523</v>
      </c>
      <c r="O2067">
        <v>1658</v>
      </c>
      <c r="P2067" t="s">
        <v>29</v>
      </c>
      <c r="Q2067">
        <v>2</v>
      </c>
      <c r="R2067" t="s">
        <v>76</v>
      </c>
      <c r="S2067" t="s">
        <v>21</v>
      </c>
      <c r="T2067" t="s">
        <v>20</v>
      </c>
    </row>
    <row r="2068" spans="1:20" x14ac:dyDescent="0.3">
      <c r="A2068" t="s">
        <v>4249</v>
      </c>
      <c r="B2068" t="s">
        <v>215</v>
      </c>
      <c r="C2068" t="s">
        <v>64</v>
      </c>
      <c r="D2068" t="s">
        <v>118</v>
      </c>
      <c r="E2068" t="s">
        <v>58</v>
      </c>
      <c r="F2068" t="s">
        <v>59</v>
      </c>
      <c r="G2068" t="s">
        <v>36</v>
      </c>
      <c r="H2068" t="s">
        <v>5142</v>
      </c>
      <c r="I2068" t="s">
        <v>5143</v>
      </c>
      <c r="J2068">
        <v>84151</v>
      </c>
      <c r="K2068" t="s">
        <v>4250</v>
      </c>
      <c r="L2068" t="s">
        <v>5165</v>
      </c>
      <c r="M2068" t="s">
        <v>39</v>
      </c>
      <c r="N2068">
        <v>45485</v>
      </c>
      <c r="O2068">
        <v>3734</v>
      </c>
      <c r="P2068" t="s">
        <v>20</v>
      </c>
      <c r="Q2068">
        <v>4</v>
      </c>
      <c r="R2068" t="s">
        <v>76</v>
      </c>
      <c r="S2068" t="s">
        <v>41</v>
      </c>
      <c r="T2068" t="s">
        <v>20</v>
      </c>
    </row>
    <row r="2069" spans="1:20" x14ac:dyDescent="0.3">
      <c r="A2069" t="s">
        <v>4251</v>
      </c>
      <c r="B2069" t="s">
        <v>31</v>
      </c>
      <c r="C2069" t="s">
        <v>219</v>
      </c>
      <c r="D2069" t="s">
        <v>25</v>
      </c>
      <c r="E2069" t="s">
        <v>5131</v>
      </c>
      <c r="F2069" t="s">
        <v>5125</v>
      </c>
      <c r="G2069" t="s">
        <v>36</v>
      </c>
      <c r="H2069" t="s">
        <v>5138</v>
      </c>
      <c r="I2069" t="s">
        <v>5139</v>
      </c>
      <c r="J2069">
        <v>195165</v>
      </c>
      <c r="K2069" t="s">
        <v>4252</v>
      </c>
      <c r="L2069" t="s">
        <v>5165</v>
      </c>
      <c r="M2069" t="s">
        <v>46</v>
      </c>
      <c r="N2069">
        <v>45384</v>
      </c>
      <c r="O2069">
        <v>3090</v>
      </c>
      <c r="P2069" t="s">
        <v>92</v>
      </c>
      <c r="Q2069">
        <v>6</v>
      </c>
      <c r="R2069" t="s">
        <v>47</v>
      </c>
      <c r="S2069" t="s">
        <v>21</v>
      </c>
      <c r="T2069" t="s">
        <v>29</v>
      </c>
    </row>
    <row r="2070" spans="1:20" x14ac:dyDescent="0.3">
      <c r="A2070" t="s">
        <v>4253</v>
      </c>
      <c r="B2070" t="s">
        <v>99</v>
      </c>
      <c r="C2070" t="s">
        <v>64</v>
      </c>
      <c r="D2070" t="s">
        <v>5156</v>
      </c>
      <c r="E2070" t="s">
        <v>209</v>
      </c>
      <c r="F2070" t="s">
        <v>210</v>
      </c>
      <c r="G2070" t="s">
        <v>16</v>
      </c>
      <c r="H2070" t="s">
        <v>5136</v>
      </c>
      <c r="I2070" t="s">
        <v>5137</v>
      </c>
      <c r="J2070">
        <v>87926</v>
      </c>
      <c r="K2070" t="s">
        <v>4254</v>
      </c>
      <c r="L2070" t="s">
        <v>87</v>
      </c>
      <c r="M2070" t="s">
        <v>39</v>
      </c>
      <c r="N2070">
        <v>45662</v>
      </c>
      <c r="O2070">
        <v>769</v>
      </c>
      <c r="P2070" t="s">
        <v>20</v>
      </c>
      <c r="Q2070">
        <v>0</v>
      </c>
      <c r="R2070" t="s">
        <v>76</v>
      </c>
      <c r="S2070" t="s">
        <v>21</v>
      </c>
      <c r="T2070" t="s">
        <v>20</v>
      </c>
    </row>
    <row r="2071" spans="1:20" x14ac:dyDescent="0.3">
      <c r="A2071" t="s">
        <v>4255</v>
      </c>
      <c r="B2071" t="s">
        <v>124</v>
      </c>
      <c r="C2071" t="s">
        <v>79</v>
      </c>
      <c r="D2071" t="s">
        <v>68</v>
      </c>
      <c r="E2071" t="s">
        <v>14</v>
      </c>
      <c r="F2071" t="s">
        <v>15</v>
      </c>
      <c r="G2071" t="s">
        <v>16</v>
      </c>
      <c r="H2071" t="s">
        <v>5142</v>
      </c>
      <c r="I2071" t="s">
        <v>5143</v>
      </c>
      <c r="J2071">
        <v>175007</v>
      </c>
      <c r="K2071" t="s">
        <v>4256</v>
      </c>
      <c r="L2071" t="s">
        <v>87</v>
      </c>
      <c r="M2071" t="s">
        <v>39</v>
      </c>
      <c r="N2071">
        <v>45434</v>
      </c>
      <c r="O2071">
        <v>360</v>
      </c>
      <c r="P2071" t="s">
        <v>20</v>
      </c>
      <c r="Q2071">
        <v>4</v>
      </c>
      <c r="R2071" t="s">
        <v>5116</v>
      </c>
      <c r="S2071" t="s">
        <v>21</v>
      </c>
      <c r="T2071" t="s">
        <v>29</v>
      </c>
    </row>
    <row r="2072" spans="1:20" x14ac:dyDescent="0.3">
      <c r="A2072" t="s">
        <v>4257</v>
      </c>
      <c r="B2072" t="s">
        <v>130</v>
      </c>
      <c r="C2072" t="s">
        <v>117</v>
      </c>
      <c r="D2072" t="s">
        <v>25</v>
      </c>
      <c r="E2072" t="s">
        <v>5132</v>
      </c>
      <c r="F2072" t="s">
        <v>5125</v>
      </c>
      <c r="G2072" t="s">
        <v>16</v>
      </c>
      <c r="H2072" t="s">
        <v>5140</v>
      </c>
      <c r="I2072" t="s">
        <v>5141</v>
      </c>
      <c r="J2072">
        <v>129114</v>
      </c>
      <c r="K2072" t="s">
        <v>4258</v>
      </c>
      <c r="L2072" t="s">
        <v>5165</v>
      </c>
      <c r="M2072" t="s">
        <v>72</v>
      </c>
      <c r="N2072">
        <v>45373</v>
      </c>
      <c r="O2072">
        <v>1485</v>
      </c>
      <c r="P2072" t="s">
        <v>20</v>
      </c>
      <c r="Q2072">
        <v>2</v>
      </c>
      <c r="R2072" t="s">
        <v>52</v>
      </c>
      <c r="S2072" t="s">
        <v>53</v>
      </c>
      <c r="T2072" t="s">
        <v>20</v>
      </c>
    </row>
    <row r="2073" spans="1:20" x14ac:dyDescent="0.3">
      <c r="A2073" t="s">
        <v>4259</v>
      </c>
      <c r="B2073" t="s">
        <v>322</v>
      </c>
      <c r="C2073" t="s">
        <v>24</v>
      </c>
      <c r="D2073" t="s">
        <v>140</v>
      </c>
      <c r="E2073" t="s">
        <v>5128</v>
      </c>
      <c r="F2073" t="s">
        <v>5125</v>
      </c>
      <c r="G2073" t="s">
        <v>16</v>
      </c>
      <c r="H2073" t="s">
        <v>5140</v>
      </c>
      <c r="I2073" t="s">
        <v>5141</v>
      </c>
      <c r="J2073">
        <v>134475</v>
      </c>
      <c r="K2073" t="s">
        <v>4260</v>
      </c>
      <c r="L2073" t="s">
        <v>87</v>
      </c>
      <c r="M2073" t="s">
        <v>19</v>
      </c>
      <c r="N2073">
        <v>45691</v>
      </c>
      <c r="O2073">
        <v>1230</v>
      </c>
      <c r="P2073" t="s">
        <v>20</v>
      </c>
      <c r="Q2073">
        <v>2</v>
      </c>
      <c r="R2073" t="s">
        <v>5116</v>
      </c>
      <c r="S2073" t="s">
        <v>21</v>
      </c>
      <c r="T2073" t="s">
        <v>20</v>
      </c>
    </row>
    <row r="2074" spans="1:20" x14ac:dyDescent="0.3">
      <c r="A2074" t="s">
        <v>4261</v>
      </c>
      <c r="B2074" t="s">
        <v>23</v>
      </c>
      <c r="C2074" t="s">
        <v>90</v>
      </c>
      <c r="D2074" t="s">
        <v>25</v>
      </c>
      <c r="E2074" t="s">
        <v>80</v>
      </c>
      <c r="F2074" t="s">
        <v>80</v>
      </c>
      <c r="G2074" t="s">
        <v>16</v>
      </c>
      <c r="H2074" t="s">
        <v>5140</v>
      </c>
      <c r="I2074" t="s">
        <v>5141</v>
      </c>
      <c r="J2074">
        <v>111755</v>
      </c>
      <c r="K2074" t="s">
        <v>4262</v>
      </c>
      <c r="L2074" t="s">
        <v>5165</v>
      </c>
      <c r="M2074" t="s">
        <v>46</v>
      </c>
      <c r="N2074">
        <v>45379</v>
      </c>
      <c r="O2074">
        <v>1619</v>
      </c>
      <c r="P2074" t="s">
        <v>29</v>
      </c>
      <c r="Q2074">
        <v>2</v>
      </c>
      <c r="R2074" t="s">
        <v>52</v>
      </c>
      <c r="S2074" t="s">
        <v>21</v>
      </c>
      <c r="T2074" t="s">
        <v>29</v>
      </c>
    </row>
    <row r="2075" spans="1:20" x14ac:dyDescent="0.3">
      <c r="A2075" t="s">
        <v>4263</v>
      </c>
      <c r="B2075" t="s">
        <v>23</v>
      </c>
      <c r="C2075" t="s">
        <v>85</v>
      </c>
      <c r="D2075" t="s">
        <v>33</v>
      </c>
      <c r="E2075" t="s">
        <v>5126</v>
      </c>
      <c r="F2075" t="s">
        <v>5125</v>
      </c>
      <c r="G2075" t="s">
        <v>16</v>
      </c>
      <c r="H2075" t="s">
        <v>5142</v>
      </c>
      <c r="I2075" t="s">
        <v>5143</v>
      </c>
      <c r="J2075">
        <v>155327</v>
      </c>
      <c r="K2075" t="s">
        <v>4264</v>
      </c>
      <c r="L2075" t="s">
        <v>179</v>
      </c>
      <c r="M2075" t="s">
        <v>39</v>
      </c>
      <c r="N2075">
        <v>45532</v>
      </c>
      <c r="O2075">
        <v>1286</v>
      </c>
      <c r="P2075" t="s">
        <v>20</v>
      </c>
      <c r="Q2075">
        <v>4</v>
      </c>
      <c r="R2075" t="s">
        <v>76</v>
      </c>
      <c r="S2075" t="s">
        <v>53</v>
      </c>
      <c r="T2075" t="s">
        <v>29</v>
      </c>
    </row>
    <row r="2076" spans="1:20" x14ac:dyDescent="0.3">
      <c r="A2076" t="s">
        <v>4265</v>
      </c>
      <c r="B2076" t="s">
        <v>89</v>
      </c>
      <c r="C2076" t="s">
        <v>43</v>
      </c>
      <c r="D2076" t="s">
        <v>5156</v>
      </c>
      <c r="E2076" t="s">
        <v>193</v>
      </c>
      <c r="F2076" t="s">
        <v>194</v>
      </c>
      <c r="G2076" t="s">
        <v>16</v>
      </c>
      <c r="H2076" t="s">
        <v>5142</v>
      </c>
      <c r="I2076" t="s">
        <v>5143</v>
      </c>
      <c r="J2076">
        <v>133323</v>
      </c>
      <c r="K2076" t="s">
        <v>4266</v>
      </c>
      <c r="L2076" t="s">
        <v>5165</v>
      </c>
      <c r="M2076" t="s">
        <v>19</v>
      </c>
      <c r="N2076">
        <v>45338</v>
      </c>
      <c r="O2076">
        <v>260</v>
      </c>
      <c r="P2076" t="s">
        <v>20</v>
      </c>
      <c r="Q2076">
        <v>4</v>
      </c>
      <c r="R2076" t="s">
        <v>5116</v>
      </c>
      <c r="S2076" t="s">
        <v>21</v>
      </c>
      <c r="T2076" t="s">
        <v>29</v>
      </c>
    </row>
    <row r="2077" spans="1:20" x14ac:dyDescent="0.3">
      <c r="A2077" t="s">
        <v>4267</v>
      </c>
      <c r="B2077" t="s">
        <v>130</v>
      </c>
      <c r="C2077" t="s">
        <v>67</v>
      </c>
      <c r="D2077" t="s">
        <v>167</v>
      </c>
      <c r="E2077" t="s">
        <v>95</v>
      </c>
      <c r="F2077" t="s">
        <v>96</v>
      </c>
      <c r="G2077" t="s">
        <v>50</v>
      </c>
      <c r="H2077" t="s">
        <v>5138</v>
      </c>
      <c r="I2077" t="s">
        <v>5139</v>
      </c>
      <c r="J2077">
        <v>188621</v>
      </c>
      <c r="K2077" t="s">
        <v>4268</v>
      </c>
      <c r="L2077" t="s">
        <v>5165</v>
      </c>
      <c r="M2077" t="s">
        <v>46</v>
      </c>
      <c r="N2077">
        <v>45365</v>
      </c>
      <c r="O2077">
        <v>633</v>
      </c>
      <c r="P2077" t="s">
        <v>29</v>
      </c>
      <c r="Q2077">
        <v>6</v>
      </c>
      <c r="R2077" t="s">
        <v>76</v>
      </c>
      <c r="S2077" t="s">
        <v>21</v>
      </c>
      <c r="T2077" t="s">
        <v>20</v>
      </c>
    </row>
    <row r="2078" spans="1:20" x14ac:dyDescent="0.3">
      <c r="A2078" t="s">
        <v>4269</v>
      </c>
      <c r="B2078" t="s">
        <v>12</v>
      </c>
      <c r="C2078" t="s">
        <v>13</v>
      </c>
      <c r="D2078" t="s">
        <v>5156</v>
      </c>
      <c r="E2078" t="s">
        <v>69</v>
      </c>
      <c r="F2078" t="s">
        <v>70</v>
      </c>
      <c r="G2078" t="s">
        <v>16</v>
      </c>
      <c r="H2078" t="s">
        <v>5136</v>
      </c>
      <c r="I2078" t="s">
        <v>5137</v>
      </c>
      <c r="J2078">
        <v>77758</v>
      </c>
      <c r="K2078" t="s">
        <v>4270</v>
      </c>
      <c r="L2078" t="s">
        <v>5165</v>
      </c>
      <c r="M2078" t="s">
        <v>39</v>
      </c>
      <c r="N2078">
        <v>45510</v>
      </c>
      <c r="O2078">
        <v>758</v>
      </c>
      <c r="P2078" t="s">
        <v>92</v>
      </c>
      <c r="Q2078">
        <v>0</v>
      </c>
      <c r="R2078" t="s">
        <v>5116</v>
      </c>
      <c r="S2078" t="s">
        <v>21</v>
      </c>
      <c r="T2078" t="s">
        <v>20</v>
      </c>
    </row>
    <row r="2079" spans="1:20" x14ac:dyDescent="0.3">
      <c r="A2079" t="s">
        <v>4271</v>
      </c>
      <c r="B2079" t="s">
        <v>12</v>
      </c>
      <c r="C2079" t="s">
        <v>79</v>
      </c>
      <c r="D2079" t="s">
        <v>118</v>
      </c>
      <c r="E2079" t="s">
        <v>14</v>
      </c>
      <c r="F2079" t="s">
        <v>15</v>
      </c>
      <c r="G2079" t="s">
        <v>36</v>
      </c>
      <c r="H2079" t="s">
        <v>5138</v>
      </c>
      <c r="I2079" t="s">
        <v>5139</v>
      </c>
      <c r="J2079">
        <v>243339</v>
      </c>
      <c r="K2079" t="s">
        <v>4272</v>
      </c>
      <c r="L2079" t="s">
        <v>134</v>
      </c>
      <c r="M2079" t="s">
        <v>72</v>
      </c>
      <c r="N2079">
        <v>45463</v>
      </c>
      <c r="O2079">
        <v>307</v>
      </c>
      <c r="P2079" t="s">
        <v>92</v>
      </c>
      <c r="Q2079">
        <v>6</v>
      </c>
      <c r="R2079" t="s">
        <v>52</v>
      </c>
      <c r="S2079" t="s">
        <v>21</v>
      </c>
      <c r="T2079" t="s">
        <v>20</v>
      </c>
    </row>
    <row r="2080" spans="1:20" x14ac:dyDescent="0.3">
      <c r="A2080" t="s">
        <v>4273</v>
      </c>
      <c r="B2080" t="s">
        <v>23</v>
      </c>
      <c r="C2080" t="s">
        <v>121</v>
      </c>
      <c r="D2080" t="s">
        <v>118</v>
      </c>
      <c r="E2080" t="s">
        <v>5124</v>
      </c>
      <c r="F2080" t="s">
        <v>5125</v>
      </c>
      <c r="G2080" t="s">
        <v>50</v>
      </c>
      <c r="H2080" t="s">
        <v>5142</v>
      </c>
      <c r="I2080" t="s">
        <v>5143</v>
      </c>
      <c r="J2080">
        <v>146234</v>
      </c>
      <c r="K2080" t="s">
        <v>4274</v>
      </c>
      <c r="L2080" t="s">
        <v>179</v>
      </c>
      <c r="M2080" t="s">
        <v>72</v>
      </c>
      <c r="N2080">
        <v>45739</v>
      </c>
      <c r="O2080">
        <v>636</v>
      </c>
      <c r="P2080" t="s">
        <v>92</v>
      </c>
      <c r="Q2080">
        <v>4</v>
      </c>
      <c r="R2080" t="s">
        <v>76</v>
      </c>
      <c r="S2080" t="s">
        <v>21</v>
      </c>
      <c r="T2080" t="s">
        <v>29</v>
      </c>
    </row>
    <row r="2081" spans="1:20" x14ac:dyDescent="0.3">
      <c r="A2081" t="s">
        <v>4275</v>
      </c>
      <c r="B2081" t="s">
        <v>31</v>
      </c>
      <c r="C2081" t="s">
        <v>219</v>
      </c>
      <c r="D2081" t="s">
        <v>5156</v>
      </c>
      <c r="E2081" t="s">
        <v>34</v>
      </c>
      <c r="F2081" t="s">
        <v>35</v>
      </c>
      <c r="G2081" t="s">
        <v>16</v>
      </c>
      <c r="H2081" t="s">
        <v>5136</v>
      </c>
      <c r="I2081" t="s">
        <v>5137</v>
      </c>
      <c r="J2081">
        <v>64327</v>
      </c>
      <c r="K2081" t="s">
        <v>4276</v>
      </c>
      <c r="L2081" t="s">
        <v>87</v>
      </c>
      <c r="M2081" t="s">
        <v>19</v>
      </c>
      <c r="N2081">
        <v>45326</v>
      </c>
      <c r="O2081">
        <v>1427</v>
      </c>
      <c r="P2081" t="s">
        <v>20</v>
      </c>
      <c r="Q2081">
        <v>0</v>
      </c>
      <c r="R2081" t="s">
        <v>5116</v>
      </c>
      <c r="S2081" t="s">
        <v>53</v>
      </c>
      <c r="T2081" t="s">
        <v>29</v>
      </c>
    </row>
    <row r="2082" spans="1:20" x14ac:dyDescent="0.3">
      <c r="A2082" t="s">
        <v>4277</v>
      </c>
      <c r="B2082" t="s">
        <v>12</v>
      </c>
      <c r="C2082" t="s">
        <v>64</v>
      </c>
      <c r="D2082" t="s">
        <v>167</v>
      </c>
      <c r="E2082" t="s">
        <v>126</v>
      </c>
      <c r="F2082" t="s">
        <v>127</v>
      </c>
      <c r="G2082" t="s">
        <v>16</v>
      </c>
      <c r="H2082" t="s">
        <v>5142</v>
      </c>
      <c r="I2082" t="s">
        <v>5143</v>
      </c>
      <c r="J2082">
        <v>150014</v>
      </c>
      <c r="K2082" t="s">
        <v>4278</v>
      </c>
      <c r="L2082" t="s">
        <v>18</v>
      </c>
      <c r="M2082" t="s">
        <v>46</v>
      </c>
      <c r="N2082">
        <v>45405</v>
      </c>
      <c r="O2082">
        <v>709</v>
      </c>
      <c r="P2082" t="s">
        <v>20</v>
      </c>
      <c r="Q2082">
        <v>4</v>
      </c>
      <c r="R2082" t="s">
        <v>76</v>
      </c>
      <c r="S2082" t="s">
        <v>21</v>
      </c>
      <c r="T2082" t="s">
        <v>29</v>
      </c>
    </row>
    <row r="2083" spans="1:20" x14ac:dyDescent="0.3">
      <c r="A2083" t="s">
        <v>4279</v>
      </c>
      <c r="B2083" t="s">
        <v>136</v>
      </c>
      <c r="C2083" t="s">
        <v>125</v>
      </c>
      <c r="D2083" t="s">
        <v>68</v>
      </c>
      <c r="E2083" t="s">
        <v>95</v>
      </c>
      <c r="F2083" t="s">
        <v>96</v>
      </c>
      <c r="G2083" t="s">
        <v>16</v>
      </c>
      <c r="H2083" t="s">
        <v>5140</v>
      </c>
      <c r="I2083" t="s">
        <v>5141</v>
      </c>
      <c r="J2083">
        <v>121903</v>
      </c>
      <c r="K2083" t="s">
        <v>4280</v>
      </c>
      <c r="L2083" t="s">
        <v>61</v>
      </c>
      <c r="M2083" t="s">
        <v>46</v>
      </c>
      <c r="N2083">
        <v>45692</v>
      </c>
      <c r="O2083">
        <v>578</v>
      </c>
      <c r="P2083" t="s">
        <v>29</v>
      </c>
      <c r="Q2083">
        <v>2</v>
      </c>
      <c r="R2083" t="s">
        <v>52</v>
      </c>
      <c r="S2083" t="s">
        <v>53</v>
      </c>
      <c r="T2083" t="s">
        <v>20</v>
      </c>
    </row>
    <row r="2084" spans="1:20" x14ac:dyDescent="0.3">
      <c r="A2084" t="s">
        <v>4281</v>
      </c>
      <c r="B2084" t="s">
        <v>12</v>
      </c>
      <c r="C2084" t="s">
        <v>175</v>
      </c>
      <c r="D2084" t="s">
        <v>118</v>
      </c>
      <c r="E2084" t="s">
        <v>5131</v>
      </c>
      <c r="F2084" t="s">
        <v>5125</v>
      </c>
      <c r="G2084" t="s">
        <v>36</v>
      </c>
      <c r="H2084" t="s">
        <v>5140</v>
      </c>
      <c r="I2084" t="s">
        <v>5141</v>
      </c>
      <c r="J2084">
        <v>81411</v>
      </c>
      <c r="K2084" t="s">
        <v>4282</v>
      </c>
      <c r="L2084" t="s">
        <v>5165</v>
      </c>
      <c r="M2084" t="s">
        <v>19</v>
      </c>
      <c r="N2084">
        <v>45377</v>
      </c>
      <c r="O2084">
        <v>958</v>
      </c>
      <c r="P2084" t="s">
        <v>92</v>
      </c>
      <c r="Q2084">
        <v>2</v>
      </c>
      <c r="R2084" t="s">
        <v>40</v>
      </c>
      <c r="S2084" t="s">
        <v>21</v>
      </c>
      <c r="T2084" t="s">
        <v>29</v>
      </c>
    </row>
    <row r="2085" spans="1:20" x14ac:dyDescent="0.3">
      <c r="A2085" t="s">
        <v>4283</v>
      </c>
      <c r="B2085" t="s">
        <v>215</v>
      </c>
      <c r="C2085" t="s">
        <v>172</v>
      </c>
      <c r="D2085" t="s">
        <v>5156</v>
      </c>
      <c r="E2085" t="s">
        <v>5127</v>
      </c>
      <c r="F2085" t="s">
        <v>5125</v>
      </c>
      <c r="G2085" t="s">
        <v>36</v>
      </c>
      <c r="H2085" t="s">
        <v>5142</v>
      </c>
      <c r="I2085" t="s">
        <v>5143</v>
      </c>
      <c r="J2085">
        <v>88003</v>
      </c>
      <c r="K2085" t="s">
        <v>4284</v>
      </c>
      <c r="L2085" t="s">
        <v>113</v>
      </c>
      <c r="M2085" t="s">
        <v>39</v>
      </c>
      <c r="N2085">
        <v>45378</v>
      </c>
      <c r="O2085">
        <v>1983</v>
      </c>
      <c r="P2085" t="s">
        <v>20</v>
      </c>
      <c r="Q2085">
        <v>4</v>
      </c>
      <c r="R2085" t="s">
        <v>40</v>
      </c>
      <c r="S2085" t="s">
        <v>21</v>
      </c>
      <c r="T2085" t="s">
        <v>20</v>
      </c>
    </row>
    <row r="2086" spans="1:20" x14ac:dyDescent="0.3">
      <c r="A2086" t="s">
        <v>4285</v>
      </c>
      <c r="B2086" t="s">
        <v>136</v>
      </c>
      <c r="C2086" t="s">
        <v>56</v>
      </c>
      <c r="D2086" t="s">
        <v>140</v>
      </c>
      <c r="E2086" t="s">
        <v>58</v>
      </c>
      <c r="F2086" t="s">
        <v>59</v>
      </c>
      <c r="G2086" t="s">
        <v>50</v>
      </c>
      <c r="H2086" t="s">
        <v>5142</v>
      </c>
      <c r="I2086" t="s">
        <v>5143</v>
      </c>
      <c r="J2086">
        <v>135135</v>
      </c>
      <c r="K2086" t="s">
        <v>4286</v>
      </c>
      <c r="L2086" t="s">
        <v>5165</v>
      </c>
      <c r="M2086" t="s">
        <v>46</v>
      </c>
      <c r="N2086">
        <v>45579</v>
      </c>
      <c r="O2086">
        <v>1187</v>
      </c>
      <c r="P2086" t="s">
        <v>20</v>
      </c>
      <c r="Q2086">
        <v>4</v>
      </c>
      <c r="R2086" t="s">
        <v>47</v>
      </c>
      <c r="S2086" t="s">
        <v>53</v>
      </c>
      <c r="T2086" t="s">
        <v>20</v>
      </c>
    </row>
    <row r="2087" spans="1:20" x14ac:dyDescent="0.3">
      <c r="A2087" t="s">
        <v>4287</v>
      </c>
      <c r="B2087" t="s">
        <v>222</v>
      </c>
      <c r="C2087" t="s">
        <v>109</v>
      </c>
      <c r="D2087" t="s">
        <v>167</v>
      </c>
      <c r="E2087" t="s">
        <v>5132</v>
      </c>
      <c r="F2087" t="s">
        <v>5125</v>
      </c>
      <c r="G2087" t="s">
        <v>16</v>
      </c>
      <c r="H2087" t="s">
        <v>5142</v>
      </c>
      <c r="I2087" t="s">
        <v>5143</v>
      </c>
      <c r="J2087">
        <v>117040</v>
      </c>
      <c r="K2087" t="s">
        <v>4288</v>
      </c>
      <c r="L2087" t="s">
        <v>179</v>
      </c>
      <c r="M2087" t="s">
        <v>19</v>
      </c>
      <c r="N2087">
        <v>45321</v>
      </c>
      <c r="O2087">
        <v>3742</v>
      </c>
      <c r="P2087" t="s">
        <v>29</v>
      </c>
      <c r="Q2087">
        <v>4</v>
      </c>
      <c r="R2087" t="s">
        <v>52</v>
      </c>
      <c r="S2087" t="s">
        <v>21</v>
      </c>
      <c r="T2087" t="s">
        <v>29</v>
      </c>
    </row>
    <row r="2088" spans="1:20" x14ac:dyDescent="0.3">
      <c r="A2088" t="s">
        <v>4289</v>
      </c>
      <c r="B2088" t="s">
        <v>222</v>
      </c>
      <c r="C2088" t="s">
        <v>121</v>
      </c>
      <c r="D2088" t="s">
        <v>5156</v>
      </c>
      <c r="E2088" t="s">
        <v>14</v>
      </c>
      <c r="F2088" t="s">
        <v>15</v>
      </c>
      <c r="G2088" t="s">
        <v>16</v>
      </c>
      <c r="H2088" t="s">
        <v>5138</v>
      </c>
      <c r="I2088" t="s">
        <v>5139</v>
      </c>
      <c r="J2088">
        <v>181706</v>
      </c>
      <c r="K2088" t="s">
        <v>4290</v>
      </c>
      <c r="L2088" t="s">
        <v>113</v>
      </c>
      <c r="M2088" t="s">
        <v>19</v>
      </c>
      <c r="N2088">
        <v>45532</v>
      </c>
      <c r="O2088">
        <v>1470</v>
      </c>
      <c r="P2088" t="s">
        <v>20</v>
      </c>
      <c r="Q2088">
        <v>6</v>
      </c>
      <c r="R2088" t="s">
        <v>76</v>
      </c>
      <c r="S2088" t="s">
        <v>21</v>
      </c>
      <c r="T2088" t="s">
        <v>20</v>
      </c>
    </row>
    <row r="2089" spans="1:20" x14ac:dyDescent="0.3">
      <c r="A2089" t="s">
        <v>4291</v>
      </c>
      <c r="B2089" t="s">
        <v>124</v>
      </c>
      <c r="C2089" t="s">
        <v>49</v>
      </c>
      <c r="D2089" t="s">
        <v>5156</v>
      </c>
      <c r="E2089" t="s">
        <v>5124</v>
      </c>
      <c r="F2089" t="s">
        <v>5125</v>
      </c>
      <c r="G2089" t="s">
        <v>36</v>
      </c>
      <c r="H2089" t="s">
        <v>5138</v>
      </c>
      <c r="I2089" t="s">
        <v>5139</v>
      </c>
      <c r="J2089">
        <v>194679</v>
      </c>
      <c r="K2089" t="s">
        <v>4292</v>
      </c>
      <c r="L2089" t="s">
        <v>134</v>
      </c>
      <c r="M2089" t="s">
        <v>46</v>
      </c>
      <c r="N2089">
        <v>45541</v>
      </c>
      <c r="O2089">
        <v>1622</v>
      </c>
      <c r="P2089" t="s">
        <v>20</v>
      </c>
      <c r="Q2089">
        <v>6</v>
      </c>
      <c r="R2089" t="s">
        <v>5116</v>
      </c>
      <c r="S2089" t="s">
        <v>53</v>
      </c>
      <c r="T2089" t="s">
        <v>20</v>
      </c>
    </row>
    <row r="2090" spans="1:20" x14ac:dyDescent="0.3">
      <c r="A2090" t="s">
        <v>4293</v>
      </c>
      <c r="B2090" t="s">
        <v>89</v>
      </c>
      <c r="C2090" t="s">
        <v>197</v>
      </c>
      <c r="D2090" t="s">
        <v>68</v>
      </c>
      <c r="E2090" t="s">
        <v>5129</v>
      </c>
      <c r="F2090" t="s">
        <v>5130</v>
      </c>
      <c r="G2090" t="s">
        <v>16</v>
      </c>
      <c r="H2090" t="s">
        <v>5142</v>
      </c>
      <c r="I2090" t="s">
        <v>5143</v>
      </c>
      <c r="J2090">
        <v>137762</v>
      </c>
      <c r="K2090" t="s">
        <v>4294</v>
      </c>
      <c r="L2090" t="s">
        <v>18</v>
      </c>
      <c r="M2090" t="s">
        <v>46</v>
      </c>
      <c r="N2090">
        <v>45577</v>
      </c>
      <c r="O2090">
        <v>3451</v>
      </c>
      <c r="P2090" t="s">
        <v>92</v>
      </c>
      <c r="Q2090">
        <v>4</v>
      </c>
      <c r="R2090" t="s">
        <v>76</v>
      </c>
      <c r="S2090" t="s">
        <v>21</v>
      </c>
      <c r="T2090" t="s">
        <v>20</v>
      </c>
    </row>
    <row r="2091" spans="1:20" x14ac:dyDescent="0.3">
      <c r="A2091" t="s">
        <v>4295</v>
      </c>
      <c r="B2091" t="s">
        <v>74</v>
      </c>
      <c r="C2091" t="s">
        <v>24</v>
      </c>
      <c r="D2091" t="s">
        <v>57</v>
      </c>
      <c r="E2091" t="s">
        <v>223</v>
      </c>
      <c r="F2091" t="s">
        <v>224</v>
      </c>
      <c r="G2091" t="s">
        <v>16</v>
      </c>
      <c r="H2091" t="s">
        <v>5136</v>
      </c>
      <c r="I2091" t="s">
        <v>5137</v>
      </c>
      <c r="J2091">
        <v>88301</v>
      </c>
      <c r="K2091" t="s">
        <v>4296</v>
      </c>
      <c r="L2091" t="s">
        <v>5165</v>
      </c>
      <c r="M2091" t="s">
        <v>72</v>
      </c>
      <c r="N2091">
        <v>45418</v>
      </c>
      <c r="O2091">
        <v>552</v>
      </c>
      <c r="P2091" t="s">
        <v>20</v>
      </c>
      <c r="Q2091">
        <v>0</v>
      </c>
      <c r="R2091" t="s">
        <v>52</v>
      </c>
      <c r="S2091" t="s">
        <v>21</v>
      </c>
      <c r="T2091" t="s">
        <v>29</v>
      </c>
    </row>
    <row r="2092" spans="1:20" x14ac:dyDescent="0.3">
      <c r="A2092" t="s">
        <v>4297</v>
      </c>
      <c r="B2092" t="s">
        <v>23</v>
      </c>
      <c r="C2092" t="s">
        <v>109</v>
      </c>
      <c r="D2092" t="s">
        <v>68</v>
      </c>
      <c r="E2092" t="s">
        <v>80</v>
      </c>
      <c r="F2092" t="s">
        <v>80</v>
      </c>
      <c r="G2092" t="s">
        <v>36</v>
      </c>
      <c r="H2092" t="s">
        <v>5136</v>
      </c>
      <c r="I2092" t="s">
        <v>5137</v>
      </c>
      <c r="J2092">
        <v>74116</v>
      </c>
      <c r="K2092" t="s">
        <v>4298</v>
      </c>
      <c r="L2092" t="s">
        <v>113</v>
      </c>
      <c r="M2092" t="s">
        <v>19</v>
      </c>
      <c r="N2092">
        <v>45342</v>
      </c>
      <c r="O2092">
        <v>1009</v>
      </c>
      <c r="P2092" t="s">
        <v>20</v>
      </c>
      <c r="Q2092">
        <v>0</v>
      </c>
      <c r="R2092" t="s">
        <v>40</v>
      </c>
      <c r="S2092" t="s">
        <v>21</v>
      </c>
      <c r="T2092" t="s">
        <v>20</v>
      </c>
    </row>
    <row r="2093" spans="1:20" x14ac:dyDescent="0.3">
      <c r="A2093" t="s">
        <v>4299</v>
      </c>
      <c r="B2093" t="s">
        <v>124</v>
      </c>
      <c r="C2093" t="s">
        <v>49</v>
      </c>
      <c r="D2093" t="s">
        <v>5156</v>
      </c>
      <c r="E2093" t="s">
        <v>209</v>
      </c>
      <c r="F2093" t="s">
        <v>210</v>
      </c>
      <c r="G2093" t="s">
        <v>16</v>
      </c>
      <c r="H2093" t="s">
        <v>5140</v>
      </c>
      <c r="I2093" t="s">
        <v>5141</v>
      </c>
      <c r="J2093">
        <v>115949</v>
      </c>
      <c r="K2093" t="s">
        <v>4300</v>
      </c>
      <c r="L2093" t="s">
        <v>5165</v>
      </c>
      <c r="M2093" t="s">
        <v>46</v>
      </c>
      <c r="N2093">
        <v>45399</v>
      </c>
      <c r="O2093">
        <v>1426</v>
      </c>
      <c r="P2093" t="s">
        <v>29</v>
      </c>
      <c r="Q2093">
        <v>2</v>
      </c>
      <c r="R2093" t="s">
        <v>76</v>
      </c>
      <c r="S2093" t="s">
        <v>53</v>
      </c>
      <c r="T2093" t="s">
        <v>20</v>
      </c>
    </row>
    <row r="2094" spans="1:20" x14ac:dyDescent="0.3">
      <c r="A2094" t="s">
        <v>4301</v>
      </c>
      <c r="B2094" t="s">
        <v>84</v>
      </c>
      <c r="C2094" t="s">
        <v>197</v>
      </c>
      <c r="D2094" t="s">
        <v>57</v>
      </c>
      <c r="E2094" t="s">
        <v>5132</v>
      </c>
      <c r="F2094" t="s">
        <v>5125</v>
      </c>
      <c r="G2094" t="s">
        <v>16</v>
      </c>
      <c r="H2094" t="s">
        <v>5142</v>
      </c>
      <c r="I2094" t="s">
        <v>5143</v>
      </c>
      <c r="J2094">
        <v>166799</v>
      </c>
      <c r="K2094" t="s">
        <v>4302</v>
      </c>
      <c r="L2094" t="s">
        <v>82</v>
      </c>
      <c r="M2094" t="s">
        <v>39</v>
      </c>
      <c r="N2094">
        <v>45422</v>
      </c>
      <c r="O2094">
        <v>1138</v>
      </c>
      <c r="P2094" t="s">
        <v>20</v>
      </c>
      <c r="Q2094">
        <v>4</v>
      </c>
      <c r="R2094" t="s">
        <v>76</v>
      </c>
      <c r="S2094" t="s">
        <v>21</v>
      </c>
      <c r="T2094" t="s">
        <v>20</v>
      </c>
    </row>
    <row r="2095" spans="1:20" x14ac:dyDescent="0.3">
      <c r="A2095" t="s">
        <v>4303</v>
      </c>
      <c r="B2095" t="s">
        <v>165</v>
      </c>
      <c r="C2095" t="s">
        <v>64</v>
      </c>
      <c r="D2095" t="s">
        <v>5156</v>
      </c>
      <c r="E2095" t="s">
        <v>209</v>
      </c>
      <c r="F2095" t="s">
        <v>210</v>
      </c>
      <c r="G2095" t="s">
        <v>16</v>
      </c>
      <c r="H2095" t="s">
        <v>5136</v>
      </c>
      <c r="I2095" t="s">
        <v>5137</v>
      </c>
      <c r="J2095">
        <v>55650</v>
      </c>
      <c r="K2095" t="s">
        <v>4304</v>
      </c>
      <c r="L2095" t="s">
        <v>142</v>
      </c>
      <c r="M2095" t="s">
        <v>46</v>
      </c>
      <c r="N2095">
        <v>45713</v>
      </c>
      <c r="O2095">
        <v>96</v>
      </c>
      <c r="P2095" t="s">
        <v>20</v>
      </c>
      <c r="Q2095">
        <v>0</v>
      </c>
      <c r="R2095" t="s">
        <v>47</v>
      </c>
      <c r="S2095" t="s">
        <v>53</v>
      </c>
      <c r="T2095" t="s">
        <v>29</v>
      </c>
    </row>
    <row r="2096" spans="1:20" x14ac:dyDescent="0.3">
      <c r="A2096" t="s">
        <v>4305</v>
      </c>
      <c r="B2096" t="s">
        <v>136</v>
      </c>
      <c r="C2096" t="s">
        <v>185</v>
      </c>
      <c r="D2096" t="s">
        <v>167</v>
      </c>
      <c r="E2096" t="s">
        <v>5127</v>
      </c>
      <c r="F2096" t="s">
        <v>5125</v>
      </c>
      <c r="G2096" t="s">
        <v>36</v>
      </c>
      <c r="H2096" t="s">
        <v>5136</v>
      </c>
      <c r="I2096" t="s">
        <v>5137</v>
      </c>
      <c r="J2096">
        <v>83092</v>
      </c>
      <c r="K2096" t="s">
        <v>4306</v>
      </c>
      <c r="L2096" t="s">
        <v>5165</v>
      </c>
      <c r="M2096" t="s">
        <v>46</v>
      </c>
      <c r="N2096">
        <v>45673</v>
      </c>
      <c r="O2096">
        <v>3657</v>
      </c>
      <c r="P2096" t="s">
        <v>29</v>
      </c>
      <c r="Q2096">
        <v>0</v>
      </c>
      <c r="R2096" t="s">
        <v>52</v>
      </c>
      <c r="S2096" t="s">
        <v>53</v>
      </c>
      <c r="T2096" t="s">
        <v>20</v>
      </c>
    </row>
    <row r="2097" spans="1:20" x14ac:dyDescent="0.3">
      <c r="A2097" t="s">
        <v>4307</v>
      </c>
      <c r="B2097" t="s">
        <v>12</v>
      </c>
      <c r="C2097" t="s">
        <v>13</v>
      </c>
      <c r="D2097" t="s">
        <v>33</v>
      </c>
      <c r="E2097" t="s">
        <v>34</v>
      </c>
      <c r="F2097" t="s">
        <v>35</v>
      </c>
      <c r="G2097" t="s">
        <v>50</v>
      </c>
      <c r="H2097" t="s">
        <v>5138</v>
      </c>
      <c r="I2097" t="s">
        <v>5139</v>
      </c>
      <c r="J2097">
        <v>197272</v>
      </c>
      <c r="K2097" t="s">
        <v>4308</v>
      </c>
      <c r="L2097" t="s">
        <v>238</v>
      </c>
      <c r="M2097" t="s">
        <v>46</v>
      </c>
      <c r="N2097">
        <v>45638</v>
      </c>
      <c r="O2097">
        <v>496</v>
      </c>
      <c r="P2097" t="s">
        <v>29</v>
      </c>
      <c r="Q2097">
        <v>6</v>
      </c>
      <c r="R2097" t="s">
        <v>76</v>
      </c>
      <c r="S2097" t="s">
        <v>53</v>
      </c>
      <c r="T2097" t="s">
        <v>29</v>
      </c>
    </row>
    <row r="2098" spans="1:20" x14ac:dyDescent="0.3">
      <c r="A2098" t="s">
        <v>4309</v>
      </c>
      <c r="B2098" t="s">
        <v>23</v>
      </c>
      <c r="C2098" t="s">
        <v>67</v>
      </c>
      <c r="D2098" t="s">
        <v>44</v>
      </c>
      <c r="E2098" t="s">
        <v>34</v>
      </c>
      <c r="F2098" t="s">
        <v>35</v>
      </c>
      <c r="G2098" t="s">
        <v>50</v>
      </c>
      <c r="H2098" t="s">
        <v>5138</v>
      </c>
      <c r="I2098" t="s">
        <v>5139</v>
      </c>
      <c r="J2098">
        <v>224137</v>
      </c>
      <c r="K2098" t="s">
        <v>4310</v>
      </c>
      <c r="L2098" t="s">
        <v>5165</v>
      </c>
      <c r="M2098" t="s">
        <v>46</v>
      </c>
      <c r="N2098">
        <v>45348</v>
      </c>
      <c r="O2098">
        <v>3454</v>
      </c>
      <c r="P2098" t="s">
        <v>20</v>
      </c>
      <c r="Q2098">
        <v>6</v>
      </c>
      <c r="R2098" t="s">
        <v>5116</v>
      </c>
      <c r="S2098" t="s">
        <v>21</v>
      </c>
      <c r="T2098" t="s">
        <v>20</v>
      </c>
    </row>
    <row r="2099" spans="1:20" x14ac:dyDescent="0.3">
      <c r="A2099" t="s">
        <v>4311</v>
      </c>
      <c r="B2099" t="s">
        <v>23</v>
      </c>
      <c r="C2099" t="s">
        <v>43</v>
      </c>
      <c r="D2099" t="s">
        <v>68</v>
      </c>
      <c r="E2099" t="s">
        <v>95</v>
      </c>
      <c r="F2099" t="s">
        <v>96</v>
      </c>
      <c r="G2099" t="s">
        <v>16</v>
      </c>
      <c r="H2099" t="s">
        <v>5142</v>
      </c>
      <c r="I2099" t="s">
        <v>5143</v>
      </c>
      <c r="J2099">
        <v>121059</v>
      </c>
      <c r="K2099" t="s">
        <v>4312</v>
      </c>
      <c r="L2099" t="s">
        <v>38</v>
      </c>
      <c r="M2099" t="s">
        <v>39</v>
      </c>
      <c r="N2099">
        <v>45636</v>
      </c>
      <c r="O2099">
        <v>801</v>
      </c>
      <c r="P2099" t="s">
        <v>20</v>
      </c>
      <c r="Q2099">
        <v>4</v>
      </c>
      <c r="R2099" t="s">
        <v>47</v>
      </c>
      <c r="S2099" t="s">
        <v>21</v>
      </c>
      <c r="T2099" t="s">
        <v>20</v>
      </c>
    </row>
    <row r="2100" spans="1:20" x14ac:dyDescent="0.3">
      <c r="A2100" t="s">
        <v>4313</v>
      </c>
      <c r="B2100" t="s">
        <v>99</v>
      </c>
      <c r="C2100" t="s">
        <v>13</v>
      </c>
      <c r="D2100" t="s">
        <v>104</v>
      </c>
      <c r="E2100" t="s">
        <v>5131</v>
      </c>
      <c r="F2100" t="s">
        <v>5125</v>
      </c>
      <c r="G2100" t="s">
        <v>16</v>
      </c>
      <c r="H2100" t="s">
        <v>5138</v>
      </c>
      <c r="I2100" t="s">
        <v>5139</v>
      </c>
      <c r="J2100">
        <v>144064</v>
      </c>
      <c r="K2100" t="s">
        <v>4314</v>
      </c>
      <c r="L2100" t="s">
        <v>142</v>
      </c>
      <c r="M2100" t="s">
        <v>39</v>
      </c>
      <c r="N2100">
        <v>45563</v>
      </c>
      <c r="O2100">
        <v>2252</v>
      </c>
      <c r="P2100" t="s">
        <v>20</v>
      </c>
      <c r="Q2100">
        <v>6</v>
      </c>
      <c r="R2100" t="s">
        <v>5116</v>
      </c>
      <c r="S2100" t="s">
        <v>21</v>
      </c>
      <c r="T2100" t="s">
        <v>29</v>
      </c>
    </row>
    <row r="2101" spans="1:20" x14ac:dyDescent="0.3">
      <c r="A2101" t="s">
        <v>4315</v>
      </c>
      <c r="B2101" t="s">
        <v>144</v>
      </c>
      <c r="C2101" t="s">
        <v>94</v>
      </c>
      <c r="D2101" t="s">
        <v>5156</v>
      </c>
      <c r="E2101" t="s">
        <v>14</v>
      </c>
      <c r="F2101" t="s">
        <v>15</v>
      </c>
      <c r="G2101" t="s">
        <v>16</v>
      </c>
      <c r="H2101" t="s">
        <v>5136</v>
      </c>
      <c r="I2101" t="s">
        <v>5137</v>
      </c>
      <c r="J2101">
        <v>80305</v>
      </c>
      <c r="K2101" t="s">
        <v>4316</v>
      </c>
      <c r="L2101" t="s">
        <v>5165</v>
      </c>
      <c r="M2101" t="s">
        <v>39</v>
      </c>
      <c r="N2101">
        <v>45519</v>
      </c>
      <c r="O2101">
        <v>3978</v>
      </c>
      <c r="P2101" t="s">
        <v>20</v>
      </c>
      <c r="Q2101">
        <v>0</v>
      </c>
      <c r="R2101" t="s">
        <v>52</v>
      </c>
      <c r="S2101" t="s">
        <v>53</v>
      </c>
      <c r="T2101" t="s">
        <v>20</v>
      </c>
    </row>
    <row r="2102" spans="1:20" x14ac:dyDescent="0.3">
      <c r="A2102" t="s">
        <v>4317</v>
      </c>
      <c r="B2102" t="s">
        <v>215</v>
      </c>
      <c r="C2102" t="s">
        <v>100</v>
      </c>
      <c r="D2102" t="s">
        <v>25</v>
      </c>
      <c r="E2102" t="s">
        <v>69</v>
      </c>
      <c r="F2102" t="s">
        <v>70</v>
      </c>
      <c r="G2102" t="s">
        <v>36</v>
      </c>
      <c r="H2102" t="s">
        <v>5138</v>
      </c>
      <c r="I2102" t="s">
        <v>5139</v>
      </c>
      <c r="J2102">
        <v>213550</v>
      </c>
      <c r="K2102" t="s">
        <v>4318</v>
      </c>
      <c r="L2102" t="s">
        <v>5165</v>
      </c>
      <c r="M2102" t="s">
        <v>19</v>
      </c>
      <c r="N2102">
        <v>45382</v>
      </c>
      <c r="O2102">
        <v>2368</v>
      </c>
      <c r="P2102" t="s">
        <v>20</v>
      </c>
      <c r="Q2102">
        <v>6</v>
      </c>
      <c r="R2102" t="s">
        <v>76</v>
      </c>
      <c r="S2102" t="s">
        <v>21</v>
      </c>
      <c r="T2102" t="s">
        <v>20</v>
      </c>
    </row>
    <row r="2103" spans="1:20" x14ac:dyDescent="0.3">
      <c r="A2103" t="s">
        <v>4319</v>
      </c>
      <c r="B2103" t="s">
        <v>12</v>
      </c>
      <c r="C2103" t="s">
        <v>139</v>
      </c>
      <c r="D2103" t="s">
        <v>68</v>
      </c>
      <c r="E2103" t="s">
        <v>80</v>
      </c>
      <c r="F2103" t="s">
        <v>80</v>
      </c>
      <c r="G2103" t="s">
        <v>50</v>
      </c>
      <c r="H2103" t="s">
        <v>5138</v>
      </c>
      <c r="I2103" t="s">
        <v>5139</v>
      </c>
      <c r="J2103">
        <v>167526</v>
      </c>
      <c r="K2103" t="s">
        <v>4320</v>
      </c>
      <c r="L2103" t="s">
        <v>5165</v>
      </c>
      <c r="M2103" t="s">
        <v>39</v>
      </c>
      <c r="N2103">
        <v>45500</v>
      </c>
      <c r="O2103">
        <v>3920</v>
      </c>
      <c r="P2103" t="s">
        <v>20</v>
      </c>
      <c r="Q2103">
        <v>6</v>
      </c>
      <c r="R2103" t="s">
        <v>5116</v>
      </c>
      <c r="S2103" t="s">
        <v>53</v>
      </c>
      <c r="T2103" t="s">
        <v>20</v>
      </c>
    </row>
    <row r="2104" spans="1:20" x14ac:dyDescent="0.3">
      <c r="A2104" t="s">
        <v>4321</v>
      </c>
      <c r="B2104" t="s">
        <v>229</v>
      </c>
      <c r="C2104" t="s">
        <v>139</v>
      </c>
      <c r="D2104" t="s">
        <v>44</v>
      </c>
      <c r="E2104" t="s">
        <v>193</v>
      </c>
      <c r="F2104" t="s">
        <v>194</v>
      </c>
      <c r="G2104" t="s">
        <v>36</v>
      </c>
      <c r="H2104" t="s">
        <v>5140</v>
      </c>
      <c r="I2104" t="s">
        <v>5141</v>
      </c>
      <c r="J2104">
        <v>92780</v>
      </c>
      <c r="K2104" t="s">
        <v>4322</v>
      </c>
      <c r="L2104" t="s">
        <v>82</v>
      </c>
      <c r="M2104" t="s">
        <v>46</v>
      </c>
      <c r="N2104">
        <v>45365</v>
      </c>
      <c r="O2104">
        <v>2937</v>
      </c>
      <c r="P2104" t="s">
        <v>20</v>
      </c>
      <c r="Q2104">
        <v>2</v>
      </c>
      <c r="R2104" t="s">
        <v>5116</v>
      </c>
      <c r="S2104" t="s">
        <v>21</v>
      </c>
      <c r="T2104" t="s">
        <v>20</v>
      </c>
    </row>
    <row r="2105" spans="1:20" x14ac:dyDescent="0.3">
      <c r="A2105" t="s">
        <v>4323</v>
      </c>
      <c r="B2105" t="s">
        <v>144</v>
      </c>
      <c r="C2105" t="s">
        <v>13</v>
      </c>
      <c r="D2105" t="s">
        <v>140</v>
      </c>
      <c r="E2105" t="s">
        <v>5127</v>
      </c>
      <c r="F2105" t="s">
        <v>5125</v>
      </c>
      <c r="G2105" t="s">
        <v>50</v>
      </c>
      <c r="H2105" t="s">
        <v>5142</v>
      </c>
      <c r="I2105" t="s">
        <v>5143</v>
      </c>
      <c r="J2105">
        <v>180386</v>
      </c>
      <c r="K2105" t="s">
        <v>4324</v>
      </c>
      <c r="L2105" t="s">
        <v>142</v>
      </c>
      <c r="M2105" t="s">
        <v>39</v>
      </c>
      <c r="N2105">
        <v>45372</v>
      </c>
      <c r="O2105">
        <v>1452</v>
      </c>
      <c r="P2105" t="s">
        <v>29</v>
      </c>
      <c r="Q2105">
        <v>4</v>
      </c>
      <c r="R2105" t="s">
        <v>5116</v>
      </c>
      <c r="S2105" t="s">
        <v>21</v>
      </c>
      <c r="T2105" t="s">
        <v>20</v>
      </c>
    </row>
    <row r="2106" spans="1:20" x14ac:dyDescent="0.3">
      <c r="A2106" t="s">
        <v>4325</v>
      </c>
      <c r="B2106" t="s">
        <v>165</v>
      </c>
      <c r="C2106" t="s">
        <v>160</v>
      </c>
      <c r="D2106" t="s">
        <v>104</v>
      </c>
      <c r="E2106" t="s">
        <v>5129</v>
      </c>
      <c r="F2106" t="s">
        <v>5130</v>
      </c>
      <c r="G2106" t="s">
        <v>16</v>
      </c>
      <c r="H2106" t="s">
        <v>5138</v>
      </c>
      <c r="I2106" t="s">
        <v>5139</v>
      </c>
      <c r="J2106">
        <v>157181</v>
      </c>
      <c r="K2106" t="s">
        <v>4326</v>
      </c>
      <c r="L2106" t="s">
        <v>82</v>
      </c>
      <c r="M2106" t="s">
        <v>39</v>
      </c>
      <c r="N2106">
        <v>45401</v>
      </c>
      <c r="O2106">
        <v>2826</v>
      </c>
      <c r="P2106" t="s">
        <v>20</v>
      </c>
      <c r="Q2106">
        <v>6</v>
      </c>
      <c r="R2106" t="s">
        <v>76</v>
      </c>
      <c r="S2106" t="s">
        <v>21</v>
      </c>
      <c r="T2106" t="s">
        <v>29</v>
      </c>
    </row>
    <row r="2107" spans="1:20" x14ac:dyDescent="0.3">
      <c r="A2107" t="s">
        <v>4327</v>
      </c>
      <c r="B2107" t="s">
        <v>322</v>
      </c>
      <c r="C2107" t="s">
        <v>172</v>
      </c>
      <c r="D2107" t="s">
        <v>33</v>
      </c>
      <c r="E2107" t="s">
        <v>5126</v>
      </c>
      <c r="F2107" t="s">
        <v>5125</v>
      </c>
      <c r="G2107" t="s">
        <v>16</v>
      </c>
      <c r="H2107" t="s">
        <v>5138</v>
      </c>
      <c r="I2107" t="s">
        <v>5139</v>
      </c>
      <c r="J2107">
        <v>259136</v>
      </c>
      <c r="K2107" t="s">
        <v>4328</v>
      </c>
      <c r="L2107" t="s">
        <v>38</v>
      </c>
      <c r="M2107" t="s">
        <v>72</v>
      </c>
      <c r="N2107">
        <v>45734</v>
      </c>
      <c r="O2107">
        <v>2632</v>
      </c>
      <c r="P2107" t="s">
        <v>92</v>
      </c>
      <c r="Q2107">
        <v>6</v>
      </c>
      <c r="R2107" t="s">
        <v>47</v>
      </c>
      <c r="S2107" t="s">
        <v>21</v>
      </c>
      <c r="T2107" t="s">
        <v>29</v>
      </c>
    </row>
    <row r="2108" spans="1:20" x14ac:dyDescent="0.3">
      <c r="A2108" t="s">
        <v>4329</v>
      </c>
      <c r="B2108" t="s">
        <v>74</v>
      </c>
      <c r="C2108" t="s">
        <v>79</v>
      </c>
      <c r="D2108" t="s">
        <v>68</v>
      </c>
      <c r="E2108" t="s">
        <v>14</v>
      </c>
      <c r="F2108" t="s">
        <v>15</v>
      </c>
      <c r="G2108" t="s">
        <v>50</v>
      </c>
      <c r="H2108" t="s">
        <v>5138</v>
      </c>
      <c r="I2108" t="s">
        <v>5139</v>
      </c>
      <c r="J2108">
        <v>167577</v>
      </c>
      <c r="K2108" t="s">
        <v>4330</v>
      </c>
      <c r="L2108" t="s">
        <v>5165</v>
      </c>
      <c r="M2108" t="s">
        <v>19</v>
      </c>
      <c r="N2108">
        <v>45356</v>
      </c>
      <c r="O2108">
        <v>2803</v>
      </c>
      <c r="P2108" t="s">
        <v>29</v>
      </c>
      <c r="Q2108">
        <v>6</v>
      </c>
      <c r="R2108" t="s">
        <v>76</v>
      </c>
      <c r="S2108" t="s">
        <v>21</v>
      </c>
      <c r="T2108" t="s">
        <v>20</v>
      </c>
    </row>
    <row r="2109" spans="1:20" x14ac:dyDescent="0.3">
      <c r="A2109" t="s">
        <v>4331</v>
      </c>
      <c r="B2109" t="s">
        <v>12</v>
      </c>
      <c r="C2109" t="s">
        <v>121</v>
      </c>
      <c r="D2109" t="s">
        <v>57</v>
      </c>
      <c r="E2109" t="s">
        <v>5133</v>
      </c>
      <c r="F2109" t="s">
        <v>5125</v>
      </c>
      <c r="G2109" t="s">
        <v>16</v>
      </c>
      <c r="H2109" t="s">
        <v>5142</v>
      </c>
      <c r="I2109" t="s">
        <v>5143</v>
      </c>
      <c r="J2109">
        <v>167236</v>
      </c>
      <c r="K2109" t="s">
        <v>4332</v>
      </c>
      <c r="L2109" t="s">
        <v>18</v>
      </c>
      <c r="M2109" t="s">
        <v>19</v>
      </c>
      <c r="N2109">
        <v>45708</v>
      </c>
      <c r="O2109">
        <v>643</v>
      </c>
      <c r="P2109" t="s">
        <v>20</v>
      </c>
      <c r="Q2109">
        <v>4</v>
      </c>
      <c r="R2109" t="s">
        <v>5116</v>
      </c>
      <c r="S2109" t="s">
        <v>53</v>
      </c>
      <c r="T2109" t="s">
        <v>20</v>
      </c>
    </row>
    <row r="2110" spans="1:20" x14ac:dyDescent="0.3">
      <c r="A2110" t="s">
        <v>4333</v>
      </c>
      <c r="B2110" t="s">
        <v>130</v>
      </c>
      <c r="C2110" t="s">
        <v>160</v>
      </c>
      <c r="D2110" t="s">
        <v>44</v>
      </c>
      <c r="E2110" t="s">
        <v>5131</v>
      </c>
      <c r="F2110" t="s">
        <v>5125</v>
      </c>
      <c r="G2110" t="s">
        <v>16</v>
      </c>
      <c r="H2110" t="s">
        <v>5138</v>
      </c>
      <c r="I2110" t="s">
        <v>5139</v>
      </c>
      <c r="J2110">
        <v>188169</v>
      </c>
      <c r="K2110" t="s">
        <v>4334</v>
      </c>
      <c r="L2110" t="s">
        <v>113</v>
      </c>
      <c r="M2110" t="s">
        <v>46</v>
      </c>
      <c r="N2110">
        <v>45457</v>
      </c>
      <c r="O2110">
        <v>2325</v>
      </c>
      <c r="P2110" t="s">
        <v>20</v>
      </c>
      <c r="Q2110">
        <v>6</v>
      </c>
      <c r="R2110" t="s">
        <v>40</v>
      </c>
      <c r="S2110" t="s">
        <v>21</v>
      </c>
      <c r="T2110" t="s">
        <v>29</v>
      </c>
    </row>
    <row r="2111" spans="1:20" x14ac:dyDescent="0.3">
      <c r="A2111" t="s">
        <v>4335</v>
      </c>
      <c r="B2111" t="s">
        <v>124</v>
      </c>
      <c r="C2111" t="s">
        <v>125</v>
      </c>
      <c r="D2111" t="s">
        <v>167</v>
      </c>
      <c r="E2111" t="s">
        <v>5128</v>
      </c>
      <c r="F2111" t="s">
        <v>5125</v>
      </c>
      <c r="G2111" t="s">
        <v>36</v>
      </c>
      <c r="H2111" t="s">
        <v>5138</v>
      </c>
      <c r="I2111" t="s">
        <v>5139</v>
      </c>
      <c r="J2111">
        <v>221714</v>
      </c>
      <c r="K2111" t="s">
        <v>4336</v>
      </c>
      <c r="L2111" t="s">
        <v>87</v>
      </c>
      <c r="M2111" t="s">
        <v>46</v>
      </c>
      <c r="N2111">
        <v>45632</v>
      </c>
      <c r="O2111">
        <v>484</v>
      </c>
      <c r="P2111" t="s">
        <v>29</v>
      </c>
      <c r="Q2111">
        <v>6</v>
      </c>
      <c r="R2111" t="s">
        <v>52</v>
      </c>
      <c r="S2111" t="s">
        <v>53</v>
      </c>
      <c r="T2111" t="s">
        <v>20</v>
      </c>
    </row>
    <row r="2112" spans="1:20" x14ac:dyDescent="0.3">
      <c r="A2112" t="s">
        <v>4337</v>
      </c>
      <c r="B2112" t="s">
        <v>23</v>
      </c>
      <c r="C2112" t="s">
        <v>43</v>
      </c>
      <c r="D2112" t="s">
        <v>167</v>
      </c>
      <c r="E2112" t="s">
        <v>223</v>
      </c>
      <c r="F2112" t="s">
        <v>224</v>
      </c>
      <c r="G2112" t="s">
        <v>16</v>
      </c>
      <c r="H2112" t="s">
        <v>5138</v>
      </c>
      <c r="I2112" t="s">
        <v>5139</v>
      </c>
      <c r="J2112">
        <v>180411</v>
      </c>
      <c r="K2112" t="s">
        <v>4338</v>
      </c>
      <c r="L2112" t="s">
        <v>38</v>
      </c>
      <c r="M2112" t="s">
        <v>72</v>
      </c>
      <c r="N2112">
        <v>45718</v>
      </c>
      <c r="O2112">
        <v>1501</v>
      </c>
      <c r="P2112" t="s">
        <v>92</v>
      </c>
      <c r="Q2112">
        <v>6</v>
      </c>
      <c r="R2112" t="s">
        <v>47</v>
      </c>
      <c r="S2112" t="s">
        <v>21</v>
      </c>
      <c r="T2112" t="s">
        <v>29</v>
      </c>
    </row>
    <row r="2113" spans="1:20" x14ac:dyDescent="0.3">
      <c r="A2113" t="s">
        <v>4339</v>
      </c>
      <c r="B2113" t="s">
        <v>23</v>
      </c>
      <c r="C2113" t="s">
        <v>32</v>
      </c>
      <c r="D2113" t="s">
        <v>68</v>
      </c>
      <c r="E2113" t="s">
        <v>126</v>
      </c>
      <c r="F2113" t="s">
        <v>127</v>
      </c>
      <c r="G2113" t="s">
        <v>36</v>
      </c>
      <c r="H2113" t="s">
        <v>5138</v>
      </c>
      <c r="I2113" t="s">
        <v>5139</v>
      </c>
      <c r="J2113">
        <v>194139</v>
      </c>
      <c r="K2113" t="s">
        <v>4340</v>
      </c>
      <c r="L2113" t="s">
        <v>18</v>
      </c>
      <c r="M2113" t="s">
        <v>46</v>
      </c>
      <c r="N2113">
        <v>45700</v>
      </c>
      <c r="O2113">
        <v>3830</v>
      </c>
      <c r="P2113" t="s">
        <v>92</v>
      </c>
      <c r="Q2113">
        <v>6</v>
      </c>
      <c r="R2113" t="s">
        <v>76</v>
      </c>
      <c r="S2113" t="s">
        <v>21</v>
      </c>
      <c r="T2113" t="s">
        <v>29</v>
      </c>
    </row>
    <row r="2114" spans="1:20" x14ac:dyDescent="0.3">
      <c r="A2114" t="s">
        <v>4341</v>
      </c>
      <c r="B2114" t="s">
        <v>130</v>
      </c>
      <c r="C2114" t="s">
        <v>151</v>
      </c>
      <c r="D2114" t="s">
        <v>104</v>
      </c>
      <c r="E2114" t="s">
        <v>5124</v>
      </c>
      <c r="F2114" t="s">
        <v>5125</v>
      </c>
      <c r="G2114" t="s">
        <v>16</v>
      </c>
      <c r="H2114" t="s">
        <v>5140</v>
      </c>
      <c r="I2114" t="s">
        <v>5141</v>
      </c>
      <c r="J2114">
        <v>110810</v>
      </c>
      <c r="K2114" t="s">
        <v>4342</v>
      </c>
      <c r="L2114" t="s">
        <v>82</v>
      </c>
      <c r="M2114" t="s">
        <v>39</v>
      </c>
      <c r="N2114">
        <v>45309</v>
      </c>
      <c r="O2114">
        <v>2855</v>
      </c>
      <c r="P2114" t="s">
        <v>92</v>
      </c>
      <c r="Q2114">
        <v>2</v>
      </c>
      <c r="R2114" t="s">
        <v>5116</v>
      </c>
      <c r="S2114" t="s">
        <v>53</v>
      </c>
      <c r="T2114" t="s">
        <v>29</v>
      </c>
    </row>
    <row r="2115" spans="1:20" x14ac:dyDescent="0.3">
      <c r="A2115" t="s">
        <v>4343</v>
      </c>
      <c r="B2115" t="s">
        <v>124</v>
      </c>
      <c r="C2115" t="s">
        <v>166</v>
      </c>
      <c r="D2115" t="s">
        <v>167</v>
      </c>
      <c r="E2115" t="s">
        <v>193</v>
      </c>
      <c r="F2115" t="s">
        <v>194</v>
      </c>
      <c r="G2115" t="s">
        <v>16</v>
      </c>
      <c r="H2115" t="s">
        <v>5142</v>
      </c>
      <c r="I2115" t="s">
        <v>5143</v>
      </c>
      <c r="J2115">
        <v>122940</v>
      </c>
      <c r="K2115" t="s">
        <v>4344</v>
      </c>
      <c r="L2115" t="s">
        <v>5165</v>
      </c>
      <c r="M2115" t="s">
        <v>46</v>
      </c>
      <c r="N2115">
        <v>45326</v>
      </c>
      <c r="O2115">
        <v>2750</v>
      </c>
      <c r="P2115" t="s">
        <v>29</v>
      </c>
      <c r="Q2115">
        <v>4</v>
      </c>
      <c r="R2115" t="s">
        <v>52</v>
      </c>
      <c r="S2115" t="s">
        <v>21</v>
      </c>
      <c r="T2115" t="s">
        <v>29</v>
      </c>
    </row>
    <row r="2116" spans="1:20" x14ac:dyDescent="0.3">
      <c r="A2116" t="s">
        <v>4345</v>
      </c>
      <c r="B2116" t="s">
        <v>99</v>
      </c>
      <c r="C2116" t="s">
        <v>151</v>
      </c>
      <c r="D2116" t="s">
        <v>140</v>
      </c>
      <c r="E2116" t="s">
        <v>5131</v>
      </c>
      <c r="F2116" t="s">
        <v>5125</v>
      </c>
      <c r="G2116" t="s">
        <v>36</v>
      </c>
      <c r="H2116" t="s">
        <v>5142</v>
      </c>
      <c r="I2116" t="s">
        <v>5143</v>
      </c>
      <c r="J2116">
        <v>170002</v>
      </c>
      <c r="K2116" t="s">
        <v>4346</v>
      </c>
      <c r="L2116" t="s">
        <v>5165</v>
      </c>
      <c r="M2116" t="s">
        <v>39</v>
      </c>
      <c r="N2116">
        <v>45495</v>
      </c>
      <c r="O2116">
        <v>629</v>
      </c>
      <c r="P2116" t="s">
        <v>20</v>
      </c>
      <c r="Q2116">
        <v>4</v>
      </c>
      <c r="R2116" t="s">
        <v>47</v>
      </c>
      <c r="S2116" t="s">
        <v>53</v>
      </c>
      <c r="T2116" t="s">
        <v>20</v>
      </c>
    </row>
    <row r="2117" spans="1:20" x14ac:dyDescent="0.3">
      <c r="A2117" t="s">
        <v>4347</v>
      </c>
      <c r="B2117" t="s">
        <v>165</v>
      </c>
      <c r="C2117" t="s">
        <v>100</v>
      </c>
      <c r="D2117" t="s">
        <v>57</v>
      </c>
      <c r="E2117" t="s">
        <v>69</v>
      </c>
      <c r="F2117" t="s">
        <v>70</v>
      </c>
      <c r="G2117" t="s">
        <v>16</v>
      </c>
      <c r="H2117" t="s">
        <v>5136</v>
      </c>
      <c r="I2117" t="s">
        <v>5137</v>
      </c>
      <c r="J2117">
        <v>63533</v>
      </c>
      <c r="K2117" t="s">
        <v>4348</v>
      </c>
      <c r="L2117" t="s">
        <v>18</v>
      </c>
      <c r="M2117" t="s">
        <v>19</v>
      </c>
      <c r="N2117">
        <v>45293</v>
      </c>
      <c r="O2117">
        <v>1126</v>
      </c>
      <c r="P2117" t="s">
        <v>29</v>
      </c>
      <c r="Q2117">
        <v>0</v>
      </c>
      <c r="R2117" t="s">
        <v>76</v>
      </c>
      <c r="S2117" t="s">
        <v>21</v>
      </c>
      <c r="T2117" t="s">
        <v>20</v>
      </c>
    </row>
    <row r="2118" spans="1:20" x14ac:dyDescent="0.3">
      <c r="A2118" t="s">
        <v>4349</v>
      </c>
      <c r="B2118" t="s">
        <v>31</v>
      </c>
      <c r="C2118" t="s">
        <v>56</v>
      </c>
      <c r="D2118" t="s">
        <v>44</v>
      </c>
      <c r="E2118" t="s">
        <v>34</v>
      </c>
      <c r="F2118" t="s">
        <v>35</v>
      </c>
      <c r="G2118" t="s">
        <v>36</v>
      </c>
      <c r="H2118" t="s">
        <v>5140</v>
      </c>
      <c r="I2118" t="s">
        <v>5141</v>
      </c>
      <c r="J2118">
        <v>105473</v>
      </c>
      <c r="K2118" t="s">
        <v>4350</v>
      </c>
      <c r="L2118" t="s">
        <v>5165</v>
      </c>
      <c r="M2118" t="s">
        <v>46</v>
      </c>
      <c r="N2118">
        <v>45446</v>
      </c>
      <c r="O2118">
        <v>43</v>
      </c>
      <c r="P2118" t="s">
        <v>20</v>
      </c>
      <c r="Q2118">
        <v>2</v>
      </c>
      <c r="R2118" t="s">
        <v>76</v>
      </c>
      <c r="S2118" t="s">
        <v>53</v>
      </c>
      <c r="T2118" t="s">
        <v>29</v>
      </c>
    </row>
    <row r="2119" spans="1:20" x14ac:dyDescent="0.3">
      <c r="A2119" t="s">
        <v>4351</v>
      </c>
      <c r="B2119" t="s">
        <v>23</v>
      </c>
      <c r="C2119" t="s">
        <v>172</v>
      </c>
      <c r="D2119" t="s">
        <v>5156</v>
      </c>
      <c r="E2119" t="s">
        <v>5124</v>
      </c>
      <c r="F2119" t="s">
        <v>5125</v>
      </c>
      <c r="G2119" t="s">
        <v>50</v>
      </c>
      <c r="H2119" t="s">
        <v>5136</v>
      </c>
      <c r="I2119" t="s">
        <v>5137</v>
      </c>
      <c r="J2119">
        <v>57471</v>
      </c>
      <c r="K2119" t="s">
        <v>4352</v>
      </c>
      <c r="L2119" t="s">
        <v>238</v>
      </c>
      <c r="M2119" t="s">
        <v>46</v>
      </c>
      <c r="N2119">
        <v>45552</v>
      </c>
      <c r="O2119">
        <v>2274</v>
      </c>
      <c r="P2119" t="s">
        <v>20</v>
      </c>
      <c r="Q2119">
        <v>0</v>
      </c>
      <c r="R2119" t="s">
        <v>5116</v>
      </c>
      <c r="S2119" t="s">
        <v>21</v>
      </c>
      <c r="T2119" t="s">
        <v>20</v>
      </c>
    </row>
    <row r="2120" spans="1:20" x14ac:dyDescent="0.3">
      <c r="A2120" t="s">
        <v>4353</v>
      </c>
      <c r="B2120" t="s">
        <v>229</v>
      </c>
      <c r="C2120" t="s">
        <v>64</v>
      </c>
      <c r="D2120" t="s">
        <v>33</v>
      </c>
      <c r="E2120" t="s">
        <v>26</v>
      </c>
      <c r="F2120" t="s">
        <v>27</v>
      </c>
      <c r="G2120" t="s">
        <v>16</v>
      </c>
      <c r="H2120" t="s">
        <v>5138</v>
      </c>
      <c r="I2120" t="s">
        <v>5139</v>
      </c>
      <c r="J2120">
        <v>107755</v>
      </c>
      <c r="K2120" t="s">
        <v>4354</v>
      </c>
      <c r="L2120" t="s">
        <v>142</v>
      </c>
      <c r="M2120" t="s">
        <v>72</v>
      </c>
      <c r="N2120">
        <v>45620</v>
      </c>
      <c r="O2120">
        <v>1693</v>
      </c>
      <c r="P2120" t="s">
        <v>20</v>
      </c>
      <c r="Q2120">
        <v>6</v>
      </c>
      <c r="R2120" t="s">
        <v>76</v>
      </c>
      <c r="S2120" t="s">
        <v>21</v>
      </c>
      <c r="T2120" t="s">
        <v>29</v>
      </c>
    </row>
    <row r="2121" spans="1:20" x14ac:dyDescent="0.3">
      <c r="A2121" t="s">
        <v>4355</v>
      </c>
      <c r="B2121" t="s">
        <v>55</v>
      </c>
      <c r="C2121" t="s">
        <v>94</v>
      </c>
      <c r="D2121" t="s">
        <v>118</v>
      </c>
      <c r="E2121" t="s">
        <v>95</v>
      </c>
      <c r="F2121" t="s">
        <v>96</v>
      </c>
      <c r="G2121" t="s">
        <v>50</v>
      </c>
      <c r="H2121" t="s">
        <v>5136</v>
      </c>
      <c r="I2121" t="s">
        <v>5137</v>
      </c>
      <c r="J2121">
        <v>67593</v>
      </c>
      <c r="K2121" t="s">
        <v>4356</v>
      </c>
      <c r="L2121" t="s">
        <v>87</v>
      </c>
      <c r="M2121" t="s">
        <v>39</v>
      </c>
      <c r="N2121">
        <v>45742</v>
      </c>
      <c r="O2121">
        <v>2328</v>
      </c>
      <c r="P2121" t="s">
        <v>20</v>
      </c>
      <c r="Q2121">
        <v>0</v>
      </c>
      <c r="R2121" t="s">
        <v>47</v>
      </c>
      <c r="S2121" t="s">
        <v>21</v>
      </c>
      <c r="T2121" t="s">
        <v>29</v>
      </c>
    </row>
    <row r="2122" spans="1:20" x14ac:dyDescent="0.3">
      <c r="A2122" t="s">
        <v>4357</v>
      </c>
      <c r="B2122" t="s">
        <v>165</v>
      </c>
      <c r="C2122" t="s">
        <v>49</v>
      </c>
      <c r="D2122" t="s">
        <v>5156</v>
      </c>
      <c r="E2122" t="s">
        <v>209</v>
      </c>
      <c r="F2122" t="s">
        <v>210</v>
      </c>
      <c r="G2122" t="s">
        <v>36</v>
      </c>
      <c r="H2122" t="s">
        <v>5142</v>
      </c>
      <c r="I2122" t="s">
        <v>5143</v>
      </c>
      <c r="J2122">
        <v>215140</v>
      </c>
      <c r="K2122" t="s">
        <v>4358</v>
      </c>
      <c r="L2122" t="s">
        <v>61</v>
      </c>
      <c r="M2122" t="s">
        <v>39</v>
      </c>
      <c r="N2122">
        <v>45578</v>
      </c>
      <c r="O2122">
        <v>11</v>
      </c>
      <c r="P2122" t="s">
        <v>29</v>
      </c>
      <c r="Q2122">
        <v>4</v>
      </c>
      <c r="R2122" t="s">
        <v>5116</v>
      </c>
      <c r="S2122" t="s">
        <v>53</v>
      </c>
      <c r="T2122" t="s">
        <v>29</v>
      </c>
    </row>
    <row r="2123" spans="1:20" x14ac:dyDescent="0.3">
      <c r="A2123" t="s">
        <v>4359</v>
      </c>
      <c r="B2123" t="s">
        <v>322</v>
      </c>
      <c r="C2123" t="s">
        <v>90</v>
      </c>
      <c r="D2123" t="s">
        <v>44</v>
      </c>
      <c r="E2123" t="s">
        <v>5131</v>
      </c>
      <c r="F2123" t="s">
        <v>5125</v>
      </c>
      <c r="G2123" t="s">
        <v>50</v>
      </c>
      <c r="H2123" t="s">
        <v>5142</v>
      </c>
      <c r="I2123" t="s">
        <v>5143</v>
      </c>
      <c r="J2123">
        <v>171184</v>
      </c>
      <c r="K2123" t="s">
        <v>4360</v>
      </c>
      <c r="L2123" t="s">
        <v>87</v>
      </c>
      <c r="M2123" t="s">
        <v>19</v>
      </c>
      <c r="N2123">
        <v>45473</v>
      </c>
      <c r="O2123">
        <v>2363</v>
      </c>
      <c r="P2123" t="s">
        <v>20</v>
      </c>
      <c r="Q2123">
        <v>4</v>
      </c>
      <c r="R2123" t="s">
        <v>5116</v>
      </c>
      <c r="S2123" t="s">
        <v>21</v>
      </c>
      <c r="T2123" t="s">
        <v>20</v>
      </c>
    </row>
    <row r="2124" spans="1:20" x14ac:dyDescent="0.3">
      <c r="A2124" t="s">
        <v>4361</v>
      </c>
      <c r="B2124" t="s">
        <v>136</v>
      </c>
      <c r="C2124" t="s">
        <v>175</v>
      </c>
      <c r="D2124" t="s">
        <v>104</v>
      </c>
      <c r="E2124" t="s">
        <v>223</v>
      </c>
      <c r="F2124" t="s">
        <v>224</v>
      </c>
      <c r="G2124" t="s">
        <v>36</v>
      </c>
      <c r="H2124" t="s">
        <v>5138</v>
      </c>
      <c r="I2124" t="s">
        <v>5139</v>
      </c>
      <c r="J2124">
        <v>199306</v>
      </c>
      <c r="K2124" t="s">
        <v>4362</v>
      </c>
      <c r="L2124" t="s">
        <v>5165</v>
      </c>
      <c r="M2124" t="s">
        <v>39</v>
      </c>
      <c r="N2124">
        <v>45495</v>
      </c>
      <c r="O2124">
        <v>3263</v>
      </c>
      <c r="P2124" t="s">
        <v>92</v>
      </c>
      <c r="Q2124">
        <v>6</v>
      </c>
      <c r="R2124" t="s">
        <v>47</v>
      </c>
      <c r="S2124" t="s">
        <v>53</v>
      </c>
      <c r="T2124" t="s">
        <v>29</v>
      </c>
    </row>
    <row r="2125" spans="1:20" x14ac:dyDescent="0.3">
      <c r="A2125" t="s">
        <v>4363</v>
      </c>
      <c r="B2125" t="s">
        <v>55</v>
      </c>
      <c r="C2125" t="s">
        <v>32</v>
      </c>
      <c r="D2125" t="s">
        <v>167</v>
      </c>
      <c r="E2125" t="s">
        <v>126</v>
      </c>
      <c r="F2125" t="s">
        <v>127</v>
      </c>
      <c r="G2125" t="s">
        <v>50</v>
      </c>
      <c r="H2125" t="s">
        <v>5142</v>
      </c>
      <c r="I2125" t="s">
        <v>5143</v>
      </c>
      <c r="J2125">
        <v>142901</v>
      </c>
      <c r="K2125" t="s">
        <v>4364</v>
      </c>
      <c r="L2125" t="s">
        <v>5165</v>
      </c>
      <c r="M2125" t="s">
        <v>39</v>
      </c>
      <c r="N2125">
        <v>45489</v>
      </c>
      <c r="O2125">
        <v>2017</v>
      </c>
      <c r="P2125" t="s">
        <v>20</v>
      </c>
      <c r="Q2125">
        <v>4</v>
      </c>
      <c r="R2125" t="s">
        <v>76</v>
      </c>
      <c r="S2125" t="s">
        <v>21</v>
      </c>
      <c r="T2125" t="s">
        <v>20</v>
      </c>
    </row>
    <row r="2126" spans="1:20" x14ac:dyDescent="0.3">
      <c r="A2126" t="s">
        <v>4365</v>
      </c>
      <c r="B2126" t="s">
        <v>144</v>
      </c>
      <c r="C2126" t="s">
        <v>109</v>
      </c>
      <c r="D2126" t="s">
        <v>118</v>
      </c>
      <c r="E2126" t="s">
        <v>69</v>
      </c>
      <c r="F2126" t="s">
        <v>70</v>
      </c>
      <c r="G2126" t="s">
        <v>16</v>
      </c>
      <c r="H2126" t="s">
        <v>5142</v>
      </c>
      <c r="I2126" t="s">
        <v>5143</v>
      </c>
      <c r="J2126">
        <v>150606</v>
      </c>
      <c r="K2126" t="s">
        <v>4366</v>
      </c>
      <c r="L2126" t="s">
        <v>113</v>
      </c>
      <c r="M2126" t="s">
        <v>46</v>
      </c>
      <c r="N2126">
        <v>45417</v>
      </c>
      <c r="O2126">
        <v>2119</v>
      </c>
      <c r="P2126" t="s">
        <v>20</v>
      </c>
      <c r="Q2126">
        <v>4</v>
      </c>
      <c r="R2126" t="s">
        <v>76</v>
      </c>
      <c r="S2126" t="s">
        <v>21</v>
      </c>
      <c r="T2126" t="s">
        <v>20</v>
      </c>
    </row>
    <row r="2127" spans="1:20" x14ac:dyDescent="0.3">
      <c r="A2127" t="s">
        <v>4367</v>
      </c>
      <c r="B2127" t="s">
        <v>136</v>
      </c>
      <c r="C2127" t="s">
        <v>188</v>
      </c>
      <c r="D2127" t="s">
        <v>140</v>
      </c>
      <c r="E2127" t="s">
        <v>5132</v>
      </c>
      <c r="F2127" t="s">
        <v>5125</v>
      </c>
      <c r="G2127" t="s">
        <v>16</v>
      </c>
      <c r="H2127" t="s">
        <v>5140</v>
      </c>
      <c r="I2127" t="s">
        <v>5141</v>
      </c>
      <c r="J2127">
        <v>120832</v>
      </c>
      <c r="K2127" t="s">
        <v>4368</v>
      </c>
      <c r="L2127" t="s">
        <v>5165</v>
      </c>
      <c r="M2127" t="s">
        <v>39</v>
      </c>
      <c r="N2127">
        <v>45488</v>
      </c>
      <c r="O2127">
        <v>1794</v>
      </c>
      <c r="P2127" t="s">
        <v>20</v>
      </c>
      <c r="Q2127">
        <v>2</v>
      </c>
      <c r="R2127" t="s">
        <v>47</v>
      </c>
      <c r="S2127" t="s">
        <v>21</v>
      </c>
      <c r="T2127" t="s">
        <v>20</v>
      </c>
    </row>
    <row r="2128" spans="1:20" x14ac:dyDescent="0.3">
      <c r="A2128" t="s">
        <v>4369</v>
      </c>
      <c r="B2128" t="s">
        <v>63</v>
      </c>
      <c r="C2128" t="s">
        <v>175</v>
      </c>
      <c r="D2128" t="s">
        <v>167</v>
      </c>
      <c r="E2128" t="s">
        <v>152</v>
      </c>
      <c r="F2128" t="s">
        <v>153</v>
      </c>
      <c r="G2128" t="s">
        <v>16</v>
      </c>
      <c r="H2128" t="s">
        <v>5140</v>
      </c>
      <c r="I2128" t="s">
        <v>5141</v>
      </c>
      <c r="J2128">
        <v>86619</v>
      </c>
      <c r="K2128" t="s">
        <v>4370</v>
      </c>
      <c r="L2128" t="s">
        <v>5165</v>
      </c>
      <c r="M2128" t="s">
        <v>72</v>
      </c>
      <c r="N2128">
        <v>45422</v>
      </c>
      <c r="O2128">
        <v>3430</v>
      </c>
      <c r="P2128" t="s">
        <v>20</v>
      </c>
      <c r="Q2128">
        <v>2</v>
      </c>
      <c r="R2128" t="s">
        <v>5116</v>
      </c>
      <c r="S2128" t="s">
        <v>21</v>
      </c>
      <c r="T2128" t="s">
        <v>20</v>
      </c>
    </row>
    <row r="2129" spans="1:20" x14ac:dyDescent="0.3">
      <c r="A2129" t="s">
        <v>4371</v>
      </c>
      <c r="B2129" t="s">
        <v>55</v>
      </c>
      <c r="C2129" t="s">
        <v>219</v>
      </c>
      <c r="D2129" t="s">
        <v>5156</v>
      </c>
      <c r="E2129" t="s">
        <v>5128</v>
      </c>
      <c r="F2129" t="s">
        <v>5125</v>
      </c>
      <c r="G2129" t="s">
        <v>50</v>
      </c>
      <c r="H2129" t="s">
        <v>5136</v>
      </c>
      <c r="I2129" t="s">
        <v>5137</v>
      </c>
      <c r="J2129">
        <v>84040</v>
      </c>
      <c r="K2129" t="s">
        <v>4372</v>
      </c>
      <c r="L2129" t="s">
        <v>113</v>
      </c>
      <c r="M2129" t="s">
        <v>19</v>
      </c>
      <c r="N2129">
        <v>45546</v>
      </c>
      <c r="O2129">
        <v>2715</v>
      </c>
      <c r="P2129" t="s">
        <v>20</v>
      </c>
      <c r="Q2129">
        <v>0</v>
      </c>
      <c r="R2129" t="s">
        <v>40</v>
      </c>
      <c r="S2129" t="s">
        <v>21</v>
      </c>
      <c r="T2129" t="s">
        <v>29</v>
      </c>
    </row>
    <row r="2130" spans="1:20" x14ac:dyDescent="0.3">
      <c r="A2130" t="s">
        <v>4373</v>
      </c>
      <c r="B2130" t="s">
        <v>218</v>
      </c>
      <c r="C2130" t="s">
        <v>160</v>
      </c>
      <c r="D2130" t="s">
        <v>33</v>
      </c>
      <c r="E2130" t="s">
        <v>14</v>
      </c>
      <c r="F2130" t="s">
        <v>15</v>
      </c>
      <c r="G2130" t="s">
        <v>16</v>
      </c>
      <c r="H2130" t="s">
        <v>5140</v>
      </c>
      <c r="I2130" t="s">
        <v>5141</v>
      </c>
      <c r="J2130">
        <v>124164</v>
      </c>
      <c r="K2130" t="s">
        <v>4374</v>
      </c>
      <c r="L2130" t="s">
        <v>5165</v>
      </c>
      <c r="M2130" t="s">
        <v>39</v>
      </c>
      <c r="N2130">
        <v>45742</v>
      </c>
      <c r="O2130">
        <v>3397</v>
      </c>
      <c r="P2130" t="s">
        <v>20</v>
      </c>
      <c r="Q2130">
        <v>2</v>
      </c>
      <c r="R2130" t="s">
        <v>52</v>
      </c>
      <c r="S2130" t="s">
        <v>41</v>
      </c>
      <c r="T2130" t="s">
        <v>20</v>
      </c>
    </row>
    <row r="2131" spans="1:20" x14ac:dyDescent="0.3">
      <c r="A2131" t="s">
        <v>4375</v>
      </c>
      <c r="B2131" t="s">
        <v>222</v>
      </c>
      <c r="C2131" t="s">
        <v>94</v>
      </c>
      <c r="D2131" t="s">
        <v>44</v>
      </c>
      <c r="E2131" t="s">
        <v>5131</v>
      </c>
      <c r="F2131" t="s">
        <v>5125</v>
      </c>
      <c r="G2131" t="s">
        <v>36</v>
      </c>
      <c r="H2131" t="s">
        <v>5138</v>
      </c>
      <c r="I2131" t="s">
        <v>5139</v>
      </c>
      <c r="J2131">
        <v>225854</v>
      </c>
      <c r="K2131" t="s">
        <v>4376</v>
      </c>
      <c r="L2131" t="s">
        <v>5165</v>
      </c>
      <c r="M2131" t="s">
        <v>46</v>
      </c>
      <c r="N2131">
        <v>45673</v>
      </c>
      <c r="O2131">
        <v>1219</v>
      </c>
      <c r="P2131" t="s">
        <v>29</v>
      </c>
      <c r="Q2131">
        <v>6</v>
      </c>
      <c r="R2131" t="s">
        <v>47</v>
      </c>
      <c r="S2131" t="s">
        <v>21</v>
      </c>
      <c r="T2131" t="s">
        <v>29</v>
      </c>
    </row>
    <row r="2132" spans="1:20" x14ac:dyDescent="0.3">
      <c r="A2132" t="s">
        <v>4377</v>
      </c>
      <c r="B2132" t="s">
        <v>165</v>
      </c>
      <c r="C2132" t="s">
        <v>202</v>
      </c>
      <c r="D2132" t="s">
        <v>118</v>
      </c>
      <c r="E2132" t="s">
        <v>5126</v>
      </c>
      <c r="F2132" t="s">
        <v>5125</v>
      </c>
      <c r="G2132" t="s">
        <v>16</v>
      </c>
      <c r="H2132" t="s">
        <v>5140</v>
      </c>
      <c r="I2132" t="s">
        <v>5141</v>
      </c>
      <c r="J2132">
        <v>118681</v>
      </c>
      <c r="K2132" t="s">
        <v>4378</v>
      </c>
      <c r="L2132" t="s">
        <v>113</v>
      </c>
      <c r="M2132" t="s">
        <v>46</v>
      </c>
      <c r="N2132">
        <v>45335</v>
      </c>
      <c r="O2132">
        <v>3865</v>
      </c>
      <c r="P2132" t="s">
        <v>20</v>
      </c>
      <c r="Q2132">
        <v>2</v>
      </c>
      <c r="R2132" t="s">
        <v>47</v>
      </c>
      <c r="S2132" t="s">
        <v>21</v>
      </c>
      <c r="T2132" t="s">
        <v>29</v>
      </c>
    </row>
    <row r="2133" spans="1:20" x14ac:dyDescent="0.3">
      <c r="A2133" t="s">
        <v>4379</v>
      </c>
      <c r="B2133" t="s">
        <v>89</v>
      </c>
      <c r="C2133" t="s">
        <v>43</v>
      </c>
      <c r="D2133" t="s">
        <v>68</v>
      </c>
      <c r="E2133" t="s">
        <v>34</v>
      </c>
      <c r="F2133" t="s">
        <v>35</v>
      </c>
      <c r="G2133" t="s">
        <v>36</v>
      </c>
      <c r="H2133" t="s">
        <v>5138</v>
      </c>
      <c r="I2133" t="s">
        <v>5139</v>
      </c>
      <c r="J2133">
        <v>200706</v>
      </c>
      <c r="K2133" t="s">
        <v>4380</v>
      </c>
      <c r="L2133" t="s">
        <v>142</v>
      </c>
      <c r="M2133" t="s">
        <v>46</v>
      </c>
      <c r="N2133">
        <v>45525</v>
      </c>
      <c r="O2133">
        <v>774</v>
      </c>
      <c r="P2133" t="s">
        <v>29</v>
      </c>
      <c r="Q2133">
        <v>6</v>
      </c>
      <c r="R2133" t="s">
        <v>40</v>
      </c>
      <c r="S2133" t="s">
        <v>21</v>
      </c>
      <c r="T2133" t="s">
        <v>29</v>
      </c>
    </row>
    <row r="2134" spans="1:20" x14ac:dyDescent="0.3">
      <c r="A2134" t="s">
        <v>4381</v>
      </c>
      <c r="B2134" t="s">
        <v>222</v>
      </c>
      <c r="C2134" t="s">
        <v>121</v>
      </c>
      <c r="D2134" t="s">
        <v>25</v>
      </c>
      <c r="E2134" t="s">
        <v>5126</v>
      </c>
      <c r="F2134" t="s">
        <v>5125</v>
      </c>
      <c r="G2134" t="s">
        <v>16</v>
      </c>
      <c r="H2134" t="s">
        <v>5140</v>
      </c>
      <c r="I2134" t="s">
        <v>5141</v>
      </c>
      <c r="J2134">
        <v>123322</v>
      </c>
      <c r="K2134" t="s">
        <v>4382</v>
      </c>
      <c r="L2134" t="s">
        <v>5165</v>
      </c>
      <c r="M2134" t="s">
        <v>19</v>
      </c>
      <c r="N2134">
        <v>45409</v>
      </c>
      <c r="O2134">
        <v>3115</v>
      </c>
      <c r="P2134" t="s">
        <v>20</v>
      </c>
      <c r="Q2134">
        <v>2</v>
      </c>
      <c r="R2134" t="s">
        <v>40</v>
      </c>
      <c r="S2134" t="s">
        <v>21</v>
      </c>
      <c r="T2134" t="s">
        <v>20</v>
      </c>
    </row>
    <row r="2135" spans="1:20" x14ac:dyDescent="0.3">
      <c r="A2135" t="s">
        <v>4383</v>
      </c>
      <c r="B2135" t="s">
        <v>136</v>
      </c>
      <c r="C2135" t="s">
        <v>100</v>
      </c>
      <c r="D2135" t="s">
        <v>33</v>
      </c>
      <c r="E2135" t="s">
        <v>5133</v>
      </c>
      <c r="F2135" t="s">
        <v>5125</v>
      </c>
      <c r="G2135" t="s">
        <v>36</v>
      </c>
      <c r="H2135" t="s">
        <v>5140</v>
      </c>
      <c r="I2135" t="s">
        <v>5141</v>
      </c>
      <c r="J2135">
        <v>121717</v>
      </c>
      <c r="K2135" t="s">
        <v>4384</v>
      </c>
      <c r="L2135" t="s">
        <v>5165</v>
      </c>
      <c r="M2135" t="s">
        <v>46</v>
      </c>
      <c r="N2135">
        <v>45697</v>
      </c>
      <c r="O2135">
        <v>2165</v>
      </c>
      <c r="P2135" t="s">
        <v>20</v>
      </c>
      <c r="Q2135">
        <v>2</v>
      </c>
      <c r="R2135" t="s">
        <v>47</v>
      </c>
      <c r="S2135" t="s">
        <v>21</v>
      </c>
      <c r="T2135" t="s">
        <v>29</v>
      </c>
    </row>
    <row r="2136" spans="1:20" x14ac:dyDescent="0.3">
      <c r="A2136" t="s">
        <v>4385</v>
      </c>
      <c r="B2136" t="s">
        <v>229</v>
      </c>
      <c r="C2136" t="s">
        <v>56</v>
      </c>
      <c r="D2136" t="s">
        <v>104</v>
      </c>
      <c r="E2136" t="s">
        <v>5131</v>
      </c>
      <c r="F2136" t="s">
        <v>5125</v>
      </c>
      <c r="G2136" t="s">
        <v>16</v>
      </c>
      <c r="H2136" t="s">
        <v>5142</v>
      </c>
      <c r="I2136" t="s">
        <v>5143</v>
      </c>
      <c r="J2136">
        <v>140440</v>
      </c>
      <c r="K2136" t="s">
        <v>4386</v>
      </c>
      <c r="L2136" t="s">
        <v>142</v>
      </c>
      <c r="M2136" t="s">
        <v>46</v>
      </c>
      <c r="N2136">
        <v>45506</v>
      </c>
      <c r="O2136">
        <v>891</v>
      </c>
      <c r="P2136" t="s">
        <v>20</v>
      </c>
      <c r="Q2136">
        <v>4</v>
      </c>
      <c r="R2136" t="s">
        <v>5116</v>
      </c>
      <c r="S2136" t="s">
        <v>53</v>
      </c>
      <c r="T2136" t="s">
        <v>20</v>
      </c>
    </row>
    <row r="2137" spans="1:20" x14ac:dyDescent="0.3">
      <c r="A2137" t="s">
        <v>4387</v>
      </c>
      <c r="B2137" t="s">
        <v>229</v>
      </c>
      <c r="C2137" t="s">
        <v>160</v>
      </c>
      <c r="D2137" t="s">
        <v>33</v>
      </c>
      <c r="E2137" t="s">
        <v>5124</v>
      </c>
      <c r="F2137" t="s">
        <v>5125</v>
      </c>
      <c r="G2137" t="s">
        <v>50</v>
      </c>
      <c r="H2137" t="s">
        <v>5142</v>
      </c>
      <c r="I2137" t="s">
        <v>5143</v>
      </c>
      <c r="J2137">
        <v>134512</v>
      </c>
      <c r="K2137" t="s">
        <v>4388</v>
      </c>
      <c r="L2137" t="s">
        <v>82</v>
      </c>
      <c r="M2137" t="s">
        <v>72</v>
      </c>
      <c r="N2137">
        <v>45591</v>
      </c>
      <c r="O2137">
        <v>3947</v>
      </c>
      <c r="P2137" t="s">
        <v>20</v>
      </c>
      <c r="Q2137">
        <v>4</v>
      </c>
      <c r="R2137" t="s">
        <v>5116</v>
      </c>
      <c r="S2137" t="s">
        <v>21</v>
      </c>
      <c r="T2137" t="s">
        <v>20</v>
      </c>
    </row>
    <row r="2138" spans="1:20" x14ac:dyDescent="0.3">
      <c r="A2138" t="s">
        <v>4389</v>
      </c>
      <c r="B2138" t="s">
        <v>89</v>
      </c>
      <c r="C2138" t="s">
        <v>219</v>
      </c>
      <c r="D2138" t="s">
        <v>25</v>
      </c>
      <c r="E2138" t="s">
        <v>193</v>
      </c>
      <c r="F2138" t="s">
        <v>194</v>
      </c>
      <c r="G2138" t="s">
        <v>16</v>
      </c>
      <c r="H2138" t="s">
        <v>5138</v>
      </c>
      <c r="I2138" t="s">
        <v>5139</v>
      </c>
      <c r="J2138">
        <v>203666</v>
      </c>
      <c r="K2138" t="s">
        <v>4390</v>
      </c>
      <c r="L2138" t="s">
        <v>5165</v>
      </c>
      <c r="M2138" t="s">
        <v>39</v>
      </c>
      <c r="N2138">
        <v>45497</v>
      </c>
      <c r="O2138">
        <v>2791</v>
      </c>
      <c r="P2138" t="s">
        <v>20</v>
      </c>
      <c r="Q2138">
        <v>6</v>
      </c>
      <c r="R2138" t="s">
        <v>5116</v>
      </c>
      <c r="S2138" t="s">
        <v>53</v>
      </c>
      <c r="T2138" t="s">
        <v>20</v>
      </c>
    </row>
    <row r="2139" spans="1:20" x14ac:dyDescent="0.3">
      <c r="A2139" t="s">
        <v>4391</v>
      </c>
      <c r="B2139" t="s">
        <v>55</v>
      </c>
      <c r="C2139" t="s">
        <v>160</v>
      </c>
      <c r="D2139" t="s">
        <v>68</v>
      </c>
      <c r="E2139" t="s">
        <v>5132</v>
      </c>
      <c r="F2139" t="s">
        <v>5125</v>
      </c>
      <c r="G2139" t="s">
        <v>16</v>
      </c>
      <c r="H2139" t="s">
        <v>5140</v>
      </c>
      <c r="I2139" t="s">
        <v>5141</v>
      </c>
      <c r="J2139">
        <v>140670</v>
      </c>
      <c r="K2139" t="s">
        <v>4392</v>
      </c>
      <c r="L2139" t="s">
        <v>5165</v>
      </c>
      <c r="M2139" t="s">
        <v>39</v>
      </c>
      <c r="N2139">
        <v>45659</v>
      </c>
      <c r="O2139">
        <v>2451</v>
      </c>
      <c r="P2139" t="s">
        <v>29</v>
      </c>
      <c r="Q2139">
        <v>2</v>
      </c>
      <c r="R2139" t="s">
        <v>47</v>
      </c>
      <c r="S2139" t="s">
        <v>21</v>
      </c>
      <c r="T2139" t="s">
        <v>29</v>
      </c>
    </row>
    <row r="2140" spans="1:20" x14ac:dyDescent="0.3">
      <c r="A2140" t="s">
        <v>4393</v>
      </c>
      <c r="B2140" t="s">
        <v>229</v>
      </c>
      <c r="C2140" t="s">
        <v>43</v>
      </c>
      <c r="D2140" t="s">
        <v>68</v>
      </c>
      <c r="E2140" t="s">
        <v>5129</v>
      </c>
      <c r="F2140" t="s">
        <v>5130</v>
      </c>
      <c r="G2140" t="s">
        <v>16</v>
      </c>
      <c r="H2140" t="s">
        <v>5142</v>
      </c>
      <c r="I2140" t="s">
        <v>5143</v>
      </c>
      <c r="J2140">
        <v>116544</v>
      </c>
      <c r="K2140" t="s">
        <v>4394</v>
      </c>
      <c r="L2140" t="s">
        <v>179</v>
      </c>
      <c r="M2140" t="s">
        <v>19</v>
      </c>
      <c r="N2140">
        <v>45590</v>
      </c>
      <c r="O2140">
        <v>2595</v>
      </c>
      <c r="P2140" t="s">
        <v>92</v>
      </c>
      <c r="Q2140">
        <v>4</v>
      </c>
      <c r="R2140" t="s">
        <v>76</v>
      </c>
      <c r="S2140" t="s">
        <v>21</v>
      </c>
      <c r="T2140" t="s">
        <v>20</v>
      </c>
    </row>
    <row r="2141" spans="1:20" x14ac:dyDescent="0.3">
      <c r="A2141" t="s">
        <v>4395</v>
      </c>
      <c r="B2141" t="s">
        <v>31</v>
      </c>
      <c r="C2141" t="s">
        <v>188</v>
      </c>
      <c r="D2141" t="s">
        <v>25</v>
      </c>
      <c r="E2141" t="s">
        <v>95</v>
      </c>
      <c r="F2141" t="s">
        <v>96</v>
      </c>
      <c r="G2141" t="s">
        <v>36</v>
      </c>
      <c r="H2141" t="s">
        <v>5140</v>
      </c>
      <c r="I2141" t="s">
        <v>5141</v>
      </c>
      <c r="J2141">
        <v>80942</v>
      </c>
      <c r="K2141" t="s">
        <v>4396</v>
      </c>
      <c r="L2141" t="s">
        <v>61</v>
      </c>
      <c r="M2141" t="s">
        <v>39</v>
      </c>
      <c r="N2141">
        <v>45636</v>
      </c>
      <c r="O2141">
        <v>3505</v>
      </c>
      <c r="P2141" t="s">
        <v>29</v>
      </c>
      <c r="Q2141">
        <v>2</v>
      </c>
      <c r="R2141" t="s">
        <v>40</v>
      </c>
      <c r="S2141" t="s">
        <v>21</v>
      </c>
      <c r="T2141" t="s">
        <v>29</v>
      </c>
    </row>
    <row r="2142" spans="1:20" x14ac:dyDescent="0.3">
      <c r="A2142" t="s">
        <v>4397</v>
      </c>
      <c r="B2142" t="s">
        <v>165</v>
      </c>
      <c r="C2142" t="s">
        <v>24</v>
      </c>
      <c r="D2142" t="s">
        <v>33</v>
      </c>
      <c r="E2142" t="s">
        <v>5124</v>
      </c>
      <c r="F2142" t="s">
        <v>5125</v>
      </c>
      <c r="G2142" t="s">
        <v>16</v>
      </c>
      <c r="H2142" t="s">
        <v>5140</v>
      </c>
      <c r="I2142" t="s">
        <v>5141</v>
      </c>
      <c r="J2142">
        <v>113262</v>
      </c>
      <c r="K2142" t="s">
        <v>4398</v>
      </c>
      <c r="L2142" t="s">
        <v>5165</v>
      </c>
      <c r="M2142" t="s">
        <v>72</v>
      </c>
      <c r="N2142">
        <v>45626</v>
      </c>
      <c r="O2142">
        <v>1538</v>
      </c>
      <c r="P2142" t="s">
        <v>20</v>
      </c>
      <c r="Q2142">
        <v>2</v>
      </c>
      <c r="R2142" t="s">
        <v>52</v>
      </c>
      <c r="S2142" t="s">
        <v>21</v>
      </c>
      <c r="T2142" t="s">
        <v>29</v>
      </c>
    </row>
    <row r="2143" spans="1:20" x14ac:dyDescent="0.3">
      <c r="A2143" t="s">
        <v>4399</v>
      </c>
      <c r="B2143" t="s">
        <v>55</v>
      </c>
      <c r="C2143" t="s">
        <v>139</v>
      </c>
      <c r="D2143" t="s">
        <v>104</v>
      </c>
      <c r="E2143" t="s">
        <v>5124</v>
      </c>
      <c r="F2143" t="s">
        <v>5125</v>
      </c>
      <c r="G2143" t="s">
        <v>36</v>
      </c>
      <c r="H2143" t="s">
        <v>5138</v>
      </c>
      <c r="I2143" t="s">
        <v>5139</v>
      </c>
      <c r="J2143">
        <v>201831</v>
      </c>
      <c r="K2143" t="s">
        <v>4400</v>
      </c>
      <c r="L2143" t="s">
        <v>18</v>
      </c>
      <c r="M2143" t="s">
        <v>19</v>
      </c>
      <c r="N2143">
        <v>45538</v>
      </c>
      <c r="O2143">
        <v>1936</v>
      </c>
      <c r="P2143" t="s">
        <v>92</v>
      </c>
      <c r="Q2143">
        <v>6</v>
      </c>
      <c r="R2143" t="s">
        <v>5116</v>
      </c>
      <c r="S2143" t="s">
        <v>21</v>
      </c>
      <c r="T2143" t="s">
        <v>20</v>
      </c>
    </row>
    <row r="2144" spans="1:20" x14ac:dyDescent="0.3">
      <c r="A2144" t="s">
        <v>4401</v>
      </c>
      <c r="B2144" t="s">
        <v>215</v>
      </c>
      <c r="C2144" t="s">
        <v>188</v>
      </c>
      <c r="D2144" t="s">
        <v>57</v>
      </c>
      <c r="E2144" t="s">
        <v>5131</v>
      </c>
      <c r="F2144" t="s">
        <v>5125</v>
      </c>
      <c r="G2144" t="s">
        <v>16</v>
      </c>
      <c r="H2144" t="s">
        <v>5136</v>
      </c>
      <c r="I2144" t="s">
        <v>5137</v>
      </c>
      <c r="J2144">
        <v>72184</v>
      </c>
      <c r="K2144" t="s">
        <v>4402</v>
      </c>
      <c r="L2144" t="s">
        <v>5165</v>
      </c>
      <c r="M2144" t="s">
        <v>39</v>
      </c>
      <c r="N2144">
        <v>45630</v>
      </c>
      <c r="O2144">
        <v>1953</v>
      </c>
      <c r="P2144" t="s">
        <v>29</v>
      </c>
      <c r="Q2144">
        <v>0</v>
      </c>
      <c r="R2144" t="s">
        <v>5116</v>
      </c>
      <c r="S2144" t="s">
        <v>21</v>
      </c>
      <c r="T2144" t="s">
        <v>20</v>
      </c>
    </row>
    <row r="2145" spans="1:20" x14ac:dyDescent="0.3">
      <c r="A2145" t="s">
        <v>4403</v>
      </c>
      <c r="B2145" t="s">
        <v>215</v>
      </c>
      <c r="C2145" t="s">
        <v>49</v>
      </c>
      <c r="D2145" t="s">
        <v>104</v>
      </c>
      <c r="E2145" t="s">
        <v>26</v>
      </c>
      <c r="F2145" t="s">
        <v>27</v>
      </c>
      <c r="G2145" t="s">
        <v>16</v>
      </c>
      <c r="H2145" t="s">
        <v>5142</v>
      </c>
      <c r="I2145" t="s">
        <v>5143</v>
      </c>
      <c r="J2145">
        <v>156586</v>
      </c>
      <c r="K2145" t="s">
        <v>4404</v>
      </c>
      <c r="L2145" t="s">
        <v>238</v>
      </c>
      <c r="M2145" t="s">
        <v>46</v>
      </c>
      <c r="N2145">
        <v>45508</v>
      </c>
      <c r="O2145">
        <v>3629</v>
      </c>
      <c r="P2145" t="s">
        <v>20</v>
      </c>
      <c r="Q2145">
        <v>4</v>
      </c>
      <c r="R2145" t="s">
        <v>76</v>
      </c>
      <c r="S2145" t="s">
        <v>21</v>
      </c>
      <c r="T2145" t="s">
        <v>20</v>
      </c>
    </row>
    <row r="2146" spans="1:20" x14ac:dyDescent="0.3">
      <c r="A2146" t="s">
        <v>4405</v>
      </c>
      <c r="B2146" t="s">
        <v>130</v>
      </c>
      <c r="C2146" t="s">
        <v>175</v>
      </c>
      <c r="D2146" t="s">
        <v>33</v>
      </c>
      <c r="E2146" t="s">
        <v>80</v>
      </c>
      <c r="F2146" t="s">
        <v>80</v>
      </c>
      <c r="G2146" t="s">
        <v>16</v>
      </c>
      <c r="H2146" t="s">
        <v>5138</v>
      </c>
      <c r="I2146" t="s">
        <v>5139</v>
      </c>
      <c r="J2146">
        <v>191964</v>
      </c>
      <c r="K2146" t="s">
        <v>4406</v>
      </c>
      <c r="L2146" t="s">
        <v>87</v>
      </c>
      <c r="M2146" t="s">
        <v>46</v>
      </c>
      <c r="N2146">
        <v>45297</v>
      </c>
      <c r="O2146">
        <v>3334</v>
      </c>
      <c r="P2146" t="s">
        <v>20</v>
      </c>
      <c r="Q2146">
        <v>6</v>
      </c>
      <c r="R2146" t="s">
        <v>52</v>
      </c>
      <c r="S2146" t="s">
        <v>21</v>
      </c>
      <c r="T2146" t="s">
        <v>20</v>
      </c>
    </row>
    <row r="2147" spans="1:20" x14ac:dyDescent="0.3">
      <c r="A2147" t="s">
        <v>4407</v>
      </c>
      <c r="B2147" t="s">
        <v>63</v>
      </c>
      <c r="C2147" t="s">
        <v>24</v>
      </c>
      <c r="D2147" t="s">
        <v>140</v>
      </c>
      <c r="E2147" t="s">
        <v>5126</v>
      </c>
      <c r="F2147" t="s">
        <v>5125</v>
      </c>
      <c r="G2147" t="s">
        <v>16</v>
      </c>
      <c r="H2147" t="s">
        <v>5140</v>
      </c>
      <c r="I2147" t="s">
        <v>5141</v>
      </c>
      <c r="J2147">
        <v>139499</v>
      </c>
      <c r="K2147" t="s">
        <v>4408</v>
      </c>
      <c r="L2147" t="s">
        <v>82</v>
      </c>
      <c r="M2147" t="s">
        <v>46</v>
      </c>
      <c r="N2147">
        <v>45604</v>
      </c>
      <c r="O2147">
        <v>923</v>
      </c>
      <c r="P2147" t="s">
        <v>20</v>
      </c>
      <c r="Q2147">
        <v>2</v>
      </c>
      <c r="R2147" t="s">
        <v>5116</v>
      </c>
      <c r="S2147" t="s">
        <v>21</v>
      </c>
      <c r="T2147" t="s">
        <v>29</v>
      </c>
    </row>
    <row r="2148" spans="1:20" x14ac:dyDescent="0.3">
      <c r="A2148" t="s">
        <v>4409</v>
      </c>
      <c r="B2148" t="s">
        <v>78</v>
      </c>
      <c r="C2148" t="s">
        <v>175</v>
      </c>
      <c r="D2148" t="s">
        <v>44</v>
      </c>
      <c r="E2148" t="s">
        <v>5126</v>
      </c>
      <c r="F2148" t="s">
        <v>5125</v>
      </c>
      <c r="G2148" t="s">
        <v>50</v>
      </c>
      <c r="H2148" t="s">
        <v>5142</v>
      </c>
      <c r="I2148" t="s">
        <v>5143</v>
      </c>
      <c r="J2148">
        <v>106775</v>
      </c>
      <c r="K2148" t="s">
        <v>4410</v>
      </c>
      <c r="L2148" t="s">
        <v>61</v>
      </c>
      <c r="M2148" t="s">
        <v>39</v>
      </c>
      <c r="N2148">
        <v>45497</v>
      </c>
      <c r="O2148">
        <v>1479</v>
      </c>
      <c r="P2148" t="s">
        <v>20</v>
      </c>
      <c r="Q2148">
        <v>4</v>
      </c>
      <c r="R2148" t="s">
        <v>52</v>
      </c>
      <c r="S2148" t="s">
        <v>21</v>
      </c>
      <c r="T2148" t="s">
        <v>29</v>
      </c>
    </row>
    <row r="2149" spans="1:20" x14ac:dyDescent="0.3">
      <c r="A2149" t="s">
        <v>4411</v>
      </c>
      <c r="B2149" t="s">
        <v>165</v>
      </c>
      <c r="C2149" t="s">
        <v>64</v>
      </c>
      <c r="D2149" t="s">
        <v>33</v>
      </c>
      <c r="E2149" t="s">
        <v>223</v>
      </c>
      <c r="F2149" t="s">
        <v>224</v>
      </c>
      <c r="G2149" t="s">
        <v>50</v>
      </c>
      <c r="H2149" t="s">
        <v>5136</v>
      </c>
      <c r="I2149" t="s">
        <v>5137</v>
      </c>
      <c r="J2149">
        <v>59560</v>
      </c>
      <c r="K2149" t="s">
        <v>4412</v>
      </c>
      <c r="L2149" t="s">
        <v>5165</v>
      </c>
      <c r="M2149" t="s">
        <v>39</v>
      </c>
      <c r="N2149">
        <v>45548</v>
      </c>
      <c r="O2149">
        <v>3076</v>
      </c>
      <c r="P2149" t="s">
        <v>20</v>
      </c>
      <c r="Q2149">
        <v>0</v>
      </c>
      <c r="R2149" t="s">
        <v>47</v>
      </c>
      <c r="S2149" t="s">
        <v>21</v>
      </c>
      <c r="T2149" t="s">
        <v>29</v>
      </c>
    </row>
    <row r="2150" spans="1:20" x14ac:dyDescent="0.3">
      <c r="A2150" t="s">
        <v>4413</v>
      </c>
      <c r="B2150" t="s">
        <v>215</v>
      </c>
      <c r="C2150" t="s">
        <v>24</v>
      </c>
      <c r="D2150" t="s">
        <v>167</v>
      </c>
      <c r="E2150" t="s">
        <v>95</v>
      </c>
      <c r="F2150" t="s">
        <v>96</v>
      </c>
      <c r="G2150" t="s">
        <v>36</v>
      </c>
      <c r="H2150" t="s">
        <v>5138</v>
      </c>
      <c r="I2150" t="s">
        <v>5139</v>
      </c>
      <c r="J2150">
        <v>196282</v>
      </c>
      <c r="K2150" t="s">
        <v>4414</v>
      </c>
      <c r="L2150" t="s">
        <v>179</v>
      </c>
      <c r="M2150" t="s">
        <v>19</v>
      </c>
      <c r="N2150">
        <v>45596</v>
      </c>
      <c r="O2150">
        <v>1952</v>
      </c>
      <c r="P2150" t="s">
        <v>29</v>
      </c>
      <c r="Q2150">
        <v>6</v>
      </c>
      <c r="R2150" t="s">
        <v>47</v>
      </c>
      <c r="S2150" t="s">
        <v>21</v>
      </c>
      <c r="T2150" t="s">
        <v>20</v>
      </c>
    </row>
    <row r="2151" spans="1:20" x14ac:dyDescent="0.3">
      <c r="A2151" t="s">
        <v>4415</v>
      </c>
      <c r="B2151" t="s">
        <v>130</v>
      </c>
      <c r="C2151" t="s">
        <v>32</v>
      </c>
      <c r="D2151" t="s">
        <v>33</v>
      </c>
      <c r="E2151" t="s">
        <v>5124</v>
      </c>
      <c r="F2151" t="s">
        <v>5125</v>
      </c>
      <c r="G2151" t="s">
        <v>16</v>
      </c>
      <c r="H2151" t="s">
        <v>5136</v>
      </c>
      <c r="I2151" t="s">
        <v>5137</v>
      </c>
      <c r="J2151">
        <v>50000</v>
      </c>
      <c r="K2151" t="s">
        <v>4416</v>
      </c>
      <c r="L2151" t="s">
        <v>5165</v>
      </c>
      <c r="M2151" t="s">
        <v>19</v>
      </c>
      <c r="N2151">
        <v>45573</v>
      </c>
      <c r="O2151">
        <v>878</v>
      </c>
      <c r="P2151" t="s">
        <v>92</v>
      </c>
      <c r="Q2151">
        <v>0</v>
      </c>
      <c r="R2151" t="s">
        <v>52</v>
      </c>
      <c r="S2151" t="s">
        <v>21</v>
      </c>
      <c r="T2151" t="s">
        <v>29</v>
      </c>
    </row>
    <row r="2152" spans="1:20" x14ac:dyDescent="0.3">
      <c r="A2152" t="s">
        <v>4417</v>
      </c>
      <c r="B2152" t="s">
        <v>31</v>
      </c>
      <c r="C2152" t="s">
        <v>175</v>
      </c>
      <c r="D2152" t="s">
        <v>118</v>
      </c>
      <c r="E2152" t="s">
        <v>5132</v>
      </c>
      <c r="F2152" t="s">
        <v>5125</v>
      </c>
      <c r="G2152" t="s">
        <v>16</v>
      </c>
      <c r="H2152" t="s">
        <v>5138</v>
      </c>
      <c r="I2152" t="s">
        <v>5139</v>
      </c>
      <c r="J2152">
        <v>193669</v>
      </c>
      <c r="K2152" t="s">
        <v>4418</v>
      </c>
      <c r="L2152" t="s">
        <v>142</v>
      </c>
      <c r="M2152" t="s">
        <v>39</v>
      </c>
      <c r="N2152">
        <v>45419</v>
      </c>
      <c r="O2152">
        <v>2165</v>
      </c>
      <c r="P2152" t="s">
        <v>20</v>
      </c>
      <c r="Q2152">
        <v>6</v>
      </c>
      <c r="R2152" t="s">
        <v>40</v>
      </c>
      <c r="S2152" t="s">
        <v>21</v>
      </c>
      <c r="T2152" t="s">
        <v>20</v>
      </c>
    </row>
    <row r="2153" spans="1:20" x14ac:dyDescent="0.3">
      <c r="A2153" t="s">
        <v>4419</v>
      </c>
      <c r="B2153" t="s">
        <v>322</v>
      </c>
      <c r="C2153" t="s">
        <v>219</v>
      </c>
      <c r="D2153" t="s">
        <v>118</v>
      </c>
      <c r="E2153" t="s">
        <v>152</v>
      </c>
      <c r="F2153" t="s">
        <v>153</v>
      </c>
      <c r="G2153" t="s">
        <v>16</v>
      </c>
      <c r="H2153" t="s">
        <v>5136</v>
      </c>
      <c r="I2153" t="s">
        <v>5137</v>
      </c>
      <c r="J2153">
        <v>90934</v>
      </c>
      <c r="K2153" t="s">
        <v>4420</v>
      </c>
      <c r="L2153" t="s">
        <v>5165</v>
      </c>
      <c r="M2153" t="s">
        <v>46</v>
      </c>
      <c r="N2153">
        <v>45478</v>
      </c>
      <c r="O2153">
        <v>2288</v>
      </c>
      <c r="P2153" t="s">
        <v>20</v>
      </c>
      <c r="Q2153">
        <v>0</v>
      </c>
      <c r="R2153" t="s">
        <v>5116</v>
      </c>
      <c r="S2153" t="s">
        <v>53</v>
      </c>
      <c r="T2153" t="s">
        <v>20</v>
      </c>
    </row>
    <row r="2154" spans="1:20" x14ac:dyDescent="0.3">
      <c r="A2154" t="s">
        <v>4421</v>
      </c>
      <c r="B2154" t="s">
        <v>99</v>
      </c>
      <c r="C2154" t="s">
        <v>67</v>
      </c>
      <c r="D2154" t="s">
        <v>57</v>
      </c>
      <c r="E2154" t="s">
        <v>58</v>
      </c>
      <c r="F2154" t="s">
        <v>59</v>
      </c>
      <c r="G2154" t="s">
        <v>36</v>
      </c>
      <c r="H2154" t="s">
        <v>5136</v>
      </c>
      <c r="I2154" t="s">
        <v>5137</v>
      </c>
      <c r="J2154">
        <v>70263</v>
      </c>
      <c r="K2154" t="s">
        <v>4422</v>
      </c>
      <c r="L2154" t="s">
        <v>5165</v>
      </c>
      <c r="M2154" t="s">
        <v>46</v>
      </c>
      <c r="N2154">
        <v>45572</v>
      </c>
      <c r="O2154">
        <v>435</v>
      </c>
      <c r="P2154" t="s">
        <v>20</v>
      </c>
      <c r="Q2154">
        <v>0</v>
      </c>
      <c r="R2154" t="s">
        <v>47</v>
      </c>
      <c r="S2154" t="s">
        <v>21</v>
      </c>
      <c r="T2154" t="s">
        <v>20</v>
      </c>
    </row>
    <row r="2155" spans="1:20" x14ac:dyDescent="0.3">
      <c r="A2155" t="s">
        <v>4423</v>
      </c>
      <c r="B2155" t="s">
        <v>322</v>
      </c>
      <c r="C2155" t="s">
        <v>24</v>
      </c>
      <c r="D2155" t="s">
        <v>5156</v>
      </c>
      <c r="E2155" t="s">
        <v>152</v>
      </c>
      <c r="F2155" t="s">
        <v>153</v>
      </c>
      <c r="G2155" t="s">
        <v>50</v>
      </c>
      <c r="H2155" t="s">
        <v>5142</v>
      </c>
      <c r="I2155" t="s">
        <v>5143</v>
      </c>
      <c r="J2155">
        <v>156228</v>
      </c>
      <c r="K2155" t="s">
        <v>4424</v>
      </c>
      <c r="L2155" t="s">
        <v>5165</v>
      </c>
      <c r="M2155" t="s">
        <v>46</v>
      </c>
      <c r="N2155">
        <v>45502</v>
      </c>
      <c r="O2155">
        <v>3683</v>
      </c>
      <c r="P2155" t="s">
        <v>20</v>
      </c>
      <c r="Q2155">
        <v>4</v>
      </c>
      <c r="R2155" t="s">
        <v>5116</v>
      </c>
      <c r="S2155" t="s">
        <v>53</v>
      </c>
      <c r="T2155" t="s">
        <v>20</v>
      </c>
    </row>
    <row r="2156" spans="1:20" x14ac:dyDescent="0.3">
      <c r="A2156" t="s">
        <v>4425</v>
      </c>
      <c r="B2156" t="s">
        <v>12</v>
      </c>
      <c r="C2156" t="s">
        <v>24</v>
      </c>
      <c r="D2156" t="s">
        <v>68</v>
      </c>
      <c r="E2156" t="s">
        <v>5127</v>
      </c>
      <c r="F2156" t="s">
        <v>5125</v>
      </c>
      <c r="G2156" t="s">
        <v>36</v>
      </c>
      <c r="H2156" t="s">
        <v>5142</v>
      </c>
      <c r="I2156" t="s">
        <v>5143</v>
      </c>
      <c r="J2156">
        <v>115975</v>
      </c>
      <c r="K2156" t="s">
        <v>4426</v>
      </c>
      <c r="L2156" t="s">
        <v>5165</v>
      </c>
      <c r="M2156" t="s">
        <v>19</v>
      </c>
      <c r="N2156">
        <v>45317</v>
      </c>
      <c r="O2156">
        <v>1320</v>
      </c>
      <c r="P2156" t="s">
        <v>20</v>
      </c>
      <c r="Q2156">
        <v>4</v>
      </c>
      <c r="R2156" t="s">
        <v>5116</v>
      </c>
      <c r="S2156" t="s">
        <v>21</v>
      </c>
      <c r="T2156" t="s">
        <v>20</v>
      </c>
    </row>
    <row r="2157" spans="1:20" x14ac:dyDescent="0.3">
      <c r="A2157" t="s">
        <v>4427</v>
      </c>
      <c r="B2157" t="s">
        <v>23</v>
      </c>
      <c r="C2157" t="s">
        <v>151</v>
      </c>
      <c r="D2157" t="s">
        <v>68</v>
      </c>
      <c r="E2157" t="s">
        <v>152</v>
      </c>
      <c r="F2157" t="s">
        <v>153</v>
      </c>
      <c r="G2157" t="s">
        <v>36</v>
      </c>
      <c r="H2157" t="s">
        <v>5138</v>
      </c>
      <c r="I2157" t="s">
        <v>5139</v>
      </c>
      <c r="J2157">
        <v>177810</v>
      </c>
      <c r="K2157" t="s">
        <v>4428</v>
      </c>
      <c r="L2157" t="s">
        <v>87</v>
      </c>
      <c r="M2157" t="s">
        <v>72</v>
      </c>
      <c r="N2157">
        <v>45703</v>
      </c>
      <c r="O2157">
        <v>804</v>
      </c>
      <c r="P2157" t="s">
        <v>20</v>
      </c>
      <c r="Q2157">
        <v>6</v>
      </c>
      <c r="R2157" t="s">
        <v>40</v>
      </c>
      <c r="S2157" t="s">
        <v>21</v>
      </c>
      <c r="T2157" t="s">
        <v>29</v>
      </c>
    </row>
    <row r="2158" spans="1:20" x14ac:dyDescent="0.3">
      <c r="A2158" t="s">
        <v>4429</v>
      </c>
      <c r="B2158" t="s">
        <v>84</v>
      </c>
      <c r="C2158" t="s">
        <v>32</v>
      </c>
      <c r="D2158" t="s">
        <v>118</v>
      </c>
      <c r="E2158" t="s">
        <v>223</v>
      </c>
      <c r="F2158" t="s">
        <v>224</v>
      </c>
      <c r="G2158" t="s">
        <v>50</v>
      </c>
      <c r="H2158" t="s">
        <v>5140</v>
      </c>
      <c r="I2158" t="s">
        <v>5141</v>
      </c>
      <c r="J2158">
        <v>102571</v>
      </c>
      <c r="K2158" t="s">
        <v>4430</v>
      </c>
      <c r="L2158" t="s">
        <v>5165</v>
      </c>
      <c r="M2158" t="s">
        <v>19</v>
      </c>
      <c r="N2158">
        <v>45518</v>
      </c>
      <c r="O2158">
        <v>3777</v>
      </c>
      <c r="P2158" t="s">
        <v>92</v>
      </c>
      <c r="Q2158">
        <v>2</v>
      </c>
      <c r="R2158" t="s">
        <v>76</v>
      </c>
      <c r="S2158" t="s">
        <v>21</v>
      </c>
      <c r="T2158" t="s">
        <v>20</v>
      </c>
    </row>
    <row r="2159" spans="1:20" x14ac:dyDescent="0.3">
      <c r="A2159" t="s">
        <v>4431</v>
      </c>
      <c r="B2159" t="s">
        <v>218</v>
      </c>
      <c r="C2159" t="s">
        <v>125</v>
      </c>
      <c r="D2159" t="s">
        <v>167</v>
      </c>
      <c r="E2159" t="s">
        <v>95</v>
      </c>
      <c r="F2159" t="s">
        <v>96</v>
      </c>
      <c r="G2159" t="s">
        <v>16</v>
      </c>
      <c r="H2159" t="s">
        <v>5136</v>
      </c>
      <c r="I2159" t="s">
        <v>5137</v>
      </c>
      <c r="J2159">
        <v>65996</v>
      </c>
      <c r="K2159" t="s">
        <v>4432</v>
      </c>
      <c r="L2159" t="s">
        <v>38</v>
      </c>
      <c r="M2159" t="s">
        <v>72</v>
      </c>
      <c r="N2159">
        <v>45440</v>
      </c>
      <c r="O2159">
        <v>2468</v>
      </c>
      <c r="P2159" t="s">
        <v>20</v>
      </c>
      <c r="Q2159">
        <v>0</v>
      </c>
      <c r="R2159" t="s">
        <v>40</v>
      </c>
      <c r="S2159" t="s">
        <v>53</v>
      </c>
      <c r="T2159" t="s">
        <v>29</v>
      </c>
    </row>
    <row r="2160" spans="1:20" x14ac:dyDescent="0.3">
      <c r="A2160" t="s">
        <v>4433</v>
      </c>
      <c r="B2160" t="s">
        <v>89</v>
      </c>
      <c r="C2160" t="s">
        <v>13</v>
      </c>
      <c r="D2160" t="s">
        <v>140</v>
      </c>
      <c r="E2160" t="s">
        <v>5131</v>
      </c>
      <c r="F2160" t="s">
        <v>5125</v>
      </c>
      <c r="G2160" t="s">
        <v>16</v>
      </c>
      <c r="H2160" t="s">
        <v>5140</v>
      </c>
      <c r="I2160" t="s">
        <v>5141</v>
      </c>
      <c r="J2160">
        <v>135376</v>
      </c>
      <c r="K2160" t="s">
        <v>4434</v>
      </c>
      <c r="L2160" t="s">
        <v>238</v>
      </c>
      <c r="M2160" t="s">
        <v>19</v>
      </c>
      <c r="N2160">
        <v>45536</v>
      </c>
      <c r="O2160">
        <v>3086</v>
      </c>
      <c r="P2160" t="s">
        <v>20</v>
      </c>
      <c r="Q2160">
        <v>2</v>
      </c>
      <c r="R2160" t="s">
        <v>40</v>
      </c>
      <c r="S2160" t="s">
        <v>21</v>
      </c>
      <c r="T2160" t="s">
        <v>20</v>
      </c>
    </row>
    <row r="2161" spans="1:20" x14ac:dyDescent="0.3">
      <c r="A2161" t="s">
        <v>4435</v>
      </c>
      <c r="B2161" t="s">
        <v>63</v>
      </c>
      <c r="C2161" t="s">
        <v>56</v>
      </c>
      <c r="D2161" t="s">
        <v>167</v>
      </c>
      <c r="E2161" t="s">
        <v>223</v>
      </c>
      <c r="F2161" t="s">
        <v>224</v>
      </c>
      <c r="G2161" t="s">
        <v>36</v>
      </c>
      <c r="H2161" t="s">
        <v>5138</v>
      </c>
      <c r="I2161" t="s">
        <v>5139</v>
      </c>
      <c r="J2161">
        <v>220076</v>
      </c>
      <c r="K2161" t="s">
        <v>4436</v>
      </c>
      <c r="L2161" t="s">
        <v>87</v>
      </c>
      <c r="M2161" t="s">
        <v>46</v>
      </c>
      <c r="N2161">
        <v>45660</v>
      </c>
      <c r="O2161">
        <v>2082</v>
      </c>
      <c r="P2161" t="s">
        <v>20</v>
      </c>
      <c r="Q2161">
        <v>6</v>
      </c>
      <c r="R2161" t="s">
        <v>40</v>
      </c>
      <c r="S2161" t="s">
        <v>53</v>
      </c>
      <c r="T2161" t="s">
        <v>20</v>
      </c>
    </row>
    <row r="2162" spans="1:20" x14ac:dyDescent="0.3">
      <c r="A2162" t="s">
        <v>4437</v>
      </c>
      <c r="B2162" t="s">
        <v>165</v>
      </c>
      <c r="C2162" t="s">
        <v>85</v>
      </c>
      <c r="D2162" t="s">
        <v>104</v>
      </c>
      <c r="E2162" t="s">
        <v>26</v>
      </c>
      <c r="F2162" t="s">
        <v>27</v>
      </c>
      <c r="G2162" t="s">
        <v>16</v>
      </c>
      <c r="H2162" t="s">
        <v>5136</v>
      </c>
      <c r="I2162" t="s">
        <v>5137</v>
      </c>
      <c r="J2162">
        <v>55995</v>
      </c>
      <c r="K2162" t="s">
        <v>4438</v>
      </c>
      <c r="L2162" t="s">
        <v>134</v>
      </c>
      <c r="M2162" t="s">
        <v>46</v>
      </c>
      <c r="N2162">
        <v>45615</v>
      </c>
      <c r="O2162">
        <v>1971</v>
      </c>
      <c r="P2162" t="s">
        <v>20</v>
      </c>
      <c r="Q2162">
        <v>0</v>
      </c>
      <c r="R2162" t="s">
        <v>52</v>
      </c>
      <c r="S2162" t="s">
        <v>21</v>
      </c>
      <c r="T2162" t="s">
        <v>29</v>
      </c>
    </row>
    <row r="2163" spans="1:20" x14ac:dyDescent="0.3">
      <c r="A2163" t="s">
        <v>4439</v>
      </c>
      <c r="B2163" t="s">
        <v>215</v>
      </c>
      <c r="C2163" t="s">
        <v>64</v>
      </c>
      <c r="D2163" t="s">
        <v>104</v>
      </c>
      <c r="E2163" t="s">
        <v>58</v>
      </c>
      <c r="F2163" t="s">
        <v>59</v>
      </c>
      <c r="G2163" t="s">
        <v>16</v>
      </c>
      <c r="H2163" t="s">
        <v>5136</v>
      </c>
      <c r="I2163" t="s">
        <v>5137</v>
      </c>
      <c r="J2163">
        <v>73105</v>
      </c>
      <c r="K2163" t="s">
        <v>4440</v>
      </c>
      <c r="L2163" t="s">
        <v>5165</v>
      </c>
      <c r="M2163" t="s">
        <v>39</v>
      </c>
      <c r="N2163">
        <v>45432</v>
      </c>
      <c r="O2163">
        <v>1370</v>
      </c>
      <c r="P2163" t="s">
        <v>20</v>
      </c>
      <c r="Q2163">
        <v>0</v>
      </c>
      <c r="R2163" t="s">
        <v>76</v>
      </c>
      <c r="S2163" t="s">
        <v>53</v>
      </c>
      <c r="T2163" t="s">
        <v>20</v>
      </c>
    </row>
    <row r="2164" spans="1:20" x14ac:dyDescent="0.3">
      <c r="A2164" t="s">
        <v>4441</v>
      </c>
      <c r="B2164" t="s">
        <v>84</v>
      </c>
      <c r="C2164" t="s">
        <v>219</v>
      </c>
      <c r="D2164" t="s">
        <v>44</v>
      </c>
      <c r="E2164" t="s">
        <v>95</v>
      </c>
      <c r="F2164" t="s">
        <v>96</v>
      </c>
      <c r="G2164" t="s">
        <v>50</v>
      </c>
      <c r="H2164" t="s">
        <v>5140</v>
      </c>
      <c r="I2164" t="s">
        <v>5141</v>
      </c>
      <c r="J2164">
        <v>119864</v>
      </c>
      <c r="K2164" t="s">
        <v>4442</v>
      </c>
      <c r="L2164" t="s">
        <v>113</v>
      </c>
      <c r="M2164" t="s">
        <v>46</v>
      </c>
      <c r="N2164">
        <v>45312</v>
      </c>
      <c r="O2164">
        <v>1329</v>
      </c>
      <c r="P2164" t="s">
        <v>20</v>
      </c>
      <c r="Q2164">
        <v>2</v>
      </c>
      <c r="R2164" t="s">
        <v>40</v>
      </c>
      <c r="S2164" t="s">
        <v>21</v>
      </c>
      <c r="T2164" t="s">
        <v>20</v>
      </c>
    </row>
    <row r="2165" spans="1:20" x14ac:dyDescent="0.3">
      <c r="A2165" t="s">
        <v>4443</v>
      </c>
      <c r="B2165" t="s">
        <v>63</v>
      </c>
      <c r="C2165" t="s">
        <v>94</v>
      </c>
      <c r="D2165" t="s">
        <v>118</v>
      </c>
      <c r="E2165" t="s">
        <v>14</v>
      </c>
      <c r="F2165" t="s">
        <v>15</v>
      </c>
      <c r="G2165" t="s">
        <v>16</v>
      </c>
      <c r="H2165" t="s">
        <v>5140</v>
      </c>
      <c r="I2165" t="s">
        <v>5141</v>
      </c>
      <c r="J2165">
        <v>132574</v>
      </c>
      <c r="K2165" t="s">
        <v>4444</v>
      </c>
      <c r="L2165" t="s">
        <v>5165</v>
      </c>
      <c r="M2165" t="s">
        <v>19</v>
      </c>
      <c r="N2165">
        <v>45386</v>
      </c>
      <c r="O2165">
        <v>1021</v>
      </c>
      <c r="P2165" t="s">
        <v>92</v>
      </c>
      <c r="Q2165">
        <v>2</v>
      </c>
      <c r="R2165" t="s">
        <v>5116</v>
      </c>
      <c r="S2165" t="s">
        <v>53</v>
      </c>
      <c r="T2165" t="s">
        <v>20</v>
      </c>
    </row>
    <row r="2166" spans="1:20" x14ac:dyDescent="0.3">
      <c r="A2166" t="s">
        <v>4445</v>
      </c>
      <c r="B2166" t="s">
        <v>229</v>
      </c>
      <c r="C2166" t="s">
        <v>24</v>
      </c>
      <c r="D2166" t="s">
        <v>104</v>
      </c>
      <c r="E2166" t="s">
        <v>80</v>
      </c>
      <c r="F2166" t="s">
        <v>80</v>
      </c>
      <c r="G2166" t="s">
        <v>16</v>
      </c>
      <c r="H2166" t="s">
        <v>5140</v>
      </c>
      <c r="I2166" t="s">
        <v>5141</v>
      </c>
      <c r="J2166">
        <v>141294</v>
      </c>
      <c r="K2166" t="s">
        <v>4446</v>
      </c>
      <c r="L2166" t="s">
        <v>5165</v>
      </c>
      <c r="M2166" t="s">
        <v>46</v>
      </c>
      <c r="N2166">
        <v>45697</v>
      </c>
      <c r="O2166">
        <v>2346</v>
      </c>
      <c r="P2166" t="s">
        <v>20</v>
      </c>
      <c r="Q2166">
        <v>2</v>
      </c>
      <c r="R2166" t="s">
        <v>47</v>
      </c>
      <c r="S2166" t="s">
        <v>21</v>
      </c>
      <c r="T2166" t="s">
        <v>20</v>
      </c>
    </row>
    <row r="2167" spans="1:20" x14ac:dyDescent="0.3">
      <c r="A2167" t="s">
        <v>4447</v>
      </c>
      <c r="B2167" t="s">
        <v>12</v>
      </c>
      <c r="C2167" t="s">
        <v>67</v>
      </c>
      <c r="D2167" t="s">
        <v>118</v>
      </c>
      <c r="E2167" t="s">
        <v>5132</v>
      </c>
      <c r="F2167" t="s">
        <v>5125</v>
      </c>
      <c r="G2167" t="s">
        <v>36</v>
      </c>
      <c r="H2167" t="s">
        <v>5138</v>
      </c>
      <c r="I2167" t="s">
        <v>5139</v>
      </c>
      <c r="J2167">
        <v>163456</v>
      </c>
      <c r="K2167" t="s">
        <v>4448</v>
      </c>
      <c r="L2167" t="s">
        <v>5165</v>
      </c>
      <c r="M2167" t="s">
        <v>39</v>
      </c>
      <c r="N2167">
        <v>45578</v>
      </c>
      <c r="O2167">
        <v>789</v>
      </c>
      <c r="P2167" t="s">
        <v>20</v>
      </c>
      <c r="Q2167">
        <v>6</v>
      </c>
      <c r="R2167" t="s">
        <v>52</v>
      </c>
      <c r="S2167" t="s">
        <v>21</v>
      </c>
      <c r="T2167" t="s">
        <v>20</v>
      </c>
    </row>
    <row r="2168" spans="1:20" x14ac:dyDescent="0.3">
      <c r="A2168" t="s">
        <v>4449</v>
      </c>
      <c r="B2168" t="s">
        <v>89</v>
      </c>
      <c r="C2168" t="s">
        <v>185</v>
      </c>
      <c r="D2168" t="s">
        <v>68</v>
      </c>
      <c r="E2168" t="s">
        <v>26</v>
      </c>
      <c r="F2168" t="s">
        <v>27</v>
      </c>
      <c r="G2168" t="s">
        <v>36</v>
      </c>
      <c r="H2168" t="s">
        <v>5138</v>
      </c>
      <c r="I2168" t="s">
        <v>5139</v>
      </c>
      <c r="J2168">
        <v>170809</v>
      </c>
      <c r="K2168" t="s">
        <v>4450</v>
      </c>
      <c r="L2168" t="s">
        <v>18</v>
      </c>
      <c r="M2168" t="s">
        <v>39</v>
      </c>
      <c r="N2168">
        <v>45708</v>
      </c>
      <c r="O2168">
        <v>55</v>
      </c>
      <c r="P2168" t="s">
        <v>20</v>
      </c>
      <c r="Q2168">
        <v>6</v>
      </c>
      <c r="R2168" t="s">
        <v>5116</v>
      </c>
      <c r="S2168" t="s">
        <v>21</v>
      </c>
      <c r="T2168" t="s">
        <v>29</v>
      </c>
    </row>
    <row r="2169" spans="1:20" x14ac:dyDescent="0.3">
      <c r="A2169" t="s">
        <v>4451</v>
      </c>
      <c r="B2169" t="s">
        <v>218</v>
      </c>
      <c r="C2169" t="s">
        <v>117</v>
      </c>
      <c r="D2169" t="s">
        <v>57</v>
      </c>
      <c r="E2169" t="s">
        <v>34</v>
      </c>
      <c r="F2169" t="s">
        <v>35</v>
      </c>
      <c r="G2169" t="s">
        <v>36</v>
      </c>
      <c r="H2169" t="s">
        <v>5136</v>
      </c>
      <c r="I2169" t="s">
        <v>5137</v>
      </c>
      <c r="J2169">
        <v>54154</v>
      </c>
      <c r="K2169" t="s">
        <v>4452</v>
      </c>
      <c r="L2169" t="s">
        <v>5165</v>
      </c>
      <c r="M2169" t="s">
        <v>46</v>
      </c>
      <c r="N2169">
        <v>45599</v>
      </c>
      <c r="O2169">
        <v>2835</v>
      </c>
      <c r="P2169" t="s">
        <v>92</v>
      </c>
      <c r="Q2169">
        <v>0</v>
      </c>
      <c r="R2169" t="s">
        <v>52</v>
      </c>
      <c r="S2169" t="s">
        <v>21</v>
      </c>
      <c r="T2169" t="s">
        <v>29</v>
      </c>
    </row>
    <row r="2170" spans="1:20" x14ac:dyDescent="0.3">
      <c r="A2170" t="s">
        <v>4453</v>
      </c>
      <c r="B2170" t="s">
        <v>215</v>
      </c>
      <c r="C2170" t="s">
        <v>94</v>
      </c>
      <c r="D2170" t="s">
        <v>44</v>
      </c>
      <c r="E2170" t="s">
        <v>223</v>
      </c>
      <c r="F2170" t="s">
        <v>224</v>
      </c>
      <c r="G2170" t="s">
        <v>16</v>
      </c>
      <c r="H2170" t="s">
        <v>5142</v>
      </c>
      <c r="I2170" t="s">
        <v>5143</v>
      </c>
      <c r="J2170">
        <v>143681</v>
      </c>
      <c r="K2170" t="s">
        <v>4454</v>
      </c>
      <c r="L2170" t="s">
        <v>82</v>
      </c>
      <c r="M2170" t="s">
        <v>46</v>
      </c>
      <c r="N2170">
        <v>45300</v>
      </c>
      <c r="O2170">
        <v>842</v>
      </c>
      <c r="P2170" t="s">
        <v>20</v>
      </c>
      <c r="Q2170">
        <v>4</v>
      </c>
      <c r="R2170" t="s">
        <v>52</v>
      </c>
      <c r="S2170" t="s">
        <v>21</v>
      </c>
      <c r="T2170" t="s">
        <v>20</v>
      </c>
    </row>
    <row r="2171" spans="1:20" x14ac:dyDescent="0.3">
      <c r="A2171" t="s">
        <v>4455</v>
      </c>
      <c r="B2171" t="s">
        <v>229</v>
      </c>
      <c r="C2171" t="s">
        <v>175</v>
      </c>
      <c r="D2171" t="s">
        <v>167</v>
      </c>
      <c r="E2171" t="s">
        <v>193</v>
      </c>
      <c r="F2171" t="s">
        <v>194</v>
      </c>
      <c r="G2171" t="s">
        <v>36</v>
      </c>
      <c r="H2171" t="s">
        <v>5136</v>
      </c>
      <c r="I2171" t="s">
        <v>5137</v>
      </c>
      <c r="J2171">
        <v>75876</v>
      </c>
      <c r="K2171" t="s">
        <v>4456</v>
      </c>
      <c r="L2171" t="s">
        <v>38</v>
      </c>
      <c r="M2171" t="s">
        <v>39</v>
      </c>
      <c r="N2171">
        <v>45725</v>
      </c>
      <c r="O2171">
        <v>1503</v>
      </c>
      <c r="P2171" t="s">
        <v>29</v>
      </c>
      <c r="Q2171">
        <v>0</v>
      </c>
      <c r="R2171" t="s">
        <v>52</v>
      </c>
      <c r="S2171" t="s">
        <v>21</v>
      </c>
      <c r="T2171" t="s">
        <v>20</v>
      </c>
    </row>
    <row r="2172" spans="1:20" x14ac:dyDescent="0.3">
      <c r="A2172" t="s">
        <v>4457</v>
      </c>
      <c r="B2172" t="s">
        <v>55</v>
      </c>
      <c r="C2172" t="s">
        <v>219</v>
      </c>
      <c r="D2172" t="s">
        <v>44</v>
      </c>
      <c r="E2172" t="s">
        <v>69</v>
      </c>
      <c r="F2172" t="s">
        <v>70</v>
      </c>
      <c r="G2172" t="s">
        <v>16</v>
      </c>
      <c r="H2172" t="s">
        <v>5138</v>
      </c>
      <c r="I2172" t="s">
        <v>5139</v>
      </c>
      <c r="J2172">
        <v>235544</v>
      </c>
      <c r="K2172" t="s">
        <v>4458</v>
      </c>
      <c r="L2172" t="s">
        <v>5165</v>
      </c>
      <c r="M2172" t="s">
        <v>39</v>
      </c>
      <c r="N2172">
        <v>45609</v>
      </c>
      <c r="O2172">
        <v>1684</v>
      </c>
      <c r="P2172" t="s">
        <v>20</v>
      </c>
      <c r="Q2172">
        <v>6</v>
      </c>
      <c r="R2172" t="s">
        <v>52</v>
      </c>
      <c r="S2172" t="s">
        <v>21</v>
      </c>
      <c r="T2172" t="s">
        <v>20</v>
      </c>
    </row>
    <row r="2173" spans="1:20" x14ac:dyDescent="0.3">
      <c r="A2173" t="s">
        <v>4459</v>
      </c>
      <c r="B2173" t="s">
        <v>23</v>
      </c>
      <c r="C2173" t="s">
        <v>79</v>
      </c>
      <c r="D2173" t="s">
        <v>68</v>
      </c>
      <c r="E2173" t="s">
        <v>5124</v>
      </c>
      <c r="F2173" t="s">
        <v>5125</v>
      </c>
      <c r="G2173" t="s">
        <v>16</v>
      </c>
      <c r="H2173" t="s">
        <v>5136</v>
      </c>
      <c r="I2173" t="s">
        <v>5137</v>
      </c>
      <c r="J2173">
        <v>69043</v>
      </c>
      <c r="K2173" t="s">
        <v>4460</v>
      </c>
      <c r="L2173" t="s">
        <v>18</v>
      </c>
      <c r="M2173" t="s">
        <v>39</v>
      </c>
      <c r="N2173">
        <v>45416</v>
      </c>
      <c r="O2173">
        <v>1192</v>
      </c>
      <c r="P2173" t="s">
        <v>92</v>
      </c>
      <c r="Q2173">
        <v>0</v>
      </c>
      <c r="R2173" t="s">
        <v>76</v>
      </c>
      <c r="S2173" t="s">
        <v>21</v>
      </c>
      <c r="T2173" t="s">
        <v>29</v>
      </c>
    </row>
    <row r="2174" spans="1:20" x14ac:dyDescent="0.3">
      <c r="A2174" t="s">
        <v>4461</v>
      </c>
      <c r="B2174" t="s">
        <v>89</v>
      </c>
      <c r="C2174" t="s">
        <v>13</v>
      </c>
      <c r="D2174" t="s">
        <v>68</v>
      </c>
      <c r="E2174" t="s">
        <v>152</v>
      </c>
      <c r="F2174" t="s">
        <v>153</v>
      </c>
      <c r="G2174" t="s">
        <v>16</v>
      </c>
      <c r="H2174" t="s">
        <v>5136</v>
      </c>
      <c r="I2174" t="s">
        <v>5137</v>
      </c>
      <c r="J2174">
        <v>65969</v>
      </c>
      <c r="K2174" t="s">
        <v>4462</v>
      </c>
      <c r="L2174" t="s">
        <v>179</v>
      </c>
      <c r="M2174" t="s">
        <v>19</v>
      </c>
      <c r="N2174">
        <v>45737</v>
      </c>
      <c r="O2174">
        <v>846</v>
      </c>
      <c r="P2174" t="s">
        <v>92</v>
      </c>
      <c r="Q2174">
        <v>0</v>
      </c>
      <c r="R2174" t="s">
        <v>52</v>
      </c>
      <c r="S2174" t="s">
        <v>53</v>
      </c>
      <c r="T2174" t="s">
        <v>20</v>
      </c>
    </row>
    <row r="2175" spans="1:20" x14ac:dyDescent="0.3">
      <c r="A2175" t="s">
        <v>4463</v>
      </c>
      <c r="B2175" t="s">
        <v>12</v>
      </c>
      <c r="C2175" t="s">
        <v>232</v>
      </c>
      <c r="D2175" t="s">
        <v>167</v>
      </c>
      <c r="E2175" t="s">
        <v>34</v>
      </c>
      <c r="F2175" t="s">
        <v>35</v>
      </c>
      <c r="G2175" t="s">
        <v>16</v>
      </c>
      <c r="H2175" t="s">
        <v>5138</v>
      </c>
      <c r="I2175" t="s">
        <v>5139</v>
      </c>
      <c r="J2175">
        <v>205463</v>
      </c>
      <c r="K2175" t="s">
        <v>4464</v>
      </c>
      <c r="L2175" t="s">
        <v>38</v>
      </c>
      <c r="M2175" t="s">
        <v>46</v>
      </c>
      <c r="N2175">
        <v>45566</v>
      </c>
      <c r="O2175">
        <v>3223</v>
      </c>
      <c r="P2175" t="s">
        <v>29</v>
      </c>
      <c r="Q2175">
        <v>6</v>
      </c>
      <c r="R2175" t="s">
        <v>40</v>
      </c>
      <c r="S2175" t="s">
        <v>21</v>
      </c>
      <c r="T2175" t="s">
        <v>20</v>
      </c>
    </row>
    <row r="2176" spans="1:20" x14ac:dyDescent="0.3">
      <c r="A2176" t="s">
        <v>4465</v>
      </c>
      <c r="B2176" t="s">
        <v>229</v>
      </c>
      <c r="C2176" t="s">
        <v>151</v>
      </c>
      <c r="D2176" t="s">
        <v>68</v>
      </c>
      <c r="E2176" t="s">
        <v>152</v>
      </c>
      <c r="F2176" t="s">
        <v>153</v>
      </c>
      <c r="G2176" t="s">
        <v>50</v>
      </c>
      <c r="H2176" t="s">
        <v>5138</v>
      </c>
      <c r="I2176" t="s">
        <v>5139</v>
      </c>
      <c r="J2176">
        <v>169934</v>
      </c>
      <c r="K2176" t="s">
        <v>4466</v>
      </c>
      <c r="L2176" t="s">
        <v>5165</v>
      </c>
      <c r="M2176" t="s">
        <v>46</v>
      </c>
      <c r="N2176">
        <v>45358</v>
      </c>
      <c r="O2176">
        <v>2255</v>
      </c>
      <c r="P2176" t="s">
        <v>29</v>
      </c>
      <c r="Q2176">
        <v>6</v>
      </c>
      <c r="R2176" t="s">
        <v>76</v>
      </c>
      <c r="S2176" t="s">
        <v>53</v>
      </c>
      <c r="T2176" t="s">
        <v>20</v>
      </c>
    </row>
    <row r="2177" spans="1:20" x14ac:dyDescent="0.3">
      <c r="A2177" t="s">
        <v>4467</v>
      </c>
      <c r="B2177" t="s">
        <v>124</v>
      </c>
      <c r="C2177" t="s">
        <v>202</v>
      </c>
      <c r="D2177" t="s">
        <v>25</v>
      </c>
      <c r="E2177" t="s">
        <v>58</v>
      </c>
      <c r="F2177" t="s">
        <v>59</v>
      </c>
      <c r="G2177" t="s">
        <v>16</v>
      </c>
      <c r="H2177" t="s">
        <v>5138</v>
      </c>
      <c r="I2177" t="s">
        <v>5139</v>
      </c>
      <c r="J2177">
        <v>275223</v>
      </c>
      <c r="K2177" t="s">
        <v>4468</v>
      </c>
      <c r="L2177" t="s">
        <v>179</v>
      </c>
      <c r="M2177" t="s">
        <v>72</v>
      </c>
      <c r="N2177">
        <v>45540</v>
      </c>
      <c r="O2177">
        <v>3258</v>
      </c>
      <c r="P2177" t="s">
        <v>20</v>
      </c>
      <c r="Q2177">
        <v>6</v>
      </c>
      <c r="R2177" t="s">
        <v>40</v>
      </c>
      <c r="S2177" t="s">
        <v>21</v>
      </c>
      <c r="T2177" t="s">
        <v>20</v>
      </c>
    </row>
    <row r="2178" spans="1:20" x14ac:dyDescent="0.3">
      <c r="A2178" t="s">
        <v>4469</v>
      </c>
      <c r="B2178" t="s">
        <v>74</v>
      </c>
      <c r="C2178" t="s">
        <v>90</v>
      </c>
      <c r="D2178" t="s">
        <v>140</v>
      </c>
      <c r="E2178" t="s">
        <v>5129</v>
      </c>
      <c r="F2178" t="s">
        <v>5130</v>
      </c>
      <c r="G2178" t="s">
        <v>16</v>
      </c>
      <c r="H2178" t="s">
        <v>5140</v>
      </c>
      <c r="I2178" t="s">
        <v>5141</v>
      </c>
      <c r="J2178">
        <v>78168</v>
      </c>
      <c r="K2178" t="s">
        <v>4470</v>
      </c>
      <c r="L2178" t="s">
        <v>38</v>
      </c>
      <c r="M2178" t="s">
        <v>72</v>
      </c>
      <c r="N2178">
        <v>45299</v>
      </c>
      <c r="O2178">
        <v>956</v>
      </c>
      <c r="P2178" t="s">
        <v>20</v>
      </c>
      <c r="Q2178">
        <v>2</v>
      </c>
      <c r="R2178" t="s">
        <v>5116</v>
      </c>
      <c r="S2178" t="s">
        <v>53</v>
      </c>
      <c r="T2178" t="s">
        <v>29</v>
      </c>
    </row>
    <row r="2179" spans="1:20" x14ac:dyDescent="0.3">
      <c r="A2179" t="s">
        <v>4471</v>
      </c>
      <c r="B2179" t="s">
        <v>218</v>
      </c>
      <c r="C2179" t="s">
        <v>202</v>
      </c>
      <c r="D2179" t="s">
        <v>57</v>
      </c>
      <c r="E2179" t="s">
        <v>5127</v>
      </c>
      <c r="F2179" t="s">
        <v>5125</v>
      </c>
      <c r="G2179" t="s">
        <v>16</v>
      </c>
      <c r="H2179" t="s">
        <v>5136</v>
      </c>
      <c r="I2179" t="s">
        <v>5137</v>
      </c>
      <c r="J2179">
        <v>72327</v>
      </c>
      <c r="K2179" t="s">
        <v>4472</v>
      </c>
      <c r="L2179" t="s">
        <v>61</v>
      </c>
      <c r="M2179" t="s">
        <v>19</v>
      </c>
      <c r="N2179">
        <v>45716</v>
      </c>
      <c r="O2179">
        <v>3806</v>
      </c>
      <c r="P2179" t="s">
        <v>20</v>
      </c>
      <c r="Q2179">
        <v>0</v>
      </c>
      <c r="R2179" t="s">
        <v>40</v>
      </c>
      <c r="S2179" t="s">
        <v>21</v>
      </c>
      <c r="T2179" t="s">
        <v>29</v>
      </c>
    </row>
    <row r="2180" spans="1:20" x14ac:dyDescent="0.3">
      <c r="A2180" t="s">
        <v>4473</v>
      </c>
      <c r="B2180" t="s">
        <v>84</v>
      </c>
      <c r="C2180" t="s">
        <v>172</v>
      </c>
      <c r="D2180" t="s">
        <v>57</v>
      </c>
      <c r="E2180" t="s">
        <v>5131</v>
      </c>
      <c r="F2180" t="s">
        <v>5125</v>
      </c>
      <c r="G2180" t="s">
        <v>36</v>
      </c>
      <c r="H2180" t="s">
        <v>5142</v>
      </c>
      <c r="I2180" t="s">
        <v>5143</v>
      </c>
      <c r="J2180">
        <v>204637</v>
      </c>
      <c r="K2180" t="s">
        <v>4474</v>
      </c>
      <c r="L2180" t="s">
        <v>134</v>
      </c>
      <c r="M2180" t="s">
        <v>19</v>
      </c>
      <c r="N2180">
        <v>45670</v>
      </c>
      <c r="O2180">
        <v>1256</v>
      </c>
      <c r="P2180" t="s">
        <v>20</v>
      </c>
      <c r="Q2180">
        <v>4</v>
      </c>
      <c r="R2180" t="s">
        <v>76</v>
      </c>
      <c r="S2180" t="s">
        <v>53</v>
      </c>
      <c r="T2180" t="s">
        <v>29</v>
      </c>
    </row>
    <row r="2181" spans="1:20" x14ac:dyDescent="0.3">
      <c r="A2181" t="s">
        <v>4475</v>
      </c>
      <c r="B2181" t="s">
        <v>222</v>
      </c>
      <c r="C2181" t="s">
        <v>90</v>
      </c>
      <c r="D2181" t="s">
        <v>140</v>
      </c>
      <c r="E2181" t="s">
        <v>26</v>
      </c>
      <c r="F2181" t="s">
        <v>27</v>
      </c>
      <c r="G2181" t="s">
        <v>16</v>
      </c>
      <c r="H2181" t="s">
        <v>5140</v>
      </c>
      <c r="I2181" t="s">
        <v>5141</v>
      </c>
      <c r="J2181">
        <v>110134</v>
      </c>
      <c r="K2181" t="s">
        <v>4476</v>
      </c>
      <c r="L2181" t="s">
        <v>18</v>
      </c>
      <c r="M2181" t="s">
        <v>46</v>
      </c>
      <c r="N2181">
        <v>45692</v>
      </c>
      <c r="O2181">
        <v>2759</v>
      </c>
      <c r="P2181" t="s">
        <v>20</v>
      </c>
      <c r="Q2181">
        <v>2</v>
      </c>
      <c r="R2181" t="s">
        <v>5116</v>
      </c>
      <c r="S2181" t="s">
        <v>53</v>
      </c>
      <c r="T2181" t="s">
        <v>29</v>
      </c>
    </row>
    <row r="2182" spans="1:20" x14ac:dyDescent="0.3">
      <c r="A2182" t="s">
        <v>4477</v>
      </c>
      <c r="B2182" t="s">
        <v>99</v>
      </c>
      <c r="C2182" t="s">
        <v>94</v>
      </c>
      <c r="D2182" t="s">
        <v>25</v>
      </c>
      <c r="E2182" t="s">
        <v>14</v>
      </c>
      <c r="F2182" t="s">
        <v>15</v>
      </c>
      <c r="G2182" t="s">
        <v>36</v>
      </c>
      <c r="H2182" t="s">
        <v>5136</v>
      </c>
      <c r="I2182" t="s">
        <v>5137</v>
      </c>
      <c r="J2182">
        <v>67605</v>
      </c>
      <c r="K2182" t="s">
        <v>4478</v>
      </c>
      <c r="L2182" t="s">
        <v>38</v>
      </c>
      <c r="M2182" t="s">
        <v>19</v>
      </c>
      <c r="N2182">
        <v>45738</v>
      </c>
      <c r="O2182">
        <v>458</v>
      </c>
      <c r="P2182" t="s">
        <v>20</v>
      </c>
      <c r="Q2182">
        <v>0</v>
      </c>
      <c r="R2182" t="s">
        <v>5116</v>
      </c>
      <c r="S2182" t="s">
        <v>21</v>
      </c>
      <c r="T2182" t="s">
        <v>20</v>
      </c>
    </row>
    <row r="2183" spans="1:20" x14ac:dyDescent="0.3">
      <c r="A2183" t="s">
        <v>4479</v>
      </c>
      <c r="B2183" t="s">
        <v>165</v>
      </c>
      <c r="C2183" t="s">
        <v>85</v>
      </c>
      <c r="D2183" t="s">
        <v>68</v>
      </c>
      <c r="E2183" t="s">
        <v>5128</v>
      </c>
      <c r="F2183" t="s">
        <v>5125</v>
      </c>
      <c r="G2183" t="s">
        <v>36</v>
      </c>
      <c r="H2183" t="s">
        <v>5140</v>
      </c>
      <c r="I2183" t="s">
        <v>5141</v>
      </c>
      <c r="J2183">
        <v>102922</v>
      </c>
      <c r="K2183" t="s">
        <v>4480</v>
      </c>
      <c r="L2183" t="s">
        <v>179</v>
      </c>
      <c r="M2183" t="s">
        <v>19</v>
      </c>
      <c r="N2183">
        <v>45299</v>
      </c>
      <c r="O2183">
        <v>2792</v>
      </c>
      <c r="P2183" t="s">
        <v>29</v>
      </c>
      <c r="Q2183">
        <v>2</v>
      </c>
      <c r="R2183" t="s">
        <v>5116</v>
      </c>
      <c r="S2183" t="s">
        <v>21</v>
      </c>
      <c r="T2183" t="s">
        <v>29</v>
      </c>
    </row>
    <row r="2184" spans="1:20" x14ac:dyDescent="0.3">
      <c r="A2184" t="s">
        <v>4481</v>
      </c>
      <c r="B2184" t="s">
        <v>31</v>
      </c>
      <c r="C2184" t="s">
        <v>85</v>
      </c>
      <c r="D2184" t="s">
        <v>140</v>
      </c>
      <c r="E2184" t="s">
        <v>14</v>
      </c>
      <c r="F2184" t="s">
        <v>15</v>
      </c>
      <c r="G2184" t="s">
        <v>50</v>
      </c>
      <c r="H2184" t="s">
        <v>5142</v>
      </c>
      <c r="I2184" t="s">
        <v>5143</v>
      </c>
      <c r="J2184">
        <v>145129</v>
      </c>
      <c r="K2184" t="s">
        <v>4482</v>
      </c>
      <c r="L2184" t="s">
        <v>38</v>
      </c>
      <c r="M2184" t="s">
        <v>19</v>
      </c>
      <c r="N2184">
        <v>45489</v>
      </c>
      <c r="O2184">
        <v>1658</v>
      </c>
      <c r="P2184" t="s">
        <v>20</v>
      </c>
      <c r="Q2184">
        <v>4</v>
      </c>
      <c r="R2184" t="s">
        <v>52</v>
      </c>
      <c r="S2184" t="s">
        <v>21</v>
      </c>
      <c r="T2184" t="s">
        <v>20</v>
      </c>
    </row>
    <row r="2185" spans="1:20" x14ac:dyDescent="0.3">
      <c r="A2185" t="s">
        <v>4483</v>
      </c>
      <c r="B2185" t="s">
        <v>215</v>
      </c>
      <c r="C2185" t="s">
        <v>188</v>
      </c>
      <c r="D2185" t="s">
        <v>57</v>
      </c>
      <c r="E2185" t="s">
        <v>152</v>
      </c>
      <c r="F2185" t="s">
        <v>153</v>
      </c>
      <c r="G2185" t="s">
        <v>36</v>
      </c>
      <c r="H2185" t="s">
        <v>5142</v>
      </c>
      <c r="I2185" t="s">
        <v>5143</v>
      </c>
      <c r="J2185">
        <v>187066</v>
      </c>
      <c r="K2185" t="s">
        <v>4484</v>
      </c>
      <c r="L2185" t="s">
        <v>87</v>
      </c>
      <c r="M2185" t="s">
        <v>19</v>
      </c>
      <c r="N2185">
        <v>45619</v>
      </c>
      <c r="O2185">
        <v>2680</v>
      </c>
      <c r="P2185" t="s">
        <v>29</v>
      </c>
      <c r="Q2185">
        <v>4</v>
      </c>
      <c r="R2185" t="s">
        <v>40</v>
      </c>
      <c r="S2185" t="s">
        <v>53</v>
      </c>
      <c r="T2185" t="s">
        <v>29</v>
      </c>
    </row>
    <row r="2186" spans="1:20" x14ac:dyDescent="0.3">
      <c r="A2186" t="s">
        <v>4485</v>
      </c>
      <c r="B2186" t="s">
        <v>322</v>
      </c>
      <c r="C2186" t="s">
        <v>79</v>
      </c>
      <c r="D2186" t="s">
        <v>140</v>
      </c>
      <c r="E2186" t="s">
        <v>14</v>
      </c>
      <c r="F2186" t="s">
        <v>15</v>
      </c>
      <c r="G2186" t="s">
        <v>16</v>
      </c>
      <c r="H2186" t="s">
        <v>5136</v>
      </c>
      <c r="I2186" t="s">
        <v>5137</v>
      </c>
      <c r="J2186">
        <v>50000</v>
      </c>
      <c r="K2186" t="s">
        <v>4486</v>
      </c>
      <c r="L2186" t="s">
        <v>142</v>
      </c>
      <c r="M2186" t="s">
        <v>46</v>
      </c>
      <c r="N2186">
        <v>45715</v>
      </c>
      <c r="O2186">
        <v>1085</v>
      </c>
      <c r="P2186" t="s">
        <v>20</v>
      </c>
      <c r="Q2186">
        <v>0</v>
      </c>
      <c r="R2186" t="s">
        <v>40</v>
      </c>
      <c r="S2186" t="s">
        <v>21</v>
      </c>
      <c r="T2186" t="s">
        <v>29</v>
      </c>
    </row>
    <row r="2187" spans="1:20" x14ac:dyDescent="0.3">
      <c r="A2187" t="s">
        <v>4487</v>
      </c>
      <c r="B2187" t="s">
        <v>218</v>
      </c>
      <c r="C2187" t="s">
        <v>151</v>
      </c>
      <c r="D2187" t="s">
        <v>44</v>
      </c>
      <c r="E2187" t="s">
        <v>209</v>
      </c>
      <c r="F2187" t="s">
        <v>210</v>
      </c>
      <c r="G2187" t="s">
        <v>50</v>
      </c>
      <c r="H2187" t="s">
        <v>5140</v>
      </c>
      <c r="I2187" t="s">
        <v>5141</v>
      </c>
      <c r="J2187">
        <v>140361</v>
      </c>
      <c r="K2187" t="s">
        <v>4488</v>
      </c>
      <c r="L2187" t="s">
        <v>5165</v>
      </c>
      <c r="M2187" t="s">
        <v>39</v>
      </c>
      <c r="N2187">
        <v>45504</v>
      </c>
      <c r="O2187">
        <v>2294</v>
      </c>
      <c r="P2187" t="s">
        <v>29</v>
      </c>
      <c r="Q2187">
        <v>2</v>
      </c>
      <c r="R2187" t="s">
        <v>76</v>
      </c>
      <c r="S2187" t="s">
        <v>21</v>
      </c>
      <c r="T2187" t="s">
        <v>20</v>
      </c>
    </row>
    <row r="2188" spans="1:20" x14ac:dyDescent="0.3">
      <c r="A2188" t="s">
        <v>4489</v>
      </c>
      <c r="B2188" t="s">
        <v>55</v>
      </c>
      <c r="C2188" t="s">
        <v>100</v>
      </c>
      <c r="D2188" t="s">
        <v>118</v>
      </c>
      <c r="E2188" t="s">
        <v>209</v>
      </c>
      <c r="F2188" t="s">
        <v>210</v>
      </c>
      <c r="G2188" t="s">
        <v>16</v>
      </c>
      <c r="H2188" t="s">
        <v>5136</v>
      </c>
      <c r="I2188" t="s">
        <v>5137</v>
      </c>
      <c r="J2188">
        <v>52058</v>
      </c>
      <c r="K2188" t="s">
        <v>4490</v>
      </c>
      <c r="L2188" t="s">
        <v>5165</v>
      </c>
      <c r="M2188" t="s">
        <v>46</v>
      </c>
      <c r="N2188">
        <v>45572</v>
      </c>
      <c r="O2188">
        <v>3355</v>
      </c>
      <c r="P2188" t="s">
        <v>20</v>
      </c>
      <c r="Q2188">
        <v>0</v>
      </c>
      <c r="R2188" t="s">
        <v>52</v>
      </c>
      <c r="S2188" t="s">
        <v>21</v>
      </c>
      <c r="T2188" t="s">
        <v>20</v>
      </c>
    </row>
    <row r="2189" spans="1:20" x14ac:dyDescent="0.3">
      <c r="A2189" t="s">
        <v>4491</v>
      </c>
      <c r="B2189" t="s">
        <v>74</v>
      </c>
      <c r="C2189" t="s">
        <v>197</v>
      </c>
      <c r="D2189" t="s">
        <v>25</v>
      </c>
      <c r="E2189" t="s">
        <v>223</v>
      </c>
      <c r="F2189" t="s">
        <v>224</v>
      </c>
      <c r="G2189" t="s">
        <v>16</v>
      </c>
      <c r="H2189" t="s">
        <v>5136</v>
      </c>
      <c r="I2189" t="s">
        <v>5137</v>
      </c>
      <c r="J2189">
        <v>66640</v>
      </c>
      <c r="K2189" t="s">
        <v>4492</v>
      </c>
      <c r="L2189" t="s">
        <v>38</v>
      </c>
      <c r="M2189" t="s">
        <v>19</v>
      </c>
      <c r="N2189">
        <v>45724</v>
      </c>
      <c r="O2189">
        <v>1408</v>
      </c>
      <c r="P2189" t="s">
        <v>20</v>
      </c>
      <c r="Q2189">
        <v>0</v>
      </c>
      <c r="R2189" t="s">
        <v>76</v>
      </c>
      <c r="S2189" t="s">
        <v>21</v>
      </c>
      <c r="T2189" t="s">
        <v>20</v>
      </c>
    </row>
    <row r="2190" spans="1:20" x14ac:dyDescent="0.3">
      <c r="A2190" t="s">
        <v>4493</v>
      </c>
      <c r="B2190" t="s">
        <v>322</v>
      </c>
      <c r="C2190" t="s">
        <v>32</v>
      </c>
      <c r="D2190" t="s">
        <v>167</v>
      </c>
      <c r="E2190" t="s">
        <v>5128</v>
      </c>
      <c r="F2190" t="s">
        <v>5125</v>
      </c>
      <c r="G2190" t="s">
        <v>16</v>
      </c>
      <c r="H2190" t="s">
        <v>5140</v>
      </c>
      <c r="I2190" t="s">
        <v>5141</v>
      </c>
      <c r="J2190">
        <v>101500</v>
      </c>
      <c r="K2190" t="s">
        <v>4494</v>
      </c>
      <c r="L2190" t="s">
        <v>179</v>
      </c>
      <c r="M2190" t="s">
        <v>19</v>
      </c>
      <c r="N2190">
        <v>45422</v>
      </c>
      <c r="O2190">
        <v>3576</v>
      </c>
      <c r="P2190" t="s">
        <v>92</v>
      </c>
      <c r="Q2190">
        <v>2</v>
      </c>
      <c r="R2190" t="s">
        <v>40</v>
      </c>
      <c r="S2190" t="s">
        <v>53</v>
      </c>
      <c r="T2190" t="s">
        <v>20</v>
      </c>
    </row>
    <row r="2191" spans="1:20" x14ac:dyDescent="0.3">
      <c r="A2191" t="s">
        <v>4495</v>
      </c>
      <c r="B2191" t="s">
        <v>229</v>
      </c>
      <c r="C2191" t="s">
        <v>139</v>
      </c>
      <c r="D2191" t="s">
        <v>118</v>
      </c>
      <c r="E2191" t="s">
        <v>5133</v>
      </c>
      <c r="F2191" t="s">
        <v>5125</v>
      </c>
      <c r="G2191" t="s">
        <v>16</v>
      </c>
      <c r="H2191" t="s">
        <v>5136</v>
      </c>
      <c r="I2191" t="s">
        <v>5137</v>
      </c>
      <c r="J2191">
        <v>77415</v>
      </c>
      <c r="K2191" t="s">
        <v>4496</v>
      </c>
      <c r="L2191" t="s">
        <v>5165</v>
      </c>
      <c r="M2191" t="s">
        <v>46</v>
      </c>
      <c r="N2191">
        <v>45569</v>
      </c>
      <c r="O2191">
        <v>1612</v>
      </c>
      <c r="P2191" t="s">
        <v>29</v>
      </c>
      <c r="Q2191">
        <v>0</v>
      </c>
      <c r="R2191" t="s">
        <v>40</v>
      </c>
      <c r="S2191" t="s">
        <v>21</v>
      </c>
      <c r="T2191" t="s">
        <v>20</v>
      </c>
    </row>
    <row r="2192" spans="1:20" x14ac:dyDescent="0.3">
      <c r="A2192" t="s">
        <v>4497</v>
      </c>
      <c r="B2192" t="s">
        <v>78</v>
      </c>
      <c r="C2192" t="s">
        <v>202</v>
      </c>
      <c r="D2192" t="s">
        <v>140</v>
      </c>
      <c r="E2192" t="s">
        <v>152</v>
      </c>
      <c r="F2192" t="s">
        <v>153</v>
      </c>
      <c r="G2192" t="s">
        <v>36</v>
      </c>
      <c r="H2192" t="s">
        <v>5140</v>
      </c>
      <c r="I2192" t="s">
        <v>5141</v>
      </c>
      <c r="J2192">
        <v>78357</v>
      </c>
      <c r="K2192" t="s">
        <v>4498</v>
      </c>
      <c r="L2192" t="s">
        <v>238</v>
      </c>
      <c r="M2192" t="s">
        <v>19</v>
      </c>
      <c r="N2192">
        <v>45345</v>
      </c>
      <c r="O2192">
        <v>3761</v>
      </c>
      <c r="P2192" t="s">
        <v>20</v>
      </c>
      <c r="Q2192">
        <v>2</v>
      </c>
      <c r="R2192" t="s">
        <v>52</v>
      </c>
      <c r="S2192" t="s">
        <v>21</v>
      </c>
      <c r="T2192" t="s">
        <v>20</v>
      </c>
    </row>
    <row r="2193" spans="1:20" x14ac:dyDescent="0.3">
      <c r="A2193" t="s">
        <v>4499</v>
      </c>
      <c r="B2193" t="s">
        <v>229</v>
      </c>
      <c r="C2193" t="s">
        <v>32</v>
      </c>
      <c r="D2193" t="s">
        <v>25</v>
      </c>
      <c r="E2193" t="s">
        <v>193</v>
      </c>
      <c r="F2193" t="s">
        <v>194</v>
      </c>
      <c r="G2193" t="s">
        <v>36</v>
      </c>
      <c r="H2193" t="s">
        <v>5136</v>
      </c>
      <c r="I2193" t="s">
        <v>5137</v>
      </c>
      <c r="J2193">
        <v>75823</v>
      </c>
      <c r="K2193" t="s">
        <v>4500</v>
      </c>
      <c r="L2193" t="s">
        <v>61</v>
      </c>
      <c r="M2193" t="s">
        <v>19</v>
      </c>
      <c r="N2193">
        <v>45441</v>
      </c>
      <c r="O2193">
        <v>3235</v>
      </c>
      <c r="P2193" t="s">
        <v>29</v>
      </c>
      <c r="Q2193">
        <v>0</v>
      </c>
      <c r="R2193" t="s">
        <v>52</v>
      </c>
      <c r="S2193" t="s">
        <v>21</v>
      </c>
      <c r="T2193" t="s">
        <v>20</v>
      </c>
    </row>
    <row r="2194" spans="1:20" x14ac:dyDescent="0.3">
      <c r="A2194" t="s">
        <v>4501</v>
      </c>
      <c r="B2194" t="s">
        <v>89</v>
      </c>
      <c r="C2194" t="s">
        <v>90</v>
      </c>
      <c r="D2194" t="s">
        <v>68</v>
      </c>
      <c r="E2194" t="s">
        <v>5126</v>
      </c>
      <c r="F2194" t="s">
        <v>5125</v>
      </c>
      <c r="G2194" t="s">
        <v>16</v>
      </c>
      <c r="H2194" t="s">
        <v>5140</v>
      </c>
      <c r="I2194" t="s">
        <v>5141</v>
      </c>
      <c r="J2194">
        <v>150081</v>
      </c>
      <c r="K2194" t="s">
        <v>4502</v>
      </c>
      <c r="L2194" t="s">
        <v>82</v>
      </c>
      <c r="M2194" t="s">
        <v>19</v>
      </c>
      <c r="N2194">
        <v>45425</v>
      </c>
      <c r="O2194">
        <v>140</v>
      </c>
      <c r="P2194" t="s">
        <v>29</v>
      </c>
      <c r="Q2194">
        <v>2</v>
      </c>
      <c r="R2194" t="s">
        <v>52</v>
      </c>
      <c r="S2194" t="s">
        <v>21</v>
      </c>
      <c r="T2194" t="s">
        <v>20</v>
      </c>
    </row>
    <row r="2195" spans="1:20" x14ac:dyDescent="0.3">
      <c r="A2195" t="s">
        <v>4503</v>
      </c>
      <c r="B2195" t="s">
        <v>99</v>
      </c>
      <c r="C2195" t="s">
        <v>85</v>
      </c>
      <c r="D2195" t="s">
        <v>33</v>
      </c>
      <c r="E2195" t="s">
        <v>152</v>
      </c>
      <c r="F2195" t="s">
        <v>153</v>
      </c>
      <c r="G2195" t="s">
        <v>36</v>
      </c>
      <c r="H2195" t="s">
        <v>5136</v>
      </c>
      <c r="I2195" t="s">
        <v>5137</v>
      </c>
      <c r="J2195">
        <v>52824</v>
      </c>
      <c r="K2195" t="s">
        <v>4504</v>
      </c>
      <c r="L2195" t="s">
        <v>5165</v>
      </c>
      <c r="M2195" t="s">
        <v>19</v>
      </c>
      <c r="N2195">
        <v>45299</v>
      </c>
      <c r="O2195">
        <v>3268</v>
      </c>
      <c r="P2195" t="s">
        <v>92</v>
      </c>
      <c r="Q2195">
        <v>0</v>
      </c>
      <c r="R2195" t="s">
        <v>5116</v>
      </c>
      <c r="S2195" t="s">
        <v>21</v>
      </c>
      <c r="T2195" t="s">
        <v>29</v>
      </c>
    </row>
    <row r="2196" spans="1:20" x14ac:dyDescent="0.3">
      <c r="A2196" t="s">
        <v>4505</v>
      </c>
      <c r="B2196" t="s">
        <v>130</v>
      </c>
      <c r="C2196" t="s">
        <v>121</v>
      </c>
      <c r="D2196" t="s">
        <v>104</v>
      </c>
      <c r="E2196" t="s">
        <v>126</v>
      </c>
      <c r="F2196" t="s">
        <v>127</v>
      </c>
      <c r="G2196" t="s">
        <v>50</v>
      </c>
      <c r="H2196" t="s">
        <v>5142</v>
      </c>
      <c r="I2196" t="s">
        <v>5143</v>
      </c>
      <c r="J2196">
        <v>155122</v>
      </c>
      <c r="K2196" t="s">
        <v>4506</v>
      </c>
      <c r="L2196" t="s">
        <v>5165</v>
      </c>
      <c r="M2196" t="s">
        <v>19</v>
      </c>
      <c r="N2196">
        <v>45372</v>
      </c>
      <c r="O2196">
        <v>3436</v>
      </c>
      <c r="P2196" t="s">
        <v>20</v>
      </c>
      <c r="Q2196">
        <v>4</v>
      </c>
      <c r="R2196" t="s">
        <v>76</v>
      </c>
      <c r="S2196" t="s">
        <v>21</v>
      </c>
      <c r="T2196" t="s">
        <v>29</v>
      </c>
    </row>
    <row r="2197" spans="1:20" x14ac:dyDescent="0.3">
      <c r="A2197" t="s">
        <v>4507</v>
      </c>
      <c r="B2197" t="s">
        <v>99</v>
      </c>
      <c r="C2197" t="s">
        <v>166</v>
      </c>
      <c r="D2197" t="s">
        <v>44</v>
      </c>
      <c r="E2197" t="s">
        <v>5129</v>
      </c>
      <c r="F2197" t="s">
        <v>5130</v>
      </c>
      <c r="G2197" t="s">
        <v>16</v>
      </c>
      <c r="H2197" t="s">
        <v>5136</v>
      </c>
      <c r="I2197" t="s">
        <v>5137</v>
      </c>
      <c r="J2197">
        <v>61659</v>
      </c>
      <c r="K2197" t="s">
        <v>4508</v>
      </c>
      <c r="L2197" t="s">
        <v>238</v>
      </c>
      <c r="M2197" t="s">
        <v>39</v>
      </c>
      <c r="N2197">
        <v>45688</v>
      </c>
      <c r="O2197">
        <v>98</v>
      </c>
      <c r="P2197" t="s">
        <v>20</v>
      </c>
      <c r="Q2197">
        <v>0</v>
      </c>
      <c r="R2197" t="s">
        <v>52</v>
      </c>
      <c r="S2197" t="s">
        <v>21</v>
      </c>
      <c r="T2197" t="s">
        <v>29</v>
      </c>
    </row>
    <row r="2198" spans="1:20" x14ac:dyDescent="0.3">
      <c r="A2198" t="s">
        <v>4509</v>
      </c>
      <c r="B2198" t="s">
        <v>215</v>
      </c>
      <c r="C2198" t="s">
        <v>67</v>
      </c>
      <c r="D2198" t="s">
        <v>104</v>
      </c>
      <c r="E2198" t="s">
        <v>5126</v>
      </c>
      <c r="F2198" t="s">
        <v>5125</v>
      </c>
      <c r="G2198" t="s">
        <v>16</v>
      </c>
      <c r="H2198" t="s">
        <v>5140</v>
      </c>
      <c r="I2198" t="s">
        <v>5141</v>
      </c>
      <c r="J2198">
        <v>118432</v>
      </c>
      <c r="K2198" t="s">
        <v>4510</v>
      </c>
      <c r="L2198" t="s">
        <v>82</v>
      </c>
      <c r="M2198" t="s">
        <v>19</v>
      </c>
      <c r="N2198">
        <v>45440</v>
      </c>
      <c r="O2198">
        <v>439</v>
      </c>
      <c r="P2198" t="s">
        <v>20</v>
      </c>
      <c r="Q2198">
        <v>2</v>
      </c>
      <c r="R2198" t="s">
        <v>76</v>
      </c>
      <c r="S2198" t="s">
        <v>41</v>
      </c>
      <c r="T2198" t="s">
        <v>29</v>
      </c>
    </row>
    <row r="2199" spans="1:20" x14ac:dyDescent="0.3">
      <c r="A2199" t="s">
        <v>4511</v>
      </c>
      <c r="B2199" t="s">
        <v>322</v>
      </c>
      <c r="C2199" t="s">
        <v>121</v>
      </c>
      <c r="D2199" t="s">
        <v>57</v>
      </c>
      <c r="E2199" t="s">
        <v>26</v>
      </c>
      <c r="F2199" t="s">
        <v>27</v>
      </c>
      <c r="G2199" t="s">
        <v>16</v>
      </c>
      <c r="H2199" t="s">
        <v>5136</v>
      </c>
      <c r="I2199" t="s">
        <v>5137</v>
      </c>
      <c r="J2199">
        <v>70241</v>
      </c>
      <c r="K2199" t="s">
        <v>4512</v>
      </c>
      <c r="L2199" t="s">
        <v>38</v>
      </c>
      <c r="M2199" t="s">
        <v>39</v>
      </c>
      <c r="N2199">
        <v>45504</v>
      </c>
      <c r="O2199">
        <v>3791</v>
      </c>
      <c r="P2199" t="s">
        <v>20</v>
      </c>
      <c r="Q2199">
        <v>0</v>
      </c>
      <c r="R2199" t="s">
        <v>52</v>
      </c>
      <c r="S2199" t="s">
        <v>21</v>
      </c>
      <c r="T2199" t="s">
        <v>20</v>
      </c>
    </row>
    <row r="2200" spans="1:20" x14ac:dyDescent="0.3">
      <c r="A2200" t="s">
        <v>4513</v>
      </c>
      <c r="B2200" t="s">
        <v>124</v>
      </c>
      <c r="C2200" t="s">
        <v>125</v>
      </c>
      <c r="D2200" t="s">
        <v>68</v>
      </c>
      <c r="E2200" t="s">
        <v>5127</v>
      </c>
      <c r="F2200" t="s">
        <v>5125</v>
      </c>
      <c r="G2200" t="s">
        <v>36</v>
      </c>
      <c r="H2200" t="s">
        <v>5136</v>
      </c>
      <c r="I2200" t="s">
        <v>5137</v>
      </c>
      <c r="J2200">
        <v>61917</v>
      </c>
      <c r="K2200" t="s">
        <v>4514</v>
      </c>
      <c r="L2200" t="s">
        <v>38</v>
      </c>
      <c r="M2200" t="s">
        <v>19</v>
      </c>
      <c r="N2200">
        <v>45605</v>
      </c>
      <c r="O2200">
        <v>3134</v>
      </c>
      <c r="P2200" t="s">
        <v>20</v>
      </c>
      <c r="Q2200">
        <v>0</v>
      </c>
      <c r="R2200" t="s">
        <v>47</v>
      </c>
      <c r="S2200" t="s">
        <v>21</v>
      </c>
      <c r="T2200" t="s">
        <v>29</v>
      </c>
    </row>
    <row r="2201" spans="1:20" x14ac:dyDescent="0.3">
      <c r="A2201" t="s">
        <v>4515</v>
      </c>
      <c r="B2201" t="s">
        <v>84</v>
      </c>
      <c r="C2201" t="s">
        <v>188</v>
      </c>
      <c r="D2201" t="s">
        <v>118</v>
      </c>
      <c r="E2201" t="s">
        <v>80</v>
      </c>
      <c r="F2201" t="s">
        <v>80</v>
      </c>
      <c r="G2201" t="s">
        <v>16</v>
      </c>
      <c r="H2201" t="s">
        <v>5138</v>
      </c>
      <c r="I2201" t="s">
        <v>5139</v>
      </c>
      <c r="J2201">
        <v>217563</v>
      </c>
      <c r="K2201" t="s">
        <v>4516</v>
      </c>
      <c r="L2201" t="s">
        <v>179</v>
      </c>
      <c r="M2201" t="s">
        <v>19</v>
      </c>
      <c r="N2201">
        <v>45643</v>
      </c>
      <c r="O2201">
        <v>1407</v>
      </c>
      <c r="P2201" t="s">
        <v>20</v>
      </c>
      <c r="Q2201">
        <v>6</v>
      </c>
      <c r="R2201" t="s">
        <v>52</v>
      </c>
      <c r="S2201" t="s">
        <v>21</v>
      </c>
      <c r="T2201" t="s">
        <v>20</v>
      </c>
    </row>
    <row r="2202" spans="1:20" x14ac:dyDescent="0.3">
      <c r="A2202" t="s">
        <v>4517</v>
      </c>
      <c r="B2202" t="s">
        <v>89</v>
      </c>
      <c r="C2202" t="s">
        <v>109</v>
      </c>
      <c r="D2202" t="s">
        <v>68</v>
      </c>
      <c r="E2202" t="s">
        <v>95</v>
      </c>
      <c r="F2202" t="s">
        <v>96</v>
      </c>
      <c r="G2202" t="s">
        <v>50</v>
      </c>
      <c r="H2202" t="s">
        <v>5136</v>
      </c>
      <c r="I2202" t="s">
        <v>5137</v>
      </c>
      <c r="J2202">
        <v>92734</v>
      </c>
      <c r="K2202" t="s">
        <v>4518</v>
      </c>
      <c r="L2202" t="s">
        <v>87</v>
      </c>
      <c r="M2202" t="s">
        <v>46</v>
      </c>
      <c r="N2202">
        <v>45437</v>
      </c>
      <c r="O2202">
        <v>956</v>
      </c>
      <c r="P2202" t="s">
        <v>29</v>
      </c>
      <c r="Q2202">
        <v>0</v>
      </c>
      <c r="R2202" t="s">
        <v>47</v>
      </c>
      <c r="S2202" t="s">
        <v>21</v>
      </c>
      <c r="T2202" t="s">
        <v>20</v>
      </c>
    </row>
    <row r="2203" spans="1:20" x14ac:dyDescent="0.3">
      <c r="A2203" t="s">
        <v>4519</v>
      </c>
      <c r="B2203" t="s">
        <v>215</v>
      </c>
      <c r="C2203" t="s">
        <v>64</v>
      </c>
      <c r="D2203" t="s">
        <v>167</v>
      </c>
      <c r="E2203" t="s">
        <v>209</v>
      </c>
      <c r="F2203" t="s">
        <v>210</v>
      </c>
      <c r="G2203" t="s">
        <v>36</v>
      </c>
      <c r="H2203" t="s">
        <v>5140</v>
      </c>
      <c r="I2203" t="s">
        <v>5141</v>
      </c>
      <c r="J2203">
        <v>106220</v>
      </c>
      <c r="K2203" t="s">
        <v>4520</v>
      </c>
      <c r="L2203" t="s">
        <v>5165</v>
      </c>
      <c r="M2203" t="s">
        <v>19</v>
      </c>
      <c r="N2203">
        <v>45398</v>
      </c>
      <c r="O2203">
        <v>1225</v>
      </c>
      <c r="P2203" t="s">
        <v>20</v>
      </c>
      <c r="Q2203">
        <v>2</v>
      </c>
      <c r="R2203" t="s">
        <v>47</v>
      </c>
      <c r="S2203" t="s">
        <v>21</v>
      </c>
      <c r="T2203" t="s">
        <v>20</v>
      </c>
    </row>
    <row r="2204" spans="1:20" x14ac:dyDescent="0.3">
      <c r="A2204" t="s">
        <v>4521</v>
      </c>
      <c r="B2204" t="s">
        <v>74</v>
      </c>
      <c r="C2204" t="s">
        <v>219</v>
      </c>
      <c r="D2204" t="s">
        <v>104</v>
      </c>
      <c r="E2204" t="s">
        <v>5133</v>
      </c>
      <c r="F2204" t="s">
        <v>5125</v>
      </c>
      <c r="G2204" t="s">
        <v>16</v>
      </c>
      <c r="H2204" t="s">
        <v>5138</v>
      </c>
      <c r="I2204" t="s">
        <v>5139</v>
      </c>
      <c r="J2204">
        <v>225911</v>
      </c>
      <c r="K2204" t="s">
        <v>4522</v>
      </c>
      <c r="L2204" t="s">
        <v>5165</v>
      </c>
      <c r="M2204" t="s">
        <v>19</v>
      </c>
      <c r="N2204">
        <v>45620</v>
      </c>
      <c r="O2204">
        <v>245</v>
      </c>
      <c r="P2204" t="s">
        <v>20</v>
      </c>
      <c r="Q2204">
        <v>6</v>
      </c>
      <c r="R2204" t="s">
        <v>76</v>
      </c>
      <c r="S2204" t="s">
        <v>21</v>
      </c>
      <c r="T2204" t="s">
        <v>20</v>
      </c>
    </row>
    <row r="2205" spans="1:20" x14ac:dyDescent="0.3">
      <c r="A2205" t="s">
        <v>4523</v>
      </c>
      <c r="B2205" t="s">
        <v>322</v>
      </c>
      <c r="C2205" t="s">
        <v>166</v>
      </c>
      <c r="D2205" t="s">
        <v>167</v>
      </c>
      <c r="E2205" t="s">
        <v>5126</v>
      </c>
      <c r="F2205" t="s">
        <v>5125</v>
      </c>
      <c r="G2205" t="s">
        <v>16</v>
      </c>
      <c r="H2205" t="s">
        <v>5140</v>
      </c>
      <c r="I2205" t="s">
        <v>5141</v>
      </c>
      <c r="J2205">
        <v>84393</v>
      </c>
      <c r="K2205" t="s">
        <v>4524</v>
      </c>
      <c r="L2205" t="s">
        <v>179</v>
      </c>
      <c r="M2205" t="s">
        <v>46</v>
      </c>
      <c r="N2205">
        <v>45598</v>
      </c>
      <c r="O2205">
        <v>1488</v>
      </c>
      <c r="P2205" t="s">
        <v>29</v>
      </c>
      <c r="Q2205">
        <v>2</v>
      </c>
      <c r="R2205" t="s">
        <v>52</v>
      </c>
      <c r="S2205" t="s">
        <v>53</v>
      </c>
      <c r="T2205" t="s">
        <v>20</v>
      </c>
    </row>
    <row r="2206" spans="1:20" x14ac:dyDescent="0.3">
      <c r="A2206" t="s">
        <v>4525</v>
      </c>
      <c r="B2206" t="s">
        <v>78</v>
      </c>
      <c r="C2206" t="s">
        <v>64</v>
      </c>
      <c r="D2206" t="s">
        <v>167</v>
      </c>
      <c r="E2206" t="s">
        <v>80</v>
      </c>
      <c r="F2206" t="s">
        <v>80</v>
      </c>
      <c r="G2206" t="s">
        <v>16</v>
      </c>
      <c r="H2206" t="s">
        <v>5136</v>
      </c>
      <c r="I2206" t="s">
        <v>5137</v>
      </c>
      <c r="J2206">
        <v>57948</v>
      </c>
      <c r="K2206" t="s">
        <v>4526</v>
      </c>
      <c r="L2206" t="s">
        <v>5165</v>
      </c>
      <c r="M2206" t="s">
        <v>72</v>
      </c>
      <c r="N2206">
        <v>45696</v>
      </c>
      <c r="O2206">
        <v>19</v>
      </c>
      <c r="P2206" t="s">
        <v>20</v>
      </c>
      <c r="Q2206">
        <v>0</v>
      </c>
      <c r="R2206" t="s">
        <v>47</v>
      </c>
      <c r="S2206" t="s">
        <v>21</v>
      </c>
      <c r="T2206" t="s">
        <v>20</v>
      </c>
    </row>
    <row r="2207" spans="1:20" x14ac:dyDescent="0.3">
      <c r="A2207" t="s">
        <v>4527</v>
      </c>
      <c r="B2207" t="s">
        <v>218</v>
      </c>
      <c r="C2207" t="s">
        <v>79</v>
      </c>
      <c r="D2207" t="s">
        <v>104</v>
      </c>
      <c r="E2207" t="s">
        <v>193</v>
      </c>
      <c r="F2207" t="s">
        <v>194</v>
      </c>
      <c r="G2207" t="s">
        <v>16</v>
      </c>
      <c r="H2207" t="s">
        <v>5138</v>
      </c>
      <c r="I2207" t="s">
        <v>5139</v>
      </c>
      <c r="J2207">
        <v>217006</v>
      </c>
      <c r="K2207" t="s">
        <v>4528</v>
      </c>
      <c r="L2207" t="s">
        <v>142</v>
      </c>
      <c r="M2207" t="s">
        <v>46</v>
      </c>
      <c r="N2207">
        <v>45301</v>
      </c>
      <c r="O2207">
        <v>1348</v>
      </c>
      <c r="P2207" t="s">
        <v>29</v>
      </c>
      <c r="Q2207">
        <v>6</v>
      </c>
      <c r="R2207" t="s">
        <v>52</v>
      </c>
      <c r="S2207" t="s">
        <v>21</v>
      </c>
      <c r="T2207" t="s">
        <v>29</v>
      </c>
    </row>
    <row r="2208" spans="1:20" x14ac:dyDescent="0.3">
      <c r="A2208" t="s">
        <v>4529</v>
      </c>
      <c r="B2208" t="s">
        <v>130</v>
      </c>
      <c r="C2208" t="s">
        <v>94</v>
      </c>
      <c r="D2208" t="s">
        <v>25</v>
      </c>
      <c r="E2208" t="s">
        <v>193</v>
      </c>
      <c r="F2208" t="s">
        <v>194</v>
      </c>
      <c r="G2208" t="s">
        <v>16</v>
      </c>
      <c r="H2208" t="s">
        <v>5136</v>
      </c>
      <c r="I2208" t="s">
        <v>5137</v>
      </c>
      <c r="J2208">
        <v>88699</v>
      </c>
      <c r="K2208" t="s">
        <v>4530</v>
      </c>
      <c r="L2208" t="s">
        <v>134</v>
      </c>
      <c r="M2208" t="s">
        <v>19</v>
      </c>
      <c r="N2208">
        <v>45490</v>
      </c>
      <c r="O2208">
        <v>789</v>
      </c>
      <c r="P2208" t="s">
        <v>29</v>
      </c>
      <c r="Q2208">
        <v>0</v>
      </c>
      <c r="R2208" t="s">
        <v>5116</v>
      </c>
      <c r="S2208" t="s">
        <v>21</v>
      </c>
      <c r="T2208" t="s">
        <v>20</v>
      </c>
    </row>
    <row r="2209" spans="1:20" x14ac:dyDescent="0.3">
      <c r="A2209" t="s">
        <v>4531</v>
      </c>
      <c r="B2209" t="s">
        <v>12</v>
      </c>
      <c r="C2209" t="s">
        <v>32</v>
      </c>
      <c r="D2209" t="s">
        <v>167</v>
      </c>
      <c r="E2209" t="s">
        <v>5124</v>
      </c>
      <c r="F2209" t="s">
        <v>5125</v>
      </c>
      <c r="G2209" t="s">
        <v>36</v>
      </c>
      <c r="H2209" t="s">
        <v>5142</v>
      </c>
      <c r="I2209" t="s">
        <v>5143</v>
      </c>
      <c r="J2209">
        <v>159601</v>
      </c>
      <c r="K2209" t="s">
        <v>4532</v>
      </c>
      <c r="L2209" t="s">
        <v>5165</v>
      </c>
      <c r="M2209" t="s">
        <v>19</v>
      </c>
      <c r="N2209">
        <v>45670</v>
      </c>
      <c r="O2209">
        <v>2459</v>
      </c>
      <c r="P2209" t="s">
        <v>92</v>
      </c>
      <c r="Q2209">
        <v>4</v>
      </c>
      <c r="R2209" t="s">
        <v>5116</v>
      </c>
      <c r="S2209" t="s">
        <v>21</v>
      </c>
      <c r="T2209" t="s">
        <v>20</v>
      </c>
    </row>
    <row r="2210" spans="1:20" x14ac:dyDescent="0.3">
      <c r="A2210" t="s">
        <v>4533</v>
      </c>
      <c r="B2210" t="s">
        <v>229</v>
      </c>
      <c r="C2210" t="s">
        <v>185</v>
      </c>
      <c r="D2210" t="s">
        <v>140</v>
      </c>
      <c r="E2210" t="s">
        <v>34</v>
      </c>
      <c r="F2210" t="s">
        <v>35</v>
      </c>
      <c r="G2210" t="s">
        <v>36</v>
      </c>
      <c r="H2210" t="s">
        <v>5138</v>
      </c>
      <c r="I2210" t="s">
        <v>5139</v>
      </c>
      <c r="J2210">
        <v>188729</v>
      </c>
      <c r="K2210" t="s">
        <v>4534</v>
      </c>
      <c r="L2210" t="s">
        <v>142</v>
      </c>
      <c r="M2210" t="s">
        <v>19</v>
      </c>
      <c r="N2210">
        <v>45411</v>
      </c>
      <c r="O2210">
        <v>1090</v>
      </c>
      <c r="P2210" t="s">
        <v>29</v>
      </c>
      <c r="Q2210">
        <v>6</v>
      </c>
      <c r="R2210" t="s">
        <v>5116</v>
      </c>
      <c r="S2210" t="s">
        <v>21</v>
      </c>
      <c r="T2210" t="s">
        <v>29</v>
      </c>
    </row>
    <row r="2211" spans="1:20" x14ac:dyDescent="0.3">
      <c r="A2211" t="s">
        <v>4535</v>
      </c>
      <c r="B2211" t="s">
        <v>124</v>
      </c>
      <c r="C2211" t="s">
        <v>197</v>
      </c>
      <c r="D2211" t="s">
        <v>167</v>
      </c>
      <c r="E2211" t="s">
        <v>152</v>
      </c>
      <c r="F2211" t="s">
        <v>153</v>
      </c>
      <c r="G2211" t="s">
        <v>50</v>
      </c>
      <c r="H2211" t="s">
        <v>5138</v>
      </c>
      <c r="I2211" t="s">
        <v>5139</v>
      </c>
      <c r="J2211">
        <v>199974</v>
      </c>
      <c r="K2211" t="s">
        <v>4536</v>
      </c>
      <c r="L2211" t="s">
        <v>61</v>
      </c>
      <c r="M2211" t="s">
        <v>39</v>
      </c>
      <c r="N2211">
        <v>45319</v>
      </c>
      <c r="O2211">
        <v>1827</v>
      </c>
      <c r="P2211" t="s">
        <v>20</v>
      </c>
      <c r="Q2211">
        <v>6</v>
      </c>
      <c r="R2211" t="s">
        <v>40</v>
      </c>
      <c r="S2211" t="s">
        <v>21</v>
      </c>
      <c r="T2211" t="s">
        <v>29</v>
      </c>
    </row>
    <row r="2212" spans="1:20" x14ac:dyDescent="0.3">
      <c r="A2212" t="s">
        <v>4537</v>
      </c>
      <c r="B2212" t="s">
        <v>63</v>
      </c>
      <c r="C2212" t="s">
        <v>64</v>
      </c>
      <c r="D2212" t="s">
        <v>167</v>
      </c>
      <c r="E2212" t="s">
        <v>5124</v>
      </c>
      <c r="F2212" t="s">
        <v>5125</v>
      </c>
      <c r="G2212" t="s">
        <v>16</v>
      </c>
      <c r="H2212" t="s">
        <v>5138</v>
      </c>
      <c r="I2212" t="s">
        <v>5139</v>
      </c>
      <c r="J2212">
        <v>154985</v>
      </c>
      <c r="K2212" t="s">
        <v>4538</v>
      </c>
      <c r="L2212" t="s">
        <v>5165</v>
      </c>
      <c r="M2212" t="s">
        <v>19</v>
      </c>
      <c r="N2212">
        <v>45357</v>
      </c>
      <c r="O2212">
        <v>1303</v>
      </c>
      <c r="P2212" t="s">
        <v>20</v>
      </c>
      <c r="Q2212">
        <v>6</v>
      </c>
      <c r="R2212" t="s">
        <v>76</v>
      </c>
      <c r="S2212" t="s">
        <v>21</v>
      </c>
      <c r="T2212" t="s">
        <v>20</v>
      </c>
    </row>
    <row r="2213" spans="1:20" x14ac:dyDescent="0.3">
      <c r="A2213" t="s">
        <v>4539</v>
      </c>
      <c r="B2213" t="s">
        <v>124</v>
      </c>
      <c r="C2213" t="s">
        <v>103</v>
      </c>
      <c r="D2213" t="s">
        <v>44</v>
      </c>
      <c r="E2213" t="s">
        <v>5126</v>
      </c>
      <c r="F2213" t="s">
        <v>5125</v>
      </c>
      <c r="G2213" t="s">
        <v>50</v>
      </c>
      <c r="H2213" t="s">
        <v>5136</v>
      </c>
      <c r="I2213" t="s">
        <v>5137</v>
      </c>
      <c r="J2213">
        <v>77616</v>
      </c>
      <c r="K2213" t="s">
        <v>4540</v>
      </c>
      <c r="L2213" t="s">
        <v>5165</v>
      </c>
      <c r="M2213" t="s">
        <v>19</v>
      </c>
      <c r="N2213">
        <v>45575</v>
      </c>
      <c r="O2213">
        <v>485</v>
      </c>
      <c r="P2213" t="s">
        <v>29</v>
      </c>
      <c r="Q2213">
        <v>0</v>
      </c>
      <c r="R2213" t="s">
        <v>76</v>
      </c>
      <c r="S2213" t="s">
        <v>21</v>
      </c>
      <c r="T2213" t="s">
        <v>29</v>
      </c>
    </row>
    <row r="2214" spans="1:20" x14ac:dyDescent="0.3">
      <c r="A2214" t="s">
        <v>4541</v>
      </c>
      <c r="B2214" t="s">
        <v>74</v>
      </c>
      <c r="C2214" t="s">
        <v>79</v>
      </c>
      <c r="D2214" t="s">
        <v>25</v>
      </c>
      <c r="E2214" t="s">
        <v>34</v>
      </c>
      <c r="F2214" t="s">
        <v>35</v>
      </c>
      <c r="G2214" t="s">
        <v>16</v>
      </c>
      <c r="H2214" t="s">
        <v>5138</v>
      </c>
      <c r="I2214" t="s">
        <v>5139</v>
      </c>
      <c r="J2214">
        <v>231763</v>
      </c>
      <c r="K2214" t="s">
        <v>4542</v>
      </c>
      <c r="L2214" t="s">
        <v>5165</v>
      </c>
      <c r="M2214" t="s">
        <v>19</v>
      </c>
      <c r="N2214">
        <v>45636</v>
      </c>
      <c r="O2214">
        <v>2805</v>
      </c>
      <c r="P2214" t="s">
        <v>20</v>
      </c>
      <c r="Q2214">
        <v>6</v>
      </c>
      <c r="R2214" t="s">
        <v>76</v>
      </c>
      <c r="S2214" t="s">
        <v>21</v>
      </c>
      <c r="T2214" t="s">
        <v>20</v>
      </c>
    </row>
    <row r="2215" spans="1:20" x14ac:dyDescent="0.3">
      <c r="A2215" t="s">
        <v>4543</v>
      </c>
      <c r="B2215" t="s">
        <v>229</v>
      </c>
      <c r="C2215" t="s">
        <v>90</v>
      </c>
      <c r="D2215" t="s">
        <v>44</v>
      </c>
      <c r="E2215" t="s">
        <v>126</v>
      </c>
      <c r="F2215" t="s">
        <v>127</v>
      </c>
      <c r="G2215" t="s">
        <v>16</v>
      </c>
      <c r="H2215" t="s">
        <v>5136</v>
      </c>
      <c r="I2215" t="s">
        <v>5137</v>
      </c>
      <c r="J2215">
        <v>64303</v>
      </c>
      <c r="K2215" t="s">
        <v>4544</v>
      </c>
      <c r="L2215" t="s">
        <v>5165</v>
      </c>
      <c r="M2215" t="s">
        <v>72</v>
      </c>
      <c r="N2215">
        <v>45671</v>
      </c>
      <c r="O2215">
        <v>3626</v>
      </c>
      <c r="P2215" t="s">
        <v>92</v>
      </c>
      <c r="Q2215">
        <v>0</v>
      </c>
      <c r="R2215" t="s">
        <v>52</v>
      </c>
      <c r="S2215" t="s">
        <v>21</v>
      </c>
      <c r="T2215" t="s">
        <v>29</v>
      </c>
    </row>
    <row r="2216" spans="1:20" x14ac:dyDescent="0.3">
      <c r="A2216" t="s">
        <v>4545</v>
      </c>
      <c r="B2216" t="s">
        <v>222</v>
      </c>
      <c r="C2216" t="s">
        <v>56</v>
      </c>
      <c r="D2216" t="s">
        <v>44</v>
      </c>
      <c r="E2216" t="s">
        <v>5129</v>
      </c>
      <c r="F2216" t="s">
        <v>5130</v>
      </c>
      <c r="G2216" t="s">
        <v>36</v>
      </c>
      <c r="H2216" t="s">
        <v>5136</v>
      </c>
      <c r="I2216" t="s">
        <v>5137</v>
      </c>
      <c r="J2216">
        <v>64077</v>
      </c>
      <c r="K2216" t="s">
        <v>4546</v>
      </c>
      <c r="L2216" t="s">
        <v>5165</v>
      </c>
      <c r="M2216" t="s">
        <v>46</v>
      </c>
      <c r="N2216">
        <v>45523</v>
      </c>
      <c r="O2216">
        <v>3850</v>
      </c>
      <c r="P2216" t="s">
        <v>29</v>
      </c>
      <c r="Q2216">
        <v>0</v>
      </c>
      <c r="R2216" t="s">
        <v>40</v>
      </c>
      <c r="S2216" t="s">
        <v>21</v>
      </c>
      <c r="T2216" t="s">
        <v>29</v>
      </c>
    </row>
    <row r="2217" spans="1:20" x14ac:dyDescent="0.3">
      <c r="A2217" t="s">
        <v>4547</v>
      </c>
      <c r="B2217" t="s">
        <v>322</v>
      </c>
      <c r="C2217" t="s">
        <v>172</v>
      </c>
      <c r="D2217" t="s">
        <v>118</v>
      </c>
      <c r="E2217" t="s">
        <v>5132</v>
      </c>
      <c r="F2217" t="s">
        <v>5125</v>
      </c>
      <c r="G2217" t="s">
        <v>16</v>
      </c>
      <c r="H2217" t="s">
        <v>5142</v>
      </c>
      <c r="I2217" t="s">
        <v>5143</v>
      </c>
      <c r="J2217">
        <v>157178</v>
      </c>
      <c r="K2217" t="s">
        <v>4548</v>
      </c>
      <c r="L2217" t="s">
        <v>38</v>
      </c>
      <c r="M2217" t="s">
        <v>39</v>
      </c>
      <c r="N2217">
        <v>45583</v>
      </c>
      <c r="O2217">
        <v>2916</v>
      </c>
      <c r="P2217" t="s">
        <v>92</v>
      </c>
      <c r="Q2217">
        <v>4</v>
      </c>
      <c r="R2217" t="s">
        <v>52</v>
      </c>
      <c r="S2217" t="s">
        <v>21</v>
      </c>
      <c r="T2217" t="s">
        <v>20</v>
      </c>
    </row>
    <row r="2218" spans="1:20" x14ac:dyDescent="0.3">
      <c r="A2218" t="s">
        <v>4549</v>
      </c>
      <c r="B2218" t="s">
        <v>74</v>
      </c>
      <c r="C2218" t="s">
        <v>109</v>
      </c>
      <c r="D2218" t="s">
        <v>44</v>
      </c>
      <c r="E2218" t="s">
        <v>5129</v>
      </c>
      <c r="F2218" t="s">
        <v>5130</v>
      </c>
      <c r="G2218" t="s">
        <v>16</v>
      </c>
      <c r="H2218" t="s">
        <v>5136</v>
      </c>
      <c r="I2218" t="s">
        <v>5137</v>
      </c>
      <c r="J2218">
        <v>64497</v>
      </c>
      <c r="K2218" t="s">
        <v>4550</v>
      </c>
      <c r="L2218" t="s">
        <v>142</v>
      </c>
      <c r="M2218" t="s">
        <v>19</v>
      </c>
      <c r="N2218">
        <v>45435</v>
      </c>
      <c r="O2218">
        <v>1308</v>
      </c>
      <c r="P2218" t="s">
        <v>92</v>
      </c>
      <c r="Q2218">
        <v>0</v>
      </c>
      <c r="R2218" t="s">
        <v>52</v>
      </c>
      <c r="S2218" t="s">
        <v>41</v>
      </c>
      <c r="T2218" t="s">
        <v>29</v>
      </c>
    </row>
    <row r="2219" spans="1:20" x14ac:dyDescent="0.3">
      <c r="A2219" t="s">
        <v>4551</v>
      </c>
      <c r="B2219" t="s">
        <v>124</v>
      </c>
      <c r="C2219" t="s">
        <v>172</v>
      </c>
      <c r="D2219" t="s">
        <v>118</v>
      </c>
      <c r="E2219" t="s">
        <v>58</v>
      </c>
      <c r="F2219" t="s">
        <v>59</v>
      </c>
      <c r="G2219" t="s">
        <v>16</v>
      </c>
      <c r="H2219" t="s">
        <v>5140</v>
      </c>
      <c r="I2219" t="s">
        <v>5141</v>
      </c>
      <c r="J2219">
        <v>108690</v>
      </c>
      <c r="K2219" t="s">
        <v>4552</v>
      </c>
      <c r="L2219" t="s">
        <v>5165</v>
      </c>
      <c r="M2219" t="s">
        <v>39</v>
      </c>
      <c r="N2219">
        <v>45723</v>
      </c>
      <c r="O2219">
        <v>1741</v>
      </c>
      <c r="P2219" t="s">
        <v>92</v>
      </c>
      <c r="Q2219">
        <v>2</v>
      </c>
      <c r="R2219" t="s">
        <v>40</v>
      </c>
      <c r="S2219" t="s">
        <v>21</v>
      </c>
      <c r="T2219" t="s">
        <v>29</v>
      </c>
    </row>
    <row r="2220" spans="1:20" x14ac:dyDescent="0.3">
      <c r="A2220" t="s">
        <v>4553</v>
      </c>
      <c r="B2220" t="s">
        <v>78</v>
      </c>
      <c r="C2220" t="s">
        <v>172</v>
      </c>
      <c r="D2220" t="s">
        <v>140</v>
      </c>
      <c r="E2220" t="s">
        <v>5129</v>
      </c>
      <c r="F2220" t="s">
        <v>5130</v>
      </c>
      <c r="G2220" t="s">
        <v>36</v>
      </c>
      <c r="H2220" t="s">
        <v>5142</v>
      </c>
      <c r="I2220" t="s">
        <v>5143</v>
      </c>
      <c r="J2220">
        <v>206692</v>
      </c>
      <c r="K2220" t="s">
        <v>4554</v>
      </c>
      <c r="L2220" t="s">
        <v>82</v>
      </c>
      <c r="M2220" t="s">
        <v>19</v>
      </c>
      <c r="N2220">
        <v>45465</v>
      </c>
      <c r="O2220">
        <v>3128</v>
      </c>
      <c r="P2220" t="s">
        <v>92</v>
      </c>
      <c r="Q2220">
        <v>4</v>
      </c>
      <c r="R2220" t="s">
        <v>5116</v>
      </c>
      <c r="S2220" t="s">
        <v>41</v>
      </c>
      <c r="T2220" t="s">
        <v>20</v>
      </c>
    </row>
    <row r="2221" spans="1:20" x14ac:dyDescent="0.3">
      <c r="A2221" t="s">
        <v>4555</v>
      </c>
      <c r="B2221" t="s">
        <v>31</v>
      </c>
      <c r="C2221" t="s">
        <v>185</v>
      </c>
      <c r="D2221" t="s">
        <v>44</v>
      </c>
      <c r="E2221" t="s">
        <v>5132</v>
      </c>
      <c r="F2221" t="s">
        <v>5125</v>
      </c>
      <c r="G2221" t="s">
        <v>16</v>
      </c>
      <c r="H2221" t="s">
        <v>5142</v>
      </c>
      <c r="I2221" t="s">
        <v>5143</v>
      </c>
      <c r="J2221">
        <v>143330</v>
      </c>
      <c r="K2221" t="s">
        <v>4556</v>
      </c>
      <c r="L2221" t="s">
        <v>5165</v>
      </c>
      <c r="M2221" t="s">
        <v>72</v>
      </c>
      <c r="N2221">
        <v>45690</v>
      </c>
      <c r="O2221">
        <v>2634</v>
      </c>
      <c r="P2221" t="s">
        <v>20</v>
      </c>
      <c r="Q2221">
        <v>4</v>
      </c>
      <c r="R2221" t="s">
        <v>47</v>
      </c>
      <c r="S2221" t="s">
        <v>21</v>
      </c>
      <c r="T2221" t="s">
        <v>20</v>
      </c>
    </row>
    <row r="2222" spans="1:20" x14ac:dyDescent="0.3">
      <c r="A2222" t="s">
        <v>4557</v>
      </c>
      <c r="B2222" t="s">
        <v>144</v>
      </c>
      <c r="C2222" t="s">
        <v>139</v>
      </c>
      <c r="D2222" t="s">
        <v>140</v>
      </c>
      <c r="E2222" t="s">
        <v>126</v>
      </c>
      <c r="F2222" t="s">
        <v>127</v>
      </c>
      <c r="G2222" t="s">
        <v>36</v>
      </c>
      <c r="H2222" t="s">
        <v>5138</v>
      </c>
      <c r="I2222" t="s">
        <v>5139</v>
      </c>
      <c r="J2222">
        <v>187099</v>
      </c>
      <c r="K2222" t="s">
        <v>4558</v>
      </c>
      <c r="L2222" t="s">
        <v>38</v>
      </c>
      <c r="M2222" t="s">
        <v>19</v>
      </c>
      <c r="N2222">
        <v>45642</v>
      </c>
      <c r="O2222">
        <v>941</v>
      </c>
      <c r="P2222" t="s">
        <v>92</v>
      </c>
      <c r="Q2222">
        <v>6</v>
      </c>
      <c r="R2222" t="s">
        <v>40</v>
      </c>
      <c r="S2222" t="s">
        <v>21</v>
      </c>
      <c r="T2222" t="s">
        <v>20</v>
      </c>
    </row>
    <row r="2223" spans="1:20" x14ac:dyDescent="0.3">
      <c r="A2223" t="s">
        <v>4559</v>
      </c>
      <c r="B2223" t="s">
        <v>31</v>
      </c>
      <c r="C2223" t="s">
        <v>109</v>
      </c>
      <c r="D2223" t="s">
        <v>104</v>
      </c>
      <c r="E2223" t="s">
        <v>152</v>
      </c>
      <c r="F2223" t="s">
        <v>153</v>
      </c>
      <c r="G2223" t="s">
        <v>16</v>
      </c>
      <c r="H2223" t="s">
        <v>5142</v>
      </c>
      <c r="I2223" t="s">
        <v>5143</v>
      </c>
      <c r="J2223">
        <v>132516</v>
      </c>
      <c r="K2223" t="s">
        <v>4560</v>
      </c>
      <c r="L2223" t="s">
        <v>5165</v>
      </c>
      <c r="M2223" t="s">
        <v>46</v>
      </c>
      <c r="N2223">
        <v>45547</v>
      </c>
      <c r="O2223">
        <v>3119</v>
      </c>
      <c r="P2223" t="s">
        <v>20</v>
      </c>
      <c r="Q2223">
        <v>4</v>
      </c>
      <c r="R2223" t="s">
        <v>5116</v>
      </c>
      <c r="S2223" t="s">
        <v>21</v>
      </c>
      <c r="T2223" t="s">
        <v>29</v>
      </c>
    </row>
    <row r="2224" spans="1:20" x14ac:dyDescent="0.3">
      <c r="A2224" t="s">
        <v>4561</v>
      </c>
      <c r="B2224" t="s">
        <v>218</v>
      </c>
      <c r="C2224" t="s">
        <v>197</v>
      </c>
      <c r="D2224" t="s">
        <v>57</v>
      </c>
      <c r="E2224" t="s">
        <v>5133</v>
      </c>
      <c r="F2224" t="s">
        <v>5125</v>
      </c>
      <c r="G2224" t="s">
        <v>50</v>
      </c>
      <c r="H2224" t="s">
        <v>5140</v>
      </c>
      <c r="I2224" t="s">
        <v>5141</v>
      </c>
      <c r="J2224">
        <v>124735</v>
      </c>
      <c r="K2224" t="s">
        <v>4562</v>
      </c>
      <c r="L2224" t="s">
        <v>5165</v>
      </c>
      <c r="M2224" t="s">
        <v>19</v>
      </c>
      <c r="N2224">
        <v>45331</v>
      </c>
      <c r="O2224">
        <v>2133</v>
      </c>
      <c r="P2224" t="s">
        <v>20</v>
      </c>
      <c r="Q2224">
        <v>2</v>
      </c>
      <c r="R2224" t="s">
        <v>52</v>
      </c>
      <c r="S2224" t="s">
        <v>21</v>
      </c>
      <c r="T2224" t="s">
        <v>20</v>
      </c>
    </row>
    <row r="2225" spans="1:20" x14ac:dyDescent="0.3">
      <c r="A2225" t="s">
        <v>4563</v>
      </c>
      <c r="B2225" t="s">
        <v>31</v>
      </c>
      <c r="C2225" t="s">
        <v>219</v>
      </c>
      <c r="D2225" t="s">
        <v>5156</v>
      </c>
      <c r="E2225" t="s">
        <v>209</v>
      </c>
      <c r="F2225" t="s">
        <v>210</v>
      </c>
      <c r="G2225" t="s">
        <v>16</v>
      </c>
      <c r="H2225" t="s">
        <v>5136</v>
      </c>
      <c r="I2225" t="s">
        <v>5137</v>
      </c>
      <c r="J2225">
        <v>67716</v>
      </c>
      <c r="K2225" t="s">
        <v>4564</v>
      </c>
      <c r="L2225" t="s">
        <v>5165</v>
      </c>
      <c r="M2225" t="s">
        <v>46</v>
      </c>
      <c r="N2225">
        <v>45581</v>
      </c>
      <c r="O2225">
        <v>3785</v>
      </c>
      <c r="P2225" t="s">
        <v>20</v>
      </c>
      <c r="Q2225">
        <v>0</v>
      </c>
      <c r="R2225" t="s">
        <v>76</v>
      </c>
      <c r="S2225" t="s">
        <v>21</v>
      </c>
      <c r="T2225" t="s">
        <v>29</v>
      </c>
    </row>
    <row r="2226" spans="1:20" x14ac:dyDescent="0.3">
      <c r="A2226" t="s">
        <v>4565</v>
      </c>
      <c r="B2226" t="s">
        <v>55</v>
      </c>
      <c r="C2226" t="s">
        <v>172</v>
      </c>
      <c r="D2226" t="s">
        <v>44</v>
      </c>
      <c r="E2226" t="s">
        <v>5126</v>
      </c>
      <c r="F2226" t="s">
        <v>5125</v>
      </c>
      <c r="G2226" t="s">
        <v>36</v>
      </c>
      <c r="H2226" t="s">
        <v>5138</v>
      </c>
      <c r="I2226" t="s">
        <v>5139</v>
      </c>
      <c r="J2226">
        <v>176622</v>
      </c>
      <c r="K2226" t="s">
        <v>4566</v>
      </c>
      <c r="L2226" t="s">
        <v>5165</v>
      </c>
      <c r="M2226" t="s">
        <v>46</v>
      </c>
      <c r="N2226">
        <v>45495</v>
      </c>
      <c r="O2226">
        <v>380</v>
      </c>
      <c r="P2226" t="s">
        <v>20</v>
      </c>
      <c r="Q2226">
        <v>6</v>
      </c>
      <c r="R2226" t="s">
        <v>40</v>
      </c>
      <c r="S2226" t="s">
        <v>21</v>
      </c>
      <c r="T2226" t="s">
        <v>20</v>
      </c>
    </row>
    <row r="2227" spans="1:20" x14ac:dyDescent="0.3">
      <c r="A2227" t="s">
        <v>4567</v>
      </c>
      <c r="B2227" t="s">
        <v>130</v>
      </c>
      <c r="C2227" t="s">
        <v>125</v>
      </c>
      <c r="D2227" t="s">
        <v>140</v>
      </c>
      <c r="E2227" t="s">
        <v>152</v>
      </c>
      <c r="F2227" t="s">
        <v>153</v>
      </c>
      <c r="G2227" t="s">
        <v>36</v>
      </c>
      <c r="H2227" t="s">
        <v>5140</v>
      </c>
      <c r="I2227" t="s">
        <v>5141</v>
      </c>
      <c r="J2227">
        <v>136161</v>
      </c>
      <c r="K2227" t="s">
        <v>4568</v>
      </c>
      <c r="L2227" t="s">
        <v>5165</v>
      </c>
      <c r="M2227" t="s">
        <v>46</v>
      </c>
      <c r="N2227">
        <v>45605</v>
      </c>
      <c r="O2227">
        <v>374</v>
      </c>
      <c r="P2227" t="s">
        <v>20</v>
      </c>
      <c r="Q2227">
        <v>2</v>
      </c>
      <c r="R2227" t="s">
        <v>47</v>
      </c>
      <c r="S2227" t="s">
        <v>41</v>
      </c>
      <c r="T2227" t="s">
        <v>20</v>
      </c>
    </row>
    <row r="2228" spans="1:20" x14ac:dyDescent="0.3">
      <c r="A2228" t="s">
        <v>4569</v>
      </c>
      <c r="B2228" t="s">
        <v>165</v>
      </c>
      <c r="C2228" t="s">
        <v>160</v>
      </c>
      <c r="D2228" t="s">
        <v>167</v>
      </c>
      <c r="E2228" t="s">
        <v>209</v>
      </c>
      <c r="F2228" t="s">
        <v>210</v>
      </c>
      <c r="G2228" t="s">
        <v>16</v>
      </c>
      <c r="H2228" t="s">
        <v>5142</v>
      </c>
      <c r="I2228" t="s">
        <v>5143</v>
      </c>
      <c r="J2228">
        <v>188329</v>
      </c>
      <c r="K2228" t="s">
        <v>4570</v>
      </c>
      <c r="L2228" t="s">
        <v>142</v>
      </c>
      <c r="M2228" t="s">
        <v>46</v>
      </c>
      <c r="N2228">
        <v>45575</v>
      </c>
      <c r="O2228">
        <v>571</v>
      </c>
      <c r="P2228" t="s">
        <v>20</v>
      </c>
      <c r="Q2228">
        <v>4</v>
      </c>
      <c r="R2228" t="s">
        <v>47</v>
      </c>
      <c r="S2228" t="s">
        <v>21</v>
      </c>
      <c r="T2228" t="s">
        <v>29</v>
      </c>
    </row>
    <row r="2229" spans="1:20" x14ac:dyDescent="0.3">
      <c r="A2229" t="s">
        <v>4571</v>
      </c>
      <c r="B2229" t="s">
        <v>322</v>
      </c>
      <c r="C2229" t="s">
        <v>185</v>
      </c>
      <c r="D2229" t="s">
        <v>57</v>
      </c>
      <c r="E2229" t="s">
        <v>5131</v>
      </c>
      <c r="F2229" t="s">
        <v>5125</v>
      </c>
      <c r="G2229" t="s">
        <v>16</v>
      </c>
      <c r="H2229" t="s">
        <v>5136</v>
      </c>
      <c r="I2229" t="s">
        <v>5137</v>
      </c>
      <c r="J2229">
        <v>62434</v>
      </c>
      <c r="K2229" t="s">
        <v>4572</v>
      </c>
      <c r="L2229" t="s">
        <v>61</v>
      </c>
      <c r="M2229" t="s">
        <v>19</v>
      </c>
      <c r="N2229">
        <v>45527</v>
      </c>
      <c r="O2229">
        <v>1302</v>
      </c>
      <c r="P2229" t="s">
        <v>20</v>
      </c>
      <c r="Q2229">
        <v>0</v>
      </c>
      <c r="R2229" t="s">
        <v>47</v>
      </c>
      <c r="S2229" t="s">
        <v>21</v>
      </c>
      <c r="T2229" t="s">
        <v>20</v>
      </c>
    </row>
    <row r="2230" spans="1:20" x14ac:dyDescent="0.3">
      <c r="A2230" t="s">
        <v>4573</v>
      </c>
      <c r="B2230" t="s">
        <v>215</v>
      </c>
      <c r="C2230" t="s">
        <v>90</v>
      </c>
      <c r="D2230" t="s">
        <v>68</v>
      </c>
      <c r="E2230" t="s">
        <v>223</v>
      </c>
      <c r="F2230" t="s">
        <v>224</v>
      </c>
      <c r="G2230" t="s">
        <v>36</v>
      </c>
      <c r="H2230" t="s">
        <v>5136</v>
      </c>
      <c r="I2230" t="s">
        <v>5137</v>
      </c>
      <c r="J2230">
        <v>50000</v>
      </c>
      <c r="K2230" t="s">
        <v>4574</v>
      </c>
      <c r="L2230" t="s">
        <v>38</v>
      </c>
      <c r="M2230" t="s">
        <v>46</v>
      </c>
      <c r="N2230">
        <v>45298</v>
      </c>
      <c r="O2230">
        <v>597</v>
      </c>
      <c r="P2230" t="s">
        <v>20</v>
      </c>
      <c r="Q2230">
        <v>0</v>
      </c>
      <c r="R2230" t="s">
        <v>40</v>
      </c>
      <c r="S2230" t="s">
        <v>41</v>
      </c>
      <c r="T2230" t="s">
        <v>29</v>
      </c>
    </row>
    <row r="2231" spans="1:20" x14ac:dyDescent="0.3">
      <c r="A2231" t="s">
        <v>4575</v>
      </c>
      <c r="B2231" t="s">
        <v>229</v>
      </c>
      <c r="C2231" t="s">
        <v>188</v>
      </c>
      <c r="D2231" t="s">
        <v>104</v>
      </c>
      <c r="E2231" t="s">
        <v>5132</v>
      </c>
      <c r="F2231" t="s">
        <v>5125</v>
      </c>
      <c r="G2231" t="s">
        <v>50</v>
      </c>
      <c r="H2231" t="s">
        <v>5140</v>
      </c>
      <c r="I2231" t="s">
        <v>5141</v>
      </c>
      <c r="J2231">
        <v>129948</v>
      </c>
      <c r="K2231" t="s">
        <v>4576</v>
      </c>
      <c r="L2231" t="s">
        <v>82</v>
      </c>
      <c r="M2231" t="s">
        <v>19</v>
      </c>
      <c r="N2231">
        <v>45586</v>
      </c>
      <c r="O2231">
        <v>2760</v>
      </c>
      <c r="P2231" t="s">
        <v>20</v>
      </c>
      <c r="Q2231">
        <v>2</v>
      </c>
      <c r="R2231" t="s">
        <v>52</v>
      </c>
      <c r="S2231" t="s">
        <v>21</v>
      </c>
      <c r="T2231" t="s">
        <v>20</v>
      </c>
    </row>
    <row r="2232" spans="1:20" x14ac:dyDescent="0.3">
      <c r="A2232" t="s">
        <v>4577</v>
      </c>
      <c r="B2232" t="s">
        <v>165</v>
      </c>
      <c r="C2232" t="s">
        <v>202</v>
      </c>
      <c r="D2232" t="s">
        <v>104</v>
      </c>
      <c r="E2232" t="s">
        <v>26</v>
      </c>
      <c r="F2232" t="s">
        <v>27</v>
      </c>
      <c r="G2232" t="s">
        <v>36</v>
      </c>
      <c r="H2232" t="s">
        <v>5140</v>
      </c>
      <c r="I2232" t="s">
        <v>5141</v>
      </c>
      <c r="J2232">
        <v>96444</v>
      </c>
      <c r="K2232" t="s">
        <v>4578</v>
      </c>
      <c r="L2232" t="s">
        <v>5165</v>
      </c>
      <c r="M2232" t="s">
        <v>19</v>
      </c>
      <c r="N2232">
        <v>45612</v>
      </c>
      <c r="O2232">
        <v>1323</v>
      </c>
      <c r="P2232" t="s">
        <v>29</v>
      </c>
      <c r="Q2232">
        <v>2</v>
      </c>
      <c r="R2232" t="s">
        <v>5116</v>
      </c>
      <c r="S2232" t="s">
        <v>21</v>
      </c>
      <c r="T2232" t="s">
        <v>29</v>
      </c>
    </row>
    <row r="2233" spans="1:20" x14ac:dyDescent="0.3">
      <c r="A2233" t="s">
        <v>4579</v>
      </c>
      <c r="B2233" t="s">
        <v>12</v>
      </c>
      <c r="C2233" t="s">
        <v>166</v>
      </c>
      <c r="D2233" t="s">
        <v>68</v>
      </c>
      <c r="E2233" t="s">
        <v>152</v>
      </c>
      <c r="F2233" t="s">
        <v>153</v>
      </c>
      <c r="G2233" t="s">
        <v>16</v>
      </c>
      <c r="H2233" t="s">
        <v>5136</v>
      </c>
      <c r="I2233" t="s">
        <v>5137</v>
      </c>
      <c r="J2233">
        <v>79961</v>
      </c>
      <c r="K2233" t="s">
        <v>4580</v>
      </c>
      <c r="L2233" t="s">
        <v>18</v>
      </c>
      <c r="M2233" t="s">
        <v>39</v>
      </c>
      <c r="N2233">
        <v>45482</v>
      </c>
      <c r="O2233">
        <v>2924</v>
      </c>
      <c r="P2233" t="s">
        <v>20</v>
      </c>
      <c r="Q2233">
        <v>0</v>
      </c>
      <c r="R2233" t="s">
        <v>5116</v>
      </c>
      <c r="S2233" t="s">
        <v>21</v>
      </c>
      <c r="T2233" t="s">
        <v>29</v>
      </c>
    </row>
    <row r="2234" spans="1:20" x14ac:dyDescent="0.3">
      <c r="A2234" t="s">
        <v>4581</v>
      </c>
      <c r="B2234" t="s">
        <v>55</v>
      </c>
      <c r="C2234" t="s">
        <v>185</v>
      </c>
      <c r="D2234" t="s">
        <v>5156</v>
      </c>
      <c r="E2234" t="s">
        <v>26</v>
      </c>
      <c r="F2234" t="s">
        <v>27</v>
      </c>
      <c r="G2234" t="s">
        <v>50</v>
      </c>
      <c r="H2234" t="s">
        <v>5140</v>
      </c>
      <c r="I2234" t="s">
        <v>5141</v>
      </c>
      <c r="J2234">
        <v>70991</v>
      </c>
      <c r="K2234" t="s">
        <v>4582</v>
      </c>
      <c r="L2234" t="s">
        <v>5165</v>
      </c>
      <c r="M2234" t="s">
        <v>72</v>
      </c>
      <c r="N2234">
        <v>45309</v>
      </c>
      <c r="O2234">
        <v>858</v>
      </c>
      <c r="P2234" t="s">
        <v>20</v>
      </c>
      <c r="Q2234">
        <v>2</v>
      </c>
      <c r="R2234" t="s">
        <v>5116</v>
      </c>
      <c r="S2234" t="s">
        <v>21</v>
      </c>
      <c r="T2234" t="s">
        <v>29</v>
      </c>
    </row>
    <row r="2235" spans="1:20" x14ac:dyDescent="0.3">
      <c r="A2235" t="s">
        <v>4583</v>
      </c>
      <c r="B2235" t="s">
        <v>124</v>
      </c>
      <c r="C2235" t="s">
        <v>13</v>
      </c>
      <c r="D2235" t="s">
        <v>68</v>
      </c>
      <c r="E2235" t="s">
        <v>126</v>
      </c>
      <c r="F2235" t="s">
        <v>127</v>
      </c>
      <c r="G2235" t="s">
        <v>50</v>
      </c>
      <c r="H2235" t="s">
        <v>5142</v>
      </c>
      <c r="I2235" t="s">
        <v>5143</v>
      </c>
      <c r="J2235">
        <v>174100</v>
      </c>
      <c r="K2235" t="s">
        <v>4584</v>
      </c>
      <c r="L2235" t="s">
        <v>142</v>
      </c>
      <c r="M2235" t="s">
        <v>19</v>
      </c>
      <c r="N2235">
        <v>45557</v>
      </c>
      <c r="O2235">
        <v>2670</v>
      </c>
      <c r="P2235" t="s">
        <v>29</v>
      </c>
      <c r="Q2235">
        <v>4</v>
      </c>
      <c r="R2235" t="s">
        <v>5116</v>
      </c>
      <c r="S2235" t="s">
        <v>21</v>
      </c>
      <c r="T2235" t="s">
        <v>20</v>
      </c>
    </row>
    <row r="2236" spans="1:20" x14ac:dyDescent="0.3">
      <c r="A2236" t="s">
        <v>4585</v>
      </c>
      <c r="B2236" t="s">
        <v>99</v>
      </c>
      <c r="C2236" t="s">
        <v>67</v>
      </c>
      <c r="D2236" t="s">
        <v>68</v>
      </c>
      <c r="E2236" t="s">
        <v>5128</v>
      </c>
      <c r="F2236" t="s">
        <v>5125</v>
      </c>
      <c r="G2236" t="s">
        <v>16</v>
      </c>
      <c r="H2236" t="s">
        <v>5138</v>
      </c>
      <c r="I2236" t="s">
        <v>5139</v>
      </c>
      <c r="J2236">
        <v>156397</v>
      </c>
      <c r="K2236" t="s">
        <v>4586</v>
      </c>
      <c r="L2236" t="s">
        <v>18</v>
      </c>
      <c r="M2236" t="s">
        <v>39</v>
      </c>
      <c r="N2236">
        <v>45611</v>
      </c>
      <c r="O2236">
        <v>2223</v>
      </c>
      <c r="P2236" t="s">
        <v>29</v>
      </c>
      <c r="Q2236">
        <v>6</v>
      </c>
      <c r="R2236" t="s">
        <v>52</v>
      </c>
      <c r="S2236" t="s">
        <v>21</v>
      </c>
      <c r="T2236" t="s">
        <v>20</v>
      </c>
    </row>
    <row r="2237" spans="1:20" x14ac:dyDescent="0.3">
      <c r="A2237" t="s">
        <v>4587</v>
      </c>
      <c r="B2237" t="s">
        <v>165</v>
      </c>
      <c r="C2237" t="s">
        <v>160</v>
      </c>
      <c r="D2237" t="s">
        <v>25</v>
      </c>
      <c r="E2237" t="s">
        <v>126</v>
      </c>
      <c r="F2237" t="s">
        <v>127</v>
      </c>
      <c r="G2237" t="s">
        <v>16</v>
      </c>
      <c r="H2237" t="s">
        <v>5140</v>
      </c>
      <c r="I2237" t="s">
        <v>5141</v>
      </c>
      <c r="J2237">
        <v>124469</v>
      </c>
      <c r="K2237" t="s">
        <v>4588</v>
      </c>
      <c r="L2237" t="s">
        <v>134</v>
      </c>
      <c r="M2237" t="s">
        <v>39</v>
      </c>
      <c r="N2237">
        <v>45406</v>
      </c>
      <c r="O2237">
        <v>1273</v>
      </c>
      <c r="P2237" t="s">
        <v>29</v>
      </c>
      <c r="Q2237">
        <v>2</v>
      </c>
      <c r="R2237" t="s">
        <v>52</v>
      </c>
      <c r="S2237" t="s">
        <v>53</v>
      </c>
      <c r="T2237" t="s">
        <v>29</v>
      </c>
    </row>
    <row r="2238" spans="1:20" x14ac:dyDescent="0.3">
      <c r="A2238" t="s">
        <v>4589</v>
      </c>
      <c r="B2238" t="s">
        <v>229</v>
      </c>
      <c r="C2238" t="s">
        <v>64</v>
      </c>
      <c r="D2238" t="s">
        <v>68</v>
      </c>
      <c r="E2238" t="s">
        <v>5133</v>
      </c>
      <c r="F2238" t="s">
        <v>5125</v>
      </c>
      <c r="G2238" t="s">
        <v>16</v>
      </c>
      <c r="H2238" t="s">
        <v>5140</v>
      </c>
      <c r="I2238" t="s">
        <v>5141</v>
      </c>
      <c r="J2238">
        <v>110282</v>
      </c>
      <c r="K2238" t="s">
        <v>4590</v>
      </c>
      <c r="L2238" t="s">
        <v>5165</v>
      </c>
      <c r="M2238" t="s">
        <v>19</v>
      </c>
      <c r="N2238">
        <v>45551</v>
      </c>
      <c r="O2238">
        <v>2322</v>
      </c>
      <c r="P2238" t="s">
        <v>20</v>
      </c>
      <c r="Q2238">
        <v>2</v>
      </c>
      <c r="R2238" t="s">
        <v>47</v>
      </c>
      <c r="S2238" t="s">
        <v>21</v>
      </c>
      <c r="T2238" t="s">
        <v>29</v>
      </c>
    </row>
    <row r="2239" spans="1:20" x14ac:dyDescent="0.3">
      <c r="A2239" t="s">
        <v>4591</v>
      </c>
      <c r="B2239" t="s">
        <v>55</v>
      </c>
      <c r="C2239" t="s">
        <v>103</v>
      </c>
      <c r="D2239" t="s">
        <v>167</v>
      </c>
      <c r="E2239" t="s">
        <v>152</v>
      </c>
      <c r="F2239" t="s">
        <v>153</v>
      </c>
      <c r="G2239" t="s">
        <v>36</v>
      </c>
      <c r="H2239" t="s">
        <v>5142</v>
      </c>
      <c r="I2239" t="s">
        <v>5143</v>
      </c>
      <c r="J2239">
        <v>124243</v>
      </c>
      <c r="K2239" t="s">
        <v>4592</v>
      </c>
      <c r="L2239" t="s">
        <v>82</v>
      </c>
      <c r="M2239" t="s">
        <v>46</v>
      </c>
      <c r="N2239">
        <v>45575</v>
      </c>
      <c r="O2239">
        <v>420</v>
      </c>
      <c r="P2239" t="s">
        <v>20</v>
      </c>
      <c r="Q2239">
        <v>4</v>
      </c>
      <c r="R2239" t="s">
        <v>47</v>
      </c>
      <c r="S2239" t="s">
        <v>21</v>
      </c>
      <c r="T2239" t="s">
        <v>29</v>
      </c>
    </row>
    <row r="2240" spans="1:20" x14ac:dyDescent="0.3">
      <c r="A2240" t="s">
        <v>4593</v>
      </c>
      <c r="B2240" t="s">
        <v>144</v>
      </c>
      <c r="C2240" t="s">
        <v>197</v>
      </c>
      <c r="D2240" t="s">
        <v>33</v>
      </c>
      <c r="E2240" t="s">
        <v>5131</v>
      </c>
      <c r="F2240" t="s">
        <v>5125</v>
      </c>
      <c r="G2240" t="s">
        <v>16</v>
      </c>
      <c r="H2240" t="s">
        <v>5138</v>
      </c>
      <c r="I2240" t="s">
        <v>5139</v>
      </c>
      <c r="J2240">
        <v>185346</v>
      </c>
      <c r="K2240" t="s">
        <v>4594</v>
      </c>
      <c r="L2240" t="s">
        <v>5165</v>
      </c>
      <c r="M2240" t="s">
        <v>19</v>
      </c>
      <c r="N2240">
        <v>45544</v>
      </c>
      <c r="O2240">
        <v>2953</v>
      </c>
      <c r="P2240" t="s">
        <v>20</v>
      </c>
      <c r="Q2240">
        <v>6</v>
      </c>
      <c r="R2240" t="s">
        <v>5116</v>
      </c>
      <c r="S2240" t="s">
        <v>41</v>
      </c>
      <c r="T2240" t="s">
        <v>20</v>
      </c>
    </row>
    <row r="2241" spans="1:20" x14ac:dyDescent="0.3">
      <c r="A2241" t="s">
        <v>4595</v>
      </c>
      <c r="B2241" t="s">
        <v>136</v>
      </c>
      <c r="C2241" t="s">
        <v>85</v>
      </c>
      <c r="D2241" t="s">
        <v>57</v>
      </c>
      <c r="E2241" t="s">
        <v>5124</v>
      </c>
      <c r="F2241" t="s">
        <v>5125</v>
      </c>
      <c r="G2241" t="s">
        <v>36</v>
      </c>
      <c r="H2241" t="s">
        <v>5142</v>
      </c>
      <c r="I2241" t="s">
        <v>5143</v>
      </c>
      <c r="J2241">
        <v>168530</v>
      </c>
      <c r="K2241" t="s">
        <v>4596</v>
      </c>
      <c r="L2241" t="s">
        <v>5165</v>
      </c>
      <c r="M2241" t="s">
        <v>46</v>
      </c>
      <c r="N2241">
        <v>45305</v>
      </c>
      <c r="O2241">
        <v>3993</v>
      </c>
      <c r="P2241" t="s">
        <v>20</v>
      </c>
      <c r="Q2241">
        <v>4</v>
      </c>
      <c r="R2241" t="s">
        <v>47</v>
      </c>
      <c r="S2241" t="s">
        <v>21</v>
      </c>
      <c r="T2241" t="s">
        <v>20</v>
      </c>
    </row>
    <row r="2242" spans="1:20" x14ac:dyDescent="0.3">
      <c r="A2242" t="s">
        <v>4597</v>
      </c>
      <c r="B2242" t="s">
        <v>99</v>
      </c>
      <c r="C2242" t="s">
        <v>151</v>
      </c>
      <c r="D2242" t="s">
        <v>44</v>
      </c>
      <c r="E2242" t="s">
        <v>5131</v>
      </c>
      <c r="F2242" t="s">
        <v>5125</v>
      </c>
      <c r="G2242" t="s">
        <v>16</v>
      </c>
      <c r="H2242" t="s">
        <v>5136</v>
      </c>
      <c r="I2242" t="s">
        <v>5137</v>
      </c>
      <c r="J2242">
        <v>71334</v>
      </c>
      <c r="K2242" t="s">
        <v>4598</v>
      </c>
      <c r="L2242" t="s">
        <v>61</v>
      </c>
      <c r="M2242" t="s">
        <v>46</v>
      </c>
      <c r="N2242">
        <v>45567</v>
      </c>
      <c r="O2242">
        <v>1848</v>
      </c>
      <c r="P2242" t="s">
        <v>92</v>
      </c>
      <c r="Q2242">
        <v>0</v>
      </c>
      <c r="R2242" t="s">
        <v>40</v>
      </c>
      <c r="S2242" t="s">
        <v>21</v>
      </c>
      <c r="T2242" t="s">
        <v>29</v>
      </c>
    </row>
    <row r="2243" spans="1:20" x14ac:dyDescent="0.3">
      <c r="A2243" t="s">
        <v>4599</v>
      </c>
      <c r="B2243" t="s">
        <v>31</v>
      </c>
      <c r="C2243" t="s">
        <v>117</v>
      </c>
      <c r="D2243" t="s">
        <v>167</v>
      </c>
      <c r="E2243" t="s">
        <v>26</v>
      </c>
      <c r="F2243" t="s">
        <v>27</v>
      </c>
      <c r="G2243" t="s">
        <v>16</v>
      </c>
      <c r="H2243" t="s">
        <v>5138</v>
      </c>
      <c r="I2243" t="s">
        <v>5139</v>
      </c>
      <c r="J2243">
        <v>221038</v>
      </c>
      <c r="K2243" t="s">
        <v>4600</v>
      </c>
      <c r="L2243" t="s">
        <v>18</v>
      </c>
      <c r="M2243" t="s">
        <v>39</v>
      </c>
      <c r="N2243">
        <v>45742</v>
      </c>
      <c r="O2243">
        <v>1585</v>
      </c>
      <c r="P2243" t="s">
        <v>20</v>
      </c>
      <c r="Q2243">
        <v>6</v>
      </c>
      <c r="R2243" t="s">
        <v>52</v>
      </c>
      <c r="S2243" t="s">
        <v>21</v>
      </c>
      <c r="T2243" t="s">
        <v>29</v>
      </c>
    </row>
    <row r="2244" spans="1:20" x14ac:dyDescent="0.3">
      <c r="A2244" t="s">
        <v>4601</v>
      </c>
      <c r="B2244" t="s">
        <v>144</v>
      </c>
      <c r="C2244" t="s">
        <v>117</v>
      </c>
      <c r="D2244" t="s">
        <v>33</v>
      </c>
      <c r="E2244" t="s">
        <v>95</v>
      </c>
      <c r="F2244" t="s">
        <v>96</v>
      </c>
      <c r="G2244" t="s">
        <v>50</v>
      </c>
      <c r="H2244" t="s">
        <v>5138</v>
      </c>
      <c r="I2244" t="s">
        <v>5139</v>
      </c>
      <c r="J2244">
        <v>271151</v>
      </c>
      <c r="K2244" t="s">
        <v>4602</v>
      </c>
      <c r="L2244" t="s">
        <v>18</v>
      </c>
      <c r="M2244" t="s">
        <v>46</v>
      </c>
      <c r="N2244">
        <v>45674</v>
      </c>
      <c r="O2244">
        <v>55</v>
      </c>
      <c r="P2244" t="s">
        <v>92</v>
      </c>
      <c r="Q2244">
        <v>6</v>
      </c>
      <c r="R2244" t="s">
        <v>76</v>
      </c>
      <c r="S2244" t="s">
        <v>21</v>
      </c>
      <c r="T2244" t="s">
        <v>20</v>
      </c>
    </row>
    <row r="2245" spans="1:20" x14ac:dyDescent="0.3">
      <c r="A2245" t="s">
        <v>4603</v>
      </c>
      <c r="B2245" t="s">
        <v>322</v>
      </c>
      <c r="C2245" t="s">
        <v>139</v>
      </c>
      <c r="D2245" t="s">
        <v>25</v>
      </c>
      <c r="E2245" t="s">
        <v>14</v>
      </c>
      <c r="F2245" t="s">
        <v>15</v>
      </c>
      <c r="G2245" t="s">
        <v>16</v>
      </c>
      <c r="H2245" t="s">
        <v>5142</v>
      </c>
      <c r="I2245" t="s">
        <v>5143</v>
      </c>
      <c r="J2245">
        <v>107765</v>
      </c>
      <c r="K2245" t="s">
        <v>4604</v>
      </c>
      <c r="L2245" t="s">
        <v>5165</v>
      </c>
      <c r="M2245" t="s">
        <v>19</v>
      </c>
      <c r="N2245">
        <v>45459</v>
      </c>
      <c r="O2245">
        <v>147</v>
      </c>
      <c r="P2245" t="s">
        <v>92</v>
      </c>
      <c r="Q2245">
        <v>4</v>
      </c>
      <c r="R2245" t="s">
        <v>40</v>
      </c>
      <c r="S2245" t="s">
        <v>21</v>
      </c>
      <c r="T2245" t="s">
        <v>20</v>
      </c>
    </row>
    <row r="2246" spans="1:20" x14ac:dyDescent="0.3">
      <c r="A2246" t="s">
        <v>4605</v>
      </c>
      <c r="B2246" t="s">
        <v>218</v>
      </c>
      <c r="C2246" t="s">
        <v>125</v>
      </c>
      <c r="D2246" t="s">
        <v>44</v>
      </c>
      <c r="E2246" t="s">
        <v>5133</v>
      </c>
      <c r="F2246" t="s">
        <v>5125</v>
      </c>
      <c r="G2246" t="s">
        <v>50</v>
      </c>
      <c r="H2246" t="s">
        <v>5136</v>
      </c>
      <c r="I2246" t="s">
        <v>5137</v>
      </c>
      <c r="J2246">
        <v>90376</v>
      </c>
      <c r="K2246" t="s">
        <v>4606</v>
      </c>
      <c r="L2246" t="s">
        <v>61</v>
      </c>
      <c r="M2246" t="s">
        <v>39</v>
      </c>
      <c r="N2246">
        <v>45632</v>
      </c>
      <c r="O2246">
        <v>3282</v>
      </c>
      <c r="P2246" t="s">
        <v>20</v>
      </c>
      <c r="Q2246">
        <v>0</v>
      </c>
      <c r="R2246" t="s">
        <v>76</v>
      </c>
      <c r="S2246" t="s">
        <v>21</v>
      </c>
      <c r="T2246" t="s">
        <v>29</v>
      </c>
    </row>
    <row r="2247" spans="1:20" x14ac:dyDescent="0.3">
      <c r="A2247" t="s">
        <v>4607</v>
      </c>
      <c r="B2247" t="s">
        <v>144</v>
      </c>
      <c r="C2247" t="s">
        <v>125</v>
      </c>
      <c r="D2247" t="s">
        <v>140</v>
      </c>
      <c r="E2247" t="s">
        <v>26</v>
      </c>
      <c r="F2247" t="s">
        <v>27</v>
      </c>
      <c r="G2247" t="s">
        <v>50</v>
      </c>
      <c r="H2247" t="s">
        <v>5136</v>
      </c>
      <c r="I2247" t="s">
        <v>5137</v>
      </c>
      <c r="J2247">
        <v>71314</v>
      </c>
      <c r="K2247" t="s">
        <v>4608</v>
      </c>
      <c r="L2247" t="s">
        <v>87</v>
      </c>
      <c r="M2247" t="s">
        <v>46</v>
      </c>
      <c r="N2247">
        <v>45734</v>
      </c>
      <c r="O2247">
        <v>2348</v>
      </c>
      <c r="P2247" t="s">
        <v>29</v>
      </c>
      <c r="Q2247">
        <v>0</v>
      </c>
      <c r="R2247" t="s">
        <v>40</v>
      </c>
      <c r="S2247" t="s">
        <v>53</v>
      </c>
      <c r="T2247" t="s">
        <v>29</v>
      </c>
    </row>
    <row r="2248" spans="1:20" x14ac:dyDescent="0.3">
      <c r="A2248" t="s">
        <v>4609</v>
      </c>
      <c r="B2248" t="s">
        <v>322</v>
      </c>
      <c r="C2248" t="s">
        <v>172</v>
      </c>
      <c r="D2248" t="s">
        <v>140</v>
      </c>
      <c r="E2248" t="s">
        <v>223</v>
      </c>
      <c r="F2248" t="s">
        <v>224</v>
      </c>
      <c r="G2248" t="s">
        <v>36</v>
      </c>
      <c r="H2248" t="s">
        <v>5142</v>
      </c>
      <c r="I2248" t="s">
        <v>5143</v>
      </c>
      <c r="J2248">
        <v>125732</v>
      </c>
      <c r="K2248" t="s">
        <v>4610</v>
      </c>
      <c r="L2248" t="s">
        <v>179</v>
      </c>
      <c r="M2248" t="s">
        <v>19</v>
      </c>
      <c r="N2248">
        <v>45294</v>
      </c>
      <c r="O2248">
        <v>1041</v>
      </c>
      <c r="P2248" t="s">
        <v>20</v>
      </c>
      <c r="Q2248">
        <v>4</v>
      </c>
      <c r="R2248" t="s">
        <v>52</v>
      </c>
      <c r="S2248" t="s">
        <v>21</v>
      </c>
      <c r="T2248" t="s">
        <v>29</v>
      </c>
    </row>
    <row r="2249" spans="1:20" x14ac:dyDescent="0.3">
      <c r="A2249" t="s">
        <v>4611</v>
      </c>
      <c r="B2249" t="s">
        <v>23</v>
      </c>
      <c r="C2249" t="s">
        <v>121</v>
      </c>
      <c r="D2249" t="s">
        <v>25</v>
      </c>
      <c r="E2249" t="s">
        <v>5133</v>
      </c>
      <c r="F2249" t="s">
        <v>5125</v>
      </c>
      <c r="G2249" t="s">
        <v>16</v>
      </c>
      <c r="H2249" t="s">
        <v>5138</v>
      </c>
      <c r="I2249" t="s">
        <v>5139</v>
      </c>
      <c r="J2249">
        <v>152108</v>
      </c>
      <c r="K2249" t="s">
        <v>4612</v>
      </c>
      <c r="L2249" t="s">
        <v>61</v>
      </c>
      <c r="M2249" t="s">
        <v>46</v>
      </c>
      <c r="N2249">
        <v>45500</v>
      </c>
      <c r="O2249">
        <v>1305</v>
      </c>
      <c r="P2249" t="s">
        <v>20</v>
      </c>
      <c r="Q2249">
        <v>6</v>
      </c>
      <c r="R2249" t="s">
        <v>5116</v>
      </c>
      <c r="S2249" t="s">
        <v>21</v>
      </c>
      <c r="T2249" t="s">
        <v>29</v>
      </c>
    </row>
    <row r="2250" spans="1:20" x14ac:dyDescent="0.3">
      <c r="A2250" t="s">
        <v>4613</v>
      </c>
      <c r="B2250" t="s">
        <v>222</v>
      </c>
      <c r="C2250" t="s">
        <v>94</v>
      </c>
      <c r="D2250" t="s">
        <v>140</v>
      </c>
      <c r="E2250" t="s">
        <v>209</v>
      </c>
      <c r="F2250" t="s">
        <v>210</v>
      </c>
      <c r="G2250" t="s">
        <v>16</v>
      </c>
      <c r="H2250" t="s">
        <v>5138</v>
      </c>
      <c r="I2250" t="s">
        <v>5139</v>
      </c>
      <c r="J2250">
        <v>193191</v>
      </c>
      <c r="K2250" t="s">
        <v>4614</v>
      </c>
      <c r="L2250" t="s">
        <v>5165</v>
      </c>
      <c r="M2250" t="s">
        <v>46</v>
      </c>
      <c r="N2250">
        <v>45332</v>
      </c>
      <c r="O2250">
        <v>255</v>
      </c>
      <c r="P2250" t="s">
        <v>20</v>
      </c>
      <c r="Q2250">
        <v>6</v>
      </c>
      <c r="R2250" t="s">
        <v>5116</v>
      </c>
      <c r="S2250" t="s">
        <v>21</v>
      </c>
      <c r="T2250" t="s">
        <v>29</v>
      </c>
    </row>
    <row r="2251" spans="1:20" x14ac:dyDescent="0.3">
      <c r="A2251" t="s">
        <v>4615</v>
      </c>
      <c r="B2251" t="s">
        <v>144</v>
      </c>
      <c r="C2251" t="s">
        <v>43</v>
      </c>
      <c r="D2251" t="s">
        <v>25</v>
      </c>
      <c r="E2251" t="s">
        <v>26</v>
      </c>
      <c r="F2251" t="s">
        <v>27</v>
      </c>
      <c r="G2251" t="s">
        <v>16</v>
      </c>
      <c r="H2251" t="s">
        <v>5142</v>
      </c>
      <c r="I2251" t="s">
        <v>5143</v>
      </c>
      <c r="J2251">
        <v>174884</v>
      </c>
      <c r="K2251" t="s">
        <v>4616</v>
      </c>
      <c r="L2251" t="s">
        <v>134</v>
      </c>
      <c r="M2251" t="s">
        <v>46</v>
      </c>
      <c r="N2251">
        <v>45303</v>
      </c>
      <c r="O2251">
        <v>3519</v>
      </c>
      <c r="P2251" t="s">
        <v>20</v>
      </c>
      <c r="Q2251">
        <v>4</v>
      </c>
      <c r="R2251" t="s">
        <v>52</v>
      </c>
      <c r="S2251" t="s">
        <v>53</v>
      </c>
      <c r="T2251" t="s">
        <v>20</v>
      </c>
    </row>
    <row r="2252" spans="1:20" x14ac:dyDescent="0.3">
      <c r="A2252" t="s">
        <v>4617</v>
      </c>
      <c r="B2252" t="s">
        <v>12</v>
      </c>
      <c r="C2252" t="s">
        <v>219</v>
      </c>
      <c r="D2252" t="s">
        <v>25</v>
      </c>
      <c r="E2252" t="s">
        <v>26</v>
      </c>
      <c r="F2252" t="s">
        <v>27</v>
      </c>
      <c r="G2252" t="s">
        <v>36</v>
      </c>
      <c r="H2252" t="s">
        <v>5136</v>
      </c>
      <c r="I2252" t="s">
        <v>5137</v>
      </c>
      <c r="J2252">
        <v>68392</v>
      </c>
      <c r="K2252" t="s">
        <v>4618</v>
      </c>
      <c r="L2252" t="s">
        <v>61</v>
      </c>
      <c r="M2252" t="s">
        <v>72</v>
      </c>
      <c r="N2252">
        <v>45372</v>
      </c>
      <c r="O2252">
        <v>1702</v>
      </c>
      <c r="P2252" t="s">
        <v>20</v>
      </c>
      <c r="Q2252">
        <v>0</v>
      </c>
      <c r="R2252" t="s">
        <v>40</v>
      </c>
      <c r="S2252" t="s">
        <v>21</v>
      </c>
      <c r="T2252" t="s">
        <v>20</v>
      </c>
    </row>
    <row r="2253" spans="1:20" x14ac:dyDescent="0.3">
      <c r="A2253" t="s">
        <v>4619</v>
      </c>
      <c r="B2253" t="s">
        <v>74</v>
      </c>
      <c r="C2253" t="s">
        <v>67</v>
      </c>
      <c r="D2253" t="s">
        <v>33</v>
      </c>
      <c r="E2253" t="s">
        <v>69</v>
      </c>
      <c r="F2253" t="s">
        <v>70</v>
      </c>
      <c r="G2253" t="s">
        <v>36</v>
      </c>
      <c r="H2253" t="s">
        <v>5142</v>
      </c>
      <c r="I2253" t="s">
        <v>5143</v>
      </c>
      <c r="J2253">
        <v>190801</v>
      </c>
      <c r="K2253" t="s">
        <v>4620</v>
      </c>
      <c r="L2253" t="s">
        <v>5165</v>
      </c>
      <c r="M2253" t="s">
        <v>19</v>
      </c>
      <c r="N2253">
        <v>45680</v>
      </c>
      <c r="O2253">
        <v>3560</v>
      </c>
      <c r="P2253" t="s">
        <v>29</v>
      </c>
      <c r="Q2253">
        <v>4</v>
      </c>
      <c r="R2253" t="s">
        <v>47</v>
      </c>
      <c r="S2253" t="s">
        <v>53</v>
      </c>
      <c r="T2253" t="s">
        <v>20</v>
      </c>
    </row>
    <row r="2254" spans="1:20" x14ac:dyDescent="0.3">
      <c r="A2254" t="s">
        <v>4621</v>
      </c>
      <c r="B2254" t="s">
        <v>31</v>
      </c>
      <c r="C2254" t="s">
        <v>32</v>
      </c>
      <c r="D2254" t="s">
        <v>44</v>
      </c>
      <c r="E2254" t="s">
        <v>152</v>
      </c>
      <c r="F2254" t="s">
        <v>153</v>
      </c>
      <c r="G2254" t="s">
        <v>50</v>
      </c>
      <c r="H2254" t="s">
        <v>5142</v>
      </c>
      <c r="I2254" t="s">
        <v>5143</v>
      </c>
      <c r="J2254">
        <v>110818</v>
      </c>
      <c r="K2254" t="s">
        <v>4622</v>
      </c>
      <c r="L2254" t="s">
        <v>5165</v>
      </c>
      <c r="M2254" t="s">
        <v>39</v>
      </c>
      <c r="N2254">
        <v>45596</v>
      </c>
      <c r="O2254">
        <v>3759</v>
      </c>
      <c r="P2254" t="s">
        <v>20</v>
      </c>
      <c r="Q2254">
        <v>4</v>
      </c>
      <c r="R2254" t="s">
        <v>76</v>
      </c>
      <c r="S2254" t="s">
        <v>53</v>
      </c>
      <c r="T2254" t="s">
        <v>20</v>
      </c>
    </row>
    <row r="2255" spans="1:20" x14ac:dyDescent="0.3">
      <c r="A2255" t="s">
        <v>4623</v>
      </c>
      <c r="B2255" t="s">
        <v>74</v>
      </c>
      <c r="C2255" t="s">
        <v>202</v>
      </c>
      <c r="D2255" t="s">
        <v>25</v>
      </c>
      <c r="E2255" t="s">
        <v>5132</v>
      </c>
      <c r="F2255" t="s">
        <v>5125</v>
      </c>
      <c r="G2255" t="s">
        <v>36</v>
      </c>
      <c r="H2255" t="s">
        <v>5136</v>
      </c>
      <c r="I2255" t="s">
        <v>5137</v>
      </c>
      <c r="J2255">
        <v>69847</v>
      </c>
      <c r="K2255" t="s">
        <v>4624</v>
      </c>
      <c r="L2255" t="s">
        <v>18</v>
      </c>
      <c r="M2255" t="s">
        <v>46</v>
      </c>
      <c r="N2255">
        <v>45450</v>
      </c>
      <c r="O2255">
        <v>2034</v>
      </c>
      <c r="P2255" t="s">
        <v>20</v>
      </c>
      <c r="Q2255">
        <v>0</v>
      </c>
      <c r="R2255" t="s">
        <v>52</v>
      </c>
      <c r="S2255" t="s">
        <v>53</v>
      </c>
      <c r="T2255" t="s">
        <v>20</v>
      </c>
    </row>
    <row r="2256" spans="1:20" x14ac:dyDescent="0.3">
      <c r="A2256" t="s">
        <v>4625</v>
      </c>
      <c r="B2256" t="s">
        <v>89</v>
      </c>
      <c r="C2256" t="s">
        <v>219</v>
      </c>
      <c r="D2256" t="s">
        <v>44</v>
      </c>
      <c r="E2256" t="s">
        <v>14</v>
      </c>
      <c r="F2256" t="s">
        <v>15</v>
      </c>
      <c r="G2256" t="s">
        <v>50</v>
      </c>
      <c r="H2256" t="s">
        <v>5138</v>
      </c>
      <c r="I2256" t="s">
        <v>5139</v>
      </c>
      <c r="J2256">
        <v>154913</v>
      </c>
      <c r="K2256" t="s">
        <v>4626</v>
      </c>
      <c r="L2256" t="s">
        <v>61</v>
      </c>
      <c r="M2256" t="s">
        <v>46</v>
      </c>
      <c r="N2256">
        <v>45532</v>
      </c>
      <c r="O2256">
        <v>512</v>
      </c>
      <c r="P2256" t="s">
        <v>20</v>
      </c>
      <c r="Q2256">
        <v>6</v>
      </c>
      <c r="R2256" t="s">
        <v>76</v>
      </c>
      <c r="S2256" t="s">
        <v>21</v>
      </c>
      <c r="T2256" t="s">
        <v>29</v>
      </c>
    </row>
    <row r="2257" spans="1:20" x14ac:dyDescent="0.3">
      <c r="A2257" t="s">
        <v>4627</v>
      </c>
      <c r="B2257" t="s">
        <v>322</v>
      </c>
      <c r="C2257" t="s">
        <v>197</v>
      </c>
      <c r="D2257" t="s">
        <v>167</v>
      </c>
      <c r="E2257" t="s">
        <v>5131</v>
      </c>
      <c r="F2257" t="s">
        <v>5125</v>
      </c>
      <c r="G2257" t="s">
        <v>16</v>
      </c>
      <c r="H2257" t="s">
        <v>5138</v>
      </c>
      <c r="I2257" t="s">
        <v>5139</v>
      </c>
      <c r="J2257">
        <v>213090</v>
      </c>
      <c r="K2257" t="s">
        <v>4628</v>
      </c>
      <c r="L2257" t="s">
        <v>18</v>
      </c>
      <c r="M2257" t="s">
        <v>19</v>
      </c>
      <c r="N2257">
        <v>45496</v>
      </c>
      <c r="O2257">
        <v>526</v>
      </c>
      <c r="P2257" t="s">
        <v>20</v>
      </c>
      <c r="Q2257">
        <v>6</v>
      </c>
      <c r="R2257" t="s">
        <v>76</v>
      </c>
      <c r="S2257" t="s">
        <v>21</v>
      </c>
      <c r="T2257" t="s">
        <v>29</v>
      </c>
    </row>
    <row r="2258" spans="1:20" x14ac:dyDescent="0.3">
      <c r="A2258" t="s">
        <v>4629</v>
      </c>
      <c r="B2258" t="s">
        <v>136</v>
      </c>
      <c r="C2258" t="s">
        <v>121</v>
      </c>
      <c r="D2258" t="s">
        <v>140</v>
      </c>
      <c r="E2258" t="s">
        <v>5132</v>
      </c>
      <c r="F2258" t="s">
        <v>5125</v>
      </c>
      <c r="G2258" t="s">
        <v>36</v>
      </c>
      <c r="H2258" t="s">
        <v>5138</v>
      </c>
      <c r="I2258" t="s">
        <v>5139</v>
      </c>
      <c r="J2258">
        <v>231927</v>
      </c>
      <c r="K2258" t="s">
        <v>4630</v>
      </c>
      <c r="L2258" t="s">
        <v>38</v>
      </c>
      <c r="M2258" t="s">
        <v>39</v>
      </c>
      <c r="N2258">
        <v>45473</v>
      </c>
      <c r="O2258">
        <v>3272</v>
      </c>
      <c r="P2258" t="s">
        <v>92</v>
      </c>
      <c r="Q2258">
        <v>6</v>
      </c>
      <c r="R2258" t="s">
        <v>76</v>
      </c>
      <c r="S2258" t="s">
        <v>21</v>
      </c>
      <c r="T2258" t="s">
        <v>20</v>
      </c>
    </row>
    <row r="2259" spans="1:20" x14ac:dyDescent="0.3">
      <c r="A2259" t="s">
        <v>4631</v>
      </c>
      <c r="B2259" t="s">
        <v>322</v>
      </c>
      <c r="C2259" t="s">
        <v>151</v>
      </c>
      <c r="D2259" t="s">
        <v>57</v>
      </c>
      <c r="E2259" t="s">
        <v>5127</v>
      </c>
      <c r="F2259" t="s">
        <v>5125</v>
      </c>
      <c r="G2259" t="s">
        <v>36</v>
      </c>
      <c r="H2259" t="s">
        <v>5138</v>
      </c>
      <c r="I2259" t="s">
        <v>5139</v>
      </c>
      <c r="J2259">
        <v>184852</v>
      </c>
      <c r="K2259" t="s">
        <v>4632</v>
      </c>
      <c r="L2259" t="s">
        <v>38</v>
      </c>
      <c r="M2259" t="s">
        <v>39</v>
      </c>
      <c r="N2259">
        <v>45730</v>
      </c>
      <c r="O2259">
        <v>3879</v>
      </c>
      <c r="P2259" t="s">
        <v>92</v>
      </c>
      <c r="Q2259">
        <v>6</v>
      </c>
      <c r="R2259" t="s">
        <v>47</v>
      </c>
      <c r="S2259" t="s">
        <v>41</v>
      </c>
      <c r="T2259" t="s">
        <v>20</v>
      </c>
    </row>
    <row r="2260" spans="1:20" x14ac:dyDescent="0.3">
      <c r="A2260" t="s">
        <v>4633</v>
      </c>
      <c r="B2260" t="s">
        <v>144</v>
      </c>
      <c r="C2260" t="s">
        <v>175</v>
      </c>
      <c r="D2260" t="s">
        <v>104</v>
      </c>
      <c r="E2260" t="s">
        <v>5133</v>
      </c>
      <c r="F2260" t="s">
        <v>5125</v>
      </c>
      <c r="G2260" t="s">
        <v>16</v>
      </c>
      <c r="H2260" t="s">
        <v>5136</v>
      </c>
      <c r="I2260" t="s">
        <v>5137</v>
      </c>
      <c r="J2260">
        <v>50000</v>
      </c>
      <c r="K2260" t="s">
        <v>4634</v>
      </c>
      <c r="L2260" t="s">
        <v>5165</v>
      </c>
      <c r="M2260" t="s">
        <v>39</v>
      </c>
      <c r="N2260">
        <v>45436</v>
      </c>
      <c r="O2260">
        <v>1887</v>
      </c>
      <c r="P2260" t="s">
        <v>20</v>
      </c>
      <c r="Q2260">
        <v>0</v>
      </c>
      <c r="R2260" t="s">
        <v>47</v>
      </c>
      <c r="S2260" t="s">
        <v>21</v>
      </c>
      <c r="T2260" t="s">
        <v>20</v>
      </c>
    </row>
    <row r="2261" spans="1:20" x14ac:dyDescent="0.3">
      <c r="A2261" t="s">
        <v>4635</v>
      </c>
      <c r="B2261" t="s">
        <v>99</v>
      </c>
      <c r="C2261" t="s">
        <v>49</v>
      </c>
      <c r="D2261" t="s">
        <v>140</v>
      </c>
      <c r="E2261" t="s">
        <v>14</v>
      </c>
      <c r="F2261" t="s">
        <v>15</v>
      </c>
      <c r="G2261" t="s">
        <v>50</v>
      </c>
      <c r="H2261" t="s">
        <v>5138</v>
      </c>
      <c r="I2261" t="s">
        <v>5139</v>
      </c>
      <c r="J2261">
        <v>207162</v>
      </c>
      <c r="K2261" t="s">
        <v>4636</v>
      </c>
      <c r="L2261" t="s">
        <v>5165</v>
      </c>
      <c r="M2261" t="s">
        <v>19</v>
      </c>
      <c r="N2261">
        <v>45428</v>
      </c>
      <c r="O2261">
        <v>2835</v>
      </c>
      <c r="P2261" t="s">
        <v>20</v>
      </c>
      <c r="Q2261">
        <v>6</v>
      </c>
      <c r="R2261" t="s">
        <v>47</v>
      </c>
      <c r="S2261" t="s">
        <v>21</v>
      </c>
      <c r="T2261" t="s">
        <v>20</v>
      </c>
    </row>
    <row r="2262" spans="1:20" x14ac:dyDescent="0.3">
      <c r="A2262" t="s">
        <v>4637</v>
      </c>
      <c r="B2262" t="s">
        <v>229</v>
      </c>
      <c r="C2262" t="s">
        <v>202</v>
      </c>
      <c r="D2262" t="s">
        <v>68</v>
      </c>
      <c r="E2262" t="s">
        <v>193</v>
      </c>
      <c r="F2262" t="s">
        <v>194</v>
      </c>
      <c r="G2262" t="s">
        <v>50</v>
      </c>
      <c r="H2262" t="s">
        <v>5136</v>
      </c>
      <c r="I2262" t="s">
        <v>5137</v>
      </c>
      <c r="J2262">
        <v>75502</v>
      </c>
      <c r="K2262" t="s">
        <v>4638</v>
      </c>
      <c r="L2262" t="s">
        <v>82</v>
      </c>
      <c r="M2262" t="s">
        <v>46</v>
      </c>
      <c r="N2262">
        <v>45402</v>
      </c>
      <c r="O2262">
        <v>1954</v>
      </c>
      <c r="P2262" t="s">
        <v>20</v>
      </c>
      <c r="Q2262">
        <v>0</v>
      </c>
      <c r="R2262" t="s">
        <v>40</v>
      </c>
      <c r="S2262" t="s">
        <v>21</v>
      </c>
      <c r="T2262" t="s">
        <v>20</v>
      </c>
    </row>
    <row r="2263" spans="1:20" x14ac:dyDescent="0.3">
      <c r="A2263" t="s">
        <v>4639</v>
      </c>
      <c r="B2263" t="s">
        <v>89</v>
      </c>
      <c r="C2263" t="s">
        <v>117</v>
      </c>
      <c r="D2263" t="s">
        <v>33</v>
      </c>
      <c r="E2263" t="s">
        <v>126</v>
      </c>
      <c r="F2263" t="s">
        <v>127</v>
      </c>
      <c r="G2263" t="s">
        <v>36</v>
      </c>
      <c r="H2263" t="s">
        <v>5136</v>
      </c>
      <c r="I2263" t="s">
        <v>5137</v>
      </c>
      <c r="J2263">
        <v>75094</v>
      </c>
      <c r="K2263" t="s">
        <v>4640</v>
      </c>
      <c r="L2263" t="s">
        <v>5165</v>
      </c>
      <c r="M2263" t="s">
        <v>46</v>
      </c>
      <c r="N2263">
        <v>45431</v>
      </c>
      <c r="O2263">
        <v>3331</v>
      </c>
      <c r="P2263" t="s">
        <v>20</v>
      </c>
      <c r="Q2263">
        <v>0</v>
      </c>
      <c r="R2263" t="s">
        <v>5116</v>
      </c>
      <c r="S2263" t="s">
        <v>53</v>
      </c>
      <c r="T2263" t="s">
        <v>29</v>
      </c>
    </row>
    <row r="2264" spans="1:20" x14ac:dyDescent="0.3">
      <c r="A2264" t="s">
        <v>4641</v>
      </c>
      <c r="B2264" t="s">
        <v>165</v>
      </c>
      <c r="C2264" t="s">
        <v>188</v>
      </c>
      <c r="D2264" t="s">
        <v>140</v>
      </c>
      <c r="E2264" t="s">
        <v>223</v>
      </c>
      <c r="F2264" t="s">
        <v>224</v>
      </c>
      <c r="G2264" t="s">
        <v>16</v>
      </c>
      <c r="H2264" t="s">
        <v>5138</v>
      </c>
      <c r="I2264" t="s">
        <v>5139</v>
      </c>
      <c r="J2264">
        <v>244488</v>
      </c>
      <c r="K2264" t="s">
        <v>4642</v>
      </c>
      <c r="L2264" t="s">
        <v>82</v>
      </c>
      <c r="M2264" t="s">
        <v>39</v>
      </c>
      <c r="N2264">
        <v>45380</v>
      </c>
      <c r="O2264">
        <v>1463</v>
      </c>
      <c r="P2264" t="s">
        <v>29</v>
      </c>
      <c r="Q2264">
        <v>6</v>
      </c>
      <c r="R2264" t="s">
        <v>52</v>
      </c>
      <c r="S2264" t="s">
        <v>53</v>
      </c>
      <c r="T2264" t="s">
        <v>20</v>
      </c>
    </row>
    <row r="2265" spans="1:20" x14ac:dyDescent="0.3">
      <c r="A2265" t="s">
        <v>4643</v>
      </c>
      <c r="B2265" t="s">
        <v>124</v>
      </c>
      <c r="C2265" t="s">
        <v>32</v>
      </c>
      <c r="D2265" t="s">
        <v>167</v>
      </c>
      <c r="E2265" t="s">
        <v>58</v>
      </c>
      <c r="F2265" t="s">
        <v>59</v>
      </c>
      <c r="G2265" t="s">
        <v>16</v>
      </c>
      <c r="H2265" t="s">
        <v>5142</v>
      </c>
      <c r="I2265" t="s">
        <v>5143</v>
      </c>
      <c r="J2265">
        <v>121081</v>
      </c>
      <c r="K2265" t="s">
        <v>4644</v>
      </c>
      <c r="L2265" t="s">
        <v>134</v>
      </c>
      <c r="M2265" t="s">
        <v>19</v>
      </c>
      <c r="N2265">
        <v>45346</v>
      </c>
      <c r="O2265">
        <v>3298</v>
      </c>
      <c r="P2265" t="s">
        <v>29</v>
      </c>
      <c r="Q2265">
        <v>4</v>
      </c>
      <c r="R2265" t="s">
        <v>76</v>
      </c>
      <c r="S2265" t="s">
        <v>21</v>
      </c>
      <c r="T2265" t="s">
        <v>29</v>
      </c>
    </row>
    <row r="2266" spans="1:20" x14ac:dyDescent="0.3">
      <c r="A2266" t="s">
        <v>4645</v>
      </c>
      <c r="B2266" t="s">
        <v>130</v>
      </c>
      <c r="C2266" t="s">
        <v>117</v>
      </c>
      <c r="D2266" t="s">
        <v>68</v>
      </c>
      <c r="E2266" t="s">
        <v>5133</v>
      </c>
      <c r="F2266" t="s">
        <v>5125</v>
      </c>
      <c r="G2266" t="s">
        <v>16</v>
      </c>
      <c r="H2266" t="s">
        <v>5136</v>
      </c>
      <c r="I2266" t="s">
        <v>5137</v>
      </c>
      <c r="J2266">
        <v>78570</v>
      </c>
      <c r="K2266" t="s">
        <v>4646</v>
      </c>
      <c r="L2266" t="s">
        <v>179</v>
      </c>
      <c r="M2266" t="s">
        <v>19</v>
      </c>
      <c r="N2266">
        <v>45535</v>
      </c>
      <c r="O2266">
        <v>3099</v>
      </c>
      <c r="P2266" t="s">
        <v>20</v>
      </c>
      <c r="Q2266">
        <v>0</v>
      </c>
      <c r="R2266" t="s">
        <v>40</v>
      </c>
      <c r="S2266" t="s">
        <v>53</v>
      </c>
      <c r="T2266" t="s">
        <v>20</v>
      </c>
    </row>
    <row r="2267" spans="1:20" x14ac:dyDescent="0.3">
      <c r="A2267" t="s">
        <v>4647</v>
      </c>
      <c r="B2267" t="s">
        <v>55</v>
      </c>
      <c r="C2267" t="s">
        <v>67</v>
      </c>
      <c r="D2267" t="s">
        <v>5156</v>
      </c>
      <c r="E2267" t="s">
        <v>152</v>
      </c>
      <c r="F2267" t="s">
        <v>153</v>
      </c>
      <c r="G2267" t="s">
        <v>16</v>
      </c>
      <c r="H2267" t="s">
        <v>5140</v>
      </c>
      <c r="I2267" t="s">
        <v>5141</v>
      </c>
      <c r="J2267">
        <v>133611</v>
      </c>
      <c r="K2267" t="s">
        <v>4648</v>
      </c>
      <c r="L2267" t="s">
        <v>142</v>
      </c>
      <c r="M2267" t="s">
        <v>19</v>
      </c>
      <c r="N2267">
        <v>45383</v>
      </c>
      <c r="O2267">
        <v>2765</v>
      </c>
      <c r="P2267" t="s">
        <v>20</v>
      </c>
      <c r="Q2267">
        <v>2</v>
      </c>
      <c r="R2267" t="s">
        <v>40</v>
      </c>
      <c r="S2267" t="s">
        <v>53</v>
      </c>
      <c r="T2267" t="s">
        <v>20</v>
      </c>
    </row>
    <row r="2268" spans="1:20" x14ac:dyDescent="0.3">
      <c r="A2268" t="s">
        <v>4649</v>
      </c>
      <c r="B2268" t="s">
        <v>12</v>
      </c>
      <c r="C2268" t="s">
        <v>188</v>
      </c>
      <c r="D2268" t="s">
        <v>44</v>
      </c>
      <c r="E2268" t="s">
        <v>193</v>
      </c>
      <c r="F2268" t="s">
        <v>194</v>
      </c>
      <c r="G2268" t="s">
        <v>50</v>
      </c>
      <c r="H2268" t="s">
        <v>5140</v>
      </c>
      <c r="I2268" t="s">
        <v>5141</v>
      </c>
      <c r="J2268">
        <v>74783</v>
      </c>
      <c r="K2268" t="s">
        <v>4650</v>
      </c>
      <c r="L2268" t="s">
        <v>82</v>
      </c>
      <c r="M2268" t="s">
        <v>19</v>
      </c>
      <c r="N2268">
        <v>45507</v>
      </c>
      <c r="O2268">
        <v>2427</v>
      </c>
      <c r="P2268" t="s">
        <v>20</v>
      </c>
      <c r="Q2268">
        <v>2</v>
      </c>
      <c r="R2268" t="s">
        <v>5116</v>
      </c>
      <c r="S2268" t="s">
        <v>21</v>
      </c>
      <c r="T2268" t="s">
        <v>29</v>
      </c>
    </row>
    <row r="2269" spans="1:20" x14ac:dyDescent="0.3">
      <c r="A2269" t="s">
        <v>4651</v>
      </c>
      <c r="B2269" t="s">
        <v>99</v>
      </c>
      <c r="C2269" t="s">
        <v>43</v>
      </c>
      <c r="D2269" t="s">
        <v>140</v>
      </c>
      <c r="E2269" t="s">
        <v>193</v>
      </c>
      <c r="F2269" t="s">
        <v>194</v>
      </c>
      <c r="G2269" t="s">
        <v>50</v>
      </c>
      <c r="H2269" t="s">
        <v>5140</v>
      </c>
      <c r="I2269" t="s">
        <v>5141</v>
      </c>
      <c r="J2269">
        <v>116329</v>
      </c>
      <c r="K2269" t="s">
        <v>4652</v>
      </c>
      <c r="L2269" t="s">
        <v>5165</v>
      </c>
      <c r="M2269" t="s">
        <v>46</v>
      </c>
      <c r="N2269">
        <v>45675</v>
      </c>
      <c r="O2269">
        <v>641</v>
      </c>
      <c r="P2269" t="s">
        <v>29</v>
      </c>
      <c r="Q2269">
        <v>2</v>
      </c>
      <c r="R2269" t="s">
        <v>40</v>
      </c>
      <c r="S2269" t="s">
        <v>53</v>
      </c>
      <c r="T2269" t="s">
        <v>20</v>
      </c>
    </row>
    <row r="2270" spans="1:20" x14ac:dyDescent="0.3">
      <c r="A2270" t="s">
        <v>4653</v>
      </c>
      <c r="B2270" t="s">
        <v>99</v>
      </c>
      <c r="C2270" t="s">
        <v>85</v>
      </c>
      <c r="D2270" t="s">
        <v>25</v>
      </c>
      <c r="E2270" t="s">
        <v>5133</v>
      </c>
      <c r="F2270" t="s">
        <v>5125</v>
      </c>
      <c r="G2270" t="s">
        <v>50</v>
      </c>
      <c r="H2270" t="s">
        <v>5138</v>
      </c>
      <c r="I2270" t="s">
        <v>5139</v>
      </c>
      <c r="J2270">
        <v>181849</v>
      </c>
      <c r="K2270" t="s">
        <v>4654</v>
      </c>
      <c r="L2270" t="s">
        <v>82</v>
      </c>
      <c r="M2270" t="s">
        <v>46</v>
      </c>
      <c r="N2270">
        <v>45638</v>
      </c>
      <c r="O2270">
        <v>229</v>
      </c>
      <c r="P2270" t="s">
        <v>20</v>
      </c>
      <c r="Q2270">
        <v>6</v>
      </c>
      <c r="R2270" t="s">
        <v>5116</v>
      </c>
      <c r="S2270" t="s">
        <v>53</v>
      </c>
      <c r="T2270" t="s">
        <v>20</v>
      </c>
    </row>
    <row r="2271" spans="1:20" x14ac:dyDescent="0.3">
      <c r="A2271" t="s">
        <v>4655</v>
      </c>
      <c r="B2271" t="s">
        <v>165</v>
      </c>
      <c r="C2271" t="s">
        <v>219</v>
      </c>
      <c r="D2271" t="s">
        <v>33</v>
      </c>
      <c r="E2271" t="s">
        <v>58</v>
      </c>
      <c r="F2271" t="s">
        <v>59</v>
      </c>
      <c r="G2271" t="s">
        <v>36</v>
      </c>
      <c r="H2271" t="s">
        <v>5138</v>
      </c>
      <c r="I2271" t="s">
        <v>5139</v>
      </c>
      <c r="J2271">
        <v>197065</v>
      </c>
      <c r="K2271" t="s">
        <v>4656</v>
      </c>
      <c r="L2271" t="s">
        <v>38</v>
      </c>
      <c r="M2271" t="s">
        <v>19</v>
      </c>
      <c r="N2271">
        <v>45332</v>
      </c>
      <c r="O2271">
        <v>2538</v>
      </c>
      <c r="P2271" t="s">
        <v>20</v>
      </c>
      <c r="Q2271">
        <v>6</v>
      </c>
      <c r="R2271" t="s">
        <v>40</v>
      </c>
      <c r="S2271" t="s">
        <v>53</v>
      </c>
      <c r="T2271" t="s">
        <v>20</v>
      </c>
    </row>
    <row r="2272" spans="1:20" x14ac:dyDescent="0.3">
      <c r="A2272" t="s">
        <v>4657</v>
      </c>
      <c r="B2272" t="s">
        <v>74</v>
      </c>
      <c r="C2272" t="s">
        <v>32</v>
      </c>
      <c r="D2272" t="s">
        <v>25</v>
      </c>
      <c r="E2272" t="s">
        <v>34</v>
      </c>
      <c r="F2272" t="s">
        <v>35</v>
      </c>
      <c r="G2272" t="s">
        <v>16</v>
      </c>
      <c r="H2272" t="s">
        <v>5140</v>
      </c>
      <c r="I2272" t="s">
        <v>5141</v>
      </c>
      <c r="J2272">
        <v>116883</v>
      </c>
      <c r="K2272" t="s">
        <v>4658</v>
      </c>
      <c r="L2272" t="s">
        <v>87</v>
      </c>
      <c r="M2272" t="s">
        <v>39</v>
      </c>
      <c r="N2272">
        <v>45577</v>
      </c>
      <c r="O2272">
        <v>3292</v>
      </c>
      <c r="P2272" t="s">
        <v>29</v>
      </c>
      <c r="Q2272">
        <v>2</v>
      </c>
      <c r="R2272" t="s">
        <v>76</v>
      </c>
      <c r="S2272" t="s">
        <v>41</v>
      </c>
      <c r="T2272" t="s">
        <v>29</v>
      </c>
    </row>
    <row r="2273" spans="1:20" x14ac:dyDescent="0.3">
      <c r="A2273" t="s">
        <v>4659</v>
      </c>
      <c r="B2273" t="s">
        <v>124</v>
      </c>
      <c r="C2273" t="s">
        <v>188</v>
      </c>
      <c r="D2273" t="s">
        <v>140</v>
      </c>
      <c r="E2273" t="s">
        <v>152</v>
      </c>
      <c r="F2273" t="s">
        <v>153</v>
      </c>
      <c r="G2273" t="s">
        <v>16</v>
      </c>
      <c r="H2273" t="s">
        <v>5138</v>
      </c>
      <c r="I2273" t="s">
        <v>5139</v>
      </c>
      <c r="J2273">
        <v>182459</v>
      </c>
      <c r="K2273" t="s">
        <v>4660</v>
      </c>
      <c r="L2273" t="s">
        <v>61</v>
      </c>
      <c r="M2273" t="s">
        <v>39</v>
      </c>
      <c r="N2273">
        <v>45695</v>
      </c>
      <c r="O2273">
        <v>1294</v>
      </c>
      <c r="P2273" t="s">
        <v>29</v>
      </c>
      <c r="Q2273">
        <v>6</v>
      </c>
      <c r="R2273" t="s">
        <v>40</v>
      </c>
      <c r="S2273" t="s">
        <v>21</v>
      </c>
      <c r="T2273" t="s">
        <v>29</v>
      </c>
    </row>
    <row r="2274" spans="1:20" x14ac:dyDescent="0.3">
      <c r="A2274" t="s">
        <v>4661</v>
      </c>
      <c r="B2274" t="s">
        <v>84</v>
      </c>
      <c r="C2274" t="s">
        <v>32</v>
      </c>
      <c r="D2274" t="s">
        <v>44</v>
      </c>
      <c r="E2274" t="s">
        <v>69</v>
      </c>
      <c r="F2274" t="s">
        <v>70</v>
      </c>
      <c r="G2274" t="s">
        <v>16</v>
      </c>
      <c r="H2274" t="s">
        <v>5136</v>
      </c>
      <c r="I2274" t="s">
        <v>5137</v>
      </c>
      <c r="J2274">
        <v>61486</v>
      </c>
      <c r="K2274" t="s">
        <v>4662</v>
      </c>
      <c r="L2274" t="s">
        <v>142</v>
      </c>
      <c r="M2274" t="s">
        <v>19</v>
      </c>
      <c r="N2274">
        <v>45301</v>
      </c>
      <c r="O2274">
        <v>1031</v>
      </c>
      <c r="P2274" t="s">
        <v>20</v>
      </c>
      <c r="Q2274">
        <v>0</v>
      </c>
      <c r="R2274" t="s">
        <v>47</v>
      </c>
      <c r="S2274" t="s">
        <v>21</v>
      </c>
      <c r="T2274" t="s">
        <v>20</v>
      </c>
    </row>
    <row r="2275" spans="1:20" x14ac:dyDescent="0.3">
      <c r="A2275" t="s">
        <v>4663</v>
      </c>
      <c r="B2275" t="s">
        <v>215</v>
      </c>
      <c r="C2275" t="s">
        <v>32</v>
      </c>
      <c r="D2275" t="s">
        <v>33</v>
      </c>
      <c r="E2275" t="s">
        <v>5133</v>
      </c>
      <c r="F2275" t="s">
        <v>5125</v>
      </c>
      <c r="G2275" t="s">
        <v>16</v>
      </c>
      <c r="H2275" t="s">
        <v>5138</v>
      </c>
      <c r="I2275" t="s">
        <v>5139</v>
      </c>
      <c r="J2275">
        <v>201229</v>
      </c>
      <c r="K2275" t="s">
        <v>4664</v>
      </c>
      <c r="L2275" t="s">
        <v>142</v>
      </c>
      <c r="M2275" t="s">
        <v>46</v>
      </c>
      <c r="N2275">
        <v>45343</v>
      </c>
      <c r="O2275">
        <v>2720</v>
      </c>
      <c r="P2275" t="s">
        <v>29</v>
      </c>
      <c r="Q2275">
        <v>6</v>
      </c>
      <c r="R2275" t="s">
        <v>5116</v>
      </c>
      <c r="S2275" t="s">
        <v>53</v>
      </c>
      <c r="T2275" t="s">
        <v>20</v>
      </c>
    </row>
    <row r="2276" spans="1:20" x14ac:dyDescent="0.3">
      <c r="A2276" t="s">
        <v>4665</v>
      </c>
      <c r="B2276" t="s">
        <v>218</v>
      </c>
      <c r="C2276" t="s">
        <v>100</v>
      </c>
      <c r="D2276" t="s">
        <v>44</v>
      </c>
      <c r="E2276" t="s">
        <v>34</v>
      </c>
      <c r="F2276" t="s">
        <v>35</v>
      </c>
      <c r="G2276" t="s">
        <v>50</v>
      </c>
      <c r="H2276" t="s">
        <v>5138</v>
      </c>
      <c r="I2276" t="s">
        <v>5139</v>
      </c>
      <c r="J2276">
        <v>160859</v>
      </c>
      <c r="K2276" t="s">
        <v>4666</v>
      </c>
      <c r="L2276" t="s">
        <v>179</v>
      </c>
      <c r="M2276" t="s">
        <v>72</v>
      </c>
      <c r="N2276">
        <v>45740</v>
      </c>
      <c r="O2276">
        <v>1137</v>
      </c>
      <c r="P2276" t="s">
        <v>20</v>
      </c>
      <c r="Q2276">
        <v>6</v>
      </c>
      <c r="R2276" t="s">
        <v>5116</v>
      </c>
      <c r="S2276" t="s">
        <v>53</v>
      </c>
      <c r="T2276" t="s">
        <v>20</v>
      </c>
    </row>
    <row r="2277" spans="1:20" x14ac:dyDescent="0.3">
      <c r="A2277" t="s">
        <v>4667</v>
      </c>
      <c r="B2277" t="s">
        <v>322</v>
      </c>
      <c r="C2277" t="s">
        <v>85</v>
      </c>
      <c r="D2277" t="s">
        <v>104</v>
      </c>
      <c r="E2277" t="s">
        <v>152</v>
      </c>
      <c r="F2277" t="s">
        <v>153</v>
      </c>
      <c r="G2277" t="s">
        <v>50</v>
      </c>
      <c r="H2277" t="s">
        <v>5136</v>
      </c>
      <c r="I2277" t="s">
        <v>5137</v>
      </c>
      <c r="J2277">
        <v>56318</v>
      </c>
      <c r="K2277" t="s">
        <v>4668</v>
      </c>
      <c r="L2277" t="s">
        <v>238</v>
      </c>
      <c r="M2277" t="s">
        <v>46</v>
      </c>
      <c r="N2277">
        <v>45295</v>
      </c>
      <c r="O2277">
        <v>351</v>
      </c>
      <c r="P2277" t="s">
        <v>20</v>
      </c>
      <c r="Q2277">
        <v>0</v>
      </c>
      <c r="R2277" t="s">
        <v>5116</v>
      </c>
      <c r="S2277" t="s">
        <v>21</v>
      </c>
      <c r="T2277" t="s">
        <v>20</v>
      </c>
    </row>
    <row r="2278" spans="1:20" x14ac:dyDescent="0.3">
      <c r="A2278" t="s">
        <v>4669</v>
      </c>
      <c r="B2278" t="s">
        <v>74</v>
      </c>
      <c r="C2278" t="s">
        <v>13</v>
      </c>
      <c r="D2278" t="s">
        <v>44</v>
      </c>
      <c r="E2278" t="s">
        <v>5131</v>
      </c>
      <c r="F2278" t="s">
        <v>5125</v>
      </c>
      <c r="G2278" t="s">
        <v>16</v>
      </c>
      <c r="H2278" t="s">
        <v>5140</v>
      </c>
      <c r="I2278" t="s">
        <v>5141</v>
      </c>
      <c r="J2278">
        <v>123451</v>
      </c>
      <c r="K2278" t="s">
        <v>4670</v>
      </c>
      <c r="L2278" t="s">
        <v>179</v>
      </c>
      <c r="M2278" t="s">
        <v>19</v>
      </c>
      <c r="N2278">
        <v>45715</v>
      </c>
      <c r="O2278">
        <v>1380</v>
      </c>
      <c r="P2278" t="s">
        <v>20</v>
      </c>
      <c r="Q2278">
        <v>2</v>
      </c>
      <c r="R2278" t="s">
        <v>76</v>
      </c>
      <c r="S2278" t="s">
        <v>21</v>
      </c>
      <c r="T2278" t="s">
        <v>29</v>
      </c>
    </row>
    <row r="2279" spans="1:20" x14ac:dyDescent="0.3">
      <c r="A2279" t="s">
        <v>4671</v>
      </c>
      <c r="B2279" t="s">
        <v>215</v>
      </c>
      <c r="C2279" t="s">
        <v>109</v>
      </c>
      <c r="D2279" t="s">
        <v>57</v>
      </c>
      <c r="E2279" t="s">
        <v>5128</v>
      </c>
      <c r="F2279" t="s">
        <v>5125</v>
      </c>
      <c r="G2279" t="s">
        <v>50</v>
      </c>
      <c r="H2279" t="s">
        <v>5142</v>
      </c>
      <c r="I2279" t="s">
        <v>5143</v>
      </c>
      <c r="J2279">
        <v>118982</v>
      </c>
      <c r="K2279" t="s">
        <v>4672</v>
      </c>
      <c r="L2279" t="s">
        <v>5165</v>
      </c>
      <c r="M2279" t="s">
        <v>19</v>
      </c>
      <c r="N2279">
        <v>45430</v>
      </c>
      <c r="O2279">
        <v>3230</v>
      </c>
      <c r="P2279" t="s">
        <v>29</v>
      </c>
      <c r="Q2279">
        <v>4</v>
      </c>
      <c r="R2279" t="s">
        <v>40</v>
      </c>
      <c r="S2279" t="s">
        <v>21</v>
      </c>
      <c r="T2279" t="s">
        <v>29</v>
      </c>
    </row>
    <row r="2280" spans="1:20" x14ac:dyDescent="0.3">
      <c r="A2280" t="s">
        <v>4673</v>
      </c>
      <c r="B2280" t="s">
        <v>229</v>
      </c>
      <c r="C2280" t="s">
        <v>185</v>
      </c>
      <c r="D2280" t="s">
        <v>140</v>
      </c>
      <c r="E2280" t="s">
        <v>5128</v>
      </c>
      <c r="F2280" t="s">
        <v>5125</v>
      </c>
      <c r="G2280" t="s">
        <v>36</v>
      </c>
      <c r="H2280" t="s">
        <v>5140</v>
      </c>
      <c r="I2280" t="s">
        <v>5141</v>
      </c>
      <c r="J2280">
        <v>123192</v>
      </c>
      <c r="K2280" t="s">
        <v>4674</v>
      </c>
      <c r="L2280" t="s">
        <v>61</v>
      </c>
      <c r="M2280" t="s">
        <v>46</v>
      </c>
      <c r="N2280">
        <v>45584</v>
      </c>
      <c r="O2280">
        <v>3282</v>
      </c>
      <c r="P2280" t="s">
        <v>92</v>
      </c>
      <c r="Q2280">
        <v>2</v>
      </c>
      <c r="R2280" t="s">
        <v>40</v>
      </c>
      <c r="S2280" t="s">
        <v>53</v>
      </c>
      <c r="T2280" t="s">
        <v>20</v>
      </c>
    </row>
    <row r="2281" spans="1:20" x14ac:dyDescent="0.3">
      <c r="A2281" t="s">
        <v>4675</v>
      </c>
      <c r="B2281" t="s">
        <v>89</v>
      </c>
      <c r="C2281" t="s">
        <v>185</v>
      </c>
      <c r="D2281" t="s">
        <v>167</v>
      </c>
      <c r="E2281" t="s">
        <v>209</v>
      </c>
      <c r="F2281" t="s">
        <v>210</v>
      </c>
      <c r="G2281" t="s">
        <v>16</v>
      </c>
      <c r="H2281" t="s">
        <v>5138</v>
      </c>
      <c r="I2281" t="s">
        <v>5139</v>
      </c>
      <c r="J2281">
        <v>216653</v>
      </c>
      <c r="K2281" t="s">
        <v>4676</v>
      </c>
      <c r="L2281" t="s">
        <v>38</v>
      </c>
      <c r="M2281" t="s">
        <v>19</v>
      </c>
      <c r="N2281">
        <v>45317</v>
      </c>
      <c r="O2281">
        <v>702</v>
      </c>
      <c r="P2281" t="s">
        <v>29</v>
      </c>
      <c r="Q2281">
        <v>6</v>
      </c>
      <c r="R2281" t="s">
        <v>52</v>
      </c>
      <c r="S2281" t="s">
        <v>53</v>
      </c>
      <c r="T2281" t="s">
        <v>20</v>
      </c>
    </row>
    <row r="2282" spans="1:20" x14ac:dyDescent="0.3">
      <c r="A2282" t="s">
        <v>4677</v>
      </c>
      <c r="B2282" t="s">
        <v>130</v>
      </c>
      <c r="C2282" t="s">
        <v>94</v>
      </c>
      <c r="D2282" t="s">
        <v>44</v>
      </c>
      <c r="E2282" t="s">
        <v>69</v>
      </c>
      <c r="F2282" t="s">
        <v>70</v>
      </c>
      <c r="G2282" t="s">
        <v>16</v>
      </c>
      <c r="H2282" t="s">
        <v>5142</v>
      </c>
      <c r="I2282" t="s">
        <v>5143</v>
      </c>
      <c r="J2282">
        <v>103403</v>
      </c>
      <c r="K2282" t="s">
        <v>4678</v>
      </c>
      <c r="L2282" t="s">
        <v>82</v>
      </c>
      <c r="M2282" t="s">
        <v>46</v>
      </c>
      <c r="N2282">
        <v>45348</v>
      </c>
      <c r="O2282">
        <v>1577</v>
      </c>
      <c r="P2282" t="s">
        <v>29</v>
      </c>
      <c r="Q2282">
        <v>4</v>
      </c>
      <c r="R2282" t="s">
        <v>76</v>
      </c>
      <c r="S2282" t="s">
        <v>21</v>
      </c>
      <c r="T2282" t="s">
        <v>29</v>
      </c>
    </row>
    <row r="2283" spans="1:20" x14ac:dyDescent="0.3">
      <c r="A2283" t="s">
        <v>4679</v>
      </c>
      <c r="B2283" t="s">
        <v>89</v>
      </c>
      <c r="C2283" t="s">
        <v>166</v>
      </c>
      <c r="D2283" t="s">
        <v>25</v>
      </c>
      <c r="E2283" t="s">
        <v>5133</v>
      </c>
      <c r="F2283" t="s">
        <v>5125</v>
      </c>
      <c r="G2283" t="s">
        <v>50</v>
      </c>
      <c r="H2283" t="s">
        <v>5142</v>
      </c>
      <c r="I2283" t="s">
        <v>5143</v>
      </c>
      <c r="J2283">
        <v>131705</v>
      </c>
      <c r="K2283" t="s">
        <v>4680</v>
      </c>
      <c r="L2283" t="s">
        <v>5165</v>
      </c>
      <c r="M2283" t="s">
        <v>39</v>
      </c>
      <c r="N2283">
        <v>45313</v>
      </c>
      <c r="O2283">
        <v>3705</v>
      </c>
      <c r="P2283" t="s">
        <v>20</v>
      </c>
      <c r="Q2283">
        <v>4</v>
      </c>
      <c r="R2283" t="s">
        <v>40</v>
      </c>
      <c r="S2283" t="s">
        <v>53</v>
      </c>
      <c r="T2283" t="s">
        <v>20</v>
      </c>
    </row>
    <row r="2284" spans="1:20" x14ac:dyDescent="0.3">
      <c r="A2284" t="s">
        <v>4681</v>
      </c>
      <c r="B2284" t="s">
        <v>31</v>
      </c>
      <c r="C2284" t="s">
        <v>121</v>
      </c>
      <c r="D2284" t="s">
        <v>5156</v>
      </c>
      <c r="E2284" t="s">
        <v>5126</v>
      </c>
      <c r="F2284" t="s">
        <v>5125</v>
      </c>
      <c r="G2284" t="s">
        <v>36</v>
      </c>
      <c r="H2284" t="s">
        <v>5140</v>
      </c>
      <c r="I2284" t="s">
        <v>5141</v>
      </c>
      <c r="J2284">
        <v>133643</v>
      </c>
      <c r="K2284" t="s">
        <v>1661</v>
      </c>
      <c r="L2284" t="s">
        <v>5165</v>
      </c>
      <c r="M2284" t="s">
        <v>19</v>
      </c>
      <c r="N2284">
        <v>45614</v>
      </c>
      <c r="O2284">
        <v>941</v>
      </c>
      <c r="P2284" t="s">
        <v>20</v>
      </c>
      <c r="Q2284">
        <v>2</v>
      </c>
      <c r="R2284" t="s">
        <v>76</v>
      </c>
      <c r="S2284" t="s">
        <v>21</v>
      </c>
      <c r="T2284" t="s">
        <v>20</v>
      </c>
    </row>
    <row r="2285" spans="1:20" x14ac:dyDescent="0.3">
      <c r="A2285" t="s">
        <v>4682</v>
      </c>
      <c r="B2285" t="s">
        <v>215</v>
      </c>
      <c r="C2285" t="s">
        <v>43</v>
      </c>
      <c r="D2285" t="s">
        <v>68</v>
      </c>
      <c r="E2285" t="s">
        <v>69</v>
      </c>
      <c r="F2285" t="s">
        <v>70</v>
      </c>
      <c r="G2285" t="s">
        <v>16</v>
      </c>
      <c r="H2285" t="s">
        <v>5138</v>
      </c>
      <c r="I2285" t="s">
        <v>5139</v>
      </c>
      <c r="J2285">
        <v>164678</v>
      </c>
      <c r="K2285" t="s">
        <v>4683</v>
      </c>
      <c r="L2285" t="s">
        <v>5165</v>
      </c>
      <c r="M2285" t="s">
        <v>19</v>
      </c>
      <c r="N2285">
        <v>45608</v>
      </c>
      <c r="O2285">
        <v>3590</v>
      </c>
      <c r="P2285" t="s">
        <v>92</v>
      </c>
      <c r="Q2285">
        <v>6</v>
      </c>
      <c r="R2285" t="s">
        <v>5116</v>
      </c>
      <c r="S2285" t="s">
        <v>21</v>
      </c>
      <c r="T2285" t="s">
        <v>29</v>
      </c>
    </row>
    <row r="2286" spans="1:20" x14ac:dyDescent="0.3">
      <c r="A2286" t="s">
        <v>4684</v>
      </c>
      <c r="B2286" t="s">
        <v>23</v>
      </c>
      <c r="C2286" t="s">
        <v>43</v>
      </c>
      <c r="D2286" t="s">
        <v>33</v>
      </c>
      <c r="E2286" t="s">
        <v>34</v>
      </c>
      <c r="F2286" t="s">
        <v>35</v>
      </c>
      <c r="G2286" t="s">
        <v>36</v>
      </c>
      <c r="H2286" t="s">
        <v>5136</v>
      </c>
      <c r="I2286" t="s">
        <v>5137</v>
      </c>
      <c r="J2286">
        <v>64148</v>
      </c>
      <c r="K2286" t="s">
        <v>4685</v>
      </c>
      <c r="L2286" t="s">
        <v>61</v>
      </c>
      <c r="M2286" t="s">
        <v>46</v>
      </c>
      <c r="N2286">
        <v>45314</v>
      </c>
      <c r="O2286">
        <v>1613</v>
      </c>
      <c r="P2286" t="s">
        <v>20</v>
      </c>
      <c r="Q2286">
        <v>0</v>
      </c>
      <c r="R2286" t="s">
        <v>5116</v>
      </c>
      <c r="S2286" t="s">
        <v>21</v>
      </c>
      <c r="T2286" t="s">
        <v>29</v>
      </c>
    </row>
    <row r="2287" spans="1:20" x14ac:dyDescent="0.3">
      <c r="A2287" t="s">
        <v>4686</v>
      </c>
      <c r="B2287" t="s">
        <v>12</v>
      </c>
      <c r="C2287" t="s">
        <v>94</v>
      </c>
      <c r="D2287" t="s">
        <v>68</v>
      </c>
      <c r="E2287" t="s">
        <v>5128</v>
      </c>
      <c r="F2287" t="s">
        <v>5125</v>
      </c>
      <c r="G2287" t="s">
        <v>16</v>
      </c>
      <c r="H2287" t="s">
        <v>5138</v>
      </c>
      <c r="I2287" t="s">
        <v>5139</v>
      </c>
      <c r="J2287">
        <v>216634</v>
      </c>
      <c r="K2287" t="s">
        <v>4687</v>
      </c>
      <c r="L2287" t="s">
        <v>5165</v>
      </c>
      <c r="M2287" t="s">
        <v>39</v>
      </c>
      <c r="N2287">
        <v>45306</v>
      </c>
      <c r="O2287">
        <v>3692</v>
      </c>
      <c r="P2287" t="s">
        <v>20</v>
      </c>
      <c r="Q2287">
        <v>6</v>
      </c>
      <c r="R2287" t="s">
        <v>52</v>
      </c>
      <c r="S2287" t="s">
        <v>21</v>
      </c>
      <c r="T2287" t="s">
        <v>29</v>
      </c>
    </row>
    <row r="2288" spans="1:20" x14ac:dyDescent="0.3">
      <c r="A2288" t="s">
        <v>4688</v>
      </c>
      <c r="B2288" t="s">
        <v>74</v>
      </c>
      <c r="C2288" t="s">
        <v>188</v>
      </c>
      <c r="D2288" t="s">
        <v>118</v>
      </c>
      <c r="E2288" t="s">
        <v>5133</v>
      </c>
      <c r="F2288" t="s">
        <v>5125</v>
      </c>
      <c r="G2288" t="s">
        <v>36</v>
      </c>
      <c r="H2288" t="s">
        <v>5142</v>
      </c>
      <c r="I2288" t="s">
        <v>5143</v>
      </c>
      <c r="J2288">
        <v>171151</v>
      </c>
      <c r="K2288" t="s">
        <v>4689</v>
      </c>
      <c r="L2288" t="s">
        <v>142</v>
      </c>
      <c r="M2288" t="s">
        <v>39</v>
      </c>
      <c r="N2288">
        <v>45344</v>
      </c>
      <c r="O2288">
        <v>2276</v>
      </c>
      <c r="P2288" t="s">
        <v>20</v>
      </c>
      <c r="Q2288">
        <v>4</v>
      </c>
      <c r="R2288" t="s">
        <v>40</v>
      </c>
      <c r="S2288" t="s">
        <v>21</v>
      </c>
      <c r="T2288" t="s">
        <v>29</v>
      </c>
    </row>
    <row r="2289" spans="1:20" x14ac:dyDescent="0.3">
      <c r="A2289" t="s">
        <v>4690</v>
      </c>
      <c r="B2289" t="s">
        <v>99</v>
      </c>
      <c r="C2289" t="s">
        <v>197</v>
      </c>
      <c r="D2289" t="s">
        <v>140</v>
      </c>
      <c r="E2289" t="s">
        <v>193</v>
      </c>
      <c r="F2289" t="s">
        <v>194</v>
      </c>
      <c r="G2289" t="s">
        <v>36</v>
      </c>
      <c r="H2289" t="s">
        <v>5136</v>
      </c>
      <c r="I2289" t="s">
        <v>5137</v>
      </c>
      <c r="J2289">
        <v>66830</v>
      </c>
      <c r="K2289" t="s">
        <v>4691</v>
      </c>
      <c r="L2289" t="s">
        <v>238</v>
      </c>
      <c r="M2289" t="s">
        <v>72</v>
      </c>
      <c r="N2289">
        <v>45348</v>
      </c>
      <c r="O2289">
        <v>3743</v>
      </c>
      <c r="P2289" t="s">
        <v>92</v>
      </c>
      <c r="Q2289">
        <v>0</v>
      </c>
      <c r="R2289" t="s">
        <v>5116</v>
      </c>
      <c r="S2289" t="s">
        <v>53</v>
      </c>
      <c r="T2289" t="s">
        <v>20</v>
      </c>
    </row>
    <row r="2290" spans="1:20" x14ac:dyDescent="0.3">
      <c r="A2290" t="s">
        <v>4692</v>
      </c>
      <c r="B2290" t="s">
        <v>12</v>
      </c>
      <c r="C2290" t="s">
        <v>49</v>
      </c>
      <c r="D2290" t="s">
        <v>104</v>
      </c>
      <c r="E2290" t="s">
        <v>5127</v>
      </c>
      <c r="F2290" t="s">
        <v>5125</v>
      </c>
      <c r="G2290" t="s">
        <v>16</v>
      </c>
      <c r="H2290" t="s">
        <v>5140</v>
      </c>
      <c r="I2290" t="s">
        <v>5141</v>
      </c>
      <c r="J2290">
        <v>98169</v>
      </c>
      <c r="K2290" t="s">
        <v>4693</v>
      </c>
      <c r="L2290" t="s">
        <v>5165</v>
      </c>
      <c r="M2290" t="s">
        <v>39</v>
      </c>
      <c r="N2290">
        <v>45591</v>
      </c>
      <c r="O2290">
        <v>3534</v>
      </c>
      <c r="P2290" t="s">
        <v>20</v>
      </c>
      <c r="Q2290">
        <v>2</v>
      </c>
      <c r="R2290" t="s">
        <v>5116</v>
      </c>
      <c r="S2290" t="s">
        <v>21</v>
      </c>
      <c r="T2290" t="s">
        <v>20</v>
      </c>
    </row>
    <row r="2291" spans="1:20" x14ac:dyDescent="0.3">
      <c r="A2291" t="s">
        <v>4694</v>
      </c>
      <c r="B2291" t="s">
        <v>229</v>
      </c>
      <c r="C2291" t="s">
        <v>109</v>
      </c>
      <c r="D2291" t="s">
        <v>5156</v>
      </c>
      <c r="E2291" t="s">
        <v>58</v>
      </c>
      <c r="F2291" t="s">
        <v>59</v>
      </c>
      <c r="G2291" t="s">
        <v>16</v>
      </c>
      <c r="H2291" t="s">
        <v>5138</v>
      </c>
      <c r="I2291" t="s">
        <v>5139</v>
      </c>
      <c r="J2291">
        <v>251205</v>
      </c>
      <c r="K2291" t="s">
        <v>4695</v>
      </c>
      <c r="L2291" t="s">
        <v>82</v>
      </c>
      <c r="M2291" t="s">
        <v>39</v>
      </c>
      <c r="N2291">
        <v>45402</v>
      </c>
      <c r="O2291">
        <v>3593</v>
      </c>
      <c r="P2291" t="s">
        <v>20</v>
      </c>
      <c r="Q2291">
        <v>6</v>
      </c>
      <c r="R2291" t="s">
        <v>5116</v>
      </c>
      <c r="S2291" t="s">
        <v>53</v>
      </c>
      <c r="T2291" t="s">
        <v>29</v>
      </c>
    </row>
    <row r="2292" spans="1:20" x14ac:dyDescent="0.3">
      <c r="A2292" t="s">
        <v>4696</v>
      </c>
      <c r="B2292" t="s">
        <v>84</v>
      </c>
      <c r="C2292" t="s">
        <v>79</v>
      </c>
      <c r="D2292" t="s">
        <v>140</v>
      </c>
      <c r="E2292" t="s">
        <v>5127</v>
      </c>
      <c r="F2292" t="s">
        <v>5125</v>
      </c>
      <c r="G2292" t="s">
        <v>16</v>
      </c>
      <c r="H2292" t="s">
        <v>5138</v>
      </c>
      <c r="I2292" t="s">
        <v>5139</v>
      </c>
      <c r="J2292">
        <v>262600</v>
      </c>
      <c r="K2292" t="s">
        <v>4697</v>
      </c>
      <c r="L2292" t="s">
        <v>82</v>
      </c>
      <c r="M2292" t="s">
        <v>39</v>
      </c>
      <c r="N2292">
        <v>45482</v>
      </c>
      <c r="O2292">
        <v>2898</v>
      </c>
      <c r="P2292" t="s">
        <v>20</v>
      </c>
      <c r="Q2292">
        <v>6</v>
      </c>
      <c r="R2292" t="s">
        <v>76</v>
      </c>
      <c r="S2292" t="s">
        <v>21</v>
      </c>
      <c r="T2292" t="s">
        <v>20</v>
      </c>
    </row>
    <row r="2293" spans="1:20" x14ac:dyDescent="0.3">
      <c r="A2293" t="s">
        <v>4698</v>
      </c>
      <c r="B2293" t="s">
        <v>218</v>
      </c>
      <c r="C2293" t="s">
        <v>197</v>
      </c>
      <c r="D2293" t="s">
        <v>118</v>
      </c>
      <c r="E2293" t="s">
        <v>80</v>
      </c>
      <c r="F2293" t="s">
        <v>80</v>
      </c>
      <c r="G2293" t="s">
        <v>16</v>
      </c>
      <c r="H2293" t="s">
        <v>5138</v>
      </c>
      <c r="I2293" t="s">
        <v>5139</v>
      </c>
      <c r="J2293">
        <v>235238</v>
      </c>
      <c r="K2293" t="s">
        <v>4699</v>
      </c>
      <c r="L2293" t="s">
        <v>82</v>
      </c>
      <c r="M2293" t="s">
        <v>39</v>
      </c>
      <c r="N2293">
        <v>45319</v>
      </c>
      <c r="O2293">
        <v>738</v>
      </c>
      <c r="P2293" t="s">
        <v>20</v>
      </c>
      <c r="Q2293">
        <v>6</v>
      </c>
      <c r="R2293" t="s">
        <v>40</v>
      </c>
      <c r="S2293" t="s">
        <v>21</v>
      </c>
      <c r="T2293" t="s">
        <v>20</v>
      </c>
    </row>
    <row r="2294" spans="1:20" x14ac:dyDescent="0.3">
      <c r="A2294" t="s">
        <v>4700</v>
      </c>
      <c r="B2294" t="s">
        <v>144</v>
      </c>
      <c r="C2294" t="s">
        <v>109</v>
      </c>
      <c r="D2294" t="s">
        <v>68</v>
      </c>
      <c r="E2294" t="s">
        <v>209</v>
      </c>
      <c r="F2294" t="s">
        <v>210</v>
      </c>
      <c r="G2294" t="s">
        <v>16</v>
      </c>
      <c r="H2294" t="s">
        <v>5138</v>
      </c>
      <c r="I2294" t="s">
        <v>5139</v>
      </c>
      <c r="J2294">
        <v>203071</v>
      </c>
      <c r="K2294" t="s">
        <v>4701</v>
      </c>
      <c r="L2294" t="s">
        <v>142</v>
      </c>
      <c r="M2294" t="s">
        <v>72</v>
      </c>
      <c r="N2294">
        <v>45605</v>
      </c>
      <c r="O2294">
        <v>3663</v>
      </c>
      <c r="P2294" t="s">
        <v>29</v>
      </c>
      <c r="Q2294">
        <v>6</v>
      </c>
      <c r="R2294" t="s">
        <v>5116</v>
      </c>
      <c r="S2294" t="s">
        <v>41</v>
      </c>
      <c r="T2294" t="s">
        <v>20</v>
      </c>
    </row>
    <row r="2295" spans="1:20" x14ac:dyDescent="0.3">
      <c r="A2295" t="s">
        <v>4702</v>
      </c>
      <c r="B2295" t="s">
        <v>322</v>
      </c>
      <c r="C2295" t="s">
        <v>85</v>
      </c>
      <c r="D2295" t="s">
        <v>5156</v>
      </c>
      <c r="E2295" t="s">
        <v>5124</v>
      </c>
      <c r="F2295" t="s">
        <v>5125</v>
      </c>
      <c r="G2295" t="s">
        <v>36</v>
      </c>
      <c r="H2295" t="s">
        <v>5138</v>
      </c>
      <c r="I2295" t="s">
        <v>5139</v>
      </c>
      <c r="J2295">
        <v>170902</v>
      </c>
      <c r="K2295" t="s">
        <v>4703</v>
      </c>
      <c r="L2295" t="s">
        <v>5165</v>
      </c>
      <c r="M2295" t="s">
        <v>39</v>
      </c>
      <c r="N2295">
        <v>45555</v>
      </c>
      <c r="O2295">
        <v>1773</v>
      </c>
      <c r="P2295" t="s">
        <v>29</v>
      </c>
      <c r="Q2295">
        <v>6</v>
      </c>
      <c r="R2295" t="s">
        <v>40</v>
      </c>
      <c r="S2295" t="s">
        <v>53</v>
      </c>
      <c r="T2295" t="s">
        <v>20</v>
      </c>
    </row>
    <row r="2296" spans="1:20" x14ac:dyDescent="0.3">
      <c r="A2296" t="s">
        <v>4704</v>
      </c>
      <c r="B2296" t="s">
        <v>144</v>
      </c>
      <c r="C2296" t="s">
        <v>139</v>
      </c>
      <c r="D2296" t="s">
        <v>104</v>
      </c>
      <c r="E2296" t="s">
        <v>5127</v>
      </c>
      <c r="F2296" t="s">
        <v>5125</v>
      </c>
      <c r="G2296" t="s">
        <v>16</v>
      </c>
      <c r="H2296" t="s">
        <v>5138</v>
      </c>
      <c r="I2296" t="s">
        <v>5139</v>
      </c>
      <c r="J2296">
        <v>170104</v>
      </c>
      <c r="K2296" t="s">
        <v>4705</v>
      </c>
      <c r="L2296" t="s">
        <v>113</v>
      </c>
      <c r="M2296" t="s">
        <v>72</v>
      </c>
      <c r="N2296">
        <v>45581</v>
      </c>
      <c r="O2296">
        <v>3072</v>
      </c>
      <c r="P2296" t="s">
        <v>20</v>
      </c>
      <c r="Q2296">
        <v>6</v>
      </c>
      <c r="R2296" t="s">
        <v>47</v>
      </c>
      <c r="S2296" t="s">
        <v>21</v>
      </c>
      <c r="T2296" t="s">
        <v>20</v>
      </c>
    </row>
    <row r="2297" spans="1:20" x14ac:dyDescent="0.3">
      <c r="A2297" t="s">
        <v>4706</v>
      </c>
      <c r="B2297" t="s">
        <v>55</v>
      </c>
      <c r="C2297" t="s">
        <v>64</v>
      </c>
      <c r="D2297" t="s">
        <v>5156</v>
      </c>
      <c r="E2297" t="s">
        <v>69</v>
      </c>
      <c r="F2297" t="s">
        <v>70</v>
      </c>
      <c r="G2297" t="s">
        <v>36</v>
      </c>
      <c r="H2297" t="s">
        <v>5138</v>
      </c>
      <c r="I2297" t="s">
        <v>5139</v>
      </c>
      <c r="J2297">
        <v>218810</v>
      </c>
      <c r="K2297" t="s">
        <v>4707</v>
      </c>
      <c r="L2297" t="s">
        <v>5165</v>
      </c>
      <c r="M2297" t="s">
        <v>46</v>
      </c>
      <c r="N2297">
        <v>45373</v>
      </c>
      <c r="O2297">
        <v>3684</v>
      </c>
      <c r="P2297" t="s">
        <v>92</v>
      </c>
      <c r="Q2297">
        <v>6</v>
      </c>
      <c r="R2297" t="s">
        <v>76</v>
      </c>
      <c r="S2297" t="s">
        <v>21</v>
      </c>
      <c r="T2297" t="s">
        <v>20</v>
      </c>
    </row>
    <row r="2298" spans="1:20" x14ac:dyDescent="0.3">
      <c r="A2298" t="s">
        <v>4708</v>
      </c>
      <c r="B2298" t="s">
        <v>89</v>
      </c>
      <c r="C2298" t="s">
        <v>56</v>
      </c>
      <c r="D2298" t="s">
        <v>118</v>
      </c>
      <c r="E2298" t="s">
        <v>223</v>
      </c>
      <c r="F2298" t="s">
        <v>224</v>
      </c>
      <c r="G2298" t="s">
        <v>36</v>
      </c>
      <c r="H2298" t="s">
        <v>5142</v>
      </c>
      <c r="I2298" t="s">
        <v>5143</v>
      </c>
      <c r="J2298">
        <v>161296</v>
      </c>
      <c r="K2298" t="s">
        <v>4709</v>
      </c>
      <c r="L2298" t="s">
        <v>61</v>
      </c>
      <c r="M2298" t="s">
        <v>46</v>
      </c>
      <c r="N2298">
        <v>45569</v>
      </c>
      <c r="O2298">
        <v>1830</v>
      </c>
      <c r="P2298" t="s">
        <v>29</v>
      </c>
      <c r="Q2298">
        <v>4</v>
      </c>
      <c r="R2298" t="s">
        <v>40</v>
      </c>
      <c r="S2298" t="s">
        <v>21</v>
      </c>
      <c r="T2298" t="s">
        <v>29</v>
      </c>
    </row>
    <row r="2299" spans="1:20" x14ac:dyDescent="0.3">
      <c r="A2299" t="s">
        <v>4710</v>
      </c>
      <c r="B2299" t="s">
        <v>55</v>
      </c>
      <c r="C2299" t="s">
        <v>103</v>
      </c>
      <c r="D2299" t="s">
        <v>44</v>
      </c>
      <c r="E2299" t="s">
        <v>5128</v>
      </c>
      <c r="F2299" t="s">
        <v>5125</v>
      </c>
      <c r="G2299" t="s">
        <v>16</v>
      </c>
      <c r="H2299" t="s">
        <v>5142</v>
      </c>
      <c r="I2299" t="s">
        <v>5143</v>
      </c>
      <c r="J2299">
        <v>187843</v>
      </c>
      <c r="K2299" t="s">
        <v>4711</v>
      </c>
      <c r="L2299" t="s">
        <v>82</v>
      </c>
      <c r="M2299" t="s">
        <v>39</v>
      </c>
      <c r="N2299">
        <v>45481</v>
      </c>
      <c r="O2299">
        <v>1951</v>
      </c>
      <c r="P2299" t="s">
        <v>20</v>
      </c>
      <c r="Q2299">
        <v>4</v>
      </c>
      <c r="R2299" t="s">
        <v>40</v>
      </c>
      <c r="S2299" t="s">
        <v>21</v>
      </c>
      <c r="T2299" t="s">
        <v>29</v>
      </c>
    </row>
    <row r="2300" spans="1:20" x14ac:dyDescent="0.3">
      <c r="A2300" t="s">
        <v>4712</v>
      </c>
      <c r="B2300" t="s">
        <v>99</v>
      </c>
      <c r="C2300" t="s">
        <v>185</v>
      </c>
      <c r="D2300" t="s">
        <v>25</v>
      </c>
      <c r="E2300" t="s">
        <v>69</v>
      </c>
      <c r="F2300" t="s">
        <v>70</v>
      </c>
      <c r="G2300" t="s">
        <v>36</v>
      </c>
      <c r="H2300" t="s">
        <v>5136</v>
      </c>
      <c r="I2300" t="s">
        <v>5137</v>
      </c>
      <c r="J2300">
        <v>78195</v>
      </c>
      <c r="K2300" t="s">
        <v>4713</v>
      </c>
      <c r="L2300" t="s">
        <v>179</v>
      </c>
      <c r="M2300" t="s">
        <v>46</v>
      </c>
      <c r="N2300">
        <v>45336</v>
      </c>
      <c r="O2300">
        <v>1135</v>
      </c>
      <c r="P2300" t="s">
        <v>20</v>
      </c>
      <c r="Q2300">
        <v>0</v>
      </c>
      <c r="R2300" t="s">
        <v>40</v>
      </c>
      <c r="S2300" t="s">
        <v>21</v>
      </c>
      <c r="T2300" t="s">
        <v>29</v>
      </c>
    </row>
    <row r="2301" spans="1:20" x14ac:dyDescent="0.3">
      <c r="A2301" t="s">
        <v>4714</v>
      </c>
      <c r="B2301" t="s">
        <v>78</v>
      </c>
      <c r="C2301" t="s">
        <v>166</v>
      </c>
      <c r="D2301" t="s">
        <v>57</v>
      </c>
      <c r="E2301" t="s">
        <v>80</v>
      </c>
      <c r="F2301" t="s">
        <v>80</v>
      </c>
      <c r="G2301" t="s">
        <v>50</v>
      </c>
      <c r="H2301" t="s">
        <v>5140</v>
      </c>
      <c r="I2301" t="s">
        <v>5141</v>
      </c>
      <c r="J2301">
        <v>80239</v>
      </c>
      <c r="K2301" t="s">
        <v>4715</v>
      </c>
      <c r="L2301" t="s">
        <v>18</v>
      </c>
      <c r="M2301" t="s">
        <v>19</v>
      </c>
      <c r="N2301">
        <v>45370</v>
      </c>
      <c r="O2301">
        <v>3439</v>
      </c>
      <c r="P2301" t="s">
        <v>20</v>
      </c>
      <c r="Q2301">
        <v>2</v>
      </c>
      <c r="R2301" t="s">
        <v>5116</v>
      </c>
      <c r="S2301" t="s">
        <v>21</v>
      </c>
      <c r="T2301" t="s">
        <v>29</v>
      </c>
    </row>
    <row r="2302" spans="1:20" x14ac:dyDescent="0.3">
      <c r="A2302" t="s">
        <v>4716</v>
      </c>
      <c r="B2302" t="s">
        <v>218</v>
      </c>
      <c r="C2302" t="s">
        <v>139</v>
      </c>
      <c r="D2302" t="s">
        <v>44</v>
      </c>
      <c r="E2302" t="s">
        <v>80</v>
      </c>
      <c r="F2302" t="s">
        <v>80</v>
      </c>
      <c r="G2302" t="s">
        <v>36</v>
      </c>
      <c r="H2302" t="s">
        <v>5140</v>
      </c>
      <c r="I2302" t="s">
        <v>5141</v>
      </c>
      <c r="J2302">
        <v>130828</v>
      </c>
      <c r="K2302" t="s">
        <v>4717</v>
      </c>
      <c r="L2302" t="s">
        <v>179</v>
      </c>
      <c r="M2302" t="s">
        <v>19</v>
      </c>
      <c r="N2302">
        <v>45484</v>
      </c>
      <c r="O2302">
        <v>843</v>
      </c>
      <c r="P2302" t="s">
        <v>20</v>
      </c>
      <c r="Q2302">
        <v>2</v>
      </c>
      <c r="R2302" t="s">
        <v>76</v>
      </c>
      <c r="S2302" t="s">
        <v>53</v>
      </c>
      <c r="T2302" t="s">
        <v>20</v>
      </c>
    </row>
    <row r="2303" spans="1:20" x14ac:dyDescent="0.3">
      <c r="A2303" t="s">
        <v>4718</v>
      </c>
      <c r="B2303" t="s">
        <v>55</v>
      </c>
      <c r="C2303" t="s">
        <v>219</v>
      </c>
      <c r="D2303" t="s">
        <v>33</v>
      </c>
      <c r="E2303" t="s">
        <v>126</v>
      </c>
      <c r="F2303" t="s">
        <v>127</v>
      </c>
      <c r="G2303" t="s">
        <v>50</v>
      </c>
      <c r="H2303" t="s">
        <v>5142</v>
      </c>
      <c r="I2303" t="s">
        <v>5143</v>
      </c>
      <c r="J2303">
        <v>123052</v>
      </c>
      <c r="K2303" t="s">
        <v>4719</v>
      </c>
      <c r="L2303" t="s">
        <v>134</v>
      </c>
      <c r="M2303" t="s">
        <v>19</v>
      </c>
      <c r="N2303">
        <v>45327</v>
      </c>
      <c r="O2303">
        <v>3701</v>
      </c>
      <c r="P2303" t="s">
        <v>20</v>
      </c>
      <c r="Q2303">
        <v>4</v>
      </c>
      <c r="R2303" t="s">
        <v>40</v>
      </c>
      <c r="S2303" t="s">
        <v>21</v>
      </c>
      <c r="T2303" t="s">
        <v>20</v>
      </c>
    </row>
    <row r="2304" spans="1:20" x14ac:dyDescent="0.3">
      <c r="A2304" t="s">
        <v>4720</v>
      </c>
      <c r="B2304" t="s">
        <v>31</v>
      </c>
      <c r="C2304" t="s">
        <v>232</v>
      </c>
      <c r="D2304" t="s">
        <v>25</v>
      </c>
      <c r="E2304" t="s">
        <v>5131</v>
      </c>
      <c r="F2304" t="s">
        <v>5125</v>
      </c>
      <c r="G2304" t="s">
        <v>36</v>
      </c>
      <c r="H2304" t="s">
        <v>5142</v>
      </c>
      <c r="I2304" t="s">
        <v>5143</v>
      </c>
      <c r="J2304">
        <v>139632</v>
      </c>
      <c r="K2304" t="s">
        <v>4721</v>
      </c>
      <c r="L2304" t="s">
        <v>5165</v>
      </c>
      <c r="M2304" t="s">
        <v>46</v>
      </c>
      <c r="N2304">
        <v>45352</v>
      </c>
      <c r="O2304">
        <v>3244</v>
      </c>
      <c r="P2304" t="s">
        <v>20</v>
      </c>
      <c r="Q2304">
        <v>4</v>
      </c>
      <c r="R2304" t="s">
        <v>5116</v>
      </c>
      <c r="S2304" t="s">
        <v>21</v>
      </c>
      <c r="T2304" t="s">
        <v>20</v>
      </c>
    </row>
    <row r="2305" spans="1:20" x14ac:dyDescent="0.3">
      <c r="A2305" t="s">
        <v>4722</v>
      </c>
      <c r="B2305" t="s">
        <v>136</v>
      </c>
      <c r="C2305" t="s">
        <v>85</v>
      </c>
      <c r="D2305" t="s">
        <v>33</v>
      </c>
      <c r="E2305" t="s">
        <v>5131</v>
      </c>
      <c r="F2305" t="s">
        <v>5125</v>
      </c>
      <c r="G2305" t="s">
        <v>36</v>
      </c>
      <c r="H2305" t="s">
        <v>5138</v>
      </c>
      <c r="I2305" t="s">
        <v>5139</v>
      </c>
      <c r="J2305">
        <v>209007</v>
      </c>
      <c r="K2305" t="s">
        <v>4723</v>
      </c>
      <c r="L2305" t="s">
        <v>238</v>
      </c>
      <c r="M2305" t="s">
        <v>46</v>
      </c>
      <c r="N2305">
        <v>45414</v>
      </c>
      <c r="O2305">
        <v>2596</v>
      </c>
      <c r="P2305" t="s">
        <v>20</v>
      </c>
      <c r="Q2305">
        <v>6</v>
      </c>
      <c r="R2305" t="s">
        <v>5116</v>
      </c>
      <c r="S2305" t="s">
        <v>21</v>
      </c>
      <c r="T2305" t="s">
        <v>29</v>
      </c>
    </row>
    <row r="2306" spans="1:20" x14ac:dyDescent="0.3">
      <c r="A2306" t="s">
        <v>4724</v>
      </c>
      <c r="B2306" t="s">
        <v>55</v>
      </c>
      <c r="C2306" t="s">
        <v>232</v>
      </c>
      <c r="D2306" t="s">
        <v>140</v>
      </c>
      <c r="E2306" t="s">
        <v>5132</v>
      </c>
      <c r="F2306" t="s">
        <v>5125</v>
      </c>
      <c r="G2306" t="s">
        <v>36</v>
      </c>
      <c r="H2306" t="s">
        <v>5142</v>
      </c>
      <c r="I2306" t="s">
        <v>5143</v>
      </c>
      <c r="J2306">
        <v>203883</v>
      </c>
      <c r="K2306" t="s">
        <v>4725</v>
      </c>
      <c r="L2306" t="s">
        <v>87</v>
      </c>
      <c r="M2306" t="s">
        <v>72</v>
      </c>
      <c r="N2306">
        <v>45657</v>
      </c>
      <c r="O2306">
        <v>2119</v>
      </c>
      <c r="P2306" t="s">
        <v>20</v>
      </c>
      <c r="Q2306">
        <v>4</v>
      </c>
      <c r="R2306" t="s">
        <v>5116</v>
      </c>
      <c r="S2306" t="s">
        <v>53</v>
      </c>
      <c r="T2306" t="s">
        <v>20</v>
      </c>
    </row>
    <row r="2307" spans="1:20" x14ac:dyDescent="0.3">
      <c r="A2307" t="s">
        <v>4726</v>
      </c>
      <c r="B2307" t="s">
        <v>130</v>
      </c>
      <c r="C2307" t="s">
        <v>197</v>
      </c>
      <c r="D2307" t="s">
        <v>68</v>
      </c>
      <c r="E2307" t="s">
        <v>95</v>
      </c>
      <c r="F2307" t="s">
        <v>96</v>
      </c>
      <c r="G2307" t="s">
        <v>36</v>
      </c>
      <c r="H2307" t="s">
        <v>5136</v>
      </c>
      <c r="I2307" t="s">
        <v>5137</v>
      </c>
      <c r="J2307">
        <v>109184</v>
      </c>
      <c r="K2307" t="s">
        <v>4727</v>
      </c>
      <c r="L2307" t="s">
        <v>82</v>
      </c>
      <c r="M2307" t="s">
        <v>19</v>
      </c>
      <c r="N2307">
        <v>45536</v>
      </c>
      <c r="O2307">
        <v>3946</v>
      </c>
      <c r="P2307" t="s">
        <v>29</v>
      </c>
      <c r="Q2307">
        <v>0</v>
      </c>
      <c r="R2307" t="s">
        <v>47</v>
      </c>
      <c r="S2307" t="s">
        <v>53</v>
      </c>
      <c r="T2307" t="s">
        <v>29</v>
      </c>
    </row>
    <row r="2308" spans="1:20" x14ac:dyDescent="0.3">
      <c r="A2308" t="s">
        <v>4728</v>
      </c>
      <c r="B2308" t="s">
        <v>165</v>
      </c>
      <c r="C2308" t="s">
        <v>56</v>
      </c>
      <c r="D2308" t="s">
        <v>140</v>
      </c>
      <c r="E2308" t="s">
        <v>5128</v>
      </c>
      <c r="F2308" t="s">
        <v>5125</v>
      </c>
      <c r="G2308" t="s">
        <v>36</v>
      </c>
      <c r="H2308" t="s">
        <v>5136</v>
      </c>
      <c r="I2308" t="s">
        <v>5137</v>
      </c>
      <c r="J2308">
        <v>77644</v>
      </c>
      <c r="K2308" t="s">
        <v>4729</v>
      </c>
      <c r="L2308" t="s">
        <v>142</v>
      </c>
      <c r="M2308" t="s">
        <v>19</v>
      </c>
      <c r="N2308">
        <v>45589</v>
      </c>
      <c r="O2308">
        <v>2317</v>
      </c>
      <c r="P2308" t="s">
        <v>20</v>
      </c>
      <c r="Q2308">
        <v>0</v>
      </c>
      <c r="R2308" t="s">
        <v>52</v>
      </c>
      <c r="S2308" t="s">
        <v>53</v>
      </c>
      <c r="T2308" t="s">
        <v>29</v>
      </c>
    </row>
    <row r="2309" spans="1:20" x14ac:dyDescent="0.3">
      <c r="A2309" t="s">
        <v>4730</v>
      </c>
      <c r="B2309" t="s">
        <v>124</v>
      </c>
      <c r="C2309" t="s">
        <v>79</v>
      </c>
      <c r="D2309" t="s">
        <v>140</v>
      </c>
      <c r="E2309" t="s">
        <v>69</v>
      </c>
      <c r="F2309" t="s">
        <v>70</v>
      </c>
      <c r="G2309" t="s">
        <v>36</v>
      </c>
      <c r="H2309" t="s">
        <v>5140</v>
      </c>
      <c r="I2309" t="s">
        <v>5141</v>
      </c>
      <c r="J2309">
        <v>106372</v>
      </c>
      <c r="K2309" t="s">
        <v>4731</v>
      </c>
      <c r="L2309" t="s">
        <v>5165</v>
      </c>
      <c r="M2309" t="s">
        <v>39</v>
      </c>
      <c r="N2309">
        <v>45326</v>
      </c>
      <c r="O2309">
        <v>2799</v>
      </c>
      <c r="P2309" t="s">
        <v>92</v>
      </c>
      <c r="Q2309">
        <v>2</v>
      </c>
      <c r="R2309" t="s">
        <v>5116</v>
      </c>
      <c r="S2309" t="s">
        <v>53</v>
      </c>
      <c r="T2309" t="s">
        <v>29</v>
      </c>
    </row>
    <row r="2310" spans="1:20" x14ac:dyDescent="0.3">
      <c r="A2310" t="s">
        <v>4732</v>
      </c>
      <c r="B2310" t="s">
        <v>136</v>
      </c>
      <c r="C2310" t="s">
        <v>13</v>
      </c>
      <c r="D2310" t="s">
        <v>68</v>
      </c>
      <c r="E2310" t="s">
        <v>223</v>
      </c>
      <c r="F2310" t="s">
        <v>224</v>
      </c>
      <c r="G2310" t="s">
        <v>36</v>
      </c>
      <c r="H2310" t="s">
        <v>5136</v>
      </c>
      <c r="I2310" t="s">
        <v>5137</v>
      </c>
      <c r="J2310">
        <v>76734</v>
      </c>
      <c r="K2310" t="s">
        <v>4733</v>
      </c>
      <c r="L2310" t="s">
        <v>179</v>
      </c>
      <c r="M2310" t="s">
        <v>39</v>
      </c>
      <c r="N2310">
        <v>45375</v>
      </c>
      <c r="O2310">
        <v>2454</v>
      </c>
      <c r="P2310" t="s">
        <v>29</v>
      </c>
      <c r="Q2310">
        <v>0</v>
      </c>
      <c r="R2310" t="s">
        <v>40</v>
      </c>
      <c r="S2310" t="s">
        <v>21</v>
      </c>
      <c r="T2310" t="s">
        <v>20</v>
      </c>
    </row>
    <row r="2311" spans="1:20" x14ac:dyDescent="0.3">
      <c r="A2311" t="s">
        <v>4734</v>
      </c>
      <c r="B2311" t="s">
        <v>165</v>
      </c>
      <c r="C2311" t="s">
        <v>79</v>
      </c>
      <c r="D2311" t="s">
        <v>25</v>
      </c>
      <c r="E2311" t="s">
        <v>5132</v>
      </c>
      <c r="F2311" t="s">
        <v>5125</v>
      </c>
      <c r="G2311" t="s">
        <v>16</v>
      </c>
      <c r="H2311" t="s">
        <v>5138</v>
      </c>
      <c r="I2311" t="s">
        <v>5139</v>
      </c>
      <c r="J2311">
        <v>231955</v>
      </c>
      <c r="K2311" t="s">
        <v>4735</v>
      </c>
      <c r="L2311" t="s">
        <v>38</v>
      </c>
      <c r="M2311" t="s">
        <v>19</v>
      </c>
      <c r="N2311">
        <v>45313</v>
      </c>
      <c r="O2311">
        <v>1877</v>
      </c>
      <c r="P2311" t="s">
        <v>20</v>
      </c>
      <c r="Q2311">
        <v>6</v>
      </c>
      <c r="R2311" t="s">
        <v>5116</v>
      </c>
      <c r="S2311" t="s">
        <v>41</v>
      </c>
      <c r="T2311" t="s">
        <v>20</v>
      </c>
    </row>
    <row r="2312" spans="1:20" x14ac:dyDescent="0.3">
      <c r="A2312" t="s">
        <v>4736</v>
      </c>
      <c r="B2312" t="s">
        <v>31</v>
      </c>
      <c r="C2312" t="s">
        <v>125</v>
      </c>
      <c r="D2312" t="s">
        <v>118</v>
      </c>
      <c r="E2312" t="s">
        <v>80</v>
      </c>
      <c r="F2312" t="s">
        <v>80</v>
      </c>
      <c r="G2312" t="s">
        <v>16</v>
      </c>
      <c r="H2312" t="s">
        <v>5140</v>
      </c>
      <c r="I2312" t="s">
        <v>5141</v>
      </c>
      <c r="J2312">
        <v>103650</v>
      </c>
      <c r="K2312" t="s">
        <v>4737</v>
      </c>
      <c r="L2312" t="s">
        <v>134</v>
      </c>
      <c r="M2312" t="s">
        <v>19</v>
      </c>
      <c r="N2312">
        <v>45699</v>
      </c>
      <c r="O2312">
        <v>2754</v>
      </c>
      <c r="P2312" t="s">
        <v>92</v>
      </c>
      <c r="Q2312">
        <v>2</v>
      </c>
      <c r="R2312" t="s">
        <v>5116</v>
      </c>
      <c r="S2312" t="s">
        <v>21</v>
      </c>
      <c r="T2312" t="s">
        <v>29</v>
      </c>
    </row>
    <row r="2313" spans="1:20" x14ac:dyDescent="0.3">
      <c r="A2313" t="s">
        <v>4738</v>
      </c>
      <c r="B2313" t="s">
        <v>322</v>
      </c>
      <c r="C2313" t="s">
        <v>185</v>
      </c>
      <c r="D2313" t="s">
        <v>68</v>
      </c>
      <c r="E2313" t="s">
        <v>5127</v>
      </c>
      <c r="F2313" t="s">
        <v>5125</v>
      </c>
      <c r="G2313" t="s">
        <v>16</v>
      </c>
      <c r="H2313" t="s">
        <v>5142</v>
      </c>
      <c r="I2313" t="s">
        <v>5143</v>
      </c>
      <c r="J2313">
        <v>198470</v>
      </c>
      <c r="K2313" t="s">
        <v>4739</v>
      </c>
      <c r="L2313" t="s">
        <v>87</v>
      </c>
      <c r="M2313" t="s">
        <v>19</v>
      </c>
      <c r="N2313">
        <v>45619</v>
      </c>
      <c r="O2313">
        <v>1833</v>
      </c>
      <c r="P2313" t="s">
        <v>20</v>
      </c>
      <c r="Q2313">
        <v>4</v>
      </c>
      <c r="R2313" t="s">
        <v>40</v>
      </c>
      <c r="S2313" t="s">
        <v>53</v>
      </c>
      <c r="T2313" t="s">
        <v>20</v>
      </c>
    </row>
    <row r="2314" spans="1:20" x14ac:dyDescent="0.3">
      <c r="A2314" t="s">
        <v>4740</v>
      </c>
      <c r="B2314" t="s">
        <v>165</v>
      </c>
      <c r="C2314" t="s">
        <v>85</v>
      </c>
      <c r="D2314" t="s">
        <v>57</v>
      </c>
      <c r="E2314" t="s">
        <v>58</v>
      </c>
      <c r="F2314" t="s">
        <v>59</v>
      </c>
      <c r="G2314" t="s">
        <v>16</v>
      </c>
      <c r="H2314" t="s">
        <v>5136</v>
      </c>
      <c r="I2314" t="s">
        <v>5137</v>
      </c>
      <c r="J2314">
        <v>72898</v>
      </c>
      <c r="K2314" t="s">
        <v>4741</v>
      </c>
      <c r="L2314" t="s">
        <v>142</v>
      </c>
      <c r="M2314" t="s">
        <v>19</v>
      </c>
      <c r="N2314">
        <v>45740</v>
      </c>
      <c r="O2314">
        <v>1172</v>
      </c>
      <c r="P2314" t="s">
        <v>20</v>
      </c>
      <c r="Q2314">
        <v>0</v>
      </c>
      <c r="R2314" t="s">
        <v>5116</v>
      </c>
      <c r="S2314" t="s">
        <v>53</v>
      </c>
      <c r="T2314" t="s">
        <v>20</v>
      </c>
    </row>
    <row r="2315" spans="1:20" x14ac:dyDescent="0.3">
      <c r="A2315" t="s">
        <v>4742</v>
      </c>
      <c r="B2315" t="s">
        <v>130</v>
      </c>
      <c r="C2315" t="s">
        <v>160</v>
      </c>
      <c r="D2315" t="s">
        <v>57</v>
      </c>
      <c r="E2315" t="s">
        <v>14</v>
      </c>
      <c r="F2315" t="s">
        <v>15</v>
      </c>
      <c r="G2315" t="s">
        <v>36</v>
      </c>
      <c r="H2315" t="s">
        <v>5140</v>
      </c>
      <c r="I2315" t="s">
        <v>5141</v>
      </c>
      <c r="J2315">
        <v>119855</v>
      </c>
      <c r="K2315" t="s">
        <v>4743</v>
      </c>
      <c r="L2315" t="s">
        <v>87</v>
      </c>
      <c r="M2315" t="s">
        <v>19</v>
      </c>
      <c r="N2315">
        <v>45600</v>
      </c>
      <c r="O2315">
        <v>1451</v>
      </c>
      <c r="P2315" t="s">
        <v>20</v>
      </c>
      <c r="Q2315">
        <v>2</v>
      </c>
      <c r="R2315" t="s">
        <v>76</v>
      </c>
      <c r="S2315" t="s">
        <v>21</v>
      </c>
      <c r="T2315" t="s">
        <v>29</v>
      </c>
    </row>
    <row r="2316" spans="1:20" x14ac:dyDescent="0.3">
      <c r="A2316" t="s">
        <v>4744</v>
      </c>
      <c r="B2316" t="s">
        <v>222</v>
      </c>
      <c r="C2316" t="s">
        <v>13</v>
      </c>
      <c r="D2316" t="s">
        <v>140</v>
      </c>
      <c r="E2316" t="s">
        <v>5132</v>
      </c>
      <c r="F2316" t="s">
        <v>5125</v>
      </c>
      <c r="G2316" t="s">
        <v>50</v>
      </c>
      <c r="H2316" t="s">
        <v>5142</v>
      </c>
      <c r="I2316" t="s">
        <v>5143</v>
      </c>
      <c r="J2316">
        <v>167979</v>
      </c>
      <c r="K2316" t="s">
        <v>4745</v>
      </c>
      <c r="L2316" t="s">
        <v>113</v>
      </c>
      <c r="M2316" t="s">
        <v>19</v>
      </c>
      <c r="N2316">
        <v>45517</v>
      </c>
      <c r="O2316">
        <v>2103</v>
      </c>
      <c r="P2316" t="s">
        <v>20</v>
      </c>
      <c r="Q2316">
        <v>4</v>
      </c>
      <c r="R2316" t="s">
        <v>52</v>
      </c>
      <c r="S2316" t="s">
        <v>21</v>
      </c>
      <c r="T2316" t="s">
        <v>29</v>
      </c>
    </row>
    <row r="2317" spans="1:20" x14ac:dyDescent="0.3">
      <c r="A2317" t="s">
        <v>4746</v>
      </c>
      <c r="B2317" t="s">
        <v>229</v>
      </c>
      <c r="C2317" t="s">
        <v>160</v>
      </c>
      <c r="D2317" t="s">
        <v>118</v>
      </c>
      <c r="E2317" t="s">
        <v>58</v>
      </c>
      <c r="F2317" t="s">
        <v>59</v>
      </c>
      <c r="G2317" t="s">
        <v>16</v>
      </c>
      <c r="H2317" t="s">
        <v>5142</v>
      </c>
      <c r="I2317" t="s">
        <v>5143</v>
      </c>
      <c r="J2317">
        <v>161382</v>
      </c>
      <c r="K2317" t="s">
        <v>4747</v>
      </c>
      <c r="L2317" t="s">
        <v>82</v>
      </c>
      <c r="M2317" t="s">
        <v>72</v>
      </c>
      <c r="N2317">
        <v>45579</v>
      </c>
      <c r="O2317">
        <v>1944</v>
      </c>
      <c r="P2317" t="s">
        <v>20</v>
      </c>
      <c r="Q2317">
        <v>4</v>
      </c>
      <c r="R2317" t="s">
        <v>5116</v>
      </c>
      <c r="S2317" t="s">
        <v>21</v>
      </c>
      <c r="T2317" t="s">
        <v>29</v>
      </c>
    </row>
    <row r="2318" spans="1:20" x14ac:dyDescent="0.3">
      <c r="A2318" t="s">
        <v>4748</v>
      </c>
      <c r="B2318" t="s">
        <v>229</v>
      </c>
      <c r="C2318" t="s">
        <v>188</v>
      </c>
      <c r="D2318" t="s">
        <v>118</v>
      </c>
      <c r="E2318" t="s">
        <v>5129</v>
      </c>
      <c r="F2318" t="s">
        <v>5130</v>
      </c>
      <c r="G2318" t="s">
        <v>16</v>
      </c>
      <c r="H2318" t="s">
        <v>5142</v>
      </c>
      <c r="I2318" t="s">
        <v>5143</v>
      </c>
      <c r="J2318">
        <v>172651</v>
      </c>
      <c r="K2318" t="s">
        <v>4749</v>
      </c>
      <c r="L2318" t="s">
        <v>238</v>
      </c>
      <c r="M2318" t="s">
        <v>39</v>
      </c>
      <c r="N2318">
        <v>45375</v>
      </c>
      <c r="O2318">
        <v>2739</v>
      </c>
      <c r="P2318" t="s">
        <v>20</v>
      </c>
      <c r="Q2318">
        <v>4</v>
      </c>
      <c r="R2318" t="s">
        <v>76</v>
      </c>
      <c r="S2318" t="s">
        <v>21</v>
      </c>
      <c r="T2318" t="s">
        <v>29</v>
      </c>
    </row>
    <row r="2319" spans="1:20" x14ac:dyDescent="0.3">
      <c r="A2319" t="s">
        <v>4750</v>
      </c>
      <c r="B2319" t="s">
        <v>31</v>
      </c>
      <c r="C2319" t="s">
        <v>90</v>
      </c>
      <c r="D2319" t="s">
        <v>68</v>
      </c>
      <c r="E2319" t="s">
        <v>69</v>
      </c>
      <c r="F2319" t="s">
        <v>70</v>
      </c>
      <c r="G2319" t="s">
        <v>36</v>
      </c>
      <c r="H2319" t="s">
        <v>5138</v>
      </c>
      <c r="I2319" t="s">
        <v>5139</v>
      </c>
      <c r="J2319">
        <v>177778</v>
      </c>
      <c r="K2319" t="s">
        <v>4751</v>
      </c>
      <c r="L2319" t="s">
        <v>113</v>
      </c>
      <c r="M2319" t="s">
        <v>19</v>
      </c>
      <c r="N2319">
        <v>45387</v>
      </c>
      <c r="O2319">
        <v>832</v>
      </c>
      <c r="P2319" t="s">
        <v>20</v>
      </c>
      <c r="Q2319">
        <v>6</v>
      </c>
      <c r="R2319" t="s">
        <v>5116</v>
      </c>
      <c r="S2319" t="s">
        <v>53</v>
      </c>
      <c r="T2319" t="s">
        <v>20</v>
      </c>
    </row>
    <row r="2320" spans="1:20" x14ac:dyDescent="0.3">
      <c r="A2320" t="s">
        <v>4752</v>
      </c>
      <c r="B2320" t="s">
        <v>136</v>
      </c>
      <c r="C2320" t="s">
        <v>13</v>
      </c>
      <c r="D2320" t="s">
        <v>25</v>
      </c>
      <c r="E2320" t="s">
        <v>5131</v>
      </c>
      <c r="F2320" t="s">
        <v>5125</v>
      </c>
      <c r="G2320" t="s">
        <v>16</v>
      </c>
      <c r="H2320" t="s">
        <v>5140</v>
      </c>
      <c r="I2320" t="s">
        <v>5141</v>
      </c>
      <c r="J2320">
        <v>98945</v>
      </c>
      <c r="K2320" t="s">
        <v>4753</v>
      </c>
      <c r="L2320" t="s">
        <v>134</v>
      </c>
      <c r="M2320" t="s">
        <v>39</v>
      </c>
      <c r="N2320">
        <v>45410</v>
      </c>
      <c r="O2320">
        <v>2408</v>
      </c>
      <c r="P2320" t="s">
        <v>20</v>
      </c>
      <c r="Q2320">
        <v>2</v>
      </c>
      <c r="R2320" t="s">
        <v>5116</v>
      </c>
      <c r="S2320" t="s">
        <v>21</v>
      </c>
      <c r="T2320" t="s">
        <v>20</v>
      </c>
    </row>
    <row r="2321" spans="1:20" x14ac:dyDescent="0.3">
      <c r="A2321" t="s">
        <v>4754</v>
      </c>
      <c r="B2321" t="s">
        <v>136</v>
      </c>
      <c r="C2321" t="s">
        <v>232</v>
      </c>
      <c r="D2321" t="s">
        <v>33</v>
      </c>
      <c r="E2321" t="s">
        <v>5132</v>
      </c>
      <c r="F2321" t="s">
        <v>5125</v>
      </c>
      <c r="G2321" t="s">
        <v>16</v>
      </c>
      <c r="H2321" t="s">
        <v>5136</v>
      </c>
      <c r="I2321" t="s">
        <v>5137</v>
      </c>
      <c r="J2321">
        <v>56138</v>
      </c>
      <c r="K2321" t="s">
        <v>4755</v>
      </c>
      <c r="L2321" t="s">
        <v>113</v>
      </c>
      <c r="M2321" t="s">
        <v>19</v>
      </c>
      <c r="N2321">
        <v>45346</v>
      </c>
      <c r="O2321">
        <v>1953</v>
      </c>
      <c r="P2321" t="s">
        <v>92</v>
      </c>
      <c r="Q2321">
        <v>0</v>
      </c>
      <c r="R2321" t="s">
        <v>40</v>
      </c>
      <c r="S2321" t="s">
        <v>53</v>
      </c>
      <c r="T2321" t="s">
        <v>29</v>
      </c>
    </row>
    <row r="2322" spans="1:20" x14ac:dyDescent="0.3">
      <c r="A2322" t="s">
        <v>4756</v>
      </c>
      <c r="B2322" t="s">
        <v>89</v>
      </c>
      <c r="C2322" t="s">
        <v>67</v>
      </c>
      <c r="D2322" t="s">
        <v>104</v>
      </c>
      <c r="E2322" t="s">
        <v>95</v>
      </c>
      <c r="F2322" t="s">
        <v>96</v>
      </c>
      <c r="G2322" t="s">
        <v>50</v>
      </c>
      <c r="H2322" t="s">
        <v>5142</v>
      </c>
      <c r="I2322" t="s">
        <v>5143</v>
      </c>
      <c r="J2322">
        <v>161866</v>
      </c>
      <c r="K2322" t="s">
        <v>4757</v>
      </c>
      <c r="L2322" t="s">
        <v>5165</v>
      </c>
      <c r="M2322" t="s">
        <v>46</v>
      </c>
      <c r="N2322">
        <v>45294</v>
      </c>
      <c r="O2322">
        <v>2821</v>
      </c>
      <c r="P2322" t="s">
        <v>92</v>
      </c>
      <c r="Q2322">
        <v>4</v>
      </c>
      <c r="R2322" t="s">
        <v>47</v>
      </c>
      <c r="S2322" t="s">
        <v>21</v>
      </c>
      <c r="T2322" t="s">
        <v>20</v>
      </c>
    </row>
    <row r="2323" spans="1:20" x14ac:dyDescent="0.3">
      <c r="A2323" t="s">
        <v>4758</v>
      </c>
      <c r="B2323" t="s">
        <v>99</v>
      </c>
      <c r="C2323" t="s">
        <v>125</v>
      </c>
      <c r="D2323" t="s">
        <v>57</v>
      </c>
      <c r="E2323" t="s">
        <v>5129</v>
      </c>
      <c r="F2323" t="s">
        <v>5130</v>
      </c>
      <c r="G2323" t="s">
        <v>16</v>
      </c>
      <c r="H2323" t="s">
        <v>5140</v>
      </c>
      <c r="I2323" t="s">
        <v>5141</v>
      </c>
      <c r="J2323">
        <v>125422</v>
      </c>
      <c r="K2323" t="s">
        <v>4759</v>
      </c>
      <c r="L2323" t="s">
        <v>5165</v>
      </c>
      <c r="M2323" t="s">
        <v>19</v>
      </c>
      <c r="N2323">
        <v>45495</v>
      </c>
      <c r="O2323">
        <v>2790</v>
      </c>
      <c r="P2323" t="s">
        <v>20</v>
      </c>
      <c r="Q2323">
        <v>2</v>
      </c>
      <c r="R2323" t="s">
        <v>5116</v>
      </c>
      <c r="S2323" t="s">
        <v>53</v>
      </c>
      <c r="T2323" t="s">
        <v>20</v>
      </c>
    </row>
    <row r="2324" spans="1:20" x14ac:dyDescent="0.3">
      <c r="A2324" t="s">
        <v>4760</v>
      </c>
      <c r="B2324" t="s">
        <v>63</v>
      </c>
      <c r="C2324" t="s">
        <v>13</v>
      </c>
      <c r="D2324" t="s">
        <v>25</v>
      </c>
      <c r="E2324" t="s">
        <v>14</v>
      </c>
      <c r="F2324" t="s">
        <v>15</v>
      </c>
      <c r="G2324" t="s">
        <v>16</v>
      </c>
      <c r="H2324" t="s">
        <v>5140</v>
      </c>
      <c r="I2324" t="s">
        <v>5141</v>
      </c>
      <c r="J2324">
        <v>119063</v>
      </c>
      <c r="K2324" t="s">
        <v>4761</v>
      </c>
      <c r="L2324" t="s">
        <v>82</v>
      </c>
      <c r="M2324" t="s">
        <v>19</v>
      </c>
      <c r="N2324">
        <v>45367</v>
      </c>
      <c r="O2324">
        <v>3134</v>
      </c>
      <c r="P2324" t="s">
        <v>20</v>
      </c>
      <c r="Q2324">
        <v>2</v>
      </c>
      <c r="R2324" t="s">
        <v>40</v>
      </c>
      <c r="S2324" t="s">
        <v>21</v>
      </c>
      <c r="T2324" t="s">
        <v>29</v>
      </c>
    </row>
    <row r="2325" spans="1:20" x14ac:dyDescent="0.3">
      <c r="A2325" t="s">
        <v>4762</v>
      </c>
      <c r="B2325" t="s">
        <v>218</v>
      </c>
      <c r="C2325" t="s">
        <v>117</v>
      </c>
      <c r="D2325" t="s">
        <v>118</v>
      </c>
      <c r="E2325" t="s">
        <v>5124</v>
      </c>
      <c r="F2325" t="s">
        <v>5125</v>
      </c>
      <c r="G2325" t="s">
        <v>50</v>
      </c>
      <c r="H2325" t="s">
        <v>5136</v>
      </c>
      <c r="I2325" t="s">
        <v>5137</v>
      </c>
      <c r="J2325">
        <v>91098</v>
      </c>
      <c r="K2325" t="s">
        <v>4763</v>
      </c>
      <c r="L2325" t="s">
        <v>5165</v>
      </c>
      <c r="M2325" t="s">
        <v>46</v>
      </c>
      <c r="N2325">
        <v>45437</v>
      </c>
      <c r="O2325">
        <v>797</v>
      </c>
      <c r="P2325" t="s">
        <v>20</v>
      </c>
      <c r="Q2325">
        <v>0</v>
      </c>
      <c r="R2325" t="s">
        <v>76</v>
      </c>
      <c r="S2325" t="s">
        <v>21</v>
      </c>
      <c r="T2325" t="s">
        <v>20</v>
      </c>
    </row>
    <row r="2326" spans="1:20" x14ac:dyDescent="0.3">
      <c r="A2326" t="s">
        <v>4764</v>
      </c>
      <c r="B2326" t="s">
        <v>218</v>
      </c>
      <c r="C2326" t="s">
        <v>79</v>
      </c>
      <c r="D2326" t="s">
        <v>167</v>
      </c>
      <c r="E2326" t="s">
        <v>5124</v>
      </c>
      <c r="F2326" t="s">
        <v>5125</v>
      </c>
      <c r="G2326" t="s">
        <v>36</v>
      </c>
      <c r="H2326" t="s">
        <v>5138</v>
      </c>
      <c r="I2326" t="s">
        <v>5139</v>
      </c>
      <c r="J2326">
        <v>199798</v>
      </c>
      <c r="K2326" t="s">
        <v>4765</v>
      </c>
      <c r="L2326" t="s">
        <v>5165</v>
      </c>
      <c r="M2326" t="s">
        <v>19</v>
      </c>
      <c r="N2326">
        <v>45670</v>
      </c>
      <c r="O2326">
        <v>3031</v>
      </c>
      <c r="P2326" t="s">
        <v>20</v>
      </c>
      <c r="Q2326">
        <v>6</v>
      </c>
      <c r="R2326" t="s">
        <v>47</v>
      </c>
      <c r="S2326" t="s">
        <v>53</v>
      </c>
      <c r="T2326" t="s">
        <v>29</v>
      </c>
    </row>
    <row r="2327" spans="1:20" x14ac:dyDescent="0.3">
      <c r="A2327" t="s">
        <v>4766</v>
      </c>
      <c r="B2327" t="s">
        <v>12</v>
      </c>
      <c r="C2327" t="s">
        <v>172</v>
      </c>
      <c r="D2327" t="s">
        <v>25</v>
      </c>
      <c r="E2327" t="s">
        <v>14</v>
      </c>
      <c r="F2327" t="s">
        <v>15</v>
      </c>
      <c r="G2327" t="s">
        <v>36</v>
      </c>
      <c r="H2327" t="s">
        <v>5138</v>
      </c>
      <c r="I2327" t="s">
        <v>5139</v>
      </c>
      <c r="J2327">
        <v>224074</v>
      </c>
      <c r="K2327" t="s">
        <v>4767</v>
      </c>
      <c r="L2327" t="s">
        <v>113</v>
      </c>
      <c r="M2327" t="s">
        <v>19</v>
      </c>
      <c r="N2327">
        <v>45302</v>
      </c>
      <c r="O2327">
        <v>2439</v>
      </c>
      <c r="P2327" t="s">
        <v>20</v>
      </c>
      <c r="Q2327">
        <v>6</v>
      </c>
      <c r="R2327" t="s">
        <v>40</v>
      </c>
      <c r="S2327" t="s">
        <v>21</v>
      </c>
      <c r="T2327" t="s">
        <v>20</v>
      </c>
    </row>
    <row r="2328" spans="1:20" x14ac:dyDescent="0.3">
      <c r="A2328" t="s">
        <v>4768</v>
      </c>
      <c r="B2328" t="s">
        <v>89</v>
      </c>
      <c r="C2328" t="s">
        <v>232</v>
      </c>
      <c r="D2328" t="s">
        <v>104</v>
      </c>
      <c r="E2328" t="s">
        <v>5127</v>
      </c>
      <c r="F2328" t="s">
        <v>5125</v>
      </c>
      <c r="G2328" t="s">
        <v>16</v>
      </c>
      <c r="H2328" t="s">
        <v>5142</v>
      </c>
      <c r="I2328" t="s">
        <v>5143</v>
      </c>
      <c r="J2328">
        <v>120524</v>
      </c>
      <c r="K2328" t="s">
        <v>4769</v>
      </c>
      <c r="L2328" t="s">
        <v>5165</v>
      </c>
      <c r="M2328" t="s">
        <v>46</v>
      </c>
      <c r="N2328">
        <v>45730</v>
      </c>
      <c r="O2328">
        <v>874</v>
      </c>
      <c r="P2328" t="s">
        <v>20</v>
      </c>
      <c r="Q2328">
        <v>4</v>
      </c>
      <c r="R2328" t="s">
        <v>40</v>
      </c>
      <c r="S2328" t="s">
        <v>21</v>
      </c>
      <c r="T2328" t="s">
        <v>20</v>
      </c>
    </row>
    <row r="2329" spans="1:20" x14ac:dyDescent="0.3">
      <c r="A2329" t="s">
        <v>4770</v>
      </c>
      <c r="B2329" t="s">
        <v>322</v>
      </c>
      <c r="C2329" t="s">
        <v>85</v>
      </c>
      <c r="D2329" t="s">
        <v>44</v>
      </c>
      <c r="E2329" t="s">
        <v>5128</v>
      </c>
      <c r="F2329" t="s">
        <v>5125</v>
      </c>
      <c r="G2329" t="s">
        <v>16</v>
      </c>
      <c r="H2329" t="s">
        <v>5138</v>
      </c>
      <c r="I2329" t="s">
        <v>5139</v>
      </c>
      <c r="J2329">
        <v>186064</v>
      </c>
      <c r="K2329" t="s">
        <v>4771</v>
      </c>
      <c r="L2329" t="s">
        <v>18</v>
      </c>
      <c r="M2329" t="s">
        <v>46</v>
      </c>
      <c r="N2329">
        <v>45597</v>
      </c>
      <c r="O2329">
        <v>547</v>
      </c>
      <c r="P2329" t="s">
        <v>29</v>
      </c>
      <c r="Q2329">
        <v>6</v>
      </c>
      <c r="R2329" t="s">
        <v>76</v>
      </c>
      <c r="S2329" t="s">
        <v>21</v>
      </c>
      <c r="T2329" t="s">
        <v>29</v>
      </c>
    </row>
    <row r="2330" spans="1:20" x14ac:dyDescent="0.3">
      <c r="A2330" t="s">
        <v>4772</v>
      </c>
      <c r="B2330" t="s">
        <v>218</v>
      </c>
      <c r="C2330" t="s">
        <v>185</v>
      </c>
      <c r="D2330" t="s">
        <v>104</v>
      </c>
      <c r="E2330" t="s">
        <v>5127</v>
      </c>
      <c r="F2330" t="s">
        <v>5125</v>
      </c>
      <c r="G2330" t="s">
        <v>50</v>
      </c>
      <c r="H2330" t="s">
        <v>5138</v>
      </c>
      <c r="I2330" t="s">
        <v>5139</v>
      </c>
      <c r="J2330">
        <v>225039</v>
      </c>
      <c r="K2330" t="s">
        <v>4773</v>
      </c>
      <c r="L2330" t="s">
        <v>38</v>
      </c>
      <c r="M2330" t="s">
        <v>46</v>
      </c>
      <c r="N2330">
        <v>45735</v>
      </c>
      <c r="O2330">
        <v>1491</v>
      </c>
      <c r="P2330" t="s">
        <v>20</v>
      </c>
      <c r="Q2330">
        <v>6</v>
      </c>
      <c r="R2330" t="s">
        <v>76</v>
      </c>
      <c r="S2330" t="s">
        <v>53</v>
      </c>
      <c r="T2330" t="s">
        <v>29</v>
      </c>
    </row>
    <row r="2331" spans="1:20" x14ac:dyDescent="0.3">
      <c r="A2331" t="s">
        <v>4774</v>
      </c>
      <c r="B2331" t="s">
        <v>218</v>
      </c>
      <c r="C2331" t="s">
        <v>166</v>
      </c>
      <c r="D2331" t="s">
        <v>5156</v>
      </c>
      <c r="E2331" t="s">
        <v>5133</v>
      </c>
      <c r="F2331" t="s">
        <v>5125</v>
      </c>
      <c r="G2331" t="s">
        <v>50</v>
      </c>
      <c r="H2331" t="s">
        <v>5138</v>
      </c>
      <c r="I2331" t="s">
        <v>5139</v>
      </c>
      <c r="J2331">
        <v>230567</v>
      </c>
      <c r="K2331" t="s">
        <v>4775</v>
      </c>
      <c r="L2331" t="s">
        <v>5165</v>
      </c>
      <c r="M2331" t="s">
        <v>39</v>
      </c>
      <c r="N2331">
        <v>45625</v>
      </c>
      <c r="O2331">
        <v>2843</v>
      </c>
      <c r="P2331" t="s">
        <v>29</v>
      </c>
      <c r="Q2331">
        <v>6</v>
      </c>
      <c r="R2331" t="s">
        <v>5116</v>
      </c>
      <c r="S2331" t="s">
        <v>21</v>
      </c>
      <c r="T2331" t="s">
        <v>20</v>
      </c>
    </row>
    <row r="2332" spans="1:20" x14ac:dyDescent="0.3">
      <c r="A2332" t="s">
        <v>4776</v>
      </c>
      <c r="B2332" t="s">
        <v>63</v>
      </c>
      <c r="C2332" t="s">
        <v>232</v>
      </c>
      <c r="D2332" t="s">
        <v>25</v>
      </c>
      <c r="E2332" t="s">
        <v>193</v>
      </c>
      <c r="F2332" t="s">
        <v>194</v>
      </c>
      <c r="G2332" t="s">
        <v>16</v>
      </c>
      <c r="H2332" t="s">
        <v>5140</v>
      </c>
      <c r="I2332" t="s">
        <v>5141</v>
      </c>
      <c r="J2332">
        <v>104179</v>
      </c>
      <c r="K2332" t="s">
        <v>4777</v>
      </c>
      <c r="L2332" t="s">
        <v>5165</v>
      </c>
      <c r="M2332" t="s">
        <v>39</v>
      </c>
      <c r="N2332">
        <v>45624</v>
      </c>
      <c r="O2332">
        <v>3050</v>
      </c>
      <c r="P2332" t="s">
        <v>20</v>
      </c>
      <c r="Q2332">
        <v>2</v>
      </c>
      <c r="R2332" t="s">
        <v>5116</v>
      </c>
      <c r="S2332" t="s">
        <v>21</v>
      </c>
      <c r="T2332" t="s">
        <v>29</v>
      </c>
    </row>
    <row r="2333" spans="1:20" x14ac:dyDescent="0.3">
      <c r="A2333" t="s">
        <v>4778</v>
      </c>
      <c r="B2333" t="s">
        <v>12</v>
      </c>
      <c r="C2333" t="s">
        <v>64</v>
      </c>
      <c r="D2333" t="s">
        <v>57</v>
      </c>
      <c r="E2333" t="s">
        <v>95</v>
      </c>
      <c r="F2333" t="s">
        <v>96</v>
      </c>
      <c r="G2333" t="s">
        <v>16</v>
      </c>
      <c r="H2333" t="s">
        <v>5136</v>
      </c>
      <c r="I2333" t="s">
        <v>5137</v>
      </c>
      <c r="J2333">
        <v>69097</v>
      </c>
      <c r="K2333" t="s">
        <v>4779</v>
      </c>
      <c r="L2333" t="s">
        <v>113</v>
      </c>
      <c r="M2333" t="s">
        <v>72</v>
      </c>
      <c r="N2333">
        <v>45618</v>
      </c>
      <c r="O2333">
        <v>2400</v>
      </c>
      <c r="P2333" t="s">
        <v>29</v>
      </c>
      <c r="Q2333">
        <v>0</v>
      </c>
      <c r="R2333" t="s">
        <v>52</v>
      </c>
      <c r="S2333" t="s">
        <v>21</v>
      </c>
      <c r="T2333" t="s">
        <v>20</v>
      </c>
    </row>
    <row r="2334" spans="1:20" x14ac:dyDescent="0.3">
      <c r="A2334" t="s">
        <v>4780</v>
      </c>
      <c r="B2334" t="s">
        <v>89</v>
      </c>
      <c r="C2334" t="s">
        <v>90</v>
      </c>
      <c r="D2334" t="s">
        <v>140</v>
      </c>
      <c r="E2334" t="s">
        <v>5133</v>
      </c>
      <c r="F2334" t="s">
        <v>5125</v>
      </c>
      <c r="G2334" t="s">
        <v>50</v>
      </c>
      <c r="H2334" t="s">
        <v>5136</v>
      </c>
      <c r="I2334" t="s">
        <v>5137</v>
      </c>
      <c r="J2334">
        <v>50874</v>
      </c>
      <c r="K2334" t="s">
        <v>4781</v>
      </c>
      <c r="L2334" t="s">
        <v>5165</v>
      </c>
      <c r="M2334" t="s">
        <v>72</v>
      </c>
      <c r="N2334">
        <v>45519</v>
      </c>
      <c r="O2334">
        <v>2749</v>
      </c>
      <c r="P2334" t="s">
        <v>29</v>
      </c>
      <c r="Q2334">
        <v>0</v>
      </c>
      <c r="R2334" t="s">
        <v>52</v>
      </c>
      <c r="S2334" t="s">
        <v>21</v>
      </c>
      <c r="T2334" t="s">
        <v>20</v>
      </c>
    </row>
    <row r="2335" spans="1:20" x14ac:dyDescent="0.3">
      <c r="A2335" t="s">
        <v>4782</v>
      </c>
      <c r="B2335" t="s">
        <v>99</v>
      </c>
      <c r="C2335" t="s">
        <v>100</v>
      </c>
      <c r="D2335" t="s">
        <v>57</v>
      </c>
      <c r="E2335" t="s">
        <v>5131</v>
      </c>
      <c r="F2335" t="s">
        <v>5125</v>
      </c>
      <c r="G2335" t="s">
        <v>16</v>
      </c>
      <c r="H2335" t="s">
        <v>5140</v>
      </c>
      <c r="I2335" t="s">
        <v>5141</v>
      </c>
      <c r="J2335">
        <v>102930</v>
      </c>
      <c r="K2335" t="s">
        <v>4783</v>
      </c>
      <c r="L2335" t="s">
        <v>113</v>
      </c>
      <c r="M2335" t="s">
        <v>19</v>
      </c>
      <c r="N2335">
        <v>45370</v>
      </c>
      <c r="O2335">
        <v>2555</v>
      </c>
      <c r="P2335" t="s">
        <v>92</v>
      </c>
      <c r="Q2335">
        <v>2</v>
      </c>
      <c r="R2335" t="s">
        <v>47</v>
      </c>
      <c r="S2335" t="s">
        <v>21</v>
      </c>
      <c r="T2335" t="s">
        <v>20</v>
      </c>
    </row>
    <row r="2336" spans="1:20" x14ac:dyDescent="0.3">
      <c r="A2336" t="s">
        <v>4784</v>
      </c>
      <c r="B2336" t="s">
        <v>89</v>
      </c>
      <c r="C2336" t="s">
        <v>49</v>
      </c>
      <c r="D2336" t="s">
        <v>104</v>
      </c>
      <c r="E2336" t="s">
        <v>5124</v>
      </c>
      <c r="F2336" t="s">
        <v>5125</v>
      </c>
      <c r="G2336" t="s">
        <v>16</v>
      </c>
      <c r="H2336" t="s">
        <v>5138</v>
      </c>
      <c r="I2336" t="s">
        <v>5139</v>
      </c>
      <c r="J2336">
        <v>232053</v>
      </c>
      <c r="K2336" t="s">
        <v>4785</v>
      </c>
      <c r="L2336" t="s">
        <v>5165</v>
      </c>
      <c r="M2336" t="s">
        <v>39</v>
      </c>
      <c r="N2336">
        <v>45625</v>
      </c>
      <c r="O2336">
        <v>1241</v>
      </c>
      <c r="P2336" t="s">
        <v>20</v>
      </c>
      <c r="Q2336">
        <v>6</v>
      </c>
      <c r="R2336" t="s">
        <v>40</v>
      </c>
      <c r="S2336" t="s">
        <v>21</v>
      </c>
      <c r="T2336" t="s">
        <v>20</v>
      </c>
    </row>
    <row r="2337" spans="1:20" x14ac:dyDescent="0.3">
      <c r="A2337" t="s">
        <v>4786</v>
      </c>
      <c r="B2337" t="s">
        <v>136</v>
      </c>
      <c r="C2337" t="s">
        <v>151</v>
      </c>
      <c r="D2337" t="s">
        <v>167</v>
      </c>
      <c r="E2337" t="s">
        <v>69</v>
      </c>
      <c r="F2337" t="s">
        <v>70</v>
      </c>
      <c r="G2337" t="s">
        <v>50</v>
      </c>
      <c r="H2337" t="s">
        <v>5140</v>
      </c>
      <c r="I2337" t="s">
        <v>5141</v>
      </c>
      <c r="J2337">
        <v>121389</v>
      </c>
      <c r="K2337" t="s">
        <v>4787</v>
      </c>
      <c r="L2337" t="s">
        <v>134</v>
      </c>
      <c r="M2337" t="s">
        <v>19</v>
      </c>
      <c r="N2337">
        <v>45523</v>
      </c>
      <c r="O2337">
        <v>689</v>
      </c>
      <c r="P2337" t="s">
        <v>20</v>
      </c>
      <c r="Q2337">
        <v>2</v>
      </c>
      <c r="R2337" t="s">
        <v>40</v>
      </c>
      <c r="S2337" t="s">
        <v>21</v>
      </c>
      <c r="T2337" t="s">
        <v>20</v>
      </c>
    </row>
    <row r="2338" spans="1:20" x14ac:dyDescent="0.3">
      <c r="A2338" t="s">
        <v>4788</v>
      </c>
      <c r="B2338" t="s">
        <v>89</v>
      </c>
      <c r="C2338" t="s">
        <v>103</v>
      </c>
      <c r="D2338" t="s">
        <v>33</v>
      </c>
      <c r="E2338" t="s">
        <v>5133</v>
      </c>
      <c r="F2338" t="s">
        <v>5125</v>
      </c>
      <c r="G2338" t="s">
        <v>36</v>
      </c>
      <c r="H2338" t="s">
        <v>5136</v>
      </c>
      <c r="I2338" t="s">
        <v>5137</v>
      </c>
      <c r="J2338">
        <v>76308</v>
      </c>
      <c r="K2338" t="s">
        <v>4789</v>
      </c>
      <c r="L2338" t="s">
        <v>238</v>
      </c>
      <c r="M2338" t="s">
        <v>46</v>
      </c>
      <c r="N2338">
        <v>45668</v>
      </c>
      <c r="O2338">
        <v>1359</v>
      </c>
      <c r="P2338" t="s">
        <v>92</v>
      </c>
      <c r="Q2338">
        <v>0</v>
      </c>
      <c r="R2338" t="s">
        <v>5116</v>
      </c>
      <c r="S2338" t="s">
        <v>21</v>
      </c>
      <c r="T2338" t="s">
        <v>29</v>
      </c>
    </row>
    <row r="2339" spans="1:20" x14ac:dyDescent="0.3">
      <c r="A2339" t="s">
        <v>4790</v>
      </c>
      <c r="B2339" t="s">
        <v>12</v>
      </c>
      <c r="C2339" t="s">
        <v>13</v>
      </c>
      <c r="D2339" t="s">
        <v>25</v>
      </c>
      <c r="E2339" t="s">
        <v>5126</v>
      </c>
      <c r="F2339" t="s">
        <v>5125</v>
      </c>
      <c r="G2339" t="s">
        <v>16</v>
      </c>
      <c r="H2339" t="s">
        <v>5138</v>
      </c>
      <c r="I2339" t="s">
        <v>5139</v>
      </c>
      <c r="J2339">
        <v>201791</v>
      </c>
      <c r="K2339" t="s">
        <v>4791</v>
      </c>
      <c r="L2339" t="s">
        <v>87</v>
      </c>
      <c r="M2339" t="s">
        <v>46</v>
      </c>
      <c r="N2339">
        <v>45317</v>
      </c>
      <c r="O2339">
        <v>3646</v>
      </c>
      <c r="P2339" t="s">
        <v>20</v>
      </c>
      <c r="Q2339">
        <v>6</v>
      </c>
      <c r="R2339" t="s">
        <v>76</v>
      </c>
      <c r="S2339" t="s">
        <v>21</v>
      </c>
      <c r="T2339" t="s">
        <v>20</v>
      </c>
    </row>
    <row r="2340" spans="1:20" x14ac:dyDescent="0.3">
      <c r="A2340" t="s">
        <v>4792</v>
      </c>
      <c r="B2340" t="s">
        <v>165</v>
      </c>
      <c r="C2340" t="s">
        <v>121</v>
      </c>
      <c r="D2340" t="s">
        <v>140</v>
      </c>
      <c r="E2340" t="s">
        <v>5132</v>
      </c>
      <c r="F2340" t="s">
        <v>5125</v>
      </c>
      <c r="G2340" t="s">
        <v>16</v>
      </c>
      <c r="H2340" t="s">
        <v>5136</v>
      </c>
      <c r="I2340" t="s">
        <v>5137</v>
      </c>
      <c r="J2340">
        <v>70088</v>
      </c>
      <c r="K2340" t="s">
        <v>4793</v>
      </c>
      <c r="L2340" t="s">
        <v>5165</v>
      </c>
      <c r="M2340" t="s">
        <v>19</v>
      </c>
      <c r="N2340">
        <v>45617</v>
      </c>
      <c r="O2340">
        <v>1365</v>
      </c>
      <c r="P2340" t="s">
        <v>92</v>
      </c>
      <c r="Q2340">
        <v>0</v>
      </c>
      <c r="R2340" t="s">
        <v>52</v>
      </c>
      <c r="S2340" t="s">
        <v>53</v>
      </c>
      <c r="T2340" t="s">
        <v>29</v>
      </c>
    </row>
    <row r="2341" spans="1:20" x14ac:dyDescent="0.3">
      <c r="A2341" t="s">
        <v>4794</v>
      </c>
      <c r="B2341" t="s">
        <v>78</v>
      </c>
      <c r="C2341" t="s">
        <v>49</v>
      </c>
      <c r="D2341" t="s">
        <v>118</v>
      </c>
      <c r="E2341" t="s">
        <v>95</v>
      </c>
      <c r="F2341" t="s">
        <v>96</v>
      </c>
      <c r="G2341" t="s">
        <v>36</v>
      </c>
      <c r="H2341" t="s">
        <v>5140</v>
      </c>
      <c r="I2341" t="s">
        <v>5141</v>
      </c>
      <c r="J2341">
        <v>96925</v>
      </c>
      <c r="K2341" t="s">
        <v>4795</v>
      </c>
      <c r="L2341" t="s">
        <v>5165</v>
      </c>
      <c r="M2341" t="s">
        <v>19</v>
      </c>
      <c r="N2341">
        <v>45531</v>
      </c>
      <c r="O2341">
        <v>2780</v>
      </c>
      <c r="P2341" t="s">
        <v>20</v>
      </c>
      <c r="Q2341">
        <v>2</v>
      </c>
      <c r="R2341" t="s">
        <v>40</v>
      </c>
      <c r="S2341" t="s">
        <v>21</v>
      </c>
      <c r="T2341" t="s">
        <v>29</v>
      </c>
    </row>
    <row r="2342" spans="1:20" x14ac:dyDescent="0.3">
      <c r="A2342" t="s">
        <v>4796</v>
      </c>
      <c r="B2342" t="s">
        <v>218</v>
      </c>
      <c r="C2342" t="s">
        <v>172</v>
      </c>
      <c r="D2342" t="s">
        <v>25</v>
      </c>
      <c r="E2342" t="s">
        <v>14</v>
      </c>
      <c r="F2342" t="s">
        <v>15</v>
      </c>
      <c r="G2342" t="s">
        <v>36</v>
      </c>
      <c r="H2342" t="s">
        <v>5140</v>
      </c>
      <c r="I2342" t="s">
        <v>5141</v>
      </c>
      <c r="J2342">
        <v>123836</v>
      </c>
      <c r="K2342" t="s">
        <v>4797</v>
      </c>
      <c r="L2342" t="s">
        <v>142</v>
      </c>
      <c r="M2342" t="s">
        <v>19</v>
      </c>
      <c r="N2342">
        <v>45397</v>
      </c>
      <c r="O2342">
        <v>3324</v>
      </c>
      <c r="P2342" t="s">
        <v>20</v>
      </c>
      <c r="Q2342">
        <v>2</v>
      </c>
      <c r="R2342" t="s">
        <v>5116</v>
      </c>
      <c r="S2342" t="s">
        <v>21</v>
      </c>
      <c r="T2342" t="s">
        <v>20</v>
      </c>
    </row>
    <row r="2343" spans="1:20" x14ac:dyDescent="0.3">
      <c r="A2343" t="s">
        <v>4798</v>
      </c>
      <c r="B2343" t="s">
        <v>31</v>
      </c>
      <c r="C2343" t="s">
        <v>232</v>
      </c>
      <c r="D2343" t="s">
        <v>118</v>
      </c>
      <c r="E2343" t="s">
        <v>193</v>
      </c>
      <c r="F2343" t="s">
        <v>194</v>
      </c>
      <c r="G2343" t="s">
        <v>50</v>
      </c>
      <c r="H2343" t="s">
        <v>5142</v>
      </c>
      <c r="I2343" t="s">
        <v>5143</v>
      </c>
      <c r="J2343">
        <v>161366</v>
      </c>
      <c r="K2343" t="s">
        <v>4799</v>
      </c>
      <c r="L2343" t="s">
        <v>18</v>
      </c>
      <c r="M2343" t="s">
        <v>39</v>
      </c>
      <c r="N2343">
        <v>45680</v>
      </c>
      <c r="O2343">
        <v>3865</v>
      </c>
      <c r="P2343" t="s">
        <v>20</v>
      </c>
      <c r="Q2343">
        <v>4</v>
      </c>
      <c r="R2343" t="s">
        <v>40</v>
      </c>
      <c r="S2343" t="s">
        <v>21</v>
      </c>
      <c r="T2343" t="s">
        <v>20</v>
      </c>
    </row>
    <row r="2344" spans="1:20" x14ac:dyDescent="0.3">
      <c r="A2344" t="s">
        <v>4800</v>
      </c>
      <c r="B2344" t="s">
        <v>322</v>
      </c>
      <c r="C2344" t="s">
        <v>151</v>
      </c>
      <c r="D2344" t="s">
        <v>5156</v>
      </c>
      <c r="E2344" t="s">
        <v>5132</v>
      </c>
      <c r="F2344" t="s">
        <v>5125</v>
      </c>
      <c r="G2344" t="s">
        <v>36</v>
      </c>
      <c r="H2344" t="s">
        <v>5142</v>
      </c>
      <c r="I2344" t="s">
        <v>5143</v>
      </c>
      <c r="J2344">
        <v>163284</v>
      </c>
      <c r="K2344" t="s">
        <v>4801</v>
      </c>
      <c r="L2344" t="s">
        <v>142</v>
      </c>
      <c r="M2344" t="s">
        <v>72</v>
      </c>
      <c r="N2344">
        <v>45322</v>
      </c>
      <c r="O2344">
        <v>2684</v>
      </c>
      <c r="P2344" t="s">
        <v>20</v>
      </c>
      <c r="Q2344">
        <v>4</v>
      </c>
      <c r="R2344" t="s">
        <v>52</v>
      </c>
      <c r="S2344" t="s">
        <v>21</v>
      </c>
      <c r="T2344" t="s">
        <v>29</v>
      </c>
    </row>
    <row r="2345" spans="1:20" x14ac:dyDescent="0.3">
      <c r="A2345" t="s">
        <v>4802</v>
      </c>
      <c r="B2345" t="s">
        <v>218</v>
      </c>
      <c r="C2345" t="s">
        <v>43</v>
      </c>
      <c r="D2345" t="s">
        <v>140</v>
      </c>
      <c r="E2345" t="s">
        <v>14</v>
      </c>
      <c r="F2345" t="s">
        <v>15</v>
      </c>
      <c r="G2345" t="s">
        <v>16</v>
      </c>
      <c r="H2345" t="s">
        <v>5136</v>
      </c>
      <c r="I2345" t="s">
        <v>5137</v>
      </c>
      <c r="J2345">
        <v>63371</v>
      </c>
      <c r="K2345" t="s">
        <v>4803</v>
      </c>
      <c r="L2345" t="s">
        <v>5165</v>
      </c>
      <c r="M2345" t="s">
        <v>39</v>
      </c>
      <c r="N2345">
        <v>45671</v>
      </c>
      <c r="O2345">
        <v>2958</v>
      </c>
      <c r="P2345" t="s">
        <v>20</v>
      </c>
      <c r="Q2345">
        <v>0</v>
      </c>
      <c r="R2345" t="s">
        <v>40</v>
      </c>
      <c r="S2345" t="s">
        <v>21</v>
      </c>
      <c r="T2345" t="s">
        <v>20</v>
      </c>
    </row>
    <row r="2346" spans="1:20" x14ac:dyDescent="0.3">
      <c r="A2346" t="s">
        <v>4804</v>
      </c>
      <c r="B2346" t="s">
        <v>63</v>
      </c>
      <c r="C2346" t="s">
        <v>219</v>
      </c>
      <c r="D2346" t="s">
        <v>57</v>
      </c>
      <c r="E2346" t="s">
        <v>95</v>
      </c>
      <c r="F2346" t="s">
        <v>96</v>
      </c>
      <c r="G2346" t="s">
        <v>16</v>
      </c>
      <c r="H2346" t="s">
        <v>5136</v>
      </c>
      <c r="I2346" t="s">
        <v>5137</v>
      </c>
      <c r="J2346">
        <v>50000</v>
      </c>
      <c r="K2346" t="s">
        <v>4805</v>
      </c>
      <c r="L2346" t="s">
        <v>134</v>
      </c>
      <c r="M2346" t="s">
        <v>39</v>
      </c>
      <c r="N2346">
        <v>45482</v>
      </c>
      <c r="O2346">
        <v>2418</v>
      </c>
      <c r="P2346" t="s">
        <v>20</v>
      </c>
      <c r="Q2346">
        <v>0</v>
      </c>
      <c r="R2346" t="s">
        <v>52</v>
      </c>
      <c r="S2346" t="s">
        <v>41</v>
      </c>
      <c r="T2346" t="s">
        <v>29</v>
      </c>
    </row>
    <row r="2347" spans="1:20" x14ac:dyDescent="0.3">
      <c r="A2347" t="s">
        <v>4806</v>
      </c>
      <c r="B2347" t="s">
        <v>222</v>
      </c>
      <c r="C2347" t="s">
        <v>151</v>
      </c>
      <c r="D2347" t="s">
        <v>25</v>
      </c>
      <c r="E2347" t="s">
        <v>5132</v>
      </c>
      <c r="F2347" t="s">
        <v>5125</v>
      </c>
      <c r="G2347" t="s">
        <v>16</v>
      </c>
      <c r="H2347" t="s">
        <v>5142</v>
      </c>
      <c r="I2347" t="s">
        <v>5143</v>
      </c>
      <c r="J2347">
        <v>179623</v>
      </c>
      <c r="K2347" t="s">
        <v>4807</v>
      </c>
      <c r="L2347" t="s">
        <v>18</v>
      </c>
      <c r="M2347" t="s">
        <v>39</v>
      </c>
      <c r="N2347">
        <v>45458</v>
      </c>
      <c r="O2347">
        <v>3126</v>
      </c>
      <c r="P2347" t="s">
        <v>20</v>
      </c>
      <c r="Q2347">
        <v>4</v>
      </c>
      <c r="R2347" t="s">
        <v>5116</v>
      </c>
      <c r="S2347" t="s">
        <v>21</v>
      </c>
      <c r="T2347" t="s">
        <v>20</v>
      </c>
    </row>
    <row r="2348" spans="1:20" x14ac:dyDescent="0.3">
      <c r="A2348" t="s">
        <v>4808</v>
      </c>
      <c r="B2348" t="s">
        <v>144</v>
      </c>
      <c r="C2348" t="s">
        <v>24</v>
      </c>
      <c r="D2348" t="s">
        <v>33</v>
      </c>
      <c r="E2348" t="s">
        <v>5129</v>
      </c>
      <c r="F2348" t="s">
        <v>5130</v>
      </c>
      <c r="G2348" t="s">
        <v>50</v>
      </c>
      <c r="H2348" t="s">
        <v>5138</v>
      </c>
      <c r="I2348" t="s">
        <v>5139</v>
      </c>
      <c r="J2348">
        <v>182761</v>
      </c>
      <c r="K2348" t="s">
        <v>4809</v>
      </c>
      <c r="L2348" t="s">
        <v>179</v>
      </c>
      <c r="M2348" t="s">
        <v>39</v>
      </c>
      <c r="N2348">
        <v>45718</v>
      </c>
      <c r="O2348">
        <v>685</v>
      </c>
      <c r="P2348" t="s">
        <v>20</v>
      </c>
      <c r="Q2348">
        <v>6</v>
      </c>
      <c r="R2348" t="s">
        <v>5116</v>
      </c>
      <c r="S2348" t="s">
        <v>41</v>
      </c>
      <c r="T2348" t="s">
        <v>20</v>
      </c>
    </row>
    <row r="2349" spans="1:20" x14ac:dyDescent="0.3">
      <c r="A2349" t="s">
        <v>4810</v>
      </c>
      <c r="B2349" t="s">
        <v>63</v>
      </c>
      <c r="C2349" t="s">
        <v>13</v>
      </c>
      <c r="D2349" t="s">
        <v>140</v>
      </c>
      <c r="E2349" t="s">
        <v>58</v>
      </c>
      <c r="F2349" t="s">
        <v>59</v>
      </c>
      <c r="G2349" t="s">
        <v>36</v>
      </c>
      <c r="H2349" t="s">
        <v>5138</v>
      </c>
      <c r="I2349" t="s">
        <v>5139</v>
      </c>
      <c r="J2349">
        <v>168940</v>
      </c>
      <c r="K2349" t="s">
        <v>4811</v>
      </c>
      <c r="L2349" t="s">
        <v>179</v>
      </c>
      <c r="M2349" t="s">
        <v>19</v>
      </c>
      <c r="N2349">
        <v>45323</v>
      </c>
      <c r="O2349">
        <v>912</v>
      </c>
      <c r="P2349" t="s">
        <v>20</v>
      </c>
      <c r="Q2349">
        <v>6</v>
      </c>
      <c r="R2349" t="s">
        <v>52</v>
      </c>
      <c r="S2349" t="s">
        <v>21</v>
      </c>
      <c r="T2349" t="s">
        <v>20</v>
      </c>
    </row>
    <row r="2350" spans="1:20" x14ac:dyDescent="0.3">
      <c r="A2350" t="s">
        <v>4812</v>
      </c>
      <c r="B2350" t="s">
        <v>31</v>
      </c>
      <c r="C2350" t="s">
        <v>94</v>
      </c>
      <c r="D2350" t="s">
        <v>104</v>
      </c>
      <c r="E2350" t="s">
        <v>5129</v>
      </c>
      <c r="F2350" t="s">
        <v>5130</v>
      </c>
      <c r="G2350" t="s">
        <v>36</v>
      </c>
      <c r="H2350" t="s">
        <v>5136</v>
      </c>
      <c r="I2350" t="s">
        <v>5137</v>
      </c>
      <c r="J2350">
        <v>78737</v>
      </c>
      <c r="K2350" t="s">
        <v>4813</v>
      </c>
      <c r="L2350" t="s">
        <v>5165</v>
      </c>
      <c r="M2350" t="s">
        <v>46</v>
      </c>
      <c r="N2350">
        <v>45722</v>
      </c>
      <c r="O2350">
        <v>1699</v>
      </c>
      <c r="P2350" t="s">
        <v>20</v>
      </c>
      <c r="Q2350">
        <v>0</v>
      </c>
      <c r="R2350" t="s">
        <v>76</v>
      </c>
      <c r="S2350" t="s">
        <v>41</v>
      </c>
      <c r="T2350" t="s">
        <v>29</v>
      </c>
    </row>
    <row r="2351" spans="1:20" x14ac:dyDescent="0.3">
      <c r="A2351" t="s">
        <v>4814</v>
      </c>
      <c r="B2351" t="s">
        <v>222</v>
      </c>
      <c r="C2351" t="s">
        <v>56</v>
      </c>
      <c r="D2351" t="s">
        <v>33</v>
      </c>
      <c r="E2351" t="s">
        <v>14</v>
      </c>
      <c r="F2351" t="s">
        <v>15</v>
      </c>
      <c r="G2351" t="s">
        <v>36</v>
      </c>
      <c r="H2351" t="s">
        <v>5138</v>
      </c>
      <c r="I2351" t="s">
        <v>5139</v>
      </c>
      <c r="J2351">
        <v>185887</v>
      </c>
      <c r="K2351" t="s">
        <v>4815</v>
      </c>
      <c r="L2351" t="s">
        <v>5165</v>
      </c>
      <c r="M2351" t="s">
        <v>19</v>
      </c>
      <c r="N2351">
        <v>45715</v>
      </c>
      <c r="O2351">
        <v>2226</v>
      </c>
      <c r="P2351" t="s">
        <v>20</v>
      </c>
      <c r="Q2351">
        <v>6</v>
      </c>
      <c r="R2351" t="s">
        <v>52</v>
      </c>
      <c r="S2351" t="s">
        <v>21</v>
      </c>
      <c r="T2351" t="s">
        <v>20</v>
      </c>
    </row>
    <row r="2352" spans="1:20" x14ac:dyDescent="0.3">
      <c r="A2352" t="s">
        <v>4816</v>
      </c>
      <c r="B2352" t="s">
        <v>124</v>
      </c>
      <c r="C2352" t="s">
        <v>160</v>
      </c>
      <c r="D2352" t="s">
        <v>57</v>
      </c>
      <c r="E2352" t="s">
        <v>14</v>
      </c>
      <c r="F2352" t="s">
        <v>15</v>
      </c>
      <c r="G2352" t="s">
        <v>36</v>
      </c>
      <c r="H2352" t="s">
        <v>5140</v>
      </c>
      <c r="I2352" t="s">
        <v>5141</v>
      </c>
      <c r="J2352">
        <v>130986</v>
      </c>
      <c r="K2352" t="s">
        <v>4817</v>
      </c>
      <c r="L2352" t="s">
        <v>5165</v>
      </c>
      <c r="M2352" t="s">
        <v>72</v>
      </c>
      <c r="N2352">
        <v>45525</v>
      </c>
      <c r="O2352">
        <v>777</v>
      </c>
      <c r="P2352" t="s">
        <v>92</v>
      </c>
      <c r="Q2352">
        <v>2</v>
      </c>
      <c r="R2352" t="s">
        <v>47</v>
      </c>
      <c r="S2352" t="s">
        <v>21</v>
      </c>
      <c r="T2352" t="s">
        <v>20</v>
      </c>
    </row>
    <row r="2353" spans="1:20" x14ac:dyDescent="0.3">
      <c r="A2353" t="s">
        <v>4818</v>
      </c>
      <c r="B2353" t="s">
        <v>222</v>
      </c>
      <c r="C2353" t="s">
        <v>197</v>
      </c>
      <c r="D2353" t="s">
        <v>33</v>
      </c>
      <c r="E2353" t="s">
        <v>5128</v>
      </c>
      <c r="F2353" t="s">
        <v>5125</v>
      </c>
      <c r="G2353" t="s">
        <v>50</v>
      </c>
      <c r="H2353" t="s">
        <v>5138</v>
      </c>
      <c r="I2353" t="s">
        <v>5139</v>
      </c>
      <c r="J2353">
        <v>222212</v>
      </c>
      <c r="K2353" t="s">
        <v>4819</v>
      </c>
      <c r="L2353" t="s">
        <v>5165</v>
      </c>
      <c r="M2353" t="s">
        <v>46</v>
      </c>
      <c r="N2353">
        <v>45423</v>
      </c>
      <c r="O2353">
        <v>2987</v>
      </c>
      <c r="P2353" t="s">
        <v>20</v>
      </c>
      <c r="Q2353">
        <v>6</v>
      </c>
      <c r="R2353" t="s">
        <v>5116</v>
      </c>
      <c r="S2353" t="s">
        <v>53</v>
      </c>
      <c r="T2353" t="s">
        <v>29</v>
      </c>
    </row>
    <row r="2354" spans="1:20" x14ac:dyDescent="0.3">
      <c r="A2354" t="s">
        <v>4820</v>
      </c>
      <c r="B2354" t="s">
        <v>124</v>
      </c>
      <c r="C2354" t="s">
        <v>151</v>
      </c>
      <c r="D2354" t="s">
        <v>44</v>
      </c>
      <c r="E2354" t="s">
        <v>14</v>
      </c>
      <c r="F2354" t="s">
        <v>15</v>
      </c>
      <c r="G2354" t="s">
        <v>16</v>
      </c>
      <c r="H2354" t="s">
        <v>5136</v>
      </c>
      <c r="I2354" t="s">
        <v>5137</v>
      </c>
      <c r="J2354">
        <v>78612</v>
      </c>
      <c r="K2354" t="s">
        <v>4821</v>
      </c>
      <c r="L2354" t="s">
        <v>5165</v>
      </c>
      <c r="M2354" t="s">
        <v>46</v>
      </c>
      <c r="N2354">
        <v>45373</v>
      </c>
      <c r="O2354">
        <v>336</v>
      </c>
      <c r="P2354" t="s">
        <v>20</v>
      </c>
      <c r="Q2354">
        <v>0</v>
      </c>
      <c r="R2354" t="s">
        <v>40</v>
      </c>
      <c r="S2354" t="s">
        <v>21</v>
      </c>
      <c r="T2354" t="s">
        <v>29</v>
      </c>
    </row>
    <row r="2355" spans="1:20" x14ac:dyDescent="0.3">
      <c r="A2355" t="s">
        <v>4822</v>
      </c>
      <c r="B2355" t="s">
        <v>215</v>
      </c>
      <c r="C2355" t="s">
        <v>103</v>
      </c>
      <c r="D2355" t="s">
        <v>167</v>
      </c>
      <c r="E2355" t="s">
        <v>5129</v>
      </c>
      <c r="F2355" t="s">
        <v>5130</v>
      </c>
      <c r="G2355" t="s">
        <v>16</v>
      </c>
      <c r="H2355" t="s">
        <v>5140</v>
      </c>
      <c r="I2355" t="s">
        <v>5141</v>
      </c>
      <c r="J2355">
        <v>82954</v>
      </c>
      <c r="K2355" t="s">
        <v>4823</v>
      </c>
      <c r="L2355" t="s">
        <v>18</v>
      </c>
      <c r="M2355" t="s">
        <v>19</v>
      </c>
      <c r="N2355">
        <v>45583</v>
      </c>
      <c r="O2355">
        <v>2914</v>
      </c>
      <c r="P2355" t="s">
        <v>29</v>
      </c>
      <c r="Q2355">
        <v>2</v>
      </c>
      <c r="R2355" t="s">
        <v>76</v>
      </c>
      <c r="S2355" t="s">
        <v>53</v>
      </c>
      <c r="T2355" t="s">
        <v>29</v>
      </c>
    </row>
    <row r="2356" spans="1:20" x14ac:dyDescent="0.3">
      <c r="A2356" t="s">
        <v>4824</v>
      </c>
      <c r="B2356" t="s">
        <v>165</v>
      </c>
      <c r="C2356" t="s">
        <v>67</v>
      </c>
      <c r="D2356" t="s">
        <v>44</v>
      </c>
      <c r="E2356" t="s">
        <v>223</v>
      </c>
      <c r="F2356" t="s">
        <v>224</v>
      </c>
      <c r="G2356" t="s">
        <v>16</v>
      </c>
      <c r="H2356" t="s">
        <v>5136</v>
      </c>
      <c r="I2356" t="s">
        <v>5137</v>
      </c>
      <c r="J2356">
        <v>85270</v>
      </c>
      <c r="K2356" t="s">
        <v>4825</v>
      </c>
      <c r="L2356" t="s">
        <v>5165</v>
      </c>
      <c r="M2356" t="s">
        <v>46</v>
      </c>
      <c r="N2356">
        <v>45448</v>
      </c>
      <c r="O2356">
        <v>2534</v>
      </c>
      <c r="P2356" t="s">
        <v>20</v>
      </c>
      <c r="Q2356">
        <v>0</v>
      </c>
      <c r="R2356" t="s">
        <v>47</v>
      </c>
      <c r="S2356" t="s">
        <v>21</v>
      </c>
      <c r="T2356" t="s">
        <v>20</v>
      </c>
    </row>
    <row r="2357" spans="1:20" x14ac:dyDescent="0.3">
      <c r="A2357" t="s">
        <v>4826</v>
      </c>
      <c r="B2357" t="s">
        <v>63</v>
      </c>
      <c r="C2357" t="s">
        <v>43</v>
      </c>
      <c r="D2357" t="s">
        <v>5156</v>
      </c>
      <c r="E2357" t="s">
        <v>209</v>
      </c>
      <c r="F2357" t="s">
        <v>210</v>
      </c>
      <c r="G2357" t="s">
        <v>50</v>
      </c>
      <c r="H2357" t="s">
        <v>5136</v>
      </c>
      <c r="I2357" t="s">
        <v>5137</v>
      </c>
      <c r="J2357">
        <v>73291</v>
      </c>
      <c r="K2357" t="s">
        <v>4827</v>
      </c>
      <c r="L2357" t="s">
        <v>134</v>
      </c>
      <c r="M2357" t="s">
        <v>46</v>
      </c>
      <c r="N2357">
        <v>45374</v>
      </c>
      <c r="O2357">
        <v>307</v>
      </c>
      <c r="P2357" t="s">
        <v>92</v>
      </c>
      <c r="Q2357">
        <v>0</v>
      </c>
      <c r="R2357" t="s">
        <v>40</v>
      </c>
      <c r="S2357" t="s">
        <v>21</v>
      </c>
      <c r="T2357" t="s">
        <v>29</v>
      </c>
    </row>
    <row r="2358" spans="1:20" x14ac:dyDescent="0.3">
      <c r="A2358" t="s">
        <v>4828</v>
      </c>
      <c r="B2358" t="s">
        <v>322</v>
      </c>
      <c r="C2358" t="s">
        <v>13</v>
      </c>
      <c r="D2358" t="s">
        <v>57</v>
      </c>
      <c r="E2358" t="s">
        <v>5129</v>
      </c>
      <c r="F2358" t="s">
        <v>5130</v>
      </c>
      <c r="G2358" t="s">
        <v>16</v>
      </c>
      <c r="H2358" t="s">
        <v>5138</v>
      </c>
      <c r="I2358" t="s">
        <v>5139</v>
      </c>
      <c r="J2358">
        <v>186706</v>
      </c>
      <c r="K2358" t="s">
        <v>4829</v>
      </c>
      <c r="L2358" t="s">
        <v>5165</v>
      </c>
      <c r="M2358" t="s">
        <v>19</v>
      </c>
      <c r="N2358">
        <v>45680</v>
      </c>
      <c r="O2358">
        <v>1412</v>
      </c>
      <c r="P2358" t="s">
        <v>20</v>
      </c>
      <c r="Q2358">
        <v>6</v>
      </c>
      <c r="R2358" t="s">
        <v>40</v>
      </c>
      <c r="S2358" t="s">
        <v>21</v>
      </c>
      <c r="T2358" t="s">
        <v>29</v>
      </c>
    </row>
    <row r="2359" spans="1:20" x14ac:dyDescent="0.3">
      <c r="A2359" t="s">
        <v>4830</v>
      </c>
      <c r="B2359" t="s">
        <v>144</v>
      </c>
      <c r="C2359" t="s">
        <v>197</v>
      </c>
      <c r="D2359" t="s">
        <v>44</v>
      </c>
      <c r="E2359" t="s">
        <v>209</v>
      </c>
      <c r="F2359" t="s">
        <v>210</v>
      </c>
      <c r="G2359" t="s">
        <v>36</v>
      </c>
      <c r="H2359" t="s">
        <v>5142</v>
      </c>
      <c r="I2359" t="s">
        <v>5143</v>
      </c>
      <c r="J2359">
        <v>153871</v>
      </c>
      <c r="K2359" t="s">
        <v>4831</v>
      </c>
      <c r="L2359" t="s">
        <v>179</v>
      </c>
      <c r="M2359" t="s">
        <v>46</v>
      </c>
      <c r="N2359">
        <v>45540</v>
      </c>
      <c r="O2359">
        <v>3552</v>
      </c>
      <c r="P2359" t="s">
        <v>20</v>
      </c>
      <c r="Q2359">
        <v>4</v>
      </c>
      <c r="R2359" t="s">
        <v>52</v>
      </c>
      <c r="S2359" t="s">
        <v>21</v>
      </c>
      <c r="T2359" t="s">
        <v>20</v>
      </c>
    </row>
    <row r="2360" spans="1:20" x14ac:dyDescent="0.3">
      <c r="A2360" t="s">
        <v>4832</v>
      </c>
      <c r="B2360" t="s">
        <v>322</v>
      </c>
      <c r="C2360" t="s">
        <v>109</v>
      </c>
      <c r="D2360" t="s">
        <v>167</v>
      </c>
      <c r="E2360" t="s">
        <v>58</v>
      </c>
      <c r="F2360" t="s">
        <v>59</v>
      </c>
      <c r="G2360" t="s">
        <v>36</v>
      </c>
      <c r="H2360" t="s">
        <v>5140</v>
      </c>
      <c r="I2360" t="s">
        <v>5141</v>
      </c>
      <c r="J2360">
        <v>74830</v>
      </c>
      <c r="K2360" t="s">
        <v>4833</v>
      </c>
      <c r="L2360" t="s">
        <v>18</v>
      </c>
      <c r="M2360" t="s">
        <v>39</v>
      </c>
      <c r="N2360">
        <v>45604</v>
      </c>
      <c r="O2360">
        <v>751</v>
      </c>
      <c r="P2360" t="s">
        <v>92</v>
      </c>
      <c r="Q2360">
        <v>2</v>
      </c>
      <c r="R2360" t="s">
        <v>5116</v>
      </c>
      <c r="S2360" t="s">
        <v>21</v>
      </c>
      <c r="T2360" t="s">
        <v>29</v>
      </c>
    </row>
    <row r="2361" spans="1:20" x14ac:dyDescent="0.3">
      <c r="A2361" t="s">
        <v>4834</v>
      </c>
      <c r="B2361" t="s">
        <v>144</v>
      </c>
      <c r="C2361" t="s">
        <v>125</v>
      </c>
      <c r="D2361" t="s">
        <v>68</v>
      </c>
      <c r="E2361" t="s">
        <v>5126</v>
      </c>
      <c r="F2361" t="s">
        <v>5125</v>
      </c>
      <c r="G2361" t="s">
        <v>16</v>
      </c>
      <c r="H2361" t="s">
        <v>5140</v>
      </c>
      <c r="I2361" t="s">
        <v>5141</v>
      </c>
      <c r="J2361">
        <v>118091</v>
      </c>
      <c r="K2361" t="s">
        <v>4835</v>
      </c>
      <c r="L2361" t="s">
        <v>5165</v>
      </c>
      <c r="M2361" t="s">
        <v>46</v>
      </c>
      <c r="N2361">
        <v>45426</v>
      </c>
      <c r="O2361">
        <v>3492</v>
      </c>
      <c r="P2361" t="s">
        <v>20</v>
      </c>
      <c r="Q2361">
        <v>2</v>
      </c>
      <c r="R2361" t="s">
        <v>52</v>
      </c>
      <c r="S2361" t="s">
        <v>21</v>
      </c>
      <c r="T2361" t="s">
        <v>29</v>
      </c>
    </row>
    <row r="2362" spans="1:20" x14ac:dyDescent="0.3">
      <c r="A2362" t="s">
        <v>4836</v>
      </c>
      <c r="B2362" t="s">
        <v>218</v>
      </c>
      <c r="C2362" t="s">
        <v>94</v>
      </c>
      <c r="D2362" t="s">
        <v>44</v>
      </c>
      <c r="E2362" t="s">
        <v>14</v>
      </c>
      <c r="F2362" t="s">
        <v>15</v>
      </c>
      <c r="G2362" t="s">
        <v>16</v>
      </c>
      <c r="H2362" t="s">
        <v>5142</v>
      </c>
      <c r="I2362" t="s">
        <v>5143</v>
      </c>
      <c r="J2362">
        <v>122206</v>
      </c>
      <c r="K2362" t="s">
        <v>4837</v>
      </c>
      <c r="L2362" t="s">
        <v>179</v>
      </c>
      <c r="M2362" t="s">
        <v>46</v>
      </c>
      <c r="N2362">
        <v>45434</v>
      </c>
      <c r="O2362">
        <v>1964</v>
      </c>
      <c r="P2362" t="s">
        <v>20</v>
      </c>
      <c r="Q2362">
        <v>4</v>
      </c>
      <c r="R2362" t="s">
        <v>40</v>
      </c>
      <c r="S2362" t="s">
        <v>53</v>
      </c>
      <c r="T2362" t="s">
        <v>20</v>
      </c>
    </row>
    <row r="2363" spans="1:20" x14ac:dyDescent="0.3">
      <c r="A2363" t="s">
        <v>4838</v>
      </c>
      <c r="B2363" t="s">
        <v>218</v>
      </c>
      <c r="C2363" t="s">
        <v>185</v>
      </c>
      <c r="D2363" t="s">
        <v>167</v>
      </c>
      <c r="E2363" t="s">
        <v>80</v>
      </c>
      <c r="F2363" t="s">
        <v>80</v>
      </c>
      <c r="G2363" t="s">
        <v>36</v>
      </c>
      <c r="H2363" t="s">
        <v>5136</v>
      </c>
      <c r="I2363" t="s">
        <v>5137</v>
      </c>
      <c r="J2363">
        <v>52956</v>
      </c>
      <c r="K2363" t="s">
        <v>4839</v>
      </c>
      <c r="L2363" t="s">
        <v>5165</v>
      </c>
      <c r="M2363" t="s">
        <v>19</v>
      </c>
      <c r="N2363">
        <v>45682</v>
      </c>
      <c r="O2363">
        <v>2507</v>
      </c>
      <c r="P2363" t="s">
        <v>20</v>
      </c>
      <c r="Q2363">
        <v>0</v>
      </c>
      <c r="R2363" t="s">
        <v>5116</v>
      </c>
      <c r="S2363" t="s">
        <v>21</v>
      </c>
      <c r="T2363" t="s">
        <v>20</v>
      </c>
    </row>
    <row r="2364" spans="1:20" x14ac:dyDescent="0.3">
      <c r="A2364" t="s">
        <v>4840</v>
      </c>
      <c r="B2364" t="s">
        <v>229</v>
      </c>
      <c r="C2364" t="s">
        <v>151</v>
      </c>
      <c r="D2364" t="s">
        <v>104</v>
      </c>
      <c r="E2364" t="s">
        <v>26</v>
      </c>
      <c r="F2364" t="s">
        <v>27</v>
      </c>
      <c r="G2364" t="s">
        <v>16</v>
      </c>
      <c r="H2364" t="s">
        <v>5140</v>
      </c>
      <c r="I2364" t="s">
        <v>5141</v>
      </c>
      <c r="J2364">
        <v>79857</v>
      </c>
      <c r="K2364" t="s">
        <v>4841</v>
      </c>
      <c r="L2364" t="s">
        <v>82</v>
      </c>
      <c r="M2364" t="s">
        <v>39</v>
      </c>
      <c r="N2364">
        <v>45412</v>
      </c>
      <c r="O2364">
        <v>3873</v>
      </c>
      <c r="P2364" t="s">
        <v>20</v>
      </c>
      <c r="Q2364">
        <v>2</v>
      </c>
      <c r="R2364" t="s">
        <v>76</v>
      </c>
      <c r="S2364" t="s">
        <v>21</v>
      </c>
      <c r="T2364" t="s">
        <v>29</v>
      </c>
    </row>
    <row r="2365" spans="1:20" x14ac:dyDescent="0.3">
      <c r="A2365" t="s">
        <v>4842</v>
      </c>
      <c r="B2365" t="s">
        <v>84</v>
      </c>
      <c r="C2365" t="s">
        <v>151</v>
      </c>
      <c r="D2365" t="s">
        <v>68</v>
      </c>
      <c r="E2365" t="s">
        <v>5132</v>
      </c>
      <c r="F2365" t="s">
        <v>5125</v>
      </c>
      <c r="G2365" t="s">
        <v>16</v>
      </c>
      <c r="H2365" t="s">
        <v>5142</v>
      </c>
      <c r="I2365" t="s">
        <v>5143</v>
      </c>
      <c r="J2365">
        <v>180042</v>
      </c>
      <c r="K2365" t="s">
        <v>4843</v>
      </c>
      <c r="L2365" t="s">
        <v>113</v>
      </c>
      <c r="M2365" t="s">
        <v>19</v>
      </c>
      <c r="N2365">
        <v>45655</v>
      </c>
      <c r="O2365">
        <v>180</v>
      </c>
      <c r="P2365" t="s">
        <v>20</v>
      </c>
      <c r="Q2365">
        <v>4</v>
      </c>
      <c r="R2365" t="s">
        <v>76</v>
      </c>
      <c r="S2365" t="s">
        <v>21</v>
      </c>
      <c r="T2365" t="s">
        <v>29</v>
      </c>
    </row>
    <row r="2366" spans="1:20" x14ac:dyDescent="0.3">
      <c r="A2366" t="s">
        <v>4844</v>
      </c>
      <c r="B2366" t="s">
        <v>218</v>
      </c>
      <c r="C2366" t="s">
        <v>160</v>
      </c>
      <c r="D2366" t="s">
        <v>167</v>
      </c>
      <c r="E2366" t="s">
        <v>69</v>
      </c>
      <c r="F2366" t="s">
        <v>70</v>
      </c>
      <c r="G2366" t="s">
        <v>16</v>
      </c>
      <c r="H2366" t="s">
        <v>5142</v>
      </c>
      <c r="I2366" t="s">
        <v>5143</v>
      </c>
      <c r="J2366">
        <v>133009</v>
      </c>
      <c r="K2366" t="s">
        <v>4845</v>
      </c>
      <c r="L2366" t="s">
        <v>5165</v>
      </c>
      <c r="M2366" t="s">
        <v>39</v>
      </c>
      <c r="N2366">
        <v>45384</v>
      </c>
      <c r="O2366">
        <v>2975</v>
      </c>
      <c r="P2366" t="s">
        <v>29</v>
      </c>
      <c r="Q2366">
        <v>4</v>
      </c>
      <c r="R2366" t="s">
        <v>5116</v>
      </c>
      <c r="S2366" t="s">
        <v>21</v>
      </c>
      <c r="T2366" t="s">
        <v>29</v>
      </c>
    </row>
    <row r="2367" spans="1:20" x14ac:dyDescent="0.3">
      <c r="A2367" t="s">
        <v>4846</v>
      </c>
      <c r="B2367" t="s">
        <v>23</v>
      </c>
      <c r="C2367" t="s">
        <v>219</v>
      </c>
      <c r="D2367" t="s">
        <v>5156</v>
      </c>
      <c r="E2367" t="s">
        <v>58</v>
      </c>
      <c r="F2367" t="s">
        <v>59</v>
      </c>
      <c r="G2367" t="s">
        <v>16</v>
      </c>
      <c r="H2367" t="s">
        <v>5140</v>
      </c>
      <c r="I2367" t="s">
        <v>5141</v>
      </c>
      <c r="J2367">
        <v>140367</v>
      </c>
      <c r="K2367" t="s">
        <v>4847</v>
      </c>
      <c r="L2367" t="s">
        <v>5165</v>
      </c>
      <c r="M2367" t="s">
        <v>19</v>
      </c>
      <c r="N2367">
        <v>45678</v>
      </c>
      <c r="O2367">
        <v>820</v>
      </c>
      <c r="P2367" t="s">
        <v>92</v>
      </c>
      <c r="Q2367">
        <v>2</v>
      </c>
      <c r="R2367" t="s">
        <v>52</v>
      </c>
      <c r="S2367" t="s">
        <v>53</v>
      </c>
      <c r="T2367" t="s">
        <v>20</v>
      </c>
    </row>
    <row r="2368" spans="1:20" x14ac:dyDescent="0.3">
      <c r="A2368" t="s">
        <v>4848</v>
      </c>
      <c r="B2368" t="s">
        <v>99</v>
      </c>
      <c r="C2368" t="s">
        <v>67</v>
      </c>
      <c r="D2368" t="s">
        <v>68</v>
      </c>
      <c r="E2368" t="s">
        <v>5129</v>
      </c>
      <c r="F2368" t="s">
        <v>5130</v>
      </c>
      <c r="G2368" t="s">
        <v>50</v>
      </c>
      <c r="H2368" t="s">
        <v>5142</v>
      </c>
      <c r="I2368" t="s">
        <v>5143</v>
      </c>
      <c r="J2368">
        <v>135533</v>
      </c>
      <c r="K2368" t="s">
        <v>4849</v>
      </c>
      <c r="L2368" t="s">
        <v>5165</v>
      </c>
      <c r="M2368" t="s">
        <v>46</v>
      </c>
      <c r="N2368">
        <v>45739</v>
      </c>
      <c r="O2368">
        <v>876</v>
      </c>
      <c r="P2368" t="s">
        <v>20</v>
      </c>
      <c r="Q2368">
        <v>4</v>
      </c>
      <c r="R2368" t="s">
        <v>5116</v>
      </c>
      <c r="S2368" t="s">
        <v>21</v>
      </c>
      <c r="T2368" t="s">
        <v>29</v>
      </c>
    </row>
    <row r="2369" spans="1:20" x14ac:dyDescent="0.3">
      <c r="A2369" t="s">
        <v>4850</v>
      </c>
      <c r="B2369" t="s">
        <v>136</v>
      </c>
      <c r="C2369" t="s">
        <v>151</v>
      </c>
      <c r="D2369" t="s">
        <v>118</v>
      </c>
      <c r="E2369" t="s">
        <v>5132</v>
      </c>
      <c r="F2369" t="s">
        <v>5125</v>
      </c>
      <c r="G2369" t="s">
        <v>36</v>
      </c>
      <c r="H2369" t="s">
        <v>5138</v>
      </c>
      <c r="I2369" t="s">
        <v>5139</v>
      </c>
      <c r="J2369">
        <v>138535</v>
      </c>
      <c r="K2369" t="s">
        <v>4851</v>
      </c>
      <c r="L2369" t="s">
        <v>142</v>
      </c>
      <c r="M2369" t="s">
        <v>39</v>
      </c>
      <c r="N2369">
        <v>45733</v>
      </c>
      <c r="O2369">
        <v>2709</v>
      </c>
      <c r="P2369" t="s">
        <v>92</v>
      </c>
      <c r="Q2369">
        <v>6</v>
      </c>
      <c r="R2369" t="s">
        <v>52</v>
      </c>
      <c r="S2369" t="s">
        <v>53</v>
      </c>
      <c r="T2369" t="s">
        <v>29</v>
      </c>
    </row>
    <row r="2370" spans="1:20" x14ac:dyDescent="0.3">
      <c r="A2370" t="s">
        <v>4852</v>
      </c>
      <c r="B2370" t="s">
        <v>218</v>
      </c>
      <c r="C2370" t="s">
        <v>202</v>
      </c>
      <c r="D2370" t="s">
        <v>118</v>
      </c>
      <c r="E2370" t="s">
        <v>152</v>
      </c>
      <c r="F2370" t="s">
        <v>153</v>
      </c>
      <c r="G2370" t="s">
        <v>36</v>
      </c>
      <c r="H2370" t="s">
        <v>5140</v>
      </c>
      <c r="I2370" t="s">
        <v>5141</v>
      </c>
      <c r="J2370">
        <v>87892</v>
      </c>
      <c r="K2370" t="s">
        <v>4853</v>
      </c>
      <c r="L2370" t="s">
        <v>134</v>
      </c>
      <c r="M2370" t="s">
        <v>19</v>
      </c>
      <c r="N2370">
        <v>45491</v>
      </c>
      <c r="O2370">
        <v>3225</v>
      </c>
      <c r="P2370" t="s">
        <v>20</v>
      </c>
      <c r="Q2370">
        <v>2</v>
      </c>
      <c r="R2370" t="s">
        <v>52</v>
      </c>
      <c r="S2370" t="s">
        <v>53</v>
      </c>
      <c r="T2370" t="s">
        <v>20</v>
      </c>
    </row>
    <row r="2371" spans="1:20" x14ac:dyDescent="0.3">
      <c r="A2371" t="s">
        <v>4854</v>
      </c>
      <c r="B2371" t="s">
        <v>55</v>
      </c>
      <c r="C2371" t="s">
        <v>151</v>
      </c>
      <c r="D2371" t="s">
        <v>33</v>
      </c>
      <c r="E2371" t="s">
        <v>5129</v>
      </c>
      <c r="F2371" t="s">
        <v>5130</v>
      </c>
      <c r="G2371" t="s">
        <v>16</v>
      </c>
      <c r="H2371" t="s">
        <v>5138</v>
      </c>
      <c r="I2371" t="s">
        <v>5139</v>
      </c>
      <c r="J2371">
        <v>244489</v>
      </c>
      <c r="K2371" t="s">
        <v>4855</v>
      </c>
      <c r="L2371" t="s">
        <v>18</v>
      </c>
      <c r="M2371" t="s">
        <v>46</v>
      </c>
      <c r="N2371">
        <v>45321</v>
      </c>
      <c r="O2371">
        <v>1402</v>
      </c>
      <c r="P2371" t="s">
        <v>29</v>
      </c>
      <c r="Q2371">
        <v>6</v>
      </c>
      <c r="R2371" t="s">
        <v>52</v>
      </c>
      <c r="S2371" t="s">
        <v>21</v>
      </c>
      <c r="T2371" t="s">
        <v>20</v>
      </c>
    </row>
    <row r="2372" spans="1:20" x14ac:dyDescent="0.3">
      <c r="A2372" t="s">
        <v>4856</v>
      </c>
      <c r="B2372" t="s">
        <v>124</v>
      </c>
      <c r="C2372" t="s">
        <v>185</v>
      </c>
      <c r="D2372" t="s">
        <v>68</v>
      </c>
      <c r="E2372" t="s">
        <v>209</v>
      </c>
      <c r="F2372" t="s">
        <v>210</v>
      </c>
      <c r="G2372" t="s">
        <v>16</v>
      </c>
      <c r="H2372" t="s">
        <v>5140</v>
      </c>
      <c r="I2372" t="s">
        <v>5141</v>
      </c>
      <c r="J2372">
        <v>106913</v>
      </c>
      <c r="K2372" t="s">
        <v>4857</v>
      </c>
      <c r="L2372" t="s">
        <v>61</v>
      </c>
      <c r="M2372" t="s">
        <v>46</v>
      </c>
      <c r="N2372">
        <v>45487</v>
      </c>
      <c r="O2372">
        <v>3266</v>
      </c>
      <c r="P2372" t="s">
        <v>20</v>
      </c>
      <c r="Q2372">
        <v>2</v>
      </c>
      <c r="R2372" t="s">
        <v>5116</v>
      </c>
      <c r="S2372" t="s">
        <v>21</v>
      </c>
      <c r="T2372" t="s">
        <v>20</v>
      </c>
    </row>
    <row r="2373" spans="1:20" x14ac:dyDescent="0.3">
      <c r="A2373" t="s">
        <v>4858</v>
      </c>
      <c r="B2373" t="s">
        <v>144</v>
      </c>
      <c r="C2373" t="s">
        <v>103</v>
      </c>
      <c r="D2373" t="s">
        <v>118</v>
      </c>
      <c r="E2373" t="s">
        <v>5126</v>
      </c>
      <c r="F2373" t="s">
        <v>5125</v>
      </c>
      <c r="G2373" t="s">
        <v>36</v>
      </c>
      <c r="H2373" t="s">
        <v>5142</v>
      </c>
      <c r="I2373" t="s">
        <v>5143</v>
      </c>
      <c r="J2373">
        <v>135196</v>
      </c>
      <c r="K2373" t="s">
        <v>4859</v>
      </c>
      <c r="L2373" t="s">
        <v>113</v>
      </c>
      <c r="M2373" t="s">
        <v>19</v>
      </c>
      <c r="N2373">
        <v>45625</v>
      </c>
      <c r="O2373">
        <v>2250</v>
      </c>
      <c r="P2373" t="s">
        <v>20</v>
      </c>
      <c r="Q2373">
        <v>4</v>
      </c>
      <c r="R2373" t="s">
        <v>76</v>
      </c>
      <c r="S2373" t="s">
        <v>21</v>
      </c>
      <c r="T2373" t="s">
        <v>20</v>
      </c>
    </row>
    <row r="2374" spans="1:20" x14ac:dyDescent="0.3">
      <c r="A2374" t="s">
        <v>4860</v>
      </c>
      <c r="B2374" t="s">
        <v>144</v>
      </c>
      <c r="C2374" t="s">
        <v>232</v>
      </c>
      <c r="D2374" t="s">
        <v>33</v>
      </c>
      <c r="E2374" t="s">
        <v>5132</v>
      </c>
      <c r="F2374" t="s">
        <v>5125</v>
      </c>
      <c r="G2374" t="s">
        <v>36</v>
      </c>
      <c r="H2374" t="s">
        <v>5138</v>
      </c>
      <c r="I2374" t="s">
        <v>5139</v>
      </c>
      <c r="J2374">
        <v>205760</v>
      </c>
      <c r="K2374" t="s">
        <v>4861</v>
      </c>
      <c r="L2374" t="s">
        <v>61</v>
      </c>
      <c r="M2374" t="s">
        <v>39</v>
      </c>
      <c r="N2374">
        <v>45338</v>
      </c>
      <c r="O2374">
        <v>1011</v>
      </c>
      <c r="P2374" t="s">
        <v>20</v>
      </c>
      <c r="Q2374">
        <v>6</v>
      </c>
      <c r="R2374" t="s">
        <v>52</v>
      </c>
      <c r="S2374" t="s">
        <v>21</v>
      </c>
      <c r="T2374" t="s">
        <v>20</v>
      </c>
    </row>
    <row r="2375" spans="1:20" x14ac:dyDescent="0.3">
      <c r="A2375" t="s">
        <v>4862</v>
      </c>
      <c r="B2375" t="s">
        <v>229</v>
      </c>
      <c r="C2375" t="s">
        <v>109</v>
      </c>
      <c r="D2375" t="s">
        <v>33</v>
      </c>
      <c r="E2375" t="s">
        <v>14</v>
      </c>
      <c r="F2375" t="s">
        <v>15</v>
      </c>
      <c r="G2375" t="s">
        <v>36</v>
      </c>
      <c r="H2375" t="s">
        <v>5142</v>
      </c>
      <c r="I2375" t="s">
        <v>5143</v>
      </c>
      <c r="J2375">
        <v>163548</v>
      </c>
      <c r="K2375" t="s">
        <v>4863</v>
      </c>
      <c r="L2375" t="s">
        <v>5165</v>
      </c>
      <c r="M2375" t="s">
        <v>19</v>
      </c>
      <c r="N2375">
        <v>45431</v>
      </c>
      <c r="O2375">
        <v>2040</v>
      </c>
      <c r="P2375" t="s">
        <v>92</v>
      </c>
      <c r="Q2375">
        <v>4</v>
      </c>
      <c r="R2375" t="s">
        <v>47</v>
      </c>
      <c r="S2375" t="s">
        <v>53</v>
      </c>
      <c r="T2375" t="s">
        <v>20</v>
      </c>
    </row>
    <row r="2376" spans="1:20" x14ac:dyDescent="0.3">
      <c r="A2376" t="s">
        <v>4864</v>
      </c>
      <c r="B2376" t="s">
        <v>84</v>
      </c>
      <c r="C2376" t="s">
        <v>175</v>
      </c>
      <c r="D2376" t="s">
        <v>33</v>
      </c>
      <c r="E2376" t="s">
        <v>193</v>
      </c>
      <c r="F2376" t="s">
        <v>194</v>
      </c>
      <c r="G2376" t="s">
        <v>16</v>
      </c>
      <c r="H2376" t="s">
        <v>5136</v>
      </c>
      <c r="I2376" t="s">
        <v>5137</v>
      </c>
      <c r="J2376">
        <v>84079</v>
      </c>
      <c r="K2376" t="s">
        <v>4865</v>
      </c>
      <c r="L2376" t="s">
        <v>113</v>
      </c>
      <c r="M2376" t="s">
        <v>19</v>
      </c>
      <c r="N2376">
        <v>45550</v>
      </c>
      <c r="O2376">
        <v>2344</v>
      </c>
      <c r="P2376" t="s">
        <v>92</v>
      </c>
      <c r="Q2376">
        <v>0</v>
      </c>
      <c r="R2376" t="s">
        <v>40</v>
      </c>
      <c r="S2376" t="s">
        <v>41</v>
      </c>
      <c r="T2376" t="s">
        <v>29</v>
      </c>
    </row>
    <row r="2377" spans="1:20" x14ac:dyDescent="0.3">
      <c r="A2377" t="s">
        <v>4866</v>
      </c>
      <c r="B2377" t="s">
        <v>31</v>
      </c>
      <c r="C2377" t="s">
        <v>185</v>
      </c>
      <c r="D2377" t="s">
        <v>25</v>
      </c>
      <c r="E2377" t="s">
        <v>5129</v>
      </c>
      <c r="F2377" t="s">
        <v>5130</v>
      </c>
      <c r="G2377" t="s">
        <v>36</v>
      </c>
      <c r="H2377" t="s">
        <v>5140</v>
      </c>
      <c r="I2377" t="s">
        <v>5141</v>
      </c>
      <c r="J2377">
        <v>138680</v>
      </c>
      <c r="K2377" t="s">
        <v>4867</v>
      </c>
      <c r="L2377" t="s">
        <v>5165</v>
      </c>
      <c r="M2377" t="s">
        <v>46</v>
      </c>
      <c r="N2377">
        <v>45576</v>
      </c>
      <c r="O2377">
        <v>2932</v>
      </c>
      <c r="P2377" t="s">
        <v>92</v>
      </c>
      <c r="Q2377">
        <v>2</v>
      </c>
      <c r="R2377" t="s">
        <v>47</v>
      </c>
      <c r="S2377" t="s">
        <v>21</v>
      </c>
      <c r="T2377" t="s">
        <v>29</v>
      </c>
    </row>
    <row r="2378" spans="1:20" x14ac:dyDescent="0.3">
      <c r="A2378" t="s">
        <v>4868</v>
      </c>
      <c r="B2378" t="s">
        <v>130</v>
      </c>
      <c r="C2378" t="s">
        <v>185</v>
      </c>
      <c r="D2378" t="s">
        <v>68</v>
      </c>
      <c r="E2378" t="s">
        <v>209</v>
      </c>
      <c r="F2378" t="s">
        <v>210</v>
      </c>
      <c r="G2378" t="s">
        <v>36</v>
      </c>
      <c r="H2378" t="s">
        <v>5142</v>
      </c>
      <c r="I2378" t="s">
        <v>5143</v>
      </c>
      <c r="J2378">
        <v>140286</v>
      </c>
      <c r="K2378" t="s">
        <v>4869</v>
      </c>
      <c r="L2378" t="s">
        <v>142</v>
      </c>
      <c r="M2378" t="s">
        <v>19</v>
      </c>
      <c r="N2378">
        <v>45450</v>
      </c>
      <c r="O2378">
        <v>1273</v>
      </c>
      <c r="P2378" t="s">
        <v>29</v>
      </c>
      <c r="Q2378">
        <v>4</v>
      </c>
      <c r="R2378" t="s">
        <v>47</v>
      </c>
      <c r="S2378" t="s">
        <v>53</v>
      </c>
      <c r="T2378" t="s">
        <v>20</v>
      </c>
    </row>
    <row r="2379" spans="1:20" x14ac:dyDescent="0.3">
      <c r="A2379" t="s">
        <v>4870</v>
      </c>
      <c r="B2379" t="s">
        <v>229</v>
      </c>
      <c r="C2379" t="s">
        <v>219</v>
      </c>
      <c r="D2379" t="s">
        <v>118</v>
      </c>
      <c r="E2379" t="s">
        <v>5128</v>
      </c>
      <c r="F2379" t="s">
        <v>5125</v>
      </c>
      <c r="G2379" t="s">
        <v>36</v>
      </c>
      <c r="H2379" t="s">
        <v>5136</v>
      </c>
      <c r="I2379" t="s">
        <v>5137</v>
      </c>
      <c r="J2379">
        <v>53291</v>
      </c>
      <c r="K2379" t="s">
        <v>4871</v>
      </c>
      <c r="L2379" t="s">
        <v>134</v>
      </c>
      <c r="M2379" t="s">
        <v>39</v>
      </c>
      <c r="N2379">
        <v>45604</v>
      </c>
      <c r="O2379">
        <v>3601</v>
      </c>
      <c r="P2379" t="s">
        <v>20</v>
      </c>
      <c r="Q2379">
        <v>0</v>
      </c>
      <c r="R2379" t="s">
        <v>76</v>
      </c>
      <c r="S2379" t="s">
        <v>53</v>
      </c>
      <c r="T2379" t="s">
        <v>29</v>
      </c>
    </row>
    <row r="2380" spans="1:20" x14ac:dyDescent="0.3">
      <c r="A2380" t="s">
        <v>4872</v>
      </c>
      <c r="B2380" t="s">
        <v>136</v>
      </c>
      <c r="C2380" t="s">
        <v>64</v>
      </c>
      <c r="D2380" t="s">
        <v>167</v>
      </c>
      <c r="E2380" t="s">
        <v>26</v>
      </c>
      <c r="F2380" t="s">
        <v>27</v>
      </c>
      <c r="G2380" t="s">
        <v>16</v>
      </c>
      <c r="H2380" t="s">
        <v>5142</v>
      </c>
      <c r="I2380" t="s">
        <v>5143</v>
      </c>
      <c r="J2380">
        <v>138836</v>
      </c>
      <c r="K2380" t="s">
        <v>4873</v>
      </c>
      <c r="L2380" t="s">
        <v>61</v>
      </c>
      <c r="M2380" t="s">
        <v>19</v>
      </c>
      <c r="N2380">
        <v>45313</v>
      </c>
      <c r="O2380">
        <v>3563</v>
      </c>
      <c r="P2380" t="s">
        <v>20</v>
      </c>
      <c r="Q2380">
        <v>4</v>
      </c>
      <c r="R2380" t="s">
        <v>47</v>
      </c>
      <c r="S2380" t="s">
        <v>21</v>
      </c>
      <c r="T2380" t="s">
        <v>20</v>
      </c>
    </row>
    <row r="2381" spans="1:20" x14ac:dyDescent="0.3">
      <c r="A2381" t="s">
        <v>4874</v>
      </c>
      <c r="B2381" t="s">
        <v>63</v>
      </c>
      <c r="C2381" t="s">
        <v>79</v>
      </c>
      <c r="D2381" t="s">
        <v>44</v>
      </c>
      <c r="E2381" t="s">
        <v>34</v>
      </c>
      <c r="F2381" t="s">
        <v>35</v>
      </c>
      <c r="G2381" t="s">
        <v>50</v>
      </c>
      <c r="H2381" t="s">
        <v>5140</v>
      </c>
      <c r="I2381" t="s">
        <v>5141</v>
      </c>
      <c r="J2381">
        <v>115153</v>
      </c>
      <c r="K2381" t="s">
        <v>4875</v>
      </c>
      <c r="L2381" t="s">
        <v>5165</v>
      </c>
      <c r="M2381" t="s">
        <v>39</v>
      </c>
      <c r="N2381">
        <v>45382</v>
      </c>
      <c r="O2381">
        <v>30</v>
      </c>
      <c r="P2381" t="s">
        <v>29</v>
      </c>
      <c r="Q2381">
        <v>2</v>
      </c>
      <c r="R2381" t="s">
        <v>40</v>
      </c>
      <c r="S2381" t="s">
        <v>21</v>
      </c>
      <c r="T2381" t="s">
        <v>29</v>
      </c>
    </row>
    <row r="2382" spans="1:20" x14ac:dyDescent="0.3">
      <c r="A2382" t="s">
        <v>4876</v>
      </c>
      <c r="B2382" t="s">
        <v>84</v>
      </c>
      <c r="C2382" t="s">
        <v>219</v>
      </c>
      <c r="D2382" t="s">
        <v>5156</v>
      </c>
      <c r="E2382" t="s">
        <v>5127</v>
      </c>
      <c r="F2382" t="s">
        <v>5125</v>
      </c>
      <c r="G2382" t="s">
        <v>50</v>
      </c>
      <c r="H2382" t="s">
        <v>5138</v>
      </c>
      <c r="I2382" t="s">
        <v>5139</v>
      </c>
      <c r="J2382">
        <v>165304</v>
      </c>
      <c r="K2382" t="s">
        <v>4877</v>
      </c>
      <c r="L2382" t="s">
        <v>113</v>
      </c>
      <c r="M2382" t="s">
        <v>46</v>
      </c>
      <c r="N2382">
        <v>45545</v>
      </c>
      <c r="O2382">
        <v>1787</v>
      </c>
      <c r="P2382" t="s">
        <v>20</v>
      </c>
      <c r="Q2382">
        <v>6</v>
      </c>
      <c r="R2382" t="s">
        <v>47</v>
      </c>
      <c r="S2382" t="s">
        <v>21</v>
      </c>
      <c r="T2382" t="s">
        <v>20</v>
      </c>
    </row>
    <row r="2383" spans="1:20" x14ac:dyDescent="0.3">
      <c r="A2383" t="s">
        <v>4878</v>
      </c>
      <c r="B2383" t="s">
        <v>218</v>
      </c>
      <c r="C2383" t="s">
        <v>24</v>
      </c>
      <c r="D2383" t="s">
        <v>44</v>
      </c>
      <c r="E2383" t="s">
        <v>26</v>
      </c>
      <c r="F2383" t="s">
        <v>27</v>
      </c>
      <c r="G2383" t="s">
        <v>50</v>
      </c>
      <c r="H2383" t="s">
        <v>5140</v>
      </c>
      <c r="I2383" t="s">
        <v>5141</v>
      </c>
      <c r="J2383">
        <v>91048</v>
      </c>
      <c r="K2383" t="s">
        <v>4879</v>
      </c>
      <c r="L2383" t="s">
        <v>61</v>
      </c>
      <c r="M2383" t="s">
        <v>19</v>
      </c>
      <c r="N2383">
        <v>45477</v>
      </c>
      <c r="O2383">
        <v>1557</v>
      </c>
      <c r="P2383" t="s">
        <v>92</v>
      </c>
      <c r="Q2383">
        <v>2</v>
      </c>
      <c r="R2383" t="s">
        <v>52</v>
      </c>
      <c r="S2383" t="s">
        <v>21</v>
      </c>
      <c r="T2383" t="s">
        <v>20</v>
      </c>
    </row>
    <row r="2384" spans="1:20" x14ac:dyDescent="0.3">
      <c r="A2384" t="s">
        <v>4880</v>
      </c>
      <c r="B2384" t="s">
        <v>218</v>
      </c>
      <c r="C2384" t="s">
        <v>109</v>
      </c>
      <c r="D2384" t="s">
        <v>118</v>
      </c>
      <c r="E2384" t="s">
        <v>5124</v>
      </c>
      <c r="F2384" t="s">
        <v>5125</v>
      </c>
      <c r="G2384" t="s">
        <v>16</v>
      </c>
      <c r="H2384" t="s">
        <v>5136</v>
      </c>
      <c r="I2384" t="s">
        <v>5137</v>
      </c>
      <c r="J2384">
        <v>74331</v>
      </c>
      <c r="K2384" t="s">
        <v>4881</v>
      </c>
      <c r="L2384" t="s">
        <v>18</v>
      </c>
      <c r="M2384" t="s">
        <v>19</v>
      </c>
      <c r="N2384">
        <v>45405</v>
      </c>
      <c r="O2384">
        <v>1966</v>
      </c>
      <c r="P2384" t="s">
        <v>20</v>
      </c>
      <c r="Q2384">
        <v>0</v>
      </c>
      <c r="R2384" t="s">
        <v>47</v>
      </c>
      <c r="S2384" t="s">
        <v>21</v>
      </c>
      <c r="T2384" t="s">
        <v>20</v>
      </c>
    </row>
    <row r="2385" spans="1:20" x14ac:dyDescent="0.3">
      <c r="A2385" t="s">
        <v>4882</v>
      </c>
      <c r="B2385" t="s">
        <v>322</v>
      </c>
      <c r="C2385" t="s">
        <v>219</v>
      </c>
      <c r="D2385" t="s">
        <v>57</v>
      </c>
      <c r="E2385" t="s">
        <v>5124</v>
      </c>
      <c r="F2385" t="s">
        <v>5125</v>
      </c>
      <c r="G2385" t="s">
        <v>16</v>
      </c>
      <c r="H2385" t="s">
        <v>5138</v>
      </c>
      <c r="I2385" t="s">
        <v>5139</v>
      </c>
      <c r="J2385">
        <v>198248</v>
      </c>
      <c r="K2385" t="s">
        <v>4883</v>
      </c>
      <c r="L2385" t="s">
        <v>87</v>
      </c>
      <c r="M2385" t="s">
        <v>19</v>
      </c>
      <c r="N2385">
        <v>45580</v>
      </c>
      <c r="O2385">
        <v>2488</v>
      </c>
      <c r="P2385" t="s">
        <v>29</v>
      </c>
      <c r="Q2385">
        <v>6</v>
      </c>
      <c r="R2385" t="s">
        <v>40</v>
      </c>
      <c r="S2385" t="s">
        <v>53</v>
      </c>
      <c r="T2385" t="s">
        <v>29</v>
      </c>
    </row>
    <row r="2386" spans="1:20" x14ac:dyDescent="0.3">
      <c r="A2386" t="s">
        <v>4884</v>
      </c>
      <c r="B2386" t="s">
        <v>144</v>
      </c>
      <c r="C2386" t="s">
        <v>13</v>
      </c>
      <c r="D2386" t="s">
        <v>68</v>
      </c>
      <c r="E2386" t="s">
        <v>126</v>
      </c>
      <c r="F2386" t="s">
        <v>127</v>
      </c>
      <c r="G2386" t="s">
        <v>16</v>
      </c>
      <c r="H2386" t="s">
        <v>5136</v>
      </c>
      <c r="I2386" t="s">
        <v>5137</v>
      </c>
      <c r="J2386">
        <v>70413</v>
      </c>
      <c r="K2386" t="s">
        <v>4885</v>
      </c>
      <c r="L2386" t="s">
        <v>113</v>
      </c>
      <c r="M2386" t="s">
        <v>19</v>
      </c>
      <c r="N2386">
        <v>45492</v>
      </c>
      <c r="O2386">
        <v>1107</v>
      </c>
      <c r="P2386" t="s">
        <v>20</v>
      </c>
      <c r="Q2386">
        <v>0</v>
      </c>
      <c r="R2386" t="s">
        <v>5116</v>
      </c>
      <c r="S2386" t="s">
        <v>41</v>
      </c>
      <c r="T2386" t="s">
        <v>20</v>
      </c>
    </row>
    <row r="2387" spans="1:20" x14ac:dyDescent="0.3">
      <c r="A2387" t="s">
        <v>4886</v>
      </c>
      <c r="B2387" t="s">
        <v>84</v>
      </c>
      <c r="C2387" t="s">
        <v>94</v>
      </c>
      <c r="D2387" t="s">
        <v>68</v>
      </c>
      <c r="E2387" t="s">
        <v>5133</v>
      </c>
      <c r="F2387" t="s">
        <v>5125</v>
      </c>
      <c r="G2387" t="s">
        <v>50</v>
      </c>
      <c r="H2387" t="s">
        <v>5142</v>
      </c>
      <c r="I2387" t="s">
        <v>5143</v>
      </c>
      <c r="J2387">
        <v>129520</v>
      </c>
      <c r="K2387" t="s">
        <v>4887</v>
      </c>
      <c r="L2387" t="s">
        <v>179</v>
      </c>
      <c r="M2387" t="s">
        <v>19</v>
      </c>
      <c r="N2387">
        <v>45476</v>
      </c>
      <c r="O2387">
        <v>585</v>
      </c>
      <c r="P2387" t="s">
        <v>29</v>
      </c>
      <c r="Q2387">
        <v>4</v>
      </c>
      <c r="R2387" t="s">
        <v>5116</v>
      </c>
      <c r="S2387" t="s">
        <v>21</v>
      </c>
      <c r="T2387" t="s">
        <v>20</v>
      </c>
    </row>
    <row r="2388" spans="1:20" x14ac:dyDescent="0.3">
      <c r="A2388" t="s">
        <v>4888</v>
      </c>
      <c r="B2388" t="s">
        <v>12</v>
      </c>
      <c r="C2388" t="s">
        <v>94</v>
      </c>
      <c r="D2388" t="s">
        <v>104</v>
      </c>
      <c r="E2388" t="s">
        <v>5126</v>
      </c>
      <c r="F2388" t="s">
        <v>5125</v>
      </c>
      <c r="G2388" t="s">
        <v>36</v>
      </c>
      <c r="H2388" t="s">
        <v>5136</v>
      </c>
      <c r="I2388" t="s">
        <v>5137</v>
      </c>
      <c r="J2388">
        <v>67096</v>
      </c>
      <c r="K2388" t="s">
        <v>4889</v>
      </c>
      <c r="L2388" t="s">
        <v>5165</v>
      </c>
      <c r="M2388" t="s">
        <v>72</v>
      </c>
      <c r="N2388">
        <v>45723</v>
      </c>
      <c r="O2388">
        <v>3347</v>
      </c>
      <c r="P2388" t="s">
        <v>92</v>
      </c>
      <c r="Q2388">
        <v>0</v>
      </c>
      <c r="R2388" t="s">
        <v>52</v>
      </c>
      <c r="S2388" t="s">
        <v>21</v>
      </c>
      <c r="T2388" t="s">
        <v>20</v>
      </c>
    </row>
    <row r="2389" spans="1:20" x14ac:dyDescent="0.3">
      <c r="A2389" t="s">
        <v>4890</v>
      </c>
      <c r="B2389" t="s">
        <v>31</v>
      </c>
      <c r="C2389" t="s">
        <v>197</v>
      </c>
      <c r="D2389" t="s">
        <v>104</v>
      </c>
      <c r="E2389" t="s">
        <v>5129</v>
      </c>
      <c r="F2389" t="s">
        <v>5130</v>
      </c>
      <c r="G2389" t="s">
        <v>50</v>
      </c>
      <c r="H2389" t="s">
        <v>5138</v>
      </c>
      <c r="I2389" t="s">
        <v>5139</v>
      </c>
      <c r="J2389">
        <v>166727</v>
      </c>
      <c r="K2389" t="s">
        <v>4891</v>
      </c>
      <c r="L2389" t="s">
        <v>113</v>
      </c>
      <c r="M2389" t="s">
        <v>46</v>
      </c>
      <c r="N2389">
        <v>45623</v>
      </c>
      <c r="O2389">
        <v>1750</v>
      </c>
      <c r="P2389" t="s">
        <v>20</v>
      </c>
      <c r="Q2389">
        <v>6</v>
      </c>
      <c r="R2389" t="s">
        <v>76</v>
      </c>
      <c r="S2389" t="s">
        <v>53</v>
      </c>
      <c r="T2389" t="s">
        <v>20</v>
      </c>
    </row>
    <row r="2390" spans="1:20" x14ac:dyDescent="0.3">
      <c r="A2390" t="s">
        <v>4892</v>
      </c>
      <c r="B2390" t="s">
        <v>215</v>
      </c>
      <c r="C2390" t="s">
        <v>49</v>
      </c>
      <c r="D2390" t="s">
        <v>25</v>
      </c>
      <c r="E2390" t="s">
        <v>58</v>
      </c>
      <c r="F2390" t="s">
        <v>59</v>
      </c>
      <c r="G2390" t="s">
        <v>50</v>
      </c>
      <c r="H2390" t="s">
        <v>5136</v>
      </c>
      <c r="I2390" t="s">
        <v>5137</v>
      </c>
      <c r="J2390">
        <v>81216</v>
      </c>
      <c r="K2390" t="s">
        <v>4893</v>
      </c>
      <c r="L2390" t="s">
        <v>82</v>
      </c>
      <c r="M2390" t="s">
        <v>19</v>
      </c>
      <c r="N2390">
        <v>45423</v>
      </c>
      <c r="O2390">
        <v>3226</v>
      </c>
      <c r="P2390" t="s">
        <v>29</v>
      </c>
      <c r="Q2390">
        <v>0</v>
      </c>
      <c r="R2390" t="s">
        <v>52</v>
      </c>
      <c r="S2390" t="s">
        <v>21</v>
      </c>
      <c r="T2390" t="s">
        <v>20</v>
      </c>
    </row>
    <row r="2391" spans="1:20" x14ac:dyDescent="0.3">
      <c r="A2391" t="s">
        <v>4894</v>
      </c>
      <c r="B2391" t="s">
        <v>165</v>
      </c>
      <c r="C2391" t="s">
        <v>79</v>
      </c>
      <c r="D2391" t="s">
        <v>5156</v>
      </c>
      <c r="E2391" t="s">
        <v>5124</v>
      </c>
      <c r="F2391" t="s">
        <v>5125</v>
      </c>
      <c r="G2391" t="s">
        <v>16</v>
      </c>
      <c r="H2391" t="s">
        <v>5142</v>
      </c>
      <c r="I2391" t="s">
        <v>5143</v>
      </c>
      <c r="J2391">
        <v>177951</v>
      </c>
      <c r="K2391" t="s">
        <v>4895</v>
      </c>
      <c r="L2391" t="s">
        <v>18</v>
      </c>
      <c r="M2391" t="s">
        <v>72</v>
      </c>
      <c r="N2391">
        <v>45734</v>
      </c>
      <c r="O2391">
        <v>1259</v>
      </c>
      <c r="P2391" t="s">
        <v>20</v>
      </c>
      <c r="Q2391">
        <v>4</v>
      </c>
      <c r="R2391" t="s">
        <v>40</v>
      </c>
      <c r="S2391" t="s">
        <v>21</v>
      </c>
      <c r="T2391" t="s">
        <v>20</v>
      </c>
    </row>
    <row r="2392" spans="1:20" x14ac:dyDescent="0.3">
      <c r="A2392" t="s">
        <v>4896</v>
      </c>
      <c r="B2392" t="s">
        <v>55</v>
      </c>
      <c r="C2392" t="s">
        <v>166</v>
      </c>
      <c r="D2392" t="s">
        <v>167</v>
      </c>
      <c r="E2392" t="s">
        <v>58</v>
      </c>
      <c r="F2392" t="s">
        <v>59</v>
      </c>
      <c r="G2392" t="s">
        <v>36</v>
      </c>
      <c r="H2392" t="s">
        <v>5138</v>
      </c>
      <c r="I2392" t="s">
        <v>5139</v>
      </c>
      <c r="J2392">
        <v>133537</v>
      </c>
      <c r="K2392" t="s">
        <v>4897</v>
      </c>
      <c r="L2392" t="s">
        <v>61</v>
      </c>
      <c r="M2392" t="s">
        <v>19</v>
      </c>
      <c r="N2392">
        <v>45396</v>
      </c>
      <c r="O2392">
        <v>486</v>
      </c>
      <c r="P2392" t="s">
        <v>20</v>
      </c>
      <c r="Q2392">
        <v>6</v>
      </c>
      <c r="R2392" t="s">
        <v>52</v>
      </c>
      <c r="S2392" t="s">
        <v>21</v>
      </c>
      <c r="T2392" t="s">
        <v>29</v>
      </c>
    </row>
    <row r="2393" spans="1:20" x14ac:dyDescent="0.3">
      <c r="A2393" t="s">
        <v>4898</v>
      </c>
      <c r="B2393" t="s">
        <v>55</v>
      </c>
      <c r="C2393" t="s">
        <v>160</v>
      </c>
      <c r="D2393" t="s">
        <v>167</v>
      </c>
      <c r="E2393" t="s">
        <v>5131</v>
      </c>
      <c r="F2393" t="s">
        <v>5125</v>
      </c>
      <c r="G2393" t="s">
        <v>16</v>
      </c>
      <c r="H2393" t="s">
        <v>5140</v>
      </c>
      <c r="I2393" t="s">
        <v>5141</v>
      </c>
      <c r="J2393">
        <v>91595</v>
      </c>
      <c r="K2393" t="s">
        <v>4899</v>
      </c>
      <c r="L2393" t="s">
        <v>61</v>
      </c>
      <c r="M2393" t="s">
        <v>19</v>
      </c>
      <c r="N2393">
        <v>45443</v>
      </c>
      <c r="O2393">
        <v>3729</v>
      </c>
      <c r="P2393" t="s">
        <v>92</v>
      </c>
      <c r="Q2393">
        <v>2</v>
      </c>
      <c r="R2393" t="s">
        <v>5116</v>
      </c>
      <c r="S2393" t="s">
        <v>21</v>
      </c>
      <c r="T2393" t="s">
        <v>20</v>
      </c>
    </row>
    <row r="2394" spans="1:20" x14ac:dyDescent="0.3">
      <c r="A2394" t="s">
        <v>4900</v>
      </c>
      <c r="B2394" t="s">
        <v>165</v>
      </c>
      <c r="C2394" t="s">
        <v>185</v>
      </c>
      <c r="D2394" t="s">
        <v>167</v>
      </c>
      <c r="E2394" t="s">
        <v>95</v>
      </c>
      <c r="F2394" t="s">
        <v>96</v>
      </c>
      <c r="G2394" t="s">
        <v>50</v>
      </c>
      <c r="H2394" t="s">
        <v>5138</v>
      </c>
      <c r="I2394" t="s">
        <v>5139</v>
      </c>
      <c r="J2394">
        <v>146124</v>
      </c>
      <c r="K2394" t="s">
        <v>4901</v>
      </c>
      <c r="L2394" t="s">
        <v>5165</v>
      </c>
      <c r="M2394" t="s">
        <v>19</v>
      </c>
      <c r="N2394">
        <v>45571</v>
      </c>
      <c r="O2394">
        <v>404</v>
      </c>
      <c r="P2394" t="s">
        <v>20</v>
      </c>
      <c r="Q2394">
        <v>6</v>
      </c>
      <c r="R2394" t="s">
        <v>52</v>
      </c>
      <c r="S2394" t="s">
        <v>21</v>
      </c>
      <c r="T2394" t="s">
        <v>29</v>
      </c>
    </row>
    <row r="2395" spans="1:20" x14ac:dyDescent="0.3">
      <c r="A2395" t="s">
        <v>4902</v>
      </c>
      <c r="B2395" t="s">
        <v>23</v>
      </c>
      <c r="C2395" t="s">
        <v>188</v>
      </c>
      <c r="D2395" t="s">
        <v>44</v>
      </c>
      <c r="E2395" t="s">
        <v>126</v>
      </c>
      <c r="F2395" t="s">
        <v>127</v>
      </c>
      <c r="G2395" t="s">
        <v>16</v>
      </c>
      <c r="H2395" t="s">
        <v>5142</v>
      </c>
      <c r="I2395" t="s">
        <v>5143</v>
      </c>
      <c r="J2395">
        <v>132449</v>
      </c>
      <c r="K2395" t="s">
        <v>4903</v>
      </c>
      <c r="L2395" t="s">
        <v>5165</v>
      </c>
      <c r="M2395" t="s">
        <v>19</v>
      </c>
      <c r="N2395">
        <v>45350</v>
      </c>
      <c r="O2395">
        <v>3292</v>
      </c>
      <c r="P2395" t="s">
        <v>20</v>
      </c>
      <c r="Q2395">
        <v>4</v>
      </c>
      <c r="R2395" t="s">
        <v>40</v>
      </c>
      <c r="S2395" t="s">
        <v>21</v>
      </c>
      <c r="T2395" t="s">
        <v>29</v>
      </c>
    </row>
    <row r="2396" spans="1:20" x14ac:dyDescent="0.3">
      <c r="A2396" t="s">
        <v>4904</v>
      </c>
      <c r="B2396" t="s">
        <v>222</v>
      </c>
      <c r="C2396" t="s">
        <v>49</v>
      </c>
      <c r="D2396" t="s">
        <v>118</v>
      </c>
      <c r="E2396" t="s">
        <v>223</v>
      </c>
      <c r="F2396" t="s">
        <v>224</v>
      </c>
      <c r="G2396" t="s">
        <v>16</v>
      </c>
      <c r="H2396" t="s">
        <v>5138</v>
      </c>
      <c r="I2396" t="s">
        <v>5139</v>
      </c>
      <c r="J2396">
        <v>196996</v>
      </c>
      <c r="K2396" t="s">
        <v>4905</v>
      </c>
      <c r="L2396" t="s">
        <v>5165</v>
      </c>
      <c r="M2396" t="s">
        <v>46</v>
      </c>
      <c r="N2396">
        <v>45661</v>
      </c>
      <c r="O2396">
        <v>2283</v>
      </c>
      <c r="P2396" t="s">
        <v>20</v>
      </c>
      <c r="Q2396">
        <v>6</v>
      </c>
      <c r="R2396" t="s">
        <v>40</v>
      </c>
      <c r="S2396" t="s">
        <v>21</v>
      </c>
      <c r="T2396" t="s">
        <v>20</v>
      </c>
    </row>
    <row r="2397" spans="1:20" x14ac:dyDescent="0.3">
      <c r="A2397" t="s">
        <v>4906</v>
      </c>
      <c r="B2397" t="s">
        <v>74</v>
      </c>
      <c r="C2397" t="s">
        <v>117</v>
      </c>
      <c r="D2397" t="s">
        <v>118</v>
      </c>
      <c r="E2397" t="s">
        <v>193</v>
      </c>
      <c r="F2397" t="s">
        <v>194</v>
      </c>
      <c r="G2397" t="s">
        <v>36</v>
      </c>
      <c r="H2397" t="s">
        <v>5140</v>
      </c>
      <c r="I2397" t="s">
        <v>5141</v>
      </c>
      <c r="J2397">
        <v>81297</v>
      </c>
      <c r="K2397" t="s">
        <v>4907</v>
      </c>
      <c r="L2397" t="s">
        <v>142</v>
      </c>
      <c r="M2397" t="s">
        <v>46</v>
      </c>
      <c r="N2397">
        <v>45371</v>
      </c>
      <c r="O2397">
        <v>3142</v>
      </c>
      <c r="P2397" t="s">
        <v>20</v>
      </c>
      <c r="Q2397">
        <v>2</v>
      </c>
      <c r="R2397" t="s">
        <v>40</v>
      </c>
      <c r="S2397" t="s">
        <v>21</v>
      </c>
      <c r="T2397" t="s">
        <v>20</v>
      </c>
    </row>
    <row r="2398" spans="1:20" x14ac:dyDescent="0.3">
      <c r="A2398" t="s">
        <v>4908</v>
      </c>
      <c r="B2398" t="s">
        <v>55</v>
      </c>
      <c r="C2398" t="s">
        <v>24</v>
      </c>
      <c r="D2398" t="s">
        <v>104</v>
      </c>
      <c r="E2398" t="s">
        <v>5124</v>
      </c>
      <c r="F2398" t="s">
        <v>5125</v>
      </c>
      <c r="G2398" t="s">
        <v>16</v>
      </c>
      <c r="H2398" t="s">
        <v>5142</v>
      </c>
      <c r="I2398" t="s">
        <v>5143</v>
      </c>
      <c r="J2398">
        <v>125109</v>
      </c>
      <c r="K2398" t="s">
        <v>4909</v>
      </c>
      <c r="L2398" t="s">
        <v>5165</v>
      </c>
      <c r="M2398" t="s">
        <v>19</v>
      </c>
      <c r="N2398">
        <v>45418</v>
      </c>
      <c r="O2398">
        <v>3537</v>
      </c>
      <c r="P2398" t="s">
        <v>20</v>
      </c>
      <c r="Q2398">
        <v>4</v>
      </c>
      <c r="R2398" t="s">
        <v>76</v>
      </c>
      <c r="S2398" t="s">
        <v>21</v>
      </c>
      <c r="T2398" t="s">
        <v>29</v>
      </c>
    </row>
    <row r="2399" spans="1:20" x14ac:dyDescent="0.3">
      <c r="A2399" t="s">
        <v>4910</v>
      </c>
      <c r="B2399" t="s">
        <v>124</v>
      </c>
      <c r="C2399" t="s">
        <v>185</v>
      </c>
      <c r="D2399" t="s">
        <v>33</v>
      </c>
      <c r="E2399" t="s">
        <v>209</v>
      </c>
      <c r="F2399" t="s">
        <v>210</v>
      </c>
      <c r="G2399" t="s">
        <v>36</v>
      </c>
      <c r="H2399" t="s">
        <v>5140</v>
      </c>
      <c r="I2399" t="s">
        <v>5141</v>
      </c>
      <c r="J2399">
        <v>90121</v>
      </c>
      <c r="K2399" t="s">
        <v>4911</v>
      </c>
      <c r="L2399" t="s">
        <v>134</v>
      </c>
      <c r="M2399" t="s">
        <v>39</v>
      </c>
      <c r="N2399">
        <v>45743</v>
      </c>
      <c r="O2399">
        <v>3335</v>
      </c>
      <c r="P2399" t="s">
        <v>29</v>
      </c>
      <c r="Q2399">
        <v>2</v>
      </c>
      <c r="R2399" t="s">
        <v>76</v>
      </c>
      <c r="S2399" t="s">
        <v>53</v>
      </c>
      <c r="T2399" t="s">
        <v>29</v>
      </c>
    </row>
    <row r="2400" spans="1:20" x14ac:dyDescent="0.3">
      <c r="A2400" t="s">
        <v>4912</v>
      </c>
      <c r="B2400" t="s">
        <v>12</v>
      </c>
      <c r="C2400" t="s">
        <v>24</v>
      </c>
      <c r="D2400" t="s">
        <v>5156</v>
      </c>
      <c r="E2400" t="s">
        <v>152</v>
      </c>
      <c r="F2400" t="s">
        <v>153</v>
      </c>
      <c r="G2400" t="s">
        <v>36</v>
      </c>
      <c r="H2400" t="s">
        <v>5138</v>
      </c>
      <c r="I2400" t="s">
        <v>5139</v>
      </c>
      <c r="J2400">
        <v>207461</v>
      </c>
      <c r="K2400" t="s">
        <v>4913</v>
      </c>
      <c r="L2400" t="s">
        <v>5165</v>
      </c>
      <c r="M2400" t="s">
        <v>39</v>
      </c>
      <c r="N2400">
        <v>45497</v>
      </c>
      <c r="O2400">
        <v>2380</v>
      </c>
      <c r="P2400" t="s">
        <v>20</v>
      </c>
      <c r="Q2400">
        <v>6</v>
      </c>
      <c r="R2400" t="s">
        <v>76</v>
      </c>
      <c r="S2400" t="s">
        <v>21</v>
      </c>
      <c r="T2400" t="s">
        <v>20</v>
      </c>
    </row>
    <row r="2401" spans="1:20" x14ac:dyDescent="0.3">
      <c r="A2401" t="s">
        <v>4914</v>
      </c>
      <c r="B2401" t="s">
        <v>74</v>
      </c>
      <c r="C2401" t="s">
        <v>85</v>
      </c>
      <c r="D2401" t="s">
        <v>44</v>
      </c>
      <c r="E2401" t="s">
        <v>14</v>
      </c>
      <c r="F2401" t="s">
        <v>15</v>
      </c>
      <c r="G2401" t="s">
        <v>16</v>
      </c>
      <c r="H2401" t="s">
        <v>5142</v>
      </c>
      <c r="I2401" t="s">
        <v>5143</v>
      </c>
      <c r="J2401">
        <v>151872</v>
      </c>
      <c r="K2401" t="s">
        <v>4915</v>
      </c>
      <c r="L2401" t="s">
        <v>113</v>
      </c>
      <c r="M2401" t="s">
        <v>39</v>
      </c>
      <c r="N2401">
        <v>45515</v>
      </c>
      <c r="O2401">
        <v>3061</v>
      </c>
      <c r="P2401" t="s">
        <v>20</v>
      </c>
      <c r="Q2401">
        <v>4</v>
      </c>
      <c r="R2401" t="s">
        <v>52</v>
      </c>
      <c r="S2401" t="s">
        <v>21</v>
      </c>
      <c r="T2401" t="s">
        <v>20</v>
      </c>
    </row>
    <row r="2402" spans="1:20" x14ac:dyDescent="0.3">
      <c r="A2402" t="s">
        <v>4916</v>
      </c>
      <c r="B2402" t="s">
        <v>78</v>
      </c>
      <c r="C2402" t="s">
        <v>197</v>
      </c>
      <c r="D2402" t="s">
        <v>118</v>
      </c>
      <c r="E2402" t="s">
        <v>209</v>
      </c>
      <c r="F2402" t="s">
        <v>210</v>
      </c>
      <c r="G2402" t="s">
        <v>16</v>
      </c>
      <c r="H2402" t="s">
        <v>5138</v>
      </c>
      <c r="I2402" t="s">
        <v>5139</v>
      </c>
      <c r="J2402">
        <v>174017</v>
      </c>
      <c r="K2402" t="s">
        <v>4917</v>
      </c>
      <c r="L2402" t="s">
        <v>5165</v>
      </c>
      <c r="M2402" t="s">
        <v>72</v>
      </c>
      <c r="N2402">
        <v>45485</v>
      </c>
      <c r="O2402">
        <v>2013</v>
      </c>
      <c r="P2402" t="s">
        <v>20</v>
      </c>
      <c r="Q2402">
        <v>6</v>
      </c>
      <c r="R2402" t="s">
        <v>47</v>
      </c>
      <c r="S2402" t="s">
        <v>21</v>
      </c>
      <c r="T2402" t="s">
        <v>20</v>
      </c>
    </row>
    <row r="2403" spans="1:20" x14ac:dyDescent="0.3">
      <c r="A2403" t="s">
        <v>4918</v>
      </c>
      <c r="B2403" t="s">
        <v>63</v>
      </c>
      <c r="C2403" t="s">
        <v>172</v>
      </c>
      <c r="D2403" t="s">
        <v>33</v>
      </c>
      <c r="E2403" t="s">
        <v>5124</v>
      </c>
      <c r="F2403" t="s">
        <v>5125</v>
      </c>
      <c r="G2403" t="s">
        <v>16</v>
      </c>
      <c r="H2403" t="s">
        <v>5136</v>
      </c>
      <c r="I2403" t="s">
        <v>5137</v>
      </c>
      <c r="J2403">
        <v>72227</v>
      </c>
      <c r="K2403" t="s">
        <v>4919</v>
      </c>
      <c r="L2403" t="s">
        <v>5165</v>
      </c>
      <c r="M2403" t="s">
        <v>19</v>
      </c>
      <c r="N2403">
        <v>45683</v>
      </c>
      <c r="O2403">
        <v>1636</v>
      </c>
      <c r="P2403" t="s">
        <v>20</v>
      </c>
      <c r="Q2403">
        <v>0</v>
      </c>
      <c r="R2403" t="s">
        <v>47</v>
      </c>
      <c r="S2403" t="s">
        <v>21</v>
      </c>
      <c r="T2403" t="s">
        <v>20</v>
      </c>
    </row>
    <row r="2404" spans="1:20" x14ac:dyDescent="0.3">
      <c r="A2404" t="s">
        <v>4920</v>
      </c>
      <c r="B2404" t="s">
        <v>124</v>
      </c>
      <c r="C2404" t="s">
        <v>151</v>
      </c>
      <c r="D2404" t="s">
        <v>44</v>
      </c>
      <c r="E2404" t="s">
        <v>5126</v>
      </c>
      <c r="F2404" t="s">
        <v>5125</v>
      </c>
      <c r="G2404" t="s">
        <v>50</v>
      </c>
      <c r="H2404" t="s">
        <v>5138</v>
      </c>
      <c r="I2404" t="s">
        <v>5139</v>
      </c>
      <c r="J2404">
        <v>180319</v>
      </c>
      <c r="K2404" t="s">
        <v>4921</v>
      </c>
      <c r="L2404" t="s">
        <v>38</v>
      </c>
      <c r="M2404" t="s">
        <v>46</v>
      </c>
      <c r="N2404">
        <v>45572</v>
      </c>
      <c r="O2404">
        <v>3255</v>
      </c>
      <c r="P2404" t="s">
        <v>29</v>
      </c>
      <c r="Q2404">
        <v>6</v>
      </c>
      <c r="R2404" t="s">
        <v>40</v>
      </c>
      <c r="S2404" t="s">
        <v>21</v>
      </c>
      <c r="T2404" t="s">
        <v>29</v>
      </c>
    </row>
    <row r="2405" spans="1:20" x14ac:dyDescent="0.3">
      <c r="A2405" t="s">
        <v>4922</v>
      </c>
      <c r="B2405" t="s">
        <v>84</v>
      </c>
      <c r="C2405" t="s">
        <v>197</v>
      </c>
      <c r="D2405" t="s">
        <v>25</v>
      </c>
      <c r="E2405" t="s">
        <v>14</v>
      </c>
      <c r="F2405" t="s">
        <v>15</v>
      </c>
      <c r="G2405" t="s">
        <v>36</v>
      </c>
      <c r="H2405" t="s">
        <v>5138</v>
      </c>
      <c r="I2405" t="s">
        <v>5139</v>
      </c>
      <c r="J2405">
        <v>190220</v>
      </c>
      <c r="K2405" t="s">
        <v>4923</v>
      </c>
      <c r="L2405" t="s">
        <v>113</v>
      </c>
      <c r="M2405" t="s">
        <v>19</v>
      </c>
      <c r="N2405">
        <v>45402</v>
      </c>
      <c r="O2405">
        <v>3530</v>
      </c>
      <c r="P2405" t="s">
        <v>20</v>
      </c>
      <c r="Q2405">
        <v>6</v>
      </c>
      <c r="R2405" t="s">
        <v>5116</v>
      </c>
      <c r="S2405" t="s">
        <v>53</v>
      </c>
      <c r="T2405" t="s">
        <v>20</v>
      </c>
    </row>
    <row r="2406" spans="1:20" x14ac:dyDescent="0.3">
      <c r="A2406" t="s">
        <v>4924</v>
      </c>
      <c r="B2406" t="s">
        <v>55</v>
      </c>
      <c r="C2406" t="s">
        <v>139</v>
      </c>
      <c r="D2406" t="s">
        <v>68</v>
      </c>
      <c r="E2406" t="s">
        <v>5129</v>
      </c>
      <c r="F2406" t="s">
        <v>5130</v>
      </c>
      <c r="G2406" t="s">
        <v>16</v>
      </c>
      <c r="H2406" t="s">
        <v>5138</v>
      </c>
      <c r="I2406" t="s">
        <v>5139</v>
      </c>
      <c r="J2406">
        <v>260244</v>
      </c>
      <c r="K2406" t="s">
        <v>4925</v>
      </c>
      <c r="L2406" t="s">
        <v>113</v>
      </c>
      <c r="M2406" t="s">
        <v>46</v>
      </c>
      <c r="N2406">
        <v>45671</v>
      </c>
      <c r="O2406">
        <v>3012</v>
      </c>
      <c r="P2406" t="s">
        <v>20</v>
      </c>
      <c r="Q2406">
        <v>6</v>
      </c>
      <c r="R2406" t="s">
        <v>5116</v>
      </c>
      <c r="S2406" t="s">
        <v>21</v>
      </c>
      <c r="T2406" t="s">
        <v>20</v>
      </c>
    </row>
    <row r="2407" spans="1:20" x14ac:dyDescent="0.3">
      <c r="A2407" t="s">
        <v>4926</v>
      </c>
      <c r="B2407" t="s">
        <v>218</v>
      </c>
      <c r="C2407" t="s">
        <v>24</v>
      </c>
      <c r="D2407" t="s">
        <v>104</v>
      </c>
      <c r="E2407" t="s">
        <v>223</v>
      </c>
      <c r="F2407" t="s">
        <v>224</v>
      </c>
      <c r="G2407" t="s">
        <v>36</v>
      </c>
      <c r="H2407" t="s">
        <v>5138</v>
      </c>
      <c r="I2407" t="s">
        <v>5139</v>
      </c>
      <c r="J2407">
        <v>248256</v>
      </c>
      <c r="K2407" t="s">
        <v>4927</v>
      </c>
      <c r="L2407" t="s">
        <v>87</v>
      </c>
      <c r="M2407" t="s">
        <v>19</v>
      </c>
      <c r="N2407">
        <v>45391</v>
      </c>
      <c r="O2407">
        <v>957</v>
      </c>
      <c r="P2407" t="s">
        <v>20</v>
      </c>
      <c r="Q2407">
        <v>6</v>
      </c>
      <c r="R2407" t="s">
        <v>5116</v>
      </c>
      <c r="S2407" t="s">
        <v>21</v>
      </c>
      <c r="T2407" t="s">
        <v>20</v>
      </c>
    </row>
    <row r="2408" spans="1:20" x14ac:dyDescent="0.3">
      <c r="A2408" t="s">
        <v>4928</v>
      </c>
      <c r="B2408" t="s">
        <v>124</v>
      </c>
      <c r="C2408" t="s">
        <v>100</v>
      </c>
      <c r="D2408" t="s">
        <v>44</v>
      </c>
      <c r="E2408" t="s">
        <v>26</v>
      </c>
      <c r="F2408" t="s">
        <v>27</v>
      </c>
      <c r="G2408" t="s">
        <v>36</v>
      </c>
      <c r="H2408" t="s">
        <v>5142</v>
      </c>
      <c r="I2408" t="s">
        <v>5143</v>
      </c>
      <c r="J2408">
        <v>114911</v>
      </c>
      <c r="K2408" t="s">
        <v>4929</v>
      </c>
      <c r="L2408" t="s">
        <v>87</v>
      </c>
      <c r="M2408" t="s">
        <v>46</v>
      </c>
      <c r="N2408">
        <v>45315</v>
      </c>
      <c r="O2408">
        <v>50</v>
      </c>
      <c r="P2408" t="s">
        <v>20</v>
      </c>
      <c r="Q2408">
        <v>4</v>
      </c>
      <c r="R2408" t="s">
        <v>5116</v>
      </c>
      <c r="S2408" t="s">
        <v>53</v>
      </c>
      <c r="T2408" t="s">
        <v>20</v>
      </c>
    </row>
    <row r="2409" spans="1:20" x14ac:dyDescent="0.3">
      <c r="A2409" t="s">
        <v>4930</v>
      </c>
      <c r="B2409" t="s">
        <v>31</v>
      </c>
      <c r="C2409" t="s">
        <v>151</v>
      </c>
      <c r="D2409" t="s">
        <v>118</v>
      </c>
      <c r="E2409" t="s">
        <v>69</v>
      </c>
      <c r="F2409" t="s">
        <v>70</v>
      </c>
      <c r="G2409" t="s">
        <v>36</v>
      </c>
      <c r="H2409" t="s">
        <v>5136</v>
      </c>
      <c r="I2409" t="s">
        <v>5137</v>
      </c>
      <c r="J2409">
        <v>80454</v>
      </c>
      <c r="K2409" t="s">
        <v>4931</v>
      </c>
      <c r="L2409" t="s">
        <v>87</v>
      </c>
      <c r="M2409" t="s">
        <v>46</v>
      </c>
      <c r="N2409">
        <v>45311</v>
      </c>
      <c r="O2409">
        <v>850</v>
      </c>
      <c r="P2409" t="s">
        <v>20</v>
      </c>
      <c r="Q2409">
        <v>0</v>
      </c>
      <c r="R2409" t="s">
        <v>52</v>
      </c>
      <c r="S2409" t="s">
        <v>21</v>
      </c>
      <c r="T2409" t="s">
        <v>20</v>
      </c>
    </row>
    <row r="2410" spans="1:20" x14ac:dyDescent="0.3">
      <c r="A2410" t="s">
        <v>4932</v>
      </c>
      <c r="B2410" t="s">
        <v>23</v>
      </c>
      <c r="C2410" t="s">
        <v>56</v>
      </c>
      <c r="D2410" t="s">
        <v>44</v>
      </c>
      <c r="E2410" t="s">
        <v>80</v>
      </c>
      <c r="F2410" t="s">
        <v>80</v>
      </c>
      <c r="G2410" t="s">
        <v>36</v>
      </c>
      <c r="H2410" t="s">
        <v>5138</v>
      </c>
      <c r="I2410" t="s">
        <v>5139</v>
      </c>
      <c r="J2410">
        <v>229210</v>
      </c>
      <c r="K2410" t="s">
        <v>4933</v>
      </c>
      <c r="L2410" t="s">
        <v>5165</v>
      </c>
      <c r="M2410" t="s">
        <v>19</v>
      </c>
      <c r="N2410">
        <v>45514</v>
      </c>
      <c r="O2410">
        <v>3135</v>
      </c>
      <c r="P2410" t="s">
        <v>29</v>
      </c>
      <c r="Q2410">
        <v>6</v>
      </c>
      <c r="R2410" t="s">
        <v>47</v>
      </c>
      <c r="S2410" t="s">
        <v>21</v>
      </c>
      <c r="T2410" t="s">
        <v>20</v>
      </c>
    </row>
    <row r="2411" spans="1:20" x14ac:dyDescent="0.3">
      <c r="A2411" t="s">
        <v>4934</v>
      </c>
      <c r="B2411" t="s">
        <v>74</v>
      </c>
      <c r="C2411" t="s">
        <v>185</v>
      </c>
      <c r="D2411" t="s">
        <v>140</v>
      </c>
      <c r="E2411" t="s">
        <v>5132</v>
      </c>
      <c r="F2411" t="s">
        <v>5125</v>
      </c>
      <c r="G2411" t="s">
        <v>36</v>
      </c>
      <c r="H2411" t="s">
        <v>5142</v>
      </c>
      <c r="I2411" t="s">
        <v>5143</v>
      </c>
      <c r="J2411">
        <v>118996</v>
      </c>
      <c r="K2411" t="s">
        <v>4935</v>
      </c>
      <c r="L2411" t="s">
        <v>113</v>
      </c>
      <c r="M2411" t="s">
        <v>19</v>
      </c>
      <c r="N2411">
        <v>45293</v>
      </c>
      <c r="O2411">
        <v>2981</v>
      </c>
      <c r="P2411" t="s">
        <v>20</v>
      </c>
      <c r="Q2411">
        <v>4</v>
      </c>
      <c r="R2411" t="s">
        <v>76</v>
      </c>
      <c r="S2411" t="s">
        <v>21</v>
      </c>
      <c r="T2411" t="s">
        <v>29</v>
      </c>
    </row>
    <row r="2412" spans="1:20" x14ac:dyDescent="0.3">
      <c r="A2412" t="s">
        <v>4936</v>
      </c>
      <c r="B2412" t="s">
        <v>12</v>
      </c>
      <c r="C2412" t="s">
        <v>94</v>
      </c>
      <c r="D2412" t="s">
        <v>68</v>
      </c>
      <c r="E2412" t="s">
        <v>26</v>
      </c>
      <c r="F2412" t="s">
        <v>27</v>
      </c>
      <c r="G2412" t="s">
        <v>50</v>
      </c>
      <c r="H2412" t="s">
        <v>5140</v>
      </c>
      <c r="I2412" t="s">
        <v>5141</v>
      </c>
      <c r="J2412">
        <v>126211</v>
      </c>
      <c r="K2412" t="s">
        <v>4937</v>
      </c>
      <c r="L2412" t="s">
        <v>87</v>
      </c>
      <c r="M2412" t="s">
        <v>19</v>
      </c>
      <c r="N2412">
        <v>45535</v>
      </c>
      <c r="O2412">
        <v>3688</v>
      </c>
      <c r="P2412" t="s">
        <v>29</v>
      </c>
      <c r="Q2412">
        <v>2</v>
      </c>
      <c r="R2412" t="s">
        <v>76</v>
      </c>
      <c r="S2412" t="s">
        <v>21</v>
      </c>
      <c r="T2412" t="s">
        <v>20</v>
      </c>
    </row>
    <row r="2413" spans="1:20" x14ac:dyDescent="0.3">
      <c r="A2413" t="s">
        <v>4938</v>
      </c>
      <c r="B2413" t="s">
        <v>23</v>
      </c>
      <c r="C2413" t="s">
        <v>85</v>
      </c>
      <c r="D2413" t="s">
        <v>68</v>
      </c>
      <c r="E2413" t="s">
        <v>5127</v>
      </c>
      <c r="F2413" t="s">
        <v>5125</v>
      </c>
      <c r="G2413" t="s">
        <v>50</v>
      </c>
      <c r="H2413" t="s">
        <v>5140</v>
      </c>
      <c r="I2413" t="s">
        <v>5141</v>
      </c>
      <c r="J2413">
        <v>140451</v>
      </c>
      <c r="K2413" t="s">
        <v>4939</v>
      </c>
      <c r="L2413" t="s">
        <v>238</v>
      </c>
      <c r="M2413" t="s">
        <v>46</v>
      </c>
      <c r="N2413">
        <v>45337</v>
      </c>
      <c r="O2413">
        <v>3119</v>
      </c>
      <c r="P2413" t="s">
        <v>20</v>
      </c>
      <c r="Q2413">
        <v>2</v>
      </c>
      <c r="R2413" t="s">
        <v>52</v>
      </c>
      <c r="S2413" t="s">
        <v>21</v>
      </c>
      <c r="T2413" t="s">
        <v>20</v>
      </c>
    </row>
    <row r="2414" spans="1:20" x14ac:dyDescent="0.3">
      <c r="A2414" t="s">
        <v>4940</v>
      </c>
      <c r="B2414" t="s">
        <v>74</v>
      </c>
      <c r="C2414" t="s">
        <v>103</v>
      </c>
      <c r="D2414" t="s">
        <v>140</v>
      </c>
      <c r="E2414" t="s">
        <v>152</v>
      </c>
      <c r="F2414" t="s">
        <v>153</v>
      </c>
      <c r="G2414" t="s">
        <v>16</v>
      </c>
      <c r="H2414" t="s">
        <v>5136</v>
      </c>
      <c r="I2414" t="s">
        <v>5137</v>
      </c>
      <c r="J2414">
        <v>55855</v>
      </c>
      <c r="K2414" t="s">
        <v>4941</v>
      </c>
      <c r="L2414" t="s">
        <v>18</v>
      </c>
      <c r="M2414" t="s">
        <v>46</v>
      </c>
      <c r="N2414">
        <v>45645</v>
      </c>
      <c r="O2414">
        <v>721</v>
      </c>
      <c r="P2414" t="s">
        <v>20</v>
      </c>
      <c r="Q2414">
        <v>0</v>
      </c>
      <c r="R2414" t="s">
        <v>47</v>
      </c>
      <c r="S2414" t="s">
        <v>21</v>
      </c>
      <c r="T2414" t="s">
        <v>20</v>
      </c>
    </row>
    <row r="2415" spans="1:20" x14ac:dyDescent="0.3">
      <c r="A2415" t="s">
        <v>4942</v>
      </c>
      <c r="B2415" t="s">
        <v>78</v>
      </c>
      <c r="C2415" t="s">
        <v>151</v>
      </c>
      <c r="D2415" t="s">
        <v>57</v>
      </c>
      <c r="E2415" t="s">
        <v>193</v>
      </c>
      <c r="F2415" t="s">
        <v>194</v>
      </c>
      <c r="G2415" t="s">
        <v>16</v>
      </c>
      <c r="H2415" t="s">
        <v>5142</v>
      </c>
      <c r="I2415" t="s">
        <v>5143</v>
      </c>
      <c r="J2415">
        <v>125227</v>
      </c>
      <c r="K2415" t="s">
        <v>4943</v>
      </c>
      <c r="L2415" t="s">
        <v>61</v>
      </c>
      <c r="M2415" t="s">
        <v>46</v>
      </c>
      <c r="N2415">
        <v>45679</v>
      </c>
      <c r="O2415">
        <v>404</v>
      </c>
      <c r="P2415" t="s">
        <v>20</v>
      </c>
      <c r="Q2415">
        <v>4</v>
      </c>
      <c r="R2415" t="s">
        <v>76</v>
      </c>
      <c r="S2415" t="s">
        <v>21</v>
      </c>
      <c r="T2415" t="s">
        <v>20</v>
      </c>
    </row>
    <row r="2416" spans="1:20" x14ac:dyDescent="0.3">
      <c r="A2416" t="s">
        <v>4944</v>
      </c>
      <c r="B2416" t="s">
        <v>84</v>
      </c>
      <c r="C2416" t="s">
        <v>109</v>
      </c>
      <c r="D2416" t="s">
        <v>68</v>
      </c>
      <c r="E2416" t="s">
        <v>193</v>
      </c>
      <c r="F2416" t="s">
        <v>194</v>
      </c>
      <c r="G2416" t="s">
        <v>36</v>
      </c>
      <c r="H2416" t="s">
        <v>5138</v>
      </c>
      <c r="I2416" t="s">
        <v>5139</v>
      </c>
      <c r="J2416">
        <v>236635</v>
      </c>
      <c r="K2416" t="s">
        <v>4945</v>
      </c>
      <c r="L2416" t="s">
        <v>113</v>
      </c>
      <c r="M2416" t="s">
        <v>46</v>
      </c>
      <c r="N2416">
        <v>45368</v>
      </c>
      <c r="O2416">
        <v>1405</v>
      </c>
      <c r="P2416" t="s">
        <v>20</v>
      </c>
      <c r="Q2416">
        <v>6</v>
      </c>
      <c r="R2416" t="s">
        <v>47</v>
      </c>
      <c r="S2416" t="s">
        <v>21</v>
      </c>
      <c r="T2416" t="s">
        <v>29</v>
      </c>
    </row>
    <row r="2417" spans="1:20" x14ac:dyDescent="0.3">
      <c r="A2417" t="s">
        <v>4946</v>
      </c>
      <c r="B2417" t="s">
        <v>130</v>
      </c>
      <c r="C2417" t="s">
        <v>121</v>
      </c>
      <c r="D2417" t="s">
        <v>118</v>
      </c>
      <c r="E2417" t="s">
        <v>126</v>
      </c>
      <c r="F2417" t="s">
        <v>127</v>
      </c>
      <c r="G2417" t="s">
        <v>16</v>
      </c>
      <c r="H2417" t="s">
        <v>5138</v>
      </c>
      <c r="I2417" t="s">
        <v>5139</v>
      </c>
      <c r="J2417">
        <v>209773</v>
      </c>
      <c r="K2417" t="s">
        <v>4947</v>
      </c>
      <c r="L2417" t="s">
        <v>5165</v>
      </c>
      <c r="M2417" t="s">
        <v>46</v>
      </c>
      <c r="N2417">
        <v>45639</v>
      </c>
      <c r="O2417">
        <v>1055</v>
      </c>
      <c r="P2417" t="s">
        <v>20</v>
      </c>
      <c r="Q2417">
        <v>6</v>
      </c>
      <c r="R2417" t="s">
        <v>5116</v>
      </c>
      <c r="S2417" t="s">
        <v>41</v>
      </c>
      <c r="T2417" t="s">
        <v>20</v>
      </c>
    </row>
    <row r="2418" spans="1:20" x14ac:dyDescent="0.3">
      <c r="A2418" t="s">
        <v>4948</v>
      </c>
      <c r="B2418" t="s">
        <v>215</v>
      </c>
      <c r="C2418" t="s">
        <v>197</v>
      </c>
      <c r="D2418" t="s">
        <v>57</v>
      </c>
      <c r="E2418" t="s">
        <v>126</v>
      </c>
      <c r="F2418" t="s">
        <v>127</v>
      </c>
      <c r="G2418" t="s">
        <v>16</v>
      </c>
      <c r="H2418" t="s">
        <v>5136</v>
      </c>
      <c r="I2418" t="s">
        <v>5137</v>
      </c>
      <c r="J2418">
        <v>76948</v>
      </c>
      <c r="K2418" t="s">
        <v>4949</v>
      </c>
      <c r="L2418" t="s">
        <v>61</v>
      </c>
      <c r="M2418" t="s">
        <v>46</v>
      </c>
      <c r="N2418">
        <v>45506</v>
      </c>
      <c r="O2418">
        <v>2887</v>
      </c>
      <c r="P2418" t="s">
        <v>29</v>
      </c>
      <c r="Q2418">
        <v>0</v>
      </c>
      <c r="R2418" t="s">
        <v>47</v>
      </c>
      <c r="S2418" t="s">
        <v>53</v>
      </c>
      <c r="T2418" t="s">
        <v>29</v>
      </c>
    </row>
    <row r="2419" spans="1:20" x14ac:dyDescent="0.3">
      <c r="A2419" t="s">
        <v>4950</v>
      </c>
      <c r="B2419" t="s">
        <v>165</v>
      </c>
      <c r="C2419" t="s">
        <v>175</v>
      </c>
      <c r="D2419" t="s">
        <v>33</v>
      </c>
      <c r="E2419" t="s">
        <v>5131</v>
      </c>
      <c r="F2419" t="s">
        <v>5125</v>
      </c>
      <c r="G2419" t="s">
        <v>16</v>
      </c>
      <c r="H2419" t="s">
        <v>5138</v>
      </c>
      <c r="I2419" t="s">
        <v>5139</v>
      </c>
      <c r="J2419">
        <v>212261</v>
      </c>
      <c r="K2419" t="s">
        <v>4951</v>
      </c>
      <c r="L2419" t="s">
        <v>142</v>
      </c>
      <c r="M2419" t="s">
        <v>46</v>
      </c>
      <c r="N2419">
        <v>45504</v>
      </c>
      <c r="O2419">
        <v>1757</v>
      </c>
      <c r="P2419" t="s">
        <v>20</v>
      </c>
      <c r="Q2419">
        <v>6</v>
      </c>
      <c r="R2419" t="s">
        <v>52</v>
      </c>
      <c r="S2419" t="s">
        <v>21</v>
      </c>
      <c r="T2419" t="s">
        <v>20</v>
      </c>
    </row>
    <row r="2420" spans="1:20" x14ac:dyDescent="0.3">
      <c r="A2420" t="s">
        <v>4952</v>
      </c>
      <c r="B2420" t="s">
        <v>136</v>
      </c>
      <c r="C2420" t="s">
        <v>219</v>
      </c>
      <c r="D2420" t="s">
        <v>140</v>
      </c>
      <c r="E2420" t="s">
        <v>26</v>
      </c>
      <c r="F2420" t="s">
        <v>27</v>
      </c>
      <c r="G2420" t="s">
        <v>50</v>
      </c>
      <c r="H2420" t="s">
        <v>5142</v>
      </c>
      <c r="I2420" t="s">
        <v>5143</v>
      </c>
      <c r="J2420">
        <v>160548</v>
      </c>
      <c r="K2420" t="s">
        <v>4953</v>
      </c>
      <c r="L2420" t="s">
        <v>5165</v>
      </c>
      <c r="M2420" t="s">
        <v>39</v>
      </c>
      <c r="N2420">
        <v>45504</v>
      </c>
      <c r="O2420">
        <v>1125</v>
      </c>
      <c r="P2420" t="s">
        <v>20</v>
      </c>
      <c r="Q2420">
        <v>4</v>
      </c>
      <c r="R2420" t="s">
        <v>40</v>
      </c>
      <c r="S2420" t="s">
        <v>21</v>
      </c>
      <c r="T2420" t="s">
        <v>20</v>
      </c>
    </row>
    <row r="2421" spans="1:20" x14ac:dyDescent="0.3">
      <c r="A2421" t="s">
        <v>4954</v>
      </c>
      <c r="B2421" t="s">
        <v>89</v>
      </c>
      <c r="C2421" t="s">
        <v>232</v>
      </c>
      <c r="D2421" t="s">
        <v>33</v>
      </c>
      <c r="E2421" t="s">
        <v>193</v>
      </c>
      <c r="F2421" t="s">
        <v>194</v>
      </c>
      <c r="G2421" t="s">
        <v>16</v>
      </c>
      <c r="H2421" t="s">
        <v>5142</v>
      </c>
      <c r="I2421" t="s">
        <v>5143</v>
      </c>
      <c r="J2421">
        <v>114185</v>
      </c>
      <c r="K2421" t="s">
        <v>4955</v>
      </c>
      <c r="L2421" t="s">
        <v>87</v>
      </c>
      <c r="M2421" t="s">
        <v>46</v>
      </c>
      <c r="N2421">
        <v>45604</v>
      </c>
      <c r="O2421">
        <v>2227</v>
      </c>
      <c r="P2421" t="s">
        <v>92</v>
      </c>
      <c r="Q2421">
        <v>4</v>
      </c>
      <c r="R2421" t="s">
        <v>47</v>
      </c>
      <c r="S2421" t="s">
        <v>21</v>
      </c>
      <c r="T2421" t="s">
        <v>20</v>
      </c>
    </row>
    <row r="2422" spans="1:20" x14ac:dyDescent="0.3">
      <c r="A2422" t="s">
        <v>4956</v>
      </c>
      <c r="B2422" t="s">
        <v>130</v>
      </c>
      <c r="C2422" t="s">
        <v>202</v>
      </c>
      <c r="D2422" t="s">
        <v>44</v>
      </c>
      <c r="E2422" t="s">
        <v>223</v>
      </c>
      <c r="F2422" t="s">
        <v>224</v>
      </c>
      <c r="G2422" t="s">
        <v>16</v>
      </c>
      <c r="H2422" t="s">
        <v>5136</v>
      </c>
      <c r="I2422" t="s">
        <v>5137</v>
      </c>
      <c r="J2422">
        <v>83196</v>
      </c>
      <c r="K2422" t="s">
        <v>4957</v>
      </c>
      <c r="L2422" t="s">
        <v>179</v>
      </c>
      <c r="M2422" t="s">
        <v>72</v>
      </c>
      <c r="N2422">
        <v>45428</v>
      </c>
      <c r="O2422">
        <v>718</v>
      </c>
      <c r="P2422" t="s">
        <v>20</v>
      </c>
      <c r="Q2422">
        <v>0</v>
      </c>
      <c r="R2422" t="s">
        <v>76</v>
      </c>
      <c r="S2422" t="s">
        <v>21</v>
      </c>
      <c r="T2422" t="s">
        <v>20</v>
      </c>
    </row>
    <row r="2423" spans="1:20" x14ac:dyDescent="0.3">
      <c r="A2423" t="s">
        <v>4958</v>
      </c>
      <c r="B2423" t="s">
        <v>130</v>
      </c>
      <c r="C2423" t="s">
        <v>109</v>
      </c>
      <c r="D2423" t="s">
        <v>5156</v>
      </c>
      <c r="E2423" t="s">
        <v>5132</v>
      </c>
      <c r="F2423" t="s">
        <v>5125</v>
      </c>
      <c r="G2423" t="s">
        <v>50</v>
      </c>
      <c r="H2423" t="s">
        <v>5136</v>
      </c>
      <c r="I2423" t="s">
        <v>5137</v>
      </c>
      <c r="J2423">
        <v>84736</v>
      </c>
      <c r="K2423" t="s">
        <v>4959</v>
      </c>
      <c r="L2423" t="s">
        <v>87</v>
      </c>
      <c r="M2423" t="s">
        <v>46</v>
      </c>
      <c r="N2423">
        <v>45516</v>
      </c>
      <c r="O2423">
        <v>1056</v>
      </c>
      <c r="P2423" t="s">
        <v>29</v>
      </c>
      <c r="Q2423">
        <v>0</v>
      </c>
      <c r="R2423" t="s">
        <v>47</v>
      </c>
      <c r="S2423" t="s">
        <v>21</v>
      </c>
      <c r="T2423" t="s">
        <v>20</v>
      </c>
    </row>
    <row r="2424" spans="1:20" x14ac:dyDescent="0.3">
      <c r="A2424" t="s">
        <v>4960</v>
      </c>
      <c r="B2424" t="s">
        <v>23</v>
      </c>
      <c r="C2424" t="s">
        <v>94</v>
      </c>
      <c r="D2424" t="s">
        <v>104</v>
      </c>
      <c r="E2424" t="s">
        <v>69</v>
      </c>
      <c r="F2424" t="s">
        <v>70</v>
      </c>
      <c r="G2424" t="s">
        <v>36</v>
      </c>
      <c r="H2424" t="s">
        <v>5136</v>
      </c>
      <c r="I2424" t="s">
        <v>5137</v>
      </c>
      <c r="J2424">
        <v>67109</v>
      </c>
      <c r="K2424" t="s">
        <v>4961</v>
      </c>
      <c r="L2424" t="s">
        <v>5165</v>
      </c>
      <c r="M2424" t="s">
        <v>39</v>
      </c>
      <c r="N2424">
        <v>45455</v>
      </c>
      <c r="O2424">
        <v>3769</v>
      </c>
      <c r="P2424" t="s">
        <v>92</v>
      </c>
      <c r="Q2424">
        <v>0</v>
      </c>
      <c r="R2424" t="s">
        <v>52</v>
      </c>
      <c r="S2424" t="s">
        <v>53</v>
      </c>
      <c r="T2424" t="s">
        <v>20</v>
      </c>
    </row>
    <row r="2425" spans="1:20" x14ac:dyDescent="0.3">
      <c r="A2425" t="s">
        <v>4962</v>
      </c>
      <c r="B2425" t="s">
        <v>99</v>
      </c>
      <c r="C2425" t="s">
        <v>160</v>
      </c>
      <c r="D2425" t="s">
        <v>167</v>
      </c>
      <c r="E2425" t="s">
        <v>5128</v>
      </c>
      <c r="F2425" t="s">
        <v>5125</v>
      </c>
      <c r="G2425" t="s">
        <v>16</v>
      </c>
      <c r="H2425" t="s">
        <v>5140</v>
      </c>
      <c r="I2425" t="s">
        <v>5141</v>
      </c>
      <c r="J2425">
        <v>109139</v>
      </c>
      <c r="K2425" t="s">
        <v>4963</v>
      </c>
      <c r="L2425" t="s">
        <v>113</v>
      </c>
      <c r="M2425" t="s">
        <v>72</v>
      </c>
      <c r="N2425">
        <v>45610</v>
      </c>
      <c r="O2425">
        <v>3644</v>
      </c>
      <c r="P2425" t="s">
        <v>92</v>
      </c>
      <c r="Q2425">
        <v>2</v>
      </c>
      <c r="R2425" t="s">
        <v>40</v>
      </c>
      <c r="S2425" t="s">
        <v>21</v>
      </c>
      <c r="T2425" t="s">
        <v>29</v>
      </c>
    </row>
    <row r="2426" spans="1:20" x14ac:dyDescent="0.3">
      <c r="A2426" t="s">
        <v>4964</v>
      </c>
      <c r="B2426" t="s">
        <v>89</v>
      </c>
      <c r="C2426" t="s">
        <v>185</v>
      </c>
      <c r="D2426" t="s">
        <v>5156</v>
      </c>
      <c r="E2426" t="s">
        <v>69</v>
      </c>
      <c r="F2426" t="s">
        <v>70</v>
      </c>
      <c r="G2426" t="s">
        <v>16</v>
      </c>
      <c r="H2426" t="s">
        <v>5142</v>
      </c>
      <c r="I2426" t="s">
        <v>5143</v>
      </c>
      <c r="J2426">
        <v>108660</v>
      </c>
      <c r="K2426" t="s">
        <v>4965</v>
      </c>
      <c r="L2426" t="s">
        <v>5165</v>
      </c>
      <c r="M2426" t="s">
        <v>39</v>
      </c>
      <c r="N2426">
        <v>45616</v>
      </c>
      <c r="O2426">
        <v>252</v>
      </c>
      <c r="P2426" t="s">
        <v>92</v>
      </c>
      <c r="Q2426">
        <v>4</v>
      </c>
      <c r="R2426" t="s">
        <v>40</v>
      </c>
      <c r="S2426" t="s">
        <v>41</v>
      </c>
      <c r="T2426" t="s">
        <v>20</v>
      </c>
    </row>
    <row r="2427" spans="1:20" x14ac:dyDescent="0.3">
      <c r="A2427" t="s">
        <v>4966</v>
      </c>
      <c r="B2427" t="s">
        <v>124</v>
      </c>
      <c r="C2427" t="s">
        <v>109</v>
      </c>
      <c r="D2427" t="s">
        <v>44</v>
      </c>
      <c r="E2427" t="s">
        <v>5129</v>
      </c>
      <c r="F2427" t="s">
        <v>5130</v>
      </c>
      <c r="G2427" t="s">
        <v>16</v>
      </c>
      <c r="H2427" t="s">
        <v>5142</v>
      </c>
      <c r="I2427" t="s">
        <v>5143</v>
      </c>
      <c r="J2427">
        <v>163884</v>
      </c>
      <c r="K2427" t="s">
        <v>4967</v>
      </c>
      <c r="L2427" t="s">
        <v>134</v>
      </c>
      <c r="M2427" t="s">
        <v>46</v>
      </c>
      <c r="N2427">
        <v>45499</v>
      </c>
      <c r="O2427">
        <v>2713</v>
      </c>
      <c r="P2427" t="s">
        <v>20</v>
      </c>
      <c r="Q2427">
        <v>4</v>
      </c>
      <c r="R2427" t="s">
        <v>5116</v>
      </c>
      <c r="S2427" t="s">
        <v>21</v>
      </c>
      <c r="T2427" t="s">
        <v>29</v>
      </c>
    </row>
    <row r="2428" spans="1:20" x14ac:dyDescent="0.3">
      <c r="A2428" t="s">
        <v>4968</v>
      </c>
      <c r="B2428" t="s">
        <v>215</v>
      </c>
      <c r="C2428" t="s">
        <v>121</v>
      </c>
      <c r="D2428" t="s">
        <v>104</v>
      </c>
      <c r="E2428" t="s">
        <v>223</v>
      </c>
      <c r="F2428" t="s">
        <v>224</v>
      </c>
      <c r="G2428" t="s">
        <v>36</v>
      </c>
      <c r="H2428" t="s">
        <v>5142</v>
      </c>
      <c r="I2428" t="s">
        <v>5143</v>
      </c>
      <c r="J2428">
        <v>165445</v>
      </c>
      <c r="K2428" t="s">
        <v>4969</v>
      </c>
      <c r="L2428" t="s">
        <v>134</v>
      </c>
      <c r="M2428" t="s">
        <v>72</v>
      </c>
      <c r="N2428">
        <v>45484</v>
      </c>
      <c r="O2428">
        <v>1886</v>
      </c>
      <c r="P2428" t="s">
        <v>20</v>
      </c>
      <c r="Q2428">
        <v>4</v>
      </c>
      <c r="R2428" t="s">
        <v>40</v>
      </c>
      <c r="S2428" t="s">
        <v>21</v>
      </c>
      <c r="T2428" t="s">
        <v>20</v>
      </c>
    </row>
    <row r="2429" spans="1:20" x14ac:dyDescent="0.3">
      <c r="A2429" t="s">
        <v>4970</v>
      </c>
      <c r="B2429" t="s">
        <v>130</v>
      </c>
      <c r="C2429" t="s">
        <v>188</v>
      </c>
      <c r="D2429" t="s">
        <v>104</v>
      </c>
      <c r="E2429" t="s">
        <v>14</v>
      </c>
      <c r="F2429" t="s">
        <v>15</v>
      </c>
      <c r="G2429" t="s">
        <v>36</v>
      </c>
      <c r="H2429" t="s">
        <v>5140</v>
      </c>
      <c r="I2429" t="s">
        <v>5141</v>
      </c>
      <c r="J2429">
        <v>108768</v>
      </c>
      <c r="K2429" t="s">
        <v>4971</v>
      </c>
      <c r="L2429" t="s">
        <v>113</v>
      </c>
      <c r="M2429" t="s">
        <v>72</v>
      </c>
      <c r="N2429">
        <v>45384</v>
      </c>
      <c r="O2429">
        <v>1554</v>
      </c>
      <c r="P2429" t="s">
        <v>20</v>
      </c>
      <c r="Q2429">
        <v>2</v>
      </c>
      <c r="R2429" t="s">
        <v>76</v>
      </c>
      <c r="S2429" t="s">
        <v>53</v>
      </c>
      <c r="T2429" t="s">
        <v>20</v>
      </c>
    </row>
    <row r="2430" spans="1:20" x14ac:dyDescent="0.3">
      <c r="A2430" t="s">
        <v>4972</v>
      </c>
      <c r="B2430" t="s">
        <v>12</v>
      </c>
      <c r="C2430" t="s">
        <v>172</v>
      </c>
      <c r="D2430" t="s">
        <v>68</v>
      </c>
      <c r="E2430" t="s">
        <v>5124</v>
      </c>
      <c r="F2430" t="s">
        <v>5125</v>
      </c>
      <c r="G2430" t="s">
        <v>36</v>
      </c>
      <c r="H2430" t="s">
        <v>5138</v>
      </c>
      <c r="I2430" t="s">
        <v>5139</v>
      </c>
      <c r="J2430">
        <v>240476</v>
      </c>
      <c r="K2430" t="s">
        <v>4973</v>
      </c>
      <c r="L2430" t="s">
        <v>238</v>
      </c>
      <c r="M2430" t="s">
        <v>46</v>
      </c>
      <c r="N2430">
        <v>45310</v>
      </c>
      <c r="O2430">
        <v>441</v>
      </c>
      <c r="P2430" t="s">
        <v>29</v>
      </c>
      <c r="Q2430">
        <v>6</v>
      </c>
      <c r="R2430" t="s">
        <v>52</v>
      </c>
      <c r="S2430" t="s">
        <v>21</v>
      </c>
      <c r="T2430" t="s">
        <v>20</v>
      </c>
    </row>
    <row r="2431" spans="1:20" x14ac:dyDescent="0.3">
      <c r="A2431" t="s">
        <v>4974</v>
      </c>
      <c r="B2431" t="s">
        <v>84</v>
      </c>
      <c r="C2431" t="s">
        <v>188</v>
      </c>
      <c r="D2431" t="s">
        <v>25</v>
      </c>
      <c r="E2431" t="s">
        <v>209</v>
      </c>
      <c r="F2431" t="s">
        <v>210</v>
      </c>
      <c r="G2431" t="s">
        <v>16</v>
      </c>
      <c r="H2431" t="s">
        <v>5138</v>
      </c>
      <c r="I2431" t="s">
        <v>5139</v>
      </c>
      <c r="J2431">
        <v>187973</v>
      </c>
      <c r="K2431" t="s">
        <v>4975</v>
      </c>
      <c r="L2431" t="s">
        <v>179</v>
      </c>
      <c r="M2431" t="s">
        <v>19</v>
      </c>
      <c r="N2431">
        <v>45376</v>
      </c>
      <c r="O2431">
        <v>2821</v>
      </c>
      <c r="P2431" t="s">
        <v>29</v>
      </c>
      <c r="Q2431">
        <v>6</v>
      </c>
      <c r="R2431" t="s">
        <v>47</v>
      </c>
      <c r="S2431" t="s">
        <v>21</v>
      </c>
      <c r="T2431" t="s">
        <v>20</v>
      </c>
    </row>
    <row r="2432" spans="1:20" x14ac:dyDescent="0.3">
      <c r="A2432" t="s">
        <v>4976</v>
      </c>
      <c r="B2432" t="s">
        <v>229</v>
      </c>
      <c r="C2432" t="s">
        <v>151</v>
      </c>
      <c r="D2432" t="s">
        <v>68</v>
      </c>
      <c r="E2432" t="s">
        <v>34</v>
      </c>
      <c r="F2432" t="s">
        <v>35</v>
      </c>
      <c r="G2432" t="s">
        <v>36</v>
      </c>
      <c r="H2432" t="s">
        <v>5142</v>
      </c>
      <c r="I2432" t="s">
        <v>5143</v>
      </c>
      <c r="J2432">
        <v>165244</v>
      </c>
      <c r="K2432" t="s">
        <v>4977</v>
      </c>
      <c r="L2432" t="s">
        <v>134</v>
      </c>
      <c r="M2432" t="s">
        <v>46</v>
      </c>
      <c r="N2432">
        <v>45597</v>
      </c>
      <c r="O2432">
        <v>245</v>
      </c>
      <c r="P2432" t="s">
        <v>20</v>
      </c>
      <c r="Q2432">
        <v>4</v>
      </c>
      <c r="R2432" t="s">
        <v>47</v>
      </c>
      <c r="S2432" t="s">
        <v>41</v>
      </c>
      <c r="T2432" t="s">
        <v>29</v>
      </c>
    </row>
    <row r="2433" spans="1:20" x14ac:dyDescent="0.3">
      <c r="A2433" t="s">
        <v>4978</v>
      </c>
      <c r="B2433" t="s">
        <v>124</v>
      </c>
      <c r="C2433" t="s">
        <v>185</v>
      </c>
      <c r="D2433" t="s">
        <v>140</v>
      </c>
      <c r="E2433" t="s">
        <v>34</v>
      </c>
      <c r="F2433" t="s">
        <v>35</v>
      </c>
      <c r="G2433" t="s">
        <v>36</v>
      </c>
      <c r="H2433" t="s">
        <v>5140</v>
      </c>
      <c r="I2433" t="s">
        <v>5141</v>
      </c>
      <c r="J2433">
        <v>89810</v>
      </c>
      <c r="K2433" t="s">
        <v>4979</v>
      </c>
      <c r="L2433" t="s">
        <v>82</v>
      </c>
      <c r="M2433" t="s">
        <v>72</v>
      </c>
      <c r="N2433">
        <v>45623</v>
      </c>
      <c r="O2433">
        <v>3305</v>
      </c>
      <c r="P2433" t="s">
        <v>20</v>
      </c>
      <c r="Q2433">
        <v>2</v>
      </c>
      <c r="R2433" t="s">
        <v>47</v>
      </c>
      <c r="S2433" t="s">
        <v>53</v>
      </c>
      <c r="T2433" t="s">
        <v>20</v>
      </c>
    </row>
    <row r="2434" spans="1:20" x14ac:dyDescent="0.3">
      <c r="A2434" t="s">
        <v>4980</v>
      </c>
      <c r="B2434" t="s">
        <v>55</v>
      </c>
      <c r="C2434" t="s">
        <v>32</v>
      </c>
      <c r="D2434" t="s">
        <v>44</v>
      </c>
      <c r="E2434" t="s">
        <v>209</v>
      </c>
      <c r="F2434" t="s">
        <v>210</v>
      </c>
      <c r="G2434" t="s">
        <v>16</v>
      </c>
      <c r="H2434" t="s">
        <v>5142</v>
      </c>
      <c r="I2434" t="s">
        <v>5143</v>
      </c>
      <c r="J2434">
        <v>149364</v>
      </c>
      <c r="K2434" t="s">
        <v>4981</v>
      </c>
      <c r="L2434" t="s">
        <v>5165</v>
      </c>
      <c r="M2434" t="s">
        <v>39</v>
      </c>
      <c r="N2434">
        <v>45403</v>
      </c>
      <c r="O2434">
        <v>3440</v>
      </c>
      <c r="P2434" t="s">
        <v>20</v>
      </c>
      <c r="Q2434">
        <v>4</v>
      </c>
      <c r="R2434" t="s">
        <v>40</v>
      </c>
      <c r="S2434" t="s">
        <v>21</v>
      </c>
      <c r="T2434" t="s">
        <v>29</v>
      </c>
    </row>
    <row r="2435" spans="1:20" x14ac:dyDescent="0.3">
      <c r="A2435" t="s">
        <v>4982</v>
      </c>
      <c r="B2435" t="s">
        <v>215</v>
      </c>
      <c r="C2435" t="s">
        <v>85</v>
      </c>
      <c r="D2435" t="s">
        <v>140</v>
      </c>
      <c r="E2435" t="s">
        <v>223</v>
      </c>
      <c r="F2435" t="s">
        <v>224</v>
      </c>
      <c r="G2435" t="s">
        <v>16</v>
      </c>
      <c r="H2435" t="s">
        <v>5142</v>
      </c>
      <c r="I2435" t="s">
        <v>5143</v>
      </c>
      <c r="J2435">
        <v>145292</v>
      </c>
      <c r="K2435" t="s">
        <v>4983</v>
      </c>
      <c r="L2435" t="s">
        <v>142</v>
      </c>
      <c r="M2435" t="s">
        <v>46</v>
      </c>
      <c r="N2435">
        <v>45669</v>
      </c>
      <c r="O2435">
        <v>3149</v>
      </c>
      <c r="P2435" t="s">
        <v>20</v>
      </c>
      <c r="Q2435">
        <v>4</v>
      </c>
      <c r="R2435" t="s">
        <v>52</v>
      </c>
      <c r="S2435" t="s">
        <v>53</v>
      </c>
      <c r="T2435" t="s">
        <v>20</v>
      </c>
    </row>
    <row r="2436" spans="1:20" x14ac:dyDescent="0.3">
      <c r="A2436" t="s">
        <v>4984</v>
      </c>
      <c r="B2436" t="s">
        <v>136</v>
      </c>
      <c r="C2436" t="s">
        <v>24</v>
      </c>
      <c r="D2436" t="s">
        <v>104</v>
      </c>
      <c r="E2436" t="s">
        <v>209</v>
      </c>
      <c r="F2436" t="s">
        <v>210</v>
      </c>
      <c r="G2436" t="s">
        <v>50</v>
      </c>
      <c r="H2436" t="s">
        <v>5138</v>
      </c>
      <c r="I2436" t="s">
        <v>5139</v>
      </c>
      <c r="J2436">
        <v>208111</v>
      </c>
      <c r="K2436" t="s">
        <v>4985</v>
      </c>
      <c r="L2436" t="s">
        <v>238</v>
      </c>
      <c r="M2436" t="s">
        <v>19</v>
      </c>
      <c r="N2436">
        <v>45557</v>
      </c>
      <c r="O2436">
        <v>2508</v>
      </c>
      <c r="P2436" t="s">
        <v>29</v>
      </c>
      <c r="Q2436">
        <v>6</v>
      </c>
      <c r="R2436" t="s">
        <v>40</v>
      </c>
      <c r="S2436" t="s">
        <v>53</v>
      </c>
      <c r="T2436" t="s">
        <v>29</v>
      </c>
    </row>
    <row r="2437" spans="1:20" x14ac:dyDescent="0.3">
      <c r="A2437" t="s">
        <v>4986</v>
      </c>
      <c r="B2437" t="s">
        <v>31</v>
      </c>
      <c r="C2437" t="s">
        <v>103</v>
      </c>
      <c r="D2437" t="s">
        <v>5156</v>
      </c>
      <c r="E2437" t="s">
        <v>34</v>
      </c>
      <c r="F2437" t="s">
        <v>35</v>
      </c>
      <c r="G2437" t="s">
        <v>16</v>
      </c>
      <c r="H2437" t="s">
        <v>5140</v>
      </c>
      <c r="I2437" t="s">
        <v>5141</v>
      </c>
      <c r="J2437">
        <v>102683</v>
      </c>
      <c r="K2437" t="s">
        <v>4987</v>
      </c>
      <c r="L2437" t="s">
        <v>134</v>
      </c>
      <c r="M2437" t="s">
        <v>46</v>
      </c>
      <c r="N2437">
        <v>45362</v>
      </c>
      <c r="O2437">
        <v>1894</v>
      </c>
      <c r="P2437" t="s">
        <v>20</v>
      </c>
      <c r="Q2437">
        <v>2</v>
      </c>
      <c r="R2437" t="s">
        <v>47</v>
      </c>
      <c r="S2437" t="s">
        <v>21</v>
      </c>
      <c r="T2437" t="s">
        <v>29</v>
      </c>
    </row>
    <row r="2438" spans="1:20" x14ac:dyDescent="0.3">
      <c r="A2438" t="s">
        <v>4988</v>
      </c>
      <c r="B2438" t="s">
        <v>222</v>
      </c>
      <c r="C2438" t="s">
        <v>67</v>
      </c>
      <c r="D2438" t="s">
        <v>5156</v>
      </c>
      <c r="E2438" t="s">
        <v>5124</v>
      </c>
      <c r="F2438" t="s">
        <v>5125</v>
      </c>
      <c r="G2438" t="s">
        <v>50</v>
      </c>
      <c r="H2438" t="s">
        <v>5138</v>
      </c>
      <c r="I2438" t="s">
        <v>5139</v>
      </c>
      <c r="J2438">
        <v>195266</v>
      </c>
      <c r="K2438" t="s">
        <v>4989</v>
      </c>
      <c r="L2438" t="s">
        <v>61</v>
      </c>
      <c r="M2438" t="s">
        <v>19</v>
      </c>
      <c r="N2438">
        <v>45738</v>
      </c>
      <c r="O2438">
        <v>2153</v>
      </c>
      <c r="P2438" t="s">
        <v>92</v>
      </c>
      <c r="Q2438">
        <v>6</v>
      </c>
      <c r="R2438" t="s">
        <v>76</v>
      </c>
      <c r="S2438" t="s">
        <v>21</v>
      </c>
      <c r="T2438" t="s">
        <v>20</v>
      </c>
    </row>
    <row r="2439" spans="1:20" x14ac:dyDescent="0.3">
      <c r="A2439" t="s">
        <v>4990</v>
      </c>
      <c r="B2439" t="s">
        <v>144</v>
      </c>
      <c r="C2439" t="s">
        <v>197</v>
      </c>
      <c r="D2439" t="s">
        <v>104</v>
      </c>
      <c r="E2439" t="s">
        <v>126</v>
      </c>
      <c r="F2439" t="s">
        <v>127</v>
      </c>
      <c r="G2439" t="s">
        <v>36</v>
      </c>
      <c r="H2439" t="s">
        <v>5142</v>
      </c>
      <c r="I2439" t="s">
        <v>5143</v>
      </c>
      <c r="J2439">
        <v>172303</v>
      </c>
      <c r="K2439" t="s">
        <v>4991</v>
      </c>
      <c r="L2439" t="s">
        <v>142</v>
      </c>
      <c r="M2439" t="s">
        <v>46</v>
      </c>
      <c r="N2439">
        <v>45527</v>
      </c>
      <c r="O2439">
        <v>3442</v>
      </c>
      <c r="P2439" t="s">
        <v>20</v>
      </c>
      <c r="Q2439">
        <v>4</v>
      </c>
      <c r="R2439" t="s">
        <v>47</v>
      </c>
      <c r="S2439" t="s">
        <v>41</v>
      </c>
      <c r="T2439" t="s">
        <v>29</v>
      </c>
    </row>
    <row r="2440" spans="1:20" x14ac:dyDescent="0.3">
      <c r="A2440" t="s">
        <v>4992</v>
      </c>
      <c r="B2440" t="s">
        <v>165</v>
      </c>
      <c r="C2440" t="s">
        <v>160</v>
      </c>
      <c r="D2440" t="s">
        <v>140</v>
      </c>
      <c r="E2440" t="s">
        <v>223</v>
      </c>
      <c r="F2440" t="s">
        <v>224</v>
      </c>
      <c r="G2440" t="s">
        <v>36</v>
      </c>
      <c r="H2440" t="s">
        <v>5138</v>
      </c>
      <c r="I2440" t="s">
        <v>5139</v>
      </c>
      <c r="J2440">
        <v>184276</v>
      </c>
      <c r="K2440" t="s">
        <v>4993</v>
      </c>
      <c r="L2440" t="s">
        <v>134</v>
      </c>
      <c r="M2440" t="s">
        <v>46</v>
      </c>
      <c r="N2440">
        <v>45706</v>
      </c>
      <c r="O2440">
        <v>3019</v>
      </c>
      <c r="P2440" t="s">
        <v>20</v>
      </c>
      <c r="Q2440">
        <v>6</v>
      </c>
      <c r="R2440" t="s">
        <v>76</v>
      </c>
      <c r="S2440" t="s">
        <v>21</v>
      </c>
      <c r="T2440" t="s">
        <v>29</v>
      </c>
    </row>
    <row r="2441" spans="1:20" x14ac:dyDescent="0.3">
      <c r="A2441" t="s">
        <v>4994</v>
      </c>
      <c r="B2441" t="s">
        <v>84</v>
      </c>
      <c r="C2441" t="s">
        <v>56</v>
      </c>
      <c r="D2441" t="s">
        <v>140</v>
      </c>
      <c r="E2441" t="s">
        <v>126</v>
      </c>
      <c r="F2441" t="s">
        <v>127</v>
      </c>
      <c r="G2441" t="s">
        <v>16</v>
      </c>
      <c r="H2441" t="s">
        <v>5140</v>
      </c>
      <c r="I2441" t="s">
        <v>5141</v>
      </c>
      <c r="J2441">
        <v>78189</v>
      </c>
      <c r="K2441" t="s">
        <v>4995</v>
      </c>
      <c r="L2441" t="s">
        <v>18</v>
      </c>
      <c r="M2441" t="s">
        <v>46</v>
      </c>
      <c r="N2441">
        <v>45697</v>
      </c>
      <c r="O2441">
        <v>1658</v>
      </c>
      <c r="P2441" t="s">
        <v>20</v>
      </c>
      <c r="Q2441">
        <v>2</v>
      </c>
      <c r="R2441" t="s">
        <v>40</v>
      </c>
      <c r="S2441" t="s">
        <v>21</v>
      </c>
      <c r="T2441" t="s">
        <v>20</v>
      </c>
    </row>
    <row r="2442" spans="1:20" x14ac:dyDescent="0.3">
      <c r="A2442" t="s">
        <v>4996</v>
      </c>
      <c r="B2442" t="s">
        <v>229</v>
      </c>
      <c r="C2442" t="s">
        <v>202</v>
      </c>
      <c r="D2442" t="s">
        <v>44</v>
      </c>
      <c r="E2442" t="s">
        <v>5126</v>
      </c>
      <c r="F2442" t="s">
        <v>5125</v>
      </c>
      <c r="G2442" t="s">
        <v>16</v>
      </c>
      <c r="H2442" t="s">
        <v>5140</v>
      </c>
      <c r="I2442" t="s">
        <v>5141</v>
      </c>
      <c r="J2442">
        <v>144641</v>
      </c>
      <c r="K2442" t="s">
        <v>4997</v>
      </c>
      <c r="L2442" t="s">
        <v>142</v>
      </c>
      <c r="M2442" t="s">
        <v>46</v>
      </c>
      <c r="N2442">
        <v>45703</v>
      </c>
      <c r="O2442">
        <v>707</v>
      </c>
      <c r="P2442" t="s">
        <v>29</v>
      </c>
      <c r="Q2442">
        <v>2</v>
      </c>
      <c r="R2442" t="s">
        <v>76</v>
      </c>
      <c r="S2442" t="s">
        <v>21</v>
      </c>
      <c r="T2442" t="s">
        <v>20</v>
      </c>
    </row>
    <row r="2443" spans="1:20" x14ac:dyDescent="0.3">
      <c r="A2443" t="s">
        <v>4998</v>
      </c>
      <c r="B2443" t="s">
        <v>215</v>
      </c>
      <c r="C2443" t="s">
        <v>24</v>
      </c>
      <c r="D2443" t="s">
        <v>5156</v>
      </c>
      <c r="E2443" t="s">
        <v>14</v>
      </c>
      <c r="F2443" t="s">
        <v>15</v>
      </c>
      <c r="G2443" t="s">
        <v>50</v>
      </c>
      <c r="H2443" t="s">
        <v>5140</v>
      </c>
      <c r="I2443" t="s">
        <v>5141</v>
      </c>
      <c r="J2443">
        <v>137352</v>
      </c>
      <c r="K2443" t="s">
        <v>4999</v>
      </c>
      <c r="L2443" t="s">
        <v>134</v>
      </c>
      <c r="M2443" t="s">
        <v>19</v>
      </c>
      <c r="N2443">
        <v>45375</v>
      </c>
      <c r="O2443">
        <v>1645</v>
      </c>
      <c r="P2443" t="s">
        <v>20</v>
      </c>
      <c r="Q2443">
        <v>2</v>
      </c>
      <c r="R2443" t="s">
        <v>76</v>
      </c>
      <c r="S2443" t="s">
        <v>21</v>
      </c>
      <c r="T2443" t="s">
        <v>29</v>
      </c>
    </row>
    <row r="2444" spans="1:20" x14ac:dyDescent="0.3">
      <c r="A2444" t="s">
        <v>5000</v>
      </c>
      <c r="B2444" t="s">
        <v>63</v>
      </c>
      <c r="C2444" t="s">
        <v>94</v>
      </c>
      <c r="D2444" t="s">
        <v>167</v>
      </c>
      <c r="E2444" t="s">
        <v>80</v>
      </c>
      <c r="F2444" t="s">
        <v>80</v>
      </c>
      <c r="G2444" t="s">
        <v>16</v>
      </c>
      <c r="H2444" t="s">
        <v>5140</v>
      </c>
      <c r="I2444" t="s">
        <v>5141</v>
      </c>
      <c r="J2444">
        <v>84413</v>
      </c>
      <c r="K2444" t="s">
        <v>5001</v>
      </c>
      <c r="L2444" t="s">
        <v>5165</v>
      </c>
      <c r="M2444" t="s">
        <v>46</v>
      </c>
      <c r="N2444">
        <v>45694</v>
      </c>
      <c r="O2444">
        <v>2115</v>
      </c>
      <c r="P2444" t="s">
        <v>20</v>
      </c>
      <c r="Q2444">
        <v>2</v>
      </c>
      <c r="R2444" t="s">
        <v>47</v>
      </c>
      <c r="S2444" t="s">
        <v>21</v>
      </c>
      <c r="T2444" t="s">
        <v>20</v>
      </c>
    </row>
    <row r="2445" spans="1:20" x14ac:dyDescent="0.3">
      <c r="A2445" t="s">
        <v>5002</v>
      </c>
      <c r="B2445" t="s">
        <v>63</v>
      </c>
      <c r="C2445" t="s">
        <v>13</v>
      </c>
      <c r="D2445" t="s">
        <v>104</v>
      </c>
      <c r="E2445" t="s">
        <v>152</v>
      </c>
      <c r="F2445" t="s">
        <v>153</v>
      </c>
      <c r="G2445" t="s">
        <v>16</v>
      </c>
      <c r="H2445" t="s">
        <v>5140</v>
      </c>
      <c r="I2445" t="s">
        <v>5141</v>
      </c>
      <c r="J2445">
        <v>123656</v>
      </c>
      <c r="K2445" t="s">
        <v>5003</v>
      </c>
      <c r="L2445" t="s">
        <v>5165</v>
      </c>
      <c r="M2445" t="s">
        <v>46</v>
      </c>
      <c r="N2445">
        <v>45664</v>
      </c>
      <c r="O2445">
        <v>91</v>
      </c>
      <c r="P2445" t="s">
        <v>29</v>
      </c>
      <c r="Q2445">
        <v>2</v>
      </c>
      <c r="R2445" t="s">
        <v>40</v>
      </c>
      <c r="S2445" t="s">
        <v>21</v>
      </c>
      <c r="T2445" t="s">
        <v>29</v>
      </c>
    </row>
    <row r="2446" spans="1:20" x14ac:dyDescent="0.3">
      <c r="A2446" t="s">
        <v>5004</v>
      </c>
      <c r="B2446" t="s">
        <v>130</v>
      </c>
      <c r="C2446" t="s">
        <v>125</v>
      </c>
      <c r="D2446" t="s">
        <v>140</v>
      </c>
      <c r="E2446" t="s">
        <v>5128</v>
      </c>
      <c r="F2446" t="s">
        <v>5125</v>
      </c>
      <c r="G2446" t="s">
        <v>16</v>
      </c>
      <c r="H2446" t="s">
        <v>5138</v>
      </c>
      <c r="I2446" t="s">
        <v>5139</v>
      </c>
      <c r="J2446">
        <v>181892</v>
      </c>
      <c r="K2446" t="s">
        <v>5005</v>
      </c>
      <c r="L2446" t="s">
        <v>5165</v>
      </c>
      <c r="M2446" t="s">
        <v>19</v>
      </c>
      <c r="N2446">
        <v>45715</v>
      </c>
      <c r="O2446">
        <v>885</v>
      </c>
      <c r="P2446" t="s">
        <v>29</v>
      </c>
      <c r="Q2446">
        <v>6</v>
      </c>
      <c r="R2446" t="s">
        <v>40</v>
      </c>
      <c r="S2446" t="s">
        <v>21</v>
      </c>
      <c r="T2446" t="s">
        <v>20</v>
      </c>
    </row>
    <row r="2447" spans="1:20" x14ac:dyDescent="0.3">
      <c r="A2447" t="s">
        <v>5006</v>
      </c>
      <c r="B2447" t="s">
        <v>89</v>
      </c>
      <c r="C2447" t="s">
        <v>172</v>
      </c>
      <c r="D2447" t="s">
        <v>140</v>
      </c>
      <c r="E2447" t="s">
        <v>95</v>
      </c>
      <c r="F2447" t="s">
        <v>96</v>
      </c>
      <c r="G2447" t="s">
        <v>36</v>
      </c>
      <c r="H2447" t="s">
        <v>5140</v>
      </c>
      <c r="I2447" t="s">
        <v>5141</v>
      </c>
      <c r="J2447">
        <v>115217</v>
      </c>
      <c r="K2447" t="s">
        <v>5007</v>
      </c>
      <c r="L2447" t="s">
        <v>38</v>
      </c>
      <c r="M2447" t="s">
        <v>39</v>
      </c>
      <c r="N2447">
        <v>45480</v>
      </c>
      <c r="O2447">
        <v>3361</v>
      </c>
      <c r="P2447" t="s">
        <v>20</v>
      </c>
      <c r="Q2447">
        <v>2</v>
      </c>
      <c r="R2447" t="s">
        <v>5116</v>
      </c>
      <c r="S2447" t="s">
        <v>21</v>
      </c>
      <c r="T2447" t="s">
        <v>20</v>
      </c>
    </row>
    <row r="2448" spans="1:20" x14ac:dyDescent="0.3">
      <c r="A2448" t="s">
        <v>5008</v>
      </c>
      <c r="B2448" t="s">
        <v>31</v>
      </c>
      <c r="C2448" t="s">
        <v>188</v>
      </c>
      <c r="D2448" t="s">
        <v>118</v>
      </c>
      <c r="E2448" t="s">
        <v>34</v>
      </c>
      <c r="F2448" t="s">
        <v>35</v>
      </c>
      <c r="G2448" t="s">
        <v>36</v>
      </c>
      <c r="H2448" t="s">
        <v>5138</v>
      </c>
      <c r="I2448" t="s">
        <v>5139</v>
      </c>
      <c r="J2448">
        <v>210592</v>
      </c>
      <c r="K2448" t="s">
        <v>5009</v>
      </c>
      <c r="L2448" t="s">
        <v>87</v>
      </c>
      <c r="M2448" t="s">
        <v>39</v>
      </c>
      <c r="N2448">
        <v>45515</v>
      </c>
      <c r="O2448">
        <v>3688</v>
      </c>
      <c r="P2448" t="s">
        <v>20</v>
      </c>
      <c r="Q2448">
        <v>6</v>
      </c>
      <c r="R2448" t="s">
        <v>40</v>
      </c>
      <c r="S2448" t="s">
        <v>21</v>
      </c>
      <c r="T2448" t="s">
        <v>20</v>
      </c>
    </row>
    <row r="2449" spans="1:20" x14ac:dyDescent="0.3">
      <c r="A2449" t="s">
        <v>5010</v>
      </c>
      <c r="B2449" t="s">
        <v>99</v>
      </c>
      <c r="C2449" t="s">
        <v>175</v>
      </c>
      <c r="D2449" t="s">
        <v>68</v>
      </c>
      <c r="E2449" t="s">
        <v>14</v>
      </c>
      <c r="F2449" t="s">
        <v>15</v>
      </c>
      <c r="G2449" t="s">
        <v>50</v>
      </c>
      <c r="H2449" t="s">
        <v>5142</v>
      </c>
      <c r="I2449" t="s">
        <v>5143</v>
      </c>
      <c r="J2449">
        <v>143670</v>
      </c>
      <c r="K2449" t="s">
        <v>5011</v>
      </c>
      <c r="L2449" t="s">
        <v>82</v>
      </c>
      <c r="M2449" t="s">
        <v>19</v>
      </c>
      <c r="N2449">
        <v>45467</v>
      </c>
      <c r="O2449">
        <v>3213</v>
      </c>
      <c r="P2449" t="s">
        <v>92</v>
      </c>
      <c r="Q2449">
        <v>4</v>
      </c>
      <c r="R2449" t="s">
        <v>76</v>
      </c>
      <c r="S2449" t="s">
        <v>21</v>
      </c>
      <c r="T2449" t="s">
        <v>20</v>
      </c>
    </row>
    <row r="2450" spans="1:20" x14ac:dyDescent="0.3">
      <c r="A2450" t="s">
        <v>5012</v>
      </c>
      <c r="B2450" t="s">
        <v>229</v>
      </c>
      <c r="C2450" t="s">
        <v>121</v>
      </c>
      <c r="D2450" t="s">
        <v>167</v>
      </c>
      <c r="E2450" t="s">
        <v>26</v>
      </c>
      <c r="F2450" t="s">
        <v>27</v>
      </c>
      <c r="G2450" t="s">
        <v>36</v>
      </c>
      <c r="H2450" t="s">
        <v>5136</v>
      </c>
      <c r="I2450" t="s">
        <v>5137</v>
      </c>
      <c r="J2450">
        <v>60124</v>
      </c>
      <c r="K2450" t="s">
        <v>5013</v>
      </c>
      <c r="L2450" t="s">
        <v>87</v>
      </c>
      <c r="M2450" t="s">
        <v>19</v>
      </c>
      <c r="N2450">
        <v>45423</v>
      </c>
      <c r="O2450">
        <v>3633</v>
      </c>
      <c r="P2450" t="s">
        <v>92</v>
      </c>
      <c r="Q2450">
        <v>0</v>
      </c>
      <c r="R2450" t="s">
        <v>40</v>
      </c>
      <c r="S2450" t="s">
        <v>21</v>
      </c>
      <c r="T2450" t="s">
        <v>29</v>
      </c>
    </row>
    <row r="2451" spans="1:20" x14ac:dyDescent="0.3">
      <c r="A2451" t="s">
        <v>5014</v>
      </c>
      <c r="B2451" t="s">
        <v>229</v>
      </c>
      <c r="C2451" t="s">
        <v>90</v>
      </c>
      <c r="D2451" t="s">
        <v>140</v>
      </c>
      <c r="E2451" t="s">
        <v>5131</v>
      </c>
      <c r="F2451" t="s">
        <v>5125</v>
      </c>
      <c r="G2451" t="s">
        <v>36</v>
      </c>
      <c r="H2451" t="s">
        <v>5142</v>
      </c>
      <c r="I2451" t="s">
        <v>5143</v>
      </c>
      <c r="J2451">
        <v>131355</v>
      </c>
      <c r="K2451" t="s">
        <v>5015</v>
      </c>
      <c r="L2451" t="s">
        <v>5165</v>
      </c>
      <c r="M2451" t="s">
        <v>19</v>
      </c>
      <c r="N2451">
        <v>45331</v>
      </c>
      <c r="O2451">
        <v>3169</v>
      </c>
      <c r="P2451" t="s">
        <v>20</v>
      </c>
      <c r="Q2451">
        <v>4</v>
      </c>
      <c r="R2451" t="s">
        <v>47</v>
      </c>
      <c r="S2451" t="s">
        <v>21</v>
      </c>
      <c r="T2451" t="s">
        <v>29</v>
      </c>
    </row>
    <row r="2452" spans="1:20" x14ac:dyDescent="0.3">
      <c r="A2452" t="s">
        <v>5016</v>
      </c>
      <c r="B2452" t="s">
        <v>84</v>
      </c>
      <c r="C2452" t="s">
        <v>166</v>
      </c>
      <c r="D2452" t="s">
        <v>118</v>
      </c>
      <c r="E2452" t="s">
        <v>26</v>
      </c>
      <c r="F2452" t="s">
        <v>27</v>
      </c>
      <c r="G2452" t="s">
        <v>16</v>
      </c>
      <c r="H2452" t="s">
        <v>5136</v>
      </c>
      <c r="I2452" t="s">
        <v>5137</v>
      </c>
      <c r="J2452">
        <v>58455</v>
      </c>
      <c r="K2452" t="s">
        <v>5017</v>
      </c>
      <c r="L2452" t="s">
        <v>5165</v>
      </c>
      <c r="M2452" t="s">
        <v>46</v>
      </c>
      <c r="N2452">
        <v>45565</v>
      </c>
      <c r="O2452">
        <v>1051</v>
      </c>
      <c r="P2452" t="s">
        <v>20</v>
      </c>
      <c r="Q2452">
        <v>0</v>
      </c>
      <c r="R2452" t="s">
        <v>5116</v>
      </c>
      <c r="S2452" t="s">
        <v>21</v>
      </c>
      <c r="T2452" t="s">
        <v>29</v>
      </c>
    </row>
    <row r="2453" spans="1:20" x14ac:dyDescent="0.3">
      <c r="A2453" t="s">
        <v>5018</v>
      </c>
      <c r="B2453" t="s">
        <v>99</v>
      </c>
      <c r="C2453" t="s">
        <v>121</v>
      </c>
      <c r="D2453" t="s">
        <v>5156</v>
      </c>
      <c r="E2453" t="s">
        <v>193</v>
      </c>
      <c r="F2453" t="s">
        <v>194</v>
      </c>
      <c r="G2453" t="s">
        <v>16</v>
      </c>
      <c r="H2453" t="s">
        <v>5136</v>
      </c>
      <c r="I2453" t="s">
        <v>5137</v>
      </c>
      <c r="J2453">
        <v>59519</v>
      </c>
      <c r="K2453" t="s">
        <v>5019</v>
      </c>
      <c r="L2453" t="s">
        <v>179</v>
      </c>
      <c r="M2453" t="s">
        <v>19</v>
      </c>
      <c r="N2453">
        <v>45316</v>
      </c>
      <c r="O2453">
        <v>2606</v>
      </c>
      <c r="P2453" t="s">
        <v>20</v>
      </c>
      <c r="Q2453">
        <v>0</v>
      </c>
      <c r="R2453" t="s">
        <v>47</v>
      </c>
      <c r="S2453" t="s">
        <v>41</v>
      </c>
      <c r="T2453" t="s">
        <v>20</v>
      </c>
    </row>
    <row r="2454" spans="1:20" x14ac:dyDescent="0.3">
      <c r="A2454" t="s">
        <v>5020</v>
      </c>
      <c r="B2454" t="s">
        <v>215</v>
      </c>
      <c r="C2454" t="s">
        <v>79</v>
      </c>
      <c r="D2454" t="s">
        <v>68</v>
      </c>
      <c r="E2454" t="s">
        <v>58</v>
      </c>
      <c r="F2454" t="s">
        <v>59</v>
      </c>
      <c r="G2454" t="s">
        <v>16</v>
      </c>
      <c r="H2454" t="s">
        <v>5138</v>
      </c>
      <c r="I2454" t="s">
        <v>5139</v>
      </c>
      <c r="J2454">
        <v>197581</v>
      </c>
      <c r="K2454" t="s">
        <v>5021</v>
      </c>
      <c r="L2454" t="s">
        <v>5165</v>
      </c>
      <c r="M2454" t="s">
        <v>46</v>
      </c>
      <c r="N2454">
        <v>45461</v>
      </c>
      <c r="O2454">
        <v>1531</v>
      </c>
      <c r="P2454" t="s">
        <v>20</v>
      </c>
      <c r="Q2454">
        <v>6</v>
      </c>
      <c r="R2454" t="s">
        <v>40</v>
      </c>
      <c r="S2454" t="s">
        <v>53</v>
      </c>
      <c r="T2454" t="s">
        <v>29</v>
      </c>
    </row>
    <row r="2455" spans="1:20" x14ac:dyDescent="0.3">
      <c r="A2455" t="s">
        <v>5022</v>
      </c>
      <c r="B2455" t="s">
        <v>84</v>
      </c>
      <c r="C2455" t="s">
        <v>56</v>
      </c>
      <c r="D2455" t="s">
        <v>68</v>
      </c>
      <c r="E2455" t="s">
        <v>209</v>
      </c>
      <c r="F2455" t="s">
        <v>210</v>
      </c>
      <c r="G2455" t="s">
        <v>16</v>
      </c>
      <c r="H2455" t="s">
        <v>5140</v>
      </c>
      <c r="I2455" t="s">
        <v>5141</v>
      </c>
      <c r="J2455">
        <v>95827</v>
      </c>
      <c r="K2455" t="s">
        <v>5023</v>
      </c>
      <c r="L2455" t="s">
        <v>87</v>
      </c>
      <c r="M2455" t="s">
        <v>46</v>
      </c>
      <c r="N2455">
        <v>45589</v>
      </c>
      <c r="O2455">
        <v>2250</v>
      </c>
      <c r="P2455" t="s">
        <v>20</v>
      </c>
      <c r="Q2455">
        <v>2</v>
      </c>
      <c r="R2455" t="s">
        <v>47</v>
      </c>
      <c r="S2455" t="s">
        <v>53</v>
      </c>
      <c r="T2455" t="s">
        <v>20</v>
      </c>
    </row>
    <row r="2456" spans="1:20" x14ac:dyDescent="0.3">
      <c r="A2456" t="s">
        <v>5024</v>
      </c>
      <c r="B2456" t="s">
        <v>144</v>
      </c>
      <c r="C2456" t="s">
        <v>67</v>
      </c>
      <c r="D2456" t="s">
        <v>104</v>
      </c>
      <c r="E2456" t="s">
        <v>152</v>
      </c>
      <c r="F2456" t="s">
        <v>153</v>
      </c>
      <c r="G2456" t="s">
        <v>16</v>
      </c>
      <c r="H2456" t="s">
        <v>5142</v>
      </c>
      <c r="I2456" t="s">
        <v>5143</v>
      </c>
      <c r="J2456">
        <v>168415</v>
      </c>
      <c r="K2456" t="s">
        <v>5025</v>
      </c>
      <c r="L2456" t="s">
        <v>5165</v>
      </c>
      <c r="M2456" t="s">
        <v>46</v>
      </c>
      <c r="N2456">
        <v>45736</v>
      </c>
      <c r="O2456">
        <v>2595</v>
      </c>
      <c r="P2456" t="s">
        <v>20</v>
      </c>
      <c r="Q2456">
        <v>4</v>
      </c>
      <c r="R2456" t="s">
        <v>76</v>
      </c>
      <c r="S2456" t="s">
        <v>21</v>
      </c>
      <c r="T2456" t="s">
        <v>20</v>
      </c>
    </row>
    <row r="2457" spans="1:20" x14ac:dyDescent="0.3">
      <c r="A2457" t="s">
        <v>5026</v>
      </c>
      <c r="B2457" t="s">
        <v>144</v>
      </c>
      <c r="C2457" t="s">
        <v>79</v>
      </c>
      <c r="D2457" t="s">
        <v>33</v>
      </c>
      <c r="E2457" t="s">
        <v>223</v>
      </c>
      <c r="F2457" t="s">
        <v>224</v>
      </c>
      <c r="G2457" t="s">
        <v>16</v>
      </c>
      <c r="H2457" t="s">
        <v>5138</v>
      </c>
      <c r="I2457" t="s">
        <v>5139</v>
      </c>
      <c r="J2457">
        <v>253540</v>
      </c>
      <c r="K2457" t="s">
        <v>5027</v>
      </c>
      <c r="L2457" t="s">
        <v>179</v>
      </c>
      <c r="M2457" t="s">
        <v>72</v>
      </c>
      <c r="N2457">
        <v>45506</v>
      </c>
      <c r="O2457">
        <v>417</v>
      </c>
      <c r="P2457" t="s">
        <v>92</v>
      </c>
      <c r="Q2457">
        <v>6</v>
      </c>
      <c r="R2457" t="s">
        <v>76</v>
      </c>
      <c r="S2457" t="s">
        <v>21</v>
      </c>
      <c r="T2457" t="s">
        <v>20</v>
      </c>
    </row>
    <row r="2458" spans="1:20" x14ac:dyDescent="0.3">
      <c r="A2458" t="s">
        <v>5028</v>
      </c>
      <c r="B2458" t="s">
        <v>229</v>
      </c>
      <c r="C2458" t="s">
        <v>232</v>
      </c>
      <c r="D2458" t="s">
        <v>118</v>
      </c>
      <c r="E2458" t="s">
        <v>193</v>
      </c>
      <c r="F2458" t="s">
        <v>194</v>
      </c>
      <c r="G2458" t="s">
        <v>36</v>
      </c>
      <c r="H2458" t="s">
        <v>5136</v>
      </c>
      <c r="I2458" t="s">
        <v>5137</v>
      </c>
      <c r="J2458">
        <v>62691</v>
      </c>
      <c r="K2458" t="s">
        <v>5029</v>
      </c>
      <c r="L2458" t="s">
        <v>5165</v>
      </c>
      <c r="M2458" t="s">
        <v>19</v>
      </c>
      <c r="N2458">
        <v>45308</v>
      </c>
      <c r="O2458">
        <v>3258</v>
      </c>
      <c r="P2458" t="s">
        <v>92</v>
      </c>
      <c r="Q2458">
        <v>0</v>
      </c>
      <c r="R2458" t="s">
        <v>5116</v>
      </c>
      <c r="S2458" t="s">
        <v>53</v>
      </c>
      <c r="T2458" t="s">
        <v>20</v>
      </c>
    </row>
    <row r="2459" spans="1:20" x14ac:dyDescent="0.3">
      <c r="A2459" t="s">
        <v>5030</v>
      </c>
      <c r="B2459" t="s">
        <v>99</v>
      </c>
      <c r="C2459" t="s">
        <v>109</v>
      </c>
      <c r="D2459" t="s">
        <v>25</v>
      </c>
      <c r="E2459" t="s">
        <v>5126</v>
      </c>
      <c r="F2459" t="s">
        <v>5125</v>
      </c>
      <c r="G2459" t="s">
        <v>50</v>
      </c>
      <c r="H2459" t="s">
        <v>5136</v>
      </c>
      <c r="I2459" t="s">
        <v>5137</v>
      </c>
      <c r="J2459">
        <v>73016</v>
      </c>
      <c r="K2459" t="s">
        <v>5031</v>
      </c>
      <c r="L2459" t="s">
        <v>113</v>
      </c>
      <c r="M2459" t="s">
        <v>19</v>
      </c>
      <c r="N2459">
        <v>45564</v>
      </c>
      <c r="O2459">
        <v>974</v>
      </c>
      <c r="P2459" t="s">
        <v>20</v>
      </c>
      <c r="Q2459">
        <v>0</v>
      </c>
      <c r="R2459" t="s">
        <v>76</v>
      </c>
      <c r="S2459" t="s">
        <v>21</v>
      </c>
      <c r="T2459" t="s">
        <v>20</v>
      </c>
    </row>
    <row r="2460" spans="1:20" x14ac:dyDescent="0.3">
      <c r="A2460" t="s">
        <v>5032</v>
      </c>
      <c r="B2460" t="s">
        <v>78</v>
      </c>
      <c r="C2460" t="s">
        <v>100</v>
      </c>
      <c r="D2460" t="s">
        <v>140</v>
      </c>
      <c r="E2460" t="s">
        <v>5129</v>
      </c>
      <c r="F2460" t="s">
        <v>5130</v>
      </c>
      <c r="G2460" t="s">
        <v>16</v>
      </c>
      <c r="H2460" t="s">
        <v>5136</v>
      </c>
      <c r="I2460" t="s">
        <v>5137</v>
      </c>
      <c r="J2460">
        <v>76296</v>
      </c>
      <c r="K2460" t="s">
        <v>5033</v>
      </c>
      <c r="L2460" t="s">
        <v>142</v>
      </c>
      <c r="M2460" t="s">
        <v>46</v>
      </c>
      <c r="N2460">
        <v>45321</v>
      </c>
      <c r="O2460">
        <v>3810</v>
      </c>
      <c r="P2460" t="s">
        <v>29</v>
      </c>
      <c r="Q2460">
        <v>0</v>
      </c>
      <c r="R2460" t="s">
        <v>52</v>
      </c>
      <c r="S2460" t="s">
        <v>21</v>
      </c>
      <c r="T2460" t="s">
        <v>20</v>
      </c>
    </row>
    <row r="2461" spans="1:20" x14ac:dyDescent="0.3">
      <c r="A2461" t="s">
        <v>5034</v>
      </c>
      <c r="B2461" t="s">
        <v>130</v>
      </c>
      <c r="C2461" t="s">
        <v>139</v>
      </c>
      <c r="D2461" t="s">
        <v>167</v>
      </c>
      <c r="E2461" t="s">
        <v>5131</v>
      </c>
      <c r="F2461" t="s">
        <v>5125</v>
      </c>
      <c r="G2461" t="s">
        <v>16</v>
      </c>
      <c r="H2461" t="s">
        <v>5138</v>
      </c>
      <c r="I2461" t="s">
        <v>5139</v>
      </c>
      <c r="J2461">
        <v>216992</v>
      </c>
      <c r="K2461" t="s">
        <v>5035</v>
      </c>
      <c r="L2461" t="s">
        <v>61</v>
      </c>
      <c r="M2461" t="s">
        <v>46</v>
      </c>
      <c r="N2461">
        <v>45325</v>
      </c>
      <c r="O2461">
        <v>2881</v>
      </c>
      <c r="P2461" t="s">
        <v>20</v>
      </c>
      <c r="Q2461">
        <v>6</v>
      </c>
      <c r="R2461" t="s">
        <v>76</v>
      </c>
      <c r="S2461" t="s">
        <v>21</v>
      </c>
      <c r="T2461" t="s">
        <v>20</v>
      </c>
    </row>
    <row r="2462" spans="1:20" x14ac:dyDescent="0.3">
      <c r="A2462" t="s">
        <v>5036</v>
      </c>
      <c r="B2462" t="s">
        <v>99</v>
      </c>
      <c r="C2462" t="s">
        <v>24</v>
      </c>
      <c r="D2462" t="s">
        <v>118</v>
      </c>
      <c r="E2462" t="s">
        <v>5132</v>
      </c>
      <c r="F2462" t="s">
        <v>5125</v>
      </c>
      <c r="G2462" t="s">
        <v>16</v>
      </c>
      <c r="H2462" t="s">
        <v>5136</v>
      </c>
      <c r="I2462" t="s">
        <v>5137</v>
      </c>
      <c r="J2462">
        <v>70957</v>
      </c>
      <c r="K2462" t="s">
        <v>5037</v>
      </c>
      <c r="L2462" t="s">
        <v>142</v>
      </c>
      <c r="M2462" t="s">
        <v>72</v>
      </c>
      <c r="N2462">
        <v>45489</v>
      </c>
      <c r="O2462">
        <v>253</v>
      </c>
      <c r="P2462" t="s">
        <v>20</v>
      </c>
      <c r="Q2462">
        <v>0</v>
      </c>
      <c r="R2462" t="s">
        <v>52</v>
      </c>
      <c r="S2462" t="s">
        <v>21</v>
      </c>
      <c r="T2462" t="s">
        <v>20</v>
      </c>
    </row>
    <row r="2463" spans="1:20" x14ac:dyDescent="0.3">
      <c r="A2463" t="s">
        <v>5038</v>
      </c>
      <c r="B2463" t="s">
        <v>130</v>
      </c>
      <c r="C2463" t="s">
        <v>185</v>
      </c>
      <c r="D2463" t="s">
        <v>118</v>
      </c>
      <c r="E2463" t="s">
        <v>14</v>
      </c>
      <c r="F2463" t="s">
        <v>15</v>
      </c>
      <c r="G2463" t="s">
        <v>16</v>
      </c>
      <c r="H2463" t="s">
        <v>5138</v>
      </c>
      <c r="I2463" t="s">
        <v>5139</v>
      </c>
      <c r="J2463">
        <v>226736</v>
      </c>
      <c r="K2463" t="s">
        <v>5039</v>
      </c>
      <c r="L2463" t="s">
        <v>134</v>
      </c>
      <c r="M2463" t="s">
        <v>19</v>
      </c>
      <c r="N2463">
        <v>45311</v>
      </c>
      <c r="O2463">
        <v>1574</v>
      </c>
      <c r="P2463" t="s">
        <v>20</v>
      </c>
      <c r="Q2463">
        <v>6</v>
      </c>
      <c r="R2463" t="s">
        <v>40</v>
      </c>
      <c r="S2463" t="s">
        <v>41</v>
      </c>
      <c r="T2463" t="s">
        <v>20</v>
      </c>
    </row>
    <row r="2464" spans="1:20" x14ac:dyDescent="0.3">
      <c r="A2464" t="s">
        <v>5040</v>
      </c>
      <c r="B2464" t="s">
        <v>222</v>
      </c>
      <c r="C2464" t="s">
        <v>160</v>
      </c>
      <c r="D2464" t="s">
        <v>44</v>
      </c>
      <c r="E2464" t="s">
        <v>5127</v>
      </c>
      <c r="F2464" t="s">
        <v>5125</v>
      </c>
      <c r="G2464" t="s">
        <v>36</v>
      </c>
      <c r="H2464" t="s">
        <v>5138</v>
      </c>
      <c r="I2464" t="s">
        <v>5139</v>
      </c>
      <c r="J2464">
        <v>217360</v>
      </c>
      <c r="K2464" t="s">
        <v>5041</v>
      </c>
      <c r="L2464" t="s">
        <v>18</v>
      </c>
      <c r="M2464" t="s">
        <v>19</v>
      </c>
      <c r="N2464">
        <v>45323</v>
      </c>
      <c r="O2464">
        <v>171</v>
      </c>
      <c r="P2464" t="s">
        <v>29</v>
      </c>
      <c r="Q2464">
        <v>6</v>
      </c>
      <c r="R2464" t="s">
        <v>47</v>
      </c>
      <c r="S2464" t="s">
        <v>53</v>
      </c>
      <c r="T2464" t="s">
        <v>29</v>
      </c>
    </row>
    <row r="2465" spans="1:20" x14ac:dyDescent="0.3">
      <c r="A2465" t="s">
        <v>5042</v>
      </c>
      <c r="B2465" t="s">
        <v>31</v>
      </c>
      <c r="C2465" t="s">
        <v>64</v>
      </c>
      <c r="D2465" t="s">
        <v>140</v>
      </c>
      <c r="E2465" t="s">
        <v>209</v>
      </c>
      <c r="F2465" t="s">
        <v>210</v>
      </c>
      <c r="G2465" t="s">
        <v>50</v>
      </c>
      <c r="H2465" t="s">
        <v>5138</v>
      </c>
      <c r="I2465" t="s">
        <v>5139</v>
      </c>
      <c r="J2465">
        <v>155444</v>
      </c>
      <c r="K2465" t="s">
        <v>5043</v>
      </c>
      <c r="L2465" t="s">
        <v>38</v>
      </c>
      <c r="M2465" t="s">
        <v>19</v>
      </c>
      <c r="N2465">
        <v>45717</v>
      </c>
      <c r="O2465">
        <v>3041</v>
      </c>
      <c r="P2465" t="s">
        <v>20</v>
      </c>
      <c r="Q2465">
        <v>6</v>
      </c>
      <c r="R2465" t="s">
        <v>40</v>
      </c>
      <c r="S2465" t="s">
        <v>21</v>
      </c>
      <c r="T2465" t="s">
        <v>29</v>
      </c>
    </row>
    <row r="2466" spans="1:20" x14ac:dyDescent="0.3">
      <c r="A2466" t="s">
        <v>5044</v>
      </c>
      <c r="B2466" t="s">
        <v>136</v>
      </c>
      <c r="C2466" t="s">
        <v>232</v>
      </c>
      <c r="D2466" t="s">
        <v>25</v>
      </c>
      <c r="E2466" t="s">
        <v>26</v>
      </c>
      <c r="F2466" t="s">
        <v>27</v>
      </c>
      <c r="G2466" t="s">
        <v>50</v>
      </c>
      <c r="H2466" t="s">
        <v>5136</v>
      </c>
      <c r="I2466" t="s">
        <v>5137</v>
      </c>
      <c r="J2466">
        <v>80951</v>
      </c>
      <c r="K2466" t="s">
        <v>5045</v>
      </c>
      <c r="L2466" t="s">
        <v>5165</v>
      </c>
      <c r="M2466" t="s">
        <v>39</v>
      </c>
      <c r="N2466">
        <v>45407</v>
      </c>
      <c r="O2466">
        <v>3423</v>
      </c>
      <c r="P2466" t="s">
        <v>92</v>
      </c>
      <c r="Q2466">
        <v>0</v>
      </c>
      <c r="R2466" t="s">
        <v>76</v>
      </c>
      <c r="S2466" t="s">
        <v>53</v>
      </c>
      <c r="T2466" t="s">
        <v>20</v>
      </c>
    </row>
    <row r="2467" spans="1:20" x14ac:dyDescent="0.3">
      <c r="A2467" t="s">
        <v>5046</v>
      </c>
      <c r="B2467" t="s">
        <v>136</v>
      </c>
      <c r="C2467" t="s">
        <v>109</v>
      </c>
      <c r="D2467" t="s">
        <v>33</v>
      </c>
      <c r="E2467" t="s">
        <v>152</v>
      </c>
      <c r="F2467" t="s">
        <v>153</v>
      </c>
      <c r="G2467" t="s">
        <v>36</v>
      </c>
      <c r="H2467" t="s">
        <v>5140</v>
      </c>
      <c r="I2467" t="s">
        <v>5141</v>
      </c>
      <c r="J2467">
        <v>127568</v>
      </c>
      <c r="K2467" t="s">
        <v>5047</v>
      </c>
      <c r="L2467" t="s">
        <v>38</v>
      </c>
      <c r="M2467" t="s">
        <v>19</v>
      </c>
      <c r="N2467">
        <v>45568</v>
      </c>
      <c r="O2467">
        <v>111</v>
      </c>
      <c r="P2467" t="s">
        <v>20</v>
      </c>
      <c r="Q2467">
        <v>2</v>
      </c>
      <c r="R2467" t="s">
        <v>76</v>
      </c>
      <c r="S2467" t="s">
        <v>21</v>
      </c>
      <c r="T2467" t="s">
        <v>20</v>
      </c>
    </row>
    <row r="2468" spans="1:20" x14ac:dyDescent="0.3">
      <c r="A2468" t="s">
        <v>5048</v>
      </c>
      <c r="B2468" t="s">
        <v>222</v>
      </c>
      <c r="C2468" t="s">
        <v>64</v>
      </c>
      <c r="D2468" t="s">
        <v>104</v>
      </c>
      <c r="E2468" t="s">
        <v>5132</v>
      </c>
      <c r="F2468" t="s">
        <v>5125</v>
      </c>
      <c r="G2468" t="s">
        <v>16</v>
      </c>
      <c r="H2468" t="s">
        <v>5136</v>
      </c>
      <c r="I2468" t="s">
        <v>5137</v>
      </c>
      <c r="J2468">
        <v>60382</v>
      </c>
      <c r="K2468" t="s">
        <v>5049</v>
      </c>
      <c r="L2468" t="s">
        <v>5165</v>
      </c>
      <c r="M2468" t="s">
        <v>46</v>
      </c>
      <c r="N2468">
        <v>45685</v>
      </c>
      <c r="O2468">
        <v>3245</v>
      </c>
      <c r="P2468" t="s">
        <v>20</v>
      </c>
      <c r="Q2468">
        <v>0</v>
      </c>
      <c r="R2468" t="s">
        <v>52</v>
      </c>
      <c r="S2468" t="s">
        <v>21</v>
      </c>
      <c r="T2468" t="s">
        <v>29</v>
      </c>
    </row>
    <row r="2469" spans="1:20" x14ac:dyDescent="0.3">
      <c r="A2469" t="s">
        <v>5050</v>
      </c>
      <c r="B2469" t="s">
        <v>63</v>
      </c>
      <c r="C2469" t="s">
        <v>103</v>
      </c>
      <c r="D2469" t="s">
        <v>57</v>
      </c>
      <c r="E2469" t="s">
        <v>152</v>
      </c>
      <c r="F2469" t="s">
        <v>153</v>
      </c>
      <c r="G2469" t="s">
        <v>50</v>
      </c>
      <c r="H2469" t="s">
        <v>5136</v>
      </c>
      <c r="I2469" t="s">
        <v>5137</v>
      </c>
      <c r="J2469">
        <v>70478</v>
      </c>
      <c r="K2469" t="s">
        <v>5051</v>
      </c>
      <c r="L2469" t="s">
        <v>61</v>
      </c>
      <c r="M2469" t="s">
        <v>39</v>
      </c>
      <c r="N2469">
        <v>45364</v>
      </c>
      <c r="O2469">
        <v>1600</v>
      </c>
      <c r="P2469" t="s">
        <v>92</v>
      </c>
      <c r="Q2469">
        <v>0</v>
      </c>
      <c r="R2469" t="s">
        <v>47</v>
      </c>
      <c r="S2469" t="s">
        <v>53</v>
      </c>
      <c r="T2469" t="s">
        <v>20</v>
      </c>
    </row>
    <row r="2470" spans="1:20" x14ac:dyDescent="0.3">
      <c r="A2470" t="s">
        <v>5052</v>
      </c>
      <c r="B2470" t="s">
        <v>222</v>
      </c>
      <c r="C2470" t="s">
        <v>79</v>
      </c>
      <c r="D2470" t="s">
        <v>44</v>
      </c>
      <c r="E2470" t="s">
        <v>126</v>
      </c>
      <c r="F2470" t="s">
        <v>127</v>
      </c>
      <c r="G2470" t="s">
        <v>50</v>
      </c>
      <c r="H2470" t="s">
        <v>5142</v>
      </c>
      <c r="I2470" t="s">
        <v>5143</v>
      </c>
      <c r="J2470">
        <v>168449</v>
      </c>
      <c r="K2470" t="s">
        <v>5053</v>
      </c>
      <c r="L2470" t="s">
        <v>134</v>
      </c>
      <c r="M2470" t="s">
        <v>19</v>
      </c>
      <c r="N2470">
        <v>45723</v>
      </c>
      <c r="O2470">
        <v>2066</v>
      </c>
      <c r="P2470" t="s">
        <v>29</v>
      </c>
      <c r="Q2470">
        <v>4</v>
      </c>
      <c r="R2470" t="s">
        <v>40</v>
      </c>
      <c r="S2470" t="s">
        <v>53</v>
      </c>
      <c r="T2470" t="s">
        <v>29</v>
      </c>
    </row>
    <row r="2471" spans="1:20" x14ac:dyDescent="0.3">
      <c r="A2471" t="s">
        <v>5054</v>
      </c>
      <c r="B2471" t="s">
        <v>130</v>
      </c>
      <c r="C2471" t="s">
        <v>56</v>
      </c>
      <c r="D2471" t="s">
        <v>44</v>
      </c>
      <c r="E2471" t="s">
        <v>34</v>
      </c>
      <c r="F2471" t="s">
        <v>35</v>
      </c>
      <c r="G2471" t="s">
        <v>50</v>
      </c>
      <c r="H2471" t="s">
        <v>5142</v>
      </c>
      <c r="I2471" t="s">
        <v>5143</v>
      </c>
      <c r="J2471">
        <v>144348</v>
      </c>
      <c r="K2471" t="s">
        <v>5055</v>
      </c>
      <c r="L2471" t="s">
        <v>134</v>
      </c>
      <c r="M2471" t="s">
        <v>19</v>
      </c>
      <c r="N2471">
        <v>45356</v>
      </c>
      <c r="O2471">
        <v>3696</v>
      </c>
      <c r="P2471" t="s">
        <v>29</v>
      </c>
      <c r="Q2471">
        <v>4</v>
      </c>
      <c r="R2471" t="s">
        <v>52</v>
      </c>
      <c r="S2471" t="s">
        <v>41</v>
      </c>
      <c r="T2471" t="s">
        <v>20</v>
      </c>
    </row>
    <row r="2472" spans="1:20" x14ac:dyDescent="0.3">
      <c r="A2472" t="s">
        <v>5056</v>
      </c>
      <c r="B2472" t="s">
        <v>84</v>
      </c>
      <c r="C2472" t="s">
        <v>64</v>
      </c>
      <c r="D2472" t="s">
        <v>5156</v>
      </c>
      <c r="E2472" t="s">
        <v>58</v>
      </c>
      <c r="F2472" t="s">
        <v>59</v>
      </c>
      <c r="G2472" t="s">
        <v>16</v>
      </c>
      <c r="H2472" t="s">
        <v>5142</v>
      </c>
      <c r="I2472" t="s">
        <v>5143</v>
      </c>
      <c r="J2472">
        <v>178970</v>
      </c>
      <c r="K2472" t="s">
        <v>5057</v>
      </c>
      <c r="L2472" t="s">
        <v>82</v>
      </c>
      <c r="M2472" t="s">
        <v>72</v>
      </c>
      <c r="N2472">
        <v>45369</v>
      </c>
      <c r="O2472">
        <v>1691</v>
      </c>
      <c r="P2472" t="s">
        <v>20</v>
      </c>
      <c r="Q2472">
        <v>4</v>
      </c>
      <c r="R2472" t="s">
        <v>52</v>
      </c>
      <c r="S2472" t="s">
        <v>21</v>
      </c>
      <c r="T2472" t="s">
        <v>20</v>
      </c>
    </row>
    <row r="2473" spans="1:20" x14ac:dyDescent="0.3">
      <c r="A2473" t="s">
        <v>5058</v>
      </c>
      <c r="B2473" t="s">
        <v>74</v>
      </c>
      <c r="C2473" t="s">
        <v>197</v>
      </c>
      <c r="D2473" t="s">
        <v>57</v>
      </c>
      <c r="E2473" t="s">
        <v>223</v>
      </c>
      <c r="F2473" t="s">
        <v>224</v>
      </c>
      <c r="G2473" t="s">
        <v>36</v>
      </c>
      <c r="H2473" t="s">
        <v>5136</v>
      </c>
      <c r="I2473" t="s">
        <v>5137</v>
      </c>
      <c r="J2473">
        <v>99784</v>
      </c>
      <c r="K2473" t="s">
        <v>5059</v>
      </c>
      <c r="L2473" t="s">
        <v>38</v>
      </c>
      <c r="M2473" t="s">
        <v>19</v>
      </c>
      <c r="N2473">
        <v>45412</v>
      </c>
      <c r="O2473">
        <v>1414</v>
      </c>
      <c r="P2473" t="s">
        <v>29</v>
      </c>
      <c r="Q2473">
        <v>0</v>
      </c>
      <c r="R2473" t="s">
        <v>52</v>
      </c>
      <c r="S2473" t="s">
        <v>21</v>
      </c>
      <c r="T2473" t="s">
        <v>29</v>
      </c>
    </row>
    <row r="2474" spans="1:20" x14ac:dyDescent="0.3">
      <c r="A2474" t="s">
        <v>5060</v>
      </c>
      <c r="B2474" t="s">
        <v>136</v>
      </c>
      <c r="C2474" t="s">
        <v>43</v>
      </c>
      <c r="D2474" t="s">
        <v>33</v>
      </c>
      <c r="E2474" t="s">
        <v>152</v>
      </c>
      <c r="F2474" t="s">
        <v>153</v>
      </c>
      <c r="G2474" t="s">
        <v>50</v>
      </c>
      <c r="H2474" t="s">
        <v>5138</v>
      </c>
      <c r="I2474" t="s">
        <v>5139</v>
      </c>
      <c r="J2474">
        <v>171704</v>
      </c>
      <c r="K2474" t="s">
        <v>5061</v>
      </c>
      <c r="L2474" t="s">
        <v>5165</v>
      </c>
      <c r="M2474" t="s">
        <v>46</v>
      </c>
      <c r="N2474">
        <v>45405</v>
      </c>
      <c r="O2474">
        <v>418</v>
      </c>
      <c r="P2474" t="s">
        <v>20</v>
      </c>
      <c r="Q2474">
        <v>6</v>
      </c>
      <c r="R2474" t="s">
        <v>5116</v>
      </c>
      <c r="S2474" t="s">
        <v>53</v>
      </c>
      <c r="T2474" t="s">
        <v>29</v>
      </c>
    </row>
    <row r="2475" spans="1:20" x14ac:dyDescent="0.3">
      <c r="A2475" t="s">
        <v>5062</v>
      </c>
      <c r="B2475" t="s">
        <v>222</v>
      </c>
      <c r="C2475" t="s">
        <v>100</v>
      </c>
      <c r="D2475" t="s">
        <v>33</v>
      </c>
      <c r="E2475" t="s">
        <v>5128</v>
      </c>
      <c r="F2475" t="s">
        <v>5125</v>
      </c>
      <c r="G2475" t="s">
        <v>16</v>
      </c>
      <c r="H2475" t="s">
        <v>5138</v>
      </c>
      <c r="I2475" t="s">
        <v>5139</v>
      </c>
      <c r="J2475">
        <v>150282</v>
      </c>
      <c r="K2475" t="s">
        <v>5063</v>
      </c>
      <c r="L2475" t="s">
        <v>5165</v>
      </c>
      <c r="M2475" t="s">
        <v>19</v>
      </c>
      <c r="N2475">
        <v>45685</v>
      </c>
      <c r="O2475">
        <v>2674</v>
      </c>
      <c r="P2475" t="s">
        <v>20</v>
      </c>
      <c r="Q2475">
        <v>6</v>
      </c>
      <c r="R2475" t="s">
        <v>52</v>
      </c>
      <c r="S2475" t="s">
        <v>21</v>
      </c>
      <c r="T2475" t="s">
        <v>20</v>
      </c>
    </row>
    <row r="2476" spans="1:20" x14ac:dyDescent="0.3">
      <c r="A2476" t="s">
        <v>5064</v>
      </c>
      <c r="B2476" t="s">
        <v>322</v>
      </c>
      <c r="C2476" t="s">
        <v>56</v>
      </c>
      <c r="D2476" t="s">
        <v>25</v>
      </c>
      <c r="E2476" t="s">
        <v>5128</v>
      </c>
      <c r="F2476" t="s">
        <v>5125</v>
      </c>
      <c r="G2476" t="s">
        <v>16</v>
      </c>
      <c r="H2476" t="s">
        <v>5136</v>
      </c>
      <c r="I2476" t="s">
        <v>5137</v>
      </c>
      <c r="J2476">
        <v>73828</v>
      </c>
      <c r="K2476" t="s">
        <v>5065</v>
      </c>
      <c r="L2476" t="s">
        <v>5165</v>
      </c>
      <c r="M2476" t="s">
        <v>19</v>
      </c>
      <c r="N2476">
        <v>45620</v>
      </c>
      <c r="O2476">
        <v>3794</v>
      </c>
      <c r="P2476" t="s">
        <v>20</v>
      </c>
      <c r="Q2476">
        <v>0</v>
      </c>
      <c r="R2476" t="s">
        <v>76</v>
      </c>
      <c r="S2476" t="s">
        <v>21</v>
      </c>
      <c r="T2476" t="s">
        <v>20</v>
      </c>
    </row>
    <row r="2477" spans="1:20" x14ac:dyDescent="0.3">
      <c r="A2477" t="s">
        <v>5066</v>
      </c>
      <c r="B2477" t="s">
        <v>144</v>
      </c>
      <c r="C2477" t="s">
        <v>117</v>
      </c>
      <c r="D2477" t="s">
        <v>104</v>
      </c>
      <c r="E2477" t="s">
        <v>95</v>
      </c>
      <c r="F2477" t="s">
        <v>96</v>
      </c>
      <c r="G2477" t="s">
        <v>36</v>
      </c>
      <c r="H2477" t="s">
        <v>5138</v>
      </c>
      <c r="I2477" t="s">
        <v>5139</v>
      </c>
      <c r="J2477">
        <v>225976</v>
      </c>
      <c r="K2477" t="s">
        <v>5067</v>
      </c>
      <c r="L2477" t="s">
        <v>238</v>
      </c>
      <c r="M2477" t="s">
        <v>46</v>
      </c>
      <c r="N2477">
        <v>45683</v>
      </c>
      <c r="O2477">
        <v>3866</v>
      </c>
      <c r="P2477" t="s">
        <v>29</v>
      </c>
      <c r="Q2477">
        <v>6</v>
      </c>
      <c r="R2477" t="s">
        <v>76</v>
      </c>
      <c r="S2477" t="s">
        <v>21</v>
      </c>
      <c r="T2477" t="s">
        <v>20</v>
      </c>
    </row>
    <row r="2478" spans="1:20" x14ac:dyDescent="0.3">
      <c r="A2478" t="s">
        <v>5068</v>
      </c>
      <c r="B2478" t="s">
        <v>31</v>
      </c>
      <c r="C2478" t="s">
        <v>232</v>
      </c>
      <c r="D2478" t="s">
        <v>33</v>
      </c>
      <c r="E2478" t="s">
        <v>5131</v>
      </c>
      <c r="F2478" t="s">
        <v>5125</v>
      </c>
      <c r="G2478" t="s">
        <v>16</v>
      </c>
      <c r="H2478" t="s">
        <v>5140</v>
      </c>
      <c r="I2478" t="s">
        <v>5141</v>
      </c>
      <c r="J2478">
        <v>105428</v>
      </c>
      <c r="K2478" t="s">
        <v>5069</v>
      </c>
      <c r="L2478" t="s">
        <v>5165</v>
      </c>
      <c r="M2478" t="s">
        <v>19</v>
      </c>
      <c r="N2478">
        <v>45514</v>
      </c>
      <c r="O2478">
        <v>1217</v>
      </c>
      <c r="P2478" t="s">
        <v>92</v>
      </c>
      <c r="Q2478">
        <v>2</v>
      </c>
      <c r="R2478" t="s">
        <v>40</v>
      </c>
      <c r="S2478" t="s">
        <v>21</v>
      </c>
      <c r="T2478" t="s">
        <v>29</v>
      </c>
    </row>
    <row r="2479" spans="1:20" x14ac:dyDescent="0.3">
      <c r="A2479" t="s">
        <v>5070</v>
      </c>
      <c r="B2479" t="s">
        <v>130</v>
      </c>
      <c r="C2479" t="s">
        <v>188</v>
      </c>
      <c r="D2479" t="s">
        <v>33</v>
      </c>
      <c r="E2479" t="s">
        <v>5129</v>
      </c>
      <c r="F2479" t="s">
        <v>5130</v>
      </c>
      <c r="G2479" t="s">
        <v>50</v>
      </c>
      <c r="H2479" t="s">
        <v>5140</v>
      </c>
      <c r="I2479" t="s">
        <v>5141</v>
      </c>
      <c r="J2479">
        <v>138774</v>
      </c>
      <c r="K2479" t="s">
        <v>5071</v>
      </c>
      <c r="L2479" t="s">
        <v>61</v>
      </c>
      <c r="M2479" t="s">
        <v>19</v>
      </c>
      <c r="N2479">
        <v>45543</v>
      </c>
      <c r="O2479">
        <v>977</v>
      </c>
      <c r="P2479" t="s">
        <v>20</v>
      </c>
      <c r="Q2479">
        <v>2</v>
      </c>
      <c r="R2479" t="s">
        <v>76</v>
      </c>
      <c r="S2479" t="s">
        <v>21</v>
      </c>
      <c r="T2479" t="s">
        <v>20</v>
      </c>
    </row>
    <row r="2480" spans="1:20" x14ac:dyDescent="0.3">
      <c r="A2480" t="s">
        <v>5072</v>
      </c>
      <c r="B2480" t="s">
        <v>215</v>
      </c>
      <c r="C2480" t="s">
        <v>49</v>
      </c>
      <c r="D2480" t="s">
        <v>118</v>
      </c>
      <c r="E2480" t="s">
        <v>5129</v>
      </c>
      <c r="F2480" t="s">
        <v>5130</v>
      </c>
      <c r="G2480" t="s">
        <v>16</v>
      </c>
      <c r="H2480" t="s">
        <v>5142</v>
      </c>
      <c r="I2480" t="s">
        <v>5143</v>
      </c>
      <c r="J2480">
        <v>113857</v>
      </c>
      <c r="K2480" t="s">
        <v>5073</v>
      </c>
      <c r="L2480" t="s">
        <v>61</v>
      </c>
      <c r="M2480" t="s">
        <v>46</v>
      </c>
      <c r="N2480">
        <v>45378</v>
      </c>
      <c r="O2480">
        <v>924</v>
      </c>
      <c r="P2480" t="s">
        <v>29</v>
      </c>
      <c r="Q2480">
        <v>4</v>
      </c>
      <c r="R2480" t="s">
        <v>47</v>
      </c>
      <c r="S2480" t="s">
        <v>21</v>
      </c>
      <c r="T2480" t="s">
        <v>29</v>
      </c>
    </row>
    <row r="2481" spans="1:20" x14ac:dyDescent="0.3">
      <c r="A2481" t="s">
        <v>5074</v>
      </c>
      <c r="B2481" t="s">
        <v>23</v>
      </c>
      <c r="C2481" t="s">
        <v>166</v>
      </c>
      <c r="D2481" t="s">
        <v>57</v>
      </c>
      <c r="E2481" t="s">
        <v>5126</v>
      </c>
      <c r="F2481" t="s">
        <v>5125</v>
      </c>
      <c r="G2481" t="s">
        <v>50</v>
      </c>
      <c r="H2481" t="s">
        <v>5138</v>
      </c>
      <c r="I2481" t="s">
        <v>5139</v>
      </c>
      <c r="J2481">
        <v>224945</v>
      </c>
      <c r="K2481" t="s">
        <v>5075</v>
      </c>
      <c r="L2481" t="s">
        <v>113</v>
      </c>
      <c r="M2481" t="s">
        <v>46</v>
      </c>
      <c r="N2481">
        <v>45406</v>
      </c>
      <c r="O2481">
        <v>3490</v>
      </c>
      <c r="P2481" t="s">
        <v>20</v>
      </c>
      <c r="Q2481">
        <v>6</v>
      </c>
      <c r="R2481" t="s">
        <v>40</v>
      </c>
      <c r="S2481" t="s">
        <v>21</v>
      </c>
      <c r="T2481" t="s">
        <v>20</v>
      </c>
    </row>
    <row r="2482" spans="1:20" x14ac:dyDescent="0.3">
      <c r="A2482" t="s">
        <v>5076</v>
      </c>
      <c r="B2482" t="s">
        <v>124</v>
      </c>
      <c r="C2482" t="s">
        <v>219</v>
      </c>
      <c r="D2482" t="s">
        <v>118</v>
      </c>
      <c r="E2482" t="s">
        <v>5129</v>
      </c>
      <c r="F2482" t="s">
        <v>5130</v>
      </c>
      <c r="G2482" t="s">
        <v>16</v>
      </c>
      <c r="H2482" t="s">
        <v>5142</v>
      </c>
      <c r="I2482" t="s">
        <v>5143</v>
      </c>
      <c r="J2482">
        <v>133641</v>
      </c>
      <c r="K2482" t="s">
        <v>5077</v>
      </c>
      <c r="L2482" t="s">
        <v>238</v>
      </c>
      <c r="M2482" t="s">
        <v>46</v>
      </c>
      <c r="N2482">
        <v>45383</v>
      </c>
      <c r="O2482">
        <v>1352</v>
      </c>
      <c r="P2482" t="s">
        <v>20</v>
      </c>
      <c r="Q2482">
        <v>4</v>
      </c>
      <c r="R2482" t="s">
        <v>52</v>
      </c>
      <c r="S2482" t="s">
        <v>21</v>
      </c>
      <c r="T2482" t="s">
        <v>20</v>
      </c>
    </row>
    <row r="2483" spans="1:20" x14ac:dyDescent="0.3">
      <c r="A2483" t="s">
        <v>5078</v>
      </c>
      <c r="B2483" t="s">
        <v>229</v>
      </c>
      <c r="C2483" t="s">
        <v>172</v>
      </c>
      <c r="D2483" t="s">
        <v>68</v>
      </c>
      <c r="E2483" t="s">
        <v>5132</v>
      </c>
      <c r="F2483" t="s">
        <v>5125</v>
      </c>
      <c r="G2483" t="s">
        <v>16</v>
      </c>
      <c r="H2483" t="s">
        <v>5136</v>
      </c>
      <c r="I2483" t="s">
        <v>5137</v>
      </c>
      <c r="J2483">
        <v>91664</v>
      </c>
      <c r="K2483" t="s">
        <v>5079</v>
      </c>
      <c r="L2483" t="s">
        <v>134</v>
      </c>
      <c r="M2483" t="s">
        <v>46</v>
      </c>
      <c r="N2483">
        <v>45744</v>
      </c>
      <c r="O2483">
        <v>481</v>
      </c>
      <c r="P2483" t="s">
        <v>29</v>
      </c>
      <c r="Q2483">
        <v>0</v>
      </c>
      <c r="R2483" t="s">
        <v>47</v>
      </c>
      <c r="S2483" t="s">
        <v>21</v>
      </c>
      <c r="T2483" t="s">
        <v>20</v>
      </c>
    </row>
    <row r="2484" spans="1:20" x14ac:dyDescent="0.3">
      <c r="A2484" t="s">
        <v>5080</v>
      </c>
      <c r="B2484" t="s">
        <v>222</v>
      </c>
      <c r="C2484" t="s">
        <v>151</v>
      </c>
      <c r="D2484" t="s">
        <v>118</v>
      </c>
      <c r="E2484" t="s">
        <v>126</v>
      </c>
      <c r="F2484" t="s">
        <v>127</v>
      </c>
      <c r="G2484" t="s">
        <v>36</v>
      </c>
      <c r="H2484" t="s">
        <v>5138</v>
      </c>
      <c r="I2484" t="s">
        <v>5139</v>
      </c>
      <c r="J2484">
        <v>271730</v>
      </c>
      <c r="K2484" t="s">
        <v>5081</v>
      </c>
      <c r="L2484" t="s">
        <v>5165</v>
      </c>
      <c r="M2484" t="s">
        <v>72</v>
      </c>
      <c r="N2484">
        <v>45392</v>
      </c>
      <c r="O2484">
        <v>529</v>
      </c>
      <c r="P2484" t="s">
        <v>20</v>
      </c>
      <c r="Q2484">
        <v>6</v>
      </c>
      <c r="R2484" t="s">
        <v>76</v>
      </c>
      <c r="S2484" t="s">
        <v>21</v>
      </c>
      <c r="T2484" t="s">
        <v>29</v>
      </c>
    </row>
    <row r="2485" spans="1:20" x14ac:dyDescent="0.3">
      <c r="A2485" t="s">
        <v>5082</v>
      </c>
      <c r="B2485" t="s">
        <v>144</v>
      </c>
      <c r="C2485" t="s">
        <v>172</v>
      </c>
      <c r="D2485" t="s">
        <v>140</v>
      </c>
      <c r="E2485" t="s">
        <v>5133</v>
      </c>
      <c r="F2485" t="s">
        <v>5125</v>
      </c>
      <c r="G2485" t="s">
        <v>50</v>
      </c>
      <c r="H2485" t="s">
        <v>5140</v>
      </c>
      <c r="I2485" t="s">
        <v>5141</v>
      </c>
      <c r="J2485">
        <v>94820</v>
      </c>
      <c r="K2485" t="s">
        <v>5083</v>
      </c>
      <c r="L2485" t="s">
        <v>5165</v>
      </c>
      <c r="M2485" t="s">
        <v>19</v>
      </c>
      <c r="N2485">
        <v>45450</v>
      </c>
      <c r="O2485">
        <v>414</v>
      </c>
      <c r="P2485" t="s">
        <v>29</v>
      </c>
      <c r="Q2485">
        <v>2</v>
      </c>
      <c r="R2485" t="s">
        <v>76</v>
      </c>
      <c r="S2485" t="s">
        <v>21</v>
      </c>
      <c r="T2485" t="s">
        <v>29</v>
      </c>
    </row>
    <row r="2486" spans="1:20" x14ac:dyDescent="0.3">
      <c r="A2486" t="s">
        <v>5084</v>
      </c>
      <c r="B2486" t="s">
        <v>12</v>
      </c>
      <c r="C2486" t="s">
        <v>151</v>
      </c>
      <c r="D2486" t="s">
        <v>167</v>
      </c>
      <c r="E2486" t="s">
        <v>34</v>
      </c>
      <c r="F2486" t="s">
        <v>35</v>
      </c>
      <c r="G2486" t="s">
        <v>50</v>
      </c>
      <c r="H2486" t="s">
        <v>5142</v>
      </c>
      <c r="I2486" t="s">
        <v>5143</v>
      </c>
      <c r="J2486">
        <v>135161</v>
      </c>
      <c r="K2486" t="s">
        <v>5085</v>
      </c>
      <c r="L2486" t="s">
        <v>238</v>
      </c>
      <c r="M2486" t="s">
        <v>46</v>
      </c>
      <c r="N2486">
        <v>45582</v>
      </c>
      <c r="O2486">
        <v>2303</v>
      </c>
      <c r="P2486" t="s">
        <v>92</v>
      </c>
      <c r="Q2486">
        <v>4</v>
      </c>
      <c r="R2486" t="s">
        <v>5116</v>
      </c>
      <c r="S2486" t="s">
        <v>21</v>
      </c>
      <c r="T2486" t="s">
        <v>29</v>
      </c>
    </row>
    <row r="2487" spans="1:20" x14ac:dyDescent="0.3">
      <c r="A2487" t="s">
        <v>5086</v>
      </c>
      <c r="B2487" t="s">
        <v>89</v>
      </c>
      <c r="C2487" t="s">
        <v>197</v>
      </c>
      <c r="D2487" t="s">
        <v>104</v>
      </c>
      <c r="E2487" t="s">
        <v>58</v>
      </c>
      <c r="F2487" t="s">
        <v>59</v>
      </c>
      <c r="G2487" t="s">
        <v>50</v>
      </c>
      <c r="H2487" t="s">
        <v>5136</v>
      </c>
      <c r="I2487" t="s">
        <v>5137</v>
      </c>
      <c r="J2487">
        <v>80830</v>
      </c>
      <c r="K2487" t="s">
        <v>5087</v>
      </c>
      <c r="L2487" t="s">
        <v>38</v>
      </c>
      <c r="M2487" t="s">
        <v>19</v>
      </c>
      <c r="N2487">
        <v>45542</v>
      </c>
      <c r="O2487">
        <v>2799</v>
      </c>
      <c r="P2487" t="s">
        <v>20</v>
      </c>
      <c r="Q2487">
        <v>0</v>
      </c>
      <c r="R2487" t="s">
        <v>40</v>
      </c>
      <c r="S2487" t="s">
        <v>21</v>
      </c>
      <c r="T2487" t="s">
        <v>20</v>
      </c>
    </row>
    <row r="2488" spans="1:20" x14ac:dyDescent="0.3">
      <c r="A2488" t="s">
        <v>5088</v>
      </c>
      <c r="B2488" t="s">
        <v>31</v>
      </c>
      <c r="C2488" t="s">
        <v>160</v>
      </c>
      <c r="D2488" t="s">
        <v>104</v>
      </c>
      <c r="E2488" t="s">
        <v>69</v>
      </c>
      <c r="F2488" t="s">
        <v>70</v>
      </c>
      <c r="G2488" t="s">
        <v>16</v>
      </c>
      <c r="H2488" t="s">
        <v>5136</v>
      </c>
      <c r="I2488" t="s">
        <v>5137</v>
      </c>
      <c r="J2488">
        <v>65122</v>
      </c>
      <c r="K2488" t="s">
        <v>5089</v>
      </c>
      <c r="L2488" t="s">
        <v>61</v>
      </c>
      <c r="M2488" t="s">
        <v>46</v>
      </c>
      <c r="N2488">
        <v>45390</v>
      </c>
      <c r="O2488">
        <v>1080</v>
      </c>
      <c r="P2488" t="s">
        <v>20</v>
      </c>
      <c r="Q2488">
        <v>0</v>
      </c>
      <c r="R2488" t="s">
        <v>76</v>
      </c>
      <c r="S2488" t="s">
        <v>21</v>
      </c>
      <c r="T2488" t="s">
        <v>29</v>
      </c>
    </row>
    <row r="2489" spans="1:20" x14ac:dyDescent="0.3">
      <c r="A2489" t="s">
        <v>5090</v>
      </c>
      <c r="B2489" t="s">
        <v>23</v>
      </c>
      <c r="C2489" t="s">
        <v>90</v>
      </c>
      <c r="D2489" t="s">
        <v>167</v>
      </c>
      <c r="E2489" t="s">
        <v>5127</v>
      </c>
      <c r="F2489" t="s">
        <v>5125</v>
      </c>
      <c r="G2489" t="s">
        <v>16</v>
      </c>
      <c r="H2489" t="s">
        <v>5142</v>
      </c>
      <c r="I2489" t="s">
        <v>5143</v>
      </c>
      <c r="J2489">
        <v>148773</v>
      </c>
      <c r="K2489" t="s">
        <v>5091</v>
      </c>
      <c r="L2489" t="s">
        <v>134</v>
      </c>
      <c r="M2489" t="s">
        <v>46</v>
      </c>
      <c r="N2489">
        <v>45581</v>
      </c>
      <c r="O2489">
        <v>2159</v>
      </c>
      <c r="P2489" t="s">
        <v>29</v>
      </c>
      <c r="Q2489">
        <v>4</v>
      </c>
      <c r="R2489" t="s">
        <v>47</v>
      </c>
      <c r="S2489" t="s">
        <v>21</v>
      </c>
      <c r="T2489" t="s">
        <v>20</v>
      </c>
    </row>
    <row r="2490" spans="1:20" x14ac:dyDescent="0.3">
      <c r="A2490" t="s">
        <v>5092</v>
      </c>
      <c r="B2490" t="s">
        <v>229</v>
      </c>
      <c r="C2490" t="s">
        <v>43</v>
      </c>
      <c r="D2490" t="s">
        <v>44</v>
      </c>
      <c r="E2490" t="s">
        <v>95</v>
      </c>
      <c r="F2490" t="s">
        <v>96</v>
      </c>
      <c r="G2490" t="s">
        <v>50</v>
      </c>
      <c r="H2490" t="s">
        <v>5138</v>
      </c>
      <c r="I2490" t="s">
        <v>5139</v>
      </c>
      <c r="J2490">
        <v>200913</v>
      </c>
      <c r="K2490" t="s">
        <v>5093</v>
      </c>
      <c r="L2490" t="s">
        <v>179</v>
      </c>
      <c r="M2490" t="s">
        <v>39</v>
      </c>
      <c r="N2490">
        <v>45314</v>
      </c>
      <c r="O2490">
        <v>65</v>
      </c>
      <c r="P2490" t="s">
        <v>29</v>
      </c>
      <c r="Q2490">
        <v>6</v>
      </c>
      <c r="R2490" t="s">
        <v>47</v>
      </c>
      <c r="S2490" t="s">
        <v>21</v>
      </c>
      <c r="T2490" t="s">
        <v>29</v>
      </c>
    </row>
    <row r="2491" spans="1:20" x14ac:dyDescent="0.3">
      <c r="A2491" t="s">
        <v>5094</v>
      </c>
      <c r="B2491" t="s">
        <v>99</v>
      </c>
      <c r="C2491" t="s">
        <v>117</v>
      </c>
      <c r="D2491" t="s">
        <v>57</v>
      </c>
      <c r="E2491" t="s">
        <v>126</v>
      </c>
      <c r="F2491" t="s">
        <v>127</v>
      </c>
      <c r="G2491" t="s">
        <v>16</v>
      </c>
      <c r="H2491" t="s">
        <v>5138</v>
      </c>
      <c r="I2491" t="s">
        <v>5139</v>
      </c>
      <c r="J2491">
        <v>130891</v>
      </c>
      <c r="K2491" t="s">
        <v>5095</v>
      </c>
      <c r="L2491" t="s">
        <v>238</v>
      </c>
      <c r="M2491" t="s">
        <v>19</v>
      </c>
      <c r="N2491">
        <v>45495</v>
      </c>
      <c r="O2491">
        <v>3694</v>
      </c>
      <c r="P2491" t="s">
        <v>20</v>
      </c>
      <c r="Q2491">
        <v>6</v>
      </c>
      <c r="R2491" t="s">
        <v>76</v>
      </c>
      <c r="S2491" t="s">
        <v>53</v>
      </c>
      <c r="T2491" t="s">
        <v>20</v>
      </c>
    </row>
    <row r="2492" spans="1:20" x14ac:dyDescent="0.3">
      <c r="A2492" t="s">
        <v>5096</v>
      </c>
      <c r="B2492" t="s">
        <v>99</v>
      </c>
      <c r="C2492" t="s">
        <v>32</v>
      </c>
      <c r="D2492" t="s">
        <v>68</v>
      </c>
      <c r="E2492" t="s">
        <v>5126</v>
      </c>
      <c r="F2492" t="s">
        <v>5125</v>
      </c>
      <c r="G2492" t="s">
        <v>50</v>
      </c>
      <c r="H2492" t="s">
        <v>5138</v>
      </c>
      <c r="I2492" t="s">
        <v>5139</v>
      </c>
      <c r="J2492">
        <v>199501</v>
      </c>
      <c r="K2492" t="s">
        <v>5097</v>
      </c>
      <c r="L2492" t="s">
        <v>142</v>
      </c>
      <c r="M2492" t="s">
        <v>19</v>
      </c>
      <c r="N2492">
        <v>45492</v>
      </c>
      <c r="O2492">
        <v>3444</v>
      </c>
      <c r="P2492" t="s">
        <v>20</v>
      </c>
      <c r="Q2492">
        <v>6</v>
      </c>
      <c r="R2492" t="s">
        <v>47</v>
      </c>
      <c r="S2492" t="s">
        <v>21</v>
      </c>
      <c r="T2492" t="s">
        <v>29</v>
      </c>
    </row>
    <row r="2493" spans="1:20" x14ac:dyDescent="0.3">
      <c r="A2493" t="s">
        <v>5098</v>
      </c>
      <c r="B2493" t="s">
        <v>215</v>
      </c>
      <c r="C2493" t="s">
        <v>160</v>
      </c>
      <c r="D2493" t="s">
        <v>140</v>
      </c>
      <c r="E2493" t="s">
        <v>58</v>
      </c>
      <c r="F2493" t="s">
        <v>59</v>
      </c>
      <c r="G2493" t="s">
        <v>36</v>
      </c>
      <c r="H2493" t="s">
        <v>5142</v>
      </c>
      <c r="I2493" t="s">
        <v>5143</v>
      </c>
      <c r="J2493">
        <v>131377</v>
      </c>
      <c r="K2493" t="s">
        <v>5099</v>
      </c>
      <c r="L2493" t="s">
        <v>18</v>
      </c>
      <c r="M2493" t="s">
        <v>19</v>
      </c>
      <c r="N2493">
        <v>45501</v>
      </c>
      <c r="O2493">
        <v>2651</v>
      </c>
      <c r="P2493" t="s">
        <v>20</v>
      </c>
      <c r="Q2493">
        <v>4</v>
      </c>
      <c r="R2493" t="s">
        <v>76</v>
      </c>
      <c r="S2493" t="s">
        <v>21</v>
      </c>
      <c r="T2493" t="s">
        <v>20</v>
      </c>
    </row>
    <row r="2494" spans="1:20" x14ac:dyDescent="0.3">
      <c r="A2494" t="s">
        <v>5100</v>
      </c>
      <c r="B2494" t="s">
        <v>222</v>
      </c>
      <c r="C2494" t="s">
        <v>90</v>
      </c>
      <c r="D2494" t="s">
        <v>33</v>
      </c>
      <c r="E2494" t="s">
        <v>26</v>
      </c>
      <c r="F2494" t="s">
        <v>27</v>
      </c>
      <c r="G2494" t="s">
        <v>50</v>
      </c>
      <c r="H2494" t="s">
        <v>5140</v>
      </c>
      <c r="I2494" t="s">
        <v>5141</v>
      </c>
      <c r="J2494">
        <v>100236</v>
      </c>
      <c r="K2494" t="s">
        <v>5101</v>
      </c>
      <c r="L2494" t="s">
        <v>5165</v>
      </c>
      <c r="M2494" t="s">
        <v>19</v>
      </c>
      <c r="N2494">
        <v>45476</v>
      </c>
      <c r="O2494">
        <v>2662</v>
      </c>
      <c r="P2494" t="s">
        <v>20</v>
      </c>
      <c r="Q2494">
        <v>2</v>
      </c>
      <c r="R2494" t="s">
        <v>76</v>
      </c>
      <c r="S2494" t="s">
        <v>21</v>
      </c>
      <c r="T2494" t="s">
        <v>29</v>
      </c>
    </row>
    <row r="2495" spans="1:20" x14ac:dyDescent="0.3">
      <c r="A2495" t="s">
        <v>5102</v>
      </c>
      <c r="B2495" t="s">
        <v>78</v>
      </c>
      <c r="C2495" t="s">
        <v>166</v>
      </c>
      <c r="D2495" t="s">
        <v>104</v>
      </c>
      <c r="E2495" t="s">
        <v>5133</v>
      </c>
      <c r="F2495" t="s">
        <v>5125</v>
      </c>
      <c r="G2495" t="s">
        <v>16</v>
      </c>
      <c r="H2495" t="s">
        <v>5136</v>
      </c>
      <c r="I2495" t="s">
        <v>5137</v>
      </c>
      <c r="J2495">
        <v>88189</v>
      </c>
      <c r="K2495" t="s">
        <v>5103</v>
      </c>
      <c r="L2495" t="s">
        <v>142</v>
      </c>
      <c r="M2495" t="s">
        <v>46</v>
      </c>
      <c r="N2495">
        <v>45576</v>
      </c>
      <c r="O2495">
        <v>3243</v>
      </c>
      <c r="P2495" t="s">
        <v>92</v>
      </c>
      <c r="Q2495">
        <v>0</v>
      </c>
      <c r="R2495" t="s">
        <v>76</v>
      </c>
      <c r="S2495" t="s">
        <v>21</v>
      </c>
      <c r="T2495" t="s">
        <v>29</v>
      </c>
    </row>
    <row r="2496" spans="1:20" x14ac:dyDescent="0.3">
      <c r="A2496" t="s">
        <v>5104</v>
      </c>
      <c r="B2496" t="s">
        <v>136</v>
      </c>
      <c r="C2496" t="s">
        <v>166</v>
      </c>
      <c r="D2496" t="s">
        <v>167</v>
      </c>
      <c r="E2496" t="s">
        <v>95</v>
      </c>
      <c r="F2496" t="s">
        <v>96</v>
      </c>
      <c r="G2496" t="s">
        <v>36</v>
      </c>
      <c r="H2496" t="s">
        <v>5142</v>
      </c>
      <c r="I2496" t="s">
        <v>5143</v>
      </c>
      <c r="J2496">
        <v>116074</v>
      </c>
      <c r="K2496" t="s">
        <v>5105</v>
      </c>
      <c r="L2496" t="s">
        <v>5165</v>
      </c>
      <c r="M2496" t="s">
        <v>39</v>
      </c>
      <c r="N2496">
        <v>45387</v>
      </c>
      <c r="O2496">
        <v>3326</v>
      </c>
      <c r="P2496" t="s">
        <v>29</v>
      </c>
      <c r="Q2496">
        <v>4</v>
      </c>
      <c r="R2496" t="s">
        <v>76</v>
      </c>
      <c r="S2496" t="s">
        <v>41</v>
      </c>
      <c r="T2496" t="s">
        <v>20</v>
      </c>
    </row>
    <row r="2497" spans="1:20" x14ac:dyDescent="0.3">
      <c r="A2497" t="s">
        <v>5106</v>
      </c>
      <c r="B2497" t="s">
        <v>215</v>
      </c>
      <c r="C2497" t="s">
        <v>13</v>
      </c>
      <c r="D2497" t="s">
        <v>118</v>
      </c>
      <c r="E2497" t="s">
        <v>5124</v>
      </c>
      <c r="F2497" t="s">
        <v>5125</v>
      </c>
      <c r="G2497" t="s">
        <v>36</v>
      </c>
      <c r="H2497" t="s">
        <v>5142</v>
      </c>
      <c r="I2497" t="s">
        <v>5143</v>
      </c>
      <c r="J2497">
        <v>171956</v>
      </c>
      <c r="K2497" t="s">
        <v>5107</v>
      </c>
      <c r="L2497" t="s">
        <v>61</v>
      </c>
      <c r="M2497" t="s">
        <v>46</v>
      </c>
      <c r="N2497">
        <v>45446</v>
      </c>
      <c r="O2497">
        <v>3983</v>
      </c>
      <c r="P2497" t="s">
        <v>20</v>
      </c>
      <c r="Q2497">
        <v>4</v>
      </c>
      <c r="R2497" t="s">
        <v>76</v>
      </c>
      <c r="S2497" t="s">
        <v>53</v>
      </c>
      <c r="T2497" t="s">
        <v>20</v>
      </c>
    </row>
    <row r="2498" spans="1:20" x14ac:dyDescent="0.3">
      <c r="A2498" t="s">
        <v>5108</v>
      </c>
      <c r="B2498" t="s">
        <v>89</v>
      </c>
      <c r="C2498" t="s">
        <v>79</v>
      </c>
      <c r="D2498" t="s">
        <v>57</v>
      </c>
      <c r="E2498" t="s">
        <v>5132</v>
      </c>
      <c r="F2498" t="s">
        <v>5125</v>
      </c>
      <c r="G2498" t="s">
        <v>50</v>
      </c>
      <c r="H2498" t="s">
        <v>5140</v>
      </c>
      <c r="I2498" t="s">
        <v>5141</v>
      </c>
      <c r="J2498">
        <v>104476</v>
      </c>
      <c r="K2498" t="s">
        <v>5109</v>
      </c>
      <c r="L2498" t="s">
        <v>18</v>
      </c>
      <c r="M2498" t="s">
        <v>19</v>
      </c>
      <c r="N2498">
        <v>45577</v>
      </c>
      <c r="O2498">
        <v>3960</v>
      </c>
      <c r="P2498" t="s">
        <v>20</v>
      </c>
      <c r="Q2498">
        <v>2</v>
      </c>
      <c r="R2498" t="s">
        <v>40</v>
      </c>
      <c r="S2498" t="s">
        <v>21</v>
      </c>
      <c r="T2498" t="s">
        <v>20</v>
      </c>
    </row>
    <row r="2499" spans="1:20" x14ac:dyDescent="0.3">
      <c r="A2499" t="s">
        <v>5110</v>
      </c>
      <c r="B2499" t="s">
        <v>78</v>
      </c>
      <c r="C2499" t="s">
        <v>67</v>
      </c>
      <c r="D2499" t="s">
        <v>25</v>
      </c>
      <c r="E2499" t="s">
        <v>5124</v>
      </c>
      <c r="F2499" t="s">
        <v>5125</v>
      </c>
      <c r="G2499" t="s">
        <v>16</v>
      </c>
      <c r="H2499" t="s">
        <v>5140</v>
      </c>
      <c r="I2499" t="s">
        <v>5141</v>
      </c>
      <c r="J2499">
        <v>104460</v>
      </c>
      <c r="K2499" t="s">
        <v>5111</v>
      </c>
      <c r="L2499" t="s">
        <v>5165</v>
      </c>
      <c r="M2499" t="s">
        <v>46</v>
      </c>
      <c r="N2499">
        <v>45711</v>
      </c>
      <c r="O2499">
        <v>15</v>
      </c>
      <c r="P2499" t="s">
        <v>29</v>
      </c>
      <c r="Q2499">
        <v>2</v>
      </c>
      <c r="R2499" t="s">
        <v>76</v>
      </c>
      <c r="S2499" t="s">
        <v>21</v>
      </c>
      <c r="T2499" t="s">
        <v>20</v>
      </c>
    </row>
    <row r="2500" spans="1:20" x14ac:dyDescent="0.3">
      <c r="A2500" t="s">
        <v>5112</v>
      </c>
      <c r="B2500" t="s">
        <v>130</v>
      </c>
      <c r="C2500" t="s">
        <v>94</v>
      </c>
      <c r="D2500" t="s">
        <v>104</v>
      </c>
      <c r="E2500" t="s">
        <v>14</v>
      </c>
      <c r="F2500" t="s">
        <v>15</v>
      </c>
      <c r="G2500" t="s">
        <v>36</v>
      </c>
      <c r="H2500" t="s">
        <v>5140</v>
      </c>
      <c r="I2500" t="s">
        <v>5141</v>
      </c>
      <c r="J2500">
        <v>125649</v>
      </c>
      <c r="K2500" t="s">
        <v>5113</v>
      </c>
      <c r="L2500" t="s">
        <v>38</v>
      </c>
      <c r="M2500" t="s">
        <v>46</v>
      </c>
      <c r="N2500">
        <v>45442</v>
      </c>
      <c r="O2500">
        <v>3681</v>
      </c>
      <c r="P2500" t="s">
        <v>20</v>
      </c>
      <c r="Q2500">
        <v>2</v>
      </c>
      <c r="R2500" t="s">
        <v>47</v>
      </c>
      <c r="S2500" t="s">
        <v>21</v>
      </c>
      <c r="T2500" t="s">
        <v>29</v>
      </c>
    </row>
    <row r="2501" spans="1:20" x14ac:dyDescent="0.3">
      <c r="A2501" t="s">
        <v>5114</v>
      </c>
      <c r="B2501" t="s">
        <v>322</v>
      </c>
      <c r="C2501" t="s">
        <v>49</v>
      </c>
      <c r="D2501" t="s">
        <v>33</v>
      </c>
      <c r="E2501" t="s">
        <v>209</v>
      </c>
      <c r="F2501" t="s">
        <v>210</v>
      </c>
      <c r="G2501" t="s">
        <v>50</v>
      </c>
      <c r="H2501" t="s">
        <v>5136</v>
      </c>
      <c r="I2501" t="s">
        <v>5137</v>
      </c>
      <c r="J2501">
        <v>74284</v>
      </c>
      <c r="K2501" t="s">
        <v>5115</v>
      </c>
      <c r="L2501" t="s">
        <v>82</v>
      </c>
      <c r="M2501" t="s">
        <v>72</v>
      </c>
      <c r="N2501">
        <v>45706</v>
      </c>
      <c r="O2501">
        <v>3876</v>
      </c>
      <c r="P2501" t="s">
        <v>20</v>
      </c>
      <c r="Q2501">
        <v>0</v>
      </c>
      <c r="R2501" t="s">
        <v>47</v>
      </c>
      <c r="S2501" t="s">
        <v>21</v>
      </c>
      <c r="T2501" t="s">
        <v>29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826C-B734-4760-A986-C8B07CA31217}">
  <dimension ref="A2:K22"/>
  <sheetViews>
    <sheetView workbookViewId="0">
      <selection activeCell="B20" sqref="B20"/>
    </sheetView>
  </sheetViews>
  <sheetFormatPr defaultRowHeight="14.4" x14ac:dyDescent="0.3"/>
  <cols>
    <col min="1" max="1" width="17" bestFit="1" customWidth="1"/>
    <col min="2" max="2" width="11.44140625" bestFit="1" customWidth="1"/>
    <col min="4" max="4" width="11.109375" bestFit="1" customWidth="1"/>
    <col min="5" max="5" width="10.44140625" bestFit="1" customWidth="1"/>
    <col min="7" max="7" width="28.33203125" bestFit="1" customWidth="1"/>
    <col min="10" max="10" width="28.33203125" bestFit="1" customWidth="1"/>
    <col min="11" max="11" width="26.6640625" bestFit="1" customWidth="1"/>
  </cols>
  <sheetData>
    <row r="2" spans="1:11" x14ac:dyDescent="0.3">
      <c r="A2" s="9" t="s">
        <v>5144</v>
      </c>
      <c r="B2" s="9" t="s">
        <v>5145</v>
      </c>
      <c r="D2" s="8" t="s">
        <v>5153</v>
      </c>
      <c r="E2" s="8" t="s">
        <v>5155</v>
      </c>
      <c r="G2" s="8" t="s">
        <v>5158</v>
      </c>
      <c r="H2" s="8" t="s">
        <v>5152</v>
      </c>
      <c r="J2" s="4" t="s">
        <v>5158</v>
      </c>
      <c r="K2" s="4" t="s">
        <v>5147</v>
      </c>
    </row>
    <row r="3" spans="1:11" x14ac:dyDescent="0.3">
      <c r="A3" t="s">
        <v>5146</v>
      </c>
      <c r="B3">
        <f>COUNTA(Jobs[job_id])</f>
        <v>2500</v>
      </c>
      <c r="D3" s="7" t="s">
        <v>16</v>
      </c>
      <c r="E3" s="7">
        <f>COUNTIF(Jobs[work_mode],D3)</f>
        <v>1132</v>
      </c>
      <c r="G3" s="7" t="s">
        <v>144</v>
      </c>
      <c r="H3" s="7">
        <f>COUNTIF(Jobs[job_title],G3)</f>
        <v>130</v>
      </c>
      <c r="J3" s="5" t="s">
        <v>23</v>
      </c>
      <c r="K3" s="6">
        <v>144803.82905982906</v>
      </c>
    </row>
    <row r="4" spans="1:11" x14ac:dyDescent="0.3">
      <c r="A4" t="s">
        <v>5147</v>
      </c>
      <c r="B4" s="1">
        <f>AVERAGE(Jobs[salary_usd_annual])</f>
        <v>134513.1752</v>
      </c>
      <c r="D4" s="7" t="s">
        <v>36</v>
      </c>
      <c r="E4" s="7">
        <f>COUNTIF(Jobs[work_mode],D4)</f>
        <v>836</v>
      </c>
      <c r="G4" s="7" t="s">
        <v>322</v>
      </c>
      <c r="H4" s="7">
        <f>COUNTIF(Jobs[job_title],G4)</f>
        <v>118</v>
      </c>
      <c r="J4" s="5" t="s">
        <v>222</v>
      </c>
      <c r="K4" s="6">
        <v>141875.264</v>
      </c>
    </row>
    <row r="5" spans="1:11" x14ac:dyDescent="0.3">
      <c r="A5" t="s">
        <v>5148</v>
      </c>
      <c r="B5" s="1">
        <f>MEDIAN(Jobs[salary_usd_annual])</f>
        <v>127722.5</v>
      </c>
      <c r="D5" s="7" t="s">
        <v>5154</v>
      </c>
      <c r="E5" s="7">
        <f>COUNTIF(Jobs[work_mode],D5)</f>
        <v>532</v>
      </c>
      <c r="G5" s="7" t="s">
        <v>89</v>
      </c>
      <c r="H5" s="7">
        <f>COUNTIF(Jobs[job_title],G5)</f>
        <v>116</v>
      </c>
      <c r="J5" s="5" t="s">
        <v>63</v>
      </c>
      <c r="K5" s="6">
        <v>140868.66086956521</v>
      </c>
    </row>
    <row r="6" spans="1:11" x14ac:dyDescent="0.3">
      <c r="A6" t="s">
        <v>5149</v>
      </c>
      <c r="B6" s="2">
        <f>AVERAGE(Jobs[years_experience_min])</f>
        <v>3.0543999999999998</v>
      </c>
      <c r="G6" s="7" t="s">
        <v>78</v>
      </c>
      <c r="H6" s="7">
        <f>COUNTIF(Jobs[job_title],G6)</f>
        <v>105</v>
      </c>
      <c r="J6" s="5" t="s">
        <v>55</v>
      </c>
      <c r="K6" s="6">
        <v>140274.62295081967</v>
      </c>
    </row>
    <row r="7" spans="1:11" x14ac:dyDescent="0.3">
      <c r="A7" t="s">
        <v>5150</v>
      </c>
      <c r="B7" s="3">
        <f>COUNTIF(Jobs[work_mode],"Remote")/COUNTA(Jobs[job_id])</f>
        <v>0.45279999999999998</v>
      </c>
      <c r="G7" s="7" t="s">
        <v>229</v>
      </c>
      <c r="H7" s="7">
        <f>COUNTIF(Jobs[job_title],G7)</f>
        <v>133</v>
      </c>
      <c r="J7" s="5" t="s">
        <v>165</v>
      </c>
      <c r="K7" s="6">
        <v>137735.41860465117</v>
      </c>
    </row>
    <row r="8" spans="1:11" x14ac:dyDescent="0.3">
      <c r="A8" t="s">
        <v>5151</v>
      </c>
      <c r="B8" s="3">
        <f>COUNTIF(Jobs[visa_sponsorship],"Yes")/COUNTA(Jobs[visa_sponsorship])</f>
        <v>0.2424</v>
      </c>
      <c r="G8" s="7" t="s">
        <v>55</v>
      </c>
      <c r="H8" s="7">
        <f>COUNTIF(Jobs[job_title],G8)</f>
        <v>122</v>
      </c>
      <c r="J8" s="5" t="s">
        <v>136</v>
      </c>
      <c r="K8" s="6">
        <v>137580.4375</v>
      </c>
    </row>
    <row r="9" spans="1:11" x14ac:dyDescent="0.3">
      <c r="G9" s="7" t="s">
        <v>136</v>
      </c>
      <c r="H9" s="7">
        <f>COUNTIF(Jobs[job_title],G9)</f>
        <v>144</v>
      </c>
      <c r="J9" s="5" t="s">
        <v>144</v>
      </c>
      <c r="K9" s="6">
        <v>136665.26923076922</v>
      </c>
    </row>
    <row r="10" spans="1:11" x14ac:dyDescent="0.3">
      <c r="A10" s="8" t="s">
        <v>5161</v>
      </c>
      <c r="B10" s="8" t="s">
        <v>5152</v>
      </c>
      <c r="D10" s="8" t="s">
        <v>5157</v>
      </c>
      <c r="E10" s="8" t="s">
        <v>5152</v>
      </c>
      <c r="G10" s="7" t="s">
        <v>218</v>
      </c>
      <c r="H10" s="7">
        <f>COUNTIF(Jobs[job_title],G10)</f>
        <v>120</v>
      </c>
      <c r="J10" s="5" t="s">
        <v>124</v>
      </c>
      <c r="K10" s="6">
        <v>136534.67768595042</v>
      </c>
    </row>
    <row r="11" spans="1:11" x14ac:dyDescent="0.3">
      <c r="A11" s="7" t="s">
        <v>134</v>
      </c>
      <c r="B11" s="7">
        <f>COUNTIF(Jobs[primary_llm_mentioned],A11)</f>
        <v>168</v>
      </c>
      <c r="D11" s="7" t="s">
        <v>25</v>
      </c>
      <c r="E11" s="7">
        <f>COUNTIF(Jobs[sector],D11)</f>
        <v>249</v>
      </c>
      <c r="G11" s="7" t="s">
        <v>31</v>
      </c>
      <c r="H11" s="7">
        <f>COUNTIF(Jobs[job_title],G11)</f>
        <v>138</v>
      </c>
      <c r="J11" s="5" t="s">
        <v>322</v>
      </c>
      <c r="K11" s="6">
        <v>135772.71186440677</v>
      </c>
    </row>
    <row r="12" spans="1:11" x14ac:dyDescent="0.3">
      <c r="A12" s="7" t="s">
        <v>142</v>
      </c>
      <c r="B12" s="7">
        <f>COUNTIF(Jobs[primary_llm_mentioned],A12)</f>
        <v>169</v>
      </c>
      <c r="D12" s="7" t="s">
        <v>104</v>
      </c>
      <c r="E12" s="7">
        <f>COUNTIF(Jobs[sector],D12)</f>
        <v>245</v>
      </c>
      <c r="G12" s="7" t="s">
        <v>215</v>
      </c>
      <c r="H12" s="7">
        <f>COUNTIF(Jobs[job_title],G12)</f>
        <v>118</v>
      </c>
      <c r="J12" s="5" t="s">
        <v>12</v>
      </c>
      <c r="K12" s="6">
        <v>135506.30645161291</v>
      </c>
    </row>
    <row r="13" spans="1:11" x14ac:dyDescent="0.3">
      <c r="A13" s="7" t="s">
        <v>82</v>
      </c>
      <c r="B13" s="7">
        <f>COUNTIF(Jobs[primary_llm_mentioned],A13)</f>
        <v>178</v>
      </c>
      <c r="D13" s="7" t="s">
        <v>57</v>
      </c>
      <c r="E13" s="7">
        <f>COUNTIF(Jobs[sector],D13)</f>
        <v>255</v>
      </c>
      <c r="G13" s="7" t="s">
        <v>130</v>
      </c>
      <c r="H13" s="7">
        <f>COUNTIF(Jobs[job_title],G13)</f>
        <v>130</v>
      </c>
      <c r="J13" s="5" t="s">
        <v>5160</v>
      </c>
      <c r="K13" s="6">
        <v>138699.15742971888</v>
      </c>
    </row>
    <row r="14" spans="1:11" x14ac:dyDescent="0.3">
      <c r="A14" s="7" t="s">
        <v>38</v>
      </c>
      <c r="B14" s="7">
        <f>COUNTIF(Jobs[primary_llm_mentioned],A14)</f>
        <v>165</v>
      </c>
      <c r="D14" s="7" t="s">
        <v>68</v>
      </c>
      <c r="E14" s="7">
        <f>COUNTIF(Jobs[sector],D14)</f>
        <v>271</v>
      </c>
      <c r="G14" s="7" t="s">
        <v>124</v>
      </c>
      <c r="H14" s="7">
        <f>COUNTIF(Jobs[job_title],G14)</f>
        <v>121</v>
      </c>
    </row>
    <row r="15" spans="1:11" x14ac:dyDescent="0.3">
      <c r="A15" s="7" t="s">
        <v>61</v>
      </c>
      <c r="B15" s="7">
        <f>COUNTIF(Jobs[primary_llm_mentioned],A15)</f>
        <v>162</v>
      </c>
      <c r="D15" s="7" t="s">
        <v>44</v>
      </c>
      <c r="E15" s="7">
        <f>COUNTIF(Jobs[sector],D15)</f>
        <v>246</v>
      </c>
      <c r="G15" s="7" t="s">
        <v>84</v>
      </c>
      <c r="H15" s="7">
        <f>COUNTIF(Jobs[job_title],G15)</f>
        <v>136</v>
      </c>
    </row>
    <row r="16" spans="1:11" x14ac:dyDescent="0.3">
      <c r="A16" s="7" t="s">
        <v>179</v>
      </c>
      <c r="B16" s="7">
        <f>COUNTIF(Jobs[primary_llm_mentioned],A16)</f>
        <v>162</v>
      </c>
      <c r="D16" s="7" t="s">
        <v>167</v>
      </c>
      <c r="E16" s="7">
        <f>COUNTIF(Jobs[sector],D16)</f>
        <v>248</v>
      </c>
      <c r="G16" s="7" t="s">
        <v>63</v>
      </c>
      <c r="H16" s="7">
        <f>COUNTIF(Jobs[job_title],G16)</f>
        <v>115</v>
      </c>
    </row>
    <row r="17" spans="1:8" x14ac:dyDescent="0.3">
      <c r="A17" s="7" t="s">
        <v>18</v>
      </c>
      <c r="B17" s="7">
        <f>COUNTIF(Jobs[primary_llm_mentioned],A17)</f>
        <v>175</v>
      </c>
      <c r="D17" s="7" t="s">
        <v>118</v>
      </c>
      <c r="E17" s="7">
        <f>COUNTIF(Jobs[sector],D17)</f>
        <v>278</v>
      </c>
      <c r="G17" s="7" t="s">
        <v>222</v>
      </c>
      <c r="H17" s="7">
        <f>COUNTIF(Jobs[job_title],G17)</f>
        <v>125</v>
      </c>
    </row>
    <row r="18" spans="1:8" x14ac:dyDescent="0.3">
      <c r="A18" s="7" t="s">
        <v>238</v>
      </c>
      <c r="B18" s="7">
        <f>COUNTIF(Jobs[primary_llm_mentioned],A18)</f>
        <v>143</v>
      </c>
      <c r="D18" s="7" t="s">
        <v>140</v>
      </c>
      <c r="E18" s="7">
        <f>COUNTIF(Jobs[sector],D18)</f>
        <v>245</v>
      </c>
      <c r="G18" s="7" t="s">
        <v>99</v>
      </c>
      <c r="H18" s="7">
        <f>COUNTIF(Jobs[job_title],G18)</f>
        <v>124</v>
      </c>
    </row>
    <row r="19" spans="1:8" x14ac:dyDescent="0.3">
      <c r="A19" s="7" t="s">
        <v>113</v>
      </c>
      <c r="B19" s="7">
        <f>COUNTIF(Jobs[primary_llm_mentioned],A19)</f>
        <v>157</v>
      </c>
      <c r="D19" s="7" t="s">
        <v>33</v>
      </c>
      <c r="E19" s="7">
        <f>COUNTIF(Jobs[sector],D19)</f>
        <v>233</v>
      </c>
      <c r="G19" s="7" t="s">
        <v>74</v>
      </c>
      <c r="H19" s="7">
        <f>COUNTIF(Jobs[job_title],G19)</f>
        <v>135</v>
      </c>
    </row>
    <row r="20" spans="1:8" x14ac:dyDescent="0.3">
      <c r="A20" s="7" t="s">
        <v>5165</v>
      </c>
      <c r="B20" s="7">
        <f>COUNTIF(Jobs[primary_llm_mentioned],A20)</f>
        <v>879</v>
      </c>
      <c r="D20" s="7" t="s">
        <v>5156</v>
      </c>
      <c r="E20" s="7">
        <f>COUNTIF(Jobs[sector],D20)</f>
        <v>230</v>
      </c>
      <c r="G20" s="7" t="s">
        <v>12</v>
      </c>
      <c r="H20" s="7">
        <f>COUNTIF(Jobs[job_title],G20)</f>
        <v>124</v>
      </c>
    </row>
    <row r="21" spans="1:8" x14ac:dyDescent="0.3">
      <c r="A21" s="7" t="s">
        <v>87</v>
      </c>
      <c r="B21" s="7">
        <f>COUNTIF(Jobs[primary_llm_mentioned],A21)</f>
        <v>142</v>
      </c>
      <c r="G21" s="7" t="s">
        <v>23</v>
      </c>
      <c r="H21" s="7">
        <f>COUNTIF(Jobs[job_title],G21)</f>
        <v>117</v>
      </c>
    </row>
    <row r="22" spans="1:8" x14ac:dyDescent="0.3">
      <c r="G22" s="7" t="s">
        <v>165</v>
      </c>
      <c r="H22" s="7">
        <f>COUNTIF(Jobs[job_title],G22)</f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990-376D-43C8-943F-72A6F74D656C}">
  <dimension ref="B2:N30"/>
  <sheetViews>
    <sheetView tabSelected="1" zoomScale="70" zoomScaleNormal="70" workbookViewId="0">
      <selection activeCell="B8" sqref="B8:F8"/>
    </sheetView>
  </sheetViews>
  <sheetFormatPr defaultRowHeight="14.4" x14ac:dyDescent="0.3"/>
  <cols>
    <col min="2" max="2" width="36.109375" bestFit="1" customWidth="1"/>
    <col min="3" max="3" width="15.21875" bestFit="1" customWidth="1"/>
    <col min="4" max="4" width="11.44140625" bestFit="1" customWidth="1"/>
    <col min="5" max="5" width="36.109375" bestFit="1" customWidth="1"/>
    <col min="6" max="6" width="20.44140625" bestFit="1" customWidth="1"/>
    <col min="9" max="9" width="28.33203125" bestFit="1" customWidth="1"/>
    <col min="10" max="10" width="10.33203125" bestFit="1" customWidth="1"/>
    <col min="12" max="12" width="28.33203125" bestFit="1" customWidth="1"/>
    <col min="13" max="13" width="26.6640625" bestFit="1" customWidth="1"/>
  </cols>
  <sheetData>
    <row r="2" spans="2:14" x14ac:dyDescent="0.3">
      <c r="B2" s="23" t="s">
        <v>5163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2:14" x14ac:dyDescent="0.3"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2:14" x14ac:dyDescent="0.3"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2:14" x14ac:dyDescent="0.3">
      <c r="B5" s="20" t="s">
        <v>5146</v>
      </c>
      <c r="C5" s="20"/>
      <c r="D5" s="20"/>
      <c r="E5" s="20" t="s">
        <v>5147</v>
      </c>
      <c r="F5" s="20"/>
      <c r="G5" s="20"/>
      <c r="H5" s="20"/>
      <c r="I5" s="20" t="s">
        <v>5151</v>
      </c>
      <c r="J5" s="20"/>
      <c r="K5" s="20" t="s">
        <v>5150</v>
      </c>
      <c r="L5" s="20"/>
      <c r="M5" s="20" t="s">
        <v>5149</v>
      </c>
      <c r="N5" s="20"/>
    </row>
    <row r="6" spans="2:14" x14ac:dyDescent="0.3"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</row>
    <row r="7" spans="2:14" ht="21" x14ac:dyDescent="0.3">
      <c r="B7" s="21">
        <f>Analysis!B3</f>
        <v>2500</v>
      </c>
      <c r="C7" s="21"/>
      <c r="D7" s="21"/>
      <c r="E7" s="22">
        <f>Analysis!B4</f>
        <v>134513.1752</v>
      </c>
      <c r="F7" s="22"/>
      <c r="G7" s="22"/>
      <c r="H7" s="22"/>
      <c r="I7" s="25">
        <f>Analysis!B8</f>
        <v>0.2424</v>
      </c>
      <c r="J7" s="25"/>
      <c r="K7" s="25">
        <f>Analysis!B7</f>
        <v>0.45279999999999998</v>
      </c>
      <c r="L7" s="25"/>
      <c r="M7" s="26">
        <f>Analysis!B6</f>
        <v>3.0543999999999998</v>
      </c>
      <c r="N7" s="26"/>
    </row>
    <row r="8" spans="2:14" x14ac:dyDescent="0.3">
      <c r="B8" s="19"/>
      <c r="C8" s="19"/>
      <c r="D8" s="19"/>
      <c r="E8" s="19"/>
      <c r="F8" s="19"/>
      <c r="G8" s="11"/>
      <c r="H8" s="11"/>
      <c r="I8" s="11"/>
      <c r="J8" s="12"/>
      <c r="K8" s="12"/>
      <c r="L8" s="10"/>
      <c r="M8" s="10"/>
      <c r="N8" s="10"/>
    </row>
    <row r="9" spans="2:14" ht="21" x14ac:dyDescent="0.4">
      <c r="B9" s="13" t="s">
        <v>5162</v>
      </c>
      <c r="C9" s="14" t="s">
        <v>5164</v>
      </c>
      <c r="D9" s="18"/>
      <c r="E9" s="13" t="s">
        <v>5159</v>
      </c>
      <c r="F9" s="14" t="s">
        <v>5147</v>
      </c>
    </row>
    <row r="10" spans="2:14" ht="18" x14ac:dyDescent="0.35">
      <c r="B10" s="15" t="s">
        <v>144</v>
      </c>
      <c r="C10" s="16">
        <v>130</v>
      </c>
      <c r="D10" s="18"/>
      <c r="E10" s="15" t="s">
        <v>23</v>
      </c>
      <c r="F10" s="17">
        <v>144803.82905982906</v>
      </c>
    </row>
    <row r="11" spans="2:14" ht="18" x14ac:dyDescent="0.35">
      <c r="B11" s="15" t="s">
        <v>322</v>
      </c>
      <c r="C11" s="16">
        <v>118</v>
      </c>
      <c r="D11" s="18"/>
      <c r="E11" s="15" t="s">
        <v>222</v>
      </c>
      <c r="F11" s="17">
        <v>141875.264</v>
      </c>
    </row>
    <row r="12" spans="2:14" ht="18" x14ac:dyDescent="0.35">
      <c r="B12" s="15" t="s">
        <v>89</v>
      </c>
      <c r="C12" s="16">
        <v>116</v>
      </c>
      <c r="D12" s="18"/>
      <c r="E12" s="15" t="s">
        <v>63</v>
      </c>
      <c r="F12" s="17">
        <v>140868.66086956521</v>
      </c>
    </row>
    <row r="13" spans="2:14" ht="18" x14ac:dyDescent="0.35">
      <c r="B13" s="15" t="s">
        <v>78</v>
      </c>
      <c r="C13" s="16">
        <v>105</v>
      </c>
      <c r="D13" s="18"/>
      <c r="E13" s="15" t="s">
        <v>55</v>
      </c>
      <c r="F13" s="17">
        <v>140274.62295081967</v>
      </c>
    </row>
    <row r="14" spans="2:14" ht="18" x14ac:dyDescent="0.35">
      <c r="B14" s="15" t="s">
        <v>229</v>
      </c>
      <c r="C14" s="16">
        <v>133</v>
      </c>
      <c r="D14" s="18"/>
      <c r="E14" s="15" t="s">
        <v>165</v>
      </c>
      <c r="F14" s="17">
        <v>137735.41860465117</v>
      </c>
    </row>
    <row r="15" spans="2:14" ht="18" x14ac:dyDescent="0.35">
      <c r="B15" s="15" t="s">
        <v>55</v>
      </c>
      <c r="C15" s="16">
        <v>122</v>
      </c>
      <c r="D15" s="18"/>
      <c r="E15" s="15" t="s">
        <v>136</v>
      </c>
      <c r="F15" s="17">
        <v>137580.4375</v>
      </c>
    </row>
    <row r="16" spans="2:14" ht="18" x14ac:dyDescent="0.35">
      <c r="B16" s="15" t="s">
        <v>136</v>
      </c>
      <c r="C16" s="16">
        <v>144</v>
      </c>
      <c r="D16" s="18"/>
      <c r="E16" s="15" t="s">
        <v>144</v>
      </c>
      <c r="F16" s="17">
        <v>136665.26923076922</v>
      </c>
    </row>
    <row r="17" spans="2:6" ht="18" x14ac:dyDescent="0.35">
      <c r="B17" s="15" t="s">
        <v>218</v>
      </c>
      <c r="C17" s="16">
        <v>120</v>
      </c>
      <c r="D17" s="18"/>
      <c r="E17" s="15" t="s">
        <v>124</v>
      </c>
      <c r="F17" s="17">
        <v>136534.67768595042</v>
      </c>
    </row>
    <row r="18" spans="2:6" ht="18" x14ac:dyDescent="0.35">
      <c r="B18" s="15" t="s">
        <v>31</v>
      </c>
      <c r="C18" s="16">
        <v>138</v>
      </c>
      <c r="D18" s="18"/>
      <c r="E18" s="15" t="s">
        <v>322</v>
      </c>
      <c r="F18" s="17">
        <v>135772.71186440677</v>
      </c>
    </row>
    <row r="19" spans="2:6" ht="18" x14ac:dyDescent="0.35">
      <c r="B19" s="15" t="s">
        <v>215</v>
      </c>
      <c r="C19" s="16">
        <v>118</v>
      </c>
      <c r="D19" s="18"/>
      <c r="E19" s="15" t="s">
        <v>12</v>
      </c>
      <c r="F19" s="17">
        <v>135506.30645161291</v>
      </c>
    </row>
    <row r="20" spans="2:6" ht="18" x14ac:dyDescent="0.35">
      <c r="B20" s="15" t="s">
        <v>130</v>
      </c>
      <c r="C20" s="16">
        <v>130</v>
      </c>
      <c r="D20" s="18"/>
      <c r="E20" s="15" t="s">
        <v>215</v>
      </c>
      <c r="F20" s="17">
        <v>135368.21186440677</v>
      </c>
    </row>
    <row r="21" spans="2:6" ht="18" x14ac:dyDescent="0.35">
      <c r="B21" s="15" t="s">
        <v>124</v>
      </c>
      <c r="C21" s="16">
        <v>121</v>
      </c>
      <c r="D21" s="18"/>
      <c r="E21" s="15" t="s">
        <v>89</v>
      </c>
      <c r="F21" s="17">
        <v>134488.61206896551</v>
      </c>
    </row>
    <row r="22" spans="2:6" ht="18" x14ac:dyDescent="0.35">
      <c r="B22" s="15" t="s">
        <v>84</v>
      </c>
      <c r="C22" s="16">
        <v>136</v>
      </c>
      <c r="D22" s="18"/>
      <c r="E22" s="15" t="s">
        <v>84</v>
      </c>
      <c r="F22" s="17">
        <v>133203.24264705883</v>
      </c>
    </row>
    <row r="23" spans="2:6" ht="18" x14ac:dyDescent="0.35">
      <c r="B23" s="15" t="s">
        <v>63</v>
      </c>
      <c r="C23" s="16">
        <v>115</v>
      </c>
      <c r="D23" s="18"/>
      <c r="E23" s="15" t="s">
        <v>74</v>
      </c>
      <c r="F23" s="17">
        <v>131914.13333333333</v>
      </c>
    </row>
    <row r="24" spans="2:6" ht="18" x14ac:dyDescent="0.35">
      <c r="B24" s="15" t="s">
        <v>222</v>
      </c>
      <c r="C24" s="16">
        <v>125</v>
      </c>
      <c r="D24" s="18"/>
      <c r="E24" s="15" t="s">
        <v>229</v>
      </c>
      <c r="F24" s="17">
        <v>131875.72180451127</v>
      </c>
    </row>
    <row r="25" spans="2:6" ht="18" x14ac:dyDescent="0.35">
      <c r="B25" s="15" t="s">
        <v>99</v>
      </c>
      <c r="C25" s="16">
        <v>124</v>
      </c>
      <c r="D25" s="18"/>
      <c r="E25" s="15" t="s">
        <v>99</v>
      </c>
      <c r="F25" s="17">
        <v>130684.75</v>
      </c>
    </row>
    <row r="26" spans="2:6" ht="18" x14ac:dyDescent="0.35">
      <c r="B26" s="15" t="s">
        <v>74</v>
      </c>
      <c r="C26" s="16">
        <v>135</v>
      </c>
      <c r="D26" s="18"/>
      <c r="E26" s="15" t="s">
        <v>130</v>
      </c>
      <c r="F26" s="17">
        <v>128544.23846153847</v>
      </c>
    </row>
    <row r="27" spans="2:6" ht="18" x14ac:dyDescent="0.35">
      <c r="B27" s="15" t="s">
        <v>12</v>
      </c>
      <c r="C27" s="16">
        <v>124</v>
      </c>
      <c r="D27" s="18"/>
      <c r="E27" s="15" t="s">
        <v>218</v>
      </c>
      <c r="F27" s="17">
        <v>126377.925</v>
      </c>
    </row>
    <row r="28" spans="2:6" ht="18" x14ac:dyDescent="0.35">
      <c r="B28" s="15" t="s">
        <v>23</v>
      </c>
      <c r="C28" s="16">
        <v>117</v>
      </c>
      <c r="D28" s="18"/>
      <c r="E28" s="15" t="s">
        <v>31</v>
      </c>
      <c r="F28" s="17">
        <v>125490.31884057971</v>
      </c>
    </row>
    <row r="29" spans="2:6" ht="18" x14ac:dyDescent="0.35">
      <c r="B29" s="15" t="s">
        <v>165</v>
      </c>
      <c r="C29" s="16">
        <v>129</v>
      </c>
      <c r="D29" s="18"/>
      <c r="E29" s="15" t="s">
        <v>78</v>
      </c>
      <c r="F29" s="17">
        <v>125392.03809523809</v>
      </c>
    </row>
    <row r="30" spans="2:6" ht="18" x14ac:dyDescent="0.35">
      <c r="B30" s="15" t="s">
        <v>5160</v>
      </c>
      <c r="C30" s="16">
        <v>2500</v>
      </c>
      <c r="D30" s="18"/>
      <c r="E30" s="15" t="s">
        <v>5160</v>
      </c>
      <c r="F30" s="17">
        <v>134513.1752</v>
      </c>
    </row>
  </sheetData>
  <mergeCells count="13">
    <mergeCell ref="B2:N4"/>
    <mergeCell ref="K5:L6"/>
    <mergeCell ref="K7:L7"/>
    <mergeCell ref="M5:N6"/>
    <mergeCell ref="M7:N7"/>
    <mergeCell ref="I5:J6"/>
    <mergeCell ref="I7:J7"/>
    <mergeCell ref="D9:D30"/>
    <mergeCell ref="B8:F8"/>
    <mergeCell ref="B5:D6"/>
    <mergeCell ref="B7:D7"/>
    <mergeCell ref="E5:H6"/>
    <mergeCell ref="E7:H7"/>
  </mergeCells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Cleaned_Global_AI_LLM_Jobs</vt:lpstr>
      <vt:lpstr>Analysis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Abhisekha Gautam</cp:lastModifiedBy>
  <dcterms:created xsi:type="dcterms:W3CDTF">2026-10-02T14:49:32Z</dcterms:created>
  <dcterms:modified xsi:type="dcterms:W3CDTF">2026-10-13T05:50:54Z</dcterms:modified>
</cp:coreProperties>
</file>